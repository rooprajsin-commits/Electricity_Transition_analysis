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8.xml" ContentType="application/vnd.openxmlformats-officedocument.spreadsheetml.comment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Inputs" sheetId="3" state="visible" r:id="rId5"/>
    <sheet name="Country_Profile" sheetId="4" state="visible" r:id="rId6"/>
    <sheet name="Global_Trends" sheetId="5" state="visible" r:id="rId7"/>
    <sheet name="Rankings" sheetId="6" state="visible" r:id="rId8"/>
    <sheet name="Insights" sheetId="7" state="visible" r:id="rId9"/>
    <sheet name="Country_Summary" sheetId="8" state="visible" r:id="rId10"/>
    <sheet name="Clean_Data" sheetId="9" state="visible" r:id="rId11"/>
    <sheet name="Raw_Data" sheetId="10" state="visible" r:id="rId12"/>
    <sheet name="Cleaning_Log" sheetId="11" state="visible" r:id="rId13"/>
    <sheet name="Data_Dictionary" sheetId="12" state="visible" r:id="rId14"/>
  </sheets>
  <definedNames>
    <definedName function="false" hidden="true" localSheetId="7" name="_xlnm._FilterDatabase" vbProcedure="false">Country_Summary!$A$5:$P$217</definedName>
    <definedName function="false" hidden="true" localSheetId="9" name="_xlnm._FilterDatabase" vbProcedure="false">Raw_Data!$A$1:$O$3031</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N5" authorId="0">
      <text>
        <r>
          <rPr>
            <sz val="10"/>
            <rFont val="Arial"/>
            <family val="2"/>
          </rPr>
          <t xml:space="preserve">Helper columns: value + ROW()/1e9 as a tie-breaker; non-eligible countries get a sentinel so LARGE() skips them.</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Teal headers = calculated columns (formulas). Navy headers = cleaned source values.</t>
        </r>
      </text>
    </comment>
  </commentList>
</comments>
</file>

<file path=xl/sharedStrings.xml><?xml version="1.0" encoding="utf-8"?>
<sst xmlns="http://schemas.openxmlformats.org/spreadsheetml/2006/main" count="12501" uniqueCount="842">
  <si>
    <t xml:space="preserve">Global Electricity Transition Analysis, 2015–2025</t>
  </si>
  <si>
    <t xml:space="preserve">Data analyst portfolio project · Microsoft Excel · Dataset: Our World in Data – Energy (release of 1 Oct 2026)</t>
  </si>
  <si>
    <t xml:space="preserve">PROJECT OBJECTIVE</t>
  </si>
  <si>
    <t xml:space="preserve">Goal</t>
  </si>
  <si>
    <t xml:space="preserve">Analyse how the world – and India in particular – generated electricity between 2015 and 2025, measure the shift from fossil fuels to renewables, and identify which countries are moving fastest.</t>
  </si>
  <si>
    <t xml:space="preserve">Business questions</t>
  </si>
  <si>
    <t xml:space="preserve">1) How has the global electricity mix changed in the last decade?
2) Where does India stand versus the world on renewables and coal?
3) Which large power systems have the highest renewable share today?
4) Which countries added solar + wind the fastest (percentage-point gain)?
5) Which countries remain most dependent on coal?</t>
  </si>
  <si>
    <t xml:space="preserve">DATASET</t>
  </si>
  <si>
    <t xml:space="preserve">Source</t>
  </si>
  <si>
    <t xml:space="preserve">Our World in Data (OWID) – Energy dataset, owid-energy-data.csv, github.com/owid/energy-data (commit dated 1 Oct 2026). OWID compiles electricity data from Ember and the Energy Institute Statistical Review of World Energy. Licence: CC BY 4.0.</t>
  </si>
  <si>
    <t xml:space="preserve">Scope used</t>
  </si>
  <si>
    <t xml:space="preserve">Years 2015–2025 · 308 raw entities → 212 countries + World aggregate · 2,202 clean rows. Units: TWh (terawatt-hours) for generation, gCO2/kWh for carbon intensity.</t>
  </si>
  <si>
    <t xml:space="preserve">Data caveat</t>
  </si>
  <si>
    <t xml:space="preserve">2025 country data is preliminary (90 countries reported vs 210 for 2023). Country rankings therefore default to 2024 (the latest near-complete year); World totals use 2025. Change the year on the Inputs sheet to re-run every analysis.</t>
  </si>
  <si>
    <t xml:space="preserve">SHEET GUIDE (work left to right)</t>
  </si>
  <si>
    <t xml:space="preserve">Inputs</t>
  </si>
  <si>
    <t xml:space="preserve">Yellow cells = parameters you can change (base year, analysis year, minimum system size). Every analysis sheet recalculates from these.</t>
  </si>
  <si>
    <t xml:space="preserve">Dashboard</t>
  </si>
  <si>
    <t xml:space="preserve">One-page summary: KPI cards and four charts. This is the screenshot for your resume / LinkedIn.</t>
  </si>
  <si>
    <t xml:space="preserve">Country_Profile</t>
  </si>
  <si>
    <t xml:space="preserve">Interactive: pick any country from the dropdown in cell C4 – the table and both charts update.</t>
  </si>
  <si>
    <t xml:space="preserve">Global_Trends</t>
  </si>
  <si>
    <t xml:space="preserve">World electricity mix by source, 2015–2025, with shares and year-on-year growth.</t>
  </si>
  <si>
    <t xml:space="preserve">Rankings</t>
  </si>
  <si>
    <t xml:space="preserve">Top 15 by renewable share, top 15 by solar+wind gain, top 10 most coal-dependent (formula-driven, no manual sorting).</t>
  </si>
  <si>
    <t xml:space="preserve">Country_Summary</t>
  </si>
  <si>
    <t xml:space="preserve">One row per country: base vs analysis year, change in percentage points, growth rate (CAGR), with conditional formatting.</t>
  </si>
  <si>
    <t xml:space="preserve">Clean_Data</t>
  </si>
  <si>
    <t xml:space="preserve">Analysis-ready Excel Table (tblEnergy) with calculated columns: fossil, renewable, low-carbon totals, shares, per-capita, data-quality check.</t>
  </si>
  <si>
    <t xml:space="preserve">Raw_Data</t>
  </si>
  <si>
    <t xml:space="preserve">Untouched extract from the source file (2015–2025, selected columns) – kept so every cleaning step is auditable.</t>
  </si>
  <si>
    <t xml:space="preserve">Cleaning_Log</t>
  </si>
  <si>
    <t xml:space="preserve">Each cleaning step, the rule applied and rows affected.</t>
  </si>
  <si>
    <t xml:space="preserve">Insights</t>
  </si>
  <si>
    <t xml:space="preserve">Written findings and recommendations – what you would present to a stakeholder.</t>
  </si>
  <si>
    <t xml:space="preserve">Data_Dictionary</t>
  </si>
  <si>
    <t xml:space="preserve">Definition, unit and origin of every column.</t>
  </si>
  <si>
    <t xml:space="preserve">EXCEL SKILLS DEMONSTRATED</t>
  </si>
  <si>
    <t xml:space="preserve">Functions</t>
  </si>
  <si>
    <t xml:space="preserve">SUMIFS, COUNTIFS, INDEX/MATCH, LARGE, IFERROR, IF/AND, ISNUMBER, RANK-style tie-breaking, CAGR formula, text keys (country|year lookups).</t>
  </si>
  <si>
    <t xml:space="preserve">Features</t>
  </si>
  <si>
    <t xml:space="preserve">Excel Tables, data validation dropdowns, conditional formatting (colour scales, data bars, highlight rules), stacked column / bar / line charts, frozen panes, parameter-driven model, KPI dashboard.</t>
  </si>
  <si>
    <t xml:space="preserve">Process</t>
  </si>
  <si>
    <t xml:space="preserve">Data sourcing → profiling → cleaning with audit log → transformation (calculated columns) → aggregation → ranking → visualisation → insight writing.</t>
  </si>
  <si>
    <t xml:space="preserve">PRACTISE THIS (add before interviews)</t>
  </si>
  <si>
    <t xml:space="preserve">PivotTable</t>
  </si>
  <si>
    <t xml:space="preserve">Click any cell in Clean_Data → Insert → PivotTable → New sheet. Rows: Country · Columns: Year · Values: Renewable_TWh (Sum). Add a Slicer on Entity_Type and set it to "Country". Be ready to explain when you would use a PivotTable vs SUMIFS.</t>
  </si>
  <si>
    <t xml:space="preserve">Power Query (optional)</t>
  </si>
  <si>
    <t xml:space="preserve">Data → Get Data → From Text/CSV on the original OWID file, and repeat the Cleaning_Log steps as Applied Steps. This makes the refresh fully automatic when OWID publishes new data.</t>
  </si>
  <si>
    <t xml:space="preserve">RESUME BULLETS (copy, then adjust)</t>
  </si>
  <si>
    <t xml:space="preserve">Bullet 1</t>
  </si>
  <si>
    <t xml:space="preserve">Built an end-to-end Excel analysis of 212 countries' electricity generation (2015–2025, 2,202 records) from Our World in Data, including an auditable cleaning log, calculated metrics and a parameter-driven KPI dashboard.</t>
  </si>
  <si>
    <t xml:space="preserve">Bullet 2</t>
  </si>
  <si>
    <t xml:space="preserve">Found global renewables rose from 23.0% to 33.8% of electricity while coal fell from 38.7% to 33.0%; India's renewable share rose from 14.6% to 24.1% as solar output grew 28x.</t>
  </si>
  <si>
    <t xml:space="preserve">Bullet 3</t>
  </si>
  <si>
    <t xml:space="preserve">Designed an interactive country profile (dropdown + dynamic charts) and formula-driven rankings using SUMIFS, INDEX/MATCH and LARGE, so the whole workbook recalculates when the analysis year changes.</t>
  </si>
  <si>
    <t xml:space="preserve">GLOBAL ELECTRICITY TRANSITION DASHBOARD · 2015–2025</t>
  </si>
  <si>
    <t xml:space="preserve">World renewable share 2025</t>
  </si>
  <si>
    <t xml:space="preserve">World solar + wind share 2025</t>
  </si>
  <si>
    <t xml:space="preserve">World coal share 2025</t>
  </si>
  <si>
    <t xml:space="preserve">Global solar output growth</t>
  </si>
  <si>
    <t xml:space="preserve">India renewable share</t>
  </si>
  <si>
    <t xml:space="preserve">Countries above RE target</t>
  </si>
  <si>
    <t xml:space="preserve">↑ Line uses the country chosen on Country_Profile (default: India).</t>
  </si>
  <si>
    <t xml:space="preserve">Model Inputs</t>
  </si>
  <si>
    <t xml:space="preserve">Change the yellow cells only. All analysis sheets recalculate automatically.</t>
  </si>
  <si>
    <t xml:space="preserve">Parameter</t>
  </si>
  <si>
    <t xml:space="preserve">Value</t>
  </si>
  <si>
    <t xml:space="preserve">Notes</t>
  </si>
  <si>
    <t xml:space="preserve">Base year</t>
  </si>
  <si>
    <t xml:space="preserve">Start of the comparison window (2015–2024).</t>
  </si>
  <si>
    <t xml:space="preserve">Analysis year</t>
  </si>
  <si>
    <t xml:space="preserve">Latest year for country comparisons. 2024 is the latest near-complete year; 2025 is preliminary.</t>
  </si>
  <si>
    <t xml:space="preserve">Minimum generation (TWh)</t>
  </si>
  <si>
    <t xml:space="preserve">Only countries generating at least this much in the analysis year are ranked – removes tiny island systems that distort shares.</t>
  </si>
  <si>
    <t xml:space="preserve">Renewable-share target</t>
  </si>
  <si>
    <t xml:space="preserve">Threshold used for the "countries above target" KPI.</t>
  </si>
  <si>
    <t xml:space="preserve">Data coverage check (countries with data per year)</t>
  </si>
  <si>
    <t xml:space="preserve">Year</t>
  </si>
  <si>
    <t xml:space="preserve">Countries reported</t>
  </si>
  <si>
    <t xml:space="preserve">Country Profile</t>
  </si>
  <si>
    <t xml:space="preserve">Choose a country in the yellow cell – every number and chart below updates.</t>
  </si>
  <si>
    <t xml:space="preserve">Quick stats</t>
  </si>
  <si>
    <t xml:space="preserve">Country:</t>
  </si>
  <si>
    <t xml:space="preserve">India</t>
  </si>
  <si>
    <t xml:space="preserve">Renewable share (latest)</t>
  </si>
  <si>
    <t xml:space="preserve">Change since 2015 (pp)</t>
  </si>
  <si>
    <t xml:space="preserve">Solar output multiple</t>
  </si>
  <si>
    <t xml:space="preserve">Latest year reported</t>
  </si>
  <si>
    <t xml:space="preserve">Total TWh</t>
  </si>
  <si>
    <t xml:space="preserve">Coal</t>
  </si>
  <si>
    <t xml:space="preserve">Gas</t>
  </si>
  <si>
    <t xml:space="preserve">Oil</t>
  </si>
  <si>
    <t xml:space="preserve">Nuclear</t>
  </si>
  <si>
    <t xml:space="preserve">Hydro</t>
  </si>
  <si>
    <t xml:space="preserve">Solar</t>
  </si>
  <si>
    <t xml:space="preserve">Wind</t>
  </si>
  <si>
    <t xml:space="preserve">Bio + Other RE</t>
  </si>
  <si>
    <t xml:space="preserve">Renewable Share</t>
  </si>
  <si>
    <t xml:space="preserve">Solar+Wind Share</t>
  </si>
  <si>
    <t xml:space="preserve">Coal Share</t>
  </si>
  <si>
    <t xml:space="preserve">World RE Share</t>
  </si>
  <si>
    <t xml:space="preserve">Carbon Int. (g/kWh)</t>
  </si>
  <si>
    <t xml:space="preserve">kWh / person</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</si>
  <si>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</si>
  <si>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</si>
  <si>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</si>
  <si>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</si>
  <si>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</si>
  <si>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</si>
  <si>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</si>
  <si>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</si>
  <si>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</si>
  <si>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</si>
  <si>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</si>
  <si>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Global Electricity Mix, 2015–2025 (World aggregate)</t>
  </si>
  <si>
    <t xml:space="preserve">Source: Clean_Data rows where Entity_Type = "World". TWh unless stated.</t>
  </si>
  <si>
    <t xml:space="preserve">Fossil Share</t>
  </si>
  <si>
    <t xml:space="preserve">Total YoY Growth</t>
  </si>
  <si>
    <t xml:space="preserve">Solar YoY Growth</t>
  </si>
  <si>
    <t xml:space="preserve">Change 2015 → 2025</t>
  </si>
  <si>
    <t xml:space="preserve">Solar output multiple (2025 ÷ 2015)</t>
  </si>
  <si>
    <t xml:space="preserve">Share of new demand met by solar + wind</t>
  </si>
  <si>
    <t xml:space="preserve">Country Rankings</t>
  </si>
  <si>
    <t xml:space="preserve">Top 15 – highest renewable share</t>
  </si>
  <si>
    <t xml:space="preserve">Top 15 – fastest solar + wind gain</t>
  </si>
  <si>
    <t xml:space="preserve">#</t>
  </si>
  <si>
    <t xml:space="preserve">Country</t>
  </si>
  <si>
    <t xml:space="preserve">RE Share</t>
  </si>
  <si>
    <t xml:space="preserve">Generation (TWh)</t>
  </si>
  <si>
    <t xml:space="preserve">Change vs base (pp)</t>
  </si>
  <si>
    <t xml:space="preserve">Gain (pp)</t>
  </si>
  <si>
    <t xml:space="preserve">S+W Share Base</t>
  </si>
  <si>
    <t xml:space="preserve">S+W Share Analysis</t>
  </si>
  <si>
    <t xml:space="preserve">Top 10 – most coal-dependent</t>
  </si>
  <si>
    <t xml:space="preserve">Where does India rank?</t>
  </si>
  <si>
    <t xml:space="preserve">Metric</t>
  </si>
  <si>
    <t xml:space="preserve">Rank</t>
  </si>
  <si>
    <t xml:space="preserve">of</t>
  </si>
  <si>
    <t xml:space="preserve">Solar+Wind Gain (pp)</t>
  </si>
  <si>
    <t xml:space="preserve">Key Insights &amp; Recommendations</t>
  </si>
  <si>
    <t xml:space="preserve">Narrative figures reflect the default inputs (base 2015, analysis 2024, World to 2025). Live numbers sit in column C.</t>
  </si>
  <si>
    <t xml:space="preserve">Finding</t>
  </si>
  <si>
    <t xml:space="preserve">Live figure</t>
  </si>
  <si>
    <t xml:space="preserve">So what?</t>
  </si>
  <si>
    <t xml:space="preserve">Renewables grew from 23.0% to 33.8% of world electricity (2015→2025), while coal slipped from 38.7% to 33.0%.</t>
  </si>
  <si>
    <t xml:space="preserve">The transition is real but gradual – coal output in TWh is still roughly flat because total demand keeps rising.</t>
  </si>
  <si>
    <t xml:space="preserve">Solar is the breakout source: world solar output multiplied 10.9x in ten years; solar + wind added 4,406 TWh.</t>
  </si>
  <si>
    <t xml:space="preserve">Capacity planners and investors should treat solar as the default growth technology.</t>
  </si>
  <si>
    <t xml:space="preserve">Solar + wind supplied about 57% of the 7,770 TWh increase in global demand since 2015.</t>
  </si>
  <si>
    <t xml:space="preserve">Once new clean supply exceeds demand growth, fossil generation starts to decline in absolute terms.</t>
  </si>
  <si>
    <t xml:space="preserve">India's renewable share rose from 14.6% to 24.1% while generation grew 59%; solar output grew 28x.</t>
  </si>
  <si>
    <t xml:space="preserve">India is adding clean power fast, but demand growth means coal still supplies most electricity.</t>
  </si>
  <si>
    <t xml:space="preserve">India's coal share fell from 76.8% (2015) to 70.8% (2025, preliminary) – still more than double the world average.</t>
  </si>
  <si>
    <t xml:space="preserve">Grid storage and transmission are the bottleneck to watch, not generation technology.</t>
  </si>
  <si>
    <t xml:space="preserve">25 of 83 large power systems (≥20 TWh) already get at least half their electricity from renewables in 2024; leaders: Ethiopia (100%), Paraguay (100%), Norway (99%).</t>
  </si>
  <si>
    <t xml:space="preserve">High shares come mostly from hydro-rich countries – geography matters as much as policy.</t>
  </si>
  <si>
    <t xml:space="preserve">Fastest solar + wind gains 2015→2024 (pp of total generation): Netherlands (+37.3), Chile (+30.1), Greece (+25.0).</t>
  </si>
  <si>
    <t xml:space="preserve">These are the countries to study for replicable policy – they built solar/wind without large hydro.</t>
  </si>
  <si>
    <t xml:space="preserve">Limitations</t>
  </si>
  <si>
    <t xml:space="preserve">• Electricity is only part of total energy use – transport and heating are excluded.</t>
  </si>
  <si>
    <t xml:space="preserve">• 2025 country data is preliminary; some countries report later and figures may be revised.</t>
  </si>
  <si>
    <t xml:space="preserve">• Bioenergy is counted as renewable, following OWID/Ember conventions.</t>
  </si>
  <si>
    <t xml:space="preserve">• Generation share ≠ installed capacity; solar's low capacity factor means capacity share is higher than generation share.</t>
  </si>
  <si>
    <t xml:space="preserve">Country Summary – base year vs analysis year</t>
  </si>
  <si>
    <t xml:space="preserve">Years and thresholds come from the Inputs sheet. Blank = country did not report that year.</t>
  </si>
  <si>
    <t xml:space="preserve">Gen Base (TWh)</t>
  </si>
  <si>
    <t xml:space="preserve">Gen Analysis (TWh)</t>
  </si>
  <si>
    <t xml:space="preserve">Gen CAGR</t>
  </si>
  <si>
    <t xml:space="preserve">RE Share Base</t>
  </si>
  <si>
    <t xml:space="preserve">RE Share Analysis</t>
  </si>
  <si>
    <t xml:space="preserve">RE Change (pp)</t>
  </si>
  <si>
    <t xml:space="preserve">Solar+Wind Base</t>
  </si>
  <si>
    <t xml:space="preserve">Solar+Wind Analysis</t>
  </si>
  <si>
    <t xml:space="preserve">Solar+Wind Change (pp)</t>
  </si>
  <si>
    <t xml:space="preserve">Coal Share Analysis</t>
  </si>
  <si>
    <t xml:space="preserve">Carbon Intensity (g/kWh)</t>
  </si>
  <si>
    <t xml:space="preserve">Eligible?</t>
  </si>
  <si>
    <t xml:space="preserve">Score: RE</t>
  </si>
  <si>
    <t xml:space="preserve">Score: S+W Gain</t>
  </si>
  <si>
    <t xml:space="preserve">Score: Coal</t>
  </si>
  <si>
    <t xml:space="preserve">Afghanistan</t>
  </si>
  <si>
    <t xml:space="preserve">Albania</t>
  </si>
  <si>
    <t xml:space="preserve">Algeria</t>
  </si>
  <si>
    <t xml:space="preserve">American Samoa</t>
  </si>
  <si>
    <t xml:space="preserve">Angola</t>
  </si>
  <si>
    <t xml:space="preserve">Antigua and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</si>
  <si>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</si>
  <si>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</si>
  <si>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</si>
  <si>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</si>
  <si>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</si>
  <si>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</si>
  <si>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</si>
  <si>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</si>
  <si>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</si>
  <si>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</si>
  <si>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</si>
  <si>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</si>
  <si>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</si>
  <si>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</si>
  <si>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</si>
  <si>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</si>
  <si>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</si>
  <si>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</si>
  <si>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</si>
  <si>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</si>
  <si>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</si>
  <si>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</si>
  <si>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</si>
  <si>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</si>
  <si>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Burundi</t>
  </si>
  <si>
    <t xml:space="preserve">Cambodia</t>
  </si>
  <si>
    <t xml:space="preserve">Cameroon</t>
  </si>
  <si>
    <t xml:space="preserve">Canada</t>
  </si>
  <si>
    <t xml:space="preserve">Cape Verde</t>
  </si>
  <si>
    <t xml:space="preserve">Cayman Islands</t>
  </si>
  <si>
    <t xml:space="preserve">Central African Republic</t>
  </si>
  <si>
    <t xml:space="preserve">Chad</t>
  </si>
  <si>
    <t xml:space="preserve">Chile</t>
  </si>
  <si>
    <t xml:space="preserve">China</t>
  </si>
  <si>
    <t xml:space="preserve">Colombia</t>
  </si>
  <si>
    <t xml:space="preserve">Comoros</t>
  </si>
  <si>
    <t xml:space="preserve">Congo</t>
  </si>
  <si>
    <t xml:space="preserve">Cook Islands</t>
  </si>
  <si>
    <t xml:space="preserve">Costa Rica</t>
  </si>
  <si>
    <t xml:space="preserve">Cote d'Ivoire</t>
  </si>
  <si>
    <t xml:space="preserve">Croatia</t>
  </si>
  <si>
    <t xml:space="preserve">Cuba</t>
  </si>
  <si>
    <t xml:space="preserve">Cyprus</t>
  </si>
  <si>
    <t xml:space="preserve">Czechia</t>
  </si>
  <si>
    <t xml:space="preserve">Democratic Republic of Congo</t>
  </si>
  <si>
    <t xml:space="preserve">Denmark</t>
  </si>
  <si>
    <t xml:space="preserve">Djibouti</t>
  </si>
  <si>
    <t xml:space="preserve">Dominica</t>
  </si>
  <si>
    <t xml:space="preserve">Dominican Republic</t>
  </si>
  <si>
    <t xml:space="preserve">East Timor</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</si>
  <si>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</si>
  <si>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</si>
  <si>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</si>
  <si>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</si>
  <si>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</si>
  <si>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</si>
  <si>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</si>
  <si>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</si>
  <si>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Falkland Islands</t>
  </si>
  <si>
    <t xml:space="preserve">Faroe Islands</t>
  </si>
  <si>
    <t xml:space="preserve">Fiji</t>
  </si>
  <si>
    <t xml:space="preserve">Finland</t>
  </si>
  <si>
    <t xml:space="preserve">France</t>
  </si>
  <si>
    <t xml:space="preserve">French Guiana</t>
  </si>
  <si>
    <t xml:space="preserve">French Polynesia</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</si>
  <si>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</si>
  <si>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</si>
  <si>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</si>
  <si>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</si>
  <si>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</si>
  <si>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</si>
  <si>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</si>
  <si>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</si>
  <si>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Grenada</t>
  </si>
  <si>
    <t xml:space="preserve">Guadeloupe</t>
  </si>
  <si>
    <t xml:space="preserve">Guam</t>
  </si>
  <si>
    <t xml:space="preserve">Guatemala</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</si>
  <si>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</si>
  <si>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</si>
  <si>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</si>
  <si>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</si>
  <si>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</si>
  <si>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</si>
  <si>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</si>
  <si>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</si>
  <si>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Indonesia</t>
  </si>
  <si>
    <t xml:space="preserve">Iran</t>
  </si>
  <si>
    <t xml:space="preserve">Iraq</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</si>
  <si>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</si>
  <si>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</si>
  <si>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</si>
  <si>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</si>
  <si>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</si>
  <si>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</si>
  <si>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</si>
  <si>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</si>
  <si>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</si>
  <si>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</si>
  <si>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</si>
  <si>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</si>
  <si>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</si>
  <si>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</si>
  <si>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</si>
  <si>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</si>
  <si>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</si>
  <si>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Lithuania</t>
  </si>
  <si>
    <t xml:space="preserve">Luxembourg</t>
  </si>
  <si>
    <t xml:space="preserve">Macao</t>
  </si>
  <si>
    <t xml:space="preserve">Madagascar</t>
  </si>
  <si>
    <t xml:space="preserve">Malawi</t>
  </si>
  <si>
    <t xml:space="preserve">Malaysia</t>
  </si>
  <si>
    <t xml:space="preserve">Maldives</t>
  </si>
  <si>
    <t xml:space="preserve">Mali</t>
  </si>
  <si>
    <t xml:space="preserve">Malta</t>
  </si>
  <si>
    <t xml:space="preserve">Martinique</t>
  </si>
  <si>
    <t xml:space="preserve">Mauritania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</si>
  <si>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</si>
  <si>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</si>
  <si>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</si>
  <si>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</si>
  <si>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</si>
  <si>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</si>
  <si>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</si>
  <si>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</si>
  <si>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</si>
  <si>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</si>
  <si>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</si>
  <si>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Nepal</t>
  </si>
  <si>
    <t xml:space="preserve">Netherlands</t>
  </si>
  <si>
    <t xml:space="preserve">New Caledonia</t>
  </si>
  <si>
    <t xml:space="preserve">New Zealand</t>
  </si>
  <si>
    <t xml:space="preserve">Nicaragua</t>
  </si>
  <si>
    <t xml:space="preserve">Niger</t>
  </si>
  <si>
    <t xml:space="preserve">Nigeria</t>
  </si>
  <si>
    <t xml:space="preserve">North Korea</t>
  </si>
  <si>
    <t xml:space="preserve">North Macedonia</t>
  </si>
  <si>
    <t xml:space="preserve">Norway</t>
  </si>
  <si>
    <t xml:space="preserve">Oman</t>
  </si>
  <si>
    <t xml:space="preserve">Pakistan</t>
  </si>
  <si>
    <t xml:space="preserve">Palestine</t>
  </si>
  <si>
    <t xml:space="preserve">Panama</t>
  </si>
  <si>
    <t xml:space="preserve">Papua New Guinea</t>
  </si>
  <si>
    <t xml:space="preserve">Paraguay</t>
  </si>
  <si>
    <t xml:space="preserve">Peru</t>
  </si>
  <si>
    <t xml:space="preserve">Philippines</t>
  </si>
  <si>
    <t xml:space="preserve">Poland</t>
  </si>
  <si>
    <t xml:space="preserve">Portugal</t>
  </si>
  <si>
    <t xml:space="preserve">Puerto Rico</t>
  </si>
  <si>
    <t xml:space="preserve">Qatar</t>
  </si>
  <si>
    <t xml:space="preserve">Reunion</t>
  </si>
  <si>
    <t xml:space="preserve">Romania</t>
  </si>
  <si>
    <t xml:space="preserve">Russia</t>
  </si>
  <si>
    <t xml:space="preserve">Rwanda</t>
  </si>
  <si>
    <t xml:space="preserve">Saint Helena</t>
  </si>
  <si>
    <t xml:space="preserve">Saint Kitts and Nevis</t>
  </si>
  <si>
    <t xml:space="preserve">Saint Lucia</t>
  </si>
  <si>
    <t xml:space="preserve">Saint Pierre and Miquelon</t>
  </si>
  <si>
    <t xml:space="preserve">Saint Vincent and the Grenadines</t>
  </si>
  <si>
    <t xml:space="preserve">Samoa</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</si>
  <si>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</si>
  <si>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</si>
  <si>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</si>
  <si>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</si>
  <si>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</si>
  <si>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</si>
  <si>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</si>
  <si>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</si>
  <si>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</si>
  <si>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</si>
  <si>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</si>
  <si>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</si>
  <si>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South Korea</t>
  </si>
  <si>
    <t xml:space="preserve">South Sudan</t>
  </si>
  <si>
    <t xml:space="preserve">Spain</t>
  </si>
  <si>
    <t xml:space="preserve">Sri Lanka</t>
  </si>
  <si>
    <t xml:space="preserve">Sudan</t>
  </si>
  <si>
    <t xml:space="preserve">Suriname</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</si>
  <si>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</si>
  <si>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</si>
  <si>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</si>
  <si>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</si>
  <si>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</si>
  <si>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</si>
  <si>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</si>
  <si>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</si>
  <si>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Tonga</t>
  </si>
  <si>
    <t xml:space="preserve">Trinidad and Tobago</t>
  </si>
  <si>
    <t xml:space="preserve">Tunisia</t>
  </si>
  <si>
    <t xml:space="preserve">Turkey</t>
  </si>
  <si>
    <t xml:space="preserve">Turkmenistan</t>
  </si>
  <si>
    <t xml:space="preserve">Turks and Caicos Islands</t>
  </si>
  <si>
    <t xml:space="preserve">Uganda</t>
  </si>
  <si>
    <t xml:space="preserve">Ukraine</t>
  </si>
  <si>
    <t xml:space="preserve">United Arab Emirates</t>
  </si>
  <si>
    <t xml:space="preserve">United Kingdom</t>
  </si>
  <si>
    <t xml:space="preserve">United States</t>
  </si>
  <si>
    <t xml:space="preserve">United States Virgin Islands</t>
  </si>
  <si>
    <t xml:space="preserve">Uruguay</t>
  </si>
  <si>
    <t xml:space="preserve">Uzbekistan</t>
  </si>
  <si>
    <t xml:space="preserve">Vanuatu</t>
  </si>
  <si>
    <t xml:space="preserve">Venezuela</t>
  </si>
  <si>
    <t xml:space="preserve">Vietnam</t>
  </si>
  <si>
    <t xml:space="preserve">Yemen</t>
  </si>
  <si>
    <t xml:space="preserve">Zambia</t>
  </si>
  <si>
    <t xml:space="preserve">Zimbabwe</t>
  </si>
  <si>
    <t xml:space="preserve">ISO_Code</t>
  </si>
  <si>
    <t xml:space="preserve">Entity_Type</t>
  </si>
  <si>
    <t xml:space="preserve">Population</t>
  </si>
  <si>
    <t xml:space="preserve">Total_Gen_TWh</t>
  </si>
  <si>
    <t xml:space="preserve">Coal_TWh</t>
  </si>
  <si>
    <t xml:space="preserve">Gas_TWh</t>
  </si>
  <si>
    <t xml:space="preserve">Oil_TWh</t>
  </si>
  <si>
    <t xml:space="preserve">Nuclear_TWh</t>
  </si>
  <si>
    <t xml:space="preserve">Hydro_TWh</t>
  </si>
  <si>
    <t xml:space="preserve">Solar_TWh</t>
  </si>
  <si>
    <t xml:space="preserve">Wind_TWh</t>
  </si>
  <si>
    <t xml:space="preserve">Bioenergy_TWh</t>
  </si>
  <si>
    <t xml:space="preserve">Other_RE_TWh</t>
  </si>
  <si>
    <t xml:space="preserve">Carbon_Intensity_g_kWh</t>
  </si>
  <si>
    <t xml:space="preserve">Fields_Filled</t>
  </si>
  <si>
    <t xml:space="preserve">Fossil_TWh</t>
  </si>
  <si>
    <t xml:space="preserve">Renewable_TWh</t>
  </si>
  <si>
    <t xml:space="preserve">Solar_Wind_TWh</t>
  </si>
  <si>
    <t xml:space="preserve">Low_Carbon_TWh</t>
  </si>
  <si>
    <t xml:space="preserve">Renewable_Share</t>
  </si>
  <si>
    <t xml:space="preserve">Fossil_Share</t>
  </si>
  <si>
    <t xml:space="preserve">Solar_Wind_Share</t>
  </si>
  <si>
    <t xml:space="preserve">Coal_Share</t>
  </si>
  <si>
    <t xml:space="preserve">kWh_per_Person</t>
  </si>
  <si>
    <t xml:space="preserve">Mix_Check</t>
  </si>
  <si>
    <t xml:space="preserve">Key</t>
  </si>
  <si>
    <t xml:space="preserve">World</t>
  </si>
  <si>
    <t xml:space="preserve">AFG</t>
  </si>
  <si>
    <t xml:space="preserve">ALB</t>
  </si>
  <si>
    <t xml:space="preserve">DZA</t>
  </si>
  <si>
    <t xml:space="preserve">ASM</t>
  </si>
  <si>
    <t xml:space="preserve">AGO</t>
  </si>
  <si>
    <t xml:space="preserve">ATG</t>
  </si>
  <si>
    <t xml:space="preserve">ARG</t>
  </si>
  <si>
    <t xml:space="preserve">ARM</t>
  </si>
  <si>
    <t xml:space="preserve">ABW</t>
  </si>
  <si>
    <t xml:space="preserve">AUS</t>
  </si>
  <si>
    <t xml:space="preserve">AUT</t>
  </si>
  <si>
    <t xml:space="preserve">AZE</t>
  </si>
  <si>
    <t xml:space="preserve">BHS</t>
  </si>
  <si>
    <t xml:space="preserve">BHR</t>
  </si>
  <si>
    <t xml:space="preserve">BGD</t>
  </si>
  <si>
    <t xml:space="preserve">BRB</t>
  </si>
  <si>
    <t xml:space="preserve">BLR</t>
  </si>
  <si>
    <t xml:space="preserve">BEL</t>
  </si>
  <si>
    <t xml:space="preserve">BLZ</t>
  </si>
  <si>
    <t xml:space="preserve">BEN</t>
  </si>
  <si>
    <t xml:space="preserve">BMU</t>
  </si>
  <si>
    <t xml:space="preserve">BTN</t>
  </si>
  <si>
    <t xml:space="preserve">BOL</t>
  </si>
  <si>
    <t xml:space="preserve">BIH</t>
  </si>
  <si>
    <t xml:space="preserve">BWA</t>
  </si>
  <si>
    <t xml:space="preserve">BRA</t>
  </si>
  <si>
    <t xml:space="preserve">VGB</t>
  </si>
  <si>
    <t xml:space="preserve">BRN</t>
  </si>
  <si>
    <t xml:space="preserve">BGR</t>
  </si>
  <si>
    <t xml:space="preserve">BFA</t>
  </si>
  <si>
    <t xml:space="preserve">BDI</t>
  </si>
  <si>
    <t xml:space="preserve">KHM</t>
  </si>
  <si>
    <t xml:space="preserve">CMR</t>
  </si>
  <si>
    <t xml:space="preserve">CAN</t>
  </si>
  <si>
    <t xml:space="preserve">CPV</t>
  </si>
  <si>
    <t xml:space="preserve">CYM</t>
  </si>
  <si>
    <t xml:space="preserve">CAF</t>
  </si>
  <si>
    <t xml:space="preserve">TCD</t>
  </si>
  <si>
    <t xml:space="preserve">CHL</t>
  </si>
  <si>
    <t xml:space="preserve">CHN</t>
  </si>
  <si>
    <t xml:space="preserve">COL</t>
  </si>
  <si>
    <t xml:space="preserve">COM</t>
  </si>
  <si>
    <t xml:space="preserve">COG</t>
  </si>
  <si>
    <t xml:space="preserve">COK</t>
  </si>
  <si>
    <t xml:space="preserve">CRI</t>
  </si>
  <si>
    <t xml:space="preserve">CIV</t>
  </si>
  <si>
    <t xml:space="preserve">HRV</t>
  </si>
  <si>
    <t xml:space="preserve">CUB</t>
  </si>
  <si>
    <t xml:space="preserve">CYP</t>
  </si>
  <si>
    <t xml:space="preserve">CZE</t>
  </si>
  <si>
    <t xml:space="preserve">COD</t>
  </si>
  <si>
    <t xml:space="preserve">DNK</t>
  </si>
  <si>
    <t xml:space="preserve">DJI</t>
  </si>
  <si>
    <t xml:space="preserve">DMA</t>
  </si>
  <si>
    <t xml:space="preserve">DOM</t>
  </si>
  <si>
    <t xml:space="preserve">TLS</t>
  </si>
  <si>
    <t xml:space="preserve">ECU</t>
  </si>
  <si>
    <t xml:space="preserve">EGY</t>
  </si>
  <si>
    <t xml:space="preserve">SLV</t>
  </si>
  <si>
    <t xml:space="preserve">GNQ</t>
  </si>
  <si>
    <t xml:space="preserve">ERI</t>
  </si>
  <si>
    <t xml:space="preserve">EST</t>
  </si>
  <si>
    <t xml:space="preserve">SWZ</t>
  </si>
  <si>
    <t xml:space="preserve">ETH</t>
  </si>
  <si>
    <t xml:space="preserve">FLK</t>
  </si>
  <si>
    <t xml:space="preserve">FRO</t>
  </si>
  <si>
    <t xml:space="preserve">FJI</t>
  </si>
  <si>
    <t xml:space="preserve">FIN</t>
  </si>
  <si>
    <t xml:space="preserve">FRA</t>
  </si>
  <si>
    <t xml:space="preserve">GUF</t>
  </si>
  <si>
    <t xml:space="preserve">PYF</t>
  </si>
  <si>
    <t xml:space="preserve">GAB</t>
  </si>
  <si>
    <t xml:space="preserve">GMB</t>
  </si>
  <si>
    <t xml:space="preserve">GEO</t>
  </si>
  <si>
    <t xml:space="preserve">DEU</t>
  </si>
  <si>
    <t xml:space="preserve">GHA</t>
  </si>
  <si>
    <t xml:space="preserve">GIB</t>
  </si>
  <si>
    <t xml:space="preserve">GRC</t>
  </si>
  <si>
    <t xml:space="preserve">GRL</t>
  </si>
  <si>
    <t xml:space="preserve">GRD</t>
  </si>
  <si>
    <t xml:space="preserve">GLP</t>
  </si>
  <si>
    <t xml:space="preserve">GUM</t>
  </si>
  <si>
    <t xml:space="preserve">GTM</t>
  </si>
  <si>
    <t xml:space="preserve">GIN</t>
  </si>
  <si>
    <t xml:space="preserve">GNB</t>
  </si>
  <si>
    <t xml:space="preserve">GUY</t>
  </si>
  <si>
    <t xml:space="preserve">HTI</t>
  </si>
  <si>
    <t xml:space="preserve">HND</t>
  </si>
  <si>
    <t xml:space="preserve">HKG</t>
  </si>
  <si>
    <t xml:space="preserve">HUN</t>
  </si>
  <si>
    <t xml:space="preserve">ISL</t>
  </si>
  <si>
    <t xml:space="preserve">IND</t>
  </si>
  <si>
    <t xml:space="preserve">IDN</t>
  </si>
  <si>
    <t xml:space="preserve">IRN</t>
  </si>
  <si>
    <t xml:space="preserve">IRQ</t>
  </si>
  <si>
    <t xml:space="preserve">IRL</t>
  </si>
  <si>
    <t xml:space="preserve">ISR</t>
  </si>
  <si>
    <t xml:space="preserve">ITA</t>
  </si>
  <si>
    <t xml:space="preserve">JAM</t>
  </si>
  <si>
    <t xml:space="preserve">JPN</t>
  </si>
  <si>
    <t xml:space="preserve">JOR</t>
  </si>
  <si>
    <t xml:space="preserve">KAZ</t>
  </si>
  <si>
    <t xml:space="preserve">KEN</t>
  </si>
  <si>
    <t xml:space="preserve">KIR</t>
  </si>
  <si>
    <t xml:space="preserve">KWT</t>
  </si>
  <si>
    <t xml:space="preserve">KGZ</t>
  </si>
  <si>
    <t xml:space="preserve">LAO</t>
  </si>
  <si>
    <t xml:space="preserve">LVA</t>
  </si>
  <si>
    <t xml:space="preserve">LBN</t>
  </si>
  <si>
    <t xml:space="preserve">LSO</t>
  </si>
  <si>
    <t xml:space="preserve">LBR</t>
  </si>
  <si>
    <t xml:space="preserve">LBY</t>
  </si>
  <si>
    <t xml:space="preserve">LTU</t>
  </si>
  <si>
    <t xml:space="preserve">LUX</t>
  </si>
  <si>
    <t xml:space="preserve">MAC</t>
  </si>
  <si>
    <t xml:space="preserve">MDG</t>
  </si>
  <si>
    <t xml:space="preserve">MWI</t>
  </si>
  <si>
    <t xml:space="preserve">MYS</t>
  </si>
  <si>
    <t xml:space="preserve">MDV</t>
  </si>
  <si>
    <t xml:space="preserve">MLI</t>
  </si>
  <si>
    <t xml:space="preserve">MLT</t>
  </si>
  <si>
    <t xml:space="preserve">MTQ</t>
  </si>
  <si>
    <t xml:space="preserve">MRT</t>
  </si>
  <si>
    <t xml:space="preserve">MUS</t>
  </si>
  <si>
    <t xml:space="preserve">MEX</t>
  </si>
  <si>
    <t xml:space="preserve">MDA</t>
  </si>
  <si>
    <t xml:space="preserve">MNG</t>
  </si>
  <si>
    <t xml:space="preserve">MNE</t>
  </si>
  <si>
    <t xml:space="preserve">MSR</t>
  </si>
  <si>
    <t xml:space="preserve">MAR</t>
  </si>
  <si>
    <t xml:space="preserve">MOZ</t>
  </si>
  <si>
    <t xml:space="preserve">MMR</t>
  </si>
  <si>
    <t xml:space="preserve">NAM</t>
  </si>
  <si>
    <t xml:space="preserve">NRU</t>
  </si>
  <si>
    <t xml:space="preserve">NPL</t>
  </si>
  <si>
    <t xml:space="preserve">NLD</t>
  </si>
  <si>
    <t xml:space="preserve">NCL</t>
  </si>
  <si>
    <t xml:space="preserve">NZL</t>
  </si>
  <si>
    <t xml:space="preserve">NIC</t>
  </si>
  <si>
    <t xml:space="preserve">NER</t>
  </si>
  <si>
    <t xml:space="preserve">NGA</t>
  </si>
  <si>
    <t xml:space="preserve">PRK</t>
  </si>
  <si>
    <t xml:space="preserve">MKD</t>
  </si>
  <si>
    <t xml:space="preserve">NOR</t>
  </si>
  <si>
    <t xml:space="preserve">OMN</t>
  </si>
  <si>
    <t xml:space="preserve">PAK</t>
  </si>
  <si>
    <t xml:space="preserve">PSE</t>
  </si>
  <si>
    <t xml:space="preserve">PAN</t>
  </si>
  <si>
    <t xml:space="preserve">PNG</t>
  </si>
  <si>
    <t xml:space="preserve">PRY</t>
  </si>
  <si>
    <t xml:space="preserve">PER</t>
  </si>
  <si>
    <t xml:space="preserve">PHL</t>
  </si>
  <si>
    <t xml:space="preserve">POL</t>
  </si>
  <si>
    <t xml:space="preserve">PRT</t>
  </si>
  <si>
    <t xml:space="preserve">PRI</t>
  </si>
  <si>
    <t xml:space="preserve">QAT</t>
  </si>
  <si>
    <t xml:space="preserve">REU</t>
  </si>
  <si>
    <t xml:space="preserve">ROU</t>
  </si>
  <si>
    <t xml:space="preserve">RUS</t>
  </si>
  <si>
    <t xml:space="preserve">RWA</t>
  </si>
  <si>
    <t xml:space="preserve">SHN</t>
  </si>
  <si>
    <t xml:space="preserve">KNA</t>
  </si>
  <si>
    <t xml:space="preserve">LCA</t>
  </si>
  <si>
    <t xml:space="preserve">SPM</t>
  </si>
  <si>
    <t xml:space="preserve">VCT</t>
  </si>
  <si>
    <t xml:space="preserve">WSM</t>
  </si>
  <si>
    <t xml:space="preserve">STP</t>
  </si>
  <si>
    <t xml:space="preserve">SAU</t>
  </si>
  <si>
    <t xml:space="preserve">SEN</t>
  </si>
  <si>
    <t xml:space="preserve">SRB</t>
  </si>
  <si>
    <t xml:space="preserve">SYC</t>
  </si>
  <si>
    <t xml:space="preserve">SLE</t>
  </si>
  <si>
    <t xml:space="preserve">SGP</t>
  </si>
  <si>
    <t xml:space="preserve">SVK</t>
  </si>
  <si>
    <t xml:space="preserve">SVN</t>
  </si>
  <si>
    <t xml:space="preserve">SLB</t>
  </si>
  <si>
    <t xml:space="preserve">SOM</t>
  </si>
  <si>
    <t xml:space="preserve">ZAF</t>
  </si>
  <si>
    <t xml:space="preserve">KOR</t>
  </si>
  <si>
    <t xml:space="preserve">SSD</t>
  </si>
  <si>
    <t xml:space="preserve">ESP</t>
  </si>
  <si>
    <t xml:space="preserve">LKA</t>
  </si>
  <si>
    <t xml:space="preserve">SDN</t>
  </si>
  <si>
    <t xml:space="preserve">SUR</t>
  </si>
  <si>
    <t xml:space="preserve">SWE</t>
  </si>
  <si>
    <t xml:space="preserve">CHE</t>
  </si>
  <si>
    <t xml:space="preserve">SYR</t>
  </si>
  <si>
    <t xml:space="preserve">TWN</t>
  </si>
  <si>
    <t xml:space="preserve">TJK</t>
  </si>
  <si>
    <t xml:space="preserve">TZA</t>
  </si>
  <si>
    <t xml:space="preserve">THA</t>
  </si>
  <si>
    <t xml:space="preserve">TGO</t>
  </si>
  <si>
    <t xml:space="preserve">TON</t>
  </si>
  <si>
    <t xml:space="preserve">TTO</t>
  </si>
  <si>
    <t xml:space="preserve">TUN</t>
  </si>
  <si>
    <t xml:space="preserve">TUR</t>
  </si>
  <si>
    <t xml:space="preserve">TKM</t>
  </si>
  <si>
    <t xml:space="preserve">TCA</t>
  </si>
  <si>
    <t xml:space="preserve">UGA</t>
  </si>
  <si>
    <t xml:space="preserve">UKR</t>
  </si>
  <si>
    <t xml:space="preserve">ARE</t>
  </si>
  <si>
    <t xml:space="preserve">GBR</t>
  </si>
  <si>
    <t xml:space="preserve">USA</t>
  </si>
  <si>
    <t xml:space="preserve">VIR</t>
  </si>
  <si>
    <t xml:space="preserve">URY</t>
  </si>
  <si>
    <t xml:space="preserve">UZB</t>
  </si>
  <si>
    <t xml:space="preserve">VUT</t>
  </si>
  <si>
    <t xml:space="preserve">VEN</t>
  </si>
  <si>
    <t xml:space="preserve">VNM</t>
  </si>
  <si>
    <t xml:space="preserve">YEM</t>
  </si>
  <si>
    <t xml:space="preserve">ZMB</t>
  </si>
  <si>
    <t xml:space="preserve">ZWE</t>
  </si>
  <si>
    <t xml:space="preserve">country</t>
  </si>
  <si>
    <t xml:space="preserve">iso_code</t>
  </si>
  <si>
    <t xml:space="preserve">year</t>
  </si>
  <si>
    <t xml:space="preserve">population</t>
  </si>
  <si>
    <t xml:space="preserve">electricity_generation</t>
  </si>
  <si>
    <t xml:space="preserve">coal_electricity</t>
  </si>
  <si>
    <t xml:space="preserve">gas_electricity</t>
  </si>
  <si>
    <t xml:space="preserve">oil_electricity</t>
  </si>
  <si>
    <t xml:space="preserve">nuclear_electricity</t>
  </si>
  <si>
    <t xml:space="preserve">hydro_electricity</t>
  </si>
  <si>
    <t xml:space="preserve">solar_electricity</t>
  </si>
  <si>
    <t xml:space="preserve">wind_electricity</t>
  </si>
  <si>
    <t xml:space="preserve">biofuel_electricity</t>
  </si>
  <si>
    <t xml:space="preserve">other_renewable_exc_biofuel_electricity</t>
  </si>
  <si>
    <t xml:space="preserve">carbon_intensity_elec</t>
  </si>
  <si>
    <t xml:space="preserve">ASEAN (Ember)</t>
  </si>
  <si>
    <t xml:space="preserve">Africa</t>
  </si>
  <si>
    <t xml:space="preserve">Africa (EI)</t>
  </si>
  <si>
    <t xml:space="preserve">Africa (EIA)</t>
  </si>
  <si>
    <t xml:space="preserve">Africa (Ember)</t>
  </si>
  <si>
    <t xml:space="preserve">Africa (Shift)</t>
  </si>
  <si>
    <t xml:space="preserve">Antarctica</t>
  </si>
  <si>
    <t xml:space="preserve">ATA</t>
  </si>
  <si>
    <t xml:space="preserve">Asia</t>
  </si>
  <si>
    <t xml:space="preserve">Asia (Ember)</t>
  </si>
  <si>
    <t xml:space="preserve">Asia Pacific (EI)</t>
  </si>
  <si>
    <t xml:space="preserve">Asia and Oceania (EIA)</t>
  </si>
  <si>
    <t xml:space="preserve">Asia and Oceania (Shift)</t>
  </si>
  <si>
    <t xml:space="preserve">Australia and New Zealand (EIA)</t>
  </si>
  <si>
    <t xml:space="preserve">CIS (EI)</t>
  </si>
  <si>
    <t xml:space="preserve">Central America (EI)</t>
  </si>
  <si>
    <t xml:space="preserve">Central and South America (EIA)</t>
  </si>
  <si>
    <t xml:space="preserve">Central and South America (Shift)</t>
  </si>
  <si>
    <t xml:space="preserve">Curacao</t>
  </si>
  <si>
    <t xml:space="preserve">CUW</t>
  </si>
  <si>
    <t xml:space="preserve">EU (Ember)</t>
  </si>
  <si>
    <t xml:space="preserve">EU28 (Shift)</t>
  </si>
  <si>
    <t xml:space="preserve">Eastern Africa (EI)</t>
  </si>
  <si>
    <t xml:space="preserve">Eastern Europe and Eurasia (EIA)</t>
  </si>
  <si>
    <t xml:space="preserve">Eurasia (EIA)</t>
  </si>
  <si>
    <t xml:space="preserve">Eurasia (Shift)</t>
  </si>
  <si>
    <t xml:space="preserve">Europe</t>
  </si>
  <si>
    <t xml:space="preserve">Europe (EI)</t>
  </si>
  <si>
    <t xml:space="preserve">Europe (EIA)</t>
  </si>
  <si>
    <t xml:space="preserve">Europe (Ember)</t>
  </si>
  <si>
    <t xml:space="preserve">Europe (Shift)</t>
  </si>
  <si>
    <t xml:space="preserve">European Union (27)</t>
  </si>
  <si>
    <t xml:space="preserve">G20 (Ember)</t>
  </si>
  <si>
    <t xml:space="preserve">G7 (Ember)</t>
  </si>
  <si>
    <t xml:space="preserve">High-income countries</t>
  </si>
  <si>
    <t xml:space="preserve">Kosovo</t>
  </si>
  <si>
    <t xml:space="preserve">Latin America and Caribbean (Ember)</t>
  </si>
  <si>
    <t xml:space="preserve">Low-income countries</t>
  </si>
  <si>
    <t xml:space="preserve">Lower-middle-income countries</t>
  </si>
  <si>
    <t xml:space="preserve">Micronesia (country)</t>
  </si>
  <si>
    <t xml:space="preserve">FSM</t>
  </si>
  <si>
    <t xml:space="preserve">Middle Africa (EI)</t>
  </si>
  <si>
    <t xml:space="preserve">Middle East (EI)</t>
  </si>
  <si>
    <t xml:space="preserve">Middle East (EIA)</t>
  </si>
  <si>
    <t xml:space="preserve">Middle East (Ember)</t>
  </si>
  <si>
    <t xml:space="preserve">Middle East (Shift)</t>
  </si>
  <si>
    <t xml:space="preserve">Netherlands Antilles</t>
  </si>
  <si>
    <t xml:space="preserve">ANT</t>
  </si>
  <si>
    <t xml:space="preserve">Niue</t>
  </si>
  <si>
    <t xml:space="preserve">NIU</t>
  </si>
  <si>
    <t xml:space="preserve">Non-OECD (EI)</t>
  </si>
  <si>
    <t xml:space="preserve">Non-OECD (EIA)</t>
  </si>
  <si>
    <t xml:space="preserve">Non-OPEC (EI)</t>
  </si>
  <si>
    <t xml:space="preserve">Non-OPEC (EIA)</t>
  </si>
  <si>
    <t xml:space="preserve">North America</t>
  </si>
  <si>
    <t xml:space="preserve">North America (EI)</t>
  </si>
  <si>
    <t xml:space="preserve">North America (Ember)</t>
  </si>
  <si>
    <t xml:space="preserve">North America (Shift)</t>
  </si>
  <si>
    <t xml:space="preserve">Northern Mariana Islands</t>
  </si>
  <si>
    <t xml:space="preserve">MNP</t>
  </si>
  <si>
    <t xml:space="preserve">OECD (EI)</t>
  </si>
  <si>
    <t xml:space="preserve">OECD (EIA)</t>
  </si>
  <si>
    <t xml:space="preserve">OECD (Ember)</t>
  </si>
  <si>
    <t xml:space="preserve">OECD (Shift)</t>
  </si>
  <si>
    <t xml:space="preserve">OPEC (EI)</t>
  </si>
  <si>
    <t xml:space="preserve">OPEC (EIA)</t>
  </si>
  <si>
    <t xml:space="preserve">OPEC (Shift)</t>
  </si>
  <si>
    <t xml:space="preserve">Oceania</t>
  </si>
  <si>
    <t xml:space="preserve">Oceania (Ember)</t>
  </si>
  <si>
    <t xml:space="preserve">Other Africa (EI)</t>
  </si>
  <si>
    <t xml:space="preserve">Other Americas (EIA)</t>
  </si>
  <si>
    <t xml:space="preserve">Other Asia Pacific (EI)</t>
  </si>
  <si>
    <t xml:space="preserve">Other Asia-Pacific (EIA)</t>
  </si>
  <si>
    <t xml:space="preserve">Other CIS (EI)</t>
  </si>
  <si>
    <t xml:space="preserve">Other Caribbean (EI)</t>
  </si>
  <si>
    <t xml:space="preserve">Other Eastern Africa (EI)</t>
  </si>
  <si>
    <t xml:space="preserve">Other Europe (EI)</t>
  </si>
  <si>
    <t xml:space="preserve">Other Middle Africa (EI)</t>
  </si>
  <si>
    <t xml:space="preserve">Other Middle East (EI)</t>
  </si>
  <si>
    <t xml:space="preserve">Other North America (EI)</t>
  </si>
  <si>
    <t xml:space="preserve">Other Northern Africa (EI)</t>
  </si>
  <si>
    <t xml:space="preserve">Other South America (EI)</t>
  </si>
  <si>
    <t xml:space="preserve">Other South and Central America (EI)</t>
  </si>
  <si>
    <t xml:space="preserve">Other Southern Africa (EI)</t>
  </si>
  <si>
    <t xml:space="preserve">Other Western Africa (EI)</t>
  </si>
  <si>
    <t xml:space="preserve">Persian Gulf (EIA)</t>
  </si>
  <si>
    <t xml:space="preserve">Persian Gulf (Shift)</t>
  </si>
  <si>
    <t xml:space="preserve">Rest of World (EI)</t>
  </si>
  <si>
    <t xml:space="preserve">South America</t>
  </si>
  <si>
    <t xml:space="preserve">South and Central America (EI)</t>
  </si>
  <si>
    <t xml:space="preserve">Tuvalu</t>
  </si>
  <si>
    <t xml:space="preserve">TUV</t>
  </si>
  <si>
    <t xml:space="preserve">U.S. Pacific Islands (EIA)</t>
  </si>
  <si>
    <t xml:space="preserve">U.S. Territories (EIA)</t>
  </si>
  <si>
    <t xml:space="preserve">United States Pacific Islands (Shift)</t>
  </si>
  <si>
    <t xml:space="preserve">United States Territories (Shift)</t>
  </si>
  <si>
    <t xml:space="preserve">Upper-middle-income countries</t>
  </si>
  <si>
    <t xml:space="preserve">Wake Island (EIA)</t>
  </si>
  <si>
    <t xml:space="preserve">Wake Island (Shift)</t>
  </si>
  <si>
    <t xml:space="preserve">Western Africa (EI)</t>
  </si>
  <si>
    <t xml:space="preserve">Western Europe (EIA)</t>
  </si>
  <si>
    <t xml:space="preserve">Western Sahara</t>
  </si>
  <si>
    <t xml:space="preserve">ESH</t>
  </si>
  <si>
    <t xml:space="preserve">Data Cleaning Log</t>
  </si>
  <si>
    <t xml:space="preserve">Every transformation from Raw_Data to Clean_Data, in order.</t>
  </si>
  <si>
    <t xml:space="preserve">Step</t>
  </si>
  <si>
    <t xml:space="preserve">Action</t>
  </si>
  <si>
    <t xml:space="preserve">Rule / reason</t>
  </si>
  <si>
    <t xml:space="preserve">Rows affected</t>
  </si>
  <si>
    <t xml:space="preserve">Rows remaining</t>
  </si>
  <si>
    <t xml:space="preserve">Extract</t>
  </si>
  <si>
    <t xml:space="preserve">Kept years 2015–2025 and 16 relevant columns of 130</t>
  </si>
  <si>
    <t xml:space="preserve">Focus on the last decade of the electricity mix</t>
  </si>
  <si>
    <t xml:space="preserve">-</t>
  </si>
  <si>
    <t xml:space="preserve">Remove aggregates</t>
  </si>
  <si>
    <t xml:space="preserve">Dropped regions, income groups and continents (no ISO code or OWID_ codes); kept "World" separately</t>
  </si>
  <si>
    <t xml:space="preserve">Aggregates would double-count countries (87 aggregate entities)</t>
  </si>
  <si>
    <t xml:space="preserve">Remove empty rows</t>
  </si>
  <si>
    <t xml:space="preserve">Dropped country-years with no total electricity generation</t>
  </si>
  <si>
    <t xml:space="preserve">Cannot compute shares without a total</t>
  </si>
  <si>
    <t xml:space="preserve">Remove zero totals</t>
  </si>
  <si>
    <t xml:space="preserve">Dropped country-years reporting exactly 0 TWh total generation (Lesotho, Niue)</t>
  </si>
  <si>
    <t xml:space="preserve">Found by the Mix_Check validation on a first pass: a 0 total is a reporting gap, not a real value, and breaks share calculations</t>
  </si>
  <si>
    <t xml:space="preserve">Fill missing sources</t>
  </si>
  <si>
    <t xml:space="preserve">Blank source values set to 0 when total generation is present; count stored in Fields_Filled</t>
  </si>
  <si>
    <t xml:space="preserve">Source fields blank = source not used; verified because sum of sources equals the total for every row (Mix_Check = 100%)</t>
  </si>
  <si>
    <t xml:space="preserve">507 cells in 308 rows</t>
  </si>
  <si>
    <t xml:space="preserve">Standardise</t>
  </si>
  <si>
    <t xml:space="preserve">Renamed columns to readable names with units; trimmed text; integer years</t>
  </si>
  <si>
    <t xml:space="preserve">Readability and consistent lookups</t>
  </si>
  <si>
    <t xml:space="preserve">all</t>
  </si>
  <si>
    <t xml:space="preserve">Add flags</t>
  </si>
  <si>
    <t xml:space="preserve">Entity_Type = Country / World</t>
  </si>
  <si>
    <t xml:space="preserve">Lets formulas include or exclude the World total</t>
  </si>
  <si>
    <t xml:space="preserve">Derive metrics</t>
  </si>
  <si>
    <t xml:space="preserve">Fossil, Renewable, Solar+Wind, Low-carbon totals; shares; kWh per person; Key = Country|Year</t>
  </si>
  <si>
    <t xml:space="preserve">Calculated with formulas so they stay live</t>
  </si>
  <si>
    <t xml:space="preserve">Validate</t>
  </si>
  <si>
    <t xml:space="preserve">Mix_Check = (fossil + renewable + nuclear) ÷ total; highlighted if outside 99–101%</t>
  </si>
  <si>
    <t xml:space="preserve">Catches any source/total mismatch</t>
  </si>
  <si>
    <t xml:space="preserve">0 failures</t>
  </si>
  <si>
    <t xml:space="preserve">Known gaps</t>
  </si>
  <si>
    <t xml:space="preserve">Carbon intensity blank for 0 rows; 2025 has fewer reporting countries</t>
  </si>
  <si>
    <t xml:space="preserve">Left blank (not imputed) and documented</t>
  </si>
  <si>
    <t xml:space="preserve">Live check: rows failing Mix_Check</t>
  </si>
  <si>
    <t xml:space="preserve">Live check: clean rows</t>
  </si>
  <si>
    <t xml:space="preserve">Data Dictionary – Clean_Data</t>
  </si>
  <si>
    <t xml:space="preserve">Column</t>
  </si>
  <si>
    <t xml:space="preserve">Description</t>
  </si>
  <si>
    <t xml:space="preserve">Unit</t>
  </si>
  <si>
    <t xml:space="preserve">Origin</t>
  </si>
  <si>
    <t xml:space="preserve">Country name (or "World")</t>
  </si>
  <si>
    <t xml:space="preserve">text</t>
  </si>
  <si>
    <t xml:space="preserve">OWID: country</t>
  </si>
  <si>
    <t xml:space="preserve">ISO 3166-1 alpha-3 code</t>
  </si>
  <si>
    <t xml:space="preserve">OWID: iso_code</t>
  </si>
  <si>
    <t xml:space="preserve">Country or World</t>
  </si>
  <si>
    <t xml:space="preserve">Derived</t>
  </si>
  <si>
    <t xml:space="preserve">Calendar year</t>
  </si>
  <si>
    <t xml:space="preserve">OWID: year</t>
  </si>
  <si>
    <t xml:space="preserve">people</t>
  </si>
  <si>
    <t xml:space="preserve">OWID: population</t>
  </si>
  <si>
    <t xml:space="preserve">Total electricity generation</t>
  </si>
  <si>
    <t xml:space="preserve">TWh</t>
  </si>
  <si>
    <t xml:space="preserve">OWID: electricity_generation</t>
  </si>
  <si>
    <t xml:space="preserve">Coal_TWh … Wind_TWh</t>
  </si>
  <si>
    <t xml:space="preserve">Generation by source: coal, gas, oil, nuclear, hydro, solar, wind</t>
  </si>
  <si>
    <t xml:space="preserve">OWID: &lt;source&gt;_electricity</t>
  </si>
  <si>
    <t xml:space="preserve">Generation from biomass and biofuels</t>
  </si>
  <si>
    <t xml:space="preserve">OWID: biofuel_electricity</t>
  </si>
  <si>
    <t xml:space="preserve">Geothermal, tidal, wave and other renewables</t>
  </si>
  <si>
    <t xml:space="preserve">OWID: other_renewable_exc_biofuel_electricity</t>
  </si>
  <si>
    <t xml:space="preserve">CO2 emitted per kWh generated</t>
  </si>
  <si>
    <t xml:space="preserve">gCO2/kWh</t>
  </si>
  <si>
    <t xml:space="preserve">OWID: carbon_intensity_elec</t>
  </si>
  <si>
    <t xml:space="preserve">Number of blank source fields set to 0 during cleaning</t>
  </si>
  <si>
    <t xml:space="preserve">count</t>
  </si>
  <si>
    <t xml:space="preserve">Cleaning step 4</t>
  </si>
  <si>
    <t xml:space="preserve">Coal + Gas + Oil</t>
  </si>
  <si>
    <t xml:space="preserve">Formula</t>
  </si>
  <si>
    <t xml:space="preserve">Hydro + Solar + Wind + Bioenergy + Other RE</t>
  </si>
  <si>
    <t xml:space="preserve">Solar + Wind</t>
  </si>
  <si>
    <t xml:space="preserve">Renewable + Nuclear</t>
  </si>
  <si>
    <t xml:space="preserve">Renewable_Share / Fossil_Share / Solar_Wind_Share / Coal_Share</t>
  </si>
  <si>
    <t xml:space="preserve">Category ÷ Total_Gen_TWh</t>
  </si>
  <si>
    <t xml:space="preserve">%</t>
  </si>
  <si>
    <t xml:space="preserve">Total generation × 10^9 ÷ population</t>
  </si>
  <si>
    <t xml:space="preserve">kWh</t>
  </si>
  <si>
    <t xml:space="preserve">(Fossil + Renewable + Nuclear) ÷ Total – should be 100%</t>
  </si>
  <si>
    <t xml:space="preserve">Formula (validation)</t>
  </si>
  <si>
    <t xml:space="preserve">Country|Year lookup key used by SUMIFS/COUNTIFS</t>
  </si>
  <si>
    <t xml:space="preserve">pp</t>
  </si>
  <si>
    <t xml:space="preserve">Percentage points – the arithmetic difference between two percentages (e.g. 20% → 25% = +5 pp)</t>
  </si>
  <si>
    <t xml:space="preserve">Convention</t>
  </si>
  <si>
    <t xml:space="preserve">CAGR</t>
  </si>
  <si>
    <t xml:space="preserve">Compound annual growth rate = (End ÷ Start)^(1 ÷ years) − 1</t>
  </si>
</sst>
</file>

<file path=xl/styles.xml><?xml version="1.0" encoding="utf-8"?>
<styleSheet xmlns="http://schemas.openxmlformats.org/spreadsheetml/2006/main">
  <numFmts count="17">
    <numFmt numFmtId="164" formatCode="General"/>
    <numFmt numFmtId="165" formatCode="0.0%"/>
    <numFmt numFmtId="166" formatCode="0.0\x"/>
    <numFmt numFmtId="167" formatCode="0"/>
    <numFmt numFmtId="168" formatCode="0%"/>
    <numFmt numFmtId="169" formatCode="0.0"/>
    <numFmt numFmtId="170" formatCode="General"/>
    <numFmt numFmtId="171" formatCode="\+0.0;\-0.0"/>
    <numFmt numFmtId="172" formatCode="@"/>
    <numFmt numFmtId="173" formatCode="#,##0.0"/>
    <numFmt numFmtId="174" formatCode="#,##0"/>
    <numFmt numFmtId="175" formatCode="\+#,##0;\-#,##0"/>
    <numFmt numFmtId="176" formatCode="\+0.0&quot; pp&quot;;\-0.0&quot; pp&quot;"/>
    <numFmt numFmtId="177" formatCode="\+0.0;\-0.0;0.0"/>
    <numFmt numFmtId="178" formatCode="\+0.0"/>
    <numFmt numFmtId="179" formatCode="0.000"/>
    <numFmt numFmtId="180" formatCode="#,##0.00"/>
  </numFmts>
  <fonts count="3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8"/>
      <color rgb="FFFFFFFF"/>
      <name val="Arial"/>
      <family val="0"/>
      <charset val="1"/>
    </font>
    <font>
      <i val="true"/>
      <sz val="9"/>
      <color rgb="FF595959"/>
      <name val="Arial"/>
      <family val="0"/>
      <charset val="1"/>
    </font>
    <font>
      <b val="true"/>
      <sz val="9"/>
      <color rgb="FF595959"/>
      <name val="Arial"/>
      <family val="0"/>
      <charset val="1"/>
    </font>
    <font>
      <b val="true"/>
      <sz val="20"/>
      <color rgb="FF1F3864"/>
      <name val="Arial"/>
      <family val="0"/>
      <charset val="1"/>
    </font>
    <font>
      <sz val="8"/>
      <color rgb="FF0F766E"/>
      <name val="Arial"/>
      <family val="0"/>
      <charset val="1"/>
    </font>
    <font>
      <i val="true"/>
      <sz val="8"/>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sz val="10"/>
      <color rgb="FF0000FF"/>
      <name val="Arial"/>
      <family val="0"/>
      <charset val="1"/>
    </font>
    <font>
      <b val="true"/>
      <sz val="11"/>
      <color rgb="FF1F3864"/>
      <name val="Arial"/>
      <family val="0"/>
      <charset val="1"/>
    </font>
    <font>
      <b val="true"/>
      <sz val="12"/>
      <name val="Arial"/>
      <family val="0"/>
      <charset val="1"/>
    </font>
    <font>
      <b val="true"/>
      <sz val="12"/>
      <color rgb="FF0000FF"/>
      <name val="Arial"/>
      <family val="0"/>
      <charset val="1"/>
    </font>
    <font>
      <sz val="9"/>
      <color rgb="FF595959"/>
      <name val="Arial"/>
      <family val="0"/>
      <charset val="1"/>
    </font>
    <font>
      <b val="true"/>
      <sz val="13"/>
      <color rgb="FF0F766E"/>
      <name val="Arial"/>
      <family val="0"/>
      <charset val="1"/>
    </font>
    <font>
      <b val="true"/>
      <sz val="12"/>
      <color rgb="FF1F3864"/>
      <name val="Arial"/>
      <family val="0"/>
      <charset val="1"/>
    </font>
    <font>
      <b val="true"/>
      <sz val="11"/>
      <color rgb="FF0F766E"/>
      <name val="Arial"/>
      <family val="0"/>
      <charset val="1"/>
    </font>
    <font>
      <b val="true"/>
      <sz val="10"/>
      <color rgb="FF0F766E"/>
      <name val="Arial"/>
      <family val="0"/>
      <charset val="1"/>
    </font>
    <font>
      <sz val="10"/>
      <color rgb="FF000000"/>
      <name val="Arial"/>
      <family val="0"/>
      <charset val="1"/>
    </font>
    <font>
      <sz val="10"/>
      <color rgb="FF808080"/>
      <name val="Arial"/>
      <family val="0"/>
      <charset val="1"/>
    </font>
    <font>
      <sz val="10"/>
      <name val="Arial"/>
      <family val="2"/>
    </font>
  </fonts>
  <fills count="7">
    <fill>
      <patternFill patternType="none"/>
    </fill>
    <fill>
      <patternFill patternType="gray125"/>
    </fill>
    <fill>
      <patternFill patternType="solid">
        <fgColor rgb="FF0F766E"/>
        <bgColor rgb="FF008080"/>
      </patternFill>
    </fill>
    <fill>
      <patternFill patternType="solid">
        <fgColor rgb="FF1F3864"/>
        <bgColor rgb="FF404040"/>
      </patternFill>
    </fill>
    <fill>
      <patternFill patternType="solid">
        <fgColor rgb="FFE8F1F8"/>
        <bgColor rgb="FFFFFFFF"/>
      </patternFill>
    </fill>
    <fill>
      <patternFill patternType="solid">
        <fgColor rgb="FFFFF2CC"/>
        <bgColor rgb="FFE8F1F8"/>
      </patternFill>
    </fill>
    <fill>
      <patternFill patternType="solid">
        <fgColor rgb="FF7F7F7F"/>
        <bgColor rgb="FF808080"/>
      </patternFill>
    </fill>
  </fills>
  <borders count="3">
    <border diagonalUp="false" diagonalDown="false">
      <left/>
      <right/>
      <top/>
      <bottom/>
      <diagonal/>
    </border>
    <border diagonalUp="false" diagonalDown="false">
      <left style="thick">
        <color rgb="FFFFFFFF"/>
      </left>
      <right style="thick">
        <color rgb="FFFFFFFF"/>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8" fillId="3"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9" fillId="5" borderId="2" xfId="0" applyFont="true" applyBorder="true" applyAlignment="true" applyProtection="false">
      <alignment horizontal="center" vertical="center" textRotation="0" wrapText="true" indent="0" shrinkToFit="false"/>
      <protection locked="true" hidden="false"/>
    </xf>
    <xf numFmtId="168" fontId="19" fillId="5" borderId="2"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5"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center" vertical="center" textRotation="0" wrapText="true" indent="0" shrinkToFit="false"/>
      <protection locked="true" hidden="false"/>
    </xf>
    <xf numFmtId="165" fontId="24" fillId="0" borderId="0" xfId="0" applyFont="true" applyBorder="true" applyAlignment="true" applyProtection="false">
      <alignment horizontal="center" vertical="center" textRotation="0" wrapText="true" indent="0" shrinkToFit="false"/>
      <protection locked="true" hidden="false"/>
    </xf>
    <xf numFmtId="171" fontId="24" fillId="0" borderId="0" xfId="0" applyFont="true" applyBorder="true" applyAlignment="true" applyProtection="false">
      <alignment horizontal="center" vertical="center" textRotation="0" wrapText="true" indent="0" shrinkToFit="false"/>
      <protection locked="true" hidden="false"/>
    </xf>
    <xf numFmtId="166" fontId="24" fillId="0" borderId="0" xfId="0" applyFont="true" applyBorder="true" applyAlignment="true" applyProtection="false">
      <alignment horizontal="center" vertical="center" textRotation="0" wrapText="true" indent="0" shrinkToFit="false"/>
      <protection locked="true" hidden="false"/>
    </xf>
    <xf numFmtId="172" fontId="24" fillId="0" borderId="0" xfId="0" applyFont="true" applyBorder="true" applyAlignment="true" applyProtection="false">
      <alignment horizontal="center" vertical="center" textRotation="0" wrapText="true" indent="0" shrinkToFit="false"/>
      <protection locked="true" hidden="false"/>
    </xf>
    <xf numFmtId="173" fontId="8" fillId="0" borderId="2" xfId="0" applyFont="true" applyBorder="true" applyAlignment="true" applyProtection="false">
      <alignment horizontal="center"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74" fontId="8" fillId="0" borderId="2" xfId="0" applyFont="true" applyBorder="true" applyAlignment="false" applyProtection="false">
      <alignment horizontal="general" vertical="bottom" textRotation="0" wrapText="false" indent="0" shrinkToFit="false"/>
      <protection locked="true" hidden="false"/>
    </xf>
    <xf numFmtId="174" fontId="8" fillId="0" borderId="2" xfId="0" applyFont="true" applyBorder="tru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75" fontId="7" fillId="4" borderId="0" xfId="0" applyFont="true" applyBorder="false" applyAlignment="false" applyProtection="false">
      <alignment horizontal="general" vertical="bottom" textRotation="0" wrapText="false" indent="0" shrinkToFit="false"/>
      <protection locked="true" hidden="false"/>
    </xf>
    <xf numFmtId="176" fontId="7" fillId="4"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77" fontId="8" fillId="0" borderId="2" xfId="0" applyFont="true" applyBorder="true" applyAlignment="false" applyProtection="false">
      <alignment horizontal="general" vertical="bottom" textRotation="0" wrapText="false" indent="0" shrinkToFit="false"/>
      <protection locked="true" hidden="false"/>
    </xf>
    <xf numFmtId="178" fontId="8"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5" fontId="26" fillId="0" borderId="2" xfId="0" applyFont="true" applyBorder="true" applyAlignment="true" applyProtection="false">
      <alignment horizontal="center" vertical="center" textRotation="0" wrapText="true" indent="0" shrinkToFit="false"/>
      <protection locked="true" hidden="false"/>
    </xf>
    <xf numFmtId="166" fontId="26" fillId="0" borderId="2" xfId="0" applyFont="true" applyBorder="true" applyAlignment="true" applyProtection="false">
      <alignment horizontal="center" vertical="center" textRotation="0" wrapText="true" indent="0" shrinkToFit="false"/>
      <protection locked="true" hidden="false"/>
    </xf>
    <xf numFmtId="168" fontId="26" fillId="0" borderId="2" xfId="0" applyFont="true" applyBorder="true" applyAlignment="true" applyProtection="false">
      <alignment horizontal="center" vertical="center" textRotation="0" wrapText="true" indent="0" shrinkToFit="false"/>
      <protection locked="true" hidden="false"/>
    </xf>
    <xf numFmtId="167" fontId="26" fillId="0" borderId="2" xfId="0" applyFont="true" applyBorder="true" applyAlignment="true" applyProtection="false">
      <alignment horizontal="center" vertical="center" textRotation="0" wrapText="true" indent="0" shrinkToFit="false"/>
      <protection locked="true" hidden="false"/>
    </xf>
    <xf numFmtId="178" fontId="26" fillId="0" borderId="2"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18" fillId="6" borderId="2"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3" fontId="28" fillId="0"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77" fontId="28" fillId="0" borderId="0" xfId="0" applyFont="true" applyBorder="false" applyAlignment="false" applyProtection="false">
      <alignment horizontal="general" vertical="bottom" textRotation="0" wrapText="false" indent="0" shrinkToFit="false"/>
      <protection locked="true" hidden="false"/>
    </xf>
    <xf numFmtId="167" fontId="28" fillId="0" borderId="0" xfId="0" applyFont="true" applyBorder="false" applyAlignment="false" applyProtection="false">
      <alignment horizontal="general" vertical="bottom" textRotation="0" wrapText="false" indent="0" shrinkToFit="false"/>
      <protection locked="true" hidden="false"/>
    </xf>
    <xf numFmtId="179" fontId="29" fillId="0" borderId="0" xfId="0" applyFont="true" applyBorder="false" applyAlignment="false" applyProtection="false">
      <alignment horizontal="general" vertical="bottom" textRotation="0" wrapText="fals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64BF7C"/>
          <bgColor rgb="FF000000"/>
        </patternFill>
      </fill>
    </dxf>
    <dxf>
      <fill>
        <patternFill patternType="solid">
          <fgColor rgb="FF67C07C"/>
          <bgColor rgb="FF000000"/>
        </patternFill>
      </fill>
    </dxf>
    <dxf>
      <fill>
        <patternFill patternType="solid">
          <fgColor rgb="FF68C07C"/>
          <bgColor rgb="FF000000"/>
        </patternFill>
      </fill>
    </dxf>
    <dxf>
      <fill>
        <patternFill patternType="solid">
          <fgColor rgb="FF6BC17C"/>
          <bgColor rgb="FF000000"/>
        </patternFill>
      </fill>
    </dxf>
    <dxf>
      <fill>
        <patternFill patternType="solid">
          <fgColor rgb="FF6DC17C"/>
          <bgColor rgb="FF000000"/>
        </patternFill>
      </fill>
    </dxf>
    <dxf>
      <fill>
        <patternFill patternType="solid">
          <fgColor rgb="FF6EC17C"/>
          <bgColor rgb="FF000000"/>
        </patternFill>
      </fill>
    </dxf>
    <dxf>
      <fill>
        <patternFill patternType="solid">
          <fgColor rgb="FF71C27C"/>
          <bgColor rgb="FF000000"/>
        </patternFill>
      </fill>
    </dxf>
    <dxf>
      <fill>
        <patternFill patternType="solid">
          <fgColor rgb="FF72C37C"/>
          <bgColor rgb="FF000000"/>
        </patternFill>
      </fill>
    </dxf>
    <dxf>
      <fill>
        <patternFill patternType="solid">
          <fgColor rgb="FF74C37C"/>
          <bgColor rgb="FF000000"/>
        </patternFill>
      </fill>
    </dxf>
    <dxf>
      <fill>
        <patternFill patternType="solid">
          <fgColor rgb="FF7EC67D"/>
          <bgColor rgb="FF000000"/>
        </patternFill>
      </fill>
    </dxf>
    <dxf>
      <fill>
        <patternFill patternType="solid">
          <fgColor rgb="FF7FC67D"/>
          <bgColor rgb="FF000000"/>
        </patternFill>
      </fill>
    </dxf>
    <dxf>
      <fill>
        <patternFill patternType="solid">
          <fgColor rgb="FF80C77D"/>
          <bgColor rgb="FF000000"/>
        </patternFill>
      </fill>
    </dxf>
    <dxf>
      <fill>
        <patternFill patternType="solid">
          <fgColor rgb="FF85C87D"/>
          <bgColor rgb="FF000000"/>
        </patternFill>
      </fill>
    </dxf>
    <dxf>
      <fill>
        <patternFill patternType="solid">
          <fgColor rgb="FF87C97E"/>
          <bgColor rgb="FF000000"/>
        </patternFill>
      </fill>
    </dxf>
    <dxf>
      <fill>
        <patternFill patternType="solid">
          <fgColor rgb="FF8BCA7E"/>
          <bgColor rgb="FF000000"/>
        </patternFill>
      </fill>
    </dxf>
    <dxf>
      <fill>
        <patternFill patternType="solid">
          <fgColor rgb="FF8CCA7E"/>
          <bgColor rgb="FF000000"/>
        </patternFill>
      </fill>
    </dxf>
    <dxf>
      <fill>
        <patternFill patternType="solid">
          <fgColor rgb="FF8ECB7E"/>
          <bgColor rgb="FF000000"/>
        </patternFill>
      </fill>
    </dxf>
    <dxf>
      <fill>
        <patternFill patternType="solid">
          <fgColor rgb="FF8FCB7E"/>
          <bgColor rgb="FF000000"/>
        </patternFill>
      </fill>
    </dxf>
    <dxf>
      <fill>
        <patternFill patternType="solid">
          <fgColor rgb="FF92CC7E"/>
          <bgColor rgb="FF000000"/>
        </patternFill>
      </fill>
    </dxf>
    <dxf>
      <fill>
        <patternFill patternType="solid">
          <fgColor rgb="FF94CD7E"/>
          <bgColor rgb="FF000000"/>
        </patternFill>
      </fill>
    </dxf>
    <dxf>
      <fill>
        <patternFill patternType="solid">
          <fgColor rgb="FF97CD7E"/>
          <bgColor rgb="FF000000"/>
        </patternFill>
      </fill>
    </dxf>
    <dxf>
      <fill>
        <patternFill patternType="solid">
          <fgColor rgb="FFA2D17F"/>
          <bgColor rgb="FF000000"/>
        </patternFill>
      </fill>
    </dxf>
    <dxf>
      <fill>
        <patternFill patternType="solid">
          <fgColor rgb="FFA3D17F"/>
          <bgColor rgb="FF000000"/>
        </patternFill>
      </fill>
    </dxf>
    <dxf>
      <fill>
        <patternFill patternType="solid">
          <fgColor rgb="FFACD380"/>
          <bgColor rgb="FF000000"/>
        </patternFill>
      </fill>
    </dxf>
    <dxf>
      <fill>
        <patternFill patternType="solid">
          <fgColor rgb="FFB0D580"/>
          <bgColor rgb="FF000000"/>
        </patternFill>
      </fill>
    </dxf>
    <dxf>
      <fill>
        <patternFill patternType="solid">
          <fgColor rgb="FFB1D580"/>
          <bgColor rgb="FF000000"/>
        </patternFill>
      </fill>
    </dxf>
    <dxf>
      <fill>
        <patternFill patternType="solid">
          <fgColor rgb="FFB6D680"/>
          <bgColor rgb="FF000000"/>
        </patternFill>
      </fill>
    </dxf>
    <dxf>
      <fill>
        <patternFill patternType="solid">
          <fgColor rgb="FFB7D780"/>
          <bgColor rgb="FF000000"/>
        </patternFill>
      </fill>
    </dxf>
    <dxf>
      <fill>
        <patternFill patternType="solid">
          <fgColor rgb="FFB9D780"/>
          <bgColor rgb="FF000000"/>
        </patternFill>
      </fill>
    </dxf>
    <dxf>
      <fill>
        <patternFill patternType="solid">
          <fgColor rgb="FFC1D981"/>
          <bgColor rgb="FF000000"/>
        </patternFill>
      </fill>
    </dxf>
    <dxf>
      <fill>
        <patternFill patternType="solid">
          <fgColor rgb="FFC3DA81"/>
          <bgColor rgb="FF000000"/>
        </patternFill>
      </fill>
    </dxf>
    <dxf>
      <fill>
        <patternFill patternType="solid">
          <fgColor rgb="FFC6DB81"/>
          <bgColor rgb="FF000000"/>
        </patternFill>
      </fill>
    </dxf>
    <dxf>
      <fill>
        <patternFill patternType="solid">
          <fgColor rgb="FFC7DB81"/>
          <bgColor rgb="FF000000"/>
        </patternFill>
      </fill>
    </dxf>
    <dxf>
      <fill>
        <patternFill patternType="solid">
          <fgColor rgb="FFC9DC81"/>
          <bgColor rgb="FF000000"/>
        </patternFill>
      </fill>
    </dxf>
    <dxf>
      <fill>
        <patternFill patternType="solid">
          <fgColor rgb="FFD3DF82"/>
          <bgColor rgb="FF000000"/>
        </patternFill>
      </fill>
    </dxf>
    <dxf>
      <fill>
        <patternFill patternType="solid">
          <fgColor rgb="FFD5DF82"/>
          <bgColor rgb="FF000000"/>
        </patternFill>
      </fill>
    </dxf>
    <dxf>
      <fill>
        <patternFill patternType="solid">
          <fgColor rgb="FFD6DF82"/>
          <bgColor rgb="FF000000"/>
        </patternFill>
      </fill>
    </dxf>
    <dxf>
      <fill>
        <patternFill patternType="solid">
          <fgColor rgb="FFD9E082"/>
          <bgColor rgb="FF000000"/>
        </patternFill>
      </fill>
    </dxf>
    <dxf>
      <fill>
        <patternFill patternType="solid">
          <fgColor rgb="FFDCE182"/>
          <bgColor rgb="FF000000"/>
        </patternFill>
      </fill>
    </dxf>
    <dxf>
      <fill>
        <patternFill patternType="solid">
          <fgColor rgb="FFE0E283"/>
          <bgColor rgb="FF000000"/>
        </patternFill>
      </fill>
    </dxf>
    <dxf>
      <fill>
        <patternFill patternType="solid">
          <fgColor rgb="FFE2E383"/>
          <bgColor rgb="FF000000"/>
        </patternFill>
      </fill>
    </dxf>
    <dxf>
      <fill>
        <patternFill patternType="solid">
          <fgColor rgb="FFE5E483"/>
          <bgColor rgb="FF000000"/>
        </patternFill>
      </fill>
    </dxf>
    <dxf>
      <fill>
        <patternFill patternType="solid">
          <fgColor rgb="FFE9E583"/>
          <bgColor rgb="FF000000"/>
        </patternFill>
      </fill>
    </dxf>
    <dxf>
      <fill>
        <patternFill patternType="solid">
          <fgColor rgb="FFEDE683"/>
          <bgColor rgb="FF000000"/>
        </patternFill>
      </fill>
    </dxf>
    <dxf>
      <fill>
        <patternFill patternType="solid">
          <fgColor rgb="FFEEE683"/>
          <bgColor rgb="FF000000"/>
        </patternFill>
      </fill>
    </dxf>
    <dxf>
      <fill>
        <patternFill patternType="solid">
          <fgColor rgb="FFEFE784"/>
          <bgColor rgb="FF000000"/>
        </patternFill>
      </fill>
    </dxf>
    <dxf>
      <fill>
        <patternFill patternType="solid">
          <fgColor rgb="FFF2E884"/>
          <bgColor rgb="FF000000"/>
        </patternFill>
      </fill>
    </dxf>
    <dxf>
      <fill>
        <patternFill patternType="solid">
          <fgColor rgb="FFF7E984"/>
          <bgColor rgb="FF000000"/>
        </patternFill>
      </fill>
    </dxf>
    <dxf>
      <fill>
        <patternFill patternType="solid">
          <fgColor rgb="FFF8696B"/>
          <bgColor rgb="FF000000"/>
        </patternFill>
      </fill>
    </dxf>
    <dxf>
      <fill>
        <patternFill patternType="solid">
          <fgColor rgb="FFF86B6B"/>
          <bgColor rgb="FF000000"/>
        </patternFill>
      </fill>
    </dxf>
    <dxf>
      <fill>
        <patternFill patternType="solid">
          <fgColor rgb="FFF86D6B"/>
          <bgColor rgb="FF000000"/>
        </patternFill>
      </fill>
    </dxf>
    <dxf>
      <fill>
        <patternFill patternType="solid">
          <fgColor rgb="FFF86E6C"/>
          <bgColor rgb="FF000000"/>
        </patternFill>
      </fill>
    </dxf>
    <dxf>
      <fill>
        <patternFill patternType="solid">
          <fgColor rgb="FFF86F6C"/>
          <bgColor rgb="FF000000"/>
        </patternFill>
      </fill>
    </dxf>
    <dxf>
      <fill>
        <patternFill patternType="solid">
          <fgColor rgb="FFF8706C"/>
          <bgColor rgb="FF000000"/>
        </patternFill>
      </fill>
    </dxf>
    <dxf>
      <fill>
        <patternFill patternType="solid">
          <fgColor rgb="FFF8716C"/>
          <bgColor rgb="FF000000"/>
        </patternFill>
      </fill>
    </dxf>
    <dxf>
      <fill>
        <patternFill patternType="solid">
          <fgColor rgb="FFF8726C"/>
          <bgColor rgb="FF000000"/>
        </patternFill>
      </fill>
    </dxf>
    <dxf>
      <fill>
        <patternFill patternType="solid">
          <fgColor rgb="FFF8736C"/>
          <bgColor rgb="FF000000"/>
        </patternFill>
      </fill>
    </dxf>
    <dxf>
      <fill>
        <patternFill patternType="solid">
          <fgColor rgb="FFF8736D"/>
          <bgColor rgb="FF000000"/>
        </patternFill>
      </fill>
    </dxf>
    <dxf>
      <fill>
        <patternFill patternType="solid">
          <fgColor rgb="FFF8746D"/>
          <bgColor rgb="FF000000"/>
        </patternFill>
      </fill>
    </dxf>
    <dxf>
      <fill>
        <patternFill patternType="solid">
          <fgColor rgb="FFF8756D"/>
          <bgColor rgb="FF000000"/>
        </patternFill>
      </fill>
    </dxf>
    <dxf>
      <fill>
        <patternFill patternType="solid">
          <fgColor rgb="FFF8766D"/>
          <bgColor rgb="FF000000"/>
        </patternFill>
      </fill>
    </dxf>
    <dxf>
      <fill>
        <patternFill patternType="solid">
          <fgColor rgb="FFF8776D"/>
          <bgColor rgb="FF000000"/>
        </patternFill>
      </fill>
    </dxf>
    <dxf>
      <fill>
        <patternFill patternType="solid">
          <fgColor rgb="FFF8786E"/>
          <bgColor rgb="FF000000"/>
        </patternFill>
      </fill>
    </dxf>
    <dxf>
      <fill>
        <patternFill patternType="solid">
          <fgColor rgb="FFF87B6E"/>
          <bgColor rgb="FF000000"/>
        </patternFill>
      </fill>
    </dxf>
    <dxf>
      <fill>
        <patternFill patternType="solid">
          <fgColor rgb="FFF97E6F"/>
          <bgColor rgb="FF000000"/>
        </patternFill>
      </fill>
    </dxf>
    <dxf>
      <fill>
        <patternFill patternType="solid">
          <fgColor rgb="FFF97F6F"/>
          <bgColor rgb="FF000000"/>
        </patternFill>
      </fill>
    </dxf>
    <dxf>
      <fill>
        <patternFill patternType="solid">
          <fgColor rgb="FFF9806F"/>
          <bgColor rgb="FF000000"/>
        </patternFill>
      </fill>
    </dxf>
    <dxf>
      <fill>
        <patternFill patternType="solid">
          <fgColor rgb="FFF9826F"/>
          <bgColor rgb="FF000000"/>
        </patternFill>
      </fill>
    </dxf>
    <dxf>
      <fill>
        <patternFill patternType="solid">
          <fgColor rgb="FFF98470"/>
          <bgColor rgb="FF000000"/>
        </patternFill>
      </fill>
    </dxf>
    <dxf>
      <fill>
        <patternFill patternType="solid">
          <fgColor rgb="FFF98570"/>
          <bgColor rgb="FF000000"/>
        </patternFill>
      </fill>
    </dxf>
    <dxf>
      <fill>
        <patternFill patternType="solid">
          <fgColor rgb="FFF98670"/>
          <bgColor rgb="FF000000"/>
        </patternFill>
      </fill>
    </dxf>
    <dxf>
      <fill>
        <patternFill patternType="solid">
          <fgColor rgb="FFF98770"/>
          <bgColor rgb="FF000000"/>
        </patternFill>
      </fill>
    </dxf>
    <dxf>
      <fill>
        <patternFill patternType="solid">
          <fgColor rgb="FFF98971"/>
          <bgColor rgb="FF000000"/>
        </patternFill>
      </fill>
    </dxf>
    <dxf>
      <fill>
        <patternFill patternType="solid">
          <fgColor rgb="FFF98B71"/>
          <bgColor rgb="FF000000"/>
        </patternFill>
      </fill>
    </dxf>
    <dxf>
      <fill>
        <patternFill patternType="solid">
          <fgColor rgb="FFF98C71"/>
          <bgColor rgb="FF000000"/>
        </patternFill>
      </fill>
    </dxf>
    <dxf>
      <fill>
        <patternFill patternType="solid">
          <fgColor rgb="FFFA8E72"/>
          <bgColor rgb="FF000000"/>
        </patternFill>
      </fill>
    </dxf>
    <dxf>
      <fill>
        <patternFill patternType="solid">
          <fgColor rgb="FFFA8F72"/>
          <bgColor rgb="FF000000"/>
        </patternFill>
      </fill>
    </dxf>
    <dxf>
      <fill>
        <patternFill patternType="solid">
          <fgColor rgb="FFFA9072"/>
          <bgColor rgb="FF000000"/>
        </patternFill>
      </fill>
    </dxf>
    <dxf>
      <fill>
        <patternFill patternType="solid">
          <fgColor rgb="FFFA9172"/>
          <bgColor rgb="FF000000"/>
        </patternFill>
      </fill>
    </dxf>
    <dxf>
      <fill>
        <patternFill patternType="solid">
          <fgColor rgb="FFFA9272"/>
          <bgColor rgb="FF000000"/>
        </patternFill>
      </fill>
    </dxf>
    <dxf>
      <fill>
        <patternFill patternType="solid">
          <fgColor rgb="FFFA9473"/>
          <bgColor rgb="FF000000"/>
        </patternFill>
      </fill>
    </dxf>
    <dxf>
      <fill>
        <patternFill patternType="solid">
          <fgColor rgb="FFFA9573"/>
          <bgColor rgb="FF000000"/>
        </patternFill>
      </fill>
    </dxf>
    <dxf>
      <fill>
        <patternFill patternType="solid">
          <fgColor rgb="FFFA9773"/>
          <bgColor rgb="FF000000"/>
        </patternFill>
      </fill>
    </dxf>
    <dxf>
      <fill>
        <patternFill patternType="solid">
          <fgColor rgb="FFFA9874"/>
          <bgColor rgb="FF000000"/>
        </patternFill>
      </fill>
    </dxf>
    <dxf>
      <fill>
        <patternFill patternType="solid">
          <fgColor rgb="FFFA9974"/>
          <bgColor rgb="FF000000"/>
        </patternFill>
      </fill>
    </dxf>
    <dxf>
      <fill>
        <patternFill patternType="solid">
          <fgColor rgb="FFFA9A74"/>
          <bgColor rgb="FF000000"/>
        </patternFill>
      </fill>
    </dxf>
    <dxf>
      <fill>
        <patternFill patternType="solid">
          <fgColor rgb="FFFA9B74"/>
          <bgColor rgb="FF000000"/>
        </patternFill>
      </fill>
    </dxf>
    <dxf>
      <fill>
        <patternFill patternType="solid">
          <fgColor rgb="FFFA9C74"/>
          <bgColor rgb="FF000000"/>
        </patternFill>
      </fill>
    </dxf>
    <dxf>
      <fill>
        <patternFill patternType="solid">
          <fgColor rgb="FFFA9C75"/>
          <bgColor rgb="FF000000"/>
        </patternFill>
      </fill>
    </dxf>
    <dxf>
      <fill>
        <patternFill patternType="solid">
          <fgColor rgb="FFFA9D75"/>
          <bgColor rgb="FF000000"/>
        </patternFill>
      </fill>
    </dxf>
    <dxf>
      <fill>
        <patternFill patternType="solid">
          <fgColor rgb="FFFA9E75"/>
          <bgColor rgb="FF000000"/>
        </patternFill>
      </fill>
    </dxf>
    <dxf>
      <fill>
        <patternFill patternType="solid">
          <fgColor rgb="FFFA9F75"/>
          <bgColor rgb="FF000000"/>
        </patternFill>
      </fill>
    </dxf>
    <dxf>
      <fill>
        <patternFill patternType="solid">
          <fgColor rgb="FFFBA476"/>
          <bgColor rgb="FF000000"/>
        </patternFill>
      </fill>
    </dxf>
    <dxf>
      <fill>
        <patternFill patternType="solid">
          <fgColor rgb="FFFBA676"/>
          <bgColor rgb="FF000000"/>
        </patternFill>
      </fill>
    </dxf>
    <dxf>
      <fill>
        <patternFill patternType="solid">
          <fgColor rgb="FFFBA777"/>
          <bgColor rgb="FF000000"/>
        </patternFill>
      </fill>
    </dxf>
    <dxf>
      <fill>
        <patternFill patternType="solid">
          <fgColor rgb="FFFBA877"/>
          <bgColor rgb="FF000000"/>
        </patternFill>
      </fill>
    </dxf>
    <dxf>
      <fill>
        <patternFill patternType="solid">
          <fgColor rgb="FFFBAA77"/>
          <bgColor rgb="FF000000"/>
        </patternFill>
      </fill>
    </dxf>
    <dxf>
      <fill>
        <patternFill patternType="solid">
          <fgColor rgb="FFFBAE78"/>
          <bgColor rgb="FF000000"/>
        </patternFill>
      </fill>
    </dxf>
    <dxf>
      <fill>
        <patternFill patternType="solid">
          <fgColor rgb="FFFBAF78"/>
          <bgColor rgb="FF000000"/>
        </patternFill>
      </fill>
    </dxf>
    <dxf>
      <fill>
        <patternFill patternType="solid">
          <fgColor rgb="FFFCB479"/>
          <bgColor rgb="FF000000"/>
        </patternFill>
      </fill>
    </dxf>
    <dxf>
      <fill>
        <patternFill patternType="solid">
          <fgColor rgb="FFFCB579"/>
          <bgColor rgb="FF000000"/>
        </patternFill>
      </fill>
    </dxf>
    <dxf>
      <fill>
        <patternFill patternType="solid">
          <fgColor rgb="FFFCB679"/>
          <bgColor rgb="FF000000"/>
        </patternFill>
      </fill>
    </dxf>
    <dxf>
      <fill>
        <patternFill patternType="solid">
          <fgColor rgb="FFFCB87A"/>
          <bgColor rgb="FF000000"/>
        </patternFill>
      </fill>
    </dxf>
    <dxf>
      <fill>
        <patternFill patternType="solid">
          <fgColor rgb="FFFCB97A"/>
          <bgColor rgb="FF000000"/>
        </patternFill>
      </fill>
    </dxf>
    <dxf>
      <fill>
        <patternFill patternType="solid">
          <fgColor rgb="FFFCBA7A"/>
          <bgColor rgb="FF000000"/>
        </patternFill>
      </fill>
    </dxf>
    <dxf>
      <fill>
        <patternFill patternType="solid">
          <fgColor rgb="FFFCBB7A"/>
          <bgColor rgb="FF000000"/>
        </patternFill>
      </fill>
    </dxf>
    <dxf>
      <fill>
        <patternFill patternType="solid">
          <fgColor rgb="FFFCBC7B"/>
          <bgColor rgb="FF000000"/>
        </patternFill>
      </fill>
    </dxf>
    <dxf>
      <fill>
        <patternFill patternType="solid">
          <fgColor rgb="FFFCBE7B"/>
          <bgColor rgb="FF000000"/>
        </patternFill>
      </fill>
    </dxf>
    <dxf>
      <fill>
        <patternFill patternType="solid">
          <fgColor rgb="FFFCC07B"/>
          <bgColor rgb="FF000000"/>
        </patternFill>
      </fill>
    </dxf>
    <dxf>
      <fill>
        <patternFill patternType="solid">
          <fgColor rgb="FFFCC17B"/>
          <bgColor rgb="FF000000"/>
        </patternFill>
      </fill>
    </dxf>
    <dxf>
      <fill>
        <patternFill patternType="solid">
          <fgColor rgb="FFFCC27C"/>
          <bgColor rgb="FF000000"/>
        </patternFill>
      </fill>
    </dxf>
    <dxf>
      <fill>
        <patternFill patternType="solid">
          <fgColor rgb="FFFCC37C"/>
          <bgColor rgb="FF000000"/>
        </patternFill>
      </fill>
    </dxf>
    <dxf>
      <fill>
        <patternFill patternType="solid">
          <fgColor rgb="FFFCC47C"/>
          <bgColor rgb="FF000000"/>
        </patternFill>
      </fill>
    </dxf>
    <dxf>
      <fill>
        <patternFill patternType="solid">
          <fgColor rgb="FFFCC57C"/>
          <bgColor rgb="FF000000"/>
        </patternFill>
      </fill>
    </dxf>
    <dxf>
      <fill>
        <patternFill patternType="solid">
          <fgColor rgb="FFFDC77D"/>
          <bgColor rgb="FF000000"/>
        </patternFill>
      </fill>
    </dxf>
    <dxf>
      <fill>
        <patternFill patternType="solid">
          <fgColor rgb="FFFDC97D"/>
          <bgColor rgb="FF000000"/>
        </patternFill>
      </fill>
    </dxf>
    <dxf>
      <fill>
        <patternFill patternType="solid">
          <fgColor rgb="FFFDCF7E"/>
          <bgColor rgb="FF000000"/>
        </patternFill>
      </fill>
    </dxf>
    <dxf>
      <fill>
        <patternFill patternType="solid">
          <fgColor rgb="FFFDD17F"/>
          <bgColor rgb="FF000000"/>
        </patternFill>
      </fill>
    </dxf>
    <dxf>
      <fill>
        <patternFill patternType="solid">
          <fgColor rgb="FFFDD37F"/>
          <bgColor rgb="FF000000"/>
        </patternFill>
      </fill>
    </dxf>
    <dxf>
      <fill>
        <patternFill patternType="solid">
          <fgColor rgb="FFFDD680"/>
          <bgColor rgb="FF000000"/>
        </patternFill>
      </fill>
    </dxf>
    <dxf>
      <fill>
        <patternFill patternType="solid">
          <fgColor rgb="FFFDD780"/>
          <bgColor rgb="FF000000"/>
        </patternFill>
      </fill>
    </dxf>
    <dxf>
      <fill>
        <patternFill patternType="solid">
          <fgColor rgb="FFFDEB84"/>
          <bgColor rgb="FF000000"/>
        </patternFill>
      </fill>
    </dxf>
    <dxf>
      <fill>
        <patternFill patternType="solid">
          <fgColor rgb="FFFEDA80"/>
          <bgColor rgb="FF000000"/>
        </patternFill>
      </fill>
    </dxf>
    <dxf>
      <fill>
        <patternFill patternType="solid">
          <fgColor rgb="FFFEDF81"/>
          <bgColor rgb="FF000000"/>
        </patternFill>
      </fill>
    </dxf>
    <dxf>
      <fill>
        <patternFill patternType="solid">
          <fgColor rgb="FFFEE182"/>
          <bgColor rgb="FF000000"/>
        </patternFill>
      </fill>
    </dxf>
    <dxf>
      <fill>
        <patternFill patternType="solid">
          <fgColor rgb="FFFEE582"/>
          <bgColor rgb="FF000000"/>
        </patternFill>
      </fill>
    </dxf>
    <dxf>
      <fill>
        <patternFill patternType="solid">
          <fgColor rgb="FFFEE883"/>
          <bgColor rgb="FF000000"/>
        </patternFill>
      </fill>
    </dxf>
    <dxf>
      <fill>
        <patternFill patternType="solid">
          <fgColor rgb="FFFEE983"/>
          <bgColor rgb="FF000000"/>
        </patternFill>
      </fill>
    </dxf>
    <dxf>
      <fill>
        <patternFill patternType="solid">
          <fgColor rgb="FFFFEB84"/>
          <bgColor rgb="FF000000"/>
        </patternFill>
      </fill>
    </dxf>
    <dxf>
      <fill>
        <patternFill patternType="solid">
          <fgColor rgb="FFC00000"/>
          <bgColor rgb="FF000000"/>
        </patternFill>
      </fill>
    </dxf>
    <dxf>
      <fill>
        <patternFill patternType="solid">
          <fgColor rgb="FF7F7F7F"/>
          <bgColor rgb="FF000000"/>
        </patternFill>
      </fill>
    </dxf>
    <dxf>
      <fill>
        <patternFill patternType="solid">
          <fgColor rgb="FF808080"/>
          <bgColor rgb="FF000000"/>
        </patternFill>
      </fill>
    </dxf>
    <dxf>
      <font>
        <name val="Arial"/>
        <charset val="1"/>
        <family val="0"/>
        <b val="1"/>
        <color rgb="FFC00000"/>
      </font>
    </dxf>
    <dxf>
      <fill>
        <patternFill patternType="solid">
          <fgColor rgb="FF0F766E"/>
          <bgColor rgb="FF000000"/>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9C755F"/>
      <rgbColor rgb="FF800080"/>
      <rgbColor rgb="FF0F766E"/>
      <rgbColor rgb="FFBFBFBF"/>
      <rgbColor rgb="FF808080"/>
      <rgbColor rgb="FFA6A6A6"/>
      <rgbColor rgb="FF7F7F7F"/>
      <rgbColor rgb="FFFFF2CC"/>
      <rgbColor rgb="FFE8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07AA1"/>
      <rgbColor rgb="FFF8CBAD"/>
      <rgbColor rgb="FF878787"/>
      <rgbColor rgb="FF5B9BD5"/>
      <rgbColor rgb="FFF2B701"/>
      <rgbColor rgb="FFFFC000"/>
      <rgbColor rgb="FFF28E2B"/>
      <rgbColor rgb="FFFF6600"/>
      <rgbColor rgb="FF4E79A7"/>
      <rgbColor rgb="FF8C8C8C"/>
      <rgbColor rgb="FF1F3864"/>
      <rgbColor rgb="FF59A14F"/>
      <rgbColor rgb="FF0033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World electricity by source (TWh)</a:t>
            </a:r>
          </a:p>
        </c:rich>
      </c:tx>
      <c:overlay val="0"/>
      <c:spPr>
        <a:noFill/>
        <a:ln w="0">
          <a:noFill/>
        </a:ln>
      </c:spPr>
    </c:title>
    <c:autoTitleDeleted val="0"/>
    <c:plotArea>
      <c:barChart>
        <c:barDir val="col"/>
        <c:grouping val="stacked"/>
        <c:varyColors val="0"/>
        <c:ser>
          <c:idx val="0"/>
          <c:order val="0"/>
          <c:tx>
            <c:strRef>
              <c:f>Global_Trends!C4</c:f>
              <c:strCache>
                <c:ptCount val="1"/>
                <c:pt idx="0">
                  <c:v>Coal</c:v>
                </c:pt>
              </c:strCache>
            </c:strRef>
          </c:tx>
          <c:spPr>
            <a:solidFill>
              <a:srgbClr val="404040"/>
            </a:solidFill>
            <a:ln w="0">
              <a:solidFill>
                <a:srgbClr val="40404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Global_Trends!$C$5:$C$15</c:f>
              <c:numCache>
                <c:formatCode>#,##0</c:formatCode>
                <c:ptCount val="11"/>
                <c:pt idx="0">
                  <c:v>9283.61</c:v>
                </c:pt>
                <c:pt idx="1">
                  <c:v>9327.96</c:v>
                </c:pt>
                <c:pt idx="2">
                  <c:v>9655.05</c:v>
                </c:pt>
                <c:pt idx="3">
                  <c:v>10033.03</c:v>
                </c:pt>
                <c:pt idx="4">
                  <c:v>9826.39</c:v>
                </c:pt>
                <c:pt idx="5">
                  <c:v>9437.05</c:v>
                </c:pt>
                <c:pt idx="6">
                  <c:v>10156.49</c:v>
                </c:pt>
                <c:pt idx="7">
                  <c:v>10240.44</c:v>
                </c:pt>
                <c:pt idx="8">
                  <c:v>10395.94</c:v>
                </c:pt>
                <c:pt idx="9">
                  <c:v>10538.94</c:v>
                </c:pt>
                <c:pt idx="10">
                  <c:v>10471.53</c:v>
                </c:pt>
              </c:numCache>
            </c:numRef>
          </c:val>
        </c:ser>
        <c:ser>
          <c:idx val="1"/>
          <c:order val="1"/>
          <c:tx>
            <c:strRef>
              <c:f>Global_Trends!D4</c:f>
              <c:strCache>
                <c:ptCount val="1"/>
                <c:pt idx="0">
                  <c:v>Gas</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Global_Trends!$D$5:$D$15</c:f>
              <c:numCache>
                <c:formatCode>#,##0</c:formatCode>
                <c:ptCount val="11"/>
                <c:pt idx="0">
                  <c:v>5539.88</c:v>
                </c:pt>
                <c:pt idx="1">
                  <c:v>5849.92</c:v>
                </c:pt>
                <c:pt idx="2">
                  <c:v>5973.6</c:v>
                </c:pt>
                <c:pt idx="3">
                  <c:v>6224.56</c:v>
                </c:pt>
                <c:pt idx="4">
                  <c:v>6401.31</c:v>
                </c:pt>
                <c:pt idx="5">
                  <c:v>6382.94</c:v>
                </c:pt>
                <c:pt idx="6">
                  <c:v>6556.63</c:v>
                </c:pt>
                <c:pt idx="7">
                  <c:v>6628.27</c:v>
                </c:pt>
                <c:pt idx="8">
                  <c:v>6699.42</c:v>
                </c:pt>
                <c:pt idx="9">
                  <c:v>6882.73</c:v>
                </c:pt>
                <c:pt idx="10">
                  <c:v>6921.14</c:v>
                </c:pt>
              </c:numCache>
            </c:numRef>
          </c:val>
        </c:ser>
        <c:ser>
          <c:idx val="2"/>
          <c:order val="2"/>
          <c:tx>
            <c:strRef>
              <c:f>Global_Trends!E4</c:f>
              <c:strCache>
                <c:ptCount val="1"/>
                <c:pt idx="0">
                  <c:v>Oil</c:v>
                </c:pt>
              </c:strCache>
            </c:strRef>
          </c:tx>
          <c:spPr>
            <a:solidFill>
              <a:srgbClr val="bfbfbf"/>
            </a:solidFill>
            <a:ln w="0">
              <a:solidFill>
                <a:srgbClr val="bfbfb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Global_Trends!$E$5:$E$15</c:f>
              <c:numCache>
                <c:formatCode>#,##0</c:formatCode>
                <c:ptCount val="11"/>
                <c:pt idx="0">
                  <c:v>1133.29</c:v>
                </c:pt>
                <c:pt idx="1">
                  <c:v>1085.11</c:v>
                </c:pt>
                <c:pt idx="2">
                  <c:v>993.83</c:v>
                </c:pt>
                <c:pt idx="3">
                  <c:v>908.6</c:v>
                </c:pt>
                <c:pt idx="4">
                  <c:v>855.03</c:v>
                </c:pt>
                <c:pt idx="5">
                  <c:v>775.88</c:v>
                </c:pt>
                <c:pt idx="6">
                  <c:v>842.25</c:v>
                </c:pt>
                <c:pt idx="7">
                  <c:v>887.42</c:v>
                </c:pt>
                <c:pt idx="8">
                  <c:v>876.79</c:v>
                </c:pt>
                <c:pt idx="9">
                  <c:v>853.84</c:v>
                </c:pt>
                <c:pt idx="10">
                  <c:v>841.62</c:v>
                </c:pt>
              </c:numCache>
            </c:numRef>
          </c:val>
        </c:ser>
        <c:ser>
          <c:idx val="3"/>
          <c:order val="3"/>
          <c:tx>
            <c:strRef>
              <c:f>Global_Trends!F4</c:f>
              <c:strCache>
                <c:ptCount val="1"/>
                <c:pt idx="0">
                  <c:v>Nuclear</c:v>
                </c:pt>
              </c:strCache>
            </c:strRef>
          </c:tx>
          <c:spPr>
            <a:solidFill>
              <a:srgbClr val="b07aa1"/>
            </a:solidFill>
            <a:ln w="0">
              <a:solidFill>
                <a:srgbClr val="b07aa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Global_Trends!$F$5:$F$15</c:f>
              <c:numCache>
                <c:formatCode>#,##0</c:formatCode>
                <c:ptCount val="11"/>
                <c:pt idx="0">
                  <c:v>2532.93</c:v>
                </c:pt>
                <c:pt idx="1">
                  <c:v>2571.05</c:v>
                </c:pt>
                <c:pt idx="2">
                  <c:v>2594.23</c:v>
                </c:pt>
                <c:pt idx="3">
                  <c:v>2658.7</c:v>
                </c:pt>
                <c:pt idx="4">
                  <c:v>2754.08</c:v>
                </c:pt>
                <c:pt idx="5">
                  <c:v>2648.33</c:v>
                </c:pt>
                <c:pt idx="6">
                  <c:v>2762.44</c:v>
                </c:pt>
                <c:pt idx="7">
                  <c:v>2639.64</c:v>
                </c:pt>
                <c:pt idx="8">
                  <c:v>2697.74</c:v>
                </c:pt>
                <c:pt idx="9">
                  <c:v>2777.11</c:v>
                </c:pt>
                <c:pt idx="10">
                  <c:v>2811.57</c:v>
                </c:pt>
              </c:numCache>
            </c:numRef>
          </c:val>
        </c:ser>
        <c:ser>
          <c:idx val="4"/>
          <c:order val="4"/>
          <c:tx>
            <c:strRef>
              <c:f>Global_Trends!G4</c:f>
              <c:strCache>
                <c:ptCount val="1"/>
                <c:pt idx="0">
                  <c:v>Hydro</c:v>
                </c:pt>
              </c:strCache>
            </c:strRef>
          </c:tx>
          <c:spPr>
            <a:solidFill>
              <a:srgbClr val="4e79a7"/>
            </a:solidFill>
            <a:ln w="0">
              <a:solidFill>
                <a:srgbClr val="4e79a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Global_Trends!$G$5:$G$15</c:f>
              <c:numCache>
                <c:formatCode>#,##0</c:formatCode>
                <c:ptCount val="11"/>
                <c:pt idx="0">
                  <c:v>3882.13</c:v>
                </c:pt>
                <c:pt idx="1">
                  <c:v>4014.75</c:v>
                </c:pt>
                <c:pt idx="2">
                  <c:v>4054.03</c:v>
                </c:pt>
                <c:pt idx="3">
                  <c:v>4176.84</c:v>
                </c:pt>
                <c:pt idx="4">
                  <c:v>4227.76</c:v>
                </c:pt>
                <c:pt idx="5">
                  <c:v>4347.02</c:v>
                </c:pt>
                <c:pt idx="6">
                  <c:v>4288.7</c:v>
                </c:pt>
                <c:pt idx="7">
                  <c:v>4324.07</c:v>
                </c:pt>
                <c:pt idx="8">
                  <c:v>4240.11</c:v>
                </c:pt>
                <c:pt idx="9">
                  <c:v>4433.65</c:v>
                </c:pt>
                <c:pt idx="10">
                  <c:v>4434.97</c:v>
                </c:pt>
              </c:numCache>
            </c:numRef>
          </c:val>
        </c:ser>
        <c:ser>
          <c:idx val="5"/>
          <c:order val="5"/>
          <c:tx>
            <c:strRef>
              <c:f>Global_Trends!H4</c:f>
              <c:strCache>
                <c:ptCount val="1"/>
                <c:pt idx="0">
                  <c:v>Solar</c:v>
                </c:pt>
              </c:strCache>
            </c:strRef>
          </c:tx>
          <c:spPr>
            <a:solidFill>
              <a:srgbClr val="f2b701"/>
            </a:solidFill>
            <a:ln w="0">
              <a:solidFill>
                <a:srgbClr val="f2b70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Global_Trends!$H$5:$H$15</c:f>
              <c:numCache>
                <c:formatCode>#,##0</c:formatCode>
                <c:ptCount val="11"/>
                <c:pt idx="0">
                  <c:v>256.01</c:v>
                </c:pt>
                <c:pt idx="1">
                  <c:v>327.47</c:v>
                </c:pt>
                <c:pt idx="2">
                  <c:v>444.65</c:v>
                </c:pt>
                <c:pt idx="3">
                  <c:v>575.16</c:v>
                </c:pt>
                <c:pt idx="4">
                  <c:v>697.94</c:v>
                </c:pt>
                <c:pt idx="5">
                  <c:v>853.39</c:v>
                </c:pt>
                <c:pt idx="6">
                  <c:v>1053.99</c:v>
                </c:pt>
                <c:pt idx="7">
                  <c:v>1333.12</c:v>
                </c:pt>
                <c:pt idx="8">
                  <c:v>1664.14</c:v>
                </c:pt>
                <c:pt idx="9">
                  <c:v>2142.65</c:v>
                </c:pt>
                <c:pt idx="10">
                  <c:v>2778.64</c:v>
                </c:pt>
              </c:numCache>
            </c:numRef>
          </c:val>
        </c:ser>
        <c:ser>
          <c:idx val="6"/>
          <c:order val="6"/>
          <c:tx>
            <c:strRef>
              <c:f>Global_Trends!I4</c:f>
              <c:strCache>
                <c:ptCount val="1"/>
                <c:pt idx="0">
                  <c:v>Wind</c:v>
                </c:pt>
              </c:strCache>
            </c:strRef>
          </c:tx>
          <c:spPr>
            <a:solidFill>
              <a:srgbClr val="59a14f"/>
            </a:solidFill>
            <a:ln w="0">
              <a:solidFill>
                <a:srgbClr val="59a14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Global_Trends!$I$5:$I$15</c:f>
              <c:numCache>
                <c:formatCode>#,##0</c:formatCode>
                <c:ptCount val="11"/>
                <c:pt idx="0">
                  <c:v>829.63</c:v>
                </c:pt>
                <c:pt idx="1">
                  <c:v>960.3</c:v>
                </c:pt>
                <c:pt idx="2">
                  <c:v>1139.44</c:v>
                </c:pt>
                <c:pt idx="3">
                  <c:v>1268.14</c:v>
                </c:pt>
                <c:pt idx="4">
                  <c:v>1420.96</c:v>
                </c:pt>
                <c:pt idx="5">
                  <c:v>1591.47</c:v>
                </c:pt>
                <c:pt idx="6">
                  <c:v>1856.94</c:v>
                </c:pt>
                <c:pt idx="7">
                  <c:v>2107.66</c:v>
                </c:pt>
                <c:pt idx="8">
                  <c:v>2319.18</c:v>
                </c:pt>
                <c:pt idx="9">
                  <c:v>2509.5</c:v>
                </c:pt>
                <c:pt idx="10">
                  <c:v>2713.14</c:v>
                </c:pt>
              </c:numCache>
            </c:numRef>
          </c:val>
        </c:ser>
        <c:ser>
          <c:idx val="7"/>
          <c:order val="7"/>
          <c:tx>
            <c:strRef>
              <c:f>Global_Trends!J4</c:f>
              <c:strCache>
                <c:ptCount val="1"/>
                <c:pt idx="0">
                  <c:v>Bio + Other RE</c:v>
                </c:pt>
              </c:strCache>
            </c:strRef>
          </c:tx>
          <c:spPr>
            <a:solidFill>
              <a:srgbClr val="9c755f"/>
            </a:solidFill>
            <a:ln w="0">
              <a:solidFill>
                <a:srgbClr val="9c75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Global_Trends!$J$5:$J$15</c:f>
              <c:numCache>
                <c:formatCode>#,##0</c:formatCode>
                <c:ptCount val="11"/>
                <c:pt idx="0">
                  <c:v>544.87</c:v>
                </c:pt>
                <c:pt idx="1">
                  <c:v>557.95</c:v>
                </c:pt>
                <c:pt idx="2">
                  <c:v>586.21</c:v>
                </c:pt>
                <c:pt idx="3">
                  <c:v>619.46</c:v>
                </c:pt>
                <c:pt idx="4">
                  <c:v>648.95</c:v>
                </c:pt>
                <c:pt idx="5">
                  <c:v>687.29</c:v>
                </c:pt>
                <c:pt idx="6">
                  <c:v>741.63</c:v>
                </c:pt>
                <c:pt idx="7">
                  <c:v>757.14</c:v>
                </c:pt>
                <c:pt idx="8">
                  <c:v>772.02</c:v>
                </c:pt>
                <c:pt idx="9">
                  <c:v>791.81</c:v>
                </c:pt>
                <c:pt idx="10">
                  <c:v>799.74</c:v>
                </c:pt>
              </c:numCache>
            </c:numRef>
          </c:val>
        </c:ser>
        <c:gapWidth val="40"/>
        <c:overlap val="100"/>
        <c:axId val="77518857"/>
        <c:axId val="64659980"/>
      </c:barChart>
      <c:catAx>
        <c:axId val="775188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659980"/>
        <c:crosses val="autoZero"/>
        <c:auto val="1"/>
        <c:lblAlgn val="ctr"/>
        <c:lblOffset val="100"/>
        <c:noMultiLvlLbl val="0"/>
      </c:catAx>
      <c:valAx>
        <c:axId val="6465998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TWh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51885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Renewable share: India vs World</a:t>
            </a:r>
          </a:p>
        </c:rich>
      </c:tx>
      <c:overlay val="0"/>
      <c:spPr>
        <a:noFill/>
        <a:ln w="0">
          <a:noFill/>
        </a:ln>
      </c:spPr>
    </c:title>
    <c:autoTitleDeleted val="0"/>
    <c:plotArea>
      <c:lineChart>
        <c:grouping val="standard"/>
        <c:varyColors val="0"/>
        <c:ser>
          <c:idx val="0"/>
          <c:order val="0"/>
          <c:tx>
            <c:strRef>
              <c:f>Country_Profile!K6</c:f>
              <c:strCache>
                <c:ptCount val="1"/>
                <c:pt idx="0">
                  <c:v>Renewable Share</c:v>
                </c:pt>
              </c:strCache>
            </c:strRef>
          </c:tx>
          <c:spPr>
            <a:solidFill>
              <a:srgbClr val="f28e2b"/>
            </a:solidFill>
            <a:ln w="29880">
              <a:solidFill>
                <a:srgbClr val="f28e2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Country_Profile!$K$7:$K$17</c:f>
              <c:numCache>
                <c:formatCode>0.0%</c:formatCode>
                <c:ptCount val="11"/>
                <c:pt idx="0">
                  <c:v>0.146250457819558</c:v>
                </c:pt>
                <c:pt idx="1">
                  <c:v>0.14438000473142</c:v>
                </c:pt>
                <c:pt idx="2">
                  <c:v>0.154514185682342</c:v>
                </c:pt>
                <c:pt idx="3">
                  <c:v>0.162937040689721</c:v>
                </c:pt>
                <c:pt idx="4">
                  <c:v>0.176167097652688</c:v>
                </c:pt>
                <c:pt idx="5">
                  <c:v>0.190069270770038</c:v>
                </c:pt>
                <c:pt idx="6">
                  <c:v>0.187911027449485</c:v>
                </c:pt>
                <c:pt idx="7">
                  <c:v>0.20189957941051</c:v>
                </c:pt>
                <c:pt idx="8">
                  <c:v>0.192867494500224</c:v>
                </c:pt>
                <c:pt idx="9">
                  <c:v>0.198078094003496</c:v>
                </c:pt>
                <c:pt idx="10">
                  <c:v>0.240670637970792</c:v>
                </c:pt>
              </c:numCache>
            </c:numRef>
          </c:val>
          <c:smooth val="1"/>
        </c:ser>
        <c:ser>
          <c:idx val="1"/>
          <c:order val="1"/>
          <c:tx>
            <c:strRef>
              <c:f>Country_Profile!N6</c:f>
              <c:strCache>
                <c:ptCount val="1"/>
                <c:pt idx="0">
                  <c:v>World RE Share</c:v>
                </c:pt>
              </c:strCache>
            </c:strRef>
          </c:tx>
          <c:spPr>
            <a:solidFill>
              <a:srgbClr val="4e79a7"/>
            </a:solidFill>
            <a:ln w="29880">
              <a:solidFill>
                <a:srgbClr val="4e79a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Country_Profile!$N$7:$N$17</c:f>
              <c:numCache>
                <c:formatCode>0.0%</c:formatCode>
                <c:ptCount val="11"/>
                <c:pt idx="0">
                  <c:v>0.229670844729787</c:v>
                </c:pt>
                <c:pt idx="1">
                  <c:v>0.237318740076236</c:v>
                </c:pt>
                <c:pt idx="2">
                  <c:v>0.244657067661427</c:v>
                </c:pt>
                <c:pt idx="3">
                  <c:v>0.250887132153312</c:v>
                </c:pt>
                <c:pt idx="4">
                  <c:v>0.26071483675345</c:v>
                </c:pt>
                <c:pt idx="5">
                  <c:v>0.279873768909901</c:v>
                </c:pt>
                <c:pt idx="6">
                  <c:v>0.281016325024143</c:v>
                </c:pt>
                <c:pt idx="7">
                  <c:v>0.29469744544529</c:v>
                </c:pt>
                <c:pt idx="8">
                  <c:v>0.303230975947014</c:v>
                </c:pt>
                <c:pt idx="9">
                  <c:v>0.319351327164395</c:v>
                </c:pt>
                <c:pt idx="10">
                  <c:v>0.337604552385958</c:v>
                </c:pt>
              </c:numCache>
            </c:numRef>
          </c:val>
          <c:smooth val="1"/>
        </c:ser>
        <c:hiLowLines>
          <c:spPr>
            <a:ln w="0">
              <a:noFill/>
            </a:ln>
          </c:spPr>
        </c:hiLowLines>
        <c:marker val="0"/>
        <c:axId val="7743933"/>
        <c:axId val="77222254"/>
      </c:lineChart>
      <c:catAx>
        <c:axId val="77439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222254"/>
        <c:crosses val="autoZero"/>
        <c:auto val="1"/>
        <c:lblAlgn val="ctr"/>
        <c:lblOffset val="100"/>
        <c:noMultiLvlLbl val="0"/>
      </c:catAx>
      <c:valAx>
        <c:axId val="7722225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4393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renewable share (large systems)</a:t>
            </a:r>
          </a:p>
        </c:rich>
      </c:tx>
      <c:overlay val="0"/>
      <c:spPr>
        <a:noFill/>
        <a:ln w="0">
          <a:noFill/>
        </a:ln>
      </c:spPr>
    </c:title>
    <c:autoTitleDeleted val="0"/>
    <c:plotArea>
      <c:barChart>
        <c:barDir val="bar"/>
        <c:grouping val="clustered"/>
        <c:varyColors val="0"/>
        <c:ser>
          <c:idx val="0"/>
          <c:order val="0"/>
          <c:tx>
            <c:strRef>
              <c:f>Rankings!C5</c:f>
              <c:strCache>
                <c:ptCount val="1"/>
                <c:pt idx="0">
                  <c:v>RE Share</c:v>
                </c:pt>
              </c:strCache>
            </c:strRef>
          </c:tx>
          <c:spPr>
            <a:solidFill>
              <a:srgbClr val="59a14f"/>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Rankings!$B$6:$B$15</c:f>
              <c:strCache>
                <c:ptCount val="10"/>
                <c:pt idx="0">
                  <c:v>Paraguay</c:v>
                </c:pt>
                <c:pt idx="1">
                  <c:v>Ethiopia</c:v>
                </c:pt>
                <c:pt idx="2">
                  <c:v>Norway</c:v>
                </c:pt>
                <c:pt idx="3">
                  <c:v>Tajikistan</c:v>
                </c:pt>
                <c:pt idx="4">
                  <c:v>Venezuela</c:v>
                </c:pt>
                <c:pt idx="5">
                  <c:v>Denmark</c:v>
                </c:pt>
                <c:pt idx="6">
                  <c:v>Brazil</c:v>
                </c:pt>
                <c:pt idx="7">
                  <c:v>Austria</c:v>
                </c:pt>
                <c:pt idx="8">
                  <c:v>New Zealand</c:v>
                </c:pt>
                <c:pt idx="9">
                  <c:v>Portugal</c:v>
                </c:pt>
              </c:strCache>
            </c:strRef>
          </c:cat>
          <c:val>
            <c:numRef>
              <c:f>Rankings!$C$6:$C$15</c:f>
              <c:numCache>
                <c:formatCode>0.0%</c:formatCode>
                <c:ptCount val="10"/>
                <c:pt idx="0">
                  <c:v>1</c:v>
                </c:pt>
                <c:pt idx="1">
                  <c:v>1</c:v>
                </c:pt>
                <c:pt idx="2">
                  <c:v>0.986060721787283</c:v>
                </c:pt>
                <c:pt idx="3">
                  <c:v>0.945945945945946</c:v>
                </c:pt>
                <c:pt idx="4">
                  <c:v>0.911393984774741</c:v>
                </c:pt>
                <c:pt idx="5">
                  <c:v>0.891899600684541</c:v>
                </c:pt>
                <c:pt idx="6">
                  <c:v>0.873330472563429</c:v>
                </c:pt>
                <c:pt idx="7">
                  <c:v>0.862240346629285</c:v>
                </c:pt>
                <c:pt idx="8">
                  <c:v>0.85980458986594</c:v>
                </c:pt>
                <c:pt idx="9">
                  <c:v>0.851914533530781</c:v>
                </c:pt>
              </c:numCache>
            </c:numRef>
          </c:val>
        </c:ser>
        <c:gapWidth val="50"/>
        <c:overlap val="0"/>
        <c:axId val="933635"/>
        <c:axId val="28055099"/>
      </c:barChart>
      <c:catAx>
        <c:axId val="93363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055099"/>
        <c:crosses val="autoZero"/>
        <c:auto val="1"/>
        <c:lblAlgn val="ctr"/>
        <c:lblOffset val="100"/>
        <c:noMultiLvlLbl val="0"/>
      </c:catAx>
      <c:valAx>
        <c:axId val="28055099"/>
        <c:scaling>
          <c:orientation val="minMax"/>
          <c:max val="1.15"/>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6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solar + wind gain (pp since base year)</a:t>
            </a:r>
          </a:p>
        </c:rich>
      </c:tx>
      <c:overlay val="0"/>
      <c:spPr>
        <a:noFill/>
        <a:ln w="0">
          <a:noFill/>
        </a:ln>
      </c:spPr>
    </c:title>
    <c:autoTitleDeleted val="0"/>
    <c:plotArea>
      <c:barChart>
        <c:barDir val="bar"/>
        <c:grouping val="clustered"/>
        <c:varyColors val="0"/>
        <c:ser>
          <c:idx val="0"/>
          <c:order val="0"/>
          <c:tx>
            <c:strRef>
              <c:f>Rankings!I5</c:f>
              <c:strCache>
                <c:ptCount val="1"/>
                <c:pt idx="0">
                  <c:v>Gain (pp)</c:v>
                </c:pt>
              </c:strCache>
            </c:strRef>
          </c:tx>
          <c:spPr>
            <a:solidFill>
              <a:srgbClr val="f2b70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Rankings!$H$6:$H$15</c:f>
              <c:strCache>
                <c:ptCount val="10"/>
                <c:pt idx="0">
                  <c:v>Netherlands</c:v>
                </c:pt>
                <c:pt idx="1">
                  <c:v>Chile</c:v>
                </c:pt>
                <c:pt idx="2">
                  <c:v>Greece</c:v>
                </c:pt>
                <c:pt idx="3">
                  <c:v>Germany</c:v>
                </c:pt>
                <c:pt idx="4">
                  <c:v>Hungary</c:v>
                </c:pt>
                <c:pt idx="5">
                  <c:v>Jordan</c:v>
                </c:pt>
                <c:pt idx="6">
                  <c:v>Finland</c:v>
                </c:pt>
                <c:pt idx="7">
                  <c:v>Australia</c:v>
                </c:pt>
                <c:pt idx="8">
                  <c:v>Portugal</c:v>
                </c:pt>
                <c:pt idx="9">
                  <c:v>United Kingdom</c:v>
                </c:pt>
              </c:strCache>
            </c:strRef>
          </c:cat>
          <c:val>
            <c:numRef>
              <c:f>Rankings!$I$6:$I$15</c:f>
              <c:numCache>
                <c:formatCode>\+0.0;\-0.0;0.0</c:formatCode>
                <c:ptCount val="10"/>
                <c:pt idx="0">
                  <c:v>37.2599083428173</c:v>
                </c:pt>
                <c:pt idx="1">
                  <c:v>30.0799867536824</c:v>
                </c:pt>
                <c:pt idx="2">
                  <c:v>25.023864644841</c:v>
                </c:pt>
                <c:pt idx="3">
                  <c:v>24.9238693120396</c:v>
                </c:pt>
                <c:pt idx="4">
                  <c:v>23.289751331841</c:v>
                </c:pt>
                <c:pt idx="5">
                  <c:v>23.1046999425025</c:v>
                </c:pt>
                <c:pt idx="6">
                  <c:v>22.5373288094799</c:v>
                </c:pt>
                <c:pt idx="7">
                  <c:v>22.3537878702604</c:v>
                </c:pt>
                <c:pt idx="8">
                  <c:v>21.08814316015</c:v>
                </c:pt>
                <c:pt idx="9">
                  <c:v>20.4065423692535</c:v>
                </c:pt>
              </c:numCache>
            </c:numRef>
          </c:val>
        </c:ser>
        <c:gapWidth val="50"/>
        <c:overlap val="0"/>
        <c:axId val="48486624"/>
        <c:axId val="488700"/>
      </c:barChart>
      <c:catAx>
        <c:axId val="4848662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8700"/>
        <c:crosses val="autoZero"/>
        <c:auto val="1"/>
        <c:lblAlgn val="ctr"/>
        <c:lblOffset val="100"/>
        <c:noMultiLvlLbl val="0"/>
      </c:catAx>
      <c:valAx>
        <c:axId val="488700"/>
        <c:scaling>
          <c:orientation val="minMax"/>
          <c:min val="0"/>
        </c:scaling>
        <c:delete val="0"/>
        <c:axPos val="l"/>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4866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Generation by source (TWh)</a:t>
            </a:r>
          </a:p>
        </c:rich>
      </c:tx>
      <c:overlay val="0"/>
      <c:spPr>
        <a:noFill/>
        <a:ln w="0">
          <a:noFill/>
        </a:ln>
      </c:spPr>
    </c:title>
    <c:autoTitleDeleted val="0"/>
    <c:plotArea>
      <c:barChart>
        <c:barDir val="col"/>
        <c:grouping val="stacked"/>
        <c:varyColors val="0"/>
        <c:ser>
          <c:idx val="0"/>
          <c:order val="0"/>
          <c:tx>
            <c:strRef>
              <c:f>Country_Profile!C6</c:f>
              <c:strCache>
                <c:ptCount val="1"/>
                <c:pt idx="0">
                  <c:v>Coal</c:v>
                </c:pt>
              </c:strCache>
            </c:strRef>
          </c:tx>
          <c:spPr>
            <a:solidFill>
              <a:srgbClr val="404040"/>
            </a:solidFill>
            <a:ln w="0">
              <a:solidFill>
                <a:srgbClr val="40404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Country_Profile!$C$7:$C$17</c:f>
              <c:numCache>
                <c:formatCode>#,##0.0</c:formatCode>
                <c:ptCount val="11"/>
                <c:pt idx="0">
                  <c:v>1006.55</c:v>
                </c:pt>
                <c:pt idx="1">
                  <c:v>1073.6</c:v>
                </c:pt>
                <c:pt idx="2">
                  <c:v>1115.24</c:v>
                </c:pt>
                <c:pt idx="3">
                  <c:v>1198.86</c:v>
                </c:pt>
                <c:pt idx="4">
                  <c:v>1198.76</c:v>
                </c:pt>
                <c:pt idx="5">
                  <c:v>1143.78</c:v>
                </c:pt>
                <c:pt idx="6">
                  <c:v>1255.56</c:v>
                </c:pt>
                <c:pt idx="7">
                  <c:v>1344.42</c:v>
                </c:pt>
                <c:pt idx="8">
                  <c:v>1445.44</c:v>
                </c:pt>
                <c:pt idx="9">
                  <c:v>1517.9</c:v>
                </c:pt>
                <c:pt idx="10">
                  <c:v>1474.15</c:v>
                </c:pt>
              </c:numCache>
            </c:numRef>
          </c:val>
        </c:ser>
        <c:ser>
          <c:idx val="1"/>
          <c:order val="1"/>
          <c:tx>
            <c:strRef>
              <c:f>Country_Profile!D6</c:f>
              <c:strCache>
                <c:ptCount val="1"/>
                <c:pt idx="0">
                  <c:v>Gas</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Country_Profile!$D$7:$D$17</c:f>
              <c:numCache>
                <c:formatCode>#,##0.0</c:formatCode>
                <c:ptCount val="11"/>
                <c:pt idx="0">
                  <c:v>64.77</c:v>
                </c:pt>
                <c:pt idx="1">
                  <c:v>72.62</c:v>
                </c:pt>
                <c:pt idx="2">
                  <c:v>74.99</c:v>
                </c:pt>
                <c:pt idx="3">
                  <c:v>71.26</c:v>
                </c:pt>
                <c:pt idx="4">
                  <c:v>71.95</c:v>
                </c:pt>
                <c:pt idx="5">
                  <c:v>74.79</c:v>
                </c:pt>
                <c:pt idx="6">
                  <c:v>60.4</c:v>
                </c:pt>
                <c:pt idx="7">
                  <c:v>46.17</c:v>
                </c:pt>
                <c:pt idx="8">
                  <c:v>50.8</c:v>
                </c:pt>
                <c:pt idx="9">
                  <c:v>56.44</c:v>
                </c:pt>
                <c:pt idx="10">
                  <c:v>48.54</c:v>
                </c:pt>
              </c:numCache>
            </c:numRef>
          </c:val>
        </c:ser>
        <c:ser>
          <c:idx val="2"/>
          <c:order val="2"/>
          <c:tx>
            <c:strRef>
              <c:f>Country_Profile!E6</c:f>
              <c:strCache>
                <c:ptCount val="1"/>
                <c:pt idx="0">
                  <c:v>Oil</c:v>
                </c:pt>
              </c:strCache>
            </c:strRef>
          </c:tx>
          <c:spPr>
            <a:solidFill>
              <a:srgbClr val="bfbfbf"/>
            </a:solidFill>
            <a:ln w="0">
              <a:solidFill>
                <a:srgbClr val="bfbfb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Country_Profile!$E$7:$E$17</c:f>
              <c:numCache>
                <c:formatCode>#,##0.0</c:formatCode>
                <c:ptCount val="11"/>
                <c:pt idx="0">
                  <c:v>9.26</c:v>
                </c:pt>
                <c:pt idx="1">
                  <c:v>9.41</c:v>
                </c:pt>
                <c:pt idx="2">
                  <c:v>8.79</c:v>
                </c:pt>
                <c:pt idx="3">
                  <c:v>6.4</c:v>
                </c:pt>
                <c:pt idx="4">
                  <c:v>3.07</c:v>
                </c:pt>
                <c:pt idx="5">
                  <c:v>3.09</c:v>
                </c:pt>
                <c:pt idx="6">
                  <c:v>3.39</c:v>
                </c:pt>
                <c:pt idx="7">
                  <c:v>3.48</c:v>
                </c:pt>
                <c:pt idx="8">
                  <c:v>3.85</c:v>
                </c:pt>
                <c:pt idx="9">
                  <c:v>4.09</c:v>
                </c:pt>
                <c:pt idx="10">
                  <c:v>4.1</c:v>
                </c:pt>
              </c:numCache>
            </c:numRef>
          </c:val>
        </c:ser>
        <c:ser>
          <c:idx val="3"/>
          <c:order val="3"/>
          <c:tx>
            <c:strRef>
              <c:f>Country_Profile!F6</c:f>
              <c:strCache>
                <c:ptCount val="1"/>
                <c:pt idx="0">
                  <c:v>Nuclear</c:v>
                </c:pt>
              </c:strCache>
            </c:strRef>
          </c:tx>
          <c:spPr>
            <a:solidFill>
              <a:srgbClr val="b07aa1"/>
            </a:solidFill>
            <a:ln w="0">
              <a:solidFill>
                <a:srgbClr val="b07aa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Country_Profile!$F$7:$F$17</c:f>
              <c:numCache>
                <c:formatCode>#,##0.0</c:formatCode>
                <c:ptCount val="11"/>
                <c:pt idx="0">
                  <c:v>38.31</c:v>
                </c:pt>
                <c:pt idx="1">
                  <c:v>37.9</c:v>
                </c:pt>
                <c:pt idx="2">
                  <c:v>37.41</c:v>
                </c:pt>
                <c:pt idx="3">
                  <c:v>39.05</c:v>
                </c:pt>
                <c:pt idx="4">
                  <c:v>45.16</c:v>
                </c:pt>
                <c:pt idx="5">
                  <c:v>44.61</c:v>
                </c:pt>
                <c:pt idx="6">
                  <c:v>43.92</c:v>
                </c:pt>
                <c:pt idx="7">
                  <c:v>46.19</c:v>
                </c:pt>
                <c:pt idx="8">
                  <c:v>48.2</c:v>
                </c:pt>
                <c:pt idx="9">
                  <c:v>54.7</c:v>
                </c:pt>
                <c:pt idx="10">
                  <c:v>53.83</c:v>
                </c:pt>
              </c:numCache>
            </c:numRef>
          </c:val>
        </c:ser>
        <c:ser>
          <c:idx val="4"/>
          <c:order val="4"/>
          <c:tx>
            <c:strRef>
              <c:f>Country_Profile!G6</c:f>
              <c:strCache>
                <c:ptCount val="1"/>
                <c:pt idx="0">
                  <c:v>Hydro</c:v>
                </c:pt>
              </c:strCache>
            </c:strRef>
          </c:tx>
          <c:spPr>
            <a:solidFill>
              <a:srgbClr val="4e79a7"/>
            </a:solidFill>
            <a:ln w="0">
              <a:solidFill>
                <a:srgbClr val="4e79a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Country_Profile!$G$7:$G$17</c:f>
              <c:numCache>
                <c:formatCode>#,##0.0</c:formatCode>
                <c:ptCount val="11"/>
                <c:pt idx="0">
                  <c:v>133.48</c:v>
                </c:pt>
                <c:pt idx="1">
                  <c:v>128.55</c:v>
                </c:pt>
                <c:pt idx="2">
                  <c:v>135.98</c:v>
                </c:pt>
                <c:pt idx="3">
                  <c:v>139.92</c:v>
                </c:pt>
                <c:pt idx="4">
                  <c:v>162.29</c:v>
                </c:pt>
                <c:pt idx="5">
                  <c:v>163.94</c:v>
                </c:pt>
                <c:pt idx="6">
                  <c:v>160.57</c:v>
                </c:pt>
                <c:pt idx="7">
                  <c:v>175.09</c:v>
                </c:pt>
                <c:pt idx="8">
                  <c:v>149.43</c:v>
                </c:pt>
                <c:pt idx="9">
                  <c:v>156.53</c:v>
                </c:pt>
                <c:pt idx="10">
                  <c:v>177.97</c:v>
                </c:pt>
              </c:numCache>
            </c:numRef>
          </c:val>
        </c:ser>
        <c:ser>
          <c:idx val="5"/>
          <c:order val="5"/>
          <c:tx>
            <c:strRef>
              <c:f>Country_Profile!H6</c:f>
              <c:strCache>
                <c:ptCount val="1"/>
                <c:pt idx="0">
                  <c:v>Solar</c:v>
                </c:pt>
              </c:strCache>
            </c:strRef>
          </c:tx>
          <c:spPr>
            <a:solidFill>
              <a:srgbClr val="f2b701"/>
            </a:solidFill>
            <a:ln w="0">
              <a:solidFill>
                <a:srgbClr val="f2b70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Country_Profile!$H$7:$H$17</c:f>
              <c:numCache>
                <c:formatCode>#,##0.0</c:formatCode>
                <c:ptCount val="11"/>
                <c:pt idx="0">
                  <c:v>7.09</c:v>
                </c:pt>
                <c:pt idx="1">
                  <c:v>12.2</c:v>
                </c:pt>
                <c:pt idx="2">
                  <c:v>22.36</c:v>
                </c:pt>
                <c:pt idx="3">
                  <c:v>37.45</c:v>
                </c:pt>
                <c:pt idx="4">
                  <c:v>37.45</c:v>
                </c:pt>
                <c:pt idx="5">
                  <c:v>52.91</c:v>
                </c:pt>
                <c:pt idx="6">
                  <c:v>65.59</c:v>
                </c:pt>
                <c:pt idx="7">
                  <c:v>95.92</c:v>
                </c:pt>
                <c:pt idx="8">
                  <c:v>115.42</c:v>
                </c:pt>
                <c:pt idx="9">
                  <c:v>143.07</c:v>
                </c:pt>
                <c:pt idx="10">
                  <c:v>195.99</c:v>
                </c:pt>
              </c:numCache>
            </c:numRef>
          </c:val>
        </c:ser>
        <c:ser>
          <c:idx val="6"/>
          <c:order val="6"/>
          <c:tx>
            <c:strRef>
              <c:f>Country_Profile!I6</c:f>
              <c:strCache>
                <c:ptCount val="1"/>
                <c:pt idx="0">
                  <c:v>Wind</c:v>
                </c:pt>
              </c:strCache>
            </c:strRef>
          </c:tx>
          <c:spPr>
            <a:solidFill>
              <a:srgbClr val="59a14f"/>
            </a:solidFill>
            <a:ln w="0">
              <a:solidFill>
                <a:srgbClr val="59a14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Country_Profile!$I$7:$I$17</c:f>
              <c:numCache>
                <c:formatCode>#,##0.0</c:formatCode>
                <c:ptCount val="11"/>
                <c:pt idx="0">
                  <c:v>32.74</c:v>
                </c:pt>
                <c:pt idx="1">
                  <c:v>43.45</c:v>
                </c:pt>
                <c:pt idx="2">
                  <c:v>52.63</c:v>
                </c:pt>
                <c:pt idx="3">
                  <c:v>60.31</c:v>
                </c:pt>
                <c:pt idx="4">
                  <c:v>63.31</c:v>
                </c:pt>
                <c:pt idx="5">
                  <c:v>60.43</c:v>
                </c:pt>
                <c:pt idx="6">
                  <c:v>68.09</c:v>
                </c:pt>
                <c:pt idx="7">
                  <c:v>70.05</c:v>
                </c:pt>
                <c:pt idx="8">
                  <c:v>82.11</c:v>
                </c:pt>
                <c:pt idx="9">
                  <c:v>81.54</c:v>
                </c:pt>
                <c:pt idx="10">
                  <c:v>103.98</c:v>
                </c:pt>
              </c:numCache>
            </c:numRef>
          </c:val>
        </c:ser>
        <c:ser>
          <c:idx val="7"/>
          <c:order val="7"/>
          <c:tx>
            <c:strRef>
              <c:f>Country_Profile!J6</c:f>
              <c:strCache>
                <c:ptCount val="1"/>
                <c:pt idx="0">
                  <c:v>Bio + Other RE</c:v>
                </c:pt>
              </c:strCache>
            </c:strRef>
          </c:tx>
          <c:spPr>
            <a:solidFill>
              <a:srgbClr val="9c755f"/>
            </a:solidFill>
            <a:ln w="0">
              <a:solidFill>
                <a:srgbClr val="9c75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Country_Profile!$J$7:$J$17</c:f>
              <c:numCache>
                <c:formatCode>#,##0.0</c:formatCode>
                <c:ptCount val="11"/>
                <c:pt idx="0">
                  <c:v>18.36</c:v>
                </c:pt>
                <c:pt idx="1">
                  <c:v>17.2</c:v>
                </c:pt>
                <c:pt idx="2">
                  <c:v>14.99</c:v>
                </c:pt>
                <c:pt idx="3">
                  <c:v>18.4</c:v>
                </c:pt>
                <c:pt idx="4">
                  <c:v>18.99</c:v>
                </c:pt>
                <c:pt idx="5">
                  <c:v>19.88</c:v>
                </c:pt>
                <c:pt idx="6">
                  <c:v>21.2</c:v>
                </c:pt>
                <c:pt idx="7">
                  <c:v>23.29</c:v>
                </c:pt>
                <c:pt idx="8">
                  <c:v>23.01</c:v>
                </c:pt>
                <c:pt idx="9">
                  <c:v>22.25</c:v>
                </c:pt>
                <c:pt idx="10">
                  <c:v>23.04</c:v>
                </c:pt>
              </c:numCache>
            </c:numRef>
          </c:val>
        </c:ser>
        <c:gapWidth val="40"/>
        <c:overlap val="100"/>
        <c:axId val="42646115"/>
        <c:axId val="42838981"/>
      </c:barChart>
      <c:catAx>
        <c:axId val="426461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838981"/>
        <c:crosses val="autoZero"/>
        <c:auto val="1"/>
        <c:lblAlgn val="ctr"/>
        <c:lblOffset val="100"/>
        <c:noMultiLvlLbl val="0"/>
      </c:catAx>
      <c:valAx>
        <c:axId val="4283898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TWh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6461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Renewable share vs World</a:t>
            </a:r>
          </a:p>
        </c:rich>
      </c:tx>
      <c:overlay val="0"/>
      <c:spPr>
        <a:noFill/>
        <a:ln w="0">
          <a:noFill/>
        </a:ln>
      </c:spPr>
    </c:title>
    <c:autoTitleDeleted val="0"/>
    <c:plotArea>
      <c:lineChart>
        <c:grouping val="standard"/>
        <c:varyColors val="0"/>
        <c:ser>
          <c:idx val="0"/>
          <c:order val="0"/>
          <c:tx>
            <c:strRef>
              <c:f>Country_Profile!K6</c:f>
              <c:strCache>
                <c:ptCount val="1"/>
                <c:pt idx="0">
                  <c:v>Renewable Share</c:v>
                </c:pt>
              </c:strCache>
            </c:strRef>
          </c:tx>
          <c:spPr>
            <a:solidFill>
              <a:srgbClr val="59a14f"/>
            </a:solidFill>
            <a:ln w="28080">
              <a:solidFill>
                <a:srgbClr val="59a14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Country_Profile!$K$7:$K$17</c:f>
              <c:numCache>
                <c:formatCode>0.0%</c:formatCode>
                <c:ptCount val="11"/>
                <c:pt idx="0">
                  <c:v>0.146250457819558</c:v>
                </c:pt>
                <c:pt idx="1">
                  <c:v>0.14438000473142</c:v>
                </c:pt>
                <c:pt idx="2">
                  <c:v>0.154514185682342</c:v>
                </c:pt>
                <c:pt idx="3">
                  <c:v>0.162937040689721</c:v>
                </c:pt>
                <c:pt idx="4">
                  <c:v>0.176167097652688</c:v>
                </c:pt>
                <c:pt idx="5">
                  <c:v>0.190069270770038</c:v>
                </c:pt>
                <c:pt idx="6">
                  <c:v>0.187911027449485</c:v>
                </c:pt>
                <c:pt idx="7">
                  <c:v>0.20189957941051</c:v>
                </c:pt>
                <c:pt idx="8">
                  <c:v>0.192867494500224</c:v>
                </c:pt>
                <c:pt idx="9">
                  <c:v>0.198078094003496</c:v>
                </c:pt>
                <c:pt idx="10">
                  <c:v>0.240670637970792</c:v>
                </c:pt>
              </c:numCache>
            </c:numRef>
          </c:val>
          <c:smooth val="1"/>
        </c:ser>
        <c:ser>
          <c:idx val="1"/>
          <c:order val="1"/>
          <c:tx>
            <c:strRef>
              <c:f>Country_Profile!M6</c:f>
              <c:strCache>
                <c:ptCount val="1"/>
                <c:pt idx="0">
                  <c:v>Coal Share</c:v>
                </c:pt>
              </c:strCache>
            </c:strRef>
          </c:tx>
          <c:spPr>
            <a:solidFill>
              <a:srgbClr val="404040"/>
            </a:solidFill>
            <a:ln w="28080">
              <a:solidFill>
                <a:srgbClr val="4040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Country_Profile!$M$7:$M$17</c:f>
              <c:numCache>
                <c:formatCode>0.0%</c:formatCode>
                <c:ptCount val="11"/>
                <c:pt idx="0">
                  <c:v>0.768030460261262</c:v>
                </c:pt>
                <c:pt idx="1">
                  <c:v>0.769644354913867</c:v>
                </c:pt>
                <c:pt idx="2">
                  <c:v>0.762614624005908</c:v>
                </c:pt>
                <c:pt idx="3">
                  <c:v>0.76280342315401</c:v>
                </c:pt>
                <c:pt idx="4">
                  <c:v>0.748766380591888</c:v>
                </c:pt>
                <c:pt idx="5">
                  <c:v>0.731583761345247</c:v>
                </c:pt>
                <c:pt idx="6">
                  <c:v>0.7479269919939</c:v>
                </c:pt>
                <c:pt idx="7">
                  <c:v>0.744991992729731</c:v>
                </c:pt>
                <c:pt idx="8">
                  <c:v>0.753516207396286</c:v>
                </c:pt>
                <c:pt idx="9">
                  <c:v>0.745340089957378</c:v>
                </c:pt>
                <c:pt idx="10">
                  <c:v>0.708181206764028</c:v>
                </c:pt>
              </c:numCache>
            </c:numRef>
          </c:val>
          <c:smooth val="1"/>
        </c:ser>
        <c:ser>
          <c:idx val="2"/>
          <c:order val="2"/>
          <c:tx>
            <c:strRef>
              <c:f>Country_Profile!N6</c:f>
              <c:strCache>
                <c:ptCount val="1"/>
                <c:pt idx="0">
                  <c:v>World RE Share</c:v>
                </c:pt>
              </c:strCache>
            </c:strRef>
          </c:tx>
          <c:spPr>
            <a:solidFill>
              <a:srgbClr val="4e79a7"/>
            </a:solidFill>
            <a:ln w="28080">
              <a:solidFill>
                <a:srgbClr val="4e79a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Country_Profile!$A$7:$A$17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Country_Profile!$N$7:$N$17</c:f>
              <c:numCache>
                <c:formatCode>0.0%</c:formatCode>
                <c:ptCount val="11"/>
                <c:pt idx="0">
                  <c:v>0.229670844729787</c:v>
                </c:pt>
                <c:pt idx="1">
                  <c:v>0.237318740076236</c:v>
                </c:pt>
                <c:pt idx="2">
                  <c:v>0.244657067661427</c:v>
                </c:pt>
                <c:pt idx="3">
                  <c:v>0.250887132153312</c:v>
                </c:pt>
                <c:pt idx="4">
                  <c:v>0.26071483675345</c:v>
                </c:pt>
                <c:pt idx="5">
                  <c:v>0.279873768909901</c:v>
                </c:pt>
                <c:pt idx="6">
                  <c:v>0.281016325024143</c:v>
                </c:pt>
                <c:pt idx="7">
                  <c:v>0.29469744544529</c:v>
                </c:pt>
                <c:pt idx="8">
                  <c:v>0.303230975947014</c:v>
                </c:pt>
                <c:pt idx="9">
                  <c:v>0.319351327164395</c:v>
                </c:pt>
                <c:pt idx="10">
                  <c:v>0.337604552385958</c:v>
                </c:pt>
              </c:numCache>
            </c:numRef>
          </c:val>
          <c:smooth val="1"/>
        </c:ser>
        <c:hiLowLines>
          <c:spPr>
            <a:ln w="0">
              <a:noFill/>
            </a:ln>
          </c:spPr>
        </c:hiLowLines>
        <c:marker val="0"/>
        <c:axId val="69438518"/>
        <c:axId val="8844039"/>
      </c:lineChart>
      <c:catAx>
        <c:axId val="694385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4039"/>
        <c:crosses val="autoZero"/>
        <c:auto val="1"/>
        <c:lblAlgn val="ctr"/>
        <c:lblOffset val="100"/>
        <c:noMultiLvlLbl val="0"/>
      </c:catAx>
      <c:valAx>
        <c:axId val="884403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43851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World electricity generation by source (TWh)</a:t>
            </a:r>
          </a:p>
        </c:rich>
      </c:tx>
      <c:overlay val="0"/>
      <c:spPr>
        <a:noFill/>
        <a:ln w="0">
          <a:noFill/>
        </a:ln>
      </c:spPr>
    </c:title>
    <c:autoTitleDeleted val="0"/>
    <c:plotArea>
      <c:barChart>
        <c:barDir val="col"/>
        <c:grouping val="stacked"/>
        <c:varyColors val="0"/>
        <c:ser>
          <c:idx val="0"/>
          <c:order val="0"/>
          <c:tx>
            <c:strRef>
              <c:f>Global_Trends!C4</c:f>
              <c:strCache>
                <c:ptCount val="1"/>
                <c:pt idx="0">
                  <c:v>Coal</c:v>
                </c:pt>
              </c:strCache>
            </c:strRef>
          </c:tx>
          <c:spPr>
            <a:solidFill>
              <a:srgbClr val="404040"/>
            </a:solidFill>
            <a:ln w="0">
              <a:solidFill>
                <a:srgbClr val="40404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Global_Trends!$C$5:$C$15</c:f>
              <c:numCache>
                <c:formatCode>#,##0</c:formatCode>
                <c:ptCount val="11"/>
                <c:pt idx="0">
                  <c:v>9283.61</c:v>
                </c:pt>
                <c:pt idx="1">
                  <c:v>9327.96</c:v>
                </c:pt>
                <c:pt idx="2">
                  <c:v>9655.05</c:v>
                </c:pt>
                <c:pt idx="3">
                  <c:v>10033.03</c:v>
                </c:pt>
                <c:pt idx="4">
                  <c:v>9826.39</c:v>
                </c:pt>
                <c:pt idx="5">
                  <c:v>9437.05</c:v>
                </c:pt>
                <c:pt idx="6">
                  <c:v>10156.49</c:v>
                </c:pt>
                <c:pt idx="7">
                  <c:v>10240.44</c:v>
                </c:pt>
                <c:pt idx="8">
                  <c:v>10395.94</c:v>
                </c:pt>
                <c:pt idx="9">
                  <c:v>10538.94</c:v>
                </c:pt>
                <c:pt idx="10">
                  <c:v>10471.53</c:v>
                </c:pt>
              </c:numCache>
            </c:numRef>
          </c:val>
        </c:ser>
        <c:ser>
          <c:idx val="1"/>
          <c:order val="1"/>
          <c:tx>
            <c:strRef>
              <c:f>Global_Trends!D4</c:f>
              <c:strCache>
                <c:ptCount val="1"/>
                <c:pt idx="0">
                  <c:v>Gas</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Global_Trends!$D$5:$D$15</c:f>
              <c:numCache>
                <c:formatCode>#,##0</c:formatCode>
                <c:ptCount val="11"/>
                <c:pt idx="0">
                  <c:v>5539.88</c:v>
                </c:pt>
                <c:pt idx="1">
                  <c:v>5849.92</c:v>
                </c:pt>
                <c:pt idx="2">
                  <c:v>5973.6</c:v>
                </c:pt>
                <c:pt idx="3">
                  <c:v>6224.56</c:v>
                </c:pt>
                <c:pt idx="4">
                  <c:v>6401.31</c:v>
                </c:pt>
                <c:pt idx="5">
                  <c:v>6382.94</c:v>
                </c:pt>
                <c:pt idx="6">
                  <c:v>6556.63</c:v>
                </c:pt>
                <c:pt idx="7">
                  <c:v>6628.27</c:v>
                </c:pt>
                <c:pt idx="8">
                  <c:v>6699.42</c:v>
                </c:pt>
                <c:pt idx="9">
                  <c:v>6882.73</c:v>
                </c:pt>
                <c:pt idx="10">
                  <c:v>6921.14</c:v>
                </c:pt>
              </c:numCache>
            </c:numRef>
          </c:val>
        </c:ser>
        <c:ser>
          <c:idx val="2"/>
          <c:order val="2"/>
          <c:tx>
            <c:strRef>
              <c:f>Global_Trends!E4</c:f>
              <c:strCache>
                <c:ptCount val="1"/>
                <c:pt idx="0">
                  <c:v>Oil</c:v>
                </c:pt>
              </c:strCache>
            </c:strRef>
          </c:tx>
          <c:spPr>
            <a:solidFill>
              <a:srgbClr val="bfbfbf"/>
            </a:solidFill>
            <a:ln w="0">
              <a:solidFill>
                <a:srgbClr val="bfbfb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Global_Trends!$E$5:$E$15</c:f>
              <c:numCache>
                <c:formatCode>#,##0</c:formatCode>
                <c:ptCount val="11"/>
                <c:pt idx="0">
                  <c:v>1133.29</c:v>
                </c:pt>
                <c:pt idx="1">
                  <c:v>1085.11</c:v>
                </c:pt>
                <c:pt idx="2">
                  <c:v>993.83</c:v>
                </c:pt>
                <c:pt idx="3">
                  <c:v>908.6</c:v>
                </c:pt>
                <c:pt idx="4">
                  <c:v>855.03</c:v>
                </c:pt>
                <c:pt idx="5">
                  <c:v>775.88</c:v>
                </c:pt>
                <c:pt idx="6">
                  <c:v>842.25</c:v>
                </c:pt>
                <c:pt idx="7">
                  <c:v>887.42</c:v>
                </c:pt>
                <c:pt idx="8">
                  <c:v>876.79</c:v>
                </c:pt>
                <c:pt idx="9">
                  <c:v>853.84</c:v>
                </c:pt>
                <c:pt idx="10">
                  <c:v>841.62</c:v>
                </c:pt>
              </c:numCache>
            </c:numRef>
          </c:val>
        </c:ser>
        <c:ser>
          <c:idx val="3"/>
          <c:order val="3"/>
          <c:tx>
            <c:strRef>
              <c:f>Global_Trends!F4</c:f>
              <c:strCache>
                <c:ptCount val="1"/>
                <c:pt idx="0">
                  <c:v>Nuclear</c:v>
                </c:pt>
              </c:strCache>
            </c:strRef>
          </c:tx>
          <c:spPr>
            <a:solidFill>
              <a:srgbClr val="b07aa1"/>
            </a:solidFill>
            <a:ln w="0">
              <a:solidFill>
                <a:srgbClr val="b07aa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Global_Trends!$F$5:$F$15</c:f>
              <c:numCache>
                <c:formatCode>#,##0</c:formatCode>
                <c:ptCount val="11"/>
                <c:pt idx="0">
                  <c:v>2532.93</c:v>
                </c:pt>
                <c:pt idx="1">
                  <c:v>2571.05</c:v>
                </c:pt>
                <c:pt idx="2">
                  <c:v>2594.23</c:v>
                </c:pt>
                <c:pt idx="3">
                  <c:v>2658.7</c:v>
                </c:pt>
                <c:pt idx="4">
                  <c:v>2754.08</c:v>
                </c:pt>
                <c:pt idx="5">
                  <c:v>2648.33</c:v>
                </c:pt>
                <c:pt idx="6">
                  <c:v>2762.44</c:v>
                </c:pt>
                <c:pt idx="7">
                  <c:v>2639.64</c:v>
                </c:pt>
                <c:pt idx="8">
                  <c:v>2697.74</c:v>
                </c:pt>
                <c:pt idx="9">
                  <c:v>2777.11</c:v>
                </c:pt>
                <c:pt idx="10">
                  <c:v>2811.57</c:v>
                </c:pt>
              </c:numCache>
            </c:numRef>
          </c:val>
        </c:ser>
        <c:ser>
          <c:idx val="4"/>
          <c:order val="4"/>
          <c:tx>
            <c:strRef>
              <c:f>Global_Trends!G4</c:f>
              <c:strCache>
                <c:ptCount val="1"/>
                <c:pt idx="0">
                  <c:v>Hydro</c:v>
                </c:pt>
              </c:strCache>
            </c:strRef>
          </c:tx>
          <c:spPr>
            <a:solidFill>
              <a:srgbClr val="4e79a7"/>
            </a:solidFill>
            <a:ln w="0">
              <a:solidFill>
                <a:srgbClr val="4e79a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Global_Trends!$G$5:$G$15</c:f>
              <c:numCache>
                <c:formatCode>#,##0</c:formatCode>
                <c:ptCount val="11"/>
                <c:pt idx="0">
                  <c:v>3882.13</c:v>
                </c:pt>
                <c:pt idx="1">
                  <c:v>4014.75</c:v>
                </c:pt>
                <c:pt idx="2">
                  <c:v>4054.03</c:v>
                </c:pt>
                <c:pt idx="3">
                  <c:v>4176.84</c:v>
                </c:pt>
                <c:pt idx="4">
                  <c:v>4227.76</c:v>
                </c:pt>
                <c:pt idx="5">
                  <c:v>4347.02</c:v>
                </c:pt>
                <c:pt idx="6">
                  <c:v>4288.7</c:v>
                </c:pt>
                <c:pt idx="7">
                  <c:v>4324.07</c:v>
                </c:pt>
                <c:pt idx="8">
                  <c:v>4240.11</c:v>
                </c:pt>
                <c:pt idx="9">
                  <c:v>4433.65</c:v>
                </c:pt>
                <c:pt idx="10">
                  <c:v>4434.97</c:v>
                </c:pt>
              </c:numCache>
            </c:numRef>
          </c:val>
        </c:ser>
        <c:ser>
          <c:idx val="5"/>
          <c:order val="5"/>
          <c:tx>
            <c:strRef>
              <c:f>Global_Trends!H4</c:f>
              <c:strCache>
                <c:ptCount val="1"/>
                <c:pt idx="0">
                  <c:v>Solar</c:v>
                </c:pt>
              </c:strCache>
            </c:strRef>
          </c:tx>
          <c:spPr>
            <a:solidFill>
              <a:srgbClr val="f2b701"/>
            </a:solidFill>
            <a:ln w="0">
              <a:solidFill>
                <a:srgbClr val="f2b70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Global_Trends!$H$5:$H$15</c:f>
              <c:numCache>
                <c:formatCode>#,##0</c:formatCode>
                <c:ptCount val="11"/>
                <c:pt idx="0">
                  <c:v>256.01</c:v>
                </c:pt>
                <c:pt idx="1">
                  <c:v>327.47</c:v>
                </c:pt>
                <c:pt idx="2">
                  <c:v>444.65</c:v>
                </c:pt>
                <c:pt idx="3">
                  <c:v>575.16</c:v>
                </c:pt>
                <c:pt idx="4">
                  <c:v>697.94</c:v>
                </c:pt>
                <c:pt idx="5">
                  <c:v>853.39</c:v>
                </c:pt>
                <c:pt idx="6">
                  <c:v>1053.99</c:v>
                </c:pt>
                <c:pt idx="7">
                  <c:v>1333.12</c:v>
                </c:pt>
                <c:pt idx="8">
                  <c:v>1664.14</c:v>
                </c:pt>
                <c:pt idx="9">
                  <c:v>2142.65</c:v>
                </c:pt>
                <c:pt idx="10">
                  <c:v>2778.64</c:v>
                </c:pt>
              </c:numCache>
            </c:numRef>
          </c:val>
        </c:ser>
        <c:ser>
          <c:idx val="6"/>
          <c:order val="6"/>
          <c:tx>
            <c:strRef>
              <c:f>Global_Trends!I4</c:f>
              <c:strCache>
                <c:ptCount val="1"/>
                <c:pt idx="0">
                  <c:v>Wind</c:v>
                </c:pt>
              </c:strCache>
            </c:strRef>
          </c:tx>
          <c:spPr>
            <a:solidFill>
              <a:srgbClr val="59a14f"/>
            </a:solidFill>
            <a:ln w="0">
              <a:solidFill>
                <a:srgbClr val="59a14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Global_Trends!$I$5:$I$15</c:f>
              <c:numCache>
                <c:formatCode>#,##0</c:formatCode>
                <c:ptCount val="11"/>
                <c:pt idx="0">
                  <c:v>829.63</c:v>
                </c:pt>
                <c:pt idx="1">
                  <c:v>960.3</c:v>
                </c:pt>
                <c:pt idx="2">
                  <c:v>1139.44</c:v>
                </c:pt>
                <c:pt idx="3">
                  <c:v>1268.14</c:v>
                </c:pt>
                <c:pt idx="4">
                  <c:v>1420.96</c:v>
                </c:pt>
                <c:pt idx="5">
                  <c:v>1591.47</c:v>
                </c:pt>
                <c:pt idx="6">
                  <c:v>1856.94</c:v>
                </c:pt>
                <c:pt idx="7">
                  <c:v>2107.66</c:v>
                </c:pt>
                <c:pt idx="8">
                  <c:v>2319.18</c:v>
                </c:pt>
                <c:pt idx="9">
                  <c:v>2509.5</c:v>
                </c:pt>
                <c:pt idx="10">
                  <c:v>2713.14</c:v>
                </c:pt>
              </c:numCache>
            </c:numRef>
          </c:val>
        </c:ser>
        <c:ser>
          <c:idx val="7"/>
          <c:order val="7"/>
          <c:tx>
            <c:strRef>
              <c:f>Global_Trends!J4</c:f>
              <c:strCache>
                <c:ptCount val="1"/>
                <c:pt idx="0">
                  <c:v>Bio + Other RE</c:v>
                </c:pt>
              </c:strCache>
            </c:strRef>
          </c:tx>
          <c:spPr>
            <a:solidFill>
              <a:srgbClr val="9c755f"/>
            </a:solidFill>
            <a:ln w="0">
              <a:solidFill>
                <a:srgbClr val="9c75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Global_Trends!$J$5:$J$15</c:f>
              <c:numCache>
                <c:formatCode>#,##0</c:formatCode>
                <c:ptCount val="11"/>
                <c:pt idx="0">
                  <c:v>544.87</c:v>
                </c:pt>
                <c:pt idx="1">
                  <c:v>557.95</c:v>
                </c:pt>
                <c:pt idx="2">
                  <c:v>586.21</c:v>
                </c:pt>
                <c:pt idx="3">
                  <c:v>619.46</c:v>
                </c:pt>
                <c:pt idx="4">
                  <c:v>648.95</c:v>
                </c:pt>
                <c:pt idx="5">
                  <c:v>687.29</c:v>
                </c:pt>
                <c:pt idx="6">
                  <c:v>741.63</c:v>
                </c:pt>
                <c:pt idx="7">
                  <c:v>757.14</c:v>
                </c:pt>
                <c:pt idx="8">
                  <c:v>772.02</c:v>
                </c:pt>
                <c:pt idx="9">
                  <c:v>791.81</c:v>
                </c:pt>
                <c:pt idx="10">
                  <c:v>799.74</c:v>
                </c:pt>
              </c:numCache>
            </c:numRef>
          </c:val>
        </c:ser>
        <c:gapWidth val="40"/>
        <c:overlap val="100"/>
        <c:axId val="89980260"/>
        <c:axId val="7824929"/>
      </c:barChart>
      <c:catAx>
        <c:axId val="899802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4929"/>
        <c:crosses val="autoZero"/>
        <c:auto val="1"/>
        <c:lblAlgn val="ctr"/>
        <c:lblOffset val="100"/>
        <c:noMultiLvlLbl val="0"/>
      </c:catAx>
      <c:valAx>
        <c:axId val="7824929"/>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TWh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98026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World: renewable vs coal share</a:t>
            </a:r>
          </a:p>
        </c:rich>
      </c:tx>
      <c:overlay val="0"/>
      <c:spPr>
        <a:noFill/>
        <a:ln w="0">
          <a:noFill/>
        </a:ln>
      </c:spPr>
    </c:title>
    <c:autoTitleDeleted val="0"/>
    <c:plotArea>
      <c:lineChart>
        <c:grouping val="standard"/>
        <c:varyColors val="0"/>
        <c:ser>
          <c:idx val="0"/>
          <c:order val="0"/>
          <c:tx>
            <c:strRef>
              <c:f>Global_Trends!K4</c:f>
              <c:strCache>
                <c:ptCount val="1"/>
                <c:pt idx="0">
                  <c:v>Renewable Share</c:v>
                </c:pt>
              </c:strCache>
            </c:strRef>
          </c:tx>
          <c:spPr>
            <a:solidFill>
              <a:srgbClr val="59a14f"/>
            </a:solidFill>
            <a:ln w="28080">
              <a:solidFill>
                <a:srgbClr val="59a14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Global_Trends!$K$5:$K$15</c:f>
              <c:numCache>
                <c:formatCode>0.0%</c:formatCode>
                <c:ptCount val="11"/>
                <c:pt idx="0">
                  <c:v>0.229670844729787</c:v>
                </c:pt>
                <c:pt idx="1">
                  <c:v>0.237318740076236</c:v>
                </c:pt>
                <c:pt idx="2">
                  <c:v>0.244657067661427</c:v>
                </c:pt>
                <c:pt idx="3">
                  <c:v>0.250887132153312</c:v>
                </c:pt>
                <c:pt idx="4">
                  <c:v>0.26071483675345</c:v>
                </c:pt>
                <c:pt idx="5">
                  <c:v>0.279873768909901</c:v>
                </c:pt>
                <c:pt idx="6">
                  <c:v>0.281016325024143</c:v>
                </c:pt>
                <c:pt idx="7">
                  <c:v>0.29469744544529</c:v>
                </c:pt>
                <c:pt idx="8">
                  <c:v>0.303230975947014</c:v>
                </c:pt>
                <c:pt idx="9">
                  <c:v>0.319351327164395</c:v>
                </c:pt>
                <c:pt idx="10">
                  <c:v>0.337604552385958</c:v>
                </c:pt>
              </c:numCache>
            </c:numRef>
          </c:val>
          <c:smooth val="0"/>
        </c:ser>
        <c:ser>
          <c:idx val="1"/>
          <c:order val="1"/>
          <c:tx>
            <c:strRef>
              <c:f>Global_Trends!L4</c:f>
              <c:strCache>
                <c:ptCount val="1"/>
                <c:pt idx="0">
                  <c:v>Solar+Wind Share</c:v>
                </c:pt>
              </c:strCache>
            </c:strRef>
          </c:tx>
          <c:spPr>
            <a:solidFill>
              <a:srgbClr val="f2b701"/>
            </a:solidFill>
            <a:ln w="28080">
              <a:solidFill>
                <a:srgbClr val="f2b70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Global_Trends!$L$5:$L$15</c:f>
              <c:numCache>
                <c:formatCode>0.0%</c:formatCode>
                <c:ptCount val="11"/>
                <c:pt idx="0">
                  <c:v>0.0452305711732393</c:v>
                </c:pt>
                <c:pt idx="1">
                  <c:v>0.0521480280434801</c:v>
                </c:pt>
                <c:pt idx="2">
                  <c:v>0.0622651456962902</c:v>
                </c:pt>
                <c:pt idx="3">
                  <c:v>0.0696518240102114</c:v>
                </c:pt>
                <c:pt idx="4">
                  <c:v>0.0789679052429859</c:v>
                </c:pt>
                <c:pt idx="5">
                  <c:v>0.0914877162381734</c:v>
                </c:pt>
                <c:pt idx="6">
                  <c:v>0.103008697738461</c:v>
                </c:pt>
                <c:pt idx="7">
                  <c:v>0.118985011287181</c:v>
                </c:pt>
                <c:pt idx="8">
                  <c:v>0.134275218150205</c:v>
                </c:pt>
                <c:pt idx="9">
                  <c:v>0.150407869582606</c:v>
                </c:pt>
                <c:pt idx="10">
                  <c:v>0.172847774873436</c:v>
                </c:pt>
              </c:numCache>
            </c:numRef>
          </c:val>
          <c:smooth val="0"/>
        </c:ser>
        <c:ser>
          <c:idx val="2"/>
          <c:order val="2"/>
          <c:tx>
            <c:strRef>
              <c:f>Global_Trends!M4</c:f>
              <c:strCache>
                <c:ptCount val="1"/>
                <c:pt idx="0">
                  <c:v>Coal Share</c:v>
                </c:pt>
              </c:strCache>
            </c:strRef>
          </c:tx>
          <c:spPr>
            <a:solidFill>
              <a:srgbClr val="404040"/>
            </a:solidFill>
            <a:ln w="28080">
              <a:solidFill>
                <a:srgbClr val="4040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Global_Trends!$A$5:$A$15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Global_Trends!$M$5:$M$15</c:f>
              <c:numCache>
                <c:formatCode>0.0%</c:formatCode>
                <c:ptCount val="11"/>
                <c:pt idx="0">
                  <c:v>0.386779211202237</c:v>
                </c:pt>
                <c:pt idx="1">
                  <c:v>0.377734160345761</c:v>
                </c:pt>
                <c:pt idx="2">
                  <c:v>0.379506906144832</c:v>
                </c:pt>
                <c:pt idx="3">
                  <c:v>0.379112916969116</c:v>
                </c:pt>
                <c:pt idx="4">
                  <c:v>0.366213334466291</c:v>
                </c:pt>
                <c:pt idx="5">
                  <c:v>0.353138483400053</c:v>
                </c:pt>
                <c:pt idx="6">
                  <c:v>0.35940637819999</c:v>
                </c:pt>
                <c:pt idx="7">
                  <c:v>0.354122864288244</c:v>
                </c:pt>
                <c:pt idx="8">
                  <c:v>0.350440615209534</c:v>
                </c:pt>
                <c:pt idx="9">
                  <c:v>0.340732674797439</c:v>
                </c:pt>
                <c:pt idx="10">
                  <c:v>0.329579964969541</c:v>
                </c:pt>
              </c:numCache>
            </c:numRef>
          </c:val>
          <c:smooth val="0"/>
        </c:ser>
        <c:hiLowLines>
          <c:spPr>
            <a:ln w="0">
              <a:noFill/>
            </a:ln>
          </c:spPr>
        </c:hiLowLines>
        <c:marker val="0"/>
        <c:axId val="16700548"/>
        <c:axId val="94934465"/>
      </c:lineChart>
      <c:catAx>
        <c:axId val="167005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934465"/>
        <c:crosses val="autoZero"/>
        <c:auto val="1"/>
        <c:lblAlgn val="ctr"/>
        <c:lblOffset val="100"/>
        <c:noMultiLvlLbl val="0"/>
      </c:catAx>
      <c:valAx>
        <c:axId val="9493446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70054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15 renewable share</a:t>
            </a:r>
          </a:p>
        </c:rich>
      </c:tx>
      <c:overlay val="0"/>
      <c:spPr>
        <a:noFill/>
        <a:ln w="0">
          <a:noFill/>
        </a:ln>
      </c:spPr>
    </c:title>
    <c:autoTitleDeleted val="0"/>
    <c:plotArea>
      <c:barChart>
        <c:barDir val="bar"/>
        <c:grouping val="clustered"/>
        <c:varyColors val="0"/>
        <c:ser>
          <c:idx val="0"/>
          <c:order val="0"/>
          <c:tx>
            <c:strRef>
              <c:f>Rankings!C5</c:f>
              <c:strCache>
                <c:ptCount val="1"/>
                <c:pt idx="0">
                  <c:v>RE Share</c:v>
                </c:pt>
              </c:strCache>
            </c:strRef>
          </c:tx>
          <c:spPr>
            <a:solidFill>
              <a:srgbClr val="59a1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Rankings!$B$6:$B$20</c:f>
              <c:strCache>
                <c:ptCount val="15"/>
                <c:pt idx="0">
                  <c:v>Paraguay</c:v>
                </c:pt>
                <c:pt idx="1">
                  <c:v>Ethiopia</c:v>
                </c:pt>
                <c:pt idx="2">
                  <c:v>Norway</c:v>
                </c:pt>
                <c:pt idx="3">
                  <c:v>Tajikistan</c:v>
                </c:pt>
                <c:pt idx="4">
                  <c:v>Venezuela</c:v>
                </c:pt>
                <c:pt idx="5">
                  <c:v>Denmark</c:v>
                </c:pt>
                <c:pt idx="6">
                  <c:v>Brazil</c:v>
                </c:pt>
                <c:pt idx="7">
                  <c:v>Austria</c:v>
                </c:pt>
                <c:pt idx="8">
                  <c:v>New Zealand</c:v>
                </c:pt>
                <c:pt idx="9">
                  <c:v>Portugal</c:v>
                </c:pt>
                <c:pt idx="10">
                  <c:v>Laos</c:v>
                </c:pt>
                <c:pt idx="11">
                  <c:v>Ecuador</c:v>
                </c:pt>
                <c:pt idx="12">
                  <c:v>Chile</c:v>
                </c:pt>
                <c:pt idx="13">
                  <c:v>Sweden</c:v>
                </c:pt>
                <c:pt idx="14">
                  <c:v>Switzerland</c:v>
                </c:pt>
              </c:strCache>
            </c:strRef>
          </c:cat>
          <c:val>
            <c:numRef>
              <c:f>Rankings!$C$6:$C$20</c:f>
              <c:numCache>
                <c:formatCode>0.0%</c:formatCode>
                <c:ptCount val="15"/>
                <c:pt idx="0">
                  <c:v>1</c:v>
                </c:pt>
                <c:pt idx="1">
                  <c:v>1</c:v>
                </c:pt>
                <c:pt idx="2">
                  <c:v>0.986060721787283</c:v>
                </c:pt>
                <c:pt idx="3">
                  <c:v>0.945945945945946</c:v>
                </c:pt>
                <c:pt idx="4">
                  <c:v>0.911393984774741</c:v>
                </c:pt>
                <c:pt idx="5">
                  <c:v>0.891899600684541</c:v>
                </c:pt>
                <c:pt idx="6">
                  <c:v>0.873330472563429</c:v>
                </c:pt>
                <c:pt idx="7">
                  <c:v>0.862240346629285</c:v>
                </c:pt>
                <c:pt idx="8">
                  <c:v>0.85980458986594</c:v>
                </c:pt>
                <c:pt idx="9">
                  <c:v>0.851914533530781</c:v>
                </c:pt>
                <c:pt idx="10">
                  <c:v>0.767157331294208</c:v>
                </c:pt>
                <c:pt idx="11">
                  <c:v>0.724433557868953</c:v>
                </c:pt>
                <c:pt idx="12">
                  <c:v>0.700406228842248</c:v>
                </c:pt>
                <c:pt idx="13">
                  <c:v>0.693581179204182</c:v>
                </c:pt>
                <c:pt idx="14">
                  <c:v>0.674492790608651</c:v>
                </c:pt>
              </c:numCache>
            </c:numRef>
          </c:val>
        </c:ser>
        <c:gapWidth val="150"/>
        <c:overlap val="0"/>
        <c:axId val="10700535"/>
        <c:axId val="89822442"/>
      </c:barChart>
      <c:catAx>
        <c:axId val="1070053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822442"/>
        <c:crosses val="autoZero"/>
        <c:auto val="1"/>
        <c:lblAlgn val="ctr"/>
        <c:lblOffset val="100"/>
        <c:noMultiLvlLbl val="0"/>
      </c:catAx>
      <c:valAx>
        <c:axId val="89822442"/>
        <c:scaling>
          <c:orientation val="minMax"/>
          <c:max val="1"/>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7005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3.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4.xml.rels><?xml version="1.0" encoding="UTF-8"?>
<Relationships xmlns="http://schemas.openxmlformats.org/package/2006/relationships"><Relationship Id="rId1"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0</xdr:rowOff>
    </xdr:from>
    <xdr:to>
      <xdr:col>8</xdr:col>
      <xdr:colOff>220320</xdr:colOff>
      <xdr:row>21</xdr:row>
      <xdr:rowOff>32760</xdr:rowOff>
    </xdr:to>
    <xdr:graphicFrame>
      <xdr:nvGraphicFramePr>
        <xdr:cNvPr id="0" name="Chart 1"/>
        <xdr:cNvGraphicFramePr/>
      </xdr:nvGraphicFramePr>
      <xdr:xfrm>
        <a:off x="0" y="2038320"/>
        <a:ext cx="55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7</xdr:row>
      <xdr:rowOff>0</xdr:rowOff>
    </xdr:from>
    <xdr:to>
      <xdr:col>15</xdr:col>
      <xdr:colOff>349920</xdr:colOff>
      <xdr:row>21</xdr:row>
      <xdr:rowOff>32760</xdr:rowOff>
    </xdr:to>
    <xdr:graphicFrame>
      <xdr:nvGraphicFramePr>
        <xdr:cNvPr id="1" name="Chart 2"/>
        <xdr:cNvGraphicFramePr/>
      </xdr:nvGraphicFramePr>
      <xdr:xfrm>
        <a:off x="5359320" y="203832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24</xdr:row>
      <xdr:rowOff>0</xdr:rowOff>
    </xdr:from>
    <xdr:to>
      <xdr:col>8</xdr:col>
      <xdr:colOff>220320</xdr:colOff>
      <xdr:row>41</xdr:row>
      <xdr:rowOff>1080</xdr:rowOff>
    </xdr:to>
    <xdr:graphicFrame>
      <xdr:nvGraphicFramePr>
        <xdr:cNvPr id="2" name="Chart 3"/>
        <xdr:cNvGraphicFramePr/>
      </xdr:nvGraphicFramePr>
      <xdr:xfrm>
        <a:off x="0" y="5276880"/>
        <a:ext cx="55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24</xdr:row>
      <xdr:rowOff>0</xdr:rowOff>
    </xdr:from>
    <xdr:to>
      <xdr:col>15</xdr:col>
      <xdr:colOff>349920</xdr:colOff>
      <xdr:row>41</xdr:row>
      <xdr:rowOff>1080</xdr:rowOff>
    </xdr:to>
    <xdr:graphicFrame>
      <xdr:nvGraphicFramePr>
        <xdr:cNvPr id="3" name="Chart 4"/>
        <xdr:cNvGraphicFramePr/>
      </xdr:nvGraphicFramePr>
      <xdr:xfrm>
        <a:off x="5359320" y="5276880"/>
        <a:ext cx="503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131040</xdr:rowOff>
    </xdr:from>
    <xdr:to>
      <xdr:col>7</xdr:col>
      <xdr:colOff>120960</xdr:colOff>
      <xdr:row>33</xdr:row>
      <xdr:rowOff>153000</xdr:rowOff>
    </xdr:to>
    <xdr:graphicFrame>
      <xdr:nvGraphicFramePr>
        <xdr:cNvPr id="4" name="Chart 1"/>
        <xdr:cNvGraphicFramePr/>
      </xdr:nvGraphicFramePr>
      <xdr:xfrm>
        <a:off x="0" y="40482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18</xdr:row>
      <xdr:rowOff>131040</xdr:rowOff>
    </xdr:from>
    <xdr:to>
      <xdr:col>15</xdr:col>
      <xdr:colOff>324720</xdr:colOff>
      <xdr:row>33</xdr:row>
      <xdr:rowOff>153000</xdr:rowOff>
    </xdr:to>
    <xdr:graphicFrame>
      <xdr:nvGraphicFramePr>
        <xdr:cNvPr id="5" name="Chart 2"/>
        <xdr:cNvGraphicFramePr/>
      </xdr:nvGraphicFramePr>
      <xdr:xfrm>
        <a:off x="7330320" y="404820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130680</xdr:rowOff>
    </xdr:from>
    <xdr:to>
      <xdr:col>7</xdr:col>
      <xdr:colOff>57960</xdr:colOff>
      <xdr:row>34</xdr:row>
      <xdr:rowOff>152640</xdr:rowOff>
    </xdr:to>
    <xdr:graphicFrame>
      <xdr:nvGraphicFramePr>
        <xdr:cNvPr id="6" name="Chart 1"/>
        <xdr:cNvGraphicFramePr/>
      </xdr:nvGraphicFramePr>
      <xdr:xfrm>
        <a:off x="0" y="401940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19</xdr:row>
      <xdr:rowOff>130680</xdr:rowOff>
    </xdr:from>
    <xdr:to>
      <xdr:col>16</xdr:col>
      <xdr:colOff>324720</xdr:colOff>
      <xdr:row>34</xdr:row>
      <xdr:rowOff>152640</xdr:rowOff>
    </xdr:to>
    <xdr:graphicFrame>
      <xdr:nvGraphicFramePr>
        <xdr:cNvPr id="7" name="Chart 2"/>
        <xdr:cNvGraphicFramePr/>
      </xdr:nvGraphicFramePr>
      <xdr:xfrm>
        <a:off x="8599320" y="401940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131040</xdr:rowOff>
    </xdr:from>
    <xdr:to>
      <xdr:col>18</xdr:col>
      <xdr:colOff>399240</xdr:colOff>
      <xdr:row>18</xdr:row>
      <xdr:rowOff>132120</xdr:rowOff>
    </xdr:to>
    <xdr:graphicFrame>
      <xdr:nvGraphicFramePr>
        <xdr:cNvPr id="8" name="Chart 1"/>
        <xdr:cNvGraphicFramePr/>
      </xdr:nvGraphicFramePr>
      <xdr:xfrm>
        <a:off x="11395800" y="571680"/>
        <a:ext cx="46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nergy" displayName="tblEnergy" ref="A1:AB2203" headerRowCount="1" totalsRowCount="0" totalsRowShown="0">
  <autoFilter ref="A1:AB2203"/>
  <tableColumns count="28">
    <tableColumn id="1" name="Country"/>
    <tableColumn id="2" name="ISO_Code"/>
    <tableColumn id="3" name="Entity_Type"/>
    <tableColumn id="4" name="Year"/>
    <tableColumn id="5" name="Population"/>
    <tableColumn id="6" name="Total_Gen_TWh"/>
    <tableColumn id="7" name="Coal_TWh"/>
    <tableColumn id="8" name="Gas_TWh"/>
    <tableColumn id="9" name="Oil_TWh"/>
    <tableColumn id="10" name="Nuclear_TWh"/>
    <tableColumn id="11" name="Hydro_TWh"/>
    <tableColumn id="12" name="Solar_TWh"/>
    <tableColumn id="13" name="Wind_TWh"/>
    <tableColumn id="14" name="Bioenergy_TWh"/>
    <tableColumn id="15" name="Other_RE_TWh"/>
    <tableColumn id="16" name="Carbon_Intensity_g_kWh"/>
    <tableColumn id="17" name="Fields_Filled"/>
    <tableColumn id="18" name="Fossil_TWh"/>
    <tableColumn id="19" name="Renewable_TWh"/>
    <tableColumn id="20" name="Solar_Wind_TWh"/>
    <tableColumn id="21" name="Low_Carbon_TWh"/>
    <tableColumn id="22" name="Renewable_Share"/>
    <tableColumn id="23" name="Fossil_Share"/>
    <tableColumn id="24" name="Solar_Wind_Share"/>
    <tableColumn id="25" name="Coal_Share"/>
    <tableColumn id="26" name="kWh_per_Person"/>
    <tableColumn id="27" name="Mix_Check"/>
    <tableColumn id="28" name="Ke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5.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Relationship Id="rId3"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30" hidden="false" customHeight="true" outlineLevel="0" collapsed="false">
      <c r="A5" s="5" t="s">
        <v>3</v>
      </c>
      <c r="B5" s="6" t="s">
        <v>4</v>
      </c>
    </row>
    <row r="6" customFormat="false" ht="120" hidden="false" customHeight="true" outlineLevel="0" collapsed="false">
      <c r="A6" s="5" t="s">
        <v>5</v>
      </c>
      <c r="B6" s="6" t="s">
        <v>6</v>
      </c>
    </row>
    <row r="7" customFormat="false" ht="15" hidden="false" customHeight="false" outlineLevel="0" collapsed="false">
      <c r="A7" s="3" t="s">
        <v>7</v>
      </c>
      <c r="B7" s="4"/>
    </row>
    <row r="8" customFormat="false" ht="45" hidden="false" customHeight="true" outlineLevel="0" collapsed="false">
      <c r="A8" s="5" t="s">
        <v>8</v>
      </c>
      <c r="B8" s="6" t="s">
        <v>9</v>
      </c>
    </row>
    <row r="9" customFormat="false" ht="30" hidden="false" customHeight="true" outlineLevel="0" collapsed="false">
      <c r="A9" s="5" t="s">
        <v>10</v>
      </c>
      <c r="B9" s="6" t="s">
        <v>11</v>
      </c>
    </row>
    <row r="10" customFormat="false" ht="45" hidden="false" customHeight="true" outlineLevel="0" collapsed="false">
      <c r="A10" s="5" t="s">
        <v>12</v>
      </c>
      <c r="B10" s="6" t="s">
        <v>13</v>
      </c>
    </row>
    <row r="11" customFormat="false" ht="15" hidden="false" customHeight="false" outlineLevel="0" collapsed="false">
      <c r="A11" s="3" t="s">
        <v>14</v>
      </c>
      <c r="B11" s="4"/>
    </row>
    <row r="12" customFormat="false" ht="30" hidden="false" customHeight="true" outlineLevel="0" collapsed="false">
      <c r="A12" s="5" t="s">
        <v>15</v>
      </c>
      <c r="B12" s="6" t="s">
        <v>16</v>
      </c>
    </row>
    <row r="13" customFormat="false" ht="15" hidden="false" customHeight="true" outlineLevel="0" collapsed="false">
      <c r="A13" s="5" t="s">
        <v>17</v>
      </c>
      <c r="B13" s="6" t="s">
        <v>18</v>
      </c>
    </row>
    <row r="14" customFormat="false" ht="15" hidden="false" customHeight="true" outlineLevel="0" collapsed="false">
      <c r="A14" s="5" t="s">
        <v>19</v>
      </c>
      <c r="B14" s="6" t="s">
        <v>20</v>
      </c>
    </row>
    <row r="15" customFormat="false" ht="15" hidden="false" customHeight="true" outlineLevel="0" collapsed="false">
      <c r="A15" s="5" t="s">
        <v>21</v>
      </c>
      <c r="B15" s="6" t="s">
        <v>22</v>
      </c>
    </row>
    <row r="16" customFormat="false" ht="30" hidden="false" customHeight="true" outlineLevel="0" collapsed="false">
      <c r="A16" s="5" t="s">
        <v>23</v>
      </c>
      <c r="B16" s="6" t="s">
        <v>24</v>
      </c>
    </row>
    <row r="17" customFormat="false" ht="30" hidden="false" customHeight="true" outlineLevel="0" collapsed="false">
      <c r="A17" s="5" t="s">
        <v>25</v>
      </c>
      <c r="B17" s="6" t="s">
        <v>26</v>
      </c>
    </row>
    <row r="18" customFormat="false" ht="30" hidden="false" customHeight="true" outlineLevel="0" collapsed="false">
      <c r="A18" s="5" t="s">
        <v>27</v>
      </c>
      <c r="B18" s="6" t="s">
        <v>28</v>
      </c>
    </row>
    <row r="19" customFormat="false" ht="30" hidden="false" customHeight="true" outlineLevel="0" collapsed="false">
      <c r="A19" s="5" t="s">
        <v>29</v>
      </c>
      <c r="B19" s="6" t="s">
        <v>30</v>
      </c>
    </row>
    <row r="20" customFormat="false" ht="15" hidden="false" customHeight="true" outlineLevel="0" collapsed="false">
      <c r="A20" s="5" t="s">
        <v>31</v>
      </c>
      <c r="B20" s="6" t="s">
        <v>32</v>
      </c>
    </row>
    <row r="21" customFormat="false" ht="15" hidden="false" customHeight="true" outlineLevel="0" collapsed="false">
      <c r="A21" s="5" t="s">
        <v>33</v>
      </c>
      <c r="B21" s="6" t="s">
        <v>34</v>
      </c>
    </row>
    <row r="22" customFormat="false" ht="15" hidden="false" customHeight="true" outlineLevel="0" collapsed="false">
      <c r="A22" s="5" t="s">
        <v>35</v>
      </c>
      <c r="B22" s="6" t="s">
        <v>36</v>
      </c>
    </row>
    <row r="23" customFormat="false" ht="15" hidden="false" customHeight="false" outlineLevel="0" collapsed="false">
      <c r="A23" s="3" t="s">
        <v>37</v>
      </c>
      <c r="B23" s="4"/>
    </row>
    <row r="24" customFormat="false" ht="30" hidden="false" customHeight="true" outlineLevel="0" collapsed="false">
      <c r="A24" s="5" t="s">
        <v>38</v>
      </c>
      <c r="B24" s="6" t="s">
        <v>39</v>
      </c>
    </row>
    <row r="25" customFormat="false" ht="30" hidden="false" customHeight="true" outlineLevel="0" collapsed="false">
      <c r="A25" s="5" t="s">
        <v>40</v>
      </c>
      <c r="B25" s="6" t="s">
        <v>41</v>
      </c>
    </row>
    <row r="26" customFormat="false" ht="30" hidden="false" customHeight="true" outlineLevel="0" collapsed="false">
      <c r="A26" s="5" t="s">
        <v>42</v>
      </c>
      <c r="B26" s="6" t="s">
        <v>43</v>
      </c>
    </row>
    <row r="27" customFormat="false" ht="15" hidden="false" customHeight="false" outlineLevel="0" collapsed="false">
      <c r="A27" s="3" t="s">
        <v>44</v>
      </c>
      <c r="B27" s="4"/>
    </row>
    <row r="28" customFormat="false" ht="45" hidden="false" customHeight="true" outlineLevel="0" collapsed="false">
      <c r="A28" s="5" t="s">
        <v>45</v>
      </c>
      <c r="B28" s="6" t="s">
        <v>46</v>
      </c>
    </row>
    <row r="29" customFormat="false" ht="30" hidden="false" customHeight="true" outlineLevel="0" collapsed="false">
      <c r="A29" s="5" t="s">
        <v>47</v>
      </c>
      <c r="B29" s="6" t="s">
        <v>48</v>
      </c>
    </row>
    <row r="30" customFormat="false" ht="15" hidden="false" customHeight="false" outlineLevel="0" collapsed="false">
      <c r="A30" s="3" t="s">
        <v>49</v>
      </c>
      <c r="B30" s="4"/>
    </row>
    <row r="31" customFormat="false" ht="45" hidden="false" customHeight="true" outlineLevel="0" collapsed="false">
      <c r="A31" s="5" t="s">
        <v>50</v>
      </c>
      <c r="B31" s="6" t="s">
        <v>51</v>
      </c>
    </row>
    <row r="32" customFormat="false" ht="30" hidden="false" customHeight="true" outlineLevel="0" collapsed="false">
      <c r="A32" s="5" t="s">
        <v>52</v>
      </c>
      <c r="B32" s="6" t="s">
        <v>53</v>
      </c>
    </row>
    <row r="33" customFormat="false" ht="30" hidden="false" customHeight="true" outlineLevel="0" collapsed="false">
      <c r="A33" s="5" t="s">
        <v>54</v>
      </c>
      <c r="B33" s="6"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 style="0" width="9.51"/>
  </cols>
  <sheetData>
    <row r="1" customFormat="false" ht="36" hidden="false" customHeight="true" outlineLevel="0" collapsed="false">
      <c r="A1" s="7" t="s">
        <v>56</v>
      </c>
      <c r="B1" s="7"/>
      <c r="C1" s="7"/>
      <c r="D1" s="7"/>
      <c r="E1" s="7"/>
      <c r="F1" s="7"/>
      <c r="G1" s="7"/>
      <c r="H1" s="7"/>
      <c r="I1" s="7"/>
      <c r="J1" s="7"/>
      <c r="K1" s="7"/>
      <c r="L1" s="7"/>
      <c r="M1" s="7"/>
      <c r="N1" s="7"/>
      <c r="O1" s="7"/>
      <c r="P1" s="7"/>
    </row>
    <row r="2" customFormat="false" ht="15" hidden="false" customHeight="false" outlineLevel="0" collapsed="false">
      <c r="A2" s="8" t="str">
        <f aca="false">"Source: Our World in Data – Energy (Oct 2026 release) · World totals to 2025 · Country comparisons for "&amp;Inputs!$B$6&amp;" (≥ "&amp;Inputs!$B$7&amp;" TWh)"</f>
        <v>Source: Our World in Data – Energy (Oct 2026 release) · World totals to 2025 · Country comparisons for 2024 (≥ 20 TWh)</v>
      </c>
      <c r="B2" s="8"/>
      <c r="C2" s="8"/>
      <c r="D2" s="8"/>
      <c r="E2" s="8"/>
      <c r="F2" s="8"/>
      <c r="G2" s="8"/>
      <c r="H2" s="8"/>
      <c r="I2" s="8"/>
      <c r="J2" s="8"/>
      <c r="K2" s="8"/>
      <c r="L2" s="8"/>
      <c r="M2" s="8"/>
      <c r="N2" s="8"/>
      <c r="O2" s="8"/>
      <c r="P2" s="8"/>
    </row>
    <row r="4" customFormat="false" ht="27.75" hidden="false" customHeight="true" outlineLevel="0" collapsed="false">
      <c r="A4" s="9" t="s">
        <v>57</v>
      </c>
      <c r="B4" s="9"/>
      <c r="C4" s="9"/>
      <c r="D4" s="9" t="s">
        <v>58</v>
      </c>
      <c r="E4" s="9"/>
      <c r="F4" s="9"/>
      <c r="G4" s="9" t="s">
        <v>59</v>
      </c>
      <c r="H4" s="9"/>
      <c r="I4" s="9"/>
      <c r="J4" s="9" t="s">
        <v>60</v>
      </c>
      <c r="K4" s="9"/>
      <c r="L4" s="9" t="s">
        <v>61</v>
      </c>
      <c r="M4" s="9"/>
      <c r="N4" s="9" t="s">
        <v>62</v>
      </c>
      <c r="O4" s="9"/>
      <c r="P4" s="9"/>
    </row>
    <row r="5" customFormat="false" ht="33.75" hidden="false" customHeight="true" outlineLevel="0" collapsed="false">
      <c r="A5" s="10" t="n">
        <f aca="false">Global_Trends!K15</f>
        <v>0.337604552385958</v>
      </c>
      <c r="B5" s="10"/>
      <c r="C5" s="10"/>
      <c r="D5" s="10" t="n">
        <f aca="false">Global_Trends!L15</f>
        <v>0.172847774873436</v>
      </c>
      <c r="E5" s="10"/>
      <c r="F5" s="10"/>
      <c r="G5" s="10" t="n">
        <f aca="false">Global_Trends!M15</f>
        <v>0.329579964969541</v>
      </c>
      <c r="H5" s="10"/>
      <c r="I5" s="10"/>
      <c r="J5" s="11" t="n">
        <f aca="false">Global_Trends!H18</f>
        <v>10.8536385297449</v>
      </c>
      <c r="K5" s="11"/>
      <c r="L5" s="10" t="n">
        <f aca="false">INDEX(Country_Summary!$F$6:$F$217,MATCH("India",Country_Summary!$A$6:$A$217,0))</f>
        <v>0.198078094003496</v>
      </c>
      <c r="M5" s="10"/>
      <c r="N5" s="12" t="n">
        <f aca="false">COUNTIFS(Country_Summary!$M$6:$M$217,"Yes",Country_Summary!$F$6:$F$217,"&gt;="&amp;Inputs!$B$8)</f>
        <v>25</v>
      </c>
      <c r="O5" s="12"/>
      <c r="P5" s="12"/>
    </row>
    <row r="6" customFormat="false" ht="18" hidden="false" customHeight="true" outlineLevel="0" collapsed="false">
      <c r="A6" s="13" t="str">
        <f aca="false">TEXT((Global_Trends!K15-Global_Trends!K5)*100,"+0.0")&amp;" pp since 2015"</f>
        <v>+10.8 pp since 2015</v>
      </c>
      <c r="B6" s="13"/>
      <c r="C6" s="13"/>
      <c r="D6" s="13" t="str">
        <f aca="false">TEXT((Global_Trends!L15-Global_Trends!L5)*100,"+0.0")&amp;" pp since 2015"</f>
        <v>+12.8 pp since 2015</v>
      </c>
      <c r="E6" s="13"/>
      <c r="F6" s="13"/>
      <c r="G6" s="13" t="str">
        <f aca="false">TEXT((Global_Trends!M15-Global_Trends!M5)*100,"+0.0;-0.0")&amp;" pp since 2015"</f>
        <v>-5.7 pp since 2015</v>
      </c>
      <c r="H6" s="13"/>
      <c r="I6" s="13"/>
      <c r="J6" s="13" t="str">
        <f aca="false">"2015 → 2025"</f>
        <v>2015 → 2025</v>
      </c>
      <c r="K6" s="13"/>
      <c r="L6" s="13" t="str">
        <f aca="false">"in "&amp;Inputs!$B$6&amp;" · rank "&amp;Rankings!I25&amp;" of "&amp;Rankings!J25</f>
        <v>in 2024 · rank 52 of 83</v>
      </c>
      <c r="M6" s="13"/>
      <c r="N6" s="13" t="str">
        <f aca="false">"of "&amp;COUNTIF(Country_Summary!$M$6:$M$217,"Yes")&amp;" ranked · target "&amp;TEXT(Inputs!$B$8,"0%")</f>
        <v>of 83 ranked · target 50%</v>
      </c>
      <c r="O6" s="13"/>
      <c r="P6" s="13"/>
    </row>
    <row r="23" customFormat="false" ht="15" hidden="false" customHeight="false" outlineLevel="0" collapsed="false">
      <c r="I23" s="14" t="s">
        <v>63</v>
      </c>
    </row>
  </sheetData>
  <mergeCells count="20">
    <mergeCell ref="A1:P1"/>
    <mergeCell ref="A2:P2"/>
    <mergeCell ref="A4:C4"/>
    <mergeCell ref="D4:F4"/>
    <mergeCell ref="G4:I4"/>
    <mergeCell ref="J4:K4"/>
    <mergeCell ref="L4:M4"/>
    <mergeCell ref="N4:P4"/>
    <mergeCell ref="A5:C5"/>
    <mergeCell ref="D5:F5"/>
    <mergeCell ref="G5:I5"/>
    <mergeCell ref="J5:K5"/>
    <mergeCell ref="L5:M5"/>
    <mergeCell ref="N5:P5"/>
    <mergeCell ref="A6:C6"/>
    <mergeCell ref="D6:F6"/>
    <mergeCell ref="G6:I6"/>
    <mergeCell ref="J6:K6"/>
    <mergeCell ref="L6:M6"/>
    <mergeCell ref="N6:P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100"/>
  </cols>
  <sheetData>
    <row r="1" customFormat="false" ht="19.7" hidden="false" customHeight="false" outlineLevel="0" collapsed="false">
      <c r="A1" s="1" t="s">
        <v>64</v>
      </c>
    </row>
    <row r="2" customFormat="false" ht="15" hidden="false" customHeight="false" outlineLevel="0" collapsed="false">
      <c r="A2" s="2" t="s">
        <v>65</v>
      </c>
    </row>
    <row r="4" customFormat="false" ht="15" hidden="false" customHeight="false" outlineLevel="0" collapsed="false">
      <c r="A4" s="15" t="s">
        <v>66</v>
      </c>
      <c r="B4" s="15" t="s">
        <v>67</v>
      </c>
      <c r="C4" s="15" t="s">
        <v>68</v>
      </c>
    </row>
    <row r="5" customFormat="false" ht="15" hidden="false" customHeight="false" outlineLevel="0" collapsed="false">
      <c r="A5" s="16" t="s">
        <v>69</v>
      </c>
      <c r="B5" s="17" t="n">
        <v>2015</v>
      </c>
      <c r="C5" s="2" t="s">
        <v>70</v>
      </c>
    </row>
    <row r="6" customFormat="false" ht="15" hidden="false" customHeight="false" outlineLevel="0" collapsed="false">
      <c r="A6" s="16" t="s">
        <v>71</v>
      </c>
      <c r="B6" s="17" t="n">
        <v>2024</v>
      </c>
      <c r="C6" s="2" t="s">
        <v>72</v>
      </c>
    </row>
    <row r="7" customFormat="false" ht="15" hidden="false" customHeight="false" outlineLevel="0" collapsed="false">
      <c r="A7" s="16" t="s">
        <v>73</v>
      </c>
      <c r="B7" s="17" t="n">
        <v>20</v>
      </c>
      <c r="C7" s="2" t="s">
        <v>74</v>
      </c>
    </row>
    <row r="8" customFormat="false" ht="15" hidden="false" customHeight="false" outlineLevel="0" collapsed="false">
      <c r="A8" s="16" t="s">
        <v>75</v>
      </c>
      <c r="B8" s="18" t="n">
        <v>0.5</v>
      </c>
      <c r="C8" s="2" t="s">
        <v>76</v>
      </c>
    </row>
    <row r="11" customFormat="false" ht="15" hidden="false" customHeight="false" outlineLevel="0" collapsed="false">
      <c r="A11" s="19" t="s">
        <v>77</v>
      </c>
    </row>
    <row r="12" customFormat="false" ht="15" hidden="false" customHeight="false" outlineLevel="0" collapsed="false">
      <c r="A12" s="15" t="s">
        <v>78</v>
      </c>
      <c r="B12" s="15" t="s">
        <v>79</v>
      </c>
    </row>
    <row r="13" customFormat="false" ht="15" hidden="false" customHeight="false" outlineLevel="0" collapsed="false">
      <c r="A13" s="20" t="n">
        <v>2015</v>
      </c>
      <c r="B13" s="21" t="n">
        <f aca="false">COUNTIFS(Clean_Data!$D:$D,A13,Clean_Data!$C:$C,"Country")</f>
        <v>212</v>
      </c>
    </row>
    <row r="14" customFormat="false" ht="15" hidden="false" customHeight="false" outlineLevel="0" collapsed="false">
      <c r="A14" s="20" t="n">
        <v>2016</v>
      </c>
      <c r="B14" s="21" t="n">
        <f aca="false">COUNTIFS(Clean_Data!$D:$D,A14,Clean_Data!$C:$C,"Country")</f>
        <v>212</v>
      </c>
    </row>
    <row r="15" customFormat="false" ht="15" hidden="false" customHeight="false" outlineLevel="0" collapsed="false">
      <c r="A15" s="20" t="n">
        <v>2017</v>
      </c>
      <c r="B15" s="21" t="n">
        <f aca="false">COUNTIFS(Clean_Data!$D:$D,A15,Clean_Data!$C:$C,"Country")</f>
        <v>212</v>
      </c>
    </row>
    <row r="16" customFormat="false" ht="15" hidden="false" customHeight="false" outlineLevel="0" collapsed="false">
      <c r="A16" s="20" t="n">
        <v>2018</v>
      </c>
      <c r="B16" s="21" t="n">
        <f aca="false">COUNTIFS(Clean_Data!$D:$D,A16,Clean_Data!$C:$C,"Country")</f>
        <v>212</v>
      </c>
    </row>
    <row r="17" customFormat="false" ht="15" hidden="false" customHeight="false" outlineLevel="0" collapsed="false">
      <c r="A17" s="20" t="n">
        <v>2019</v>
      </c>
      <c r="B17" s="21" t="n">
        <f aca="false">COUNTIFS(Clean_Data!$D:$D,A17,Clean_Data!$C:$C,"Country")</f>
        <v>212</v>
      </c>
    </row>
    <row r="18" customFormat="false" ht="15" hidden="false" customHeight="false" outlineLevel="0" collapsed="false">
      <c r="A18" s="20" t="n">
        <v>2020</v>
      </c>
      <c r="B18" s="21" t="n">
        <f aca="false">COUNTIFS(Clean_Data!$D:$D,A18,Clean_Data!$C:$C,"Country")</f>
        <v>212</v>
      </c>
    </row>
    <row r="19" customFormat="false" ht="15" hidden="false" customHeight="false" outlineLevel="0" collapsed="false">
      <c r="A19" s="20" t="n">
        <v>2021</v>
      </c>
      <c r="B19" s="21" t="n">
        <f aca="false">COUNTIFS(Clean_Data!$D:$D,A19,Clean_Data!$C:$C,"Country")</f>
        <v>212</v>
      </c>
    </row>
    <row r="20" customFormat="false" ht="15" hidden="false" customHeight="false" outlineLevel="0" collapsed="false">
      <c r="A20" s="20" t="n">
        <v>2022</v>
      </c>
      <c r="B20" s="21" t="n">
        <f aca="false">COUNTIFS(Clean_Data!$D:$D,A20,Clean_Data!$C:$C,"Country")</f>
        <v>212</v>
      </c>
    </row>
    <row r="21" customFormat="false" ht="15" hidden="false" customHeight="false" outlineLevel="0" collapsed="false">
      <c r="A21" s="20" t="n">
        <v>2023</v>
      </c>
      <c r="B21" s="21" t="n">
        <f aca="false">COUNTIFS(Clean_Data!$D:$D,A21,Clean_Data!$C:$C,"Country")</f>
        <v>210</v>
      </c>
    </row>
    <row r="22" customFormat="false" ht="15" hidden="false" customHeight="false" outlineLevel="0" collapsed="false">
      <c r="A22" s="20" t="n">
        <v>2024</v>
      </c>
      <c r="B22" s="21" t="n">
        <f aca="false">COUNTIFS(Clean_Data!$D:$D,A22,Clean_Data!$C:$C,"Country")</f>
        <v>195</v>
      </c>
    </row>
    <row r="23" customFormat="false" ht="15" hidden="false" customHeight="false" outlineLevel="0" collapsed="false">
      <c r="A23" s="20" t="n">
        <v>2025</v>
      </c>
      <c r="B23" s="21" t="n">
        <f aca="false">COUNTIFS(Clean_Data!$D:$D,A23,Clean_Data!$C:$C,"Country")</f>
        <v>90</v>
      </c>
    </row>
  </sheetData>
  <conditionalFormatting sqref="B13:B23">
    <cfRule type="dataBar" priority="2">
      <dataBar showValue="1" minLength="10" maxLength="90">
        <cfvo type="num" val="0"/>
        <cfvo type="max" val="0"/>
        <color rgb="FF5B9BD5"/>
      </dataBar>
      <extLst>
        <ext xmlns:x14="http://schemas.microsoft.com/office/spreadsheetml/2009/9/main" uri="{B025F937-C7B1-47D3-B67F-A62EFF666E3E}">
          <x14:id>{A99BC67E-7B1C-4698-A3D3-86D5C227B0A1}</x14:id>
        </ext>
      </extLst>
    </cfRule>
  </conditionalFormatting>
  <dataValidations count="1">
    <dataValidation allowBlank="false" error="Enter a year between 2015 and 2025." errorStyle="stop" errorTitle="Year out of range" operator="between" showDropDown="false" showErrorMessage="true" showInputMessage="false" sqref="B5:B6" type="whole">
      <formula1>2015</formula1>
      <formula2>2025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99BC67E-7B1C-4698-A3D3-86D5C227B0A1}">
            <x14:dataBar minLength="10" maxLength="90" axisPosition="none" gradient="true">
              <x14:cfvo type="num">
                <xm:f>0</xm:f>
              </x14:cfvo>
              <x14:cfvo type="max"/>
              <x14:negativeFillColor rgb="FF5B9BD5"/>
              <x14:axisColor rgb="FF000000"/>
            </x14:dataBar>
          </x14:cfRule>
          <xm:sqref>B13:B23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P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6" min="2" style="0" width="12"/>
  </cols>
  <sheetData>
    <row r="1" customFormat="false" ht="19.7" hidden="false" customHeight="false" outlineLevel="0" collapsed="false">
      <c r="A1" s="1" t="s">
        <v>80</v>
      </c>
    </row>
    <row r="2" customFormat="false" ht="15" hidden="false" customHeight="false" outlineLevel="0" collapsed="false">
      <c r="A2" s="2" t="s">
        <v>81</v>
      </c>
    </row>
    <row r="3" customFormat="false" ht="15" hidden="false" customHeight="false" outlineLevel="0" collapsed="false">
      <c r="G3" s="19" t="s">
        <v>82</v>
      </c>
    </row>
    <row r="4" customFormat="false" ht="25.5" hidden="false" customHeight="true" outlineLevel="0" collapsed="false">
      <c r="B4" s="22" t="s">
        <v>83</v>
      </c>
      <c r="C4" s="23" t="s">
        <v>84</v>
      </c>
      <c r="D4" s="23"/>
      <c r="E4" s="23"/>
      <c r="G4" s="24" t="s">
        <v>85</v>
      </c>
      <c r="H4" s="24"/>
      <c r="I4" s="24" t="s">
        <v>86</v>
      </c>
      <c r="J4" s="24"/>
      <c r="K4" s="24" t="s">
        <v>87</v>
      </c>
      <c r="L4" s="24"/>
      <c r="M4" s="24" t="s">
        <v>88</v>
      </c>
      <c r="N4" s="24"/>
    </row>
    <row r="5" customFormat="false" ht="21.75" hidden="false" customHeight="true" outlineLevel="0" collapsed="false">
      <c r="G5" s="25" t="n">
        <f aca="false">LOOKUP(2,1/ISNUMBER(K7:K17),K7:K17)</f>
        <v>0.240670637970792</v>
      </c>
      <c r="H5" s="25"/>
      <c r="I5" s="26" t="n">
        <f aca="false">IF(ISNUMBER(K7),(LOOKUP(2,1/ISNUMBER(K7:K17),K7:K17)-K7)*100,"")</f>
        <v>9.44201801512337</v>
      </c>
      <c r="J5" s="26"/>
      <c r="K5" s="27" t="n">
        <f aca="false">IFERROR(LOOKUP(2,1/ISNUMBER(H7:H17),H7:H17)/H7,"n/a")</f>
        <v>27.6431593794076</v>
      </c>
      <c r="L5" s="27"/>
      <c r="M5" s="28" t="str">
        <f aca="false">LOOKUP(2,1/ISNUMBER(B7:B17),A7:A17)</f>
        <v>2025</v>
      </c>
      <c r="N5" s="28"/>
    </row>
    <row r="6" customFormat="false" ht="31.5" hidden="false" customHeight="true" outlineLevel="0" collapsed="false">
      <c r="A6" s="15" t="s">
        <v>78</v>
      </c>
      <c r="B6" s="15" t="s">
        <v>89</v>
      </c>
      <c r="C6" s="15" t="s">
        <v>90</v>
      </c>
      <c r="D6" s="15" t="s">
        <v>91</v>
      </c>
      <c r="E6" s="15" t="s">
        <v>92</v>
      </c>
      <c r="F6" s="15" t="s">
        <v>93</v>
      </c>
      <c r="G6" s="15" t="s">
        <v>94</v>
      </c>
      <c r="H6" s="15" t="s">
        <v>95</v>
      </c>
      <c r="I6" s="15" t="s">
        <v>96</v>
      </c>
      <c r="J6" s="15" t="s">
        <v>97</v>
      </c>
      <c r="K6" s="15" t="s">
        <v>98</v>
      </c>
      <c r="L6" s="15" t="s">
        <v>99</v>
      </c>
      <c r="M6" s="15" t="s">
        <v>100</v>
      </c>
      <c r="N6" s="15" t="s">
        <v>101</v>
      </c>
      <c r="O6" s="15" t="s">
        <v>102</v>
      </c>
      <c r="P6" s="15" t="s">
        <v>103</v>
      </c>
    </row>
    <row r="7" customFormat="false" ht="15" hidden="false" customHeight="false" outlineLevel="0" collapsed="false">
      <c r="A7" s="29" t="s">
        <v>104</v>
      </c>
      <c r="B7" s="30" t="n">
        <f aca="false">IF(COUNTIFS(Clean_Data!$AB$2:$AB$2203,$C$4&amp;"|"&amp;A7)&gt;0,SUMIFS(Clean_Data!$F$2:$F$2203,Clean_Data!$AB$2:$AB$2203,$C$4&amp;"|"&amp;A7),"")</f>
        <v>1310.56</v>
      </c>
      <c r="C7" s="30" t="n">
        <f aca="false">IF(COUNTIFS(Clean_Data!$AB$2:$AB$2203,$C$4&amp;"|"&amp;A7)&gt;0,SUMIFS(Clean_Data!$G$2:$G$2203,Clean_Data!$AB$2:$AB$2203,$C$4&amp;"|"&amp;A7),"")</f>
        <v>1006.55</v>
      </c>
      <c r="D7" s="30" t="n">
        <f aca="false">IF(COUNTIFS(Clean_Data!$AB$2:$AB$2203,$C$4&amp;"|"&amp;A7)&gt;0,SUMIFS(Clean_Data!$H$2:$H$2203,Clean_Data!$AB$2:$AB$2203,$C$4&amp;"|"&amp;A7),"")</f>
        <v>64.77</v>
      </c>
      <c r="E7" s="30" t="n">
        <f aca="false">IF(COUNTIFS(Clean_Data!$AB$2:$AB$2203,$C$4&amp;"|"&amp;A7)&gt;0,SUMIFS(Clean_Data!$I$2:$I$2203,Clean_Data!$AB$2:$AB$2203,$C$4&amp;"|"&amp;A7),"")</f>
        <v>9.26</v>
      </c>
      <c r="F7" s="30" t="n">
        <f aca="false">IF(COUNTIFS(Clean_Data!$AB$2:$AB$2203,$C$4&amp;"|"&amp;A7)&gt;0,SUMIFS(Clean_Data!$J$2:$J$2203,Clean_Data!$AB$2:$AB$2203,$C$4&amp;"|"&amp;A7),"")</f>
        <v>38.31</v>
      </c>
      <c r="G7" s="30" t="n">
        <f aca="false">IF(COUNTIFS(Clean_Data!$AB$2:$AB$2203,$C$4&amp;"|"&amp;A7)&gt;0,SUMIFS(Clean_Data!$K$2:$K$2203,Clean_Data!$AB$2:$AB$2203,$C$4&amp;"|"&amp;A7),"")</f>
        <v>133.48</v>
      </c>
      <c r="H7" s="30" t="n">
        <f aca="false">IF(COUNTIFS(Clean_Data!$AB$2:$AB$2203,$C$4&amp;"|"&amp;A7)&gt;0,SUMIFS(Clean_Data!$L$2:$L$2203,Clean_Data!$AB$2:$AB$2203,$C$4&amp;"|"&amp;A7),"")</f>
        <v>7.09</v>
      </c>
      <c r="I7" s="30" t="n">
        <f aca="false">IF(COUNTIFS(Clean_Data!$AB$2:$AB$2203,$C$4&amp;"|"&amp;A7)&gt;0,SUMIFS(Clean_Data!$M$2:$M$2203,Clean_Data!$AB$2:$AB$2203,$C$4&amp;"|"&amp;A7),"")</f>
        <v>32.74</v>
      </c>
      <c r="J7" s="30" t="n">
        <f aca="false">IF(COUNTIFS(Clean_Data!$AB$2:$AB$2203,$C$4&amp;"|"&amp;A7)&gt;0,SUMIFS(Clean_Data!$N$2:$N$2203,Clean_Data!$AB$2:$AB$2203,$C$4&amp;"|"&amp;A7)+SUMIFS(Clean_Data!$O$2:$O$2203,Clean_Data!$AB$2:$AB$2203,$C$4&amp;"|"&amp;A7),"")</f>
        <v>18.36</v>
      </c>
      <c r="K7" s="31" t="n">
        <f aca="false">IF(ISNUMBER(B7),(G7+H7+I7+J7)/B7,"")</f>
        <v>0.146250457819558</v>
      </c>
      <c r="L7" s="31" t="n">
        <f aca="false">IF(ISNUMBER(B7),(H7+I7)/B7,"")</f>
        <v>0.0303915883286534</v>
      </c>
      <c r="M7" s="31" t="n">
        <f aca="false">IF(ISNUMBER(B7),C7/B7,"")</f>
        <v>0.768030460261262</v>
      </c>
      <c r="N7" s="31" t="n">
        <f aca="false">INDEX(Global_Trends!$K$5:$K$15,MATCH(A7,Global_Trends!$A$5:$A$15,0))</f>
        <v>0.229670844729787</v>
      </c>
      <c r="O7" s="32" t="n">
        <f aca="false">IF(COUNTIFS(Clean_Data!$AB$2:$AB$2203,$C$4&amp;"|"&amp;A7,Clean_Data!$P$2:$P$2203,"&lt;&gt;")&gt;0,SUMIFS(Clean_Data!$P$2:$P$2203,Clean_Data!$AB$2:$AB$2203,$C$4&amp;"|"&amp;A7),"")</f>
        <v>750.6</v>
      </c>
      <c r="P7" s="32" t="n">
        <f aca="false">IF(COUNTIFS(Clean_Data!$AB$2:$AB$2203,$C$4&amp;"|"&amp;A7)&gt;0,SUMIFS(Clean_Data!$Z$2:$Z$2203,Clean_Data!$AB$2:$AB$2203,$C$4&amp;"|"&amp;A7),"")</f>
        <v>986.849268158152</v>
      </c>
    </row>
    <row r="8" customFormat="false" ht="15" hidden="false" customHeight="false" outlineLevel="0" collapsed="false">
      <c r="A8" s="29" t="s">
        <v>105</v>
      </c>
      <c r="B8" s="30" t="n">
        <f aca="false">IF(COUNTIFS(Clean_Data!$AB$2:$AB$2203,$C$4&amp;"|"&amp;A8)&gt;0,SUMIFS(Clean_Data!$F$2:$F$2203,Clean_Data!$AB$2:$AB$2203,$C$4&amp;"|"&amp;A8),"")</f>
        <v>1394.93</v>
      </c>
      <c r="C8" s="30" t="n">
        <f aca="false">IF(COUNTIFS(Clean_Data!$AB$2:$AB$2203,$C$4&amp;"|"&amp;A8)&gt;0,SUMIFS(Clean_Data!$G$2:$G$2203,Clean_Data!$AB$2:$AB$2203,$C$4&amp;"|"&amp;A8),"")</f>
        <v>1073.6</v>
      </c>
      <c r="D8" s="30" t="n">
        <f aca="false">IF(COUNTIFS(Clean_Data!$AB$2:$AB$2203,$C$4&amp;"|"&amp;A8)&gt;0,SUMIFS(Clean_Data!$H$2:$H$2203,Clean_Data!$AB$2:$AB$2203,$C$4&amp;"|"&amp;A8),"")</f>
        <v>72.62</v>
      </c>
      <c r="E8" s="30" t="n">
        <f aca="false">IF(COUNTIFS(Clean_Data!$AB$2:$AB$2203,$C$4&amp;"|"&amp;A8)&gt;0,SUMIFS(Clean_Data!$I$2:$I$2203,Clean_Data!$AB$2:$AB$2203,$C$4&amp;"|"&amp;A8),"")</f>
        <v>9.41</v>
      </c>
      <c r="F8" s="30" t="n">
        <f aca="false">IF(COUNTIFS(Clean_Data!$AB$2:$AB$2203,$C$4&amp;"|"&amp;A8)&gt;0,SUMIFS(Clean_Data!$J$2:$J$2203,Clean_Data!$AB$2:$AB$2203,$C$4&amp;"|"&amp;A8),"")</f>
        <v>37.9</v>
      </c>
      <c r="G8" s="30" t="n">
        <f aca="false">IF(COUNTIFS(Clean_Data!$AB$2:$AB$2203,$C$4&amp;"|"&amp;A8)&gt;0,SUMIFS(Clean_Data!$K$2:$K$2203,Clean_Data!$AB$2:$AB$2203,$C$4&amp;"|"&amp;A8),"")</f>
        <v>128.55</v>
      </c>
      <c r="H8" s="30" t="n">
        <f aca="false">IF(COUNTIFS(Clean_Data!$AB$2:$AB$2203,$C$4&amp;"|"&amp;A8)&gt;0,SUMIFS(Clean_Data!$L$2:$L$2203,Clean_Data!$AB$2:$AB$2203,$C$4&amp;"|"&amp;A8),"")</f>
        <v>12.2</v>
      </c>
      <c r="I8" s="30" t="n">
        <f aca="false">IF(COUNTIFS(Clean_Data!$AB$2:$AB$2203,$C$4&amp;"|"&amp;A8)&gt;0,SUMIFS(Clean_Data!$M$2:$M$2203,Clean_Data!$AB$2:$AB$2203,$C$4&amp;"|"&amp;A8),"")</f>
        <v>43.45</v>
      </c>
      <c r="J8" s="30" t="n">
        <f aca="false">IF(COUNTIFS(Clean_Data!$AB$2:$AB$2203,$C$4&amp;"|"&amp;A8)&gt;0,SUMIFS(Clean_Data!$N$2:$N$2203,Clean_Data!$AB$2:$AB$2203,$C$4&amp;"|"&amp;A8)+SUMIFS(Clean_Data!$O$2:$O$2203,Clean_Data!$AB$2:$AB$2203,$C$4&amp;"|"&amp;A8),"")</f>
        <v>17.2</v>
      </c>
      <c r="K8" s="31" t="n">
        <f aca="false">IF(ISNUMBER(B8),(G8+H8+I8+J8)/B8,"")</f>
        <v>0.14438000473142</v>
      </c>
      <c r="L8" s="31" t="n">
        <f aca="false">IF(ISNUMBER(B8),(H8+I8)/B8,"")</f>
        <v>0.0398944749915766</v>
      </c>
      <c r="M8" s="31" t="n">
        <f aca="false">IF(ISNUMBER(B8),C8/B8,"")</f>
        <v>0.769644354913867</v>
      </c>
      <c r="N8" s="31" t="n">
        <f aca="false">INDEX(Global_Trends!$K$5:$K$15,MATCH(A8,Global_Trends!$A$5:$A$15,0))</f>
        <v>0.237318740076236</v>
      </c>
      <c r="O8" s="32" t="n">
        <f aca="false">IF(COUNTIFS(Clean_Data!$AB$2:$AB$2203,$C$4&amp;"|"&amp;A8,Clean_Data!$P$2:$P$2203,"&lt;&gt;")&gt;0,SUMIFS(Clean_Data!$P$2:$P$2203,Clean_Data!$AB$2:$AB$2203,$C$4&amp;"|"&amp;A8),"")</f>
        <v>751.9</v>
      </c>
      <c r="P8" s="32" t="n">
        <f aca="false">IF(COUNTIFS(Clean_Data!$AB$2:$AB$2203,$C$4&amp;"|"&amp;A8)&gt;0,SUMIFS(Clean_Data!$Z$2:$Z$2203,Clean_Data!$AB$2:$AB$2203,$C$4&amp;"|"&amp;A8),"")</f>
        <v>1037.93736403492</v>
      </c>
    </row>
    <row r="9" customFormat="false" ht="15" hidden="false" customHeight="false" outlineLevel="0" collapsed="false">
      <c r="A9" s="29" t="s">
        <v>106</v>
      </c>
      <c r="B9" s="30" t="n">
        <f aca="false">IF(COUNTIFS(Clean_Data!$AB$2:$AB$2203,$C$4&amp;"|"&amp;A9)&gt;0,SUMIFS(Clean_Data!$F$2:$F$2203,Clean_Data!$AB$2:$AB$2203,$C$4&amp;"|"&amp;A9),"")</f>
        <v>1462.39</v>
      </c>
      <c r="C9" s="30" t="n">
        <f aca="false">IF(COUNTIFS(Clean_Data!$AB$2:$AB$2203,$C$4&amp;"|"&amp;A9)&gt;0,SUMIFS(Clean_Data!$G$2:$G$2203,Clean_Data!$AB$2:$AB$2203,$C$4&amp;"|"&amp;A9),"")</f>
        <v>1115.24</v>
      </c>
      <c r="D9" s="30" t="n">
        <f aca="false">IF(COUNTIFS(Clean_Data!$AB$2:$AB$2203,$C$4&amp;"|"&amp;A9)&gt;0,SUMIFS(Clean_Data!$H$2:$H$2203,Clean_Data!$AB$2:$AB$2203,$C$4&amp;"|"&amp;A9),"")</f>
        <v>74.99</v>
      </c>
      <c r="E9" s="30" t="n">
        <f aca="false">IF(COUNTIFS(Clean_Data!$AB$2:$AB$2203,$C$4&amp;"|"&amp;A9)&gt;0,SUMIFS(Clean_Data!$I$2:$I$2203,Clean_Data!$AB$2:$AB$2203,$C$4&amp;"|"&amp;A9),"")</f>
        <v>8.79</v>
      </c>
      <c r="F9" s="30" t="n">
        <f aca="false">IF(COUNTIFS(Clean_Data!$AB$2:$AB$2203,$C$4&amp;"|"&amp;A9)&gt;0,SUMIFS(Clean_Data!$J$2:$J$2203,Clean_Data!$AB$2:$AB$2203,$C$4&amp;"|"&amp;A9),"")</f>
        <v>37.41</v>
      </c>
      <c r="G9" s="30" t="n">
        <f aca="false">IF(COUNTIFS(Clean_Data!$AB$2:$AB$2203,$C$4&amp;"|"&amp;A9)&gt;0,SUMIFS(Clean_Data!$K$2:$K$2203,Clean_Data!$AB$2:$AB$2203,$C$4&amp;"|"&amp;A9),"")</f>
        <v>135.98</v>
      </c>
      <c r="H9" s="30" t="n">
        <f aca="false">IF(COUNTIFS(Clean_Data!$AB$2:$AB$2203,$C$4&amp;"|"&amp;A9)&gt;0,SUMIFS(Clean_Data!$L$2:$L$2203,Clean_Data!$AB$2:$AB$2203,$C$4&amp;"|"&amp;A9),"")</f>
        <v>22.36</v>
      </c>
      <c r="I9" s="30" t="n">
        <f aca="false">IF(COUNTIFS(Clean_Data!$AB$2:$AB$2203,$C$4&amp;"|"&amp;A9)&gt;0,SUMIFS(Clean_Data!$M$2:$M$2203,Clean_Data!$AB$2:$AB$2203,$C$4&amp;"|"&amp;A9),"")</f>
        <v>52.63</v>
      </c>
      <c r="J9" s="30" t="n">
        <f aca="false">IF(COUNTIFS(Clean_Data!$AB$2:$AB$2203,$C$4&amp;"|"&amp;A9)&gt;0,SUMIFS(Clean_Data!$N$2:$N$2203,Clean_Data!$AB$2:$AB$2203,$C$4&amp;"|"&amp;A9)+SUMIFS(Clean_Data!$O$2:$O$2203,Clean_Data!$AB$2:$AB$2203,$C$4&amp;"|"&amp;A9),"")</f>
        <v>14.99</v>
      </c>
      <c r="K9" s="31" t="n">
        <f aca="false">IF(ISNUMBER(B9),(G9+H9+I9+J9)/B9,"")</f>
        <v>0.154514185682342</v>
      </c>
      <c r="L9" s="31" t="n">
        <f aca="false">IF(ISNUMBER(B9),(H9+I9)/B9,"")</f>
        <v>0.0512790705625722</v>
      </c>
      <c r="M9" s="31" t="n">
        <f aca="false">IF(ISNUMBER(B9),C9/B9,"")</f>
        <v>0.762614624005908</v>
      </c>
      <c r="N9" s="31" t="n">
        <f aca="false">INDEX(Global_Trends!$K$5:$K$15,MATCH(A9,Global_Trends!$A$5:$A$15,0))</f>
        <v>0.244657067661427</v>
      </c>
      <c r="O9" s="32" t="n">
        <f aca="false">IF(COUNTIFS(Clean_Data!$AB$2:$AB$2203,$C$4&amp;"|"&amp;A9,Clean_Data!$P$2:$P$2203,"&lt;&gt;")&gt;0,SUMIFS(Clean_Data!$P$2:$P$2203,Clean_Data!$AB$2:$AB$2203,$C$4&amp;"|"&amp;A9),"")</f>
        <v>743.1</v>
      </c>
      <c r="P9" s="32" t="n">
        <f aca="false">IF(COUNTIFS(Clean_Data!$AB$2:$AB$2203,$C$4&amp;"|"&amp;A9)&gt;0,SUMIFS(Clean_Data!$Z$2:$Z$2203,Clean_Data!$AB$2:$AB$2203,$C$4&amp;"|"&amp;A9),"")</f>
        <v>1075.55771192884</v>
      </c>
    </row>
    <row r="10" customFormat="false" ht="15" hidden="false" customHeight="false" outlineLevel="0" collapsed="false">
      <c r="A10" s="29" t="s">
        <v>107</v>
      </c>
      <c r="B10" s="30" t="n">
        <f aca="false">IF(COUNTIFS(Clean_Data!$AB$2:$AB$2203,$C$4&amp;"|"&amp;A10)&gt;0,SUMIFS(Clean_Data!$F$2:$F$2203,Clean_Data!$AB$2:$AB$2203,$C$4&amp;"|"&amp;A10),"")</f>
        <v>1571.65</v>
      </c>
      <c r="C10" s="30" t="n">
        <f aca="false">IF(COUNTIFS(Clean_Data!$AB$2:$AB$2203,$C$4&amp;"|"&amp;A10)&gt;0,SUMIFS(Clean_Data!$G$2:$G$2203,Clean_Data!$AB$2:$AB$2203,$C$4&amp;"|"&amp;A10),"")</f>
        <v>1198.86</v>
      </c>
      <c r="D10" s="30" t="n">
        <f aca="false">IF(COUNTIFS(Clean_Data!$AB$2:$AB$2203,$C$4&amp;"|"&amp;A10)&gt;0,SUMIFS(Clean_Data!$H$2:$H$2203,Clean_Data!$AB$2:$AB$2203,$C$4&amp;"|"&amp;A10),"")</f>
        <v>71.26</v>
      </c>
      <c r="E10" s="30" t="n">
        <f aca="false">IF(COUNTIFS(Clean_Data!$AB$2:$AB$2203,$C$4&amp;"|"&amp;A10)&gt;0,SUMIFS(Clean_Data!$I$2:$I$2203,Clean_Data!$AB$2:$AB$2203,$C$4&amp;"|"&amp;A10),"")</f>
        <v>6.4</v>
      </c>
      <c r="F10" s="30" t="n">
        <f aca="false">IF(COUNTIFS(Clean_Data!$AB$2:$AB$2203,$C$4&amp;"|"&amp;A10)&gt;0,SUMIFS(Clean_Data!$J$2:$J$2203,Clean_Data!$AB$2:$AB$2203,$C$4&amp;"|"&amp;A10),"")</f>
        <v>39.05</v>
      </c>
      <c r="G10" s="30" t="n">
        <f aca="false">IF(COUNTIFS(Clean_Data!$AB$2:$AB$2203,$C$4&amp;"|"&amp;A10)&gt;0,SUMIFS(Clean_Data!$K$2:$K$2203,Clean_Data!$AB$2:$AB$2203,$C$4&amp;"|"&amp;A10),"")</f>
        <v>139.92</v>
      </c>
      <c r="H10" s="30" t="n">
        <f aca="false">IF(COUNTIFS(Clean_Data!$AB$2:$AB$2203,$C$4&amp;"|"&amp;A10)&gt;0,SUMIFS(Clean_Data!$L$2:$L$2203,Clean_Data!$AB$2:$AB$2203,$C$4&amp;"|"&amp;A10),"")</f>
        <v>37.45</v>
      </c>
      <c r="I10" s="30" t="n">
        <f aca="false">IF(COUNTIFS(Clean_Data!$AB$2:$AB$2203,$C$4&amp;"|"&amp;A10)&gt;0,SUMIFS(Clean_Data!$M$2:$M$2203,Clean_Data!$AB$2:$AB$2203,$C$4&amp;"|"&amp;A10),"")</f>
        <v>60.31</v>
      </c>
      <c r="J10" s="30" t="n">
        <f aca="false">IF(COUNTIFS(Clean_Data!$AB$2:$AB$2203,$C$4&amp;"|"&amp;A10)&gt;0,SUMIFS(Clean_Data!$N$2:$N$2203,Clean_Data!$AB$2:$AB$2203,$C$4&amp;"|"&amp;A10)+SUMIFS(Clean_Data!$O$2:$O$2203,Clean_Data!$AB$2:$AB$2203,$C$4&amp;"|"&amp;A10),"")</f>
        <v>18.4</v>
      </c>
      <c r="K10" s="31" t="n">
        <f aca="false">IF(ISNUMBER(B10),(G10+H10+I10+J10)/B10,"")</f>
        <v>0.162937040689721</v>
      </c>
      <c r="L10" s="31" t="n">
        <f aca="false">IF(ISNUMBER(B10),(H10+I10)/B10,"")</f>
        <v>0.0622021442433112</v>
      </c>
      <c r="M10" s="31" t="n">
        <f aca="false">IF(ISNUMBER(B10),C10/B10,"")</f>
        <v>0.76280342315401</v>
      </c>
      <c r="N10" s="31" t="n">
        <f aca="false">INDEX(Global_Trends!$K$5:$K$15,MATCH(A10,Global_Trends!$A$5:$A$15,0))</f>
        <v>0.250887132153312</v>
      </c>
      <c r="O10" s="32" t="n">
        <f aca="false">IF(COUNTIFS(Clean_Data!$AB$2:$AB$2203,$C$4&amp;"|"&amp;A10,Clean_Data!$P$2:$P$2203,"&lt;&gt;")&gt;0,SUMIFS(Clean_Data!$P$2:$P$2203,Clean_Data!$AB$2:$AB$2203,$C$4&amp;"|"&amp;A10),"")</f>
        <v>737.7</v>
      </c>
      <c r="P10" s="32" t="n">
        <f aca="false">IF(COUNTIFS(Clean_Data!$AB$2:$AB$2203,$C$4&amp;"|"&amp;A10)&gt;0,SUMIFS(Clean_Data!$Z$2:$Z$2203,Clean_Data!$AB$2:$AB$2203,$C$4&amp;"|"&amp;A10),"")</f>
        <v>1143.30166492111</v>
      </c>
    </row>
    <row r="11" customFormat="false" ht="15" hidden="false" customHeight="false" outlineLevel="0" collapsed="false">
      <c r="A11" s="29" t="s">
        <v>108</v>
      </c>
      <c r="B11" s="30" t="n">
        <f aca="false">IF(COUNTIFS(Clean_Data!$AB$2:$AB$2203,$C$4&amp;"|"&amp;A11)&gt;0,SUMIFS(Clean_Data!$F$2:$F$2203,Clean_Data!$AB$2:$AB$2203,$C$4&amp;"|"&amp;A11),"")</f>
        <v>1600.98</v>
      </c>
      <c r="C11" s="30" t="n">
        <f aca="false">IF(COUNTIFS(Clean_Data!$AB$2:$AB$2203,$C$4&amp;"|"&amp;A11)&gt;0,SUMIFS(Clean_Data!$G$2:$G$2203,Clean_Data!$AB$2:$AB$2203,$C$4&amp;"|"&amp;A11),"")</f>
        <v>1198.76</v>
      </c>
      <c r="D11" s="30" t="n">
        <f aca="false">IF(COUNTIFS(Clean_Data!$AB$2:$AB$2203,$C$4&amp;"|"&amp;A11)&gt;0,SUMIFS(Clean_Data!$H$2:$H$2203,Clean_Data!$AB$2:$AB$2203,$C$4&amp;"|"&amp;A11),"")</f>
        <v>71.95</v>
      </c>
      <c r="E11" s="30" t="n">
        <f aca="false">IF(COUNTIFS(Clean_Data!$AB$2:$AB$2203,$C$4&amp;"|"&amp;A11)&gt;0,SUMIFS(Clean_Data!$I$2:$I$2203,Clean_Data!$AB$2:$AB$2203,$C$4&amp;"|"&amp;A11),"")</f>
        <v>3.07</v>
      </c>
      <c r="F11" s="30" t="n">
        <f aca="false">IF(COUNTIFS(Clean_Data!$AB$2:$AB$2203,$C$4&amp;"|"&amp;A11)&gt;0,SUMIFS(Clean_Data!$J$2:$J$2203,Clean_Data!$AB$2:$AB$2203,$C$4&amp;"|"&amp;A11),"")</f>
        <v>45.16</v>
      </c>
      <c r="G11" s="30" t="n">
        <f aca="false">IF(COUNTIFS(Clean_Data!$AB$2:$AB$2203,$C$4&amp;"|"&amp;A11)&gt;0,SUMIFS(Clean_Data!$K$2:$K$2203,Clean_Data!$AB$2:$AB$2203,$C$4&amp;"|"&amp;A11),"")</f>
        <v>162.29</v>
      </c>
      <c r="H11" s="30" t="n">
        <f aca="false">IF(COUNTIFS(Clean_Data!$AB$2:$AB$2203,$C$4&amp;"|"&amp;A11)&gt;0,SUMIFS(Clean_Data!$L$2:$L$2203,Clean_Data!$AB$2:$AB$2203,$C$4&amp;"|"&amp;A11),"")</f>
        <v>37.45</v>
      </c>
      <c r="I11" s="30" t="n">
        <f aca="false">IF(COUNTIFS(Clean_Data!$AB$2:$AB$2203,$C$4&amp;"|"&amp;A11)&gt;0,SUMIFS(Clean_Data!$M$2:$M$2203,Clean_Data!$AB$2:$AB$2203,$C$4&amp;"|"&amp;A11),"")</f>
        <v>63.31</v>
      </c>
      <c r="J11" s="30" t="n">
        <f aca="false">IF(COUNTIFS(Clean_Data!$AB$2:$AB$2203,$C$4&amp;"|"&amp;A11)&gt;0,SUMIFS(Clean_Data!$N$2:$N$2203,Clean_Data!$AB$2:$AB$2203,$C$4&amp;"|"&amp;A11)+SUMIFS(Clean_Data!$O$2:$O$2203,Clean_Data!$AB$2:$AB$2203,$C$4&amp;"|"&amp;A11),"")</f>
        <v>18.99</v>
      </c>
      <c r="K11" s="31" t="n">
        <f aca="false">IF(ISNUMBER(B11),(G11+H11+I11+J11)/B11,"")</f>
        <v>0.176167097652688</v>
      </c>
      <c r="L11" s="31" t="n">
        <f aca="false">IF(ISNUMBER(B11),(H11+I11)/B11,"")</f>
        <v>0.0629364514235031</v>
      </c>
      <c r="M11" s="31" t="n">
        <f aca="false">IF(ISNUMBER(B11),C11/B11,"")</f>
        <v>0.748766380591888</v>
      </c>
      <c r="N11" s="31" t="n">
        <f aca="false">INDEX(Global_Trends!$K$5:$K$15,MATCH(A11,Global_Trends!$A$5:$A$15,0))</f>
        <v>0.26071483675345</v>
      </c>
      <c r="O11" s="32" t="n">
        <f aca="false">IF(COUNTIFS(Clean_Data!$AB$2:$AB$2203,$C$4&amp;"|"&amp;A11,Clean_Data!$P$2:$P$2203,"&lt;&gt;")&gt;0,SUMIFS(Clean_Data!$P$2:$P$2203,Clean_Data!$AB$2:$AB$2203,$C$4&amp;"|"&amp;A11),"")</f>
        <v>722.7</v>
      </c>
      <c r="P11" s="32" t="n">
        <f aca="false">IF(COUNTIFS(Clean_Data!$AB$2:$AB$2203,$C$4&amp;"|"&amp;A11)&gt;0,SUMIFS(Clean_Data!$Z$2:$Z$2203,Clean_Data!$AB$2:$AB$2203,$C$4&amp;"|"&amp;A11),"")</f>
        <v>1152.58824226648</v>
      </c>
    </row>
    <row r="12" customFormat="false" ht="15" hidden="false" customHeight="false" outlineLevel="0" collapsed="false">
      <c r="A12" s="29" t="s">
        <v>109</v>
      </c>
      <c r="B12" s="30" t="n">
        <f aca="false">IF(COUNTIFS(Clean_Data!$AB$2:$AB$2203,$C$4&amp;"|"&amp;A12)&gt;0,SUMIFS(Clean_Data!$F$2:$F$2203,Clean_Data!$AB$2:$AB$2203,$C$4&amp;"|"&amp;A12),"")</f>
        <v>1563.43</v>
      </c>
      <c r="C12" s="30" t="n">
        <f aca="false">IF(COUNTIFS(Clean_Data!$AB$2:$AB$2203,$C$4&amp;"|"&amp;A12)&gt;0,SUMIFS(Clean_Data!$G$2:$G$2203,Clean_Data!$AB$2:$AB$2203,$C$4&amp;"|"&amp;A12),"")</f>
        <v>1143.78</v>
      </c>
      <c r="D12" s="30" t="n">
        <f aca="false">IF(COUNTIFS(Clean_Data!$AB$2:$AB$2203,$C$4&amp;"|"&amp;A12)&gt;0,SUMIFS(Clean_Data!$H$2:$H$2203,Clean_Data!$AB$2:$AB$2203,$C$4&amp;"|"&amp;A12),"")</f>
        <v>74.79</v>
      </c>
      <c r="E12" s="30" t="n">
        <f aca="false">IF(COUNTIFS(Clean_Data!$AB$2:$AB$2203,$C$4&amp;"|"&amp;A12)&gt;0,SUMIFS(Clean_Data!$I$2:$I$2203,Clean_Data!$AB$2:$AB$2203,$C$4&amp;"|"&amp;A12),"")</f>
        <v>3.09</v>
      </c>
      <c r="F12" s="30" t="n">
        <f aca="false">IF(COUNTIFS(Clean_Data!$AB$2:$AB$2203,$C$4&amp;"|"&amp;A12)&gt;0,SUMIFS(Clean_Data!$J$2:$J$2203,Clean_Data!$AB$2:$AB$2203,$C$4&amp;"|"&amp;A12),"")</f>
        <v>44.61</v>
      </c>
      <c r="G12" s="30" t="n">
        <f aca="false">IF(COUNTIFS(Clean_Data!$AB$2:$AB$2203,$C$4&amp;"|"&amp;A12)&gt;0,SUMIFS(Clean_Data!$K$2:$K$2203,Clean_Data!$AB$2:$AB$2203,$C$4&amp;"|"&amp;A12),"")</f>
        <v>163.94</v>
      </c>
      <c r="H12" s="30" t="n">
        <f aca="false">IF(COUNTIFS(Clean_Data!$AB$2:$AB$2203,$C$4&amp;"|"&amp;A12)&gt;0,SUMIFS(Clean_Data!$L$2:$L$2203,Clean_Data!$AB$2:$AB$2203,$C$4&amp;"|"&amp;A12),"")</f>
        <v>52.91</v>
      </c>
      <c r="I12" s="30" t="n">
        <f aca="false">IF(COUNTIFS(Clean_Data!$AB$2:$AB$2203,$C$4&amp;"|"&amp;A12)&gt;0,SUMIFS(Clean_Data!$M$2:$M$2203,Clean_Data!$AB$2:$AB$2203,$C$4&amp;"|"&amp;A12),"")</f>
        <v>60.43</v>
      </c>
      <c r="J12" s="30" t="n">
        <f aca="false">IF(COUNTIFS(Clean_Data!$AB$2:$AB$2203,$C$4&amp;"|"&amp;A12)&gt;0,SUMIFS(Clean_Data!$N$2:$N$2203,Clean_Data!$AB$2:$AB$2203,$C$4&amp;"|"&amp;A12)+SUMIFS(Clean_Data!$O$2:$O$2203,Clean_Data!$AB$2:$AB$2203,$C$4&amp;"|"&amp;A12),"")</f>
        <v>19.88</v>
      </c>
      <c r="K12" s="31" t="n">
        <f aca="false">IF(ISNUMBER(B12),(G12+H12+I12+J12)/B12,"")</f>
        <v>0.190069270770038</v>
      </c>
      <c r="L12" s="31" t="n">
        <f aca="false">IF(ISNUMBER(B12),(H12+I12)/B12,"")</f>
        <v>0.0724944513025847</v>
      </c>
      <c r="M12" s="31" t="n">
        <f aca="false">IF(ISNUMBER(B12),C12/B12,"")</f>
        <v>0.731583761345247</v>
      </c>
      <c r="N12" s="31" t="n">
        <f aca="false">INDEX(Global_Trends!$K$5:$K$15,MATCH(A12,Global_Trends!$A$5:$A$15,0))</f>
        <v>0.279873768909901</v>
      </c>
      <c r="O12" s="32" t="n">
        <f aca="false">IF(COUNTIFS(Clean_Data!$AB$2:$AB$2203,$C$4&amp;"|"&amp;A12,Clean_Data!$P$2:$P$2203,"&lt;&gt;")&gt;0,SUMIFS(Clean_Data!$P$2:$P$2203,Clean_Data!$AB$2:$AB$2203,$C$4&amp;"|"&amp;A12),"")</f>
        <v>709.1</v>
      </c>
      <c r="P12" s="32" t="n">
        <f aca="false">IF(COUNTIFS(Clean_Data!$AB$2:$AB$2203,$C$4&amp;"|"&amp;A12)&gt;0,SUMIFS(Clean_Data!$Z$2:$Z$2203,Clean_Data!$AB$2:$AB$2203,$C$4&amp;"|"&amp;A12),"")</f>
        <v>1114.65155950043</v>
      </c>
    </row>
    <row r="13" customFormat="false" ht="15" hidden="false" customHeight="false" outlineLevel="0" collapsed="false">
      <c r="A13" s="29" t="s">
        <v>110</v>
      </c>
      <c r="B13" s="30" t="n">
        <f aca="false">IF(COUNTIFS(Clean_Data!$AB$2:$AB$2203,$C$4&amp;"|"&amp;A13)&gt;0,SUMIFS(Clean_Data!$F$2:$F$2203,Clean_Data!$AB$2:$AB$2203,$C$4&amp;"|"&amp;A13),"")</f>
        <v>1678.72</v>
      </c>
      <c r="C13" s="30" t="n">
        <f aca="false">IF(COUNTIFS(Clean_Data!$AB$2:$AB$2203,$C$4&amp;"|"&amp;A13)&gt;0,SUMIFS(Clean_Data!$G$2:$G$2203,Clean_Data!$AB$2:$AB$2203,$C$4&amp;"|"&amp;A13),"")</f>
        <v>1255.56</v>
      </c>
      <c r="D13" s="30" t="n">
        <f aca="false">IF(COUNTIFS(Clean_Data!$AB$2:$AB$2203,$C$4&amp;"|"&amp;A13)&gt;0,SUMIFS(Clean_Data!$H$2:$H$2203,Clean_Data!$AB$2:$AB$2203,$C$4&amp;"|"&amp;A13),"")</f>
        <v>60.4</v>
      </c>
      <c r="E13" s="30" t="n">
        <f aca="false">IF(COUNTIFS(Clean_Data!$AB$2:$AB$2203,$C$4&amp;"|"&amp;A13)&gt;0,SUMIFS(Clean_Data!$I$2:$I$2203,Clean_Data!$AB$2:$AB$2203,$C$4&amp;"|"&amp;A13),"")</f>
        <v>3.39</v>
      </c>
      <c r="F13" s="30" t="n">
        <f aca="false">IF(COUNTIFS(Clean_Data!$AB$2:$AB$2203,$C$4&amp;"|"&amp;A13)&gt;0,SUMIFS(Clean_Data!$J$2:$J$2203,Clean_Data!$AB$2:$AB$2203,$C$4&amp;"|"&amp;A13),"")</f>
        <v>43.92</v>
      </c>
      <c r="G13" s="30" t="n">
        <f aca="false">IF(COUNTIFS(Clean_Data!$AB$2:$AB$2203,$C$4&amp;"|"&amp;A13)&gt;0,SUMIFS(Clean_Data!$K$2:$K$2203,Clean_Data!$AB$2:$AB$2203,$C$4&amp;"|"&amp;A13),"")</f>
        <v>160.57</v>
      </c>
      <c r="H13" s="30" t="n">
        <f aca="false">IF(COUNTIFS(Clean_Data!$AB$2:$AB$2203,$C$4&amp;"|"&amp;A13)&gt;0,SUMIFS(Clean_Data!$L$2:$L$2203,Clean_Data!$AB$2:$AB$2203,$C$4&amp;"|"&amp;A13),"")</f>
        <v>65.59</v>
      </c>
      <c r="I13" s="30" t="n">
        <f aca="false">IF(COUNTIFS(Clean_Data!$AB$2:$AB$2203,$C$4&amp;"|"&amp;A13)&gt;0,SUMIFS(Clean_Data!$M$2:$M$2203,Clean_Data!$AB$2:$AB$2203,$C$4&amp;"|"&amp;A13),"")</f>
        <v>68.09</v>
      </c>
      <c r="J13" s="30" t="n">
        <f aca="false">IF(COUNTIFS(Clean_Data!$AB$2:$AB$2203,$C$4&amp;"|"&amp;A13)&gt;0,SUMIFS(Clean_Data!$N$2:$N$2203,Clean_Data!$AB$2:$AB$2203,$C$4&amp;"|"&amp;A13)+SUMIFS(Clean_Data!$O$2:$O$2203,Clean_Data!$AB$2:$AB$2203,$C$4&amp;"|"&amp;A13),"")</f>
        <v>21.2</v>
      </c>
      <c r="K13" s="31" t="n">
        <f aca="false">IF(ISNUMBER(B13),(G13+H13+I13+J13)/B13,"")</f>
        <v>0.187911027449485</v>
      </c>
      <c r="L13" s="31" t="n">
        <f aca="false">IF(ISNUMBER(B13),(H13+I13)/B13,"")</f>
        <v>0.0796321006481129</v>
      </c>
      <c r="M13" s="31" t="n">
        <f aca="false">IF(ISNUMBER(B13),C13/B13,"")</f>
        <v>0.7479269919939</v>
      </c>
      <c r="N13" s="31" t="n">
        <f aca="false">INDEX(Global_Trends!$K$5:$K$15,MATCH(A13,Global_Trends!$A$5:$A$15,0))</f>
        <v>0.281016325024143</v>
      </c>
      <c r="O13" s="32" t="n">
        <f aca="false">IF(COUNTIFS(Clean_Data!$AB$2:$AB$2203,$C$4&amp;"|"&amp;A13,Clean_Data!$P$2:$P$2203,"&lt;&gt;")&gt;0,SUMIFS(Clean_Data!$P$2:$P$2203,Clean_Data!$AB$2:$AB$2203,$C$4&amp;"|"&amp;A13),"")</f>
        <v>715.3</v>
      </c>
      <c r="P13" s="32" t="n">
        <f aca="false">IF(COUNTIFS(Clean_Data!$AB$2:$AB$2203,$C$4&amp;"|"&amp;A13)&gt;0,SUMIFS(Clean_Data!$Z$2:$Z$2203,Clean_Data!$AB$2:$AB$2203,$C$4&amp;"|"&amp;A13),"")</f>
        <v>1187.04240933586</v>
      </c>
    </row>
    <row r="14" customFormat="false" ht="15" hidden="false" customHeight="false" outlineLevel="0" collapsed="false">
      <c r="A14" s="29" t="s">
        <v>111</v>
      </c>
      <c r="B14" s="30" t="n">
        <f aca="false">IF(COUNTIFS(Clean_Data!$AB$2:$AB$2203,$C$4&amp;"|"&amp;A14)&gt;0,SUMIFS(Clean_Data!$F$2:$F$2203,Clean_Data!$AB$2:$AB$2203,$C$4&amp;"|"&amp;A14),"")</f>
        <v>1804.61</v>
      </c>
      <c r="C14" s="30" t="n">
        <f aca="false">IF(COUNTIFS(Clean_Data!$AB$2:$AB$2203,$C$4&amp;"|"&amp;A14)&gt;0,SUMIFS(Clean_Data!$G$2:$G$2203,Clean_Data!$AB$2:$AB$2203,$C$4&amp;"|"&amp;A14),"")</f>
        <v>1344.42</v>
      </c>
      <c r="D14" s="30" t="n">
        <f aca="false">IF(COUNTIFS(Clean_Data!$AB$2:$AB$2203,$C$4&amp;"|"&amp;A14)&gt;0,SUMIFS(Clean_Data!$H$2:$H$2203,Clean_Data!$AB$2:$AB$2203,$C$4&amp;"|"&amp;A14),"")</f>
        <v>46.17</v>
      </c>
      <c r="E14" s="30" t="n">
        <f aca="false">IF(COUNTIFS(Clean_Data!$AB$2:$AB$2203,$C$4&amp;"|"&amp;A14)&gt;0,SUMIFS(Clean_Data!$I$2:$I$2203,Clean_Data!$AB$2:$AB$2203,$C$4&amp;"|"&amp;A14),"")</f>
        <v>3.48</v>
      </c>
      <c r="F14" s="30" t="n">
        <f aca="false">IF(COUNTIFS(Clean_Data!$AB$2:$AB$2203,$C$4&amp;"|"&amp;A14)&gt;0,SUMIFS(Clean_Data!$J$2:$J$2203,Clean_Data!$AB$2:$AB$2203,$C$4&amp;"|"&amp;A14),"")</f>
        <v>46.19</v>
      </c>
      <c r="G14" s="30" t="n">
        <f aca="false">IF(COUNTIFS(Clean_Data!$AB$2:$AB$2203,$C$4&amp;"|"&amp;A14)&gt;0,SUMIFS(Clean_Data!$K$2:$K$2203,Clean_Data!$AB$2:$AB$2203,$C$4&amp;"|"&amp;A14),"")</f>
        <v>175.09</v>
      </c>
      <c r="H14" s="30" t="n">
        <f aca="false">IF(COUNTIFS(Clean_Data!$AB$2:$AB$2203,$C$4&amp;"|"&amp;A14)&gt;0,SUMIFS(Clean_Data!$L$2:$L$2203,Clean_Data!$AB$2:$AB$2203,$C$4&amp;"|"&amp;A14),"")</f>
        <v>95.92</v>
      </c>
      <c r="I14" s="30" t="n">
        <f aca="false">IF(COUNTIFS(Clean_Data!$AB$2:$AB$2203,$C$4&amp;"|"&amp;A14)&gt;0,SUMIFS(Clean_Data!$M$2:$M$2203,Clean_Data!$AB$2:$AB$2203,$C$4&amp;"|"&amp;A14),"")</f>
        <v>70.05</v>
      </c>
      <c r="J14" s="30" t="n">
        <f aca="false">IF(COUNTIFS(Clean_Data!$AB$2:$AB$2203,$C$4&amp;"|"&amp;A14)&gt;0,SUMIFS(Clean_Data!$N$2:$N$2203,Clean_Data!$AB$2:$AB$2203,$C$4&amp;"|"&amp;A14)+SUMIFS(Clean_Data!$O$2:$O$2203,Clean_Data!$AB$2:$AB$2203,$C$4&amp;"|"&amp;A14),"")</f>
        <v>23.29</v>
      </c>
      <c r="K14" s="31" t="n">
        <f aca="false">IF(ISNUMBER(B14),(G14+H14+I14+J14)/B14,"")</f>
        <v>0.20189957941051</v>
      </c>
      <c r="L14" s="31" t="n">
        <f aca="false">IF(ISNUMBER(B14),(H14+I14)/B14,"")</f>
        <v>0.0919700101406952</v>
      </c>
      <c r="M14" s="31" t="n">
        <f aca="false">IF(ISNUMBER(B14),C14/B14,"")</f>
        <v>0.744991992729731</v>
      </c>
      <c r="N14" s="31" t="n">
        <f aca="false">INDEX(Global_Trends!$K$5:$K$15,MATCH(A14,Global_Trends!$A$5:$A$15,0))</f>
        <v>0.29469744544529</v>
      </c>
      <c r="O14" s="32" t="n">
        <f aca="false">IF(COUNTIFS(Clean_Data!$AB$2:$AB$2203,$C$4&amp;"|"&amp;A14,Clean_Data!$P$2:$P$2203,"&lt;&gt;")&gt;0,SUMIFS(Clean_Data!$P$2:$P$2203,Clean_Data!$AB$2:$AB$2203,$C$4&amp;"|"&amp;A14),"")</f>
        <v>705.8</v>
      </c>
      <c r="P14" s="32" t="n">
        <f aca="false">IF(COUNTIFS(Clean_Data!$AB$2:$AB$2203,$C$4&amp;"|"&amp;A14)&gt;0,SUMIFS(Clean_Data!$Z$2:$Z$2203,Clean_Data!$AB$2:$AB$2203,$C$4&amp;"|"&amp;A14),"")</f>
        <v>1266.01698962515</v>
      </c>
    </row>
    <row r="15" customFormat="false" ht="15" hidden="false" customHeight="false" outlineLevel="0" collapsed="false">
      <c r="A15" s="29" t="s">
        <v>112</v>
      </c>
      <c r="B15" s="30" t="n">
        <f aca="false">IF(COUNTIFS(Clean_Data!$AB$2:$AB$2203,$C$4&amp;"|"&amp;A15)&gt;0,SUMIFS(Clean_Data!$F$2:$F$2203,Clean_Data!$AB$2:$AB$2203,$C$4&amp;"|"&amp;A15),"")</f>
        <v>1918.26</v>
      </c>
      <c r="C15" s="30" t="n">
        <f aca="false">IF(COUNTIFS(Clean_Data!$AB$2:$AB$2203,$C$4&amp;"|"&amp;A15)&gt;0,SUMIFS(Clean_Data!$G$2:$G$2203,Clean_Data!$AB$2:$AB$2203,$C$4&amp;"|"&amp;A15),"")</f>
        <v>1445.44</v>
      </c>
      <c r="D15" s="30" t="n">
        <f aca="false">IF(COUNTIFS(Clean_Data!$AB$2:$AB$2203,$C$4&amp;"|"&amp;A15)&gt;0,SUMIFS(Clean_Data!$H$2:$H$2203,Clean_Data!$AB$2:$AB$2203,$C$4&amp;"|"&amp;A15),"")</f>
        <v>50.8</v>
      </c>
      <c r="E15" s="30" t="n">
        <f aca="false">IF(COUNTIFS(Clean_Data!$AB$2:$AB$2203,$C$4&amp;"|"&amp;A15)&gt;0,SUMIFS(Clean_Data!$I$2:$I$2203,Clean_Data!$AB$2:$AB$2203,$C$4&amp;"|"&amp;A15),"")</f>
        <v>3.85</v>
      </c>
      <c r="F15" s="30" t="n">
        <f aca="false">IF(COUNTIFS(Clean_Data!$AB$2:$AB$2203,$C$4&amp;"|"&amp;A15)&gt;0,SUMIFS(Clean_Data!$J$2:$J$2203,Clean_Data!$AB$2:$AB$2203,$C$4&amp;"|"&amp;A15),"")</f>
        <v>48.2</v>
      </c>
      <c r="G15" s="30" t="n">
        <f aca="false">IF(COUNTIFS(Clean_Data!$AB$2:$AB$2203,$C$4&amp;"|"&amp;A15)&gt;0,SUMIFS(Clean_Data!$K$2:$K$2203,Clean_Data!$AB$2:$AB$2203,$C$4&amp;"|"&amp;A15),"")</f>
        <v>149.43</v>
      </c>
      <c r="H15" s="30" t="n">
        <f aca="false">IF(COUNTIFS(Clean_Data!$AB$2:$AB$2203,$C$4&amp;"|"&amp;A15)&gt;0,SUMIFS(Clean_Data!$L$2:$L$2203,Clean_Data!$AB$2:$AB$2203,$C$4&amp;"|"&amp;A15),"")</f>
        <v>115.42</v>
      </c>
      <c r="I15" s="30" t="n">
        <f aca="false">IF(COUNTIFS(Clean_Data!$AB$2:$AB$2203,$C$4&amp;"|"&amp;A15)&gt;0,SUMIFS(Clean_Data!$M$2:$M$2203,Clean_Data!$AB$2:$AB$2203,$C$4&amp;"|"&amp;A15),"")</f>
        <v>82.11</v>
      </c>
      <c r="J15" s="30" t="n">
        <f aca="false">IF(COUNTIFS(Clean_Data!$AB$2:$AB$2203,$C$4&amp;"|"&amp;A15)&gt;0,SUMIFS(Clean_Data!$N$2:$N$2203,Clean_Data!$AB$2:$AB$2203,$C$4&amp;"|"&amp;A15)+SUMIFS(Clean_Data!$O$2:$O$2203,Clean_Data!$AB$2:$AB$2203,$C$4&amp;"|"&amp;A15),"")</f>
        <v>23.01</v>
      </c>
      <c r="K15" s="31" t="n">
        <f aca="false">IF(ISNUMBER(B15),(G15+H15+I15+J15)/B15,"")</f>
        <v>0.192867494500224</v>
      </c>
      <c r="L15" s="31" t="n">
        <f aca="false">IF(ISNUMBER(B15),(H15+I15)/B15,"")</f>
        <v>0.102973528093168</v>
      </c>
      <c r="M15" s="31" t="n">
        <f aca="false">IF(ISNUMBER(B15),C15/B15,"")</f>
        <v>0.753516207396286</v>
      </c>
      <c r="N15" s="31" t="n">
        <f aca="false">INDEX(Global_Trends!$K$5:$K$15,MATCH(A15,Global_Trends!$A$5:$A$15,0))</f>
        <v>0.303230975947014</v>
      </c>
      <c r="O15" s="32" t="n">
        <f aca="false">IF(COUNTIFS(Clean_Data!$AB$2:$AB$2203,$C$4&amp;"|"&amp;A15,Clean_Data!$P$2:$P$2203,"&lt;&gt;")&gt;0,SUMIFS(Clean_Data!$P$2:$P$2203,Clean_Data!$AB$2:$AB$2203,$C$4&amp;"|"&amp;A15),"")</f>
        <v>713.4</v>
      </c>
      <c r="P15" s="32" t="n">
        <f aca="false">IF(COUNTIFS(Clean_Data!$AB$2:$AB$2203,$C$4&amp;"|"&amp;A15)&gt;0,SUMIFS(Clean_Data!$Z$2:$Z$2203,Clean_Data!$AB$2:$AB$2203,$C$4&amp;"|"&amp;A15),"")</f>
        <v>1333.91318751314</v>
      </c>
    </row>
    <row r="16" customFormat="false" ht="15" hidden="false" customHeight="false" outlineLevel="0" collapsed="false">
      <c r="A16" s="29" t="s">
        <v>113</v>
      </c>
      <c r="B16" s="30" t="n">
        <f aca="false">IF(COUNTIFS(Clean_Data!$AB$2:$AB$2203,$C$4&amp;"|"&amp;A16)&gt;0,SUMIFS(Clean_Data!$F$2:$F$2203,Clean_Data!$AB$2:$AB$2203,$C$4&amp;"|"&amp;A16),"")</f>
        <v>2036.52</v>
      </c>
      <c r="C16" s="30" t="n">
        <f aca="false">IF(COUNTIFS(Clean_Data!$AB$2:$AB$2203,$C$4&amp;"|"&amp;A16)&gt;0,SUMIFS(Clean_Data!$G$2:$G$2203,Clean_Data!$AB$2:$AB$2203,$C$4&amp;"|"&amp;A16),"")</f>
        <v>1517.9</v>
      </c>
      <c r="D16" s="30" t="n">
        <f aca="false">IF(COUNTIFS(Clean_Data!$AB$2:$AB$2203,$C$4&amp;"|"&amp;A16)&gt;0,SUMIFS(Clean_Data!$H$2:$H$2203,Clean_Data!$AB$2:$AB$2203,$C$4&amp;"|"&amp;A16),"")</f>
        <v>56.44</v>
      </c>
      <c r="E16" s="30" t="n">
        <f aca="false">IF(COUNTIFS(Clean_Data!$AB$2:$AB$2203,$C$4&amp;"|"&amp;A16)&gt;0,SUMIFS(Clean_Data!$I$2:$I$2203,Clean_Data!$AB$2:$AB$2203,$C$4&amp;"|"&amp;A16),"")</f>
        <v>4.09</v>
      </c>
      <c r="F16" s="30" t="n">
        <f aca="false">IF(COUNTIFS(Clean_Data!$AB$2:$AB$2203,$C$4&amp;"|"&amp;A16)&gt;0,SUMIFS(Clean_Data!$J$2:$J$2203,Clean_Data!$AB$2:$AB$2203,$C$4&amp;"|"&amp;A16),"")</f>
        <v>54.7</v>
      </c>
      <c r="G16" s="30" t="n">
        <f aca="false">IF(COUNTIFS(Clean_Data!$AB$2:$AB$2203,$C$4&amp;"|"&amp;A16)&gt;0,SUMIFS(Clean_Data!$K$2:$K$2203,Clean_Data!$AB$2:$AB$2203,$C$4&amp;"|"&amp;A16),"")</f>
        <v>156.53</v>
      </c>
      <c r="H16" s="30" t="n">
        <f aca="false">IF(COUNTIFS(Clean_Data!$AB$2:$AB$2203,$C$4&amp;"|"&amp;A16)&gt;0,SUMIFS(Clean_Data!$L$2:$L$2203,Clean_Data!$AB$2:$AB$2203,$C$4&amp;"|"&amp;A16),"")</f>
        <v>143.07</v>
      </c>
      <c r="I16" s="30" t="n">
        <f aca="false">IF(COUNTIFS(Clean_Data!$AB$2:$AB$2203,$C$4&amp;"|"&amp;A16)&gt;0,SUMIFS(Clean_Data!$M$2:$M$2203,Clean_Data!$AB$2:$AB$2203,$C$4&amp;"|"&amp;A16),"")</f>
        <v>81.54</v>
      </c>
      <c r="J16" s="30" t="n">
        <f aca="false">IF(COUNTIFS(Clean_Data!$AB$2:$AB$2203,$C$4&amp;"|"&amp;A16)&gt;0,SUMIFS(Clean_Data!$N$2:$N$2203,Clean_Data!$AB$2:$AB$2203,$C$4&amp;"|"&amp;A16)+SUMIFS(Clean_Data!$O$2:$O$2203,Clean_Data!$AB$2:$AB$2203,$C$4&amp;"|"&amp;A16),"")</f>
        <v>22.25</v>
      </c>
      <c r="K16" s="31" t="n">
        <f aca="false">IF(ISNUMBER(B16),(G16+H16+I16+J16)/B16,"")</f>
        <v>0.198078094003496</v>
      </c>
      <c r="L16" s="31" t="n">
        <f aca="false">IF(ISNUMBER(B16),(H16+I16)/B16,"")</f>
        <v>0.110291084791704</v>
      </c>
      <c r="M16" s="31" t="n">
        <f aca="false">IF(ISNUMBER(B16),C16/B16,"")</f>
        <v>0.745340089957378</v>
      </c>
      <c r="N16" s="31" t="n">
        <f aca="false">INDEX(Global_Trends!$K$5:$K$15,MATCH(A16,Global_Trends!$A$5:$A$15,0))</f>
        <v>0.319351327164395</v>
      </c>
      <c r="O16" s="32" t="n">
        <f aca="false">IF(COUNTIFS(Clean_Data!$AB$2:$AB$2203,$C$4&amp;"|"&amp;A16,Clean_Data!$P$2:$P$2203,"&lt;&gt;")&gt;0,SUMIFS(Clean_Data!$P$2:$P$2203,Clean_Data!$AB$2:$AB$2203,$C$4&amp;"|"&amp;A16),"")</f>
        <v>705.4</v>
      </c>
      <c r="P16" s="32" t="n">
        <f aca="false">IF(COUNTIFS(Clean_Data!$AB$2:$AB$2203,$C$4&amp;"|"&amp;A16)&gt;0,SUMIFS(Clean_Data!$Z$2:$Z$2203,Clean_Data!$AB$2:$AB$2203,$C$4&amp;"|"&amp;A16),"")</f>
        <v>1403.59071783456</v>
      </c>
    </row>
    <row r="17" customFormat="false" ht="15" hidden="false" customHeight="false" outlineLevel="0" collapsed="false">
      <c r="A17" s="29" t="s">
        <v>114</v>
      </c>
      <c r="B17" s="30" t="n">
        <f aca="false">IF(COUNTIFS(Clean_Data!$AB$2:$AB$2203,$C$4&amp;"|"&amp;A17)&gt;0,SUMIFS(Clean_Data!$F$2:$F$2203,Clean_Data!$AB$2:$AB$2203,$C$4&amp;"|"&amp;A17),"")</f>
        <v>2081.6</v>
      </c>
      <c r="C17" s="30" t="n">
        <f aca="false">IF(COUNTIFS(Clean_Data!$AB$2:$AB$2203,$C$4&amp;"|"&amp;A17)&gt;0,SUMIFS(Clean_Data!$G$2:$G$2203,Clean_Data!$AB$2:$AB$2203,$C$4&amp;"|"&amp;A17),"")</f>
        <v>1474.15</v>
      </c>
      <c r="D17" s="30" t="n">
        <f aca="false">IF(COUNTIFS(Clean_Data!$AB$2:$AB$2203,$C$4&amp;"|"&amp;A17)&gt;0,SUMIFS(Clean_Data!$H$2:$H$2203,Clean_Data!$AB$2:$AB$2203,$C$4&amp;"|"&amp;A17),"")</f>
        <v>48.54</v>
      </c>
      <c r="E17" s="30" t="n">
        <f aca="false">IF(COUNTIFS(Clean_Data!$AB$2:$AB$2203,$C$4&amp;"|"&amp;A17)&gt;0,SUMIFS(Clean_Data!$I$2:$I$2203,Clean_Data!$AB$2:$AB$2203,$C$4&amp;"|"&amp;A17),"")</f>
        <v>4.1</v>
      </c>
      <c r="F17" s="30" t="n">
        <f aca="false">IF(COUNTIFS(Clean_Data!$AB$2:$AB$2203,$C$4&amp;"|"&amp;A17)&gt;0,SUMIFS(Clean_Data!$J$2:$J$2203,Clean_Data!$AB$2:$AB$2203,$C$4&amp;"|"&amp;A17),"")</f>
        <v>53.83</v>
      </c>
      <c r="G17" s="30" t="n">
        <f aca="false">IF(COUNTIFS(Clean_Data!$AB$2:$AB$2203,$C$4&amp;"|"&amp;A17)&gt;0,SUMIFS(Clean_Data!$K$2:$K$2203,Clean_Data!$AB$2:$AB$2203,$C$4&amp;"|"&amp;A17),"")</f>
        <v>177.97</v>
      </c>
      <c r="H17" s="30" t="n">
        <f aca="false">IF(COUNTIFS(Clean_Data!$AB$2:$AB$2203,$C$4&amp;"|"&amp;A17)&gt;0,SUMIFS(Clean_Data!$L$2:$L$2203,Clean_Data!$AB$2:$AB$2203,$C$4&amp;"|"&amp;A17),"")</f>
        <v>195.99</v>
      </c>
      <c r="I17" s="30" t="n">
        <f aca="false">IF(COUNTIFS(Clean_Data!$AB$2:$AB$2203,$C$4&amp;"|"&amp;A17)&gt;0,SUMIFS(Clean_Data!$M$2:$M$2203,Clean_Data!$AB$2:$AB$2203,$C$4&amp;"|"&amp;A17),"")</f>
        <v>103.98</v>
      </c>
      <c r="J17" s="30" t="n">
        <f aca="false">IF(COUNTIFS(Clean_Data!$AB$2:$AB$2203,$C$4&amp;"|"&amp;A17)&gt;0,SUMIFS(Clean_Data!$N$2:$N$2203,Clean_Data!$AB$2:$AB$2203,$C$4&amp;"|"&amp;A17)+SUMIFS(Clean_Data!$O$2:$O$2203,Clean_Data!$AB$2:$AB$2203,$C$4&amp;"|"&amp;A17),"")</f>
        <v>23.04</v>
      </c>
      <c r="K17" s="31" t="n">
        <f aca="false">IF(ISNUMBER(B17),(G17+H17+I17+J17)/B17,"")</f>
        <v>0.240670637970792</v>
      </c>
      <c r="L17" s="31" t="n">
        <f aca="false">IF(ISNUMBER(B17),(H17+I17)/B17,"")</f>
        <v>0.144105495772483</v>
      </c>
      <c r="M17" s="31" t="n">
        <f aca="false">IF(ISNUMBER(B17),C17/B17,"")</f>
        <v>0.708181206764028</v>
      </c>
      <c r="N17" s="31" t="n">
        <f aca="false">INDEX(Global_Trends!$K$5:$K$15,MATCH(A17,Global_Trends!$A$5:$A$15,0))</f>
        <v>0.337604552385958</v>
      </c>
      <c r="O17" s="32" t="n">
        <f aca="false">IF(COUNTIFS(Clean_Data!$AB$2:$AB$2203,$C$4&amp;"|"&amp;A17,Clean_Data!$P$2:$P$2203,"&lt;&gt;")&gt;0,SUMIFS(Clean_Data!$P$2:$P$2203,Clean_Data!$AB$2:$AB$2203,$C$4&amp;"|"&amp;A17),"")</f>
        <v>670.1</v>
      </c>
      <c r="P17" s="32" t="n">
        <f aca="false">IF(COUNTIFS(Clean_Data!$AB$2:$AB$2203,$C$4&amp;"|"&amp;A17)&gt;0,SUMIFS(Clean_Data!$Z$2:$Z$2203,Clean_Data!$AB$2:$AB$2203,$C$4&amp;"|"&amp;A17),"")</f>
        <v>1421.98853761244</v>
      </c>
    </row>
  </sheetData>
  <mergeCells count="9">
    <mergeCell ref="C4:E4"/>
    <mergeCell ref="G4:H4"/>
    <mergeCell ref="I4:J4"/>
    <mergeCell ref="K4:L4"/>
    <mergeCell ref="M4:N4"/>
    <mergeCell ref="G5:H5"/>
    <mergeCell ref="I5:J5"/>
    <mergeCell ref="K5:L5"/>
    <mergeCell ref="M5:N5"/>
  </mergeCells>
  <dataValidations count="1">
    <dataValidation allowBlank="false" errorStyle="stop" operator="between" showDropDown="false" showErrorMessage="false" showInputMessage="false" sqref="C4" type="list">
      <formula1>Country_Summary!$A$6:$A$217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P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16" min="2" style="0" width="12"/>
  </cols>
  <sheetData>
    <row r="1" customFormat="false" ht="19.7" hidden="false" customHeight="false" outlineLevel="0" collapsed="false">
      <c r="A1" s="1" t="s">
        <v>115</v>
      </c>
    </row>
    <row r="2" customFormat="false" ht="15" hidden="false" customHeight="false" outlineLevel="0" collapsed="false">
      <c r="A2" s="2" t="s">
        <v>116</v>
      </c>
    </row>
    <row r="4" customFormat="false" ht="31.5" hidden="false" customHeight="true" outlineLevel="0" collapsed="false">
      <c r="A4" s="15" t="s">
        <v>78</v>
      </c>
      <c r="B4" s="15" t="s">
        <v>89</v>
      </c>
      <c r="C4" s="15" t="s">
        <v>90</v>
      </c>
      <c r="D4" s="15" t="s">
        <v>91</v>
      </c>
      <c r="E4" s="15" t="s">
        <v>92</v>
      </c>
      <c r="F4" s="15" t="s">
        <v>93</v>
      </c>
      <c r="G4" s="15" t="s">
        <v>94</v>
      </c>
      <c r="H4" s="15" t="s">
        <v>95</v>
      </c>
      <c r="I4" s="15" t="s">
        <v>96</v>
      </c>
      <c r="J4" s="15" t="s">
        <v>97</v>
      </c>
      <c r="K4" s="15" t="s">
        <v>98</v>
      </c>
      <c r="L4" s="15" t="s">
        <v>99</v>
      </c>
      <c r="M4" s="15" t="s">
        <v>100</v>
      </c>
      <c r="N4" s="15" t="s">
        <v>117</v>
      </c>
      <c r="O4" s="15" t="s">
        <v>118</v>
      </c>
      <c r="P4" s="15" t="s">
        <v>119</v>
      </c>
    </row>
    <row r="5" customFormat="false" ht="15" hidden="false" customHeight="false" outlineLevel="0" collapsed="false">
      <c r="A5" s="33" t="s">
        <v>104</v>
      </c>
      <c r="B5" s="32" t="n">
        <f aca="false">SUMIFS(Clean_Data!$F$2:$F$2203,Clean_Data!$AB$2:$AB$2203,"World|"&amp;A5)</f>
        <v>24002.35</v>
      </c>
      <c r="C5" s="32" t="n">
        <f aca="false">SUMIFS(Clean_Data!$G$2:$G$2203,Clean_Data!$AB$2:$AB$2203,"World|"&amp;A5)</f>
        <v>9283.61</v>
      </c>
      <c r="D5" s="32" t="n">
        <f aca="false">SUMIFS(Clean_Data!$H$2:$H$2203,Clean_Data!$AB$2:$AB$2203,"World|"&amp;A5)</f>
        <v>5539.88</v>
      </c>
      <c r="E5" s="32" t="n">
        <f aca="false">SUMIFS(Clean_Data!$I$2:$I$2203,Clean_Data!$AB$2:$AB$2203,"World|"&amp;A5)</f>
        <v>1133.29</v>
      </c>
      <c r="F5" s="32" t="n">
        <f aca="false">SUMIFS(Clean_Data!$J$2:$J$2203,Clean_Data!$AB$2:$AB$2203,"World|"&amp;A5)</f>
        <v>2532.93</v>
      </c>
      <c r="G5" s="32" t="n">
        <f aca="false">SUMIFS(Clean_Data!$K$2:$K$2203,Clean_Data!$AB$2:$AB$2203,"World|"&amp;A5)</f>
        <v>3882.13</v>
      </c>
      <c r="H5" s="32" t="n">
        <f aca="false">SUMIFS(Clean_Data!$L$2:$L$2203,Clean_Data!$AB$2:$AB$2203,"World|"&amp;A5)</f>
        <v>256.01</v>
      </c>
      <c r="I5" s="32" t="n">
        <f aca="false">SUMIFS(Clean_Data!$M$2:$M$2203,Clean_Data!$AB$2:$AB$2203,"World|"&amp;A5)</f>
        <v>829.63</v>
      </c>
      <c r="J5" s="32" t="n">
        <f aca="false">SUMIFS(Clean_Data!$N$2:$N$2203,Clean_Data!$AB$2:$AB$2203,"World|"&amp;A5)+SUMIFS(Clean_Data!$O$2:$O$2203,Clean_Data!$AB$2:$AB$2203,"World|"&amp;A5)</f>
        <v>544.87</v>
      </c>
      <c r="K5" s="31" t="n">
        <f aca="false">(G5+H5+I5+J5)/B5</f>
        <v>0.229670844729787</v>
      </c>
      <c r="L5" s="31" t="n">
        <f aca="false">(H5+I5)/B5</f>
        <v>0.0452305711732393</v>
      </c>
      <c r="M5" s="31" t="n">
        <f aca="false">C5/B5</f>
        <v>0.386779211202237</v>
      </c>
      <c r="N5" s="31" t="n">
        <f aca="false">(C5+D5+E5)/B5</f>
        <v>0.664800738261046</v>
      </c>
      <c r="O5" s="31" t="str">
        <f aca="false">""</f>
        <v/>
      </c>
      <c r="P5" s="31" t="str">
        <f aca="false">""</f>
        <v/>
      </c>
    </row>
    <row r="6" customFormat="false" ht="15" hidden="false" customHeight="false" outlineLevel="0" collapsed="false">
      <c r="A6" s="33" t="s">
        <v>105</v>
      </c>
      <c r="B6" s="32" t="n">
        <f aca="false">SUMIFS(Clean_Data!$F$2:$F$2203,Clean_Data!$AB$2:$AB$2203,"World|"&amp;A6)</f>
        <v>24694.51</v>
      </c>
      <c r="C6" s="32" t="n">
        <f aca="false">SUMIFS(Clean_Data!$G$2:$G$2203,Clean_Data!$AB$2:$AB$2203,"World|"&amp;A6)</f>
        <v>9327.96</v>
      </c>
      <c r="D6" s="32" t="n">
        <f aca="false">SUMIFS(Clean_Data!$H$2:$H$2203,Clean_Data!$AB$2:$AB$2203,"World|"&amp;A6)</f>
        <v>5849.92</v>
      </c>
      <c r="E6" s="32" t="n">
        <f aca="false">SUMIFS(Clean_Data!$I$2:$I$2203,Clean_Data!$AB$2:$AB$2203,"World|"&amp;A6)</f>
        <v>1085.11</v>
      </c>
      <c r="F6" s="32" t="n">
        <f aca="false">SUMIFS(Clean_Data!$J$2:$J$2203,Clean_Data!$AB$2:$AB$2203,"World|"&amp;A6)</f>
        <v>2571.05</v>
      </c>
      <c r="G6" s="32" t="n">
        <f aca="false">SUMIFS(Clean_Data!$K$2:$K$2203,Clean_Data!$AB$2:$AB$2203,"World|"&amp;A6)</f>
        <v>4014.75</v>
      </c>
      <c r="H6" s="32" t="n">
        <f aca="false">SUMIFS(Clean_Data!$L$2:$L$2203,Clean_Data!$AB$2:$AB$2203,"World|"&amp;A6)</f>
        <v>327.47</v>
      </c>
      <c r="I6" s="32" t="n">
        <f aca="false">SUMIFS(Clean_Data!$M$2:$M$2203,Clean_Data!$AB$2:$AB$2203,"World|"&amp;A6)</f>
        <v>960.3</v>
      </c>
      <c r="J6" s="32" t="n">
        <f aca="false">SUMIFS(Clean_Data!$N$2:$N$2203,Clean_Data!$AB$2:$AB$2203,"World|"&amp;A6)+SUMIFS(Clean_Data!$O$2:$O$2203,Clean_Data!$AB$2:$AB$2203,"World|"&amp;A6)</f>
        <v>557.95</v>
      </c>
      <c r="K6" s="31" t="n">
        <f aca="false">(G6+H6+I6+J6)/B6</f>
        <v>0.237318740076236</v>
      </c>
      <c r="L6" s="31" t="n">
        <f aca="false">(H6+I6)/B6</f>
        <v>0.0521480280434801</v>
      </c>
      <c r="M6" s="31" t="n">
        <f aca="false">C6/B6</f>
        <v>0.377734160345761</v>
      </c>
      <c r="N6" s="31" t="n">
        <f aca="false">(C6+D6+E6)/B6</f>
        <v>0.658567025626344</v>
      </c>
      <c r="O6" s="31" t="n">
        <f aca="false">B6/B5-1</f>
        <v>0.0288371763598148</v>
      </c>
      <c r="P6" s="31" t="n">
        <f aca="false">H6/H5-1</f>
        <v>0.279129721495254</v>
      </c>
    </row>
    <row r="7" customFormat="false" ht="15" hidden="false" customHeight="false" outlineLevel="0" collapsed="false">
      <c r="A7" s="33" t="s">
        <v>106</v>
      </c>
      <c r="B7" s="32" t="n">
        <f aca="false">SUMIFS(Clean_Data!$F$2:$F$2203,Clean_Data!$AB$2:$AB$2203,"World|"&amp;A7)</f>
        <v>25441.039</v>
      </c>
      <c r="C7" s="32" t="n">
        <f aca="false">SUMIFS(Clean_Data!$G$2:$G$2203,Clean_Data!$AB$2:$AB$2203,"World|"&amp;A7)</f>
        <v>9655.05</v>
      </c>
      <c r="D7" s="32" t="n">
        <f aca="false">SUMIFS(Clean_Data!$H$2:$H$2203,Clean_Data!$AB$2:$AB$2203,"World|"&amp;A7)</f>
        <v>5973.6</v>
      </c>
      <c r="E7" s="32" t="n">
        <f aca="false">SUMIFS(Clean_Data!$I$2:$I$2203,Clean_Data!$AB$2:$AB$2203,"World|"&amp;A7)</f>
        <v>993.83</v>
      </c>
      <c r="F7" s="32" t="n">
        <f aca="false">SUMIFS(Clean_Data!$J$2:$J$2203,Clean_Data!$AB$2:$AB$2203,"World|"&amp;A7)</f>
        <v>2594.23</v>
      </c>
      <c r="G7" s="32" t="n">
        <f aca="false">SUMIFS(Clean_Data!$K$2:$K$2203,Clean_Data!$AB$2:$AB$2203,"World|"&amp;A7)</f>
        <v>4054.03</v>
      </c>
      <c r="H7" s="32" t="n">
        <f aca="false">SUMIFS(Clean_Data!$L$2:$L$2203,Clean_Data!$AB$2:$AB$2203,"World|"&amp;A7)</f>
        <v>444.65</v>
      </c>
      <c r="I7" s="32" t="n">
        <f aca="false">SUMIFS(Clean_Data!$M$2:$M$2203,Clean_Data!$AB$2:$AB$2203,"World|"&amp;A7)</f>
        <v>1139.44</v>
      </c>
      <c r="J7" s="32" t="n">
        <f aca="false">SUMIFS(Clean_Data!$N$2:$N$2203,Clean_Data!$AB$2:$AB$2203,"World|"&amp;A7)+SUMIFS(Clean_Data!$O$2:$O$2203,Clean_Data!$AB$2:$AB$2203,"World|"&amp;A7)</f>
        <v>586.21</v>
      </c>
      <c r="K7" s="31" t="n">
        <f aca="false">(G7+H7+I7+J7)/B7</f>
        <v>0.244657067661427</v>
      </c>
      <c r="L7" s="31" t="n">
        <f aca="false">(H7+I7)/B7</f>
        <v>0.0622651456962902</v>
      </c>
      <c r="M7" s="31" t="n">
        <f aca="false">C7/B7</f>
        <v>0.379506906144832</v>
      </c>
      <c r="N7" s="31" t="n">
        <f aca="false">(C7+D7+E7)/B7</f>
        <v>0.653372686547904</v>
      </c>
      <c r="O7" s="31" t="n">
        <f aca="false">B7/B6-1</f>
        <v>0.0302305654171717</v>
      </c>
      <c r="P7" s="31" t="n">
        <f aca="false">H7/H6-1</f>
        <v>0.357834305432559</v>
      </c>
    </row>
    <row r="8" customFormat="false" ht="15" hidden="false" customHeight="false" outlineLevel="0" collapsed="false">
      <c r="A8" s="33" t="s">
        <v>107</v>
      </c>
      <c r="B8" s="32" t="n">
        <f aca="false">SUMIFS(Clean_Data!$F$2:$F$2203,Clean_Data!$AB$2:$AB$2203,"World|"&amp;A8)</f>
        <v>26464.49</v>
      </c>
      <c r="C8" s="32" t="n">
        <f aca="false">SUMIFS(Clean_Data!$G$2:$G$2203,Clean_Data!$AB$2:$AB$2203,"World|"&amp;A8)</f>
        <v>10033.03</v>
      </c>
      <c r="D8" s="32" t="n">
        <f aca="false">SUMIFS(Clean_Data!$H$2:$H$2203,Clean_Data!$AB$2:$AB$2203,"World|"&amp;A8)</f>
        <v>6224.56</v>
      </c>
      <c r="E8" s="32" t="n">
        <f aca="false">SUMIFS(Clean_Data!$I$2:$I$2203,Clean_Data!$AB$2:$AB$2203,"World|"&amp;A8)</f>
        <v>908.6</v>
      </c>
      <c r="F8" s="32" t="n">
        <f aca="false">SUMIFS(Clean_Data!$J$2:$J$2203,Clean_Data!$AB$2:$AB$2203,"World|"&amp;A8)</f>
        <v>2658.7</v>
      </c>
      <c r="G8" s="32" t="n">
        <f aca="false">SUMIFS(Clean_Data!$K$2:$K$2203,Clean_Data!$AB$2:$AB$2203,"World|"&amp;A8)</f>
        <v>4176.84</v>
      </c>
      <c r="H8" s="32" t="n">
        <f aca="false">SUMIFS(Clean_Data!$L$2:$L$2203,Clean_Data!$AB$2:$AB$2203,"World|"&amp;A8)</f>
        <v>575.16</v>
      </c>
      <c r="I8" s="32" t="n">
        <f aca="false">SUMIFS(Clean_Data!$M$2:$M$2203,Clean_Data!$AB$2:$AB$2203,"World|"&amp;A8)</f>
        <v>1268.14</v>
      </c>
      <c r="J8" s="32" t="n">
        <f aca="false">SUMIFS(Clean_Data!$N$2:$N$2203,Clean_Data!$AB$2:$AB$2203,"World|"&amp;A8)+SUMIFS(Clean_Data!$O$2:$O$2203,Clean_Data!$AB$2:$AB$2203,"World|"&amp;A8)</f>
        <v>619.46</v>
      </c>
      <c r="K8" s="31" t="n">
        <f aca="false">(G8+H8+I8+J8)/B8</f>
        <v>0.250887132153312</v>
      </c>
      <c r="L8" s="31" t="n">
        <f aca="false">(H8+I8)/B8</f>
        <v>0.0696518240102114</v>
      </c>
      <c r="M8" s="31" t="n">
        <f aca="false">C8/B8</f>
        <v>0.379112916969116</v>
      </c>
      <c r="N8" s="31" t="n">
        <f aca="false">(C8+D8+E8)/B8</f>
        <v>0.648649945644144</v>
      </c>
      <c r="O8" s="31" t="n">
        <f aca="false">B8/B7-1</f>
        <v>0.0402283491645132</v>
      </c>
      <c r="P8" s="31" t="n">
        <f aca="false">H8/H7-1</f>
        <v>0.293511750815248</v>
      </c>
    </row>
    <row r="9" customFormat="false" ht="15" hidden="false" customHeight="false" outlineLevel="0" collapsed="false">
      <c r="A9" s="33" t="s">
        <v>108</v>
      </c>
      <c r="B9" s="32" t="n">
        <f aca="false">SUMIFS(Clean_Data!$F$2:$F$2203,Clean_Data!$AB$2:$AB$2203,"World|"&amp;A9)</f>
        <v>26832.42</v>
      </c>
      <c r="C9" s="32" t="n">
        <f aca="false">SUMIFS(Clean_Data!$G$2:$G$2203,Clean_Data!$AB$2:$AB$2203,"World|"&amp;A9)</f>
        <v>9826.39</v>
      </c>
      <c r="D9" s="32" t="n">
        <f aca="false">SUMIFS(Clean_Data!$H$2:$H$2203,Clean_Data!$AB$2:$AB$2203,"World|"&amp;A9)</f>
        <v>6401.31</v>
      </c>
      <c r="E9" s="32" t="n">
        <f aca="false">SUMIFS(Clean_Data!$I$2:$I$2203,Clean_Data!$AB$2:$AB$2203,"World|"&amp;A9)</f>
        <v>855.03</v>
      </c>
      <c r="F9" s="32" t="n">
        <f aca="false">SUMIFS(Clean_Data!$J$2:$J$2203,Clean_Data!$AB$2:$AB$2203,"World|"&amp;A9)</f>
        <v>2754.08</v>
      </c>
      <c r="G9" s="32" t="n">
        <f aca="false">SUMIFS(Clean_Data!$K$2:$K$2203,Clean_Data!$AB$2:$AB$2203,"World|"&amp;A9)</f>
        <v>4227.76</v>
      </c>
      <c r="H9" s="32" t="n">
        <f aca="false">SUMIFS(Clean_Data!$L$2:$L$2203,Clean_Data!$AB$2:$AB$2203,"World|"&amp;A9)</f>
        <v>697.94</v>
      </c>
      <c r="I9" s="32" t="n">
        <f aca="false">SUMIFS(Clean_Data!$M$2:$M$2203,Clean_Data!$AB$2:$AB$2203,"World|"&amp;A9)</f>
        <v>1420.96</v>
      </c>
      <c r="J9" s="32" t="n">
        <f aca="false">SUMIFS(Clean_Data!$N$2:$N$2203,Clean_Data!$AB$2:$AB$2203,"World|"&amp;A9)+SUMIFS(Clean_Data!$O$2:$O$2203,Clean_Data!$AB$2:$AB$2203,"World|"&amp;A9)</f>
        <v>648.95</v>
      </c>
      <c r="K9" s="31" t="n">
        <f aca="false">(G9+H9+I9+J9)/B9</f>
        <v>0.26071483675345</v>
      </c>
      <c r="L9" s="31" t="n">
        <f aca="false">(H9+I9)/B9</f>
        <v>0.0789679052429859</v>
      </c>
      <c r="M9" s="31" t="n">
        <f aca="false">C9/B9</f>
        <v>0.366213334466291</v>
      </c>
      <c r="N9" s="31" t="n">
        <f aca="false">(C9+D9+E9)/B9</f>
        <v>0.636645147921805</v>
      </c>
      <c r="O9" s="31" t="n">
        <f aca="false">B9/B8-1</f>
        <v>0.0139027806694931</v>
      </c>
      <c r="P9" s="31" t="n">
        <f aca="false">H9/H8-1</f>
        <v>0.21347103414702</v>
      </c>
    </row>
    <row r="10" customFormat="false" ht="15" hidden="false" customHeight="false" outlineLevel="0" collapsed="false">
      <c r="A10" s="33" t="s">
        <v>109</v>
      </c>
      <c r="B10" s="32" t="n">
        <f aca="false">SUMIFS(Clean_Data!$F$2:$F$2203,Clean_Data!$AB$2:$AB$2203,"World|"&amp;A10)</f>
        <v>26723.369</v>
      </c>
      <c r="C10" s="32" t="n">
        <f aca="false">SUMIFS(Clean_Data!$G$2:$G$2203,Clean_Data!$AB$2:$AB$2203,"World|"&amp;A10)</f>
        <v>9437.05</v>
      </c>
      <c r="D10" s="32" t="n">
        <f aca="false">SUMIFS(Clean_Data!$H$2:$H$2203,Clean_Data!$AB$2:$AB$2203,"World|"&amp;A10)</f>
        <v>6382.94</v>
      </c>
      <c r="E10" s="32" t="n">
        <f aca="false">SUMIFS(Clean_Data!$I$2:$I$2203,Clean_Data!$AB$2:$AB$2203,"World|"&amp;A10)</f>
        <v>775.88</v>
      </c>
      <c r="F10" s="32" t="n">
        <f aca="false">SUMIFS(Clean_Data!$J$2:$J$2203,Clean_Data!$AB$2:$AB$2203,"World|"&amp;A10)</f>
        <v>2648.33</v>
      </c>
      <c r="G10" s="32" t="n">
        <f aca="false">SUMIFS(Clean_Data!$K$2:$K$2203,Clean_Data!$AB$2:$AB$2203,"World|"&amp;A10)</f>
        <v>4347.02</v>
      </c>
      <c r="H10" s="32" t="n">
        <f aca="false">SUMIFS(Clean_Data!$L$2:$L$2203,Clean_Data!$AB$2:$AB$2203,"World|"&amp;A10)</f>
        <v>853.39</v>
      </c>
      <c r="I10" s="32" t="n">
        <f aca="false">SUMIFS(Clean_Data!$M$2:$M$2203,Clean_Data!$AB$2:$AB$2203,"World|"&amp;A10)</f>
        <v>1591.47</v>
      </c>
      <c r="J10" s="32" t="n">
        <f aca="false">SUMIFS(Clean_Data!$N$2:$N$2203,Clean_Data!$AB$2:$AB$2203,"World|"&amp;A10)+SUMIFS(Clean_Data!$O$2:$O$2203,Clean_Data!$AB$2:$AB$2203,"World|"&amp;A10)</f>
        <v>687.29</v>
      </c>
      <c r="K10" s="31" t="n">
        <f aca="false">(G10+H10+I10+J10)/B10</f>
        <v>0.279873768909901</v>
      </c>
      <c r="L10" s="31" t="n">
        <f aca="false">(H10+I10)/B10</f>
        <v>0.0914877162381734</v>
      </c>
      <c r="M10" s="31" t="n">
        <f aca="false">C10/B10</f>
        <v>0.353138483400053</v>
      </c>
      <c r="N10" s="31" t="n">
        <f aca="false">(C10+D10+E10)/B10</f>
        <v>0.621024617068305</v>
      </c>
      <c r="O10" s="31" t="n">
        <f aca="false">B10/B9-1</f>
        <v>-0.00406415075494493</v>
      </c>
      <c r="P10" s="31" t="n">
        <f aca="false">H10/H9-1</f>
        <v>0.222726881966931</v>
      </c>
    </row>
    <row r="11" customFormat="false" ht="15" hidden="false" customHeight="false" outlineLevel="0" collapsed="false">
      <c r="A11" s="33" t="s">
        <v>110</v>
      </c>
      <c r="B11" s="32" t="n">
        <f aca="false">SUMIFS(Clean_Data!$F$2:$F$2203,Clean_Data!$AB$2:$AB$2203,"World|"&amp;A11)</f>
        <v>28259.07</v>
      </c>
      <c r="C11" s="32" t="n">
        <f aca="false">SUMIFS(Clean_Data!$G$2:$G$2203,Clean_Data!$AB$2:$AB$2203,"World|"&amp;A11)</f>
        <v>10156.49</v>
      </c>
      <c r="D11" s="32" t="n">
        <f aca="false">SUMIFS(Clean_Data!$H$2:$H$2203,Clean_Data!$AB$2:$AB$2203,"World|"&amp;A11)</f>
        <v>6556.63</v>
      </c>
      <c r="E11" s="32" t="n">
        <f aca="false">SUMIFS(Clean_Data!$I$2:$I$2203,Clean_Data!$AB$2:$AB$2203,"World|"&amp;A11)</f>
        <v>842.25</v>
      </c>
      <c r="F11" s="32" t="n">
        <f aca="false">SUMIFS(Clean_Data!$J$2:$J$2203,Clean_Data!$AB$2:$AB$2203,"World|"&amp;A11)</f>
        <v>2762.44</v>
      </c>
      <c r="G11" s="32" t="n">
        <f aca="false">SUMIFS(Clean_Data!$K$2:$K$2203,Clean_Data!$AB$2:$AB$2203,"World|"&amp;A11)</f>
        <v>4288.7</v>
      </c>
      <c r="H11" s="32" t="n">
        <f aca="false">SUMIFS(Clean_Data!$L$2:$L$2203,Clean_Data!$AB$2:$AB$2203,"World|"&amp;A11)</f>
        <v>1053.99</v>
      </c>
      <c r="I11" s="32" t="n">
        <f aca="false">SUMIFS(Clean_Data!$M$2:$M$2203,Clean_Data!$AB$2:$AB$2203,"World|"&amp;A11)</f>
        <v>1856.94</v>
      </c>
      <c r="J11" s="32" t="n">
        <f aca="false">SUMIFS(Clean_Data!$N$2:$N$2203,Clean_Data!$AB$2:$AB$2203,"World|"&amp;A11)+SUMIFS(Clean_Data!$O$2:$O$2203,Clean_Data!$AB$2:$AB$2203,"World|"&amp;A11)</f>
        <v>741.63</v>
      </c>
      <c r="K11" s="31" t="n">
        <f aca="false">(G11+H11+I11+J11)/B11</f>
        <v>0.281016325024143</v>
      </c>
      <c r="L11" s="31" t="n">
        <f aca="false">(H11+I11)/B11</f>
        <v>0.103008697738461</v>
      </c>
      <c r="M11" s="31" t="n">
        <f aca="false">C11/B11</f>
        <v>0.35940637819999</v>
      </c>
      <c r="N11" s="31" t="n">
        <f aca="false">(C11+D11+E11)/B11</f>
        <v>0.621229573372372</v>
      </c>
      <c r="O11" s="31" t="n">
        <f aca="false">B11/B10-1</f>
        <v>0.0574665941259129</v>
      </c>
      <c r="P11" s="31" t="n">
        <f aca="false">H11/H10-1</f>
        <v>0.235062515379838</v>
      </c>
    </row>
    <row r="12" customFormat="false" ht="15" hidden="false" customHeight="false" outlineLevel="0" collapsed="false">
      <c r="A12" s="33" t="s">
        <v>111</v>
      </c>
      <c r="B12" s="32" t="n">
        <f aca="false">SUMIFS(Clean_Data!$F$2:$F$2203,Clean_Data!$AB$2:$AB$2203,"World|"&amp;A12)</f>
        <v>28917.76</v>
      </c>
      <c r="C12" s="32" t="n">
        <f aca="false">SUMIFS(Clean_Data!$G$2:$G$2203,Clean_Data!$AB$2:$AB$2203,"World|"&amp;A12)</f>
        <v>10240.44</v>
      </c>
      <c r="D12" s="32" t="n">
        <f aca="false">SUMIFS(Clean_Data!$H$2:$H$2203,Clean_Data!$AB$2:$AB$2203,"World|"&amp;A12)</f>
        <v>6628.27</v>
      </c>
      <c r="E12" s="32" t="n">
        <f aca="false">SUMIFS(Clean_Data!$I$2:$I$2203,Clean_Data!$AB$2:$AB$2203,"World|"&amp;A12)</f>
        <v>887.42</v>
      </c>
      <c r="F12" s="32" t="n">
        <f aca="false">SUMIFS(Clean_Data!$J$2:$J$2203,Clean_Data!$AB$2:$AB$2203,"World|"&amp;A12)</f>
        <v>2639.64</v>
      </c>
      <c r="G12" s="32" t="n">
        <f aca="false">SUMIFS(Clean_Data!$K$2:$K$2203,Clean_Data!$AB$2:$AB$2203,"World|"&amp;A12)</f>
        <v>4324.07</v>
      </c>
      <c r="H12" s="32" t="n">
        <f aca="false">SUMIFS(Clean_Data!$L$2:$L$2203,Clean_Data!$AB$2:$AB$2203,"World|"&amp;A12)</f>
        <v>1333.12</v>
      </c>
      <c r="I12" s="32" t="n">
        <f aca="false">SUMIFS(Clean_Data!$M$2:$M$2203,Clean_Data!$AB$2:$AB$2203,"World|"&amp;A12)</f>
        <v>2107.66</v>
      </c>
      <c r="J12" s="32" t="n">
        <f aca="false">SUMIFS(Clean_Data!$N$2:$N$2203,Clean_Data!$AB$2:$AB$2203,"World|"&amp;A12)+SUMIFS(Clean_Data!$O$2:$O$2203,Clean_Data!$AB$2:$AB$2203,"World|"&amp;A12)</f>
        <v>757.14</v>
      </c>
      <c r="K12" s="31" t="n">
        <f aca="false">(G12+H12+I12+J12)/B12</f>
        <v>0.29469744544529</v>
      </c>
      <c r="L12" s="31" t="n">
        <f aca="false">(H12+I12)/B12</f>
        <v>0.118985011287181</v>
      </c>
      <c r="M12" s="31" t="n">
        <f aca="false">C12/B12</f>
        <v>0.354122864288244</v>
      </c>
      <c r="N12" s="31" t="n">
        <f aca="false">(C12+D12+E12)/B12</f>
        <v>0.614021625464766</v>
      </c>
      <c r="O12" s="31" t="n">
        <f aca="false">B12/B11-1</f>
        <v>0.0233089765515992</v>
      </c>
      <c r="P12" s="31" t="n">
        <f aca="false">H12/H11-1</f>
        <v>0.264831734646439</v>
      </c>
    </row>
    <row r="13" customFormat="false" ht="15" hidden="false" customHeight="false" outlineLevel="0" collapsed="false">
      <c r="A13" s="33" t="s">
        <v>112</v>
      </c>
      <c r="B13" s="32" t="n">
        <f aca="false">SUMIFS(Clean_Data!$F$2:$F$2203,Clean_Data!$AB$2:$AB$2203,"World|"&amp;A13)</f>
        <v>29665.34</v>
      </c>
      <c r="C13" s="32" t="n">
        <f aca="false">SUMIFS(Clean_Data!$G$2:$G$2203,Clean_Data!$AB$2:$AB$2203,"World|"&amp;A13)</f>
        <v>10395.94</v>
      </c>
      <c r="D13" s="32" t="n">
        <f aca="false">SUMIFS(Clean_Data!$H$2:$H$2203,Clean_Data!$AB$2:$AB$2203,"World|"&amp;A13)</f>
        <v>6699.42</v>
      </c>
      <c r="E13" s="32" t="n">
        <f aca="false">SUMIFS(Clean_Data!$I$2:$I$2203,Clean_Data!$AB$2:$AB$2203,"World|"&amp;A13)</f>
        <v>876.79</v>
      </c>
      <c r="F13" s="32" t="n">
        <f aca="false">SUMIFS(Clean_Data!$J$2:$J$2203,Clean_Data!$AB$2:$AB$2203,"World|"&amp;A13)</f>
        <v>2697.74</v>
      </c>
      <c r="G13" s="32" t="n">
        <f aca="false">SUMIFS(Clean_Data!$K$2:$K$2203,Clean_Data!$AB$2:$AB$2203,"World|"&amp;A13)</f>
        <v>4240.11</v>
      </c>
      <c r="H13" s="32" t="n">
        <f aca="false">SUMIFS(Clean_Data!$L$2:$L$2203,Clean_Data!$AB$2:$AB$2203,"World|"&amp;A13)</f>
        <v>1664.14</v>
      </c>
      <c r="I13" s="32" t="n">
        <f aca="false">SUMIFS(Clean_Data!$M$2:$M$2203,Clean_Data!$AB$2:$AB$2203,"World|"&amp;A13)</f>
        <v>2319.18</v>
      </c>
      <c r="J13" s="32" t="n">
        <f aca="false">SUMIFS(Clean_Data!$N$2:$N$2203,Clean_Data!$AB$2:$AB$2203,"World|"&amp;A13)+SUMIFS(Clean_Data!$O$2:$O$2203,Clean_Data!$AB$2:$AB$2203,"World|"&amp;A13)</f>
        <v>772.02</v>
      </c>
      <c r="K13" s="31" t="n">
        <f aca="false">(G13+H13+I13+J13)/B13</f>
        <v>0.303230975947014</v>
      </c>
      <c r="L13" s="31" t="n">
        <f aca="false">(H13+I13)/B13</f>
        <v>0.134275218150205</v>
      </c>
      <c r="M13" s="31" t="n">
        <f aca="false">C13/B13</f>
        <v>0.350440615209534</v>
      </c>
      <c r="N13" s="31" t="n">
        <f aca="false">(C13+D13+E13)/B13</f>
        <v>0.605829901157378</v>
      </c>
      <c r="O13" s="31" t="n">
        <f aca="false">B13/B12-1</f>
        <v>0.0258519332064449</v>
      </c>
      <c r="P13" s="31" t="n">
        <f aca="false">H13/H12-1</f>
        <v>0.248304728756601</v>
      </c>
    </row>
    <row r="14" customFormat="false" ht="15" hidden="false" customHeight="false" outlineLevel="0" collapsed="false">
      <c r="A14" s="33" t="s">
        <v>113</v>
      </c>
      <c r="B14" s="32" t="n">
        <f aca="false">SUMIFS(Clean_Data!$F$2:$F$2203,Clean_Data!$AB$2:$AB$2203,"World|"&amp;A14)</f>
        <v>30930.23</v>
      </c>
      <c r="C14" s="32" t="n">
        <f aca="false">SUMIFS(Clean_Data!$G$2:$G$2203,Clean_Data!$AB$2:$AB$2203,"World|"&amp;A14)</f>
        <v>10538.94</v>
      </c>
      <c r="D14" s="32" t="n">
        <f aca="false">SUMIFS(Clean_Data!$H$2:$H$2203,Clean_Data!$AB$2:$AB$2203,"World|"&amp;A14)</f>
        <v>6882.73</v>
      </c>
      <c r="E14" s="32" t="n">
        <f aca="false">SUMIFS(Clean_Data!$I$2:$I$2203,Clean_Data!$AB$2:$AB$2203,"World|"&amp;A14)</f>
        <v>853.84</v>
      </c>
      <c r="F14" s="32" t="n">
        <f aca="false">SUMIFS(Clean_Data!$J$2:$J$2203,Clean_Data!$AB$2:$AB$2203,"World|"&amp;A14)</f>
        <v>2777.11</v>
      </c>
      <c r="G14" s="32" t="n">
        <f aca="false">SUMIFS(Clean_Data!$K$2:$K$2203,Clean_Data!$AB$2:$AB$2203,"World|"&amp;A14)</f>
        <v>4433.65</v>
      </c>
      <c r="H14" s="32" t="n">
        <f aca="false">SUMIFS(Clean_Data!$L$2:$L$2203,Clean_Data!$AB$2:$AB$2203,"World|"&amp;A14)</f>
        <v>2142.65</v>
      </c>
      <c r="I14" s="32" t="n">
        <f aca="false">SUMIFS(Clean_Data!$M$2:$M$2203,Clean_Data!$AB$2:$AB$2203,"World|"&amp;A14)</f>
        <v>2509.5</v>
      </c>
      <c r="J14" s="32" t="n">
        <f aca="false">SUMIFS(Clean_Data!$N$2:$N$2203,Clean_Data!$AB$2:$AB$2203,"World|"&amp;A14)+SUMIFS(Clean_Data!$O$2:$O$2203,Clean_Data!$AB$2:$AB$2203,"World|"&amp;A14)</f>
        <v>791.81</v>
      </c>
      <c r="K14" s="31" t="n">
        <f aca="false">(G14+H14+I14+J14)/B14</f>
        <v>0.319351327164395</v>
      </c>
      <c r="L14" s="31" t="n">
        <f aca="false">(H14+I14)/B14</f>
        <v>0.150407869582606</v>
      </c>
      <c r="M14" s="31" t="n">
        <f aca="false">C14/B14</f>
        <v>0.340732674797439</v>
      </c>
      <c r="N14" s="31" t="n">
        <f aca="false">(C14+D14+E14)/B14</f>
        <v>0.590862402251778</v>
      </c>
      <c r="O14" s="31" t="n">
        <f aca="false">B14/B13-1</f>
        <v>0.0426386483350603</v>
      </c>
      <c r="P14" s="31" t="n">
        <f aca="false">H14/H13-1</f>
        <v>0.287541913540928</v>
      </c>
    </row>
    <row r="15" customFormat="false" ht="15" hidden="false" customHeight="false" outlineLevel="0" collapsed="false">
      <c r="A15" s="33" t="s">
        <v>114</v>
      </c>
      <c r="B15" s="32" t="n">
        <f aca="false">SUMIFS(Clean_Data!$F$2:$F$2203,Clean_Data!$AB$2:$AB$2203,"World|"&amp;A15)</f>
        <v>31772.35</v>
      </c>
      <c r="C15" s="32" t="n">
        <f aca="false">SUMIFS(Clean_Data!$G$2:$G$2203,Clean_Data!$AB$2:$AB$2203,"World|"&amp;A15)</f>
        <v>10471.53</v>
      </c>
      <c r="D15" s="32" t="n">
        <f aca="false">SUMIFS(Clean_Data!$H$2:$H$2203,Clean_Data!$AB$2:$AB$2203,"World|"&amp;A15)</f>
        <v>6921.14</v>
      </c>
      <c r="E15" s="32" t="n">
        <f aca="false">SUMIFS(Clean_Data!$I$2:$I$2203,Clean_Data!$AB$2:$AB$2203,"World|"&amp;A15)</f>
        <v>841.62</v>
      </c>
      <c r="F15" s="32" t="n">
        <f aca="false">SUMIFS(Clean_Data!$J$2:$J$2203,Clean_Data!$AB$2:$AB$2203,"World|"&amp;A15)</f>
        <v>2811.57</v>
      </c>
      <c r="G15" s="32" t="n">
        <f aca="false">SUMIFS(Clean_Data!$K$2:$K$2203,Clean_Data!$AB$2:$AB$2203,"World|"&amp;A15)</f>
        <v>4434.97</v>
      </c>
      <c r="H15" s="32" t="n">
        <f aca="false">SUMIFS(Clean_Data!$L$2:$L$2203,Clean_Data!$AB$2:$AB$2203,"World|"&amp;A15)</f>
        <v>2778.64</v>
      </c>
      <c r="I15" s="32" t="n">
        <f aca="false">SUMIFS(Clean_Data!$M$2:$M$2203,Clean_Data!$AB$2:$AB$2203,"World|"&amp;A15)</f>
        <v>2713.14</v>
      </c>
      <c r="J15" s="32" t="n">
        <f aca="false">SUMIFS(Clean_Data!$N$2:$N$2203,Clean_Data!$AB$2:$AB$2203,"World|"&amp;A15)+SUMIFS(Clean_Data!$O$2:$O$2203,Clean_Data!$AB$2:$AB$2203,"World|"&amp;A15)</f>
        <v>799.74</v>
      </c>
      <c r="K15" s="31" t="n">
        <f aca="false">(G15+H15+I15+J15)/B15</f>
        <v>0.337604552385958</v>
      </c>
      <c r="L15" s="31" t="n">
        <f aca="false">(H15+I15)/B15</f>
        <v>0.172847774873436</v>
      </c>
      <c r="M15" s="31" t="n">
        <f aca="false">C15/B15</f>
        <v>0.329579964969541</v>
      </c>
      <c r="N15" s="31" t="n">
        <f aca="false">(C15+D15+E15)/B15</f>
        <v>0.573904353942973</v>
      </c>
      <c r="O15" s="31" t="n">
        <f aca="false">B15/B14-1</f>
        <v>0.0272264383420362</v>
      </c>
      <c r="P15" s="31" t="n">
        <f aca="false">H15/H14-1</f>
        <v>0.296824026322544</v>
      </c>
    </row>
    <row r="17" customFormat="false" ht="15" hidden="false" customHeight="false" outlineLevel="0" collapsed="false">
      <c r="A17" s="34" t="s">
        <v>120</v>
      </c>
      <c r="B17" s="35" t="n">
        <f aca="false">B15-B5</f>
        <v>7770</v>
      </c>
      <c r="C17" s="35" t="n">
        <f aca="false">C15-C5</f>
        <v>1187.92</v>
      </c>
      <c r="D17" s="35" t="n">
        <f aca="false">D15-D5</f>
        <v>1381.26</v>
      </c>
      <c r="E17" s="35" t="n">
        <f aca="false">E15-E5</f>
        <v>-291.67</v>
      </c>
      <c r="F17" s="35" t="n">
        <f aca="false">F15-F5</f>
        <v>278.64</v>
      </c>
      <c r="G17" s="35" t="n">
        <f aca="false">G15-G5</f>
        <v>552.84</v>
      </c>
      <c r="H17" s="35" t="n">
        <f aca="false">H15-H5</f>
        <v>2522.63</v>
      </c>
      <c r="I17" s="35" t="n">
        <f aca="false">I15-I5</f>
        <v>1883.51</v>
      </c>
      <c r="J17" s="35" t="n">
        <f aca="false">J15-J5</f>
        <v>254.87</v>
      </c>
      <c r="K17" s="36" t="n">
        <f aca="false">(K15-K5)*100</f>
        <v>10.7933707656171</v>
      </c>
      <c r="L17" s="36" t="n">
        <f aca="false">(L15-L5)*100</f>
        <v>12.7617203700196</v>
      </c>
      <c r="M17" s="36" t="n">
        <f aca="false">(M15-M5)*100</f>
        <v>-5.71992462326953</v>
      </c>
      <c r="N17" s="36" t="n">
        <f aca="false">(N15-N5)*100</f>
        <v>-9.0896384318073</v>
      </c>
      <c r="O17" s="34"/>
      <c r="P17" s="34"/>
    </row>
    <row r="18" customFormat="false" ht="15" hidden="false" customHeight="false" outlineLevel="0" collapsed="false">
      <c r="A18" s="16" t="s">
        <v>121</v>
      </c>
      <c r="H18" s="37" t="n">
        <f aca="false">H15/H5</f>
        <v>10.8536385297449</v>
      </c>
    </row>
    <row r="19" customFormat="false" ht="15" hidden="false" customHeight="false" outlineLevel="0" collapsed="false">
      <c r="A19" s="16" t="s">
        <v>122</v>
      </c>
      <c r="H19" s="38" t="n">
        <f aca="false">(H17+I17)/B17</f>
        <v>0.567070785070785</v>
      </c>
    </row>
  </sheetData>
  <conditionalFormatting sqref="K5:K15">
    <cfRule type="dataBar" priority="2">
      <dataBar showValue="1" minLength="10" maxLength="90">
        <cfvo type="num" val="0"/>
        <cfvo type="num" val="0.5"/>
        <color rgb="FF63BE7B"/>
      </dataBar>
      <extLst>
        <ext xmlns:x14="http://schemas.microsoft.com/office/spreadsheetml/2009/9/main" uri="{B025F937-C7B1-47D3-B67F-A62EFF666E3E}">
          <x14:id>{4687E556-484C-45D3-BD86-417577D6493B}</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687E556-484C-45D3-BD86-417577D6493B}">
            <x14:dataBar minLength="10" maxLength="90" axisPosition="none" gradient="true">
              <x14:cfvo type="num">
                <xm:f>0</xm:f>
              </x14:cfvo>
              <x14:cfvo type="num">
                <xm:f>0.5</xm:f>
              </x14:cfvo>
              <x14:negativeFillColor rgb="FF63BE7B"/>
              <x14:axisColor rgb="FF000000"/>
            </x14:dataBar>
          </x14:cfRule>
          <xm:sqref>K5:K15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2"/>
    <col collapsed="false" customWidth="true" hidden="false" outlineLevel="0" max="4" min="4" style="0" width="15"/>
    <col collapsed="false" customWidth="true" hidden="false" outlineLevel="0" max="5" min="5" style="0" width="16"/>
    <col collapsed="false" customWidth="true" hidden="false" outlineLevel="0" max="6" min="6" style="0" width="4"/>
    <col collapsed="false" customWidth="true" hidden="false" outlineLevel="0" max="7" min="7" style="0" width="22"/>
    <col collapsed="false" customWidth="true" hidden="false" outlineLevel="0" max="8" min="8" style="0" width="24"/>
    <col collapsed="false" customWidth="true" hidden="false" outlineLevel="0" max="9" min="9" style="0" width="15"/>
    <col collapsed="false" customWidth="true" hidden="false" outlineLevel="0" max="10" min="10" style="0" width="16"/>
  </cols>
  <sheetData>
    <row r="1" customFormat="false" ht="19.7" hidden="false" customHeight="false" outlineLevel="0" collapsed="false">
      <c r="A1" s="1" t="s">
        <v>123</v>
      </c>
    </row>
    <row r="2" customFormat="false" ht="15" hidden="false" customHeight="false" outlineLevel="0" collapsed="false">
      <c r="A2" s="2" t="str">
        <f aca="false">"Analysis year "&amp;Inputs!$B$6&amp;" · countries generating ≥ "&amp;Inputs!$B$7&amp;" TWh · solar+wind gain measured from "&amp;Inputs!$B$5</f>
        <v>Analysis year 2024 · countries generating ≥ 20 TWh · solar+wind gain measured from 2015</v>
      </c>
    </row>
    <row r="4" customFormat="false" ht="15" hidden="false" customHeight="false" outlineLevel="0" collapsed="false">
      <c r="A4" s="39" t="s">
        <v>124</v>
      </c>
      <c r="G4" s="39" t="s">
        <v>125</v>
      </c>
    </row>
    <row r="5" customFormat="false" ht="30" hidden="false" customHeight="true" outlineLevel="0" collapsed="false">
      <c r="A5" s="15" t="s">
        <v>126</v>
      </c>
      <c r="B5" s="15" t="s">
        <v>127</v>
      </c>
      <c r="C5" s="15" t="s">
        <v>128</v>
      </c>
      <c r="D5" s="15" t="s">
        <v>129</v>
      </c>
      <c r="E5" s="15" t="s">
        <v>130</v>
      </c>
      <c r="G5" s="15" t="s">
        <v>126</v>
      </c>
      <c r="H5" s="15" t="s">
        <v>127</v>
      </c>
      <c r="I5" s="15" t="s">
        <v>131</v>
      </c>
      <c r="J5" s="15" t="s">
        <v>132</v>
      </c>
      <c r="K5" s="15" t="s">
        <v>133</v>
      </c>
    </row>
    <row r="6" customFormat="false" ht="15" hidden="false" customHeight="false" outlineLevel="0" collapsed="false">
      <c r="A6" s="40" t="n">
        <v>1</v>
      </c>
      <c r="B6" s="40" t="str">
        <f aca="false">IF(LARGE(Country_Summary!$N$6:$N$217,A6)&gt;-1,INDEX(Country_Summary!$A$6:$A$217,MATCH(LARGE(Country_Summary!$N$6:$N$217,A6),Country_Summary!$N$6:$N$217,0)),"")</f>
        <v>Paraguay</v>
      </c>
      <c r="C6" s="31" t="n">
        <f aca="false">IF(B6="","",INDEX(Country_Summary!$F$6:$F$217,MATCH(LARGE(Country_Summary!$N$6:$N$217,A6),Country_Summary!$N$6:$N$217,0)))</f>
        <v>1</v>
      </c>
      <c r="D6" s="32" t="n">
        <f aca="false">IF(B6="","",INDEX(Country_Summary!$C$6:$C$217,MATCH(LARGE(Country_Summary!$N$6:$N$217,A6),Country_Summary!$N$6:$N$217,0)))</f>
        <v>42.41</v>
      </c>
      <c r="E6" s="41" t="n">
        <f aca="false">IF(B6="","",INDEX(Country_Summary!$G$6:$G$217,MATCH(LARGE(Country_Summary!$N$6:$N$217,A6),Country_Summary!$N$6:$N$217,0)))</f>
        <v>0</v>
      </c>
      <c r="G6" s="40" t="n">
        <v>1</v>
      </c>
      <c r="H6" s="40" t="str">
        <f aca="false">IF(LARGE(Country_Summary!$O$6:$O$217,G6)&gt;-1,INDEX(Country_Summary!$A$6:$A$217,MATCH(LARGE(Country_Summary!$O$6:$O$217,G6),Country_Summary!$O$6:$O$217,0)),"")</f>
        <v>Netherlands</v>
      </c>
      <c r="I6" s="41" t="n">
        <f aca="false">IF(H6="","",INDEX(Country_Summary!$J$6:$J$217,MATCH(LARGE(Country_Summary!$O$6:$O$217,G6),Country_Summary!$O$6:$O$217,0)))</f>
        <v>37.2599083428173</v>
      </c>
      <c r="J6" s="31" t="n">
        <f aca="false">IF(H6="","",INDEX(Country_Summary!$H$6:$H$217,MATCH(LARGE(Country_Summary!$O$6:$O$217,G6),Country_Summary!$O$6:$O$217,0)))</f>
        <v>0.0794568309019176</v>
      </c>
      <c r="K6" s="31" t="n">
        <f aca="false">IF(H6="","",INDEX(Country_Summary!$I$6:$I$217,MATCH(LARGE(Country_Summary!$O$6:$O$217,G6),Country_Summary!$O$6:$O$217,0)))</f>
        <v>0.452055914330091</v>
      </c>
    </row>
    <row r="7" customFormat="false" ht="15" hidden="false" customHeight="false" outlineLevel="0" collapsed="false">
      <c r="A7" s="40" t="n">
        <v>2</v>
      </c>
      <c r="B7" s="40" t="str">
        <f aca="false">IF(LARGE(Country_Summary!$N$6:$N$217,A7)&gt;-1,INDEX(Country_Summary!$A$6:$A$217,MATCH(LARGE(Country_Summary!$N$6:$N$217,A7),Country_Summary!$N$6:$N$217,0)),"")</f>
        <v>Ethiopia</v>
      </c>
      <c r="C7" s="31" t="n">
        <f aca="false">IF(B7="","",INDEX(Country_Summary!$F$6:$F$217,MATCH(LARGE(Country_Summary!$N$6:$N$217,A7),Country_Summary!$N$6:$N$217,0)))</f>
        <v>1</v>
      </c>
      <c r="D7" s="32" t="n">
        <f aca="false">IF(B7="","",INDEX(Country_Summary!$C$6:$C$217,MATCH(LARGE(Country_Summary!$N$6:$N$217,A7),Country_Summary!$N$6:$N$217,0)))</f>
        <v>25.2</v>
      </c>
      <c r="E7" s="41" t="n">
        <f aca="false">IF(B7="","",INDEX(Country_Summary!$G$6:$G$217,MATCH(LARGE(Country_Summary!$N$6:$N$217,A7),Country_Summary!$N$6:$N$217,0)))</f>
        <v>0</v>
      </c>
      <c r="G7" s="40" t="n">
        <v>2</v>
      </c>
      <c r="H7" s="40" t="str">
        <f aca="false">IF(LARGE(Country_Summary!$O$6:$O$217,G7)&gt;-1,INDEX(Country_Summary!$A$6:$A$217,MATCH(LARGE(Country_Summary!$O$6:$O$217,G7),Country_Summary!$O$6:$O$217,0)),"")</f>
        <v>Chile</v>
      </c>
      <c r="I7" s="41" t="n">
        <f aca="false">IF(H7="","",INDEX(Country_Summary!$J$6:$J$217,MATCH(LARGE(Country_Summary!$O$6:$O$217,G7),Country_Summary!$O$6:$O$217,0)))</f>
        <v>30.0799867536824</v>
      </c>
      <c r="J7" s="31" t="n">
        <f aca="false">IF(H7="","",INDEX(Country_Summary!$H$6:$H$217,MATCH(LARGE(Country_Summary!$O$6:$O$217,G7),Country_Summary!$O$6:$O$217,0)))</f>
        <v>0.0447203310639434</v>
      </c>
      <c r="K7" s="31" t="n">
        <f aca="false">IF(H7="","",INDEX(Country_Summary!$I$6:$I$217,MATCH(LARGE(Country_Summary!$O$6:$O$217,G7),Country_Summary!$O$6:$O$217,0)))</f>
        <v>0.345520198600767</v>
      </c>
    </row>
    <row r="8" customFormat="false" ht="15" hidden="false" customHeight="false" outlineLevel="0" collapsed="false">
      <c r="A8" s="40" t="n">
        <v>3</v>
      </c>
      <c r="B8" s="40" t="str">
        <f aca="false">IF(LARGE(Country_Summary!$N$6:$N$217,A8)&gt;-1,INDEX(Country_Summary!$A$6:$A$217,MATCH(LARGE(Country_Summary!$N$6:$N$217,A8),Country_Summary!$N$6:$N$217,0)),"")</f>
        <v>Norway</v>
      </c>
      <c r="C8" s="31" t="n">
        <f aca="false">IF(B8="","",INDEX(Country_Summary!$F$6:$F$217,MATCH(LARGE(Country_Summary!$N$6:$N$217,A8),Country_Summary!$N$6:$N$217,0)))</f>
        <v>0.986060721787283</v>
      </c>
      <c r="D8" s="32" t="n">
        <f aca="false">IF(B8="","",INDEX(Country_Summary!$C$6:$C$217,MATCH(LARGE(Country_Summary!$N$6:$N$217,A8),Country_Summary!$N$6:$N$217,0)))</f>
        <v>157.11</v>
      </c>
      <c r="E8" s="41" t="n">
        <f aca="false">IF(B8="","",INDEX(Country_Summary!$G$6:$G$217,MATCH(LARGE(Country_Summary!$N$6:$N$217,A8),Country_Summary!$N$6:$N$217,0)))</f>
        <v>0.655023227679308</v>
      </c>
      <c r="G8" s="40" t="n">
        <v>3</v>
      </c>
      <c r="H8" s="40" t="str">
        <f aca="false">IF(LARGE(Country_Summary!$O$6:$O$217,G8)&gt;-1,INDEX(Country_Summary!$A$6:$A$217,MATCH(LARGE(Country_Summary!$O$6:$O$217,G8),Country_Summary!$O$6:$O$217,0)),"")</f>
        <v>Greece</v>
      </c>
      <c r="I8" s="41" t="n">
        <f aca="false">IF(H8="","",INDEX(Country_Summary!$J$6:$J$217,MATCH(LARGE(Country_Summary!$O$6:$O$217,G8),Country_Summary!$O$6:$O$217,0)))</f>
        <v>25.023864644841</v>
      </c>
      <c r="J8" s="31" t="n">
        <f aca="false">IF(H8="","",INDEX(Country_Summary!$H$6:$H$217,MATCH(LARGE(Country_Summary!$O$6:$O$217,G8),Country_Summary!$O$6:$O$217,0)))</f>
        <v>0.166895200783546</v>
      </c>
      <c r="K8" s="31" t="n">
        <f aca="false">IF(H8="","",INDEX(Country_Summary!$I$6:$I$217,MATCH(LARGE(Country_Summary!$O$6:$O$217,G8),Country_Summary!$O$6:$O$217,0)))</f>
        <v>0.417133847231955</v>
      </c>
    </row>
    <row r="9" customFormat="false" ht="15" hidden="false" customHeight="false" outlineLevel="0" collapsed="false">
      <c r="A9" s="40" t="n">
        <v>4</v>
      </c>
      <c r="B9" s="40" t="str">
        <f aca="false">IF(LARGE(Country_Summary!$N$6:$N$217,A9)&gt;-1,INDEX(Country_Summary!$A$6:$A$217,MATCH(LARGE(Country_Summary!$N$6:$N$217,A9),Country_Summary!$N$6:$N$217,0)),"")</f>
        <v>Tajikistan</v>
      </c>
      <c r="C9" s="31" t="n">
        <f aca="false">IF(B9="","",INDEX(Country_Summary!$F$6:$F$217,MATCH(LARGE(Country_Summary!$N$6:$N$217,A9),Country_Summary!$N$6:$N$217,0)))</f>
        <v>0.945945945945946</v>
      </c>
      <c r="D9" s="32" t="n">
        <f aca="false">IF(B9="","",INDEX(Country_Summary!$C$6:$C$217,MATCH(LARGE(Country_Summary!$N$6:$N$217,A9),Country_Summary!$N$6:$N$217,0)))</f>
        <v>22.2</v>
      </c>
      <c r="E9" s="41" t="n">
        <f aca="false">IF(B9="","",INDEX(Country_Summary!$G$6:$G$217,MATCH(LARGE(Country_Summary!$N$6:$N$217,A9),Country_Summary!$N$6:$N$217,0)))</f>
        <v>-4.47300447300447</v>
      </c>
      <c r="G9" s="40" t="n">
        <v>4</v>
      </c>
      <c r="H9" s="40" t="str">
        <f aca="false">IF(LARGE(Country_Summary!$O$6:$O$217,G9)&gt;-1,INDEX(Country_Summary!$A$6:$A$217,MATCH(LARGE(Country_Summary!$O$6:$O$217,G9),Country_Summary!$O$6:$O$217,0)),"")</f>
        <v>Germany</v>
      </c>
      <c r="I9" s="41" t="n">
        <f aca="false">IF(H9="","",INDEX(Country_Summary!$J$6:$J$217,MATCH(LARGE(Country_Summary!$O$6:$O$217,G9),Country_Summary!$O$6:$O$217,0)))</f>
        <v>24.9238693120396</v>
      </c>
      <c r="J9" s="31" t="n">
        <f aca="false">IF(H9="","",INDEX(Country_Summary!$H$6:$H$217,MATCH(LARGE(Country_Summary!$O$6:$O$217,G9),Country_Summary!$O$6:$O$217,0)))</f>
        <v>0.18570959212729</v>
      </c>
      <c r="K9" s="31" t="n">
        <f aca="false">IF(H9="","",INDEX(Country_Summary!$I$6:$I$217,MATCH(LARGE(Country_Summary!$O$6:$O$217,G9),Country_Summary!$O$6:$O$217,0)))</f>
        <v>0.434948285247686</v>
      </c>
    </row>
    <row r="10" customFormat="false" ht="15" hidden="false" customHeight="false" outlineLevel="0" collapsed="false">
      <c r="A10" s="40" t="n">
        <v>5</v>
      </c>
      <c r="B10" s="40" t="str">
        <f aca="false">IF(LARGE(Country_Summary!$N$6:$N$217,A10)&gt;-1,INDEX(Country_Summary!$A$6:$A$217,MATCH(LARGE(Country_Summary!$N$6:$N$217,A10),Country_Summary!$N$6:$N$217,0)),"")</f>
        <v>Venezuela</v>
      </c>
      <c r="C10" s="31" t="n">
        <f aca="false">IF(B10="","",INDEX(Country_Summary!$F$6:$F$217,MATCH(LARGE(Country_Summary!$N$6:$N$217,A10),Country_Summary!$N$6:$N$217,0)))</f>
        <v>0.911393984774741</v>
      </c>
      <c r="D10" s="32" t="n">
        <f aca="false">IF(B10="","",INDEX(Country_Summary!$C$6:$C$217,MATCH(LARGE(Country_Summary!$N$6:$N$217,A10),Country_Summary!$N$6:$N$217,0)))</f>
        <v>80.13</v>
      </c>
      <c r="E10" s="41" t="n">
        <f aca="false">IF(B10="","",INDEX(Country_Summary!$G$6:$G$217,MATCH(LARGE(Country_Summary!$N$6:$N$217,A10),Country_Summary!$N$6:$N$217,0)))</f>
        <v>32.3250948388292</v>
      </c>
      <c r="G10" s="40" t="n">
        <v>5</v>
      </c>
      <c r="H10" s="40" t="str">
        <f aca="false">IF(LARGE(Country_Summary!$O$6:$O$217,G10)&gt;-1,INDEX(Country_Summary!$A$6:$A$217,MATCH(LARGE(Country_Summary!$O$6:$O$217,G10),Country_Summary!$O$6:$O$217,0)),"")</f>
        <v>Hungary</v>
      </c>
      <c r="I10" s="41" t="n">
        <f aca="false">IF(H10="","",INDEX(Country_Summary!$J$6:$J$217,MATCH(LARGE(Country_Summary!$O$6:$O$217,G10),Country_Summary!$O$6:$O$217,0)))</f>
        <v>23.289751331841</v>
      </c>
      <c r="J10" s="31" t="n">
        <f aca="false">IF(H10="","",INDEX(Country_Summary!$H$6:$H$217,MATCH(LARGE(Country_Summary!$O$6:$O$217,G10),Country_Summary!$O$6:$O$217,0)))</f>
        <v>0.0273656445763271</v>
      </c>
      <c r="K10" s="31" t="n">
        <f aca="false">IF(H10="","",INDEX(Country_Summary!$I$6:$I$217,MATCH(LARGE(Country_Summary!$O$6:$O$217,G10),Country_Summary!$O$6:$O$217,0)))</f>
        <v>0.260263157894737</v>
      </c>
    </row>
    <row r="11" customFormat="false" ht="15" hidden="false" customHeight="false" outlineLevel="0" collapsed="false">
      <c r="A11" s="40" t="n">
        <v>6</v>
      </c>
      <c r="B11" s="40" t="str">
        <f aca="false">IF(LARGE(Country_Summary!$N$6:$N$217,A11)&gt;-1,INDEX(Country_Summary!$A$6:$A$217,MATCH(LARGE(Country_Summary!$N$6:$N$217,A11),Country_Summary!$N$6:$N$217,0)),"")</f>
        <v>Denmark</v>
      </c>
      <c r="C11" s="31" t="n">
        <f aca="false">IF(B11="","",INDEX(Country_Summary!$F$6:$F$217,MATCH(LARGE(Country_Summary!$N$6:$N$217,A11),Country_Summary!$N$6:$N$217,0)))</f>
        <v>0.891899600684541</v>
      </c>
      <c r="D11" s="32" t="n">
        <f aca="false">IF(B11="","",INDEX(Country_Summary!$C$6:$C$217,MATCH(LARGE(Country_Summary!$N$6:$N$217,A11),Country_Summary!$N$6:$N$217,0)))</f>
        <v>35.06</v>
      </c>
      <c r="E11" s="41" t="n">
        <f aca="false">IF(B11="","",INDEX(Country_Summary!$G$6:$G$217,MATCH(LARGE(Country_Summary!$N$6:$N$217,A11),Country_Summary!$N$6:$N$217,0)))</f>
        <v>23.4151164270364</v>
      </c>
      <c r="G11" s="40" t="n">
        <v>6</v>
      </c>
      <c r="H11" s="40" t="str">
        <f aca="false">IF(LARGE(Country_Summary!$O$6:$O$217,G11)&gt;-1,INDEX(Country_Summary!$A$6:$A$217,MATCH(LARGE(Country_Summary!$O$6:$O$217,G11),Country_Summary!$O$6:$O$217,0)),"")</f>
        <v>Jordan</v>
      </c>
      <c r="I11" s="41" t="n">
        <f aca="false">IF(H11="","",INDEX(Country_Summary!$J$6:$J$217,MATCH(LARGE(Country_Summary!$O$6:$O$217,G11),Country_Summary!$O$6:$O$217,0)))</f>
        <v>23.1046999425025</v>
      </c>
      <c r="J11" s="31" t="n">
        <f aca="false">IF(H11="","",INDEX(Country_Summary!$H$6:$H$217,MATCH(LARGE(Country_Summary!$O$6:$O$217,G11),Country_Summary!$O$6:$O$217,0)))</f>
        <v>0.00891920251836306</v>
      </c>
      <c r="K11" s="31" t="n">
        <f aca="false">IF(H11="","",INDEX(Country_Summary!$I$6:$I$217,MATCH(LARGE(Country_Summary!$O$6:$O$217,G11),Country_Summary!$O$6:$O$217,0)))</f>
        <v>0.239966201943388</v>
      </c>
    </row>
    <row r="12" customFormat="false" ht="15" hidden="false" customHeight="false" outlineLevel="0" collapsed="false">
      <c r="A12" s="40" t="n">
        <v>7</v>
      </c>
      <c r="B12" s="40" t="str">
        <f aca="false">IF(LARGE(Country_Summary!$N$6:$N$217,A12)&gt;-1,INDEX(Country_Summary!$A$6:$A$217,MATCH(LARGE(Country_Summary!$N$6:$N$217,A12),Country_Summary!$N$6:$N$217,0)),"")</f>
        <v>Brazil</v>
      </c>
      <c r="C12" s="31" t="n">
        <f aca="false">IF(B12="","",INDEX(Country_Summary!$F$6:$F$217,MATCH(LARGE(Country_Summary!$N$6:$N$217,A12),Country_Summary!$N$6:$N$217,0)))</f>
        <v>0.873330472563429</v>
      </c>
      <c r="D12" s="32" t="n">
        <f aca="false">IF(B12="","",INDEX(Country_Summary!$C$6:$C$217,MATCH(LARGE(Country_Summary!$N$6:$N$217,A12),Country_Summary!$N$6:$N$217,0)))</f>
        <v>745.72</v>
      </c>
      <c r="E12" s="41" t="n">
        <f aca="false">IF(B12="","",INDEX(Country_Summary!$G$6:$G$217,MATCH(LARGE(Country_Summary!$N$6:$N$217,A12),Country_Summary!$N$6:$N$217,0)))</f>
        <v>13.1253462137084</v>
      </c>
      <c r="G12" s="40" t="n">
        <v>7</v>
      </c>
      <c r="H12" s="40" t="str">
        <f aca="false">IF(LARGE(Country_Summary!$O$6:$O$217,G12)&gt;-1,INDEX(Country_Summary!$A$6:$A$217,MATCH(LARGE(Country_Summary!$O$6:$O$217,G12),Country_Summary!$O$6:$O$217,0)),"")</f>
        <v>Finland</v>
      </c>
      <c r="I12" s="41" t="n">
        <f aca="false">IF(H12="","",INDEX(Country_Summary!$J$6:$J$217,MATCH(LARGE(Country_Summary!$O$6:$O$217,G12),Country_Summary!$O$6:$O$217,0)))</f>
        <v>22.5373288094799</v>
      </c>
      <c r="J12" s="31" t="n">
        <f aca="false">IF(H12="","",INDEX(Country_Summary!$H$6:$H$217,MATCH(LARGE(Country_Summary!$O$6:$O$217,G12),Country_Summary!$O$6:$O$217,0)))</f>
        <v>0.0341058154787932</v>
      </c>
      <c r="K12" s="31" t="n">
        <f aca="false">IF(H12="","",INDEX(Country_Summary!$I$6:$I$217,MATCH(LARGE(Country_Summary!$O$6:$O$217,G12),Country_Summary!$O$6:$O$217,0)))</f>
        <v>0.259479103573592</v>
      </c>
    </row>
    <row r="13" customFormat="false" ht="15" hidden="false" customHeight="false" outlineLevel="0" collapsed="false">
      <c r="A13" s="40" t="n">
        <v>8</v>
      </c>
      <c r="B13" s="40" t="str">
        <f aca="false">IF(LARGE(Country_Summary!$N$6:$N$217,A13)&gt;-1,INDEX(Country_Summary!$A$6:$A$217,MATCH(LARGE(Country_Summary!$N$6:$N$217,A13),Country_Summary!$N$6:$N$217,0)),"")</f>
        <v>Austria</v>
      </c>
      <c r="C13" s="31" t="n">
        <f aca="false">IF(B13="","",INDEX(Country_Summary!$F$6:$F$217,MATCH(LARGE(Country_Summary!$N$6:$N$217,A13),Country_Summary!$N$6:$N$217,0)))</f>
        <v>0.862240346629285</v>
      </c>
      <c r="D13" s="32" t="n">
        <f aca="false">IF(B13="","",INDEX(Country_Summary!$C$6:$C$217,MATCH(LARGE(Country_Summary!$N$6:$N$217,A13),Country_Summary!$N$6:$N$217,0)))</f>
        <v>78.47</v>
      </c>
      <c r="E13" s="41" t="n">
        <f aca="false">IF(B13="","",INDEX(Country_Summary!$G$6:$G$217,MATCH(LARGE(Country_Summary!$N$6:$N$217,A13),Country_Summary!$N$6:$N$217,0)))</f>
        <v>9.19263291478996</v>
      </c>
      <c r="G13" s="40" t="n">
        <v>8</v>
      </c>
      <c r="H13" s="40" t="str">
        <f aca="false">IF(LARGE(Country_Summary!$O$6:$O$217,G13)&gt;-1,INDEX(Country_Summary!$A$6:$A$217,MATCH(LARGE(Country_Summary!$O$6:$O$217,G13),Country_Summary!$O$6:$O$217,0)),"")</f>
        <v>Australia</v>
      </c>
      <c r="I13" s="41" t="n">
        <f aca="false">IF(H13="","",INDEX(Country_Summary!$J$6:$J$217,MATCH(LARGE(Country_Summary!$O$6:$O$217,G13),Country_Summary!$O$6:$O$217,0)))</f>
        <v>22.3537878702604</v>
      </c>
      <c r="J13" s="31" t="n">
        <f aca="false">IF(H13="","",INDEX(Country_Summary!$H$6:$H$217,MATCH(LARGE(Country_Summary!$O$6:$O$217,G13),Country_Summary!$O$6:$O$217,0)))</f>
        <v>0.0709870467341234</v>
      </c>
      <c r="K13" s="31" t="n">
        <f aca="false">IF(H13="","",INDEX(Country_Summary!$I$6:$I$217,MATCH(LARGE(Country_Summary!$O$6:$O$217,G13),Country_Summary!$O$6:$O$217,0)))</f>
        <v>0.294524925436728</v>
      </c>
    </row>
    <row r="14" customFormat="false" ht="15" hidden="false" customHeight="false" outlineLevel="0" collapsed="false">
      <c r="A14" s="40" t="n">
        <v>9</v>
      </c>
      <c r="B14" s="40" t="str">
        <f aca="false">IF(LARGE(Country_Summary!$N$6:$N$217,A14)&gt;-1,INDEX(Country_Summary!$A$6:$A$217,MATCH(LARGE(Country_Summary!$N$6:$N$217,A14),Country_Summary!$N$6:$N$217,0)),"")</f>
        <v>New Zealand</v>
      </c>
      <c r="C14" s="31" t="n">
        <f aca="false">IF(B14="","",INDEX(Country_Summary!$F$6:$F$217,MATCH(LARGE(Country_Summary!$N$6:$N$217,A14),Country_Summary!$N$6:$N$217,0)))</f>
        <v>0.85980458986594</v>
      </c>
      <c r="D14" s="32" t="n">
        <f aca="false">IF(B14="","",INDEX(Country_Summary!$C$6:$C$217,MATCH(LARGE(Country_Summary!$N$6:$N$217,A14),Country_Summary!$N$6:$N$217,0)))</f>
        <v>44.01</v>
      </c>
      <c r="E14" s="41" t="n">
        <f aca="false">IF(B14="","",INDEX(Country_Summary!$G$6:$G$217,MATCH(LARGE(Country_Summary!$N$6:$N$217,A14),Country_Summary!$N$6:$N$217,0)))</f>
        <v>5.9024236411728</v>
      </c>
      <c r="G14" s="40" t="n">
        <v>9</v>
      </c>
      <c r="H14" s="40" t="str">
        <f aca="false">IF(LARGE(Country_Summary!$O$6:$O$217,G14)&gt;-1,INDEX(Country_Summary!$A$6:$A$217,MATCH(LARGE(Country_Summary!$O$6:$O$217,G14),Country_Summary!$O$6:$O$217,0)),"")</f>
        <v>Portugal</v>
      </c>
      <c r="I14" s="41" t="n">
        <f aca="false">IF(H14="","",INDEX(Country_Summary!$J$6:$J$217,MATCH(LARGE(Country_Summary!$O$6:$O$217,G14),Country_Summary!$O$6:$O$217,0)))</f>
        <v>21.08814316015</v>
      </c>
      <c r="J14" s="31" t="n">
        <f aca="false">IF(H14="","",INDEX(Country_Summary!$H$6:$H$217,MATCH(LARGE(Country_Summary!$O$6:$O$217,G14),Country_Summary!$O$6:$O$217,0)))</f>
        <v>0.242471646460696</v>
      </c>
      <c r="K14" s="31" t="n">
        <f aca="false">IF(H14="","",INDEX(Country_Summary!$I$6:$I$217,MATCH(LARGE(Country_Summary!$O$6:$O$217,G14),Country_Summary!$O$6:$O$217,0)))</f>
        <v>0.453353078062196</v>
      </c>
    </row>
    <row r="15" customFormat="false" ht="15" hidden="false" customHeight="false" outlineLevel="0" collapsed="false">
      <c r="A15" s="40" t="n">
        <v>10</v>
      </c>
      <c r="B15" s="40" t="str">
        <f aca="false">IF(LARGE(Country_Summary!$N$6:$N$217,A15)&gt;-1,INDEX(Country_Summary!$A$6:$A$217,MATCH(LARGE(Country_Summary!$N$6:$N$217,A15),Country_Summary!$N$6:$N$217,0)),"")</f>
        <v>Portugal</v>
      </c>
      <c r="C15" s="31" t="n">
        <f aca="false">IF(B15="","",INDEX(Country_Summary!$F$6:$F$217,MATCH(LARGE(Country_Summary!$N$6:$N$217,A15),Country_Summary!$N$6:$N$217,0)))</f>
        <v>0.851914533530781</v>
      </c>
      <c r="D15" s="32" t="n">
        <f aca="false">IF(B15="","",INDEX(Country_Summary!$C$6:$C$217,MATCH(LARGE(Country_Summary!$N$6:$N$217,A15),Country_Summary!$N$6:$N$217,0)))</f>
        <v>47.27</v>
      </c>
      <c r="E15" s="41" t="n">
        <f aca="false">IF(B15="","",INDEX(Country_Summary!$G$6:$G$217,MATCH(LARGE(Country_Summary!$N$6:$N$217,A15),Country_Summary!$N$6:$N$217,0)))</f>
        <v>37.5575073225736</v>
      </c>
      <c r="G15" s="40" t="n">
        <v>10</v>
      </c>
      <c r="H15" s="40" t="str">
        <f aca="false">IF(LARGE(Country_Summary!$O$6:$O$217,G15)&gt;-1,INDEX(Country_Summary!$A$6:$A$217,MATCH(LARGE(Country_Summary!$O$6:$O$217,G15),Country_Summary!$O$6:$O$217,0)),"")</f>
        <v>United Kingdom</v>
      </c>
      <c r="I15" s="41" t="n">
        <f aca="false">IF(H15="","",INDEX(Country_Summary!$J$6:$J$217,MATCH(LARGE(Country_Summary!$O$6:$O$217,G15),Country_Summary!$O$6:$O$217,0)))</f>
        <v>20.4065423692535</v>
      </c>
      <c r="J15" s="31" t="n">
        <f aca="false">IF(H15="","",INDEX(Country_Summary!$H$6:$H$217,MATCH(LARGE(Country_Summary!$O$6:$O$217,G15),Country_Summary!$O$6:$O$217,0)))</f>
        <v>0.141057042523682</v>
      </c>
      <c r="K15" s="31" t="n">
        <f aca="false">IF(H15="","",INDEX(Country_Summary!$I$6:$I$217,MATCH(LARGE(Country_Summary!$O$6:$O$217,G15),Country_Summary!$O$6:$O$217,0)))</f>
        <v>0.345122466216216</v>
      </c>
    </row>
    <row r="16" customFormat="false" ht="15" hidden="false" customHeight="false" outlineLevel="0" collapsed="false">
      <c r="A16" s="40" t="n">
        <v>11</v>
      </c>
      <c r="B16" s="40" t="str">
        <f aca="false">IF(LARGE(Country_Summary!$N$6:$N$217,A16)&gt;-1,INDEX(Country_Summary!$A$6:$A$217,MATCH(LARGE(Country_Summary!$N$6:$N$217,A16),Country_Summary!$N$6:$N$217,0)),"")</f>
        <v>Laos</v>
      </c>
      <c r="C16" s="31" t="n">
        <f aca="false">IF(B16="","",INDEX(Country_Summary!$F$6:$F$217,MATCH(LARGE(Country_Summary!$N$6:$N$217,A16),Country_Summary!$N$6:$N$217,0)))</f>
        <v>0.767157331294208</v>
      </c>
      <c r="D16" s="32" t="n">
        <f aca="false">IF(B16="","",INDEX(Country_Summary!$C$6:$C$217,MATCH(LARGE(Country_Summary!$N$6:$N$217,A16),Country_Summary!$N$6:$N$217,0)))</f>
        <v>52.31</v>
      </c>
      <c r="E16" s="41" t="n">
        <f aca="false">IF(B16="","",INDEX(Country_Summary!$G$6:$G$217,MATCH(LARGE(Country_Summary!$N$6:$N$217,A16),Country_Summary!$N$6:$N$217,0)))</f>
        <v>-9.29911835572775</v>
      </c>
      <c r="G16" s="40" t="n">
        <v>11</v>
      </c>
      <c r="H16" s="40" t="str">
        <f aca="false">IF(LARGE(Country_Summary!$O$6:$O$217,G16)&gt;-1,INDEX(Country_Summary!$A$6:$A$217,MATCH(LARGE(Country_Summary!$O$6:$O$217,G16),Country_Summary!$O$6:$O$217,0)),"")</f>
        <v>Brazil</v>
      </c>
      <c r="I16" s="41" t="n">
        <f aca="false">IF(H16="","",INDEX(Country_Summary!$J$6:$J$217,MATCH(LARGE(Country_Summary!$O$6:$O$217,G16),Country_Summary!$O$6:$O$217,0)))</f>
        <v>20.380461826405</v>
      </c>
      <c r="J16" s="31" t="n">
        <f aca="false">IF(H16="","",INDEX(Country_Summary!$H$6:$H$217,MATCH(LARGE(Country_Summary!$O$6:$O$217,G16),Country_Summary!$O$6:$O$217,0)))</f>
        <v>0.0373180551254258</v>
      </c>
      <c r="K16" s="31" t="n">
        <f aca="false">IF(H16="","",INDEX(Country_Summary!$I$6:$I$217,MATCH(LARGE(Country_Summary!$O$6:$O$217,G16),Country_Summary!$O$6:$O$217,0)))</f>
        <v>0.241122673389476</v>
      </c>
    </row>
    <row r="17" customFormat="false" ht="15" hidden="false" customHeight="false" outlineLevel="0" collapsed="false">
      <c r="A17" s="40" t="n">
        <v>12</v>
      </c>
      <c r="B17" s="40" t="str">
        <f aca="false">IF(LARGE(Country_Summary!$N$6:$N$217,A17)&gt;-1,INDEX(Country_Summary!$A$6:$A$217,MATCH(LARGE(Country_Summary!$N$6:$N$217,A17),Country_Summary!$N$6:$N$217,0)),"")</f>
        <v>Ecuador</v>
      </c>
      <c r="C17" s="31" t="n">
        <f aca="false">IF(B17="","",INDEX(Country_Summary!$F$6:$F$217,MATCH(LARGE(Country_Summary!$N$6:$N$217,A17),Country_Summary!$N$6:$N$217,0)))</f>
        <v>0.724433557868953</v>
      </c>
      <c r="D17" s="32" t="n">
        <f aca="false">IF(B17="","",INDEX(Country_Summary!$C$6:$C$217,MATCH(LARGE(Country_Summary!$N$6:$N$217,A17),Country_Summary!$N$6:$N$217,0)))</f>
        <v>32.66</v>
      </c>
      <c r="E17" s="41" t="n">
        <f aca="false">IF(B17="","",INDEX(Country_Summary!$G$6:$G$217,MATCH(LARGE(Country_Summary!$N$6:$N$217,A17),Country_Summary!$N$6:$N$217,0)))</f>
        <v>21.3399876103564</v>
      </c>
      <c r="G17" s="40" t="n">
        <v>12</v>
      </c>
      <c r="H17" s="40" t="str">
        <f aca="false">IF(LARGE(Country_Summary!$O$6:$O$217,G17)&gt;-1,INDEX(Country_Summary!$A$6:$A$217,MATCH(LARGE(Country_Summary!$O$6:$O$217,G17),Country_Summary!$O$6:$O$217,0)),"")</f>
        <v>Spain</v>
      </c>
      <c r="I17" s="41" t="n">
        <f aca="false">IF(H17="","",INDEX(Country_Summary!$J$6:$J$217,MATCH(LARGE(Country_Summary!$O$6:$O$217,G17),Country_Summary!$O$6:$O$217,0)))</f>
        <v>20.0934864248549</v>
      </c>
      <c r="J17" s="31" t="n">
        <f aca="false">IF(H17="","",INDEX(Country_Summary!$H$6:$H$217,MATCH(LARGE(Country_Summary!$O$6:$O$217,G17),Country_Summary!$O$6:$O$217,0)))</f>
        <v>0.227946747483494</v>
      </c>
      <c r="K17" s="31" t="n">
        <f aca="false">IF(H17="","",INDEX(Country_Summary!$I$6:$I$217,MATCH(LARGE(Country_Summary!$O$6:$O$217,G17),Country_Summary!$O$6:$O$217,0)))</f>
        <v>0.428881611732043</v>
      </c>
    </row>
    <row r="18" customFormat="false" ht="15" hidden="false" customHeight="false" outlineLevel="0" collapsed="false">
      <c r="A18" s="40" t="n">
        <v>13</v>
      </c>
      <c r="B18" s="40" t="str">
        <f aca="false">IF(LARGE(Country_Summary!$N$6:$N$217,A18)&gt;-1,INDEX(Country_Summary!$A$6:$A$217,MATCH(LARGE(Country_Summary!$N$6:$N$217,A18),Country_Summary!$N$6:$N$217,0)),"")</f>
        <v>Chile</v>
      </c>
      <c r="C18" s="31" t="n">
        <f aca="false">IF(B18="","",INDEX(Country_Summary!$F$6:$F$217,MATCH(LARGE(Country_Summary!$N$6:$N$217,A18),Country_Summary!$N$6:$N$217,0)))</f>
        <v>0.700406228842248</v>
      </c>
      <c r="D18" s="32" t="n">
        <f aca="false">IF(B18="","",INDEX(Country_Summary!$C$6:$C$217,MATCH(LARGE(Country_Summary!$N$6:$N$217,A18),Country_Summary!$N$6:$N$217,0)))</f>
        <v>88.62</v>
      </c>
      <c r="E18" s="41" t="n">
        <f aca="false">IF(B18="","",INDEX(Country_Summary!$G$6:$G$217,MATCH(LARGE(Country_Summary!$N$6:$N$217,A18),Country_Summary!$N$6:$N$217,0)))</f>
        <v>26.8421180117111</v>
      </c>
      <c r="G18" s="40" t="n">
        <v>13</v>
      </c>
      <c r="H18" s="40" t="str">
        <f aca="false">IF(LARGE(Country_Summary!$O$6:$O$217,G18)&gt;-1,INDEX(Country_Summary!$A$6:$A$217,MATCH(LARGE(Country_Summary!$O$6:$O$217,G18),Country_Summary!$O$6:$O$217,0)),"")</f>
        <v>Poland</v>
      </c>
      <c r="I18" s="41" t="n">
        <f aca="false">IF(H18="","",INDEX(Country_Summary!$J$6:$J$217,MATCH(LARGE(Country_Summary!$O$6:$O$217,G18),Country_Summary!$O$6:$O$217,0)))</f>
        <v>18.6557362278494</v>
      </c>
      <c r="J18" s="31" t="n">
        <f aca="false">IF(H18="","",INDEX(Country_Summary!$H$6:$H$217,MATCH(LARGE(Country_Summary!$O$6:$O$217,G18),Country_Summary!$O$6:$O$217,0)))</f>
        <v>0.0664637857577602</v>
      </c>
      <c r="K18" s="31" t="n">
        <f aca="false">IF(H18="","",INDEX(Country_Summary!$I$6:$I$217,MATCH(LARGE(Country_Summary!$O$6:$O$217,G18),Country_Summary!$O$6:$O$217,0)))</f>
        <v>0.253021148036254</v>
      </c>
    </row>
    <row r="19" customFormat="false" ht="15" hidden="false" customHeight="false" outlineLevel="0" collapsed="false">
      <c r="A19" s="40" t="n">
        <v>14</v>
      </c>
      <c r="B19" s="40" t="str">
        <f aca="false">IF(LARGE(Country_Summary!$N$6:$N$217,A19)&gt;-1,INDEX(Country_Summary!$A$6:$A$217,MATCH(LARGE(Country_Summary!$N$6:$N$217,A19),Country_Summary!$N$6:$N$217,0)),"")</f>
        <v>Sweden</v>
      </c>
      <c r="C19" s="31" t="n">
        <f aca="false">IF(B19="","",INDEX(Country_Summary!$F$6:$F$217,MATCH(LARGE(Country_Summary!$N$6:$N$217,A19),Country_Summary!$N$6:$N$217,0)))</f>
        <v>0.693581179204182</v>
      </c>
      <c r="D19" s="32" t="n">
        <f aca="false">IF(B19="","",INDEX(Country_Summary!$C$6:$C$217,MATCH(LARGE(Country_Summary!$N$6:$N$217,A19),Country_Summary!$N$6:$N$217,0)))</f>
        <v>172.15</v>
      </c>
      <c r="E19" s="41" t="n">
        <f aca="false">IF(B19="","",INDEX(Country_Summary!$G$6:$G$217,MATCH(LARGE(Country_Summary!$N$6:$N$217,A19),Country_Summary!$N$6:$N$217,0)))</f>
        <v>6.08651298214664</v>
      </c>
      <c r="G19" s="40" t="n">
        <v>14</v>
      </c>
      <c r="H19" s="40" t="str">
        <f aca="false">IF(LARGE(Country_Summary!$O$6:$O$217,G19)&gt;-1,INDEX(Country_Summary!$A$6:$A$217,MATCH(LARGE(Country_Summary!$O$6:$O$217,G19),Country_Summary!$O$6:$O$217,0)),"")</f>
        <v>Denmark</v>
      </c>
      <c r="I19" s="41" t="n">
        <f aca="false">IF(H19="","",INDEX(Country_Summary!$J$6:$J$217,MATCH(LARGE(Country_Summary!$O$6:$O$217,G19),Country_Summary!$O$6:$O$217,0)))</f>
        <v>17.8146308898832</v>
      </c>
      <c r="J19" s="31" t="n">
        <f aca="false">IF(H19="","",INDEX(Country_Summary!$H$6:$H$217,MATCH(LARGE(Country_Summary!$O$6:$O$217,G19),Country_Summary!$O$6:$O$217,0)))</f>
        <v>0.511813759555247</v>
      </c>
      <c r="K19" s="31" t="n">
        <f aca="false">IF(H19="","",INDEX(Country_Summary!$I$6:$I$217,MATCH(LARGE(Country_Summary!$O$6:$O$217,G19),Country_Summary!$O$6:$O$217,0)))</f>
        <v>0.689960068454079</v>
      </c>
    </row>
    <row r="20" customFormat="false" ht="15" hidden="false" customHeight="false" outlineLevel="0" collapsed="false">
      <c r="A20" s="40" t="n">
        <v>15</v>
      </c>
      <c r="B20" s="40" t="str">
        <f aca="false">IF(LARGE(Country_Summary!$N$6:$N$217,A20)&gt;-1,INDEX(Country_Summary!$A$6:$A$217,MATCH(LARGE(Country_Summary!$N$6:$N$217,A20),Country_Summary!$N$6:$N$217,0)),"")</f>
        <v>Switzerland</v>
      </c>
      <c r="C20" s="31" t="n">
        <f aca="false">IF(B20="","",INDEX(Country_Summary!$F$6:$F$217,MATCH(LARGE(Country_Summary!$N$6:$N$217,A20),Country_Summary!$N$6:$N$217,0)))</f>
        <v>0.674492790608651</v>
      </c>
      <c r="D20" s="32" t="n">
        <f aca="false">IF(B20="","",INDEX(Country_Summary!$C$6:$C$217,MATCH(LARGE(Country_Summary!$N$6:$N$217,A20),Country_Summary!$N$6:$N$217,0)))</f>
        <v>78.37</v>
      </c>
      <c r="E20" s="41" t="n">
        <f aca="false">IF(B20="","",INDEX(Country_Summary!$G$6:$G$217,MATCH(LARGE(Country_Summary!$N$6:$N$217,A20),Country_Summary!$N$6:$N$217,0)))</f>
        <v>5.21225771986313</v>
      </c>
      <c r="G20" s="40" t="n">
        <v>15</v>
      </c>
      <c r="H20" s="40" t="str">
        <f aca="false">IF(LARGE(Country_Summary!$O$6:$O$217,G20)&gt;-1,INDEX(Country_Summary!$A$6:$A$217,MATCH(LARGE(Country_Summary!$O$6:$O$217,G20),Country_Summary!$O$6:$O$217,0)),"")</f>
        <v>Belgium</v>
      </c>
      <c r="I20" s="41" t="n">
        <f aca="false">IF(H20="","",INDEX(Country_Summary!$J$6:$J$217,MATCH(LARGE(Country_Summary!$O$6:$O$217,G20),Country_Summary!$O$6:$O$217,0)))</f>
        <v>17.1478144686001</v>
      </c>
      <c r="J20" s="31" t="n">
        <f aca="false">IF(H20="","",INDEX(Country_Summary!$H$6:$H$217,MATCH(LARGE(Country_Summary!$O$6:$O$217,G20),Country_Summary!$O$6:$O$217,0)))</f>
        <v>0.126114277363729</v>
      </c>
      <c r="K20" s="31" t="n">
        <f aca="false">IF(H20="","",INDEX(Country_Summary!$I$6:$I$217,MATCH(LARGE(Country_Summary!$O$6:$O$217,G20),Country_Summary!$O$6:$O$217,0)))</f>
        <v>0.29759242204973</v>
      </c>
    </row>
    <row r="22" customFormat="false" ht="15" hidden="false" customHeight="false" outlineLevel="0" collapsed="false">
      <c r="A22" s="39" t="s">
        <v>134</v>
      </c>
    </row>
    <row r="23" customFormat="false" ht="30" hidden="false" customHeight="true" outlineLevel="0" collapsed="false">
      <c r="A23" s="15" t="s">
        <v>126</v>
      </c>
      <c r="B23" s="15" t="s">
        <v>127</v>
      </c>
      <c r="C23" s="15" t="s">
        <v>100</v>
      </c>
      <c r="D23" s="15" t="s">
        <v>129</v>
      </c>
      <c r="E23" s="15" t="s">
        <v>102</v>
      </c>
      <c r="G23" s="39" t="s">
        <v>135</v>
      </c>
    </row>
    <row r="24" customFormat="false" ht="30" hidden="false" customHeight="true" outlineLevel="0" collapsed="false">
      <c r="A24" s="40" t="n">
        <v>1</v>
      </c>
      <c r="B24" s="40" t="str">
        <f aca="false">IF(LARGE(Country_Summary!$P$6:$P$217,A24)&gt;-1,INDEX(Country_Summary!$A$6:$A$217,MATCH(LARGE(Country_Summary!$P$6:$P$217,A24),Country_Summary!$P$6:$P$217,0)),"")</f>
        <v>South Africa</v>
      </c>
      <c r="C24" s="31" t="n">
        <f aca="false">IF(B24="","",INDEX(Country_Summary!$K$6:$K$217,MATCH(LARGE(Country_Summary!$P$6:$P$217,A24),Country_Summary!$P$6:$P$217,0)))</f>
        <v>0.835528442146089</v>
      </c>
      <c r="D24" s="32" t="n">
        <f aca="false">IF(B24="","",INDEX(Country_Summary!$C$6:$C$217,MATCH(LARGE(Country_Summary!$P$6:$P$217,A24),Country_Summary!$P$6:$P$217,0)))</f>
        <v>247.52</v>
      </c>
      <c r="E24" s="32" t="n">
        <f aca="false">IF(B24="","",INDEX(Country_Summary!$L$6:$L$217,MATCH(LARGE(Country_Summary!$P$6:$P$217,A24),Country_Summary!$P$6:$P$217,0)))</f>
        <v>717.4</v>
      </c>
      <c r="G24" s="15" t="s">
        <v>136</v>
      </c>
      <c r="H24" s="15" t="s">
        <v>84</v>
      </c>
      <c r="I24" s="15" t="s">
        <v>137</v>
      </c>
      <c r="J24" s="15" t="s">
        <v>138</v>
      </c>
    </row>
    <row r="25" customFormat="false" ht="15" hidden="false" customHeight="false" outlineLevel="0" collapsed="false">
      <c r="A25" s="40" t="n">
        <v>2</v>
      </c>
      <c r="B25" s="40" t="str">
        <f aca="false">IF(LARGE(Country_Summary!$P$6:$P$217,A25)&gt;-1,INDEX(Country_Summary!$A$6:$A$217,MATCH(LARGE(Country_Summary!$P$6:$P$217,A25),Country_Summary!$P$6:$P$217,0)),"")</f>
        <v>India</v>
      </c>
      <c r="C25" s="31" t="n">
        <f aca="false">IF(B25="","",INDEX(Country_Summary!$K$6:$K$217,MATCH(LARGE(Country_Summary!$P$6:$P$217,A25),Country_Summary!$P$6:$P$217,0)))</f>
        <v>0.745340089957378</v>
      </c>
      <c r="D25" s="32" t="n">
        <f aca="false">IF(B25="","",INDEX(Country_Summary!$C$6:$C$217,MATCH(LARGE(Country_Summary!$P$6:$P$217,A25),Country_Summary!$P$6:$P$217,0)))</f>
        <v>2036.52</v>
      </c>
      <c r="E25" s="32" t="n">
        <f aca="false">IF(B25="","",INDEX(Country_Summary!$L$6:$L$217,MATCH(LARGE(Country_Summary!$P$6:$P$217,A25),Country_Summary!$P$6:$P$217,0)))</f>
        <v>705.4</v>
      </c>
      <c r="G25" s="40" t="s">
        <v>128</v>
      </c>
      <c r="H25" s="31" t="n">
        <f aca="false">INDEX(Country_Summary!$F$6:$F$217,MATCH("India",Country_Summary!$A$6:$A$217,0))</f>
        <v>0.198078094003496</v>
      </c>
      <c r="I25" s="40" t="n">
        <f aca="false">IF(INDEX(Country_Summary!$M$6:$M$217,MATCH("India",Country_Summary!$A$6:$A$217,0))="Yes",COUNTIF(Country_Summary!$N$6:$N$217,"&gt;"&amp;INDEX(Country_Summary!$N$6:$N$217,MATCH("India",Country_Summary!$A$6:$A$217,0)))+1,"n/a")</f>
        <v>52</v>
      </c>
      <c r="J25" s="40" t="n">
        <f aca="false">COUNTIF(Country_Summary!$M$6:$M$217,"Yes")</f>
        <v>83</v>
      </c>
    </row>
    <row r="26" customFormat="false" ht="15" hidden="false" customHeight="false" outlineLevel="0" collapsed="false">
      <c r="A26" s="40" t="n">
        <v>3</v>
      </c>
      <c r="B26" s="40" t="str">
        <f aca="false">IF(LARGE(Country_Summary!$P$6:$P$217,A26)&gt;-1,INDEX(Country_Summary!$A$6:$A$217,MATCH(LARGE(Country_Summary!$P$6:$P$217,A26),Country_Summary!$P$6:$P$217,0)),"")</f>
        <v>Philippines</v>
      </c>
      <c r="C26" s="31" t="n">
        <f aca="false">IF(B26="","",INDEX(Country_Summary!$K$6:$K$217,MATCH(LARGE(Country_Summary!$P$6:$P$217,A26),Country_Summary!$P$6:$P$217,0)))</f>
        <v>0.639123781911895</v>
      </c>
      <c r="D26" s="32" t="n">
        <f aca="false">IF(B26="","",INDEX(Country_Summary!$C$6:$C$217,MATCH(LARGE(Country_Summary!$P$6:$P$217,A26),Country_Summary!$P$6:$P$217,0)))</f>
        <v>124.17</v>
      </c>
      <c r="E26" s="32" t="n">
        <f aca="false">IF(B26="","",INDEX(Country_Summary!$L$6:$L$217,MATCH(LARGE(Country_Summary!$P$6:$P$217,A26),Country_Summary!$P$6:$P$217,0)))</f>
        <v>621.7</v>
      </c>
      <c r="G26" s="40" t="s">
        <v>139</v>
      </c>
      <c r="H26" s="42" t="n">
        <f aca="false">INDEX(Country_Summary!$J$6:$J$217,MATCH("India",Country_Summary!$A$6:$A$217,0))</f>
        <v>7.98994964630501</v>
      </c>
      <c r="I26" s="40" t="n">
        <f aca="false">IF(INDEX(Country_Summary!$M$6:$M$217,MATCH("India",Country_Summary!$A$6:$A$217,0))="Yes",COUNTIF(Country_Summary!$O$6:$O$217,"&gt;"&amp;INDEX(Country_Summary!$O$6:$O$217,MATCH("India",Country_Summary!$A$6:$A$217,0)))+1,"n/a")</f>
        <v>33</v>
      </c>
      <c r="J26" s="40" t="n">
        <f aca="false">COUNTIF(Country_Summary!$M$6:$M$217,"Yes")</f>
        <v>83</v>
      </c>
    </row>
    <row r="27" customFormat="false" ht="15" hidden="false" customHeight="false" outlineLevel="0" collapsed="false">
      <c r="A27" s="40" t="n">
        <v>4</v>
      </c>
      <c r="B27" s="40" t="str">
        <f aca="false">IF(LARGE(Country_Summary!$P$6:$P$217,A27)&gt;-1,INDEX(Country_Summary!$A$6:$A$217,MATCH(LARGE(Country_Summary!$P$6:$P$217,A27),Country_Summary!$P$6:$P$217,0)),"")</f>
        <v>Serbia</v>
      </c>
      <c r="C27" s="31" t="n">
        <f aca="false">IF(B27="","",INDEX(Country_Summary!$K$6:$K$217,MATCH(LARGE(Country_Summary!$P$6:$P$217,A27),Country_Summary!$P$6:$P$217,0)))</f>
        <v>0.629329004329004</v>
      </c>
      <c r="D27" s="32" t="n">
        <f aca="false">IF(B27="","",INDEX(Country_Summary!$C$6:$C$217,MATCH(LARGE(Country_Summary!$P$6:$P$217,A27),Country_Summary!$P$6:$P$217,0)))</f>
        <v>36.96</v>
      </c>
      <c r="E27" s="32" t="n">
        <f aca="false">IF(B27="","",INDEX(Country_Summary!$L$6:$L$217,MATCH(LARGE(Country_Summary!$P$6:$P$217,A27),Country_Summary!$P$6:$P$217,0)))</f>
        <v>666.4</v>
      </c>
      <c r="G27" s="40" t="s">
        <v>100</v>
      </c>
      <c r="H27" s="31" t="n">
        <f aca="false">INDEX(Country_Summary!$K$6:$K$217,MATCH("India",Country_Summary!$A$6:$A$217,0))</f>
        <v>0.745340089957378</v>
      </c>
      <c r="I27" s="40" t="n">
        <f aca="false">IF(INDEX(Country_Summary!$M$6:$M$217,MATCH("India",Country_Summary!$A$6:$A$217,0))="Yes",COUNTIF(Country_Summary!$P$6:$P$217,"&gt;"&amp;INDEX(Country_Summary!$P$6:$P$217,MATCH("India",Country_Summary!$A$6:$A$217,0)))+1,"n/a")</f>
        <v>2</v>
      </c>
      <c r="J27" s="40" t="n">
        <f aca="false">COUNTIF(Country_Summary!$M$6:$M$217,"Yes")</f>
        <v>83</v>
      </c>
    </row>
    <row r="28" customFormat="false" ht="15" hidden="false" customHeight="false" outlineLevel="0" collapsed="false">
      <c r="A28" s="40" t="n">
        <v>5</v>
      </c>
      <c r="B28" s="40" t="str">
        <f aca="false">IF(LARGE(Country_Summary!$P$6:$P$217,A28)&gt;-1,INDEX(Country_Summary!$A$6:$A$217,MATCH(LARGE(Country_Summary!$P$6:$P$217,A28),Country_Summary!$P$6:$P$217,0)),"")</f>
        <v>Morocco</v>
      </c>
      <c r="C28" s="31" t="n">
        <f aca="false">IF(B28="","",INDEX(Country_Summary!$K$6:$K$217,MATCH(LARGE(Country_Summary!$P$6:$P$217,A28),Country_Summary!$P$6:$P$217,0)))</f>
        <v>0.617452830188679</v>
      </c>
      <c r="D28" s="32" t="n">
        <f aca="false">IF(B28="","",INDEX(Country_Summary!$C$6:$C$217,MATCH(LARGE(Country_Summary!$P$6:$P$217,A28),Country_Summary!$P$6:$P$217,0)))</f>
        <v>42.4</v>
      </c>
      <c r="E28" s="32" t="n">
        <f aca="false">IF(B28="","",INDEX(Country_Summary!$L$6:$L$217,MATCH(LARGE(Country_Summary!$P$6:$P$217,A28),Country_Summary!$P$6:$P$217,0)))</f>
        <v>594.8</v>
      </c>
    </row>
    <row r="29" customFormat="false" ht="15" hidden="false" customHeight="false" outlineLevel="0" collapsed="false">
      <c r="A29" s="40" t="n">
        <v>6</v>
      </c>
      <c r="B29" s="40" t="str">
        <f aca="false">IF(LARGE(Country_Summary!$P$6:$P$217,A29)&gt;-1,INDEX(Country_Summary!$A$6:$A$217,MATCH(LARGE(Country_Summary!$P$6:$P$217,A29),Country_Summary!$P$6:$P$217,0)),"")</f>
        <v>Indonesia</v>
      </c>
      <c r="C29" s="31" t="n">
        <f aca="false">IF(B29="","",INDEX(Country_Summary!$K$6:$K$217,MATCH(LARGE(Country_Summary!$P$6:$P$217,A29),Country_Summary!$P$6:$P$217,0)))</f>
        <v>0.614819400333746</v>
      </c>
      <c r="D29" s="32" t="n">
        <f aca="false">IF(B29="","",INDEX(Country_Summary!$C$6:$C$217,MATCH(LARGE(Country_Summary!$P$6:$P$217,A29),Country_Summary!$P$6:$P$217,0)))</f>
        <v>371.54</v>
      </c>
      <c r="E29" s="32" t="n">
        <f aca="false">IF(B29="","",INDEX(Country_Summary!$L$6:$L$217,MATCH(LARGE(Country_Summary!$P$6:$P$217,A29),Country_Summary!$P$6:$P$217,0)))</f>
        <v>680.2</v>
      </c>
    </row>
    <row r="30" customFormat="false" ht="15" hidden="false" customHeight="false" outlineLevel="0" collapsed="false">
      <c r="A30" s="40" t="n">
        <v>7</v>
      </c>
      <c r="B30" s="40" t="str">
        <f aca="false">IF(LARGE(Country_Summary!$P$6:$P$217,A30)&gt;-1,INDEX(Country_Summary!$A$6:$A$217,MATCH(LARGE(Country_Summary!$P$6:$P$217,A30),Country_Summary!$P$6:$P$217,0)),"")</f>
        <v>China</v>
      </c>
      <c r="C30" s="31" t="n">
        <f aca="false">IF(B30="","",INDEX(Country_Summary!$K$6:$K$217,MATCH(LARGE(Country_Summary!$P$6:$P$217,A30),Country_Summary!$P$6:$P$217,0)))</f>
        <v>0.577740589756198</v>
      </c>
      <c r="D30" s="32" t="n">
        <f aca="false">IF(B30="","",INDEX(Country_Summary!$C$6:$C$217,MATCH(LARGE(Country_Summary!$P$6:$P$217,A30),Country_Summary!$P$6:$P$217,0)))</f>
        <v>10086.88</v>
      </c>
      <c r="E30" s="32" t="n">
        <f aca="false">IF(B30="","",INDEX(Country_Summary!$L$6:$L$217,MATCH(LARGE(Country_Summary!$P$6:$P$217,A30),Country_Summary!$P$6:$P$217,0)))</f>
        <v>555.4</v>
      </c>
    </row>
    <row r="31" customFormat="false" ht="15" hidden="false" customHeight="false" outlineLevel="0" collapsed="false">
      <c r="A31" s="40" t="n">
        <v>8</v>
      </c>
      <c r="B31" s="40" t="str">
        <f aca="false">IF(LARGE(Country_Summary!$P$6:$P$217,A31)&gt;-1,INDEX(Country_Summary!$A$6:$A$217,MATCH(LARGE(Country_Summary!$P$6:$P$217,A31),Country_Summary!$P$6:$P$217,0)),"")</f>
        <v>Poland</v>
      </c>
      <c r="C31" s="31" t="n">
        <f aca="false">IF(B31="","",INDEX(Country_Summary!$K$6:$K$217,MATCH(LARGE(Country_Summary!$P$6:$P$217,A31),Country_Summary!$P$6:$P$217,0)))</f>
        <v>0.543225656518708</v>
      </c>
      <c r="D31" s="32" t="n">
        <f aca="false">IF(B31="","",INDEX(Country_Summary!$C$6:$C$217,MATCH(LARGE(Country_Summary!$P$6:$P$217,A31),Country_Summary!$P$6:$P$217,0)))</f>
        <v>172.12</v>
      </c>
      <c r="E31" s="32" t="n">
        <f aca="false">IF(B31="","",INDEX(Country_Summary!$L$6:$L$217,MATCH(LARGE(Country_Summary!$P$6:$P$217,A31),Country_Summary!$P$6:$P$217,0)))</f>
        <v>608.2</v>
      </c>
    </row>
    <row r="32" customFormat="false" ht="15" hidden="false" customHeight="false" outlineLevel="0" collapsed="false">
      <c r="A32" s="40" t="n">
        <v>9</v>
      </c>
      <c r="B32" s="40" t="str">
        <f aca="false">IF(LARGE(Country_Summary!$P$6:$P$217,A32)&gt;-1,INDEX(Country_Summary!$A$6:$A$217,MATCH(LARGE(Country_Summary!$P$6:$P$217,A32),Country_Summary!$P$6:$P$217,0)),"")</f>
        <v>Kazakhstan</v>
      </c>
      <c r="C32" s="31" t="n">
        <f aca="false">IF(B32="","",INDEX(Country_Summary!$K$6:$K$217,MATCH(LARGE(Country_Summary!$P$6:$P$217,A32),Country_Summary!$P$6:$P$217,0)))</f>
        <v>0.540291958484516</v>
      </c>
      <c r="D32" s="32" t="n">
        <f aca="false">IF(B32="","",INDEX(Country_Summary!$C$6:$C$217,MATCH(LARGE(Country_Summary!$P$6:$P$217,A32),Country_Summary!$P$6:$P$217,0)))</f>
        <v>118.51</v>
      </c>
      <c r="E32" s="32" t="n">
        <f aca="false">IF(B32="","",INDEX(Country_Summary!$L$6:$L$217,MATCH(LARGE(Country_Summary!$P$6:$P$217,A32),Country_Summary!$P$6:$P$217,0)))</f>
        <v>802</v>
      </c>
    </row>
    <row r="33" customFormat="false" ht="15" hidden="false" customHeight="false" outlineLevel="0" collapsed="false">
      <c r="A33" s="40" t="n">
        <v>10</v>
      </c>
      <c r="B33" s="40" t="str">
        <f aca="false">IF(LARGE(Country_Summary!$P$6:$P$217,A33)&gt;-1,INDEX(Country_Summary!$A$6:$A$217,MATCH(LARGE(Country_Summary!$P$6:$P$217,A33),Country_Summary!$P$6:$P$217,0)),"")</f>
        <v>Vietnam</v>
      </c>
      <c r="C33" s="31" t="n">
        <f aca="false">IF(B33="","",INDEX(Country_Summary!$K$6:$K$217,MATCH(LARGE(Country_Summary!$P$6:$P$217,A33),Country_Summary!$P$6:$P$217,0)))</f>
        <v>0.503228144146518</v>
      </c>
      <c r="D33" s="32" t="n">
        <f aca="false">IF(B33="","",INDEX(Country_Summary!$C$6:$C$217,MATCH(LARGE(Country_Summary!$P$6:$P$217,A33),Country_Summary!$P$6:$P$217,0)))</f>
        <v>303.58</v>
      </c>
      <c r="E33" s="32" t="n">
        <f aca="false">IF(B33="","",INDEX(Country_Summary!$L$6:$L$217,MATCH(LARGE(Country_Summary!$P$6:$P$217,A33),Country_Summary!$P$6:$P$217,0)))</f>
        <v>484.3</v>
      </c>
    </row>
  </sheetData>
  <conditionalFormatting sqref="C6:C20">
    <cfRule type="dataBar" priority="2">
      <dataBar showValue="1" minLength="10" maxLength="90">
        <cfvo type="num" val="0"/>
        <cfvo type="num" val="1"/>
        <color rgb="FF63BE7B"/>
      </dataBar>
      <extLst>
        <ext xmlns:x14="http://schemas.microsoft.com/office/spreadsheetml/2009/9/main" uri="{B025F937-C7B1-47D3-B67F-A62EFF666E3E}">
          <x14:id>{2944FF23-FC88-41D2-AFD5-6CEB3A2E9955}</x14:id>
        </ext>
      </extLst>
    </cfRule>
  </conditionalFormatting>
  <conditionalFormatting sqref="I6:I20">
    <cfRule type="dataBar" priority="3">
      <dataBar showValue="1" minLength="10" maxLength="90">
        <cfvo type="num" val="0"/>
        <cfvo type="max" val="0"/>
        <color rgb="FFF2B701"/>
      </dataBar>
      <extLst>
        <ext xmlns:x14="http://schemas.microsoft.com/office/spreadsheetml/2009/9/main" uri="{B025F937-C7B1-47D3-B67F-A62EFF666E3E}">
          <x14:id>{BC93D014-52F0-47DD-BBC3-23B12AEBDE85}</x14:id>
        </ext>
      </extLst>
    </cfRule>
  </conditionalFormatting>
  <conditionalFormatting sqref="C24:C33">
    <cfRule type="dataBar" priority="4">
      <dataBar showValue="1" minLength="10" maxLength="90">
        <cfvo type="num" val="0"/>
        <cfvo type="num" val="1"/>
        <color rgb="FF7F7F7F"/>
      </dataBar>
      <extLst>
        <ext xmlns:x14="http://schemas.microsoft.com/office/spreadsheetml/2009/9/main" uri="{B025F937-C7B1-47D3-B67F-A62EFF666E3E}">
          <x14:id>{C54A6DD9-6920-4A62-B8AF-C9F8872E54BE}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944FF23-FC88-41D2-AFD5-6CEB3A2E9955}">
            <x14:dataBar minLength="10" maxLength="90" axisPosition="none" gradient="true">
              <x14:cfvo type="num">
                <xm:f>0</xm:f>
              </x14:cfvo>
              <x14:cfvo type="num">
                <xm:f>1</xm:f>
              </x14:cfvo>
              <x14:negativeFillColor rgb="FF63BE7B"/>
              <x14:axisColor rgb="FF000000"/>
            </x14:dataBar>
          </x14:cfRule>
          <xm:sqref>C6:C20</xm:sqref>
        </x14:conditionalFormatting>
        <x14:conditionalFormatting xmlns:xm="http://schemas.microsoft.com/office/excel/2006/main">
          <x14:cfRule type="dataBar" id="{BC93D014-52F0-47DD-BBC3-23B12AEBDE85}">
            <x14:dataBar minLength="10" maxLength="90" axisPosition="none" gradient="true">
              <x14:cfvo type="num">
                <xm:f>0</xm:f>
              </x14:cfvo>
              <x14:cfvo type="max"/>
              <x14:negativeFillColor rgb="FFF2B701"/>
              <x14:axisColor rgb="FF000000"/>
            </x14:dataBar>
          </x14:cfRule>
          <xm:sqref>I6:I20</xm:sqref>
        </x14:conditionalFormatting>
        <x14:conditionalFormatting xmlns:xm="http://schemas.microsoft.com/office/excel/2006/main">
          <x14:cfRule type="dataBar" id="{C54A6DD9-6920-4A62-B8AF-C9F8872E54BE}">
            <x14:dataBar minLength="10" maxLength="90" axisPosition="none" gradient="true">
              <x14:cfvo type="num">
                <xm:f>0</xm:f>
              </x14:cfvo>
              <x14:cfvo type="num">
                <xm:f>1</xm:f>
              </x14:cfvo>
              <x14:negativeFillColor rgb="FF7F7F7F"/>
              <x14:axisColor rgb="FF000000"/>
            </x14:dataBar>
          </x14:cfRule>
          <xm:sqref>C24:C33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14"/>
    <col collapsed="false" customWidth="true" hidden="false" outlineLevel="0" max="4" min="4" style="0" width="60"/>
  </cols>
  <sheetData>
    <row r="1" customFormat="false" ht="19.7" hidden="false" customHeight="false" outlineLevel="0" collapsed="false">
      <c r="A1" s="1" t="s">
        <v>140</v>
      </c>
    </row>
    <row r="2" customFormat="false" ht="15" hidden="false" customHeight="false" outlineLevel="0" collapsed="false">
      <c r="A2" s="2" t="s">
        <v>141</v>
      </c>
    </row>
    <row r="4" customFormat="false" ht="15" hidden="false" customHeight="false" outlineLevel="0" collapsed="false">
      <c r="A4" s="15" t="s">
        <v>126</v>
      </c>
      <c r="B4" s="15" t="s">
        <v>142</v>
      </c>
      <c r="C4" s="15" t="s">
        <v>143</v>
      </c>
      <c r="D4" s="15" t="s">
        <v>144</v>
      </c>
    </row>
    <row r="5" customFormat="false" ht="45.75" hidden="false" customHeight="true" outlineLevel="0" collapsed="false">
      <c r="A5" s="43" t="n">
        <v>1</v>
      </c>
      <c r="B5" s="44" t="s">
        <v>145</v>
      </c>
      <c r="C5" s="45" t="n">
        <f aca="false">Global_Trends!K15</f>
        <v>0.337604552385958</v>
      </c>
      <c r="D5" s="44" t="s">
        <v>146</v>
      </c>
    </row>
    <row r="6" customFormat="false" ht="45.75" hidden="false" customHeight="true" outlineLevel="0" collapsed="false">
      <c r="A6" s="43" t="n">
        <v>2</v>
      </c>
      <c r="B6" s="44" t="s">
        <v>147</v>
      </c>
      <c r="C6" s="46" t="n">
        <f aca="false">Global_Trends!H18</f>
        <v>10.8536385297449</v>
      </c>
      <c r="D6" s="44" t="s">
        <v>148</v>
      </c>
    </row>
    <row r="7" customFormat="false" ht="45.75" hidden="false" customHeight="true" outlineLevel="0" collapsed="false">
      <c r="A7" s="43" t="n">
        <v>3</v>
      </c>
      <c r="B7" s="44" t="s">
        <v>149</v>
      </c>
      <c r="C7" s="47" t="n">
        <f aca="false">Global_Trends!H19</f>
        <v>0.567070785070785</v>
      </c>
      <c r="D7" s="44" t="s">
        <v>150</v>
      </c>
    </row>
    <row r="8" customFormat="false" ht="45.75" hidden="false" customHeight="true" outlineLevel="0" collapsed="false">
      <c r="A8" s="43" t="n">
        <v>4</v>
      </c>
      <c r="B8" s="44" t="s">
        <v>151</v>
      </c>
      <c r="C8" s="45" t="n">
        <f aca="false">SUMIFS(Clean_Data!$V$2:$V$2203,Clean_Data!$AB$2:$AB$2203,"India|2025")</f>
        <v>0.240670637970792</v>
      </c>
      <c r="D8" s="44" t="s">
        <v>152</v>
      </c>
    </row>
    <row r="9" customFormat="false" ht="45.75" hidden="false" customHeight="true" outlineLevel="0" collapsed="false">
      <c r="A9" s="43" t="n">
        <v>5</v>
      </c>
      <c r="B9" s="44" t="s">
        <v>153</v>
      </c>
      <c r="C9" s="45" t="n">
        <f aca="false">SUMIFS(Clean_Data!$Y$2:$Y$2203,Clean_Data!$AB$2:$AB$2203,"India|2025")</f>
        <v>0.708181206764028</v>
      </c>
      <c r="D9" s="44" t="s">
        <v>154</v>
      </c>
    </row>
    <row r="10" customFormat="false" ht="45.75" hidden="false" customHeight="true" outlineLevel="0" collapsed="false">
      <c r="A10" s="43" t="n">
        <v>6</v>
      </c>
      <c r="B10" s="44" t="s">
        <v>155</v>
      </c>
      <c r="C10" s="48" t="n">
        <f aca="false">COUNTIFS(Country_Summary!$M$6:$M$217,"Yes",Country_Summary!$F$6:$F$217,"&gt;="&amp;Inputs!$B$8)</f>
        <v>25</v>
      </c>
      <c r="D10" s="44" t="s">
        <v>156</v>
      </c>
    </row>
    <row r="11" customFormat="false" ht="45.75" hidden="false" customHeight="true" outlineLevel="0" collapsed="false">
      <c r="A11" s="43" t="n">
        <v>7</v>
      </c>
      <c r="B11" s="44" t="s">
        <v>157</v>
      </c>
      <c r="C11" s="49" t="n">
        <f aca="false">Rankings!I6</f>
        <v>37.2599083428173</v>
      </c>
      <c r="D11" s="44" t="s">
        <v>158</v>
      </c>
    </row>
    <row r="13" customFormat="false" ht="15" hidden="false" customHeight="false" outlineLevel="0" collapsed="false">
      <c r="A13" s="19" t="s">
        <v>159</v>
      </c>
    </row>
    <row r="14" customFormat="false" ht="15" hidden="false" customHeight="false" outlineLevel="0" collapsed="false">
      <c r="B14" s="6" t="s">
        <v>160</v>
      </c>
    </row>
    <row r="15" customFormat="false" ht="23.85" hidden="false" customHeight="false" outlineLevel="0" collapsed="false">
      <c r="B15" s="6" t="s">
        <v>161</v>
      </c>
    </row>
    <row r="16" customFormat="false" ht="15" hidden="false" customHeight="false" outlineLevel="0" collapsed="false">
      <c r="B16" s="6" t="s">
        <v>162</v>
      </c>
    </row>
    <row r="17" customFormat="false" ht="23.85" hidden="false" customHeight="false" outlineLevel="0" collapsed="false">
      <c r="B17" s="6"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P2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6" min="2" style="0" width="13"/>
  </cols>
  <sheetData>
    <row r="1" customFormat="false" ht="19.7" hidden="false" customHeight="false" outlineLevel="0" collapsed="false">
      <c r="A1" s="1" t="s">
        <v>164</v>
      </c>
    </row>
    <row r="2" customFormat="false" ht="15" hidden="false" customHeight="false" outlineLevel="0" collapsed="false">
      <c r="A2" s="2" t="s">
        <v>165</v>
      </c>
    </row>
    <row r="3" customFormat="false" ht="15" hidden="false" customHeight="false" outlineLevel="0" collapsed="false">
      <c r="A3" s="50" t="str">
        <f aca="false">"Base year: "&amp;Inputs!$B$5&amp;"   ·   Analysis year: "&amp;Inputs!$B$6&amp;"   ·   Ranked if generation ≥ "&amp;Inputs!$B$7&amp;" TWh"</f>
        <v>Base year: 2015   ·   Analysis year: 2024   ·   Ranked if generation ≥ 20 TWh</v>
      </c>
    </row>
    <row r="5" customFormat="false" ht="31.5" hidden="false" customHeight="true" outlineLevel="0" collapsed="false">
      <c r="A5" s="15" t="s">
        <v>127</v>
      </c>
      <c r="B5" s="15" t="s">
        <v>166</v>
      </c>
      <c r="C5" s="15" t="s">
        <v>167</v>
      </c>
      <c r="D5" s="15" t="s">
        <v>168</v>
      </c>
      <c r="E5" s="15" t="s">
        <v>169</v>
      </c>
      <c r="F5" s="15" t="s">
        <v>170</v>
      </c>
      <c r="G5" s="15" t="s">
        <v>171</v>
      </c>
      <c r="H5" s="15" t="s">
        <v>172</v>
      </c>
      <c r="I5" s="15" t="s">
        <v>173</v>
      </c>
      <c r="J5" s="15" t="s">
        <v>174</v>
      </c>
      <c r="K5" s="15" t="s">
        <v>175</v>
      </c>
      <c r="L5" s="15" t="s">
        <v>176</v>
      </c>
      <c r="M5" s="15" t="s">
        <v>177</v>
      </c>
      <c r="N5" s="51" t="s">
        <v>178</v>
      </c>
      <c r="O5" s="51" t="s">
        <v>179</v>
      </c>
      <c r="P5" s="51" t="s">
        <v>180</v>
      </c>
    </row>
    <row r="6" customFormat="false" ht="15" hidden="false" customHeight="false" outlineLevel="0" collapsed="false">
      <c r="A6" s="52" t="s">
        <v>181</v>
      </c>
      <c r="B6" s="53" t="n">
        <f aca="false">IF(COUNTIFS(Clean_Data!$AB$2:$AB$2203,$A6&amp;"|"&amp;Inputs!$B$5)&gt;0,SUMIFS(Clean_Data!$F$2:$F$2203,Clean_Data!$AB$2:$AB$2203,$A6&amp;"|"&amp;Inputs!$B$5),"")</f>
        <v>1.18</v>
      </c>
      <c r="C6" s="53" t="n">
        <f aca="false">IF(COUNTIFS(Clean_Data!$AB$2:$AB$2203,$A6&amp;"|"&amp;Inputs!$B$6)&gt;0,SUMIFS(Clean_Data!$F$2:$F$2203,Clean_Data!$AB$2:$AB$2203,$A6&amp;"|"&amp;Inputs!$B$6),"")</f>
        <v>0.99</v>
      </c>
      <c r="D6" s="54" t="n">
        <f aca="false">IF(AND(ISNUMBER(B6),ISNUMBER(C6)),IF(AND(B6&gt;0,Inputs!$B$6&gt;Inputs!$B$5),(C6/B6)^(1/(Inputs!$B$6-Inputs!$B$5))-1,""),"")</f>
        <v>-0.0193181629489544</v>
      </c>
      <c r="E6" s="54" t="n">
        <f aca="false">IF(ISNUMBER(B6),SUMIFS(Clean_Data!$V$2:$V$2203,Clean_Data!$AB$2:$AB$2203,$A6&amp;"|"&amp;Inputs!$B$5),"")</f>
        <v>0.872881355932204</v>
      </c>
      <c r="F6" s="54" t="n">
        <f aca="false">IF(ISNUMBER(C6),SUMIFS(Clean_Data!$V$2:$V$2203,Clean_Data!$AB$2:$AB$2203,$A6&amp;"|"&amp;Inputs!$B$6),"")</f>
        <v>0.868686868686869</v>
      </c>
      <c r="G6" s="55" t="n">
        <f aca="false">IF(AND(ISNUMBER(E6),ISNUMBER(F6)),(F6-E6)*100,"")</f>
        <v>-0.419448724533478</v>
      </c>
      <c r="H6" s="54" t="n">
        <f aca="false">IF(ISNUMBER(B6),SUMIFS(Clean_Data!$X$2:$X$2203,Clean_Data!$AB$2:$AB$2203,$A6&amp;"|"&amp;Inputs!$B$5),"")</f>
        <v>0.0254237288135593</v>
      </c>
      <c r="I6" s="54" t="n">
        <f aca="false">IF(ISNUMBER(C6),SUMIFS(Clean_Data!$X$2:$X$2203,Clean_Data!$AB$2:$AB$2203,$A6&amp;"|"&amp;Inputs!$B$6),"")</f>
        <v>0.111111111111111</v>
      </c>
      <c r="J6" s="55" t="n">
        <f aca="false">IF(AND(ISNUMBER(H6),ISNUMBER(I6)),(I6-H6)*100,"")</f>
        <v>8.56873822975518</v>
      </c>
      <c r="K6" s="54" t="n">
        <f aca="false">IF(ISNUMBER(C6),SUMIFS(Clean_Data!$Y$2:$Y$2203,Clean_Data!$AB$2:$AB$2203,$A6&amp;"|"&amp;Inputs!$B$6),"")</f>
        <v>0.0303030303030303</v>
      </c>
      <c r="L6" s="56" t="n">
        <f aca="false">IF(COUNTIFS(Clean_Data!$AB$2:$AB$2203,$A6&amp;"|"&amp;Inputs!$B$6,Clean_Data!$P$2:$P$2203,"&lt;&gt;")&gt;0,SUMIFS(Clean_Data!$P$2:$P$2203,Clean_Data!$AB$2:$AB$2203,$A6&amp;"|"&amp;Inputs!$B$6),"")</f>
        <v>131.3</v>
      </c>
      <c r="M6" s="52" t="str">
        <f aca="false">IF(ISNUMBER(C6),IF(C6&gt;=Inputs!$B$7,"Yes","No"),"No")</f>
        <v>No</v>
      </c>
      <c r="N6" s="57" t="n">
        <f aca="false">IF(M6="Yes",F6+ROW()/10^9,-1)</f>
        <v>-1</v>
      </c>
      <c r="O6" s="57" t="n">
        <f aca="false">IF(AND(M6="Yes",ISNUMBER(J6)),J6+ROW()/10^9,-1000)</f>
        <v>-1000</v>
      </c>
      <c r="P6" s="57" t="n">
        <f aca="false">IF(M6="Yes",K6+ROW()/10^9,-1)</f>
        <v>-1</v>
      </c>
    </row>
    <row r="7" customFormat="false" ht="15" hidden="false" customHeight="false" outlineLevel="0" collapsed="false">
      <c r="A7" s="52" t="s">
        <v>182</v>
      </c>
      <c r="B7" s="53" t="n">
        <f aca="false">IF(COUNTIFS(Clean_Data!$AB$2:$AB$2203,$A7&amp;"|"&amp;Inputs!$B$5)&gt;0,SUMIFS(Clean_Data!$F$2:$F$2203,Clean_Data!$AB$2:$AB$2203,$A7&amp;"|"&amp;Inputs!$B$5),"")</f>
        <v>5.89</v>
      </c>
      <c r="C7" s="53" t="n">
        <f aca="false">IF(COUNTIFS(Clean_Data!$AB$2:$AB$2203,$A7&amp;"|"&amp;Inputs!$B$6)&gt;0,SUMIFS(Clean_Data!$F$2:$F$2203,Clean_Data!$AB$2:$AB$2203,$A7&amp;"|"&amp;Inputs!$B$6),"")</f>
        <v>8.34</v>
      </c>
      <c r="D7" s="54" t="n">
        <f aca="false">IF(AND(ISNUMBER(B7),ISNUMBER(C7)),IF(AND(B7&gt;0,Inputs!$B$6&gt;Inputs!$B$5),(C7/B7)^(1/(Inputs!$B$6-Inputs!$B$5))-1,""),"")</f>
        <v>0.0394016868756562</v>
      </c>
      <c r="E7" s="54" t="n">
        <f aca="false">IF(ISNUMBER(B7),SUMIFS(Clean_Data!$V$2:$V$2203,Clean_Data!$AB$2:$AB$2203,$A7&amp;"|"&amp;Inputs!$B$5),"")</f>
        <v>1</v>
      </c>
      <c r="F7" s="54" t="n">
        <f aca="false">IF(ISNUMBER(C7),SUMIFS(Clean_Data!$V$2:$V$2203,Clean_Data!$AB$2:$AB$2203,$A7&amp;"|"&amp;Inputs!$B$6),"")</f>
        <v>1</v>
      </c>
      <c r="G7" s="55" t="n">
        <f aca="false">IF(AND(ISNUMBER(E7),ISNUMBER(F7)),(F7-E7)*100,"")</f>
        <v>0</v>
      </c>
      <c r="H7" s="54" t="n">
        <f aca="false">IF(ISNUMBER(B7),SUMIFS(Clean_Data!$X$2:$X$2203,Clean_Data!$AB$2:$AB$2203,$A7&amp;"|"&amp;Inputs!$B$5),"")</f>
        <v>0</v>
      </c>
      <c r="I7" s="54" t="n">
        <f aca="false">IF(ISNUMBER(C7),SUMIFS(Clean_Data!$X$2:$X$2203,Clean_Data!$AB$2:$AB$2203,$A7&amp;"|"&amp;Inputs!$B$6),"")</f>
        <v>0.0407673860911271</v>
      </c>
      <c r="J7" s="55" t="n">
        <f aca="false">IF(AND(ISNUMBER(H7),ISNUMBER(I7)),(I7-H7)*100,"")</f>
        <v>4.07673860911271</v>
      </c>
      <c r="K7" s="54" t="n">
        <f aca="false">IF(ISNUMBER(C7),SUMIFS(Clean_Data!$Y$2:$Y$2203,Clean_Data!$AB$2:$AB$2203,$A7&amp;"|"&amp;Inputs!$B$6),"")</f>
        <v>0</v>
      </c>
      <c r="L7" s="56" t="n">
        <f aca="false">IF(COUNTIFS(Clean_Data!$AB$2:$AB$2203,$A7&amp;"|"&amp;Inputs!$B$6,Clean_Data!$P$2:$P$2203,"&lt;&gt;")&gt;0,SUMIFS(Clean_Data!$P$2:$P$2203,Clean_Data!$AB$2:$AB$2203,$A7&amp;"|"&amp;Inputs!$B$6),"")</f>
        <v>25.2</v>
      </c>
      <c r="M7" s="52" t="str">
        <f aca="false">IF(ISNUMBER(C7),IF(C7&gt;=Inputs!$B$7,"Yes","No"),"No")</f>
        <v>No</v>
      </c>
      <c r="N7" s="57" t="n">
        <f aca="false">IF(M7="Yes",F7+ROW()/10^9,-1)</f>
        <v>-1</v>
      </c>
      <c r="O7" s="57" t="n">
        <f aca="false">IF(AND(M7="Yes",ISNUMBER(J7)),J7+ROW()/10^9,-1000)</f>
        <v>-1000</v>
      </c>
      <c r="P7" s="57" t="n">
        <f aca="false">IF(M7="Yes",K7+ROW()/10^9,-1)</f>
        <v>-1</v>
      </c>
    </row>
    <row r="8" customFormat="false" ht="15" hidden="false" customHeight="false" outlineLevel="0" collapsed="false">
      <c r="A8" s="52" t="s">
        <v>183</v>
      </c>
      <c r="B8" s="53" t="n">
        <f aca="false">IF(COUNTIFS(Clean_Data!$AB$2:$AB$2203,$A8&amp;"|"&amp;Inputs!$B$5)&gt;0,SUMIFS(Clean_Data!$F$2:$F$2203,Clean_Data!$AB$2:$AB$2203,$A8&amp;"|"&amp;Inputs!$B$5),"")</f>
        <v>68.84</v>
      </c>
      <c r="C8" s="53" t="n">
        <f aca="false">IF(COUNTIFS(Clean_Data!$AB$2:$AB$2203,$A8&amp;"|"&amp;Inputs!$B$6)&gt;0,SUMIFS(Clean_Data!$F$2:$F$2203,Clean_Data!$AB$2:$AB$2203,$A8&amp;"|"&amp;Inputs!$B$6),"")</f>
        <v>96.36</v>
      </c>
      <c r="D8" s="54" t="n">
        <f aca="false">IF(AND(ISNUMBER(B8),ISNUMBER(C8)),IF(AND(B8&gt;0,Inputs!$B$6&gt;Inputs!$B$5),(C8/B8)^(1/(Inputs!$B$6-Inputs!$B$5))-1,""),"")</f>
        <v>0.0380742938998591</v>
      </c>
      <c r="E8" s="54" t="n">
        <f aca="false">IF(ISNUMBER(B8),SUMIFS(Clean_Data!$V$2:$V$2203,Clean_Data!$AB$2:$AB$2203,$A8&amp;"|"&amp;Inputs!$B$5),"")</f>
        <v>0.0031958163858222</v>
      </c>
      <c r="F8" s="54" t="n">
        <f aca="false">IF(ISNUMBER(C8),SUMIFS(Clean_Data!$V$2:$V$2203,Clean_Data!$AB$2:$AB$2203,$A8&amp;"|"&amp;Inputs!$B$6),"")</f>
        <v>0.0106890826068908</v>
      </c>
      <c r="G8" s="55" t="n">
        <f aca="false">IF(AND(ISNUMBER(E8),ISNUMBER(F8)),(F8-E8)*100,"")</f>
        <v>0.749326622106863</v>
      </c>
      <c r="H8" s="54" t="n">
        <f aca="false">IF(ISNUMBER(B8),SUMIFS(Clean_Data!$X$2:$X$2203,Clean_Data!$AB$2:$AB$2203,$A8&amp;"|"&amp;Inputs!$B$5),"")</f>
        <v>0.00116211504938989</v>
      </c>
      <c r="I8" s="54" t="n">
        <f aca="false">IF(ISNUMBER(C8),SUMIFS(Clean_Data!$X$2:$X$2203,Clean_Data!$AB$2:$AB$2203,$A8&amp;"|"&amp;Inputs!$B$6),"")</f>
        <v>0.0104815276048153</v>
      </c>
      <c r="J8" s="55" t="n">
        <f aca="false">IF(AND(ISNUMBER(H8),ISNUMBER(I8)),(I8-H8)*100,"")</f>
        <v>0.931941255542539</v>
      </c>
      <c r="K8" s="54" t="n">
        <f aca="false">IF(ISNUMBER(C8),SUMIFS(Clean_Data!$Y$2:$Y$2203,Clean_Data!$AB$2:$AB$2203,$A8&amp;"|"&amp;Inputs!$B$6),"")</f>
        <v>0</v>
      </c>
      <c r="L8" s="56" t="n">
        <f aca="false">IF(COUNTIFS(Clean_Data!$AB$2:$AB$2203,$A8&amp;"|"&amp;Inputs!$B$6,Clean_Data!$P$2:$P$2203,"&lt;&gt;")&gt;0,SUMIFS(Clean_Data!$P$2:$P$2203,Clean_Data!$AB$2:$AB$2203,$A8&amp;"|"&amp;Inputs!$B$6),"")</f>
        <v>632.9</v>
      </c>
      <c r="M8" s="52" t="str">
        <f aca="false">IF(ISNUMBER(C8),IF(C8&gt;=Inputs!$B$7,"Yes","No"),"No")</f>
        <v>Yes</v>
      </c>
      <c r="N8" s="57" t="n">
        <f aca="false">IF(M8="Yes",F8+ROW()/10^9,-1)</f>
        <v>0.0106890906068908</v>
      </c>
      <c r="O8" s="57" t="n">
        <f aca="false">IF(AND(M8="Yes",ISNUMBER(J8)),J8+ROW()/10^9,-1000)</f>
        <v>0.931941263542539</v>
      </c>
      <c r="P8" s="57" t="n">
        <f aca="false">IF(M8="Yes",K8+ROW()/10^9,-1)</f>
        <v>8E-009</v>
      </c>
    </row>
    <row r="9" customFormat="false" ht="15" hidden="false" customHeight="false" outlineLevel="0" collapsed="false">
      <c r="A9" s="52" t="s">
        <v>184</v>
      </c>
      <c r="B9" s="53" t="n">
        <f aca="false">IF(COUNTIFS(Clean_Data!$AB$2:$AB$2203,$A9&amp;"|"&amp;Inputs!$B$5)&gt;0,SUMIFS(Clean_Data!$F$2:$F$2203,Clean_Data!$AB$2:$AB$2203,$A9&amp;"|"&amp;Inputs!$B$5),"")</f>
        <v>0.16</v>
      </c>
      <c r="C9" s="53" t="n">
        <f aca="false">IF(COUNTIFS(Clean_Data!$AB$2:$AB$2203,$A9&amp;"|"&amp;Inputs!$B$6)&gt;0,SUMIFS(Clean_Data!$F$2:$F$2203,Clean_Data!$AB$2:$AB$2203,$A9&amp;"|"&amp;Inputs!$B$6),"")</f>
        <v>0.18</v>
      </c>
      <c r="D9" s="54" t="n">
        <f aca="false">IF(AND(ISNUMBER(B9),ISNUMBER(C9)),IF(AND(B9&gt;0,Inputs!$B$6&gt;Inputs!$B$5),(C9/B9)^(1/(Inputs!$B$6-Inputs!$B$5))-1,""),"")</f>
        <v>0.0131730135914099</v>
      </c>
      <c r="E9" s="54" t="n">
        <f aca="false">IF(ISNUMBER(B9),SUMIFS(Clean_Data!$V$2:$V$2203,Clean_Data!$AB$2:$AB$2203,$A9&amp;"|"&amp;Inputs!$B$5),"")</f>
        <v>0</v>
      </c>
      <c r="F9" s="54" t="n">
        <f aca="false">IF(ISNUMBER(C9),SUMIFS(Clean_Data!$V$2:$V$2203,Clean_Data!$AB$2:$AB$2203,$A9&amp;"|"&amp;Inputs!$B$6),"")</f>
        <v>0.0555555555555556</v>
      </c>
      <c r="G9" s="55" t="n">
        <f aca="false">IF(AND(ISNUMBER(E9),ISNUMBER(F9)),(F9-E9)*100,"")</f>
        <v>5.55555555555556</v>
      </c>
      <c r="H9" s="54" t="n">
        <f aca="false">IF(ISNUMBER(B9),SUMIFS(Clean_Data!$X$2:$X$2203,Clean_Data!$AB$2:$AB$2203,$A9&amp;"|"&amp;Inputs!$B$5),"")</f>
        <v>0</v>
      </c>
      <c r="I9" s="54" t="n">
        <f aca="false">IF(ISNUMBER(C9),SUMIFS(Clean_Data!$X$2:$X$2203,Clean_Data!$AB$2:$AB$2203,$A9&amp;"|"&amp;Inputs!$B$6),"")</f>
        <v>0.0555555555555556</v>
      </c>
      <c r="J9" s="55" t="n">
        <f aca="false">IF(AND(ISNUMBER(H9),ISNUMBER(I9)),(I9-H9)*100,"")</f>
        <v>5.55555555555556</v>
      </c>
      <c r="K9" s="54" t="n">
        <f aca="false">IF(ISNUMBER(C9),SUMIFS(Clean_Data!$Y$2:$Y$2203,Clean_Data!$AB$2:$AB$2203,$A9&amp;"|"&amp;Inputs!$B$6),"")</f>
        <v>0</v>
      </c>
      <c r="L9" s="56" t="n">
        <f aca="false">IF(COUNTIFS(Clean_Data!$AB$2:$AB$2203,$A9&amp;"|"&amp;Inputs!$B$6,Clean_Data!$P$2:$P$2203,"&lt;&gt;")&gt;0,SUMIFS(Clean_Data!$P$2:$P$2203,Clean_Data!$AB$2:$AB$2203,$A9&amp;"|"&amp;Inputs!$B$6),"")</f>
        <v>611.1</v>
      </c>
      <c r="M9" s="52" t="str">
        <f aca="false">IF(ISNUMBER(C9),IF(C9&gt;=Inputs!$B$7,"Yes","No"),"No")</f>
        <v>No</v>
      </c>
      <c r="N9" s="57" t="n">
        <f aca="false">IF(M9="Yes",F9+ROW()/10^9,-1)</f>
        <v>-1</v>
      </c>
      <c r="O9" s="57" t="n">
        <f aca="false">IF(AND(M9="Yes",ISNUMBER(J9)),J9+ROW()/10^9,-1000)</f>
        <v>-1000</v>
      </c>
      <c r="P9" s="57" t="n">
        <f aca="false">IF(M9="Yes",K9+ROW()/10^9,-1)</f>
        <v>-1</v>
      </c>
    </row>
    <row r="10" customFormat="false" ht="15" hidden="false" customHeight="false" outlineLevel="0" collapsed="false">
      <c r="A10" s="52" t="s">
        <v>185</v>
      </c>
      <c r="B10" s="53" t="n">
        <f aca="false">IF(COUNTIFS(Clean_Data!$AB$2:$AB$2203,$A10&amp;"|"&amp;Inputs!$B$5)&gt;0,SUMIFS(Clean_Data!$F$2:$F$2203,Clean_Data!$AB$2:$AB$2203,$A10&amp;"|"&amp;Inputs!$B$5),"")</f>
        <v>9.78</v>
      </c>
      <c r="C10" s="53" t="n">
        <f aca="false">IF(COUNTIFS(Clean_Data!$AB$2:$AB$2203,$A10&amp;"|"&amp;Inputs!$B$6)&gt;0,SUMIFS(Clean_Data!$F$2:$F$2203,Clean_Data!$AB$2:$AB$2203,$A10&amp;"|"&amp;Inputs!$B$6),"")</f>
        <v>15.59</v>
      </c>
      <c r="D10" s="54" t="n">
        <f aca="false">IF(AND(ISNUMBER(B10),ISNUMBER(C10)),IF(AND(B10&gt;0,Inputs!$B$6&gt;Inputs!$B$5),(C10/B10)^(1/(Inputs!$B$6-Inputs!$B$5))-1,""),"")</f>
        <v>0.0531756434240853</v>
      </c>
      <c r="E10" s="54" t="n">
        <f aca="false">IF(ISNUMBER(B10),SUMIFS(Clean_Data!$V$2:$V$2203,Clean_Data!$AB$2:$AB$2203,$A10&amp;"|"&amp;Inputs!$B$5),"")</f>
        <v>0.54601226993865</v>
      </c>
      <c r="F10" s="54" t="n">
        <f aca="false">IF(ISNUMBER(C10),SUMIFS(Clean_Data!$V$2:$V$2203,Clean_Data!$AB$2:$AB$2203,$A10&amp;"|"&amp;Inputs!$B$6),"")</f>
        <v>0.737010904425914</v>
      </c>
      <c r="G10" s="55" t="n">
        <f aca="false">IF(AND(ISNUMBER(E10),ISNUMBER(F10)),(F10-E10)*100,"")</f>
        <v>19.0998634487264</v>
      </c>
      <c r="H10" s="54" t="n">
        <f aca="false">IF(ISNUMBER(B10),SUMIFS(Clean_Data!$X$2:$X$2203,Clean_Data!$AB$2:$AB$2203,$A10&amp;"|"&amp;Inputs!$B$5),"")</f>
        <v>0.00204498977505113</v>
      </c>
      <c r="I10" s="54" t="n">
        <f aca="false">IF(ISNUMBER(C10),SUMIFS(Clean_Data!$X$2:$X$2203,Clean_Data!$AB$2:$AB$2203,$A10&amp;"|"&amp;Inputs!$B$6),"")</f>
        <v>0.0282232200128287</v>
      </c>
      <c r="J10" s="55" t="n">
        <f aca="false">IF(AND(ISNUMBER(H10),ISNUMBER(I10)),(I10-H10)*100,"")</f>
        <v>2.61782302377776</v>
      </c>
      <c r="K10" s="54" t="n">
        <f aca="false">IF(ISNUMBER(C10),SUMIFS(Clean_Data!$Y$2:$Y$2203,Clean_Data!$AB$2:$AB$2203,$A10&amp;"|"&amp;Inputs!$B$6),"")</f>
        <v>0</v>
      </c>
      <c r="L10" s="56" t="n">
        <f aca="false">IF(COUNTIFS(Clean_Data!$AB$2:$AB$2203,$A10&amp;"|"&amp;Inputs!$B$6,Clean_Data!$P$2:$P$2203,"&lt;&gt;")&gt;0,SUMIFS(Clean_Data!$P$2:$P$2203,Clean_Data!$AB$2:$AB$2203,$A10&amp;"|"&amp;Inputs!$B$6),"")</f>
        <v>185.4</v>
      </c>
      <c r="M10" s="52" t="str">
        <f aca="false">IF(ISNUMBER(C10),IF(C10&gt;=Inputs!$B$7,"Yes","No"),"No")</f>
        <v>No</v>
      </c>
      <c r="N10" s="57" t="n">
        <f aca="false">IF(M10="Yes",F10+ROW()/10^9,-1)</f>
        <v>-1</v>
      </c>
      <c r="O10" s="57" t="n">
        <f aca="false">IF(AND(M10="Yes",ISNUMBER(J10)),J10+ROW()/10^9,-1000)</f>
        <v>-1000</v>
      </c>
      <c r="P10" s="57" t="n">
        <f aca="false">IF(M10="Yes",K10+ROW()/10^9,-1)</f>
        <v>-1</v>
      </c>
    </row>
    <row r="11" customFormat="false" ht="15" hidden="false" customHeight="false" outlineLevel="0" collapsed="false">
      <c r="A11" s="52" t="s">
        <v>186</v>
      </c>
      <c r="B11" s="53" t="n">
        <f aca="false">IF(COUNTIFS(Clean_Data!$AB$2:$AB$2203,$A11&amp;"|"&amp;Inputs!$B$5)&gt;0,SUMIFS(Clean_Data!$F$2:$F$2203,Clean_Data!$AB$2:$AB$2203,$A11&amp;"|"&amp;Inputs!$B$5),"")</f>
        <v>0.35</v>
      </c>
      <c r="C11" s="53" t="n">
        <f aca="false">IF(COUNTIFS(Clean_Data!$AB$2:$AB$2203,$A11&amp;"|"&amp;Inputs!$B$6)&gt;0,SUMIFS(Clean_Data!$F$2:$F$2203,Clean_Data!$AB$2:$AB$2203,$A11&amp;"|"&amp;Inputs!$B$6),"")</f>
        <v>0.37</v>
      </c>
      <c r="D11" s="54" t="n">
        <f aca="false">IF(AND(ISNUMBER(B11),ISNUMBER(C11)),IF(AND(B11&gt;0,Inputs!$B$6&gt;Inputs!$B$5),(C11/B11)^(1/(Inputs!$B$6-Inputs!$B$5))-1,""),"")</f>
        <v>0.00619352897856929</v>
      </c>
      <c r="E11" s="54" t="n">
        <f aca="false">IF(ISNUMBER(B11),SUMIFS(Clean_Data!$V$2:$V$2203,Clean_Data!$AB$2:$AB$2203,$A11&amp;"|"&amp;Inputs!$B$5),"")</f>
        <v>0.0285714285714286</v>
      </c>
      <c r="F11" s="54" t="n">
        <f aca="false">IF(ISNUMBER(C11),SUMIFS(Clean_Data!$V$2:$V$2203,Clean_Data!$AB$2:$AB$2203,$A11&amp;"|"&amp;Inputs!$B$6),"")</f>
        <v>0.0810810810810811</v>
      </c>
      <c r="G11" s="55" t="n">
        <f aca="false">IF(AND(ISNUMBER(E11),ISNUMBER(F11)),(F11-E11)*100,"")</f>
        <v>5.25096525096525</v>
      </c>
      <c r="H11" s="54" t="n">
        <f aca="false">IF(ISNUMBER(B11),SUMIFS(Clean_Data!$X$2:$X$2203,Clean_Data!$AB$2:$AB$2203,$A11&amp;"|"&amp;Inputs!$B$5),"")</f>
        <v>0.0285714285714286</v>
      </c>
      <c r="I11" s="54" t="n">
        <f aca="false">IF(ISNUMBER(C11),SUMIFS(Clean_Data!$X$2:$X$2203,Clean_Data!$AB$2:$AB$2203,$A11&amp;"|"&amp;Inputs!$B$6),"")</f>
        <v>0.0810810810810811</v>
      </c>
      <c r="J11" s="55" t="n">
        <f aca="false">IF(AND(ISNUMBER(H11),ISNUMBER(I11)),(I11-H11)*100,"")</f>
        <v>5.25096525096525</v>
      </c>
      <c r="K11" s="54" t="n">
        <f aca="false">IF(ISNUMBER(C11),SUMIFS(Clean_Data!$Y$2:$Y$2203,Clean_Data!$AB$2:$AB$2203,$A11&amp;"|"&amp;Inputs!$B$6),"")</f>
        <v>0</v>
      </c>
      <c r="L11" s="56" t="n">
        <f aca="false">IF(COUNTIFS(Clean_Data!$AB$2:$AB$2203,$A11&amp;"|"&amp;Inputs!$B$6,Clean_Data!$P$2:$P$2203,"&lt;&gt;")&gt;0,SUMIFS(Clean_Data!$P$2:$P$2203,Clean_Data!$AB$2:$AB$2203,$A11&amp;"|"&amp;Inputs!$B$6),"")</f>
        <v>594.6</v>
      </c>
      <c r="M11" s="52" t="str">
        <f aca="false">IF(ISNUMBER(C11),IF(C11&gt;=Inputs!$B$7,"Yes","No"),"No")</f>
        <v>No</v>
      </c>
      <c r="N11" s="57" t="n">
        <f aca="false">IF(M11="Yes",F11+ROW()/10^9,-1)</f>
        <v>-1</v>
      </c>
      <c r="O11" s="57" t="n">
        <f aca="false">IF(AND(M11="Yes",ISNUMBER(J11)),J11+ROW()/10^9,-1000)</f>
        <v>-1000</v>
      </c>
      <c r="P11" s="57" t="n">
        <f aca="false">IF(M11="Yes",K11+ROW()/10^9,-1)</f>
        <v>-1</v>
      </c>
    </row>
    <row r="12" customFormat="false" ht="15" hidden="false" customHeight="false" outlineLevel="0" collapsed="false">
      <c r="A12" s="52" t="s">
        <v>187</v>
      </c>
      <c r="B12" s="53" t="n">
        <f aca="false">IF(COUNTIFS(Clean_Data!$AB$2:$AB$2203,$A12&amp;"|"&amp;Inputs!$B$5)&gt;0,SUMIFS(Clean_Data!$F$2:$F$2203,Clean_Data!$AB$2:$AB$2203,$A12&amp;"|"&amp;Inputs!$B$5),"")</f>
        <v>145.42</v>
      </c>
      <c r="C12" s="53" t="n">
        <f aca="false">IF(COUNTIFS(Clean_Data!$AB$2:$AB$2203,$A12&amp;"|"&amp;Inputs!$B$6)&gt;0,SUMIFS(Clean_Data!$F$2:$F$2203,Clean_Data!$AB$2:$AB$2203,$A12&amp;"|"&amp;Inputs!$B$6),"")</f>
        <v>152.51</v>
      </c>
      <c r="D12" s="54" t="n">
        <f aca="false">IF(AND(ISNUMBER(B12),ISNUMBER(C12)),IF(AND(B12&gt;0,Inputs!$B$6&gt;Inputs!$B$5),(C12/B12)^(1/(Inputs!$B$6-Inputs!$B$5))-1,""),"")</f>
        <v>0.00530335330471887</v>
      </c>
      <c r="E12" s="54" t="n">
        <f aca="false">IF(ISNUMBER(B12),SUMIFS(Clean_Data!$V$2:$V$2203,Clean_Data!$AB$2:$AB$2203,$A12&amp;"|"&amp;Inputs!$B$5),"")</f>
        <v>0.236762481089259</v>
      </c>
      <c r="F12" s="54" t="n">
        <f aca="false">IF(ISNUMBER(C12),SUMIFS(Clean_Data!$V$2:$V$2203,Clean_Data!$AB$2:$AB$2203,$A12&amp;"|"&amp;Inputs!$B$6),"")</f>
        <v>0.343846305160317</v>
      </c>
      <c r="G12" s="55" t="n">
        <f aca="false">IF(AND(ISNUMBER(E12),ISNUMBER(F12)),(F12-E12)*100,"")</f>
        <v>10.7083824071059</v>
      </c>
      <c r="H12" s="54" t="n">
        <f aca="false">IF(ISNUMBER(B12),SUMIFS(Clean_Data!$X$2:$X$2203,Clean_Data!$AB$2:$AB$2203,$A12&amp;"|"&amp;Inputs!$B$5),"")</f>
        <v>0.00412597992023106</v>
      </c>
      <c r="I12" s="54" t="n">
        <f aca="false">IF(ISNUMBER(C12),SUMIFS(Clean_Data!$X$2:$X$2203,Clean_Data!$AB$2:$AB$2203,$A12&amp;"|"&amp;Inputs!$B$6),"")</f>
        <v>0.132056914300702</v>
      </c>
      <c r="J12" s="55" t="n">
        <f aca="false">IF(AND(ISNUMBER(H12),ISNUMBER(I12)),(I12-H12)*100,"")</f>
        <v>12.7930934380471</v>
      </c>
      <c r="K12" s="54" t="n">
        <f aca="false">IF(ISNUMBER(C12),SUMIFS(Clean_Data!$Y$2:$Y$2203,Clean_Data!$AB$2:$AB$2203,$A12&amp;"|"&amp;Inputs!$B$6),"")</f>
        <v>0.0085896006819225</v>
      </c>
      <c r="L12" s="56" t="n">
        <f aca="false">IF(COUNTIFS(Clean_Data!$AB$2:$AB$2203,$A12&amp;"|"&amp;Inputs!$B$6,Clean_Data!$P$2:$P$2203,"&lt;&gt;")&gt;0,SUMIFS(Clean_Data!$P$2:$P$2203,Clean_Data!$AB$2:$AB$2203,$A12&amp;"|"&amp;Inputs!$B$6),"")</f>
        <v>344.8</v>
      </c>
      <c r="M12" s="52" t="str">
        <f aca="false">IF(ISNUMBER(C12),IF(C12&gt;=Inputs!$B$7,"Yes","No"),"No")</f>
        <v>Yes</v>
      </c>
      <c r="N12" s="57" t="n">
        <f aca="false">IF(M12="Yes",F12+ROW()/10^9,-1)</f>
        <v>0.343846317160317</v>
      </c>
      <c r="O12" s="57" t="n">
        <f aca="false">IF(AND(M12="Yes",ISNUMBER(J12)),J12+ROW()/10^9,-1000)</f>
        <v>12.7930934500471</v>
      </c>
      <c r="P12" s="57" t="n">
        <f aca="false">IF(M12="Yes",K12+ROW()/10^9,-1)</f>
        <v>0.0085896126819225</v>
      </c>
    </row>
    <row r="13" customFormat="false" ht="15" hidden="false" customHeight="false" outlineLevel="0" collapsed="false">
      <c r="A13" s="52" t="s">
        <v>188</v>
      </c>
      <c r="B13" s="53" t="n">
        <f aca="false">IF(COUNTIFS(Clean_Data!$AB$2:$AB$2203,$A13&amp;"|"&amp;Inputs!$B$5)&gt;0,SUMIFS(Clean_Data!$F$2:$F$2203,Clean_Data!$AB$2:$AB$2203,$A13&amp;"|"&amp;Inputs!$B$5),"")</f>
        <v>7.55</v>
      </c>
      <c r="C13" s="53" t="n">
        <f aca="false">IF(COUNTIFS(Clean_Data!$AB$2:$AB$2203,$A13&amp;"|"&amp;Inputs!$B$6)&gt;0,SUMIFS(Clean_Data!$F$2:$F$2203,Clean_Data!$AB$2:$AB$2203,$A13&amp;"|"&amp;Inputs!$B$6),"")</f>
        <v>9.03</v>
      </c>
      <c r="D13" s="54" t="n">
        <f aca="false">IF(AND(ISNUMBER(B13),ISNUMBER(C13)),IF(AND(B13&gt;0,Inputs!$B$6&gt;Inputs!$B$5),(C13/B13)^(1/(Inputs!$B$6-Inputs!$B$5))-1,""),"")</f>
        <v>0.0200885351390976</v>
      </c>
      <c r="E13" s="54" t="n">
        <f aca="false">IF(ISNUMBER(B13),SUMIFS(Clean_Data!$V$2:$V$2203,Clean_Data!$AB$2:$AB$2203,$A13&amp;"|"&amp;Inputs!$B$5),"")</f>
        <v>0.288741721854305</v>
      </c>
      <c r="F13" s="54" t="n">
        <f aca="false">IF(ISNUMBER(C13),SUMIFS(Clean_Data!$V$2:$V$2203,Clean_Data!$AB$2:$AB$2203,$A13&amp;"|"&amp;Inputs!$B$6),"")</f>
        <v>0.318936877076412</v>
      </c>
      <c r="G13" s="55" t="n">
        <f aca="false">IF(AND(ISNUMBER(E13),ISNUMBER(F13)),(F13-E13)*100,"")</f>
        <v>3.01951552221073</v>
      </c>
      <c r="H13" s="54" t="n">
        <f aca="false">IF(ISNUMBER(B13),SUMIFS(Clean_Data!$X$2:$X$2203,Clean_Data!$AB$2:$AB$2203,$A13&amp;"|"&amp;Inputs!$B$5),"")</f>
        <v>0</v>
      </c>
      <c r="I13" s="54" t="n">
        <f aca="false">IF(ISNUMBER(C13),SUMIFS(Clean_Data!$X$2:$X$2203,Clean_Data!$AB$2:$AB$2203,$A13&amp;"|"&amp;Inputs!$B$6),"")</f>
        <v>0.097452934662237</v>
      </c>
      <c r="J13" s="55" t="n">
        <f aca="false">IF(AND(ISNUMBER(H13),ISNUMBER(I13)),(I13-H13)*100,"")</f>
        <v>9.7452934662237</v>
      </c>
      <c r="K13" s="54" t="n">
        <f aca="false">IF(ISNUMBER(C13),SUMIFS(Clean_Data!$Y$2:$Y$2203,Clean_Data!$AB$2:$AB$2203,$A13&amp;"|"&amp;Inputs!$B$6),"")</f>
        <v>0</v>
      </c>
      <c r="L13" s="56" t="n">
        <f aca="false">IF(COUNTIFS(Clean_Data!$AB$2:$AB$2203,$A13&amp;"|"&amp;Inputs!$B$6,Clean_Data!$P$2:$P$2203,"&lt;&gt;")&gt;0,SUMIFS(Clean_Data!$P$2:$P$2203,Clean_Data!$AB$2:$AB$2203,$A13&amp;"|"&amp;Inputs!$B$6),"")</f>
        <v>240.3</v>
      </c>
      <c r="M13" s="52" t="str">
        <f aca="false">IF(ISNUMBER(C13),IF(C13&gt;=Inputs!$B$7,"Yes","No"),"No")</f>
        <v>No</v>
      </c>
      <c r="N13" s="57" t="n">
        <f aca="false">IF(M13="Yes",F13+ROW()/10^9,-1)</f>
        <v>-1</v>
      </c>
      <c r="O13" s="57" t="n">
        <f aca="false">IF(AND(M13="Yes",ISNUMBER(J13)),J13+ROW()/10^9,-1000)</f>
        <v>-1000</v>
      </c>
      <c r="P13" s="57" t="n">
        <f aca="false">IF(M13="Yes",K13+ROW()/10^9,-1)</f>
        <v>-1</v>
      </c>
    </row>
    <row r="14" customFormat="false" ht="15" hidden="false" customHeight="false" outlineLevel="0" collapsed="false">
      <c r="A14" s="52" t="s">
        <v>189</v>
      </c>
      <c r="B14" s="53" t="n">
        <f aca="false">IF(COUNTIFS(Clean_Data!$AB$2:$AB$2203,$A14&amp;"|"&amp;Inputs!$B$5)&gt;0,SUMIFS(Clean_Data!$F$2:$F$2203,Clean_Data!$AB$2:$AB$2203,$A14&amp;"|"&amp;Inputs!$B$5),"")</f>
        <v>0.97</v>
      </c>
      <c r="C14" s="53" t="n">
        <f aca="false">IF(COUNTIFS(Clean_Data!$AB$2:$AB$2203,$A14&amp;"|"&amp;Inputs!$B$6)&gt;0,SUMIFS(Clean_Data!$F$2:$F$2203,Clean_Data!$AB$2:$AB$2203,$A14&amp;"|"&amp;Inputs!$B$6),"")</f>
        <v>1</v>
      </c>
      <c r="D14" s="54" t="n">
        <f aca="false">IF(AND(ISNUMBER(B14),ISNUMBER(C14)),IF(AND(B14&gt;0,Inputs!$B$6&gt;Inputs!$B$5),(C14/B14)^(1/(Inputs!$B$6-Inputs!$B$5))-1,""),"")</f>
        <v>0.00339008978739952</v>
      </c>
      <c r="E14" s="54" t="n">
        <f aca="false">IF(ISNUMBER(B14),SUMIFS(Clean_Data!$V$2:$V$2203,Clean_Data!$AB$2:$AB$2203,$A14&amp;"|"&amp;Inputs!$B$5),"")</f>
        <v>0.185567010309278</v>
      </c>
      <c r="F14" s="54" t="n">
        <f aca="false">IF(ISNUMBER(C14),SUMIFS(Clean_Data!$V$2:$V$2203,Clean_Data!$AB$2:$AB$2203,$A14&amp;"|"&amp;Inputs!$B$6),"")</f>
        <v>0.17</v>
      </c>
      <c r="G14" s="55" t="n">
        <f aca="false">IF(AND(ISNUMBER(E14),ISNUMBER(F14)),(F14-E14)*100,"")</f>
        <v>-1.55670103092784</v>
      </c>
      <c r="H14" s="54" t="n">
        <f aca="false">IF(ISNUMBER(B14),SUMIFS(Clean_Data!$X$2:$X$2203,Clean_Data!$AB$2:$AB$2203,$A14&amp;"|"&amp;Inputs!$B$5),"")</f>
        <v>0.185567010309278</v>
      </c>
      <c r="I14" s="54" t="n">
        <f aca="false">IF(ISNUMBER(C14),SUMIFS(Clean_Data!$X$2:$X$2203,Clean_Data!$AB$2:$AB$2203,$A14&amp;"|"&amp;Inputs!$B$6),"")</f>
        <v>0.17</v>
      </c>
      <c r="J14" s="55" t="n">
        <f aca="false">IF(AND(ISNUMBER(H14),ISNUMBER(I14)),(I14-H14)*100,"")</f>
        <v>-1.55670103092784</v>
      </c>
      <c r="K14" s="54" t="n">
        <f aca="false">IF(ISNUMBER(C14),SUMIFS(Clean_Data!$Y$2:$Y$2203,Clean_Data!$AB$2:$AB$2203,$A14&amp;"|"&amp;Inputs!$B$6),"")</f>
        <v>0</v>
      </c>
      <c r="L14" s="56" t="n">
        <f aca="false">IF(COUNTIFS(Clean_Data!$AB$2:$AB$2203,$A14&amp;"|"&amp;Inputs!$B$6,Clean_Data!$P$2:$P$2203,"&lt;&gt;")&gt;0,SUMIFS(Clean_Data!$P$2:$P$2203,Clean_Data!$AB$2:$AB$2203,$A14&amp;"|"&amp;Inputs!$B$6),"")</f>
        <v>550</v>
      </c>
      <c r="M14" s="52" t="str">
        <f aca="false">IF(ISNUMBER(C14),IF(C14&gt;=Inputs!$B$7,"Yes","No"),"No")</f>
        <v>No</v>
      </c>
      <c r="N14" s="57" t="n">
        <f aca="false">IF(M14="Yes",F14+ROW()/10^9,-1)</f>
        <v>-1</v>
      </c>
      <c r="O14" s="57" t="n">
        <f aca="false">IF(AND(M14="Yes",ISNUMBER(J14)),J14+ROW()/10^9,-1000)</f>
        <v>-1000</v>
      </c>
      <c r="P14" s="57" t="n">
        <f aca="false">IF(M14="Yes",K14+ROW()/10^9,-1)</f>
        <v>-1</v>
      </c>
    </row>
    <row r="15" customFormat="false" ht="15" hidden="false" customHeight="false" outlineLevel="0" collapsed="false">
      <c r="A15" s="52" t="s">
        <v>190</v>
      </c>
      <c r="B15" s="53" t="n">
        <f aca="false">IF(COUNTIFS(Clean_Data!$AB$2:$AB$2203,$A15&amp;"|"&amp;Inputs!$B$5)&gt;0,SUMIFS(Clean_Data!$F$2:$F$2203,Clean_Data!$AB$2:$AB$2203,$A15&amp;"|"&amp;Inputs!$B$5),"")</f>
        <v>253.99</v>
      </c>
      <c r="C15" s="53" t="n">
        <f aca="false">IF(COUNTIFS(Clean_Data!$AB$2:$AB$2203,$A15&amp;"|"&amp;Inputs!$B$6)&gt;0,SUMIFS(Clean_Data!$F$2:$F$2203,Clean_Data!$AB$2:$AB$2203,$A15&amp;"|"&amp;Inputs!$B$6),"")</f>
        <v>281.64</v>
      </c>
      <c r="D15" s="54" t="n">
        <f aca="false">IF(AND(ISNUMBER(B15),ISNUMBER(C15)),IF(AND(B15&gt;0,Inputs!$B$6&gt;Inputs!$B$5),(C15/B15)^(1/(Inputs!$B$6-Inputs!$B$5))-1,""),"")</f>
        <v>0.0115478074131934</v>
      </c>
      <c r="E15" s="54" t="n">
        <f aca="false">IF(ISNUMBER(B15),SUMIFS(Clean_Data!$V$2:$V$2203,Clean_Data!$AB$2:$AB$2203,$A15&amp;"|"&amp;Inputs!$B$5),"")</f>
        <v>0.140950431119335</v>
      </c>
      <c r="F15" s="54" t="n">
        <f aca="false">IF(ISNUMBER(C15),SUMIFS(Clean_Data!$V$2:$V$2203,Clean_Data!$AB$2:$AB$2203,$A15&amp;"|"&amp;Inputs!$B$6),"")</f>
        <v>0.3507669365147</v>
      </c>
      <c r="G15" s="55" t="n">
        <f aca="false">IF(AND(ISNUMBER(E15),ISNUMBER(F15)),(F15-E15)*100,"")</f>
        <v>20.9816505395364</v>
      </c>
      <c r="H15" s="54" t="n">
        <f aca="false">IF(ISNUMBER(B15),SUMIFS(Clean_Data!$X$2:$X$2203,Clean_Data!$AB$2:$AB$2203,$A15&amp;"|"&amp;Inputs!$B$5),"")</f>
        <v>0.0709870467341234</v>
      </c>
      <c r="I15" s="54" t="n">
        <f aca="false">IF(ISNUMBER(C15),SUMIFS(Clean_Data!$X$2:$X$2203,Clean_Data!$AB$2:$AB$2203,$A15&amp;"|"&amp;Inputs!$B$6),"")</f>
        <v>0.294524925436728</v>
      </c>
      <c r="J15" s="55" t="n">
        <f aca="false">IF(AND(ISNUMBER(H15),ISNUMBER(I15)),(I15-H15)*100,"")</f>
        <v>22.3537878702604</v>
      </c>
      <c r="K15" s="54" t="n">
        <f aca="false">IF(ISNUMBER(C15),SUMIFS(Clean_Data!$Y$2:$Y$2203,Clean_Data!$AB$2:$AB$2203,$A15&amp;"|"&amp;Inputs!$B$6),"")</f>
        <v>0.452101974151399</v>
      </c>
      <c r="L15" s="56" t="n">
        <f aca="false">IF(COUNTIFS(Clean_Data!$AB$2:$AB$2203,$A15&amp;"|"&amp;Inputs!$B$6,Clean_Data!$P$2:$P$2203,"&lt;&gt;")&gt;0,SUMIFS(Clean_Data!$P$2:$P$2203,Clean_Data!$AB$2:$AB$2203,$A15&amp;"|"&amp;Inputs!$B$6),"")</f>
        <v>553.8</v>
      </c>
      <c r="M15" s="52" t="str">
        <f aca="false">IF(ISNUMBER(C15),IF(C15&gt;=Inputs!$B$7,"Yes","No"),"No")</f>
        <v>Yes</v>
      </c>
      <c r="N15" s="57" t="n">
        <f aca="false">IF(M15="Yes",F15+ROW()/10^9,-1)</f>
        <v>0.3507669515147</v>
      </c>
      <c r="O15" s="57" t="n">
        <f aca="false">IF(AND(M15="Yes",ISNUMBER(J15)),J15+ROW()/10^9,-1000)</f>
        <v>22.3537878852604</v>
      </c>
      <c r="P15" s="57" t="n">
        <f aca="false">IF(M15="Yes",K15+ROW()/10^9,-1)</f>
        <v>0.452101989151399</v>
      </c>
    </row>
    <row r="16" customFormat="false" ht="15" hidden="false" customHeight="false" outlineLevel="0" collapsed="false">
      <c r="A16" s="52" t="s">
        <v>191</v>
      </c>
      <c r="B16" s="53" t="n">
        <f aca="false">IF(COUNTIFS(Clean_Data!$AB$2:$AB$2203,$A16&amp;"|"&amp;Inputs!$B$5)&gt;0,SUMIFS(Clean_Data!$F$2:$F$2203,Clean_Data!$AB$2:$AB$2203,$A16&amp;"|"&amp;Inputs!$B$5),"")</f>
        <v>61.78</v>
      </c>
      <c r="C16" s="53" t="n">
        <f aca="false">IF(COUNTIFS(Clean_Data!$AB$2:$AB$2203,$A16&amp;"|"&amp;Inputs!$B$6)&gt;0,SUMIFS(Clean_Data!$F$2:$F$2203,Clean_Data!$AB$2:$AB$2203,$A16&amp;"|"&amp;Inputs!$B$6),"")</f>
        <v>78.47</v>
      </c>
      <c r="D16" s="54" t="n">
        <f aca="false">IF(AND(ISNUMBER(B16),ISNUMBER(C16)),IF(AND(B16&gt;0,Inputs!$B$6&gt;Inputs!$B$5),(C16/B16)^(1/(Inputs!$B$6-Inputs!$B$5))-1,""),"")</f>
        <v>0.0269268939104195</v>
      </c>
      <c r="E16" s="54" t="n">
        <f aca="false">IF(ISNUMBER(B16),SUMIFS(Clean_Data!$V$2:$V$2203,Clean_Data!$AB$2:$AB$2203,$A16&amp;"|"&amp;Inputs!$B$5),"")</f>
        <v>0.770314017481386</v>
      </c>
      <c r="F16" s="54" t="n">
        <f aca="false">IF(ISNUMBER(C16),SUMIFS(Clean_Data!$V$2:$V$2203,Clean_Data!$AB$2:$AB$2203,$A16&amp;"|"&amp;Inputs!$B$6),"")</f>
        <v>0.862240346629285</v>
      </c>
      <c r="G16" s="55" t="n">
        <f aca="false">IF(AND(ISNUMBER(E16),ISNUMBER(F16)),(F16-E16)*100,"")</f>
        <v>9.19263291478996</v>
      </c>
      <c r="H16" s="54" t="n">
        <f aca="false">IF(ISNUMBER(B16),SUMIFS(Clean_Data!$X$2:$X$2203,Clean_Data!$AB$2:$AB$2203,$A16&amp;"|"&amp;Inputs!$B$5),"")</f>
        <v>0.0935577856911622</v>
      </c>
      <c r="I16" s="54" t="n">
        <f aca="false">IF(ISNUMBER(C16),SUMIFS(Clean_Data!$X$2:$X$2203,Clean_Data!$AB$2:$AB$2203,$A16&amp;"|"&amp;Inputs!$B$6),"")</f>
        <v>0.220211545813687</v>
      </c>
      <c r="J16" s="55" t="n">
        <f aca="false">IF(AND(ISNUMBER(H16),ISNUMBER(I16)),(I16-H16)*100,"")</f>
        <v>12.6653760122525</v>
      </c>
      <c r="K16" s="54" t="n">
        <f aca="false">IF(ISNUMBER(C16),SUMIFS(Clean_Data!$Y$2:$Y$2203,Clean_Data!$AB$2:$AB$2203,$A16&amp;"|"&amp;Inputs!$B$6),"")</f>
        <v>0</v>
      </c>
      <c r="L16" s="56" t="n">
        <f aca="false">IF(COUNTIFS(Clean_Data!$AB$2:$AB$2203,$A16&amp;"|"&amp;Inputs!$B$6,Clean_Data!$P$2:$P$2203,"&lt;&gt;")&gt;0,SUMIFS(Clean_Data!$P$2:$P$2203,Clean_Data!$AB$2:$AB$2203,$A16&amp;"|"&amp;Inputs!$B$6),"")</f>
        <v>103.5</v>
      </c>
      <c r="M16" s="52" t="str">
        <f aca="false">IF(ISNUMBER(C16),IF(C16&gt;=Inputs!$B$7,"Yes","No"),"No")</f>
        <v>Yes</v>
      </c>
      <c r="N16" s="57" t="n">
        <f aca="false">IF(M16="Yes",F16+ROW()/10^9,-1)</f>
        <v>0.862240362629285</v>
      </c>
      <c r="O16" s="57" t="n">
        <f aca="false">IF(AND(M16="Yes",ISNUMBER(J16)),J16+ROW()/10^9,-1000)</f>
        <v>12.6653760282525</v>
      </c>
      <c r="P16" s="57" t="n">
        <f aca="false">IF(M16="Yes",K16+ROW()/10^9,-1)</f>
        <v>1.6E-008</v>
      </c>
    </row>
    <row r="17" customFormat="false" ht="15" hidden="false" customHeight="false" outlineLevel="0" collapsed="false">
      <c r="A17" s="52" t="s">
        <v>192</v>
      </c>
      <c r="B17" s="53" t="n">
        <f aca="false">IF(COUNTIFS(Clean_Data!$AB$2:$AB$2203,$A17&amp;"|"&amp;Inputs!$B$5)&gt;0,SUMIFS(Clean_Data!$F$2:$F$2203,Clean_Data!$AB$2:$AB$2203,$A17&amp;"|"&amp;Inputs!$B$5),"")</f>
        <v>24.57</v>
      </c>
      <c r="C17" s="53" t="n">
        <f aca="false">IF(COUNTIFS(Clean_Data!$AB$2:$AB$2203,$A17&amp;"|"&amp;Inputs!$B$6)&gt;0,SUMIFS(Clean_Data!$F$2:$F$2203,Clean_Data!$AB$2:$AB$2203,$A17&amp;"|"&amp;Inputs!$B$6),"")</f>
        <v>27.84</v>
      </c>
      <c r="D17" s="54" t="n">
        <f aca="false">IF(AND(ISNUMBER(B17),ISNUMBER(C17)),IF(AND(B17&gt;0,Inputs!$B$6&gt;Inputs!$B$5),(C17/B17)^(1/(Inputs!$B$6-Inputs!$B$5))-1,""),"")</f>
        <v>0.0139798894712029</v>
      </c>
      <c r="E17" s="54" t="n">
        <f aca="false">IF(ISNUMBER(B17),SUMIFS(Clean_Data!$V$2:$V$2203,Clean_Data!$AB$2:$AB$2203,$A17&amp;"|"&amp;Inputs!$B$5),"")</f>
        <v>0.0695970695970696</v>
      </c>
      <c r="F17" s="54" t="n">
        <f aca="false">IF(ISNUMBER(C17),SUMIFS(Clean_Data!$V$2:$V$2203,Clean_Data!$AB$2:$AB$2203,$A17&amp;"|"&amp;Inputs!$B$6),"")</f>
        <v>0.117456896551724</v>
      </c>
      <c r="G17" s="55" t="n">
        <f aca="false">IF(AND(ISNUMBER(E17),ISNUMBER(F17)),(F17-E17)*100,"")</f>
        <v>4.78598269546546</v>
      </c>
      <c r="H17" s="54" t="n">
        <f aca="false">IF(ISNUMBER(B17),SUMIFS(Clean_Data!$X$2:$X$2203,Clean_Data!$AB$2:$AB$2203,$A17&amp;"|"&amp;Inputs!$B$5),"")</f>
        <v>0</v>
      </c>
      <c r="I17" s="54" t="n">
        <f aca="false">IF(ISNUMBER(C17),SUMIFS(Clean_Data!$X$2:$X$2203,Clean_Data!$AB$2:$AB$2203,$A17&amp;"|"&amp;Inputs!$B$6),"")</f>
        <v>0.00610632183908046</v>
      </c>
      <c r="J17" s="55" t="n">
        <f aca="false">IF(AND(ISNUMBER(H17),ISNUMBER(I17)),(I17-H17)*100,"")</f>
        <v>0.610632183908046</v>
      </c>
      <c r="K17" s="54" t="n">
        <f aca="false">IF(ISNUMBER(C17),SUMIFS(Clean_Data!$Y$2:$Y$2203,Clean_Data!$AB$2:$AB$2203,$A17&amp;"|"&amp;Inputs!$B$6),"")</f>
        <v>0</v>
      </c>
      <c r="L17" s="56" t="n">
        <f aca="false">IF(COUNTIFS(Clean_Data!$AB$2:$AB$2203,$A17&amp;"|"&amp;Inputs!$B$6,Clean_Data!$P$2:$P$2203,"&lt;&gt;")&gt;0,SUMIFS(Clean_Data!$P$2:$P$2203,Clean_Data!$AB$2:$AB$2203,$A17&amp;"|"&amp;Inputs!$B$6),"")</f>
        <v>634.3</v>
      </c>
      <c r="M17" s="52" t="str">
        <f aca="false">IF(ISNUMBER(C17),IF(C17&gt;=Inputs!$B$7,"Yes","No"),"No")</f>
        <v>Yes</v>
      </c>
      <c r="N17" s="57" t="n">
        <f aca="false">IF(M17="Yes",F17+ROW()/10^9,-1)</f>
        <v>0.117456913551724</v>
      </c>
      <c r="O17" s="57" t="n">
        <f aca="false">IF(AND(M17="Yes",ISNUMBER(J17)),J17+ROW()/10^9,-1000)</f>
        <v>0.610632200908046</v>
      </c>
      <c r="P17" s="57" t="n">
        <f aca="false">IF(M17="Yes",K17+ROW()/10^9,-1)</f>
        <v>1.7E-008</v>
      </c>
    </row>
    <row r="18" customFormat="false" ht="15" hidden="false" customHeight="false" outlineLevel="0" collapsed="false">
      <c r="A18" s="52" t="s">
        <v>193</v>
      </c>
      <c r="B18" s="53" t="n">
        <f aca="false">IF(COUNTIFS(Clean_Data!$AB$2:$AB$2203,$A18&amp;"|"&amp;Inputs!$B$5)&gt;0,SUMIFS(Clean_Data!$F$2:$F$2203,Clean_Data!$AB$2:$AB$2203,$A18&amp;"|"&amp;Inputs!$B$5),"")</f>
        <v>2</v>
      </c>
      <c r="C18" s="53" t="n">
        <f aca="false">IF(COUNTIFS(Clean_Data!$AB$2:$AB$2203,$A18&amp;"|"&amp;Inputs!$B$6)&gt;0,SUMIFS(Clean_Data!$F$2:$F$2203,Clean_Data!$AB$2:$AB$2203,$A18&amp;"|"&amp;Inputs!$B$6),"")</f>
        <v>2.25</v>
      </c>
      <c r="D18" s="54" t="n">
        <f aca="false">IF(AND(ISNUMBER(B18),ISNUMBER(C18)),IF(AND(B18&gt;0,Inputs!$B$6&gt;Inputs!$B$5),(C18/B18)^(1/(Inputs!$B$6-Inputs!$B$5))-1,""),"")</f>
        <v>0.0131730135914099</v>
      </c>
      <c r="E18" s="54" t="n">
        <f aca="false">IF(ISNUMBER(B18),SUMIFS(Clean_Data!$V$2:$V$2203,Clean_Data!$AB$2:$AB$2203,$A18&amp;"|"&amp;Inputs!$B$5),"")</f>
        <v>0</v>
      </c>
      <c r="F18" s="54" t="n">
        <f aca="false">IF(ISNUMBER(C18),SUMIFS(Clean_Data!$V$2:$V$2203,Clean_Data!$AB$2:$AB$2203,$A18&amp;"|"&amp;Inputs!$B$6),"")</f>
        <v>0.00888888888888889</v>
      </c>
      <c r="G18" s="55" t="n">
        <f aca="false">IF(AND(ISNUMBER(E18),ISNUMBER(F18)),(F18-E18)*100,"")</f>
        <v>0.888888888888889</v>
      </c>
      <c r="H18" s="54" t="n">
        <f aca="false">IF(ISNUMBER(B18),SUMIFS(Clean_Data!$X$2:$X$2203,Clean_Data!$AB$2:$AB$2203,$A18&amp;"|"&amp;Inputs!$B$5),"")</f>
        <v>0</v>
      </c>
      <c r="I18" s="54" t="n">
        <f aca="false">IF(ISNUMBER(C18),SUMIFS(Clean_Data!$X$2:$X$2203,Clean_Data!$AB$2:$AB$2203,$A18&amp;"|"&amp;Inputs!$B$6),"")</f>
        <v>0.00888888888888889</v>
      </c>
      <c r="J18" s="55" t="n">
        <f aca="false">IF(AND(ISNUMBER(H18),ISNUMBER(I18)),(I18-H18)*100,"")</f>
        <v>0.888888888888889</v>
      </c>
      <c r="K18" s="54" t="n">
        <f aca="false">IF(ISNUMBER(C18),SUMIFS(Clean_Data!$Y$2:$Y$2203,Clean_Data!$AB$2:$AB$2203,$A18&amp;"|"&amp;Inputs!$B$6),"")</f>
        <v>0</v>
      </c>
      <c r="L18" s="56" t="n">
        <f aca="false">IF(COUNTIFS(Clean_Data!$AB$2:$AB$2203,$A18&amp;"|"&amp;Inputs!$B$6,Clean_Data!$P$2:$P$2203,"&lt;&gt;")&gt;0,SUMIFS(Clean_Data!$P$2:$P$2203,Clean_Data!$AB$2:$AB$2203,$A18&amp;"|"&amp;Inputs!$B$6),"")</f>
        <v>653.3</v>
      </c>
      <c r="M18" s="52" t="str">
        <f aca="false">IF(ISNUMBER(C18),IF(C18&gt;=Inputs!$B$7,"Yes","No"),"No")</f>
        <v>No</v>
      </c>
      <c r="N18" s="57" t="n">
        <f aca="false">IF(M18="Yes",F18+ROW()/10^9,-1)</f>
        <v>-1</v>
      </c>
      <c r="O18" s="57" t="n">
        <f aca="false">IF(AND(M18="Yes",ISNUMBER(J18)),J18+ROW()/10^9,-1000)</f>
        <v>-1000</v>
      </c>
      <c r="P18" s="57" t="n">
        <f aca="false">IF(M18="Yes",K18+ROW()/10^9,-1)</f>
        <v>-1</v>
      </c>
    </row>
    <row r="19" customFormat="false" ht="15" hidden="false" customHeight="false" outlineLevel="0" collapsed="false">
      <c r="A19" s="52" t="s">
        <v>194</v>
      </c>
      <c r="B19" s="53" t="n">
        <f aca="false">IF(COUNTIFS(Clean_Data!$AB$2:$AB$2203,$A19&amp;"|"&amp;Inputs!$B$5)&gt;0,SUMIFS(Clean_Data!$F$2:$F$2203,Clean_Data!$AB$2:$AB$2203,$A19&amp;"|"&amp;Inputs!$B$5),"")</f>
        <v>28.49</v>
      </c>
      <c r="C19" s="53" t="n">
        <f aca="false">IF(COUNTIFS(Clean_Data!$AB$2:$AB$2203,$A19&amp;"|"&amp;Inputs!$B$6)&gt;0,SUMIFS(Clean_Data!$F$2:$F$2203,Clean_Data!$AB$2:$AB$2203,$A19&amp;"|"&amp;Inputs!$B$6),"")</f>
        <v>37.95</v>
      </c>
      <c r="D19" s="54" t="n">
        <f aca="false">IF(AND(ISNUMBER(B19),ISNUMBER(C19)),IF(AND(B19&gt;0,Inputs!$B$6&gt;Inputs!$B$5),(C19/B19)^(1/(Inputs!$B$6-Inputs!$B$5))-1,""),"")</f>
        <v>0.0323702507410106</v>
      </c>
      <c r="E19" s="54" t="n">
        <f aca="false">IF(ISNUMBER(B19),SUMIFS(Clean_Data!$V$2:$V$2203,Clean_Data!$AB$2:$AB$2203,$A19&amp;"|"&amp;Inputs!$B$5),"")</f>
        <v>0.000351000351000351</v>
      </c>
      <c r="F19" s="54" t="n">
        <f aca="false">IF(ISNUMBER(C19),SUMIFS(Clean_Data!$V$2:$V$2203,Clean_Data!$AB$2:$AB$2203,$A19&amp;"|"&amp;Inputs!$B$6),"")</f>
        <v>0.00263504611330698</v>
      </c>
      <c r="G19" s="55" t="n">
        <f aca="false">IF(AND(ISNUMBER(E19),ISNUMBER(F19)),(F19-E19)*100,"")</f>
        <v>0.228404576230663</v>
      </c>
      <c r="H19" s="54" t="n">
        <f aca="false">IF(ISNUMBER(B19),SUMIFS(Clean_Data!$X$2:$X$2203,Clean_Data!$AB$2:$AB$2203,$A19&amp;"|"&amp;Inputs!$B$5),"")</f>
        <v>0.000351000351000351</v>
      </c>
      <c r="I19" s="54" t="n">
        <f aca="false">IF(ISNUMBER(C19),SUMIFS(Clean_Data!$X$2:$X$2203,Clean_Data!$AB$2:$AB$2203,$A19&amp;"|"&amp;Inputs!$B$6),"")</f>
        <v>0.00263504611330698</v>
      </c>
      <c r="J19" s="55" t="n">
        <f aca="false">IF(AND(ISNUMBER(H19),ISNUMBER(I19)),(I19-H19)*100,"")</f>
        <v>0.228404576230663</v>
      </c>
      <c r="K19" s="54" t="n">
        <f aca="false">IF(ISNUMBER(C19),SUMIFS(Clean_Data!$Y$2:$Y$2203,Clean_Data!$AB$2:$AB$2203,$A19&amp;"|"&amp;Inputs!$B$6),"")</f>
        <v>0</v>
      </c>
      <c r="L19" s="56" t="n">
        <f aca="false">IF(COUNTIFS(Clean_Data!$AB$2:$AB$2203,$A19&amp;"|"&amp;Inputs!$B$6,Clean_Data!$P$2:$P$2203,"&lt;&gt;")&gt;0,SUMIFS(Clean_Data!$P$2:$P$2203,Clean_Data!$AB$2:$AB$2203,$A19&amp;"|"&amp;Inputs!$B$6),"")</f>
        <v>902.2</v>
      </c>
      <c r="M19" s="52" t="str">
        <f aca="false">IF(ISNUMBER(C19),IF(C19&gt;=Inputs!$B$7,"Yes","No"),"No")</f>
        <v>Yes</v>
      </c>
      <c r="N19" s="57" t="n">
        <f aca="false">IF(M19="Yes",F19+ROW()/10^9,-1)</f>
        <v>0.00263506511330698</v>
      </c>
      <c r="O19" s="57" t="n">
        <f aca="false">IF(AND(M19="Yes",ISNUMBER(J19)),J19+ROW()/10^9,-1000)</f>
        <v>0.228404595230663</v>
      </c>
      <c r="P19" s="57" t="n">
        <f aca="false">IF(M19="Yes",K19+ROW()/10^9,-1)</f>
        <v>1.9E-008</v>
      </c>
    </row>
    <row r="20" customFormat="false" ht="15" hidden="false" customHeight="false" outlineLevel="0" collapsed="false">
      <c r="A20" s="52" t="s">
        <v>195</v>
      </c>
      <c r="B20" s="53" t="n">
        <f aca="false">IF(COUNTIFS(Clean_Data!$AB$2:$AB$2203,$A20&amp;"|"&amp;Inputs!$B$5)&gt;0,SUMIFS(Clean_Data!$F$2:$F$2203,Clean_Data!$AB$2:$AB$2203,$A20&amp;"|"&amp;Inputs!$B$5),"")</f>
        <v>59.29</v>
      </c>
      <c r="C20" s="53" t="n">
        <f aca="false">IF(COUNTIFS(Clean_Data!$AB$2:$AB$2203,$A20&amp;"|"&amp;Inputs!$B$6)&gt;0,SUMIFS(Clean_Data!$F$2:$F$2203,Clean_Data!$AB$2:$AB$2203,$A20&amp;"|"&amp;Inputs!$B$6),"")</f>
        <v>101.74</v>
      </c>
      <c r="D20" s="54" t="n">
        <f aca="false">IF(AND(ISNUMBER(B20),ISNUMBER(C20)),IF(AND(B20&gt;0,Inputs!$B$6&gt;Inputs!$B$5),(C20/B20)^(1/(Inputs!$B$6-Inputs!$B$5))-1,""),"")</f>
        <v>0.0618341729510818</v>
      </c>
      <c r="E20" s="54" t="n">
        <f aca="false">IF(ISNUMBER(B20),SUMIFS(Clean_Data!$V$2:$V$2203,Clean_Data!$AB$2:$AB$2203,$A20&amp;"|"&amp;Inputs!$B$5),"")</f>
        <v>0.0134930005059875</v>
      </c>
      <c r="F20" s="54" t="n">
        <f aca="false">IF(ISNUMBER(C20),SUMIFS(Clean_Data!$V$2:$V$2203,Clean_Data!$AB$2:$AB$2203,$A20&amp;"|"&amp;Inputs!$B$6),"")</f>
        <v>0.0188716335757814</v>
      </c>
      <c r="G20" s="55" t="n">
        <f aca="false">IF(AND(ISNUMBER(E20),ISNUMBER(F20)),(F20-E20)*100,"")</f>
        <v>0.537863306979388</v>
      </c>
      <c r="H20" s="54" t="n">
        <f aca="false">IF(ISNUMBER(B20),SUMIFS(Clean_Data!$X$2:$X$2203,Clean_Data!$AB$2:$AB$2203,$A20&amp;"|"&amp;Inputs!$B$5),"")</f>
        <v>0.00354191263282172</v>
      </c>
      <c r="I20" s="54" t="n">
        <f aca="false">IF(ISNUMBER(C20),SUMIFS(Clean_Data!$X$2:$X$2203,Clean_Data!$AB$2:$AB$2203,$A20&amp;"|"&amp;Inputs!$B$6),"")</f>
        <v>0.0119913505012778</v>
      </c>
      <c r="J20" s="55" t="n">
        <f aca="false">IF(AND(ISNUMBER(H20),ISNUMBER(I20)),(I20-H20)*100,"")</f>
        <v>0.844943786845604</v>
      </c>
      <c r="K20" s="54" t="n">
        <f aca="false">IF(ISNUMBER(C20),SUMIFS(Clean_Data!$Y$2:$Y$2203,Clean_Data!$AB$2:$AB$2203,$A20&amp;"|"&amp;Inputs!$B$6),"")</f>
        <v>0.199429919402398</v>
      </c>
      <c r="L20" s="56" t="n">
        <f aca="false">IF(COUNTIFS(Clean_Data!$AB$2:$AB$2203,$A20&amp;"|"&amp;Inputs!$B$6,Clean_Data!$P$2:$P$2203,"&lt;&gt;")&gt;0,SUMIFS(Clean_Data!$P$2:$P$2203,Clean_Data!$AB$2:$AB$2203,$A20&amp;"|"&amp;Inputs!$B$6),"")</f>
        <v>695.7</v>
      </c>
      <c r="M20" s="52" t="str">
        <f aca="false">IF(ISNUMBER(C20),IF(C20&gt;=Inputs!$B$7,"Yes","No"),"No")</f>
        <v>Yes</v>
      </c>
      <c r="N20" s="57" t="n">
        <f aca="false">IF(M20="Yes",F20+ROW()/10^9,-1)</f>
        <v>0.0188716535757814</v>
      </c>
      <c r="O20" s="57" t="n">
        <f aca="false">IF(AND(M20="Yes",ISNUMBER(J20)),J20+ROW()/10^9,-1000)</f>
        <v>0.844943806845604</v>
      </c>
      <c r="P20" s="57" t="n">
        <f aca="false">IF(M20="Yes",K20+ROW()/10^9,-1)</f>
        <v>0.199429939402398</v>
      </c>
    </row>
    <row r="21" customFormat="false" ht="15" hidden="false" customHeight="false" outlineLevel="0" collapsed="false">
      <c r="A21" s="52" t="s">
        <v>196</v>
      </c>
      <c r="B21" s="53" t="n">
        <f aca="false">IF(COUNTIFS(Clean_Data!$AB$2:$AB$2203,$A21&amp;"|"&amp;Inputs!$B$5)&gt;0,SUMIFS(Clean_Data!$F$2:$F$2203,Clean_Data!$AB$2:$AB$2203,$A21&amp;"|"&amp;Inputs!$B$5),"")</f>
        <v>1.04</v>
      </c>
      <c r="C21" s="53" t="n">
        <f aca="false">IF(COUNTIFS(Clean_Data!$AB$2:$AB$2203,$A21&amp;"|"&amp;Inputs!$B$6)&gt;0,SUMIFS(Clean_Data!$F$2:$F$2203,Clean_Data!$AB$2:$AB$2203,$A21&amp;"|"&amp;Inputs!$B$6),"")</f>
        <v>1.11</v>
      </c>
      <c r="D21" s="54" t="n">
        <f aca="false">IF(AND(ISNUMBER(B21),ISNUMBER(C21)),IF(AND(B21&gt;0,Inputs!$B$6&gt;Inputs!$B$5),(C21/B21)^(1/(Inputs!$B$6-Inputs!$B$5))-1,""),"")</f>
        <v>0.00726395569842864</v>
      </c>
      <c r="E21" s="54" t="n">
        <f aca="false">IF(ISNUMBER(B21),SUMIFS(Clean_Data!$V$2:$V$2203,Clean_Data!$AB$2:$AB$2203,$A21&amp;"|"&amp;Inputs!$B$5),"")</f>
        <v>0.00961538461538462</v>
      </c>
      <c r="F21" s="54" t="n">
        <f aca="false">IF(ISNUMBER(C21),SUMIFS(Clean_Data!$V$2:$V$2203,Clean_Data!$AB$2:$AB$2203,$A21&amp;"|"&amp;Inputs!$B$6),"")</f>
        <v>0.0900900900900901</v>
      </c>
      <c r="G21" s="55" t="n">
        <f aca="false">IF(AND(ISNUMBER(E21),ISNUMBER(F21)),(F21-E21)*100,"")</f>
        <v>8.04747054747055</v>
      </c>
      <c r="H21" s="54" t="n">
        <f aca="false">IF(ISNUMBER(B21),SUMIFS(Clean_Data!$X$2:$X$2203,Clean_Data!$AB$2:$AB$2203,$A21&amp;"|"&amp;Inputs!$B$5),"")</f>
        <v>0.00961538461538462</v>
      </c>
      <c r="I21" s="54" t="n">
        <f aca="false">IF(ISNUMBER(C21),SUMIFS(Clean_Data!$X$2:$X$2203,Clean_Data!$AB$2:$AB$2203,$A21&amp;"|"&amp;Inputs!$B$6),"")</f>
        <v>0.0900900900900901</v>
      </c>
      <c r="J21" s="55" t="n">
        <f aca="false">IF(AND(ISNUMBER(H21),ISNUMBER(I21)),(I21-H21)*100,"")</f>
        <v>8.04747054747055</v>
      </c>
      <c r="K21" s="54" t="n">
        <f aca="false">IF(ISNUMBER(C21),SUMIFS(Clean_Data!$Y$2:$Y$2203,Clean_Data!$AB$2:$AB$2203,$A21&amp;"|"&amp;Inputs!$B$6),"")</f>
        <v>0</v>
      </c>
      <c r="L21" s="56" t="n">
        <f aca="false">IF(COUNTIFS(Clean_Data!$AB$2:$AB$2203,$A21&amp;"|"&amp;Inputs!$B$6,Clean_Data!$P$2:$P$2203,"&lt;&gt;")&gt;0,SUMIFS(Clean_Data!$P$2:$P$2203,Clean_Data!$AB$2:$AB$2203,$A21&amp;"|"&amp;Inputs!$B$6),"")</f>
        <v>594.6</v>
      </c>
      <c r="M21" s="52" t="str">
        <f aca="false">IF(ISNUMBER(C21),IF(C21&gt;=Inputs!$B$7,"Yes","No"),"No")</f>
        <v>No</v>
      </c>
      <c r="N21" s="57" t="n">
        <f aca="false">IF(M21="Yes",F21+ROW()/10^9,-1)</f>
        <v>-1</v>
      </c>
      <c r="O21" s="57" t="n">
        <f aca="false">IF(AND(M21="Yes",ISNUMBER(J21)),J21+ROW()/10^9,-1000)</f>
        <v>-1000</v>
      </c>
      <c r="P21" s="57" t="n">
        <f aca="false">IF(M21="Yes",K21+ROW()/10^9,-1)</f>
        <v>-1</v>
      </c>
    </row>
    <row r="22" customFormat="false" ht="15" hidden="false" customHeight="false" outlineLevel="0" collapsed="false">
      <c r="A22" s="52" t="s">
        <v>197</v>
      </c>
      <c r="B22" s="53" t="n">
        <f aca="false">IF(COUNTIFS(Clean_Data!$AB$2:$AB$2203,$A22&amp;"|"&amp;Inputs!$B$5)&gt;0,SUMIFS(Clean_Data!$F$2:$F$2203,Clean_Data!$AB$2:$AB$2203,$A22&amp;"|"&amp;Inputs!$B$5),"")</f>
        <v>34.09</v>
      </c>
      <c r="C22" s="53" t="n">
        <f aca="false">IF(COUNTIFS(Clean_Data!$AB$2:$AB$2203,$A22&amp;"|"&amp;Inputs!$B$6)&gt;0,SUMIFS(Clean_Data!$F$2:$F$2203,Clean_Data!$AB$2:$AB$2203,$A22&amp;"|"&amp;Inputs!$B$6),"")</f>
        <v>45.82</v>
      </c>
      <c r="D22" s="54" t="n">
        <f aca="false">IF(AND(ISNUMBER(B22),ISNUMBER(C22)),IF(AND(B22&gt;0,Inputs!$B$6&gt;Inputs!$B$5),(C22/B22)^(1/(Inputs!$B$6-Inputs!$B$5))-1,""),"")</f>
        <v>0.033403164394717</v>
      </c>
      <c r="E22" s="54" t="n">
        <f aca="false">IF(ISNUMBER(B22),SUMIFS(Clean_Data!$V$2:$V$2203,Clean_Data!$AB$2:$AB$2203,$A22&amp;"|"&amp;Inputs!$B$5),"")</f>
        <v>0.00997359929598122</v>
      </c>
      <c r="F22" s="54" t="n">
        <f aca="false">IF(ISNUMBER(C22),SUMIFS(Clean_Data!$V$2:$V$2203,Clean_Data!$AB$2:$AB$2203,$A22&amp;"|"&amp;Inputs!$B$6),"")</f>
        <v>0.0307725883893496</v>
      </c>
      <c r="G22" s="55" t="n">
        <f aca="false">IF(AND(ISNUMBER(E22),ISNUMBER(F22)),(F22-E22)*100,"")</f>
        <v>2.07989890933684</v>
      </c>
      <c r="H22" s="54" t="n">
        <f aca="false">IF(ISNUMBER(B22),SUMIFS(Clean_Data!$X$2:$X$2203,Clean_Data!$AB$2:$AB$2203,$A22&amp;"|"&amp;Inputs!$B$5),"")</f>
        <v>0.00117336462305661</v>
      </c>
      <c r="I22" s="54" t="n">
        <f aca="false">IF(ISNUMBER(C22),SUMIFS(Clean_Data!$X$2:$X$2203,Clean_Data!$AB$2:$AB$2203,$A22&amp;"|"&amp;Inputs!$B$6),"")</f>
        <v>0.0100392841553907</v>
      </c>
      <c r="J22" s="55" t="n">
        <f aca="false">IF(AND(ISNUMBER(H22),ISNUMBER(I22)),(I22-H22)*100,"")</f>
        <v>0.886591953233405</v>
      </c>
      <c r="K22" s="54" t="n">
        <f aca="false">IF(ISNUMBER(C22),SUMIFS(Clean_Data!$Y$2:$Y$2203,Clean_Data!$AB$2:$AB$2203,$A22&amp;"|"&amp;Inputs!$B$6),"")</f>
        <v>0.000436490615451768</v>
      </c>
      <c r="L22" s="56" t="n">
        <f aca="false">IF(COUNTIFS(Clean_Data!$AB$2:$AB$2203,$A22&amp;"|"&amp;Inputs!$B$6,Clean_Data!$P$2:$P$2203,"&lt;&gt;")&gt;0,SUMIFS(Clean_Data!$P$2:$P$2203,Clean_Data!$AB$2:$AB$2203,$A22&amp;"|"&amp;Inputs!$B$6),"")</f>
        <v>329.6</v>
      </c>
      <c r="M22" s="52" t="str">
        <f aca="false">IF(ISNUMBER(C22),IF(C22&gt;=Inputs!$B$7,"Yes","No"),"No")</f>
        <v>Yes</v>
      </c>
      <c r="N22" s="57" t="n">
        <f aca="false">IF(M22="Yes",F22+ROW()/10^9,-1)</f>
        <v>0.0307726103893496</v>
      </c>
      <c r="O22" s="57" t="n">
        <f aca="false">IF(AND(M22="Yes",ISNUMBER(J22)),J22+ROW()/10^9,-1000)</f>
        <v>0.886591975233405</v>
      </c>
      <c r="P22" s="57" t="n">
        <f aca="false">IF(M22="Yes",K22+ROW()/10^9,-1)</f>
        <v>0.000436512615451768</v>
      </c>
    </row>
    <row r="23" customFormat="false" ht="15" hidden="false" customHeight="false" outlineLevel="0" collapsed="false">
      <c r="A23" s="52" t="s">
        <v>198</v>
      </c>
      <c r="B23" s="53" t="n">
        <f aca="false">IF(COUNTIFS(Clean_Data!$AB$2:$AB$2203,$A23&amp;"|"&amp;Inputs!$B$5)&gt;0,SUMIFS(Clean_Data!$F$2:$F$2203,Clean_Data!$AB$2:$AB$2203,$A23&amp;"|"&amp;Inputs!$B$5),"")</f>
        <v>68.43</v>
      </c>
      <c r="C23" s="53" t="n">
        <f aca="false">IF(COUNTIFS(Clean_Data!$AB$2:$AB$2203,$A23&amp;"|"&amp;Inputs!$B$6)&gt;0,SUMIFS(Clean_Data!$F$2:$F$2203,Clean_Data!$AB$2:$AB$2203,$A23&amp;"|"&amp;Inputs!$B$6),"")</f>
        <v>76.01</v>
      </c>
      <c r="D23" s="54" t="n">
        <f aca="false">IF(AND(ISNUMBER(B23),ISNUMBER(C23)),IF(AND(B23&gt;0,Inputs!$B$6&gt;Inputs!$B$5),(C23/B23)^(1/(Inputs!$B$6-Inputs!$B$5))-1,""),"")</f>
        <v>0.011741011501053</v>
      </c>
      <c r="E23" s="54" t="n">
        <f aca="false">IF(ISNUMBER(B23),SUMIFS(Clean_Data!$V$2:$V$2203,Clean_Data!$AB$2:$AB$2203,$A23&amp;"|"&amp;Inputs!$B$5),"")</f>
        <v>0.211018559111501</v>
      </c>
      <c r="F23" s="54" t="n">
        <f aca="false">IF(ISNUMBER(C23),SUMIFS(Clean_Data!$V$2:$V$2203,Clean_Data!$AB$2:$AB$2203,$A23&amp;"|"&amp;Inputs!$B$6),"")</f>
        <v>0.352322062886462</v>
      </c>
      <c r="G23" s="55" t="n">
        <f aca="false">IF(AND(ISNUMBER(E23),ISNUMBER(F23)),(F23-E23)*100,"")</f>
        <v>14.1303503774962</v>
      </c>
      <c r="H23" s="54" t="n">
        <f aca="false">IF(ISNUMBER(B23),SUMIFS(Clean_Data!$X$2:$X$2203,Clean_Data!$AB$2:$AB$2203,$A23&amp;"|"&amp;Inputs!$B$5),"")</f>
        <v>0.126114277363729</v>
      </c>
      <c r="I23" s="54" t="n">
        <f aca="false">IF(ISNUMBER(C23),SUMIFS(Clean_Data!$X$2:$X$2203,Clean_Data!$AB$2:$AB$2203,$A23&amp;"|"&amp;Inputs!$B$6),"")</f>
        <v>0.29759242204973</v>
      </c>
      <c r="J23" s="55" t="n">
        <f aca="false">IF(AND(ISNUMBER(H23),ISNUMBER(I23)),(I23-H23)*100,"")</f>
        <v>17.1478144686001</v>
      </c>
      <c r="K23" s="54" t="n">
        <f aca="false">IF(ISNUMBER(C23),SUMIFS(Clean_Data!$Y$2:$Y$2203,Clean_Data!$AB$2:$AB$2203,$A23&amp;"|"&amp;Inputs!$B$6),"")</f>
        <v>0</v>
      </c>
      <c r="L23" s="56" t="n">
        <f aca="false">IF(COUNTIFS(Clean_Data!$AB$2:$AB$2203,$A23&amp;"|"&amp;Inputs!$B$6,Clean_Data!$P$2:$P$2203,"&lt;&gt;")&gt;0,SUMIFS(Clean_Data!$P$2:$P$2203,Clean_Data!$AB$2:$AB$2203,$A23&amp;"|"&amp;Inputs!$B$6),"")</f>
        <v>127</v>
      </c>
      <c r="M23" s="52" t="str">
        <f aca="false">IF(ISNUMBER(C23),IF(C23&gt;=Inputs!$B$7,"Yes","No"),"No")</f>
        <v>Yes</v>
      </c>
      <c r="N23" s="57" t="n">
        <f aca="false">IF(M23="Yes",F23+ROW()/10^9,-1)</f>
        <v>0.352322085886462</v>
      </c>
      <c r="O23" s="57" t="n">
        <f aca="false">IF(AND(M23="Yes",ISNUMBER(J23)),J23+ROW()/10^9,-1000)</f>
        <v>17.1478144916001</v>
      </c>
      <c r="P23" s="57" t="n">
        <f aca="false">IF(M23="Yes",K23+ROW()/10^9,-1)</f>
        <v>2.3E-008</v>
      </c>
    </row>
    <row r="24" customFormat="false" ht="15" hidden="false" customHeight="false" outlineLevel="0" collapsed="false">
      <c r="A24" s="52" t="s">
        <v>199</v>
      </c>
      <c r="B24" s="53" t="n">
        <f aca="false">IF(COUNTIFS(Clean_Data!$AB$2:$AB$2203,$A24&amp;"|"&amp;Inputs!$B$5)&gt;0,SUMIFS(Clean_Data!$F$2:$F$2203,Clean_Data!$AB$2:$AB$2203,$A24&amp;"|"&amp;Inputs!$B$5),"")</f>
        <v>0.36</v>
      </c>
      <c r="C24" s="53" t="n">
        <f aca="false">IF(COUNTIFS(Clean_Data!$AB$2:$AB$2203,$A24&amp;"|"&amp;Inputs!$B$6)&gt;0,SUMIFS(Clean_Data!$F$2:$F$2203,Clean_Data!$AB$2:$AB$2203,$A24&amp;"|"&amp;Inputs!$B$6),"")</f>
        <v>0.47</v>
      </c>
      <c r="D24" s="54" t="n">
        <f aca="false">IF(AND(ISNUMBER(B24),ISNUMBER(C24)),IF(AND(B24&gt;0,Inputs!$B$6&gt;Inputs!$B$5),(C24/B24)^(1/(Inputs!$B$6-Inputs!$B$5))-1,""),"")</f>
        <v>0.0300686052149648</v>
      </c>
      <c r="E24" s="54" t="n">
        <f aca="false">IF(ISNUMBER(B24),SUMIFS(Clean_Data!$V$2:$V$2203,Clean_Data!$AB$2:$AB$2203,$A24&amp;"|"&amp;Inputs!$B$5),"")</f>
        <v>0.916666666666667</v>
      </c>
      <c r="F24" s="54" t="n">
        <f aca="false">IF(ISNUMBER(C24),SUMIFS(Clean_Data!$V$2:$V$2203,Clean_Data!$AB$2:$AB$2203,$A24&amp;"|"&amp;Inputs!$B$6),"")</f>
        <v>0.872340425531915</v>
      </c>
      <c r="G24" s="55" t="n">
        <f aca="false">IF(AND(ISNUMBER(E24),ISNUMBER(F24)),(F24-E24)*100,"")</f>
        <v>-4.43262411347516</v>
      </c>
      <c r="H24" s="54" t="n">
        <f aca="false">IF(ISNUMBER(B24),SUMIFS(Clean_Data!$X$2:$X$2203,Clean_Data!$AB$2:$AB$2203,$A24&amp;"|"&amp;Inputs!$B$5),"")</f>
        <v>0</v>
      </c>
      <c r="I24" s="54" t="n">
        <f aca="false">IF(ISNUMBER(C24),SUMIFS(Clean_Data!$X$2:$X$2203,Clean_Data!$AB$2:$AB$2203,$A24&amp;"|"&amp;Inputs!$B$6),"")</f>
        <v>0.0212765957446809</v>
      </c>
      <c r="J24" s="55" t="n">
        <f aca="false">IF(AND(ISNUMBER(H24),ISNUMBER(I24)),(I24-H24)*100,"")</f>
        <v>2.12765957446809</v>
      </c>
      <c r="K24" s="54" t="n">
        <f aca="false">IF(ISNUMBER(C24),SUMIFS(Clean_Data!$Y$2:$Y$2203,Clean_Data!$AB$2:$AB$2203,$A24&amp;"|"&amp;Inputs!$B$6),"")</f>
        <v>0</v>
      </c>
      <c r="L24" s="56" t="n">
        <f aca="false">IF(COUNTIFS(Clean_Data!$AB$2:$AB$2203,$A24&amp;"|"&amp;Inputs!$B$6,Clean_Data!$P$2:$P$2203,"&lt;&gt;")&gt;0,SUMIFS(Clean_Data!$P$2:$P$2203,Clean_Data!$AB$2:$AB$2203,$A24&amp;"|"&amp;Inputs!$B$6),"")</f>
        <v>170.2</v>
      </c>
      <c r="M24" s="52" t="str">
        <f aca="false">IF(ISNUMBER(C24),IF(C24&gt;=Inputs!$B$7,"Yes","No"),"No")</f>
        <v>No</v>
      </c>
      <c r="N24" s="57" t="n">
        <f aca="false">IF(M24="Yes",F24+ROW()/10^9,-1)</f>
        <v>-1</v>
      </c>
      <c r="O24" s="57" t="n">
        <f aca="false">IF(AND(M24="Yes",ISNUMBER(J24)),J24+ROW()/10^9,-1000)</f>
        <v>-1000</v>
      </c>
      <c r="P24" s="57" t="n">
        <f aca="false">IF(M24="Yes",K24+ROW()/10^9,-1)</f>
        <v>-1</v>
      </c>
    </row>
    <row r="25" customFormat="false" ht="15" hidden="false" customHeight="false" outlineLevel="0" collapsed="false">
      <c r="A25" s="52" t="s">
        <v>200</v>
      </c>
      <c r="B25" s="53" t="n">
        <f aca="false">IF(COUNTIFS(Clean_Data!$AB$2:$AB$2203,$A25&amp;"|"&amp;Inputs!$B$5)&gt;0,SUMIFS(Clean_Data!$F$2:$F$2203,Clean_Data!$AB$2:$AB$2203,$A25&amp;"|"&amp;Inputs!$B$5),"")</f>
        <v>0.32</v>
      </c>
      <c r="C25" s="53" t="n">
        <f aca="false">IF(COUNTIFS(Clean_Data!$AB$2:$AB$2203,$A25&amp;"|"&amp;Inputs!$B$6)&gt;0,SUMIFS(Clean_Data!$F$2:$F$2203,Clean_Data!$AB$2:$AB$2203,$A25&amp;"|"&amp;Inputs!$B$6),"")</f>
        <v>1.01</v>
      </c>
      <c r="D25" s="54" t="n">
        <f aca="false">IF(AND(ISNUMBER(B25),ISNUMBER(C25)),IF(AND(B25&gt;0,Inputs!$B$6&gt;Inputs!$B$5),(C25/B25)^(1/(Inputs!$B$6-Inputs!$B$5))-1,""),"")</f>
        <v>0.136222770152548</v>
      </c>
      <c r="E25" s="54" t="n">
        <f aca="false">IF(ISNUMBER(B25),SUMIFS(Clean_Data!$V$2:$V$2203,Clean_Data!$AB$2:$AB$2203,$A25&amp;"|"&amp;Inputs!$B$5),"")</f>
        <v>0</v>
      </c>
      <c r="F25" s="54" t="n">
        <f aca="false">IF(ISNUMBER(C25),SUMIFS(Clean_Data!$V$2:$V$2203,Clean_Data!$AB$2:$AB$2203,$A25&amp;"|"&amp;Inputs!$B$6),"")</f>
        <v>0.0396039603960396</v>
      </c>
      <c r="G25" s="55" t="n">
        <f aca="false">IF(AND(ISNUMBER(E25),ISNUMBER(F25)),(F25-E25)*100,"")</f>
        <v>3.96039603960396</v>
      </c>
      <c r="H25" s="54" t="n">
        <f aca="false">IF(ISNUMBER(B25),SUMIFS(Clean_Data!$X$2:$X$2203,Clean_Data!$AB$2:$AB$2203,$A25&amp;"|"&amp;Inputs!$B$5),"")</f>
        <v>0</v>
      </c>
      <c r="I25" s="54" t="n">
        <f aca="false">IF(ISNUMBER(C25),SUMIFS(Clean_Data!$X$2:$X$2203,Clean_Data!$AB$2:$AB$2203,$A25&amp;"|"&amp;Inputs!$B$6),"")</f>
        <v>0.0396039603960396</v>
      </c>
      <c r="J25" s="55" t="n">
        <f aca="false">IF(AND(ISNUMBER(H25),ISNUMBER(I25)),(I25-H25)*100,"")</f>
        <v>3.96039603960396</v>
      </c>
      <c r="K25" s="54" t="n">
        <f aca="false">IF(ISNUMBER(C25),SUMIFS(Clean_Data!$Y$2:$Y$2203,Clean_Data!$AB$2:$AB$2203,$A25&amp;"|"&amp;Inputs!$B$6),"")</f>
        <v>0</v>
      </c>
      <c r="L25" s="56" t="n">
        <f aca="false">IF(COUNTIFS(Clean_Data!$AB$2:$AB$2203,$A25&amp;"|"&amp;Inputs!$B$6,Clean_Data!$P$2:$P$2203,"&lt;&gt;")&gt;0,SUMIFS(Clean_Data!$P$2:$P$2203,Clean_Data!$AB$2:$AB$2203,$A25&amp;"|"&amp;Inputs!$B$6),"")</f>
        <v>584.2</v>
      </c>
      <c r="M25" s="52" t="str">
        <f aca="false">IF(ISNUMBER(C25),IF(C25&gt;=Inputs!$B$7,"Yes","No"),"No")</f>
        <v>No</v>
      </c>
      <c r="N25" s="57" t="n">
        <f aca="false">IF(M25="Yes",F25+ROW()/10^9,-1)</f>
        <v>-1</v>
      </c>
      <c r="O25" s="57" t="n">
        <f aca="false">IF(AND(M25="Yes",ISNUMBER(J25)),J25+ROW()/10^9,-1000)</f>
        <v>-1000</v>
      </c>
      <c r="P25" s="57" t="n">
        <f aca="false">IF(M25="Yes",K25+ROW()/10^9,-1)</f>
        <v>-1</v>
      </c>
    </row>
    <row r="26" customFormat="false" ht="15" hidden="false" customHeight="false" outlineLevel="0" collapsed="false">
      <c r="A26" s="52" t="s">
        <v>201</v>
      </c>
      <c r="B26" s="53" t="n">
        <f aca="false">IF(COUNTIFS(Clean_Data!$AB$2:$AB$2203,$A26&amp;"|"&amp;Inputs!$B$5)&gt;0,SUMIFS(Clean_Data!$F$2:$F$2203,Clean_Data!$AB$2:$AB$2203,$A26&amp;"|"&amp;Inputs!$B$5),"")</f>
        <v>0.67</v>
      </c>
      <c r="C26" s="53" t="n">
        <f aca="false">IF(COUNTIFS(Clean_Data!$AB$2:$AB$2203,$A26&amp;"|"&amp;Inputs!$B$6)&gt;0,SUMIFS(Clean_Data!$F$2:$F$2203,Clean_Data!$AB$2:$AB$2203,$A26&amp;"|"&amp;Inputs!$B$6),"")</f>
        <v>0.61</v>
      </c>
      <c r="D26" s="54" t="n">
        <f aca="false">IF(AND(ISNUMBER(B26),ISNUMBER(C26)),IF(AND(B26&gt;0,Inputs!$B$6&gt;Inputs!$B$5),(C26/B26)^(1/(Inputs!$B$6-Inputs!$B$5))-1,""),"")</f>
        <v>-0.0103701613599875</v>
      </c>
      <c r="E26" s="54" t="n">
        <f aca="false">IF(ISNUMBER(B26),SUMIFS(Clean_Data!$V$2:$V$2203,Clean_Data!$AB$2:$AB$2203,$A26&amp;"|"&amp;Inputs!$B$5),"")</f>
        <v>0.0149253731343284</v>
      </c>
      <c r="F26" s="54" t="n">
        <f aca="false">IF(ISNUMBER(C26),SUMIFS(Clean_Data!$V$2:$V$2203,Clean_Data!$AB$2:$AB$2203,$A26&amp;"|"&amp;Inputs!$B$6),"")</f>
        <v>0.0163934426229508</v>
      </c>
      <c r="G26" s="55" t="n">
        <f aca="false">IF(AND(ISNUMBER(E26),ISNUMBER(F26)),(F26-E26)*100,"")</f>
        <v>0.146806948862246</v>
      </c>
      <c r="H26" s="54" t="n">
        <f aca="false">IF(ISNUMBER(B26),SUMIFS(Clean_Data!$X$2:$X$2203,Clean_Data!$AB$2:$AB$2203,$A26&amp;"|"&amp;Inputs!$B$5),"")</f>
        <v>0</v>
      </c>
      <c r="I26" s="54" t="n">
        <f aca="false">IF(ISNUMBER(C26),SUMIFS(Clean_Data!$X$2:$X$2203,Clean_Data!$AB$2:$AB$2203,$A26&amp;"|"&amp;Inputs!$B$6),"")</f>
        <v>0</v>
      </c>
      <c r="J26" s="55" t="n">
        <f aca="false">IF(AND(ISNUMBER(H26),ISNUMBER(I26)),(I26-H26)*100,"")</f>
        <v>0</v>
      </c>
      <c r="K26" s="54" t="n">
        <f aca="false">IF(ISNUMBER(C26),SUMIFS(Clean_Data!$Y$2:$Y$2203,Clean_Data!$AB$2:$AB$2203,$A26&amp;"|"&amp;Inputs!$B$6),"")</f>
        <v>0</v>
      </c>
      <c r="L26" s="56" t="n">
        <f aca="false">IF(COUNTIFS(Clean_Data!$AB$2:$AB$2203,$A26&amp;"|"&amp;Inputs!$B$6,Clean_Data!$P$2:$P$2203,"&lt;&gt;")&gt;0,SUMIFS(Clean_Data!$P$2:$P$2203,Clean_Data!$AB$2:$AB$2203,$A26&amp;"|"&amp;Inputs!$B$6),"")</f>
        <v>639.3</v>
      </c>
      <c r="M26" s="52" t="str">
        <f aca="false">IF(ISNUMBER(C26),IF(C26&gt;=Inputs!$B$7,"Yes","No"),"No")</f>
        <v>No</v>
      </c>
      <c r="N26" s="57" t="n">
        <f aca="false">IF(M26="Yes",F26+ROW()/10^9,-1)</f>
        <v>-1</v>
      </c>
      <c r="O26" s="57" t="n">
        <f aca="false">IF(AND(M26="Yes",ISNUMBER(J26)),J26+ROW()/10^9,-1000)</f>
        <v>-1000</v>
      </c>
      <c r="P26" s="57" t="n">
        <f aca="false">IF(M26="Yes",K26+ROW()/10^9,-1)</f>
        <v>-1</v>
      </c>
    </row>
    <row r="27" customFormat="false" ht="15" hidden="false" customHeight="false" outlineLevel="0" collapsed="false">
      <c r="A27" s="52" t="s">
        <v>202</v>
      </c>
      <c r="B27" s="53" t="n">
        <f aca="false">IF(COUNTIFS(Clean_Data!$AB$2:$AB$2203,$A27&amp;"|"&amp;Inputs!$B$5)&gt;0,SUMIFS(Clean_Data!$F$2:$F$2203,Clean_Data!$AB$2:$AB$2203,$A27&amp;"|"&amp;Inputs!$B$5),"")</f>
        <v>7.73</v>
      </c>
      <c r="C27" s="53" t="n">
        <f aca="false">IF(COUNTIFS(Clean_Data!$AB$2:$AB$2203,$A27&amp;"|"&amp;Inputs!$B$6)&gt;0,SUMIFS(Clean_Data!$F$2:$F$2203,Clean_Data!$AB$2:$AB$2203,$A27&amp;"|"&amp;Inputs!$B$6),"")</f>
        <v>11</v>
      </c>
      <c r="D27" s="54" t="n">
        <f aca="false">IF(AND(ISNUMBER(B27),ISNUMBER(C27)),IF(AND(B27&gt;0,Inputs!$B$6&gt;Inputs!$B$5),(C27/B27)^(1/(Inputs!$B$6-Inputs!$B$5))-1,""),"")</f>
        <v>0.0399768882003968</v>
      </c>
      <c r="E27" s="54" t="n">
        <f aca="false">IF(ISNUMBER(B27),SUMIFS(Clean_Data!$V$2:$V$2203,Clean_Data!$AB$2:$AB$2203,$A27&amp;"|"&amp;Inputs!$B$5),"")</f>
        <v>1</v>
      </c>
      <c r="F27" s="54" t="n">
        <f aca="false">IF(ISNUMBER(C27),SUMIFS(Clean_Data!$V$2:$V$2203,Clean_Data!$AB$2:$AB$2203,$A27&amp;"|"&amp;Inputs!$B$6),"")</f>
        <v>1</v>
      </c>
      <c r="G27" s="55" t="n">
        <f aca="false">IF(AND(ISNUMBER(E27),ISNUMBER(F27)),(F27-E27)*100,"")</f>
        <v>0</v>
      </c>
      <c r="H27" s="54" t="n">
        <f aca="false">IF(ISNUMBER(B27),SUMIFS(Clean_Data!$X$2:$X$2203,Clean_Data!$AB$2:$AB$2203,$A27&amp;"|"&amp;Inputs!$B$5),"")</f>
        <v>0</v>
      </c>
      <c r="I27" s="54" t="n">
        <f aca="false">IF(ISNUMBER(C27),SUMIFS(Clean_Data!$X$2:$X$2203,Clean_Data!$AB$2:$AB$2203,$A27&amp;"|"&amp;Inputs!$B$6),"")</f>
        <v>0</v>
      </c>
      <c r="J27" s="55" t="n">
        <f aca="false">IF(AND(ISNUMBER(H27),ISNUMBER(I27)),(I27-H27)*100,"")</f>
        <v>0</v>
      </c>
      <c r="K27" s="54" t="n">
        <f aca="false">IF(ISNUMBER(C27),SUMIFS(Clean_Data!$Y$2:$Y$2203,Clean_Data!$AB$2:$AB$2203,$A27&amp;"|"&amp;Inputs!$B$6),"")</f>
        <v>0</v>
      </c>
      <c r="L27" s="56" t="n">
        <f aca="false">IF(COUNTIFS(Clean_Data!$AB$2:$AB$2203,$A27&amp;"|"&amp;Inputs!$B$6,Clean_Data!$P$2:$P$2203,"&lt;&gt;")&gt;0,SUMIFS(Clean_Data!$P$2:$P$2203,Clean_Data!$AB$2:$AB$2203,$A27&amp;"|"&amp;Inputs!$B$6),"")</f>
        <v>23.6</v>
      </c>
      <c r="M27" s="52" t="str">
        <f aca="false">IF(ISNUMBER(C27),IF(C27&gt;=Inputs!$B$7,"Yes","No"),"No")</f>
        <v>No</v>
      </c>
      <c r="N27" s="57" t="n">
        <f aca="false">IF(M27="Yes",F27+ROW()/10^9,-1)</f>
        <v>-1</v>
      </c>
      <c r="O27" s="57" t="n">
        <f aca="false">IF(AND(M27="Yes",ISNUMBER(J27)),J27+ROW()/10^9,-1000)</f>
        <v>-1000</v>
      </c>
      <c r="P27" s="57" t="n">
        <f aca="false">IF(M27="Yes",K27+ROW()/10^9,-1)</f>
        <v>-1</v>
      </c>
    </row>
    <row r="28" customFormat="false" ht="15" hidden="false" customHeight="false" outlineLevel="0" collapsed="false">
      <c r="A28" s="52" t="s">
        <v>203</v>
      </c>
      <c r="B28" s="53" t="n">
        <f aca="false">IF(COUNTIFS(Clean_Data!$AB$2:$AB$2203,$A28&amp;"|"&amp;Inputs!$B$5)&gt;0,SUMIFS(Clean_Data!$F$2:$F$2203,Clean_Data!$AB$2:$AB$2203,$A28&amp;"|"&amp;Inputs!$B$5),"")</f>
        <v>9</v>
      </c>
      <c r="C28" s="53" t="n">
        <f aca="false">IF(COUNTIFS(Clean_Data!$AB$2:$AB$2203,$A28&amp;"|"&amp;Inputs!$B$6)&gt;0,SUMIFS(Clean_Data!$F$2:$F$2203,Clean_Data!$AB$2:$AB$2203,$A28&amp;"|"&amp;Inputs!$B$6),"")</f>
        <v>13.53</v>
      </c>
      <c r="D28" s="54" t="n">
        <f aca="false">IF(AND(ISNUMBER(B28),ISNUMBER(C28)),IF(AND(B28&gt;0,Inputs!$B$6&gt;Inputs!$B$5),(C28/B28)^(1/(Inputs!$B$6-Inputs!$B$5))-1,""),"")</f>
        <v>0.0463399557282971</v>
      </c>
      <c r="E28" s="54" t="n">
        <f aca="false">IF(ISNUMBER(B28),SUMIFS(Clean_Data!$V$2:$V$2203,Clean_Data!$AB$2:$AB$2203,$A28&amp;"|"&amp;Inputs!$B$5),"")</f>
        <v>0.294444444444444</v>
      </c>
      <c r="F28" s="54" t="n">
        <f aca="false">IF(ISNUMBER(C28),SUMIFS(Clean_Data!$V$2:$V$2203,Clean_Data!$AB$2:$AB$2203,$A28&amp;"|"&amp;Inputs!$B$6),"")</f>
        <v>0.339985218033999</v>
      </c>
      <c r="G28" s="55" t="n">
        <f aca="false">IF(AND(ISNUMBER(E28),ISNUMBER(F28)),(F28-E28)*100,"")</f>
        <v>4.55407735895541</v>
      </c>
      <c r="H28" s="54" t="n">
        <f aca="false">IF(ISNUMBER(B28),SUMIFS(Clean_Data!$X$2:$X$2203,Clean_Data!$AB$2:$AB$2203,$A28&amp;"|"&amp;Inputs!$B$5),"")</f>
        <v>0.00111111111111111</v>
      </c>
      <c r="I28" s="54" t="n">
        <f aca="false">IF(ISNUMBER(C28),SUMIFS(Clean_Data!$X$2:$X$2203,Clean_Data!$AB$2:$AB$2203,$A28&amp;"|"&amp;Inputs!$B$6),"")</f>
        <v>0.0650406504065041</v>
      </c>
      <c r="J28" s="55" t="n">
        <f aca="false">IF(AND(ISNUMBER(H28),ISNUMBER(I28)),(I28-H28)*100,"")</f>
        <v>6.3929539295393</v>
      </c>
      <c r="K28" s="54" t="n">
        <f aca="false">IF(ISNUMBER(C28),SUMIFS(Clean_Data!$Y$2:$Y$2203,Clean_Data!$AB$2:$AB$2203,$A28&amp;"|"&amp;Inputs!$B$6),"")</f>
        <v>0</v>
      </c>
      <c r="L28" s="56" t="n">
        <f aca="false">IF(COUNTIFS(Clean_Data!$AB$2:$AB$2203,$A28&amp;"|"&amp;Inputs!$B$6,Clean_Data!$P$2:$P$2203,"&lt;&gt;")&gt;0,SUMIFS(Clean_Data!$P$2:$P$2203,Clean_Data!$AB$2:$AB$2203,$A28&amp;"|"&amp;Inputs!$B$6),"")</f>
        <v>495.2</v>
      </c>
      <c r="M28" s="52" t="str">
        <f aca="false">IF(ISNUMBER(C28),IF(C28&gt;=Inputs!$B$7,"Yes","No"),"No")</f>
        <v>No</v>
      </c>
      <c r="N28" s="57" t="n">
        <f aca="false">IF(M28="Yes",F28+ROW()/10^9,-1)</f>
        <v>-1</v>
      </c>
      <c r="O28" s="57" t="n">
        <f aca="false">IF(AND(M28="Yes",ISNUMBER(J28)),J28+ROW()/10^9,-1000)</f>
        <v>-1000</v>
      </c>
      <c r="P28" s="57" t="n">
        <f aca="false">IF(M28="Yes",K28+ROW()/10^9,-1)</f>
        <v>-1</v>
      </c>
    </row>
    <row r="29" customFormat="false" ht="15" hidden="false" customHeight="false" outlineLevel="0" collapsed="false">
      <c r="A29" s="52" t="s">
        <v>204</v>
      </c>
      <c r="B29" s="53" t="n">
        <f aca="false">IF(COUNTIFS(Clean_Data!$AB$2:$AB$2203,$A29&amp;"|"&amp;Inputs!$B$5)&gt;0,SUMIFS(Clean_Data!$F$2:$F$2203,Clean_Data!$AB$2:$AB$2203,$A29&amp;"|"&amp;Inputs!$B$5),"")</f>
        <v>16.43</v>
      </c>
      <c r="C29" s="53" t="n">
        <f aca="false">IF(COUNTIFS(Clean_Data!$AB$2:$AB$2203,$A29&amp;"|"&amp;Inputs!$B$6)&gt;0,SUMIFS(Clean_Data!$F$2:$F$2203,Clean_Data!$AB$2:$AB$2203,$A29&amp;"|"&amp;Inputs!$B$6),"")</f>
        <v>15.49</v>
      </c>
      <c r="D29" s="54" t="n">
        <f aca="false">IF(AND(ISNUMBER(B29),ISNUMBER(C29)),IF(AND(B29&gt;0,Inputs!$B$6&gt;Inputs!$B$5),(C29/B29)^(1/(Inputs!$B$6-Inputs!$B$5))-1,""),"")</f>
        <v>-0.00652465226051857</v>
      </c>
      <c r="E29" s="54" t="n">
        <f aca="false">IF(ISNUMBER(B29),SUMIFS(Clean_Data!$V$2:$V$2203,Clean_Data!$AB$2:$AB$2203,$A29&amp;"|"&amp;Inputs!$B$5),"")</f>
        <v>0.337796713329276</v>
      </c>
      <c r="F29" s="54" t="n">
        <f aca="false">IF(ISNUMBER(C29),SUMIFS(Clean_Data!$V$2:$V$2203,Clean_Data!$AB$2:$AB$2203,$A29&amp;"|"&amp;Inputs!$B$6),"")</f>
        <v>0.403486120077469</v>
      </c>
      <c r="G29" s="55" t="n">
        <f aca="false">IF(AND(ISNUMBER(E29),ISNUMBER(F29)),(F29-E29)*100,"")</f>
        <v>6.56894067481936</v>
      </c>
      <c r="H29" s="54" t="n">
        <f aca="false">IF(ISNUMBER(B29),SUMIFS(Clean_Data!$X$2:$X$2203,Clean_Data!$AB$2:$AB$2203,$A29&amp;"|"&amp;Inputs!$B$5),"")</f>
        <v>0.000608642726719416</v>
      </c>
      <c r="I29" s="54" t="n">
        <f aca="false">IF(ISNUMBER(C29),SUMIFS(Clean_Data!$X$2:$X$2203,Clean_Data!$AB$2:$AB$2203,$A29&amp;"|"&amp;Inputs!$B$6),"")</f>
        <v>0.0490639122014203</v>
      </c>
      <c r="J29" s="55" t="n">
        <f aca="false">IF(AND(ISNUMBER(H29),ISNUMBER(I29)),(I29-H29)*100,"")</f>
        <v>4.84552694747009</v>
      </c>
      <c r="K29" s="54" t="n">
        <f aca="false">IF(ISNUMBER(C29),SUMIFS(Clean_Data!$Y$2:$Y$2203,Clean_Data!$AB$2:$AB$2203,$A29&amp;"|"&amp;Inputs!$B$6),"")</f>
        <v>0.586830213040671</v>
      </c>
      <c r="L29" s="56" t="n">
        <f aca="false">IF(COUNTIFS(Clean_Data!$AB$2:$AB$2203,$A29&amp;"|"&amp;Inputs!$B$6,Clean_Data!$P$2:$P$2203,"&lt;&gt;")&gt;0,SUMIFS(Clean_Data!$P$2:$P$2203,Clean_Data!$AB$2:$AB$2203,$A29&amp;"|"&amp;Inputs!$B$6),"")</f>
        <v>601</v>
      </c>
      <c r="M29" s="52" t="str">
        <f aca="false">IF(ISNUMBER(C29),IF(C29&gt;=Inputs!$B$7,"Yes","No"),"No")</f>
        <v>No</v>
      </c>
      <c r="N29" s="57" t="n">
        <f aca="false">IF(M29="Yes",F29+ROW()/10^9,-1)</f>
        <v>-1</v>
      </c>
      <c r="O29" s="57" t="n">
        <f aca="false">IF(AND(M29="Yes",ISNUMBER(J29)),J29+ROW()/10^9,-1000)</f>
        <v>-1000</v>
      </c>
      <c r="P29" s="57" t="n">
        <f aca="false">IF(M29="Yes",K29+ROW()/10^9,-1)</f>
        <v>-1</v>
      </c>
    </row>
    <row r="30" customFormat="false" ht="15" hidden="false" customHeight="false" outlineLevel="0" collapsed="false">
      <c r="A30" s="52" t="s">
        <v>205</v>
      </c>
      <c r="B30" s="53" t="n">
        <f aca="false">IF(COUNTIFS(Clean_Data!$AB$2:$AB$2203,$A30&amp;"|"&amp;Inputs!$B$5)&gt;0,SUMIFS(Clean_Data!$F$2:$F$2203,Clean_Data!$AB$2:$AB$2203,$A30&amp;"|"&amp;Inputs!$B$5),"")</f>
        <v>2.97</v>
      </c>
      <c r="C30" s="53" t="n">
        <f aca="false">IF(COUNTIFS(Clean_Data!$AB$2:$AB$2203,$A30&amp;"|"&amp;Inputs!$B$6)&gt;0,SUMIFS(Clean_Data!$F$2:$F$2203,Clean_Data!$AB$2:$AB$2203,$A30&amp;"|"&amp;Inputs!$B$6),"")</f>
        <v>3.43</v>
      </c>
      <c r="D30" s="54" t="n">
        <f aca="false">IF(AND(ISNUMBER(B30),ISNUMBER(C30)),IF(AND(B30&gt;0,Inputs!$B$6&gt;Inputs!$B$5),(C30/B30)^(1/(Inputs!$B$6-Inputs!$B$5))-1,""),"")</f>
        <v>0.0161284944149309</v>
      </c>
      <c r="E30" s="54" t="n">
        <f aca="false">IF(ISNUMBER(B30),SUMIFS(Clean_Data!$V$2:$V$2203,Clean_Data!$AB$2:$AB$2203,$A30&amp;"|"&amp;Inputs!$B$5),"")</f>
        <v>0</v>
      </c>
      <c r="F30" s="54" t="n">
        <f aca="false">IF(ISNUMBER(C30),SUMIFS(Clean_Data!$V$2:$V$2203,Clean_Data!$AB$2:$AB$2203,$A30&amp;"|"&amp;Inputs!$B$6),"")</f>
        <v>0.00291545189504373</v>
      </c>
      <c r="G30" s="55" t="n">
        <f aca="false">IF(AND(ISNUMBER(E30),ISNUMBER(F30)),(F30-E30)*100,"")</f>
        <v>0.291545189504373</v>
      </c>
      <c r="H30" s="54" t="n">
        <f aca="false">IF(ISNUMBER(B30),SUMIFS(Clean_Data!$X$2:$X$2203,Clean_Data!$AB$2:$AB$2203,$A30&amp;"|"&amp;Inputs!$B$5),"")</f>
        <v>0</v>
      </c>
      <c r="I30" s="54" t="n">
        <f aca="false">IF(ISNUMBER(C30),SUMIFS(Clean_Data!$X$2:$X$2203,Clean_Data!$AB$2:$AB$2203,$A30&amp;"|"&amp;Inputs!$B$6),"")</f>
        <v>0.00291545189504373</v>
      </c>
      <c r="J30" s="55" t="n">
        <f aca="false">IF(AND(ISNUMBER(H30),ISNUMBER(I30)),(I30-H30)*100,"")</f>
        <v>0.291545189504373</v>
      </c>
      <c r="K30" s="54" t="n">
        <f aca="false">IF(ISNUMBER(C30),SUMIFS(Clean_Data!$Y$2:$Y$2203,Clean_Data!$AB$2:$AB$2203,$A30&amp;"|"&amp;Inputs!$B$6),"")</f>
        <v>0.982507288629738</v>
      </c>
      <c r="L30" s="56" t="n">
        <f aca="false">IF(COUNTIFS(Clean_Data!$AB$2:$AB$2203,$A30&amp;"|"&amp;Inputs!$B$6,Clean_Data!$P$2:$P$2203,"&lt;&gt;")&gt;0,SUMIFS(Clean_Data!$P$2:$P$2203,Clean_Data!$AB$2:$AB$2203,$A30&amp;"|"&amp;Inputs!$B$6),"")</f>
        <v>851.3</v>
      </c>
      <c r="M30" s="52" t="str">
        <f aca="false">IF(ISNUMBER(C30),IF(C30&gt;=Inputs!$B$7,"Yes","No"),"No")</f>
        <v>No</v>
      </c>
      <c r="N30" s="57" t="n">
        <f aca="false">IF(M30="Yes",F30+ROW()/10^9,-1)</f>
        <v>-1</v>
      </c>
      <c r="O30" s="57" t="n">
        <f aca="false">IF(AND(M30="Yes",ISNUMBER(J30)),J30+ROW()/10^9,-1000)</f>
        <v>-1000</v>
      </c>
      <c r="P30" s="57" t="n">
        <f aca="false">IF(M30="Yes",K30+ROW()/10^9,-1)</f>
        <v>-1</v>
      </c>
    </row>
    <row r="31" customFormat="false" ht="15" hidden="false" customHeight="false" outlineLevel="0" collapsed="false">
      <c r="A31" s="52" t="s">
        <v>206</v>
      </c>
      <c r="B31" s="53" t="n">
        <f aca="false">IF(COUNTIFS(Clean_Data!$AB$2:$AB$2203,$A31&amp;"|"&amp;Inputs!$B$5)&gt;0,SUMIFS(Clean_Data!$F$2:$F$2203,Clean_Data!$AB$2:$AB$2203,$A31&amp;"|"&amp;Inputs!$B$5),"")</f>
        <v>581.22</v>
      </c>
      <c r="C31" s="53" t="n">
        <f aca="false">IF(COUNTIFS(Clean_Data!$AB$2:$AB$2203,$A31&amp;"|"&amp;Inputs!$B$6)&gt;0,SUMIFS(Clean_Data!$F$2:$F$2203,Clean_Data!$AB$2:$AB$2203,$A31&amp;"|"&amp;Inputs!$B$6),"")</f>
        <v>745.72</v>
      </c>
      <c r="D31" s="54" t="n">
        <f aca="false">IF(AND(ISNUMBER(B31),ISNUMBER(C31)),IF(AND(B31&gt;0,Inputs!$B$6&gt;Inputs!$B$5),(C31/B31)^(1/(Inputs!$B$6-Inputs!$B$5))-1,""),"")</f>
        <v>0.0280781707971611</v>
      </c>
      <c r="E31" s="54" t="n">
        <f aca="false">IF(ISNUMBER(B31),SUMIFS(Clean_Data!$V$2:$V$2203,Clean_Data!$AB$2:$AB$2203,$A31&amp;"|"&amp;Inputs!$B$5),"")</f>
        <v>0.742077010426345</v>
      </c>
      <c r="F31" s="54" t="n">
        <f aca="false">IF(ISNUMBER(C31),SUMIFS(Clean_Data!$V$2:$V$2203,Clean_Data!$AB$2:$AB$2203,$A31&amp;"|"&amp;Inputs!$B$6),"")</f>
        <v>0.873330472563429</v>
      </c>
      <c r="G31" s="55" t="n">
        <f aca="false">IF(AND(ISNUMBER(E31),ISNUMBER(F31)),(F31-E31)*100,"")</f>
        <v>13.1253462137084</v>
      </c>
      <c r="H31" s="54" t="n">
        <f aca="false">IF(ISNUMBER(B31),SUMIFS(Clean_Data!$X$2:$X$2203,Clean_Data!$AB$2:$AB$2203,$A31&amp;"|"&amp;Inputs!$B$5),"")</f>
        <v>0.0373180551254258</v>
      </c>
      <c r="I31" s="54" t="n">
        <f aca="false">IF(ISNUMBER(C31),SUMIFS(Clean_Data!$X$2:$X$2203,Clean_Data!$AB$2:$AB$2203,$A31&amp;"|"&amp;Inputs!$B$6),"")</f>
        <v>0.241122673389476</v>
      </c>
      <c r="J31" s="55" t="n">
        <f aca="false">IF(AND(ISNUMBER(H31),ISNUMBER(I31)),(I31-H31)*100,"")</f>
        <v>20.380461826405</v>
      </c>
      <c r="K31" s="54" t="n">
        <f aca="false">IF(ISNUMBER(C31),SUMIFS(Clean_Data!$Y$2:$Y$2203,Clean_Data!$AB$2:$AB$2203,$A31&amp;"|"&amp;Inputs!$B$6),"")</f>
        <v>0.0217373813227485</v>
      </c>
      <c r="L31" s="56" t="n">
        <f aca="false">IF(COUNTIFS(Clean_Data!$AB$2:$AB$2203,$A31&amp;"|"&amp;Inputs!$B$6,Clean_Data!$P$2:$P$2203,"&lt;&gt;")&gt;0,SUMIFS(Clean_Data!$P$2:$P$2203,Clean_Data!$AB$2:$AB$2203,$A31&amp;"|"&amp;Inputs!$B$6),"")</f>
        <v>106.1</v>
      </c>
      <c r="M31" s="52" t="str">
        <f aca="false">IF(ISNUMBER(C31),IF(C31&gt;=Inputs!$B$7,"Yes","No"),"No")</f>
        <v>Yes</v>
      </c>
      <c r="N31" s="57" t="n">
        <f aca="false">IF(M31="Yes",F31+ROW()/10^9,-1)</f>
        <v>0.873330503563429</v>
      </c>
      <c r="O31" s="57" t="n">
        <f aca="false">IF(AND(M31="Yes",ISNUMBER(J31)),J31+ROW()/10^9,-1000)</f>
        <v>20.380461857405</v>
      </c>
      <c r="P31" s="57" t="n">
        <f aca="false">IF(M31="Yes",K31+ROW()/10^9,-1)</f>
        <v>0.0217374123227485</v>
      </c>
    </row>
    <row r="32" customFormat="false" ht="15" hidden="false" customHeight="false" outlineLevel="0" collapsed="false">
      <c r="A32" s="52" t="s">
        <v>207</v>
      </c>
      <c r="B32" s="53" t="n">
        <f aca="false">IF(COUNTIFS(Clean_Data!$AB$2:$AB$2203,$A32&amp;"|"&amp;Inputs!$B$5)&gt;0,SUMIFS(Clean_Data!$F$2:$F$2203,Clean_Data!$AB$2:$AB$2203,$A32&amp;"|"&amp;Inputs!$B$5),"")</f>
        <v>0.21</v>
      </c>
      <c r="C32" s="53" t="str">
        <f aca="false">IF(COUNTIFS(Clean_Data!$AB$2:$AB$2203,$A32&amp;"|"&amp;Inputs!$B$6)&gt;0,SUMIFS(Clean_Data!$F$2:$F$2203,Clean_Data!$AB$2:$AB$2203,$A32&amp;"|"&amp;Inputs!$B$6),"")</f>
        <v/>
      </c>
      <c r="D32" s="54" t="str">
        <f aca="false">IF(AND(ISNUMBER(B32),ISNUMBER(C32)),IF(AND(B32&gt;0,Inputs!$B$6&gt;Inputs!$B$5),(C32/B32)^(1/(Inputs!$B$6-Inputs!$B$5))-1,""),"")</f>
        <v/>
      </c>
      <c r="E32" s="54" t="n">
        <f aca="false">IF(ISNUMBER(B32),SUMIFS(Clean_Data!$V$2:$V$2203,Clean_Data!$AB$2:$AB$2203,$A32&amp;"|"&amp;Inputs!$B$5),"")</f>
        <v>0</v>
      </c>
      <c r="F32" s="54" t="str">
        <f aca="false">IF(ISNUMBER(C32),SUMIFS(Clean_Data!$V$2:$V$2203,Clean_Data!$AB$2:$AB$2203,$A32&amp;"|"&amp;Inputs!$B$6),"")</f>
        <v/>
      </c>
      <c r="G32" s="55" t="str">
        <f aca="false">IF(AND(ISNUMBER(E32),ISNUMBER(F32)),(F32-E32)*100,"")</f>
        <v/>
      </c>
      <c r="H32" s="54" t="n">
        <f aca="false">IF(ISNUMBER(B32),SUMIFS(Clean_Data!$X$2:$X$2203,Clean_Data!$AB$2:$AB$2203,$A32&amp;"|"&amp;Inputs!$B$5),"")</f>
        <v>0</v>
      </c>
      <c r="I32" s="54" t="str">
        <f aca="false">IF(ISNUMBER(C32),SUMIFS(Clean_Data!$X$2:$X$2203,Clean_Data!$AB$2:$AB$2203,$A32&amp;"|"&amp;Inputs!$B$6),"")</f>
        <v/>
      </c>
      <c r="J32" s="55" t="str">
        <f aca="false">IF(AND(ISNUMBER(H32),ISNUMBER(I32)),(I32-H32)*100,"")</f>
        <v/>
      </c>
      <c r="K32" s="54" t="str">
        <f aca="false">IF(ISNUMBER(C32),SUMIFS(Clean_Data!$Y$2:$Y$2203,Clean_Data!$AB$2:$AB$2203,$A32&amp;"|"&amp;Inputs!$B$6),"")</f>
        <v/>
      </c>
      <c r="L32" s="56" t="str">
        <f aca="false">IF(COUNTIFS(Clean_Data!$AB$2:$AB$2203,$A32&amp;"|"&amp;Inputs!$B$6,Clean_Data!$P$2:$P$2203,"&lt;&gt;")&gt;0,SUMIFS(Clean_Data!$P$2:$P$2203,Clean_Data!$AB$2:$AB$2203,$A32&amp;"|"&amp;Inputs!$B$6),"")</f>
        <v/>
      </c>
      <c r="M32" s="52" t="str">
        <f aca="false">IF(ISNUMBER(C32),IF(C32&gt;=Inputs!$B$7,"Yes","No"),"No")</f>
        <v>No</v>
      </c>
      <c r="N32" s="57" t="n">
        <f aca="false">IF(M32="Yes",F32+ROW()/10^9,-1)</f>
        <v>-1</v>
      </c>
      <c r="O32" s="57" t="n">
        <f aca="false">IF(AND(M32="Yes",ISNUMBER(J32)),J32+ROW()/10^9,-1000)</f>
        <v>-1000</v>
      </c>
      <c r="P32" s="57" t="n">
        <f aca="false">IF(M32="Yes",K32+ROW()/10^9,-1)</f>
        <v>-1</v>
      </c>
    </row>
    <row r="33" customFormat="false" ht="15" hidden="false" customHeight="false" outlineLevel="0" collapsed="false">
      <c r="A33" s="52" t="s">
        <v>208</v>
      </c>
      <c r="B33" s="53" t="n">
        <f aca="false">IF(COUNTIFS(Clean_Data!$AB$2:$AB$2203,$A33&amp;"|"&amp;Inputs!$B$5)&gt;0,SUMIFS(Clean_Data!$F$2:$F$2203,Clean_Data!$AB$2:$AB$2203,$A33&amp;"|"&amp;Inputs!$B$5),"")</f>
        <v>4.2</v>
      </c>
      <c r="C33" s="53" t="n">
        <f aca="false">IF(COUNTIFS(Clean_Data!$AB$2:$AB$2203,$A33&amp;"|"&amp;Inputs!$B$6)&gt;0,SUMIFS(Clean_Data!$F$2:$F$2203,Clean_Data!$AB$2:$AB$2203,$A33&amp;"|"&amp;Inputs!$B$6),"")</f>
        <v>5.56</v>
      </c>
      <c r="D33" s="54" t="n">
        <f aca="false">IF(AND(ISNUMBER(B33),ISNUMBER(C33)),IF(AND(B33&gt;0,Inputs!$B$6&gt;Inputs!$B$5),(C33/B33)^(1/(Inputs!$B$6-Inputs!$B$5))-1,""),"")</f>
        <v>0.0316589894625761</v>
      </c>
      <c r="E33" s="54" t="n">
        <f aca="false">IF(ISNUMBER(B33),SUMIFS(Clean_Data!$V$2:$V$2203,Clean_Data!$AB$2:$AB$2203,$A33&amp;"|"&amp;Inputs!$B$5),"")</f>
        <v>0</v>
      </c>
      <c r="F33" s="54" t="n">
        <f aca="false">IF(ISNUMBER(C33),SUMIFS(Clean_Data!$V$2:$V$2203,Clean_Data!$AB$2:$AB$2203,$A33&amp;"|"&amp;Inputs!$B$6),"")</f>
        <v>0.00179856115107914</v>
      </c>
      <c r="G33" s="55" t="n">
        <f aca="false">IF(AND(ISNUMBER(E33),ISNUMBER(F33)),(F33-E33)*100,"")</f>
        <v>0.179856115107914</v>
      </c>
      <c r="H33" s="54" t="n">
        <f aca="false">IF(ISNUMBER(B33),SUMIFS(Clean_Data!$X$2:$X$2203,Clean_Data!$AB$2:$AB$2203,$A33&amp;"|"&amp;Inputs!$B$5),"")</f>
        <v>0</v>
      </c>
      <c r="I33" s="54" t="n">
        <f aca="false">IF(ISNUMBER(C33),SUMIFS(Clean_Data!$X$2:$X$2203,Clean_Data!$AB$2:$AB$2203,$A33&amp;"|"&amp;Inputs!$B$6),"")</f>
        <v>0.00179856115107914</v>
      </c>
      <c r="J33" s="55" t="n">
        <f aca="false">IF(AND(ISNUMBER(H33),ISNUMBER(I33)),(I33-H33)*100,"")</f>
        <v>0.179856115107914</v>
      </c>
      <c r="K33" s="54" t="n">
        <f aca="false">IF(ISNUMBER(C33),SUMIFS(Clean_Data!$Y$2:$Y$2203,Clean_Data!$AB$2:$AB$2203,$A33&amp;"|"&amp;Inputs!$B$6),"")</f>
        <v>0.197841726618705</v>
      </c>
      <c r="L33" s="56" t="n">
        <f aca="false">IF(COUNTIFS(Clean_Data!$AB$2:$AB$2203,$A33&amp;"|"&amp;Inputs!$B$6,Clean_Data!$P$2:$P$2203,"&lt;&gt;")&gt;0,SUMIFS(Clean_Data!$P$2:$P$2203,Clean_Data!$AB$2:$AB$2203,$A33&amp;"|"&amp;Inputs!$B$6),"")</f>
        <v>892.1</v>
      </c>
      <c r="M33" s="52" t="str">
        <f aca="false">IF(ISNUMBER(C33),IF(C33&gt;=Inputs!$B$7,"Yes","No"),"No")</f>
        <v>No</v>
      </c>
      <c r="N33" s="57" t="n">
        <f aca="false">IF(M33="Yes",F33+ROW()/10^9,-1)</f>
        <v>-1</v>
      </c>
      <c r="O33" s="57" t="n">
        <f aca="false">IF(AND(M33="Yes",ISNUMBER(J33)),J33+ROW()/10^9,-1000)</f>
        <v>-1000</v>
      </c>
      <c r="P33" s="57" t="n">
        <f aca="false">IF(M33="Yes",K33+ROW()/10^9,-1)</f>
        <v>-1</v>
      </c>
    </row>
    <row r="34" customFormat="false" ht="15" hidden="false" customHeight="false" outlineLevel="0" collapsed="false">
      <c r="A34" s="52" t="s">
        <v>209</v>
      </c>
      <c r="B34" s="53" t="n">
        <f aca="false">IF(COUNTIFS(Clean_Data!$AB$2:$AB$2203,$A34&amp;"|"&amp;Inputs!$B$5)&gt;0,SUMIFS(Clean_Data!$F$2:$F$2203,Clean_Data!$AB$2:$AB$2203,$A34&amp;"|"&amp;Inputs!$B$5),"")</f>
        <v>48.71</v>
      </c>
      <c r="C34" s="53" t="n">
        <f aca="false">IF(COUNTIFS(Clean_Data!$AB$2:$AB$2203,$A34&amp;"|"&amp;Inputs!$B$6)&gt;0,SUMIFS(Clean_Data!$F$2:$F$2203,Clean_Data!$AB$2:$AB$2203,$A34&amp;"|"&amp;Inputs!$B$6),"")</f>
        <v>38.3</v>
      </c>
      <c r="D34" s="54" t="n">
        <f aca="false">IF(AND(ISNUMBER(B34),ISNUMBER(C34)),IF(AND(B34&gt;0,Inputs!$B$6&gt;Inputs!$B$5),(C34/B34)^(1/(Inputs!$B$6-Inputs!$B$5))-1,""),"")</f>
        <v>-0.0263612516638329</v>
      </c>
      <c r="E34" s="54" t="n">
        <f aca="false">IF(ISNUMBER(B34),SUMIFS(Clean_Data!$V$2:$V$2203,Clean_Data!$AB$2:$AB$2203,$A34&amp;"|"&amp;Inputs!$B$5),"")</f>
        <v>0.179634571956477</v>
      </c>
      <c r="F34" s="54" t="n">
        <f aca="false">IF(ISNUMBER(C34),SUMIFS(Clean_Data!$V$2:$V$2203,Clean_Data!$AB$2:$AB$2203,$A34&amp;"|"&amp;Inputs!$B$6),"")</f>
        <v>0.299216710182768</v>
      </c>
      <c r="G34" s="55" t="n">
        <f aca="false">IF(AND(ISNUMBER(E34),ISNUMBER(F34)),(F34-E34)*100,"")</f>
        <v>11.9582138226291</v>
      </c>
      <c r="H34" s="54" t="n">
        <f aca="false">IF(ISNUMBER(B34),SUMIFS(Clean_Data!$X$2:$X$2203,Clean_Data!$AB$2:$AB$2203,$A34&amp;"|"&amp;Inputs!$B$5),"")</f>
        <v>0.0580989529870663</v>
      </c>
      <c r="I34" s="54" t="n">
        <f aca="false">IF(ISNUMBER(C34),SUMIFS(Clean_Data!$X$2:$X$2203,Clean_Data!$AB$2:$AB$2203,$A34&amp;"|"&amp;Inputs!$B$6),"")</f>
        <v>0.181462140992167</v>
      </c>
      <c r="J34" s="55" t="n">
        <f aca="false">IF(AND(ISNUMBER(H34),ISNUMBER(I34)),(I34-H34)*100,"")</f>
        <v>12.3363188005101</v>
      </c>
      <c r="K34" s="54" t="n">
        <f aca="false">IF(ISNUMBER(C34),SUMIFS(Clean_Data!$Y$2:$Y$2203,Clean_Data!$AB$2:$AB$2203,$A34&amp;"|"&amp;Inputs!$B$6),"")</f>
        <v>0.228720626631854</v>
      </c>
      <c r="L34" s="56" t="n">
        <f aca="false">IF(COUNTIFS(Clean_Data!$AB$2:$AB$2203,$A34&amp;"|"&amp;Inputs!$B$6,Clean_Data!$P$2:$P$2203,"&lt;&gt;")&gt;0,SUMIFS(Clean_Data!$P$2:$P$2203,Clean_Data!$AB$2:$AB$2203,$A34&amp;"|"&amp;Inputs!$B$6),"")</f>
        <v>278.9</v>
      </c>
      <c r="M34" s="52" t="str">
        <f aca="false">IF(ISNUMBER(C34),IF(C34&gt;=Inputs!$B$7,"Yes","No"),"No")</f>
        <v>Yes</v>
      </c>
      <c r="N34" s="57" t="n">
        <f aca="false">IF(M34="Yes",F34+ROW()/10^9,-1)</f>
        <v>0.299216744182768</v>
      </c>
      <c r="O34" s="57" t="n">
        <f aca="false">IF(AND(M34="Yes",ISNUMBER(J34)),J34+ROW()/10^9,-1000)</f>
        <v>12.3363188345101</v>
      </c>
      <c r="P34" s="57" t="n">
        <f aca="false">IF(M34="Yes",K34+ROW()/10^9,-1)</f>
        <v>0.228720660631854</v>
      </c>
    </row>
    <row r="35" customFormat="false" ht="15" hidden="false" customHeight="false" outlineLevel="0" collapsed="false">
      <c r="A35" s="52" t="s">
        <v>210</v>
      </c>
      <c r="B35" s="53" t="n">
        <f aca="false">IF(COUNTIFS(Clean_Data!$AB$2:$AB$2203,$A35&amp;"|"&amp;Inputs!$B$5)&gt;0,SUMIFS(Clean_Data!$F$2:$F$2203,Clean_Data!$AB$2:$AB$2203,$A35&amp;"|"&amp;Inputs!$B$5),"")</f>
        <v>1.01</v>
      </c>
      <c r="C35" s="53" t="n">
        <f aca="false">IF(COUNTIFS(Clean_Data!$AB$2:$AB$2203,$A35&amp;"|"&amp;Inputs!$B$6)&gt;0,SUMIFS(Clean_Data!$F$2:$F$2203,Clean_Data!$AB$2:$AB$2203,$A35&amp;"|"&amp;Inputs!$B$6),"")</f>
        <v>1.69</v>
      </c>
      <c r="D35" s="54" t="n">
        <f aca="false">IF(AND(ISNUMBER(B35),ISNUMBER(C35)),IF(AND(B35&gt;0,Inputs!$B$6&gt;Inputs!$B$5),(C35/B35)^(1/(Inputs!$B$6-Inputs!$B$5))-1,""),"")</f>
        <v>0.0588649976969946</v>
      </c>
      <c r="E35" s="54" t="n">
        <f aca="false">IF(ISNUMBER(B35),SUMIFS(Clean_Data!$V$2:$V$2203,Clean_Data!$AB$2:$AB$2203,$A35&amp;"|"&amp;Inputs!$B$5),"")</f>
        <v>0.099009900990099</v>
      </c>
      <c r="F35" s="54" t="n">
        <f aca="false">IF(ISNUMBER(C35),SUMIFS(Clean_Data!$V$2:$V$2203,Clean_Data!$AB$2:$AB$2203,$A35&amp;"|"&amp;Inputs!$B$6),"")</f>
        <v>0.171597633136095</v>
      </c>
      <c r="G35" s="55" t="n">
        <f aca="false">IF(AND(ISNUMBER(E35),ISNUMBER(F35)),(F35-E35)*100,"")</f>
        <v>7.25877321459957</v>
      </c>
      <c r="H35" s="54" t="n">
        <f aca="false">IF(ISNUMBER(B35),SUMIFS(Clean_Data!$X$2:$X$2203,Clean_Data!$AB$2:$AB$2203,$A35&amp;"|"&amp;Inputs!$B$5),"")</f>
        <v>0.0099009900990099</v>
      </c>
      <c r="I35" s="54" t="n">
        <f aca="false">IF(ISNUMBER(C35),SUMIFS(Clean_Data!$X$2:$X$2203,Clean_Data!$AB$2:$AB$2203,$A35&amp;"|"&amp;Inputs!$B$6),"")</f>
        <v>0.0650887573964497</v>
      </c>
      <c r="J35" s="55" t="n">
        <f aca="false">IF(AND(ISNUMBER(H35),ISNUMBER(I35)),(I35-H35)*100,"")</f>
        <v>5.51877672974398</v>
      </c>
      <c r="K35" s="54" t="n">
        <f aca="false">IF(ISNUMBER(C35),SUMIFS(Clean_Data!$Y$2:$Y$2203,Clean_Data!$AB$2:$AB$2203,$A35&amp;"|"&amp;Inputs!$B$6),"")</f>
        <v>0</v>
      </c>
      <c r="L35" s="56" t="n">
        <f aca="false">IF(COUNTIFS(Clean_Data!$AB$2:$AB$2203,$A35&amp;"|"&amp;Inputs!$B$6,Clean_Data!$P$2:$P$2203,"&lt;&gt;")&gt;0,SUMIFS(Clean_Data!$P$2:$P$2203,Clean_Data!$AB$2:$AB$2203,$A35&amp;"|"&amp;Inputs!$B$6),"")</f>
        <v>562.1</v>
      </c>
      <c r="M35" s="52" t="str">
        <f aca="false">IF(ISNUMBER(C35),IF(C35&gt;=Inputs!$B$7,"Yes","No"),"No")</f>
        <v>No</v>
      </c>
      <c r="N35" s="57" t="n">
        <f aca="false">IF(M35="Yes",F35+ROW()/10^9,-1)</f>
        <v>-1</v>
      </c>
      <c r="O35" s="57" t="n">
        <f aca="false">IF(AND(M35="Yes",ISNUMBER(J35)),J35+ROW()/10^9,-1000)</f>
        <v>-1000</v>
      </c>
      <c r="P35" s="57" t="n">
        <f aca="false">IF(M35="Yes",K35+ROW()/10^9,-1)</f>
        <v>-1</v>
      </c>
    </row>
    <row r="36" customFormat="false" ht="15" hidden="false" customHeight="false" outlineLevel="0" collapsed="false">
      <c r="A36" s="52" t="s">
        <v>211</v>
      </c>
      <c r="B36" s="53" t="n">
        <f aca="false">IF(COUNTIFS(Clean_Data!$AB$2:$AB$2203,$A36&amp;"|"&amp;Inputs!$B$5)&gt;0,SUMIFS(Clean_Data!$F$2:$F$2203,Clean_Data!$AB$2:$AB$2203,$A36&amp;"|"&amp;Inputs!$B$5),"")</f>
        <v>0.18</v>
      </c>
      <c r="C36" s="53" t="n">
        <f aca="false">IF(COUNTIFS(Clean_Data!$AB$2:$AB$2203,$A36&amp;"|"&amp;Inputs!$B$6)&gt;0,SUMIFS(Clean_Data!$F$2:$F$2203,Clean_Data!$AB$2:$AB$2203,$A36&amp;"|"&amp;Inputs!$B$6),"")</f>
        <v>0.49</v>
      </c>
      <c r="D36" s="54" t="n">
        <f aca="false">IF(AND(ISNUMBER(B36),ISNUMBER(C36)),IF(AND(B36&gt;0,Inputs!$B$6&gt;Inputs!$B$5),(C36/B36)^(1/(Inputs!$B$6-Inputs!$B$5))-1,""),"")</f>
        <v>0.117698946696112</v>
      </c>
      <c r="E36" s="54" t="n">
        <f aca="false">IF(ISNUMBER(B36),SUMIFS(Clean_Data!$V$2:$V$2203,Clean_Data!$AB$2:$AB$2203,$A36&amp;"|"&amp;Inputs!$B$5),"")</f>
        <v>0.833333333333334</v>
      </c>
      <c r="F36" s="54" t="n">
        <f aca="false">IF(ISNUMBER(C36),SUMIFS(Clean_Data!$V$2:$V$2203,Clean_Data!$AB$2:$AB$2203,$A36&amp;"|"&amp;Inputs!$B$6),"")</f>
        <v>0.755102040816327</v>
      </c>
      <c r="G36" s="55" t="n">
        <f aca="false">IF(AND(ISNUMBER(E36),ISNUMBER(F36)),(F36-E36)*100,"")</f>
        <v>-7.8231292517007</v>
      </c>
      <c r="H36" s="54" t="n">
        <f aca="false">IF(ISNUMBER(B36),SUMIFS(Clean_Data!$X$2:$X$2203,Clean_Data!$AB$2:$AB$2203,$A36&amp;"|"&amp;Inputs!$B$5),"")</f>
        <v>0</v>
      </c>
      <c r="I36" s="54" t="n">
        <f aca="false">IF(ISNUMBER(C36),SUMIFS(Clean_Data!$X$2:$X$2203,Clean_Data!$AB$2:$AB$2203,$A36&amp;"|"&amp;Inputs!$B$6),"")</f>
        <v>0</v>
      </c>
      <c r="J36" s="55" t="n">
        <f aca="false">IF(AND(ISNUMBER(H36),ISNUMBER(I36)),(I36-H36)*100,"")</f>
        <v>0</v>
      </c>
      <c r="K36" s="54" t="n">
        <f aca="false">IF(ISNUMBER(C36),SUMIFS(Clean_Data!$Y$2:$Y$2203,Clean_Data!$AB$2:$AB$2203,$A36&amp;"|"&amp;Inputs!$B$6),"")</f>
        <v>0</v>
      </c>
      <c r="L36" s="56" t="n">
        <f aca="false">IF(COUNTIFS(Clean_Data!$AB$2:$AB$2203,$A36&amp;"|"&amp;Inputs!$B$6,Clean_Data!$P$2:$P$2203,"&lt;&gt;")&gt;0,SUMIFS(Clean_Data!$P$2:$P$2203,Clean_Data!$AB$2:$AB$2203,$A36&amp;"|"&amp;Inputs!$B$6),"")</f>
        <v>183.7</v>
      </c>
      <c r="M36" s="52" t="str">
        <f aca="false">IF(ISNUMBER(C36),IF(C36&gt;=Inputs!$B$7,"Yes","No"),"No")</f>
        <v>No</v>
      </c>
      <c r="N36" s="57" t="n">
        <f aca="false">IF(M36="Yes",F36+ROW()/10^9,-1)</f>
        <v>-1</v>
      </c>
      <c r="O36" s="57" t="n">
        <f aca="false">IF(AND(M36="Yes",ISNUMBER(J36)),J36+ROW()/10^9,-1000)</f>
        <v>-1000</v>
      </c>
      <c r="P36" s="57" t="n">
        <f aca="false">IF(M36="Yes",K36+ROW()/10^9,-1)</f>
        <v>-1</v>
      </c>
    </row>
    <row r="37" customFormat="false" ht="15" hidden="false" customHeight="false" outlineLevel="0" collapsed="false">
      <c r="A37" s="52" t="s">
        <v>212</v>
      </c>
      <c r="B37" s="53" t="n">
        <f aca="false">IF(COUNTIFS(Clean_Data!$AB$2:$AB$2203,$A37&amp;"|"&amp;Inputs!$B$5)&gt;0,SUMIFS(Clean_Data!$F$2:$F$2203,Clean_Data!$AB$2:$AB$2203,$A37&amp;"|"&amp;Inputs!$B$5),"")</f>
        <v>4.49</v>
      </c>
      <c r="C37" s="53" t="n">
        <f aca="false">IF(COUNTIFS(Clean_Data!$AB$2:$AB$2203,$A37&amp;"|"&amp;Inputs!$B$6)&gt;0,SUMIFS(Clean_Data!$F$2:$F$2203,Clean_Data!$AB$2:$AB$2203,$A37&amp;"|"&amp;Inputs!$B$6),"")</f>
        <v>15.48</v>
      </c>
      <c r="D37" s="54" t="n">
        <f aca="false">IF(AND(ISNUMBER(B37),ISNUMBER(C37)),IF(AND(B37&gt;0,Inputs!$B$6&gt;Inputs!$B$5),(C37/B37)^(1/(Inputs!$B$6-Inputs!$B$5))-1,""),"")</f>
        <v>0.147426715319129</v>
      </c>
      <c r="E37" s="54" t="n">
        <f aca="false">IF(ISNUMBER(B37),SUMIFS(Clean_Data!$V$2:$V$2203,Clean_Data!$AB$2:$AB$2203,$A37&amp;"|"&amp;Inputs!$B$5),"")</f>
        <v>0.489977728285078</v>
      </c>
      <c r="F37" s="54" t="n">
        <f aca="false">IF(ISNUMBER(C37),SUMIFS(Clean_Data!$V$2:$V$2203,Clean_Data!$AB$2:$AB$2203,$A37&amp;"|"&amp;Inputs!$B$6),"")</f>
        <v>0.356589147286822</v>
      </c>
      <c r="G37" s="55" t="n">
        <f aca="false">IF(AND(ISNUMBER(E37),ISNUMBER(F37)),(F37-E37)*100,"")</f>
        <v>-13.3388580998256</v>
      </c>
      <c r="H37" s="54" t="n">
        <f aca="false">IF(ISNUMBER(B37),SUMIFS(Clean_Data!$X$2:$X$2203,Clean_Data!$AB$2:$AB$2203,$A37&amp;"|"&amp;Inputs!$B$5),"")</f>
        <v>0</v>
      </c>
      <c r="I37" s="54" t="n">
        <f aca="false">IF(ISNUMBER(C37),SUMIFS(Clean_Data!$X$2:$X$2203,Clean_Data!$AB$2:$AB$2203,$A37&amp;"|"&amp;Inputs!$B$6),"")</f>
        <v>0.0691214470284238</v>
      </c>
      <c r="J37" s="55" t="n">
        <f aca="false">IF(AND(ISNUMBER(H37),ISNUMBER(I37)),(I37-H37)*100,"")</f>
        <v>6.91214470284238</v>
      </c>
      <c r="K37" s="54" t="n">
        <f aca="false">IF(ISNUMBER(C37),SUMIFS(Clean_Data!$Y$2:$Y$2203,Clean_Data!$AB$2:$AB$2203,$A37&amp;"|"&amp;Inputs!$B$6),"")</f>
        <v>0.609173126614987</v>
      </c>
      <c r="L37" s="56" t="n">
        <f aca="false">IF(COUNTIFS(Clean_Data!$AB$2:$AB$2203,$A37&amp;"|"&amp;Inputs!$B$6,Clean_Data!$P$2:$P$2203,"&lt;&gt;")&gt;0,SUMIFS(Clean_Data!$P$2:$P$2203,Clean_Data!$AB$2:$AB$2203,$A37&amp;"|"&amp;Inputs!$B$6),"")</f>
        <v>538.8</v>
      </c>
      <c r="M37" s="52" t="str">
        <f aca="false">IF(ISNUMBER(C37),IF(C37&gt;=Inputs!$B$7,"Yes","No"),"No")</f>
        <v>No</v>
      </c>
      <c r="N37" s="57" t="n">
        <f aca="false">IF(M37="Yes",F37+ROW()/10^9,-1)</f>
        <v>-1</v>
      </c>
      <c r="O37" s="57" t="n">
        <f aca="false">IF(AND(M37="Yes",ISNUMBER(J37)),J37+ROW()/10^9,-1000)</f>
        <v>-1000</v>
      </c>
      <c r="P37" s="57" t="n">
        <f aca="false">IF(M37="Yes",K37+ROW()/10^9,-1)</f>
        <v>-1</v>
      </c>
    </row>
    <row r="38" customFormat="false" ht="15" hidden="false" customHeight="false" outlineLevel="0" collapsed="false">
      <c r="A38" s="52" t="s">
        <v>213</v>
      </c>
      <c r="B38" s="53" t="n">
        <f aca="false">IF(COUNTIFS(Clean_Data!$AB$2:$AB$2203,$A38&amp;"|"&amp;Inputs!$B$5)&gt;0,SUMIFS(Clean_Data!$F$2:$F$2203,Clean_Data!$AB$2:$AB$2203,$A38&amp;"|"&amp;Inputs!$B$5),"")</f>
        <v>7.96</v>
      </c>
      <c r="C38" s="53" t="n">
        <f aca="false">IF(COUNTIFS(Clean_Data!$AB$2:$AB$2203,$A38&amp;"|"&amp;Inputs!$B$6)&gt;0,SUMIFS(Clean_Data!$F$2:$F$2203,Clean_Data!$AB$2:$AB$2203,$A38&amp;"|"&amp;Inputs!$B$6),"")</f>
        <v>7.26</v>
      </c>
      <c r="D38" s="54" t="n">
        <f aca="false">IF(AND(ISNUMBER(B38),ISNUMBER(C38)),IF(AND(B38&gt;0,Inputs!$B$6&gt;Inputs!$B$5),(C38/B38)^(1/(Inputs!$B$6-Inputs!$B$5))-1,""),"")</f>
        <v>-0.0101755607488948</v>
      </c>
      <c r="E38" s="54" t="n">
        <f aca="false">IF(ISNUMBER(B38),SUMIFS(Clean_Data!$V$2:$V$2203,Clean_Data!$AB$2:$AB$2203,$A38&amp;"|"&amp;Inputs!$B$5),"")</f>
        <v>0.548994974874372</v>
      </c>
      <c r="F38" s="54" t="n">
        <f aca="false">IF(ISNUMBER(C38),SUMIFS(Clean_Data!$V$2:$V$2203,Clean_Data!$AB$2:$AB$2203,$A38&amp;"|"&amp;Inputs!$B$6),"")</f>
        <v>0.731404958677686</v>
      </c>
      <c r="G38" s="55" t="n">
        <f aca="false">IF(AND(ISNUMBER(E38),ISNUMBER(F38)),(F38-E38)*100,"")</f>
        <v>18.2409983803314</v>
      </c>
      <c r="H38" s="54" t="n">
        <f aca="false">IF(ISNUMBER(B38),SUMIFS(Clean_Data!$X$2:$X$2203,Clean_Data!$AB$2:$AB$2203,$A38&amp;"|"&amp;Inputs!$B$5),"")</f>
        <v>0.00125628140703518</v>
      </c>
      <c r="I38" s="54" t="n">
        <f aca="false">IF(ISNUMBER(C38),SUMIFS(Clean_Data!$X$2:$X$2203,Clean_Data!$AB$2:$AB$2203,$A38&amp;"|"&amp;Inputs!$B$6),"")</f>
        <v>0.00550964187327824</v>
      </c>
      <c r="J38" s="55" t="n">
        <f aca="false">IF(AND(ISNUMBER(H38),ISNUMBER(I38)),(I38-H38)*100,"")</f>
        <v>0.425336046624306</v>
      </c>
      <c r="K38" s="54" t="n">
        <f aca="false">IF(ISNUMBER(C38),SUMIFS(Clean_Data!$Y$2:$Y$2203,Clean_Data!$AB$2:$AB$2203,$A38&amp;"|"&amp;Inputs!$B$6),"")</f>
        <v>0</v>
      </c>
      <c r="L38" s="56" t="n">
        <f aca="false">IF(COUNTIFS(Clean_Data!$AB$2:$AB$2203,$A38&amp;"|"&amp;Inputs!$B$6,Clean_Data!$P$2:$P$2203,"&lt;&gt;")&gt;0,SUMIFS(Clean_Data!$P$2:$P$2203,Clean_Data!$AB$2:$AB$2203,$A38&amp;"|"&amp;Inputs!$B$6),"")</f>
        <v>225.9</v>
      </c>
      <c r="M38" s="52" t="str">
        <f aca="false">IF(ISNUMBER(C38),IF(C38&gt;=Inputs!$B$7,"Yes","No"),"No")</f>
        <v>No</v>
      </c>
      <c r="N38" s="57" t="n">
        <f aca="false">IF(M38="Yes",F38+ROW()/10^9,-1)</f>
        <v>-1</v>
      </c>
      <c r="O38" s="57" t="n">
        <f aca="false">IF(AND(M38="Yes",ISNUMBER(J38)),J38+ROW()/10^9,-1000)</f>
        <v>-1000</v>
      </c>
      <c r="P38" s="57" t="n">
        <f aca="false">IF(M38="Yes",K38+ROW()/10^9,-1)</f>
        <v>-1</v>
      </c>
    </row>
    <row r="39" customFormat="false" ht="15" hidden="false" customHeight="false" outlineLevel="0" collapsed="false">
      <c r="A39" s="52" t="s">
        <v>214</v>
      </c>
      <c r="B39" s="53" t="n">
        <f aca="false">IF(COUNTIFS(Clean_Data!$AB$2:$AB$2203,$A39&amp;"|"&amp;Inputs!$B$5)&gt;0,SUMIFS(Clean_Data!$F$2:$F$2203,Clean_Data!$AB$2:$AB$2203,$A39&amp;"|"&amp;Inputs!$B$5),"")</f>
        <v>661.08</v>
      </c>
      <c r="C39" s="53" t="n">
        <f aca="false">IF(COUNTIFS(Clean_Data!$AB$2:$AB$2203,$A39&amp;"|"&amp;Inputs!$B$6)&gt;0,SUMIFS(Clean_Data!$F$2:$F$2203,Clean_Data!$AB$2:$AB$2203,$A39&amp;"|"&amp;Inputs!$B$6),"")</f>
        <v>636.79</v>
      </c>
      <c r="D39" s="54" t="n">
        <f aca="false">IF(AND(ISNUMBER(B39),ISNUMBER(C39)),IF(AND(B39&gt;0,Inputs!$B$6&gt;Inputs!$B$5),(C39/B39)^(1/(Inputs!$B$6-Inputs!$B$5))-1,""),"")</f>
        <v>-0.00415079823360565</v>
      </c>
      <c r="E39" s="54" t="n">
        <f aca="false">IF(ISNUMBER(B39),SUMIFS(Clean_Data!$V$2:$V$2203,Clean_Data!$AB$2:$AB$2203,$A39&amp;"|"&amp;Inputs!$B$5),"")</f>
        <v>0.638409874750408</v>
      </c>
      <c r="F39" s="54" t="n">
        <f aca="false">IF(ISNUMBER(C39),SUMIFS(Clean_Data!$V$2:$V$2203,Clean_Data!$AB$2:$AB$2203,$A39&amp;"|"&amp;Inputs!$B$6),"")</f>
        <v>0.642723660861509</v>
      </c>
      <c r="G39" s="55" t="n">
        <f aca="false">IF(AND(ISNUMBER(E39),ISNUMBER(F39)),(F39-E39)*100,"")</f>
        <v>0.431378611110012</v>
      </c>
      <c r="H39" s="54" t="n">
        <f aca="false">IF(ISNUMBER(B39),SUMIFS(Clean_Data!$X$2:$X$2203,Clean_Data!$AB$2:$AB$2203,$A39&amp;"|"&amp;Inputs!$B$5),"")</f>
        <v>0.0451685121316633</v>
      </c>
      <c r="I39" s="54" t="n">
        <f aca="false">IF(ISNUMBER(C39),SUMIFS(Clean_Data!$X$2:$X$2203,Clean_Data!$AB$2:$AB$2203,$A39&amp;"|"&amp;Inputs!$B$6),"")</f>
        <v>0.0883336735815575</v>
      </c>
      <c r="J39" s="55" t="n">
        <f aca="false">IF(AND(ISNUMBER(H39),ISNUMBER(I39)),(I39-H39)*100,"")</f>
        <v>4.31651614498942</v>
      </c>
      <c r="K39" s="54" t="n">
        <f aca="false">IF(ISNUMBER(C39),SUMIFS(Clean_Data!$Y$2:$Y$2203,Clean_Data!$AB$2:$AB$2203,$A39&amp;"|"&amp;Inputs!$B$6),"")</f>
        <v>0.0394792631793841</v>
      </c>
      <c r="L39" s="56" t="n">
        <f aca="false">IF(COUNTIFS(Clean_Data!$AB$2:$AB$2203,$A39&amp;"|"&amp;Inputs!$B$6,Clean_Data!$P$2:$P$2203,"&lt;&gt;")&gt;0,SUMIFS(Clean_Data!$P$2:$P$2203,Clean_Data!$AB$2:$AB$2203,$A39&amp;"|"&amp;Inputs!$B$6),"")</f>
        <v>185.3</v>
      </c>
      <c r="M39" s="52" t="str">
        <f aca="false">IF(ISNUMBER(C39),IF(C39&gt;=Inputs!$B$7,"Yes","No"),"No")</f>
        <v>Yes</v>
      </c>
      <c r="N39" s="57" t="n">
        <f aca="false">IF(M39="Yes",F39+ROW()/10^9,-1)</f>
        <v>0.642723699861509</v>
      </c>
      <c r="O39" s="57" t="n">
        <f aca="false">IF(AND(M39="Yes",ISNUMBER(J39)),J39+ROW()/10^9,-1000)</f>
        <v>4.31651618398942</v>
      </c>
      <c r="P39" s="57" t="n">
        <f aca="false">IF(M39="Yes",K39+ROW()/10^9,-1)</f>
        <v>0.0394793021793841</v>
      </c>
    </row>
    <row r="40" customFormat="false" ht="15" hidden="false" customHeight="false" outlineLevel="0" collapsed="false">
      <c r="A40" s="52" t="s">
        <v>215</v>
      </c>
      <c r="B40" s="53" t="n">
        <f aca="false">IF(COUNTIFS(Clean_Data!$AB$2:$AB$2203,$A40&amp;"|"&amp;Inputs!$B$5)&gt;0,SUMIFS(Clean_Data!$F$2:$F$2203,Clean_Data!$AB$2:$AB$2203,$A40&amp;"|"&amp;Inputs!$B$5),"")</f>
        <v>0.43</v>
      </c>
      <c r="C40" s="53" t="n">
        <f aca="false">IF(COUNTIFS(Clean_Data!$AB$2:$AB$2203,$A40&amp;"|"&amp;Inputs!$B$6)&gt;0,SUMIFS(Clean_Data!$F$2:$F$2203,Clean_Data!$AB$2:$AB$2203,$A40&amp;"|"&amp;Inputs!$B$6),"")</f>
        <v>0.52</v>
      </c>
      <c r="D40" s="54" t="n">
        <f aca="false">IF(AND(ISNUMBER(B40),ISNUMBER(C40)),IF(AND(B40&gt;0,Inputs!$B$6&gt;Inputs!$B$5),(C40/B40)^(1/(Inputs!$B$6-Inputs!$B$5))-1,""),"")</f>
        <v>0.0213404752013768</v>
      </c>
      <c r="E40" s="54" t="n">
        <f aca="false">IF(ISNUMBER(B40),SUMIFS(Clean_Data!$V$2:$V$2203,Clean_Data!$AB$2:$AB$2203,$A40&amp;"|"&amp;Inputs!$B$5),"")</f>
        <v>0.209302325581395</v>
      </c>
      <c r="F40" s="54" t="n">
        <f aca="false">IF(ISNUMBER(C40),SUMIFS(Clean_Data!$V$2:$V$2203,Clean_Data!$AB$2:$AB$2203,$A40&amp;"|"&amp;Inputs!$B$6),"")</f>
        <v>0.307692307692308</v>
      </c>
      <c r="G40" s="55" t="n">
        <f aca="false">IF(AND(ISNUMBER(E40),ISNUMBER(F40)),(F40-E40)*100,"")</f>
        <v>9.83899821109124</v>
      </c>
      <c r="H40" s="54" t="n">
        <f aca="false">IF(ISNUMBER(B40),SUMIFS(Clean_Data!$X$2:$X$2203,Clean_Data!$AB$2:$AB$2203,$A40&amp;"|"&amp;Inputs!$B$5),"")</f>
        <v>0.209302325581395</v>
      </c>
      <c r="I40" s="54" t="n">
        <f aca="false">IF(ISNUMBER(C40),SUMIFS(Clean_Data!$X$2:$X$2203,Clean_Data!$AB$2:$AB$2203,$A40&amp;"|"&amp;Inputs!$B$6),"")</f>
        <v>0.307692307692308</v>
      </c>
      <c r="J40" s="55" t="n">
        <f aca="false">IF(AND(ISNUMBER(H40),ISNUMBER(I40)),(I40-H40)*100,"")</f>
        <v>9.83899821109124</v>
      </c>
      <c r="K40" s="54" t="n">
        <f aca="false">IF(ISNUMBER(C40),SUMIFS(Clean_Data!$Y$2:$Y$2203,Clean_Data!$AB$2:$AB$2203,$A40&amp;"|"&amp;Inputs!$B$6),"")</f>
        <v>0</v>
      </c>
      <c r="L40" s="56" t="n">
        <f aca="false">IF(COUNTIFS(Clean_Data!$AB$2:$AB$2203,$A40&amp;"|"&amp;Inputs!$B$6,Clean_Data!$P$2:$P$2203,"&lt;&gt;")&gt;0,SUMIFS(Clean_Data!$P$2:$P$2203,Clean_Data!$AB$2:$AB$2203,$A40&amp;"|"&amp;Inputs!$B$6),"")</f>
        <v>461.5</v>
      </c>
      <c r="M40" s="52" t="str">
        <f aca="false">IF(ISNUMBER(C40),IF(C40&gt;=Inputs!$B$7,"Yes","No"),"No")</f>
        <v>No</v>
      </c>
      <c r="N40" s="57" t="n">
        <f aca="false">IF(M40="Yes",F40+ROW()/10^9,-1)</f>
        <v>-1</v>
      </c>
      <c r="O40" s="57" t="n">
        <f aca="false">IF(AND(M40="Yes",ISNUMBER(J40)),J40+ROW()/10^9,-1000)</f>
        <v>-1000</v>
      </c>
      <c r="P40" s="57" t="n">
        <f aca="false">IF(M40="Yes",K40+ROW()/10^9,-1)</f>
        <v>-1</v>
      </c>
    </row>
    <row r="41" customFormat="false" ht="15" hidden="false" customHeight="false" outlineLevel="0" collapsed="false">
      <c r="A41" s="52" t="s">
        <v>216</v>
      </c>
      <c r="B41" s="53" t="n">
        <f aca="false">IF(COUNTIFS(Clean_Data!$AB$2:$AB$2203,$A41&amp;"|"&amp;Inputs!$B$5)&gt;0,SUMIFS(Clean_Data!$F$2:$F$2203,Clean_Data!$AB$2:$AB$2203,$A41&amp;"|"&amp;Inputs!$B$5),"")</f>
        <v>0.64</v>
      </c>
      <c r="C41" s="53" t="n">
        <f aca="false">IF(COUNTIFS(Clean_Data!$AB$2:$AB$2203,$A41&amp;"|"&amp;Inputs!$B$6)&gt;0,SUMIFS(Clean_Data!$F$2:$F$2203,Clean_Data!$AB$2:$AB$2203,$A41&amp;"|"&amp;Inputs!$B$6),"")</f>
        <v>0.71</v>
      </c>
      <c r="D41" s="54" t="n">
        <f aca="false">IF(AND(ISNUMBER(B41),ISNUMBER(C41)),IF(AND(B41&gt;0,Inputs!$B$6&gt;Inputs!$B$5),(C41/B41)^(1/(Inputs!$B$6-Inputs!$B$5))-1,""),"")</f>
        <v>0.0115997382607389</v>
      </c>
      <c r="E41" s="54" t="n">
        <f aca="false">IF(ISNUMBER(B41),SUMIFS(Clean_Data!$V$2:$V$2203,Clean_Data!$AB$2:$AB$2203,$A41&amp;"|"&amp;Inputs!$B$5),"")</f>
        <v>0</v>
      </c>
      <c r="F41" s="54" t="n">
        <f aca="false">IF(ISNUMBER(C41),SUMIFS(Clean_Data!$V$2:$V$2203,Clean_Data!$AB$2:$AB$2203,$A41&amp;"|"&amp;Inputs!$B$6),"")</f>
        <v>0.0422535211267606</v>
      </c>
      <c r="G41" s="55" t="n">
        <f aca="false">IF(AND(ISNUMBER(E41),ISNUMBER(F41)),(F41-E41)*100,"")</f>
        <v>4.22535211267606</v>
      </c>
      <c r="H41" s="54" t="n">
        <f aca="false">IF(ISNUMBER(B41),SUMIFS(Clean_Data!$X$2:$X$2203,Clean_Data!$AB$2:$AB$2203,$A41&amp;"|"&amp;Inputs!$B$5),"")</f>
        <v>0</v>
      </c>
      <c r="I41" s="54" t="n">
        <f aca="false">IF(ISNUMBER(C41),SUMIFS(Clean_Data!$X$2:$X$2203,Clean_Data!$AB$2:$AB$2203,$A41&amp;"|"&amp;Inputs!$B$6),"")</f>
        <v>0.0422535211267606</v>
      </c>
      <c r="J41" s="55" t="n">
        <f aca="false">IF(AND(ISNUMBER(H41),ISNUMBER(I41)),(I41-H41)*100,"")</f>
        <v>4.22535211267606</v>
      </c>
      <c r="K41" s="54" t="n">
        <f aca="false">IF(ISNUMBER(C41),SUMIFS(Clean_Data!$Y$2:$Y$2203,Clean_Data!$AB$2:$AB$2203,$A41&amp;"|"&amp;Inputs!$B$6),"")</f>
        <v>0</v>
      </c>
      <c r="L41" s="56" t="n">
        <f aca="false">IF(COUNTIFS(Clean_Data!$AB$2:$AB$2203,$A41&amp;"|"&amp;Inputs!$B$6,Clean_Data!$P$2:$P$2203,"&lt;&gt;")&gt;0,SUMIFS(Clean_Data!$P$2:$P$2203,Clean_Data!$AB$2:$AB$2203,$A41&amp;"|"&amp;Inputs!$B$6),"")</f>
        <v>633.8</v>
      </c>
      <c r="M41" s="52" t="str">
        <f aca="false">IF(ISNUMBER(C41),IF(C41&gt;=Inputs!$B$7,"Yes","No"),"No")</f>
        <v>No</v>
      </c>
      <c r="N41" s="57" t="n">
        <f aca="false">IF(M41="Yes",F41+ROW()/10^9,-1)</f>
        <v>-1</v>
      </c>
      <c r="O41" s="57" t="n">
        <f aca="false">IF(AND(M41="Yes",ISNUMBER(J41)),J41+ROW()/10^9,-1000)</f>
        <v>-1000</v>
      </c>
      <c r="P41" s="57" t="n">
        <f aca="false">IF(M41="Yes",K41+ROW()/10^9,-1)</f>
        <v>-1</v>
      </c>
    </row>
    <row r="42" customFormat="false" ht="15" hidden="false" customHeight="false" outlineLevel="0" collapsed="false">
      <c r="A42" s="52" t="s">
        <v>217</v>
      </c>
      <c r="B42" s="53" t="n">
        <f aca="false">IF(COUNTIFS(Clean_Data!$AB$2:$AB$2203,$A42&amp;"|"&amp;Inputs!$B$5)&gt;0,SUMIFS(Clean_Data!$F$2:$F$2203,Clean_Data!$AB$2:$AB$2203,$A42&amp;"|"&amp;Inputs!$B$5),"")</f>
        <v>0.17</v>
      </c>
      <c r="C42" s="53" t="str">
        <f aca="false">IF(COUNTIFS(Clean_Data!$AB$2:$AB$2203,$A42&amp;"|"&amp;Inputs!$B$6)&gt;0,SUMIFS(Clean_Data!$F$2:$F$2203,Clean_Data!$AB$2:$AB$2203,$A42&amp;"|"&amp;Inputs!$B$6),"")</f>
        <v/>
      </c>
      <c r="D42" s="54" t="str">
        <f aca="false">IF(AND(ISNUMBER(B42),ISNUMBER(C42)),IF(AND(B42&gt;0,Inputs!$B$6&gt;Inputs!$B$5),(C42/B42)^(1/(Inputs!$B$6-Inputs!$B$5))-1,""),"")</f>
        <v/>
      </c>
      <c r="E42" s="54" t="n">
        <f aca="false">IF(ISNUMBER(B42),SUMIFS(Clean_Data!$V$2:$V$2203,Clean_Data!$AB$2:$AB$2203,$A42&amp;"|"&amp;Inputs!$B$5),"")</f>
        <v>1</v>
      </c>
      <c r="F42" s="54" t="str">
        <f aca="false">IF(ISNUMBER(C42),SUMIFS(Clean_Data!$V$2:$V$2203,Clean_Data!$AB$2:$AB$2203,$A42&amp;"|"&amp;Inputs!$B$6),"")</f>
        <v/>
      </c>
      <c r="G42" s="55" t="str">
        <f aca="false">IF(AND(ISNUMBER(E42),ISNUMBER(F42)),(F42-E42)*100,"")</f>
        <v/>
      </c>
      <c r="H42" s="54" t="n">
        <f aca="false">IF(ISNUMBER(B42),SUMIFS(Clean_Data!$X$2:$X$2203,Clean_Data!$AB$2:$AB$2203,$A42&amp;"|"&amp;Inputs!$B$5),"")</f>
        <v>0</v>
      </c>
      <c r="I42" s="54" t="str">
        <f aca="false">IF(ISNUMBER(C42),SUMIFS(Clean_Data!$X$2:$X$2203,Clean_Data!$AB$2:$AB$2203,$A42&amp;"|"&amp;Inputs!$B$6),"")</f>
        <v/>
      </c>
      <c r="J42" s="55" t="str">
        <f aca="false">IF(AND(ISNUMBER(H42),ISNUMBER(I42)),(I42-H42)*100,"")</f>
        <v/>
      </c>
      <c r="K42" s="54" t="str">
        <f aca="false">IF(ISNUMBER(C42),SUMIFS(Clean_Data!$Y$2:$Y$2203,Clean_Data!$AB$2:$AB$2203,$A42&amp;"|"&amp;Inputs!$B$6),"")</f>
        <v/>
      </c>
      <c r="L42" s="56" t="str">
        <f aca="false">IF(COUNTIFS(Clean_Data!$AB$2:$AB$2203,$A42&amp;"|"&amp;Inputs!$B$6,Clean_Data!$P$2:$P$2203,"&lt;&gt;")&gt;0,SUMIFS(Clean_Data!$P$2:$P$2203,Clean_Data!$AB$2:$AB$2203,$A42&amp;"|"&amp;Inputs!$B$6),"")</f>
        <v/>
      </c>
      <c r="M42" s="52" t="str">
        <f aca="false">IF(ISNUMBER(C42),IF(C42&gt;=Inputs!$B$7,"Yes","No"),"No")</f>
        <v>No</v>
      </c>
      <c r="N42" s="57" t="n">
        <f aca="false">IF(M42="Yes",F42+ROW()/10^9,-1)</f>
        <v>-1</v>
      </c>
      <c r="O42" s="57" t="n">
        <f aca="false">IF(AND(M42="Yes",ISNUMBER(J42)),J42+ROW()/10^9,-1000)</f>
        <v>-1000</v>
      </c>
      <c r="P42" s="57" t="n">
        <f aca="false">IF(M42="Yes",K42+ROW()/10^9,-1)</f>
        <v>-1</v>
      </c>
    </row>
    <row r="43" customFormat="false" ht="15" hidden="false" customHeight="false" outlineLevel="0" collapsed="false">
      <c r="A43" s="52" t="s">
        <v>218</v>
      </c>
      <c r="B43" s="53" t="n">
        <f aca="false">IF(COUNTIFS(Clean_Data!$AB$2:$AB$2203,$A43&amp;"|"&amp;Inputs!$B$5)&gt;0,SUMIFS(Clean_Data!$F$2:$F$2203,Clean_Data!$AB$2:$AB$2203,$A43&amp;"|"&amp;Inputs!$B$5),"")</f>
        <v>0.3</v>
      </c>
      <c r="C43" s="53" t="n">
        <f aca="false">IF(COUNTIFS(Clean_Data!$AB$2:$AB$2203,$A43&amp;"|"&amp;Inputs!$B$6)&gt;0,SUMIFS(Clean_Data!$F$2:$F$2203,Clean_Data!$AB$2:$AB$2203,$A43&amp;"|"&amp;Inputs!$B$6),"")</f>
        <v>0.37</v>
      </c>
      <c r="D43" s="54" t="n">
        <f aca="false">IF(AND(ISNUMBER(B43),ISNUMBER(C43)),IF(AND(B43&gt;0,Inputs!$B$6&gt;Inputs!$B$5),(C43/B43)^(1/(Inputs!$B$6-Inputs!$B$5))-1,""),"")</f>
        <v>0.0235759005600689</v>
      </c>
      <c r="E43" s="54" t="n">
        <f aca="false">IF(ISNUMBER(B43),SUMIFS(Clean_Data!$V$2:$V$2203,Clean_Data!$AB$2:$AB$2203,$A43&amp;"|"&amp;Inputs!$B$5),"")</f>
        <v>0.0333333333333333</v>
      </c>
      <c r="F43" s="54" t="n">
        <f aca="false">IF(ISNUMBER(C43),SUMIFS(Clean_Data!$V$2:$V$2203,Clean_Data!$AB$2:$AB$2203,$A43&amp;"|"&amp;Inputs!$B$6),"")</f>
        <v>0.0540540540540541</v>
      </c>
      <c r="G43" s="55" t="n">
        <f aca="false">IF(AND(ISNUMBER(E43),ISNUMBER(F43)),(F43-E43)*100,"")</f>
        <v>2.07207207207207</v>
      </c>
      <c r="H43" s="54" t="n">
        <f aca="false">IF(ISNUMBER(B43),SUMIFS(Clean_Data!$X$2:$X$2203,Clean_Data!$AB$2:$AB$2203,$A43&amp;"|"&amp;Inputs!$B$5),"")</f>
        <v>0</v>
      </c>
      <c r="I43" s="54" t="n">
        <f aca="false">IF(ISNUMBER(C43),SUMIFS(Clean_Data!$X$2:$X$2203,Clean_Data!$AB$2:$AB$2203,$A43&amp;"|"&amp;Inputs!$B$6),"")</f>
        <v>0.027027027027027</v>
      </c>
      <c r="J43" s="55" t="n">
        <f aca="false">IF(AND(ISNUMBER(H43),ISNUMBER(I43)),(I43-H43)*100,"")</f>
        <v>2.7027027027027</v>
      </c>
      <c r="K43" s="54" t="n">
        <f aca="false">IF(ISNUMBER(C43),SUMIFS(Clean_Data!$Y$2:$Y$2203,Clean_Data!$AB$2:$AB$2203,$A43&amp;"|"&amp;Inputs!$B$6),"")</f>
        <v>0</v>
      </c>
      <c r="L43" s="56" t="n">
        <f aca="false">IF(COUNTIFS(Clean_Data!$AB$2:$AB$2203,$A43&amp;"|"&amp;Inputs!$B$6,Clean_Data!$P$2:$P$2203,"&lt;&gt;")&gt;0,SUMIFS(Clean_Data!$P$2:$P$2203,Clean_Data!$AB$2:$AB$2203,$A43&amp;"|"&amp;Inputs!$B$6),"")</f>
        <v>621.6</v>
      </c>
      <c r="M43" s="52" t="str">
        <f aca="false">IF(ISNUMBER(C43),IF(C43&gt;=Inputs!$B$7,"Yes","No"),"No")</f>
        <v>No</v>
      </c>
      <c r="N43" s="57" t="n">
        <f aca="false">IF(M43="Yes",F43+ROW()/10^9,-1)</f>
        <v>-1</v>
      </c>
      <c r="O43" s="57" t="n">
        <f aca="false">IF(AND(M43="Yes",ISNUMBER(J43)),J43+ROW()/10^9,-1000)</f>
        <v>-1000</v>
      </c>
      <c r="P43" s="57" t="n">
        <f aca="false">IF(M43="Yes",K43+ROW()/10^9,-1)</f>
        <v>-1</v>
      </c>
    </row>
    <row r="44" customFormat="false" ht="15" hidden="false" customHeight="false" outlineLevel="0" collapsed="false">
      <c r="A44" s="52" t="s">
        <v>219</v>
      </c>
      <c r="B44" s="53" t="n">
        <f aca="false">IF(COUNTIFS(Clean_Data!$AB$2:$AB$2203,$A44&amp;"|"&amp;Inputs!$B$5)&gt;0,SUMIFS(Clean_Data!$F$2:$F$2203,Clean_Data!$AB$2:$AB$2203,$A44&amp;"|"&amp;Inputs!$B$5),"")</f>
        <v>74.91</v>
      </c>
      <c r="C44" s="53" t="n">
        <f aca="false">IF(COUNTIFS(Clean_Data!$AB$2:$AB$2203,$A44&amp;"|"&amp;Inputs!$B$6)&gt;0,SUMIFS(Clean_Data!$F$2:$F$2203,Clean_Data!$AB$2:$AB$2203,$A44&amp;"|"&amp;Inputs!$B$6),"")</f>
        <v>88.62</v>
      </c>
      <c r="D44" s="54" t="n">
        <f aca="false">IF(AND(ISNUMBER(B44),ISNUMBER(C44)),IF(AND(B44&gt;0,Inputs!$B$6&gt;Inputs!$B$5),(C44/B44)^(1/(Inputs!$B$6-Inputs!$B$5))-1,""),"")</f>
        <v>0.0188499219366529</v>
      </c>
      <c r="E44" s="54" t="n">
        <f aca="false">IF(ISNUMBER(B44),SUMIFS(Clean_Data!$V$2:$V$2203,Clean_Data!$AB$2:$AB$2203,$A44&amp;"|"&amp;Inputs!$B$5),"")</f>
        <v>0.431985048725137</v>
      </c>
      <c r="F44" s="54" t="n">
        <f aca="false">IF(ISNUMBER(C44),SUMIFS(Clean_Data!$V$2:$V$2203,Clean_Data!$AB$2:$AB$2203,$A44&amp;"|"&amp;Inputs!$B$6),"")</f>
        <v>0.700406228842248</v>
      </c>
      <c r="G44" s="55" t="n">
        <f aca="false">IF(AND(ISNUMBER(E44),ISNUMBER(F44)),(F44-E44)*100,"")</f>
        <v>26.8421180117111</v>
      </c>
      <c r="H44" s="54" t="n">
        <f aca="false">IF(ISNUMBER(B44),SUMIFS(Clean_Data!$X$2:$X$2203,Clean_Data!$AB$2:$AB$2203,$A44&amp;"|"&amp;Inputs!$B$5),"")</f>
        <v>0.0447203310639434</v>
      </c>
      <c r="I44" s="54" t="n">
        <f aca="false">IF(ISNUMBER(C44),SUMIFS(Clean_Data!$X$2:$X$2203,Clean_Data!$AB$2:$AB$2203,$A44&amp;"|"&amp;Inputs!$B$6),"")</f>
        <v>0.345520198600767</v>
      </c>
      <c r="J44" s="55" t="n">
        <f aca="false">IF(AND(ISNUMBER(H44),ISNUMBER(I44)),(I44-H44)*100,"")</f>
        <v>30.0799867536824</v>
      </c>
      <c r="K44" s="54" t="n">
        <f aca="false">IF(ISNUMBER(C44),SUMIFS(Clean_Data!$Y$2:$Y$2203,Clean_Data!$AB$2:$AB$2203,$A44&amp;"|"&amp;Inputs!$B$6),"")</f>
        <v>0.153012863913338</v>
      </c>
      <c r="L44" s="56" t="n">
        <f aca="false">IF(COUNTIFS(Clean_Data!$AB$2:$AB$2203,$A44&amp;"|"&amp;Inputs!$B$6,Clean_Data!$P$2:$P$2203,"&lt;&gt;")&gt;0,SUMIFS(Clean_Data!$P$2:$P$2203,Clean_Data!$AB$2:$AB$2203,$A44&amp;"|"&amp;Inputs!$B$6),"")</f>
        <v>259.9</v>
      </c>
      <c r="M44" s="52" t="str">
        <f aca="false">IF(ISNUMBER(C44),IF(C44&gt;=Inputs!$B$7,"Yes","No"),"No")</f>
        <v>Yes</v>
      </c>
      <c r="N44" s="57" t="n">
        <f aca="false">IF(M44="Yes",F44+ROW()/10^9,-1)</f>
        <v>0.700406272842248</v>
      </c>
      <c r="O44" s="57" t="n">
        <f aca="false">IF(AND(M44="Yes",ISNUMBER(J44)),J44+ROW()/10^9,-1000)</f>
        <v>30.0799867976824</v>
      </c>
      <c r="P44" s="57" t="n">
        <f aca="false">IF(M44="Yes",K44+ROW()/10^9,-1)</f>
        <v>0.153012907913338</v>
      </c>
    </row>
    <row r="45" customFormat="false" ht="15" hidden="false" customHeight="false" outlineLevel="0" collapsed="false">
      <c r="A45" s="52" t="s">
        <v>220</v>
      </c>
      <c r="B45" s="53" t="n">
        <f aca="false">IF(COUNTIFS(Clean_Data!$AB$2:$AB$2203,$A45&amp;"|"&amp;Inputs!$B$5)&gt;0,SUMIFS(Clean_Data!$F$2:$F$2203,Clean_Data!$AB$2:$AB$2203,$A45&amp;"|"&amp;Inputs!$B$5),"")</f>
        <v>5814.58</v>
      </c>
      <c r="C45" s="53" t="n">
        <f aca="false">IF(COUNTIFS(Clean_Data!$AB$2:$AB$2203,$A45&amp;"|"&amp;Inputs!$B$6)&gt;0,SUMIFS(Clean_Data!$F$2:$F$2203,Clean_Data!$AB$2:$AB$2203,$A45&amp;"|"&amp;Inputs!$B$6),"")</f>
        <v>10086.88</v>
      </c>
      <c r="D45" s="54" t="n">
        <f aca="false">IF(AND(ISNUMBER(B45),ISNUMBER(C45)),IF(AND(B45&gt;0,Inputs!$B$6&gt;Inputs!$B$5),(C45/B45)^(1/(Inputs!$B$6-Inputs!$B$5))-1,""),"")</f>
        <v>0.063119431085477</v>
      </c>
      <c r="E45" s="54" t="n">
        <f aca="false">IF(ISNUMBER(B45),SUMIFS(Clean_Data!$V$2:$V$2203,Clean_Data!$AB$2:$AB$2203,$A45&amp;"|"&amp;Inputs!$B$5),"")</f>
        <v>0.239683691685384</v>
      </c>
      <c r="F45" s="54" t="n">
        <f aca="false">IF(ISNUMBER(C45),SUMIFS(Clean_Data!$V$2:$V$2203,Clean_Data!$AB$2:$AB$2203,$A45&amp;"|"&amp;Inputs!$B$6),"")</f>
        <v>0.336955530352299</v>
      </c>
      <c r="G45" s="55" t="n">
        <f aca="false">IF(AND(ISNUMBER(E45),ISNUMBER(F45)),(F45-E45)*100,"")</f>
        <v>9.72718386669153</v>
      </c>
      <c r="H45" s="54" t="n">
        <f aca="false">IF(ISNUMBER(B45),SUMIFS(Clean_Data!$X$2:$X$2203,Clean_Data!$AB$2:$AB$2203,$A45&amp;"|"&amp;Inputs!$B$5),"")</f>
        <v>0.0387078688400538</v>
      </c>
      <c r="I45" s="54" t="n">
        <f aca="false">IF(ISNUMBER(C45),SUMIFS(Clean_Data!$X$2:$X$2203,Clean_Data!$AB$2:$AB$2203,$A45&amp;"|"&amp;Inputs!$B$6),"")</f>
        <v>0.182026553304887</v>
      </c>
      <c r="J45" s="55" t="n">
        <f aca="false">IF(AND(ISNUMBER(H45),ISNUMBER(I45)),(I45-H45)*100,"")</f>
        <v>14.3318684464833</v>
      </c>
      <c r="K45" s="54" t="n">
        <f aca="false">IF(ISNUMBER(C45),SUMIFS(Clean_Data!$Y$2:$Y$2203,Clean_Data!$AB$2:$AB$2203,$A45&amp;"|"&amp;Inputs!$B$6),"")</f>
        <v>0.577740589756198</v>
      </c>
      <c r="L45" s="56" t="n">
        <f aca="false">IF(COUNTIFS(Clean_Data!$AB$2:$AB$2203,$A45&amp;"|"&amp;Inputs!$B$6,Clean_Data!$P$2:$P$2203,"&lt;&gt;")&gt;0,SUMIFS(Clean_Data!$P$2:$P$2203,Clean_Data!$AB$2:$AB$2203,$A45&amp;"|"&amp;Inputs!$B$6),"")</f>
        <v>555.4</v>
      </c>
      <c r="M45" s="52" t="str">
        <f aca="false">IF(ISNUMBER(C45),IF(C45&gt;=Inputs!$B$7,"Yes","No"),"No")</f>
        <v>Yes</v>
      </c>
      <c r="N45" s="57" t="n">
        <f aca="false">IF(M45="Yes",F45+ROW()/10^9,-1)</f>
        <v>0.336955575352299</v>
      </c>
      <c r="O45" s="57" t="n">
        <f aca="false">IF(AND(M45="Yes",ISNUMBER(J45)),J45+ROW()/10^9,-1000)</f>
        <v>14.3318684914833</v>
      </c>
      <c r="P45" s="57" t="n">
        <f aca="false">IF(M45="Yes",K45+ROW()/10^9,-1)</f>
        <v>0.577740634756198</v>
      </c>
    </row>
    <row r="46" customFormat="false" ht="15" hidden="false" customHeight="false" outlineLevel="0" collapsed="false">
      <c r="A46" s="52" t="s">
        <v>221</v>
      </c>
      <c r="B46" s="53" t="n">
        <f aca="false">IF(COUNTIFS(Clean_Data!$AB$2:$AB$2203,$A46&amp;"|"&amp;Inputs!$B$5)&gt;0,SUMIFS(Clean_Data!$F$2:$F$2203,Clean_Data!$AB$2:$AB$2203,$A46&amp;"|"&amp;Inputs!$B$5),"")</f>
        <v>77.97</v>
      </c>
      <c r="C46" s="53" t="n">
        <f aca="false">IF(COUNTIFS(Clean_Data!$AB$2:$AB$2203,$A46&amp;"|"&amp;Inputs!$B$6)&gt;0,SUMIFS(Clean_Data!$F$2:$F$2203,Clean_Data!$AB$2:$AB$2203,$A46&amp;"|"&amp;Inputs!$B$6),"")</f>
        <v>89.14</v>
      </c>
      <c r="D46" s="54" t="n">
        <f aca="false">IF(AND(ISNUMBER(B46),ISNUMBER(C46)),IF(AND(B46&gt;0,Inputs!$B$6&gt;Inputs!$B$5),(C46/B46)^(1/(Inputs!$B$6-Inputs!$B$5))-1,""),"")</f>
        <v>0.0149872018050699</v>
      </c>
      <c r="E46" s="54" t="n">
        <f aca="false">IF(ISNUMBER(B46),SUMIFS(Clean_Data!$V$2:$V$2203,Clean_Data!$AB$2:$AB$2203,$A46&amp;"|"&amp;Inputs!$B$5),"")</f>
        <v>0.633448762344491</v>
      </c>
      <c r="F46" s="54" t="n">
        <f aca="false">IF(ISNUMBER(C46),SUMIFS(Clean_Data!$V$2:$V$2203,Clean_Data!$AB$2:$AB$2203,$A46&amp;"|"&amp;Inputs!$B$6),"")</f>
        <v>0.613417096701817</v>
      </c>
      <c r="G46" s="55" t="n">
        <f aca="false">IF(AND(ISNUMBER(E46),ISNUMBER(F46)),(F46-E46)*100,"")</f>
        <v>-2.00316656426741</v>
      </c>
      <c r="H46" s="54" t="n">
        <f aca="false">IF(ISNUMBER(B46),SUMIFS(Clean_Data!$X$2:$X$2203,Clean_Data!$AB$2:$AB$2203,$A46&amp;"|"&amp;Inputs!$B$5),"")</f>
        <v>0.001026035654739</v>
      </c>
      <c r="I46" s="54" t="n">
        <f aca="false">IF(ISNUMBER(C46),SUMIFS(Clean_Data!$X$2:$X$2203,Clean_Data!$AB$2:$AB$2203,$A46&amp;"|"&amp;Inputs!$B$6),"")</f>
        <v>0.0401615436392192</v>
      </c>
      <c r="J46" s="55" t="n">
        <f aca="false">IF(AND(ISNUMBER(H46),ISNUMBER(I46)),(I46-H46)*100,"")</f>
        <v>3.91355079844802</v>
      </c>
      <c r="K46" s="54" t="n">
        <f aca="false">IF(ISNUMBER(C46),SUMIFS(Clean_Data!$Y$2:$Y$2203,Clean_Data!$AB$2:$AB$2203,$A46&amp;"|"&amp;Inputs!$B$6),"")</f>
        <v>0.12575723580884</v>
      </c>
      <c r="L46" s="56" t="n">
        <f aca="false">IF(COUNTIFS(Clean_Data!$AB$2:$AB$2203,$A46&amp;"|"&amp;Inputs!$B$6,Clean_Data!$P$2:$P$2203,"&lt;&gt;")&gt;0,SUMIFS(Clean_Data!$P$2:$P$2203,Clean_Data!$AB$2:$AB$2203,$A46&amp;"|"&amp;Inputs!$B$6),"")</f>
        <v>298.3</v>
      </c>
      <c r="M46" s="52" t="str">
        <f aca="false">IF(ISNUMBER(C46),IF(C46&gt;=Inputs!$B$7,"Yes","No"),"No")</f>
        <v>Yes</v>
      </c>
      <c r="N46" s="57" t="n">
        <f aca="false">IF(M46="Yes",F46+ROW()/10^9,-1)</f>
        <v>0.613417142701817</v>
      </c>
      <c r="O46" s="57" t="n">
        <f aca="false">IF(AND(M46="Yes",ISNUMBER(J46)),J46+ROW()/10^9,-1000)</f>
        <v>3.91355084444802</v>
      </c>
      <c r="P46" s="57" t="n">
        <f aca="false">IF(M46="Yes",K46+ROW()/10^9,-1)</f>
        <v>0.12575728180884</v>
      </c>
    </row>
    <row r="47" customFormat="false" ht="15" hidden="false" customHeight="false" outlineLevel="0" collapsed="false">
      <c r="A47" s="52" t="s">
        <v>222</v>
      </c>
      <c r="B47" s="53" t="n">
        <f aca="false">IF(COUNTIFS(Clean_Data!$AB$2:$AB$2203,$A47&amp;"|"&amp;Inputs!$B$5)&gt;0,SUMIFS(Clean_Data!$F$2:$F$2203,Clean_Data!$AB$2:$AB$2203,$A47&amp;"|"&amp;Inputs!$B$5),"")</f>
        <v>0.05</v>
      </c>
      <c r="C47" s="53" t="str">
        <f aca="false">IF(COUNTIFS(Clean_Data!$AB$2:$AB$2203,$A47&amp;"|"&amp;Inputs!$B$6)&gt;0,SUMIFS(Clean_Data!$F$2:$F$2203,Clean_Data!$AB$2:$AB$2203,$A47&amp;"|"&amp;Inputs!$B$6),"")</f>
        <v/>
      </c>
      <c r="D47" s="54" t="str">
        <f aca="false">IF(AND(ISNUMBER(B47),ISNUMBER(C47)),IF(AND(B47&gt;0,Inputs!$B$6&gt;Inputs!$B$5),(C47/B47)^(1/(Inputs!$B$6-Inputs!$B$5))-1,""),"")</f>
        <v/>
      </c>
      <c r="E47" s="54" t="n">
        <f aca="false">IF(ISNUMBER(B47),SUMIFS(Clean_Data!$V$2:$V$2203,Clean_Data!$AB$2:$AB$2203,$A47&amp;"|"&amp;Inputs!$B$5),"")</f>
        <v>0</v>
      </c>
      <c r="F47" s="54" t="str">
        <f aca="false">IF(ISNUMBER(C47),SUMIFS(Clean_Data!$V$2:$V$2203,Clean_Data!$AB$2:$AB$2203,$A47&amp;"|"&amp;Inputs!$B$6),"")</f>
        <v/>
      </c>
      <c r="G47" s="55" t="str">
        <f aca="false">IF(AND(ISNUMBER(E47),ISNUMBER(F47)),(F47-E47)*100,"")</f>
        <v/>
      </c>
      <c r="H47" s="54" t="n">
        <f aca="false">IF(ISNUMBER(B47),SUMIFS(Clean_Data!$X$2:$X$2203,Clean_Data!$AB$2:$AB$2203,$A47&amp;"|"&amp;Inputs!$B$5),"")</f>
        <v>0</v>
      </c>
      <c r="I47" s="54" t="str">
        <f aca="false">IF(ISNUMBER(C47),SUMIFS(Clean_Data!$X$2:$X$2203,Clean_Data!$AB$2:$AB$2203,$A47&amp;"|"&amp;Inputs!$B$6),"")</f>
        <v/>
      </c>
      <c r="J47" s="55" t="str">
        <f aca="false">IF(AND(ISNUMBER(H47),ISNUMBER(I47)),(I47-H47)*100,"")</f>
        <v/>
      </c>
      <c r="K47" s="54" t="str">
        <f aca="false">IF(ISNUMBER(C47),SUMIFS(Clean_Data!$Y$2:$Y$2203,Clean_Data!$AB$2:$AB$2203,$A47&amp;"|"&amp;Inputs!$B$6),"")</f>
        <v/>
      </c>
      <c r="L47" s="56" t="str">
        <f aca="false">IF(COUNTIFS(Clean_Data!$AB$2:$AB$2203,$A47&amp;"|"&amp;Inputs!$B$6,Clean_Data!$P$2:$P$2203,"&lt;&gt;")&gt;0,SUMIFS(Clean_Data!$P$2:$P$2203,Clean_Data!$AB$2:$AB$2203,$A47&amp;"|"&amp;Inputs!$B$6),"")</f>
        <v/>
      </c>
      <c r="M47" s="52" t="str">
        <f aca="false">IF(ISNUMBER(C47),IF(C47&gt;=Inputs!$B$7,"Yes","No"),"No")</f>
        <v>No</v>
      </c>
      <c r="N47" s="57" t="n">
        <f aca="false">IF(M47="Yes",F47+ROW()/10^9,-1)</f>
        <v>-1</v>
      </c>
      <c r="O47" s="57" t="n">
        <f aca="false">IF(AND(M47="Yes",ISNUMBER(J47)),J47+ROW()/10^9,-1000)</f>
        <v>-1000</v>
      </c>
      <c r="P47" s="57" t="n">
        <f aca="false">IF(M47="Yes",K47+ROW()/10^9,-1)</f>
        <v>-1</v>
      </c>
    </row>
    <row r="48" customFormat="false" ht="15" hidden="false" customHeight="false" outlineLevel="0" collapsed="false">
      <c r="A48" s="52" t="s">
        <v>223</v>
      </c>
      <c r="B48" s="53" t="n">
        <f aca="false">IF(COUNTIFS(Clean_Data!$AB$2:$AB$2203,$A48&amp;"|"&amp;Inputs!$B$5)&gt;0,SUMIFS(Clean_Data!$F$2:$F$2203,Clean_Data!$AB$2:$AB$2203,$A48&amp;"|"&amp;Inputs!$B$5),"")</f>
        <v>2.79</v>
      </c>
      <c r="C48" s="53" t="n">
        <f aca="false">IF(COUNTIFS(Clean_Data!$AB$2:$AB$2203,$A48&amp;"|"&amp;Inputs!$B$6)&gt;0,SUMIFS(Clean_Data!$F$2:$F$2203,Clean_Data!$AB$2:$AB$2203,$A48&amp;"|"&amp;Inputs!$B$6),"")</f>
        <v>5.46</v>
      </c>
      <c r="D48" s="54" t="n">
        <f aca="false">IF(AND(ISNUMBER(B48),ISNUMBER(C48)),IF(AND(B48&gt;0,Inputs!$B$6&gt;Inputs!$B$5),(C48/B48)^(1/(Inputs!$B$6-Inputs!$B$5))-1,""),"")</f>
        <v>0.0774539446788687</v>
      </c>
      <c r="E48" s="54" t="n">
        <f aca="false">IF(ISNUMBER(B48),SUMIFS(Clean_Data!$V$2:$V$2203,Clean_Data!$AB$2:$AB$2203,$A48&amp;"|"&amp;Inputs!$B$5),"")</f>
        <v>0.401433691756272</v>
      </c>
      <c r="F48" s="54" t="n">
        <f aca="false">IF(ISNUMBER(C48),SUMIFS(Clean_Data!$V$2:$V$2203,Clean_Data!$AB$2:$AB$2203,$A48&amp;"|"&amp;Inputs!$B$6),"")</f>
        <v>0.208791208791209</v>
      </c>
      <c r="G48" s="55" t="n">
        <f aca="false">IF(AND(ISNUMBER(E48),ISNUMBER(F48)),(F48-E48)*100,"")</f>
        <v>-19.2642482965064</v>
      </c>
      <c r="H48" s="54" t="n">
        <f aca="false">IF(ISNUMBER(B48),SUMIFS(Clean_Data!$X$2:$X$2203,Clean_Data!$AB$2:$AB$2203,$A48&amp;"|"&amp;Inputs!$B$5),"")</f>
        <v>0</v>
      </c>
      <c r="I48" s="54" t="n">
        <f aca="false">IF(ISNUMBER(C48),SUMIFS(Clean_Data!$X$2:$X$2203,Clean_Data!$AB$2:$AB$2203,$A48&amp;"|"&amp;Inputs!$B$6),"")</f>
        <v>0.00183150183150183</v>
      </c>
      <c r="J48" s="55" t="n">
        <f aca="false">IF(AND(ISNUMBER(H48),ISNUMBER(I48)),(I48-H48)*100,"")</f>
        <v>0.183150183150183</v>
      </c>
      <c r="K48" s="54" t="n">
        <f aca="false">IF(ISNUMBER(C48),SUMIFS(Clean_Data!$Y$2:$Y$2203,Clean_Data!$AB$2:$AB$2203,$A48&amp;"|"&amp;Inputs!$B$6),"")</f>
        <v>0</v>
      </c>
      <c r="L48" s="56" t="n">
        <f aca="false">IF(COUNTIFS(Clean_Data!$AB$2:$AB$2203,$A48&amp;"|"&amp;Inputs!$B$6,Clean_Data!$P$2:$P$2203,"&lt;&gt;")&gt;0,SUMIFS(Clean_Data!$P$2:$P$2203,Clean_Data!$AB$2:$AB$2203,$A48&amp;"|"&amp;Inputs!$B$6),"")</f>
        <v>716.1</v>
      </c>
      <c r="M48" s="52" t="str">
        <f aca="false">IF(ISNUMBER(C48),IF(C48&gt;=Inputs!$B$7,"Yes","No"),"No")</f>
        <v>No</v>
      </c>
      <c r="N48" s="57" t="n">
        <f aca="false">IF(M48="Yes",F48+ROW()/10^9,-1)</f>
        <v>-1</v>
      </c>
      <c r="O48" s="57" t="n">
        <f aca="false">IF(AND(M48="Yes",ISNUMBER(J48)),J48+ROW()/10^9,-1000)</f>
        <v>-1000</v>
      </c>
      <c r="P48" s="57" t="n">
        <f aca="false">IF(M48="Yes",K48+ROW()/10^9,-1)</f>
        <v>-1</v>
      </c>
    </row>
    <row r="49" customFormat="false" ht="15" hidden="false" customHeight="false" outlineLevel="0" collapsed="false">
      <c r="A49" s="52" t="s">
        <v>224</v>
      </c>
      <c r="B49" s="53" t="n">
        <f aca="false">IF(COUNTIFS(Clean_Data!$AB$2:$AB$2203,$A49&amp;"|"&amp;Inputs!$B$5)&gt;0,SUMIFS(Clean_Data!$F$2:$F$2203,Clean_Data!$AB$2:$AB$2203,$A49&amp;"|"&amp;Inputs!$B$5),"")</f>
        <v>0.03</v>
      </c>
      <c r="C49" s="53" t="n">
        <f aca="false">IF(COUNTIFS(Clean_Data!$AB$2:$AB$2203,$A49&amp;"|"&amp;Inputs!$B$6)&gt;0,SUMIFS(Clean_Data!$F$2:$F$2203,Clean_Data!$AB$2:$AB$2203,$A49&amp;"|"&amp;Inputs!$B$6),"")</f>
        <v>0.04</v>
      </c>
      <c r="D49" s="54" t="n">
        <f aca="false">IF(AND(ISNUMBER(B49),ISNUMBER(C49)),IF(AND(B49&gt;0,Inputs!$B$6&gt;Inputs!$B$5),(C49/B49)^(1/(Inputs!$B$6-Inputs!$B$5))-1,""),"")</f>
        <v>0.0324810319761204</v>
      </c>
      <c r="E49" s="54" t="n">
        <f aca="false">IF(ISNUMBER(B49),SUMIFS(Clean_Data!$V$2:$V$2203,Clean_Data!$AB$2:$AB$2203,$A49&amp;"|"&amp;Inputs!$B$5),"")</f>
        <v>0</v>
      </c>
      <c r="F49" s="54" t="n">
        <f aca="false">IF(ISNUMBER(C49),SUMIFS(Clean_Data!$V$2:$V$2203,Clean_Data!$AB$2:$AB$2203,$A49&amp;"|"&amp;Inputs!$B$6),"")</f>
        <v>0.5</v>
      </c>
      <c r="G49" s="55" t="n">
        <f aca="false">IF(AND(ISNUMBER(E49),ISNUMBER(F49)),(F49-E49)*100,"")</f>
        <v>50</v>
      </c>
      <c r="H49" s="54" t="n">
        <f aca="false">IF(ISNUMBER(B49),SUMIFS(Clean_Data!$X$2:$X$2203,Clean_Data!$AB$2:$AB$2203,$A49&amp;"|"&amp;Inputs!$B$5),"")</f>
        <v>0</v>
      </c>
      <c r="I49" s="54" t="n">
        <f aca="false">IF(ISNUMBER(C49),SUMIFS(Clean_Data!$X$2:$X$2203,Clean_Data!$AB$2:$AB$2203,$A49&amp;"|"&amp;Inputs!$B$6),"")</f>
        <v>0.5</v>
      </c>
      <c r="J49" s="55" t="n">
        <f aca="false">IF(AND(ISNUMBER(H49),ISNUMBER(I49)),(I49-H49)*100,"")</f>
        <v>50</v>
      </c>
      <c r="K49" s="54" t="n">
        <f aca="false">IF(ISNUMBER(C49),SUMIFS(Clean_Data!$Y$2:$Y$2203,Clean_Data!$AB$2:$AB$2203,$A49&amp;"|"&amp;Inputs!$B$6),"")</f>
        <v>0</v>
      </c>
      <c r="L49" s="56" t="n">
        <f aca="false">IF(COUNTIFS(Clean_Data!$AB$2:$AB$2203,$A49&amp;"|"&amp;Inputs!$B$6,Clean_Data!$P$2:$P$2203,"&lt;&gt;")&gt;0,SUMIFS(Clean_Data!$P$2:$P$2203,Clean_Data!$AB$2:$AB$2203,$A49&amp;"|"&amp;Inputs!$B$6),"")</f>
        <v>250</v>
      </c>
      <c r="M49" s="52" t="str">
        <f aca="false">IF(ISNUMBER(C49),IF(C49&gt;=Inputs!$B$7,"Yes","No"),"No")</f>
        <v>No</v>
      </c>
      <c r="N49" s="57" t="n">
        <f aca="false">IF(M49="Yes",F49+ROW()/10^9,-1)</f>
        <v>-1</v>
      </c>
      <c r="O49" s="57" t="n">
        <f aca="false">IF(AND(M49="Yes",ISNUMBER(J49)),J49+ROW()/10^9,-1000)</f>
        <v>-1000</v>
      </c>
      <c r="P49" s="57" t="n">
        <f aca="false">IF(M49="Yes",K49+ROW()/10^9,-1)</f>
        <v>-1</v>
      </c>
    </row>
    <row r="50" customFormat="false" ht="15" hidden="false" customHeight="false" outlineLevel="0" collapsed="false">
      <c r="A50" s="52" t="s">
        <v>225</v>
      </c>
      <c r="B50" s="53" t="n">
        <f aca="false">IF(COUNTIFS(Clean_Data!$AB$2:$AB$2203,$A50&amp;"|"&amp;Inputs!$B$5)&gt;0,SUMIFS(Clean_Data!$F$2:$F$2203,Clean_Data!$AB$2:$AB$2203,$A50&amp;"|"&amp;Inputs!$B$5),"")</f>
        <v>10.77</v>
      </c>
      <c r="C50" s="53" t="n">
        <f aca="false">IF(COUNTIFS(Clean_Data!$AB$2:$AB$2203,$A50&amp;"|"&amp;Inputs!$B$6)&gt;0,SUMIFS(Clean_Data!$F$2:$F$2203,Clean_Data!$AB$2:$AB$2203,$A50&amp;"|"&amp;Inputs!$B$6),"")</f>
        <v>11</v>
      </c>
      <c r="D50" s="54" t="n">
        <f aca="false">IF(AND(ISNUMBER(B50),ISNUMBER(C50)),IF(AND(B50&gt;0,Inputs!$B$6&gt;Inputs!$B$5),(C50/B50)^(1/(Inputs!$B$6-Inputs!$B$5))-1,""),"")</f>
        <v>0.00235062301806854</v>
      </c>
      <c r="E50" s="54" t="n">
        <f aca="false">IF(ISNUMBER(B50),SUMIFS(Clean_Data!$V$2:$V$2203,Clean_Data!$AB$2:$AB$2203,$A50&amp;"|"&amp;Inputs!$B$5),"")</f>
        <v>0.989786443825441</v>
      </c>
      <c r="F50" s="54" t="n">
        <f aca="false">IF(ISNUMBER(C50),SUMIFS(Clean_Data!$V$2:$V$2203,Clean_Data!$AB$2:$AB$2203,$A50&amp;"|"&amp;Inputs!$B$6),"")</f>
        <v>0.999090909090909</v>
      </c>
      <c r="G50" s="55" t="n">
        <f aca="false">IF(AND(ISNUMBER(E50),ISNUMBER(F50)),(F50-E50)*100,"")</f>
        <v>0.930446526546802</v>
      </c>
      <c r="H50" s="54" t="n">
        <f aca="false">IF(ISNUMBER(B50),SUMIFS(Clean_Data!$X$2:$X$2203,Clean_Data!$AB$2:$AB$2203,$A50&amp;"|"&amp;Inputs!$B$5),"")</f>
        <v>0.103064066852368</v>
      </c>
      <c r="I50" s="54" t="n">
        <f aca="false">IF(ISNUMBER(C50),SUMIFS(Clean_Data!$X$2:$X$2203,Clean_Data!$AB$2:$AB$2203,$A50&amp;"|"&amp;Inputs!$B$6),"")</f>
        <v>0.120909090909091</v>
      </c>
      <c r="J50" s="55" t="n">
        <f aca="false">IF(AND(ISNUMBER(H50),ISNUMBER(I50)),(I50-H50)*100,"")</f>
        <v>1.78450240567232</v>
      </c>
      <c r="K50" s="54" t="n">
        <f aca="false">IF(ISNUMBER(C50),SUMIFS(Clean_Data!$Y$2:$Y$2203,Clean_Data!$AB$2:$AB$2203,$A50&amp;"|"&amp;Inputs!$B$6),"")</f>
        <v>0</v>
      </c>
      <c r="L50" s="56" t="n">
        <f aca="false">IF(COUNTIFS(Clean_Data!$AB$2:$AB$2203,$A50&amp;"|"&amp;Inputs!$B$6,Clean_Data!$P$2:$P$2203,"&lt;&gt;")&gt;0,SUMIFS(Clean_Data!$P$2:$P$2203,Clean_Data!$AB$2:$AB$2203,$A50&amp;"|"&amp;Inputs!$B$6),"")</f>
        <v>25.5</v>
      </c>
      <c r="M50" s="52" t="str">
        <f aca="false">IF(ISNUMBER(C50),IF(C50&gt;=Inputs!$B$7,"Yes","No"),"No")</f>
        <v>No</v>
      </c>
      <c r="N50" s="57" t="n">
        <f aca="false">IF(M50="Yes",F50+ROW()/10^9,-1)</f>
        <v>-1</v>
      </c>
      <c r="O50" s="57" t="n">
        <f aca="false">IF(AND(M50="Yes",ISNUMBER(J50)),J50+ROW()/10^9,-1000)</f>
        <v>-1000</v>
      </c>
      <c r="P50" s="57" t="n">
        <f aca="false">IF(M50="Yes",K50+ROW()/10^9,-1)</f>
        <v>-1</v>
      </c>
    </row>
    <row r="51" customFormat="false" ht="15" hidden="false" customHeight="false" outlineLevel="0" collapsed="false">
      <c r="A51" s="52" t="s">
        <v>226</v>
      </c>
      <c r="B51" s="53" t="n">
        <f aca="false">IF(COUNTIFS(Clean_Data!$AB$2:$AB$2203,$A51&amp;"|"&amp;Inputs!$B$5)&gt;0,SUMIFS(Clean_Data!$F$2:$F$2203,Clean_Data!$AB$2:$AB$2203,$A51&amp;"|"&amp;Inputs!$B$5),"")</f>
        <v>8.7</v>
      </c>
      <c r="C51" s="53" t="n">
        <f aca="false">IF(COUNTIFS(Clean_Data!$AB$2:$AB$2203,$A51&amp;"|"&amp;Inputs!$B$6)&gt;0,SUMIFS(Clean_Data!$F$2:$F$2203,Clean_Data!$AB$2:$AB$2203,$A51&amp;"|"&amp;Inputs!$B$6),"")</f>
        <v>10.79</v>
      </c>
      <c r="D51" s="54" t="n">
        <f aca="false">IF(AND(ISNUMBER(B51),ISNUMBER(C51)),IF(AND(B51&gt;0,Inputs!$B$6&gt;Inputs!$B$5),(C51/B51)^(1/(Inputs!$B$6-Inputs!$B$5))-1,""),"")</f>
        <v>0.0242102845209637</v>
      </c>
      <c r="E51" s="54" t="n">
        <f aca="false">IF(ISNUMBER(B51),SUMIFS(Clean_Data!$V$2:$V$2203,Clean_Data!$AB$2:$AB$2203,$A51&amp;"|"&amp;Inputs!$B$5),"")</f>
        <v>0.16551724137931</v>
      </c>
      <c r="F51" s="54" t="n">
        <f aca="false">IF(ISNUMBER(C51),SUMIFS(Clean_Data!$V$2:$V$2203,Clean_Data!$AB$2:$AB$2203,$A51&amp;"|"&amp;Inputs!$B$6),"")</f>
        <v>0.289156626506024</v>
      </c>
      <c r="G51" s="55" t="n">
        <f aca="false">IF(AND(ISNUMBER(E51),ISNUMBER(F51)),(F51-E51)*100,"")</f>
        <v>12.3639385126714</v>
      </c>
      <c r="H51" s="54" t="n">
        <f aca="false">IF(ISNUMBER(B51),SUMIFS(Clean_Data!$X$2:$X$2203,Clean_Data!$AB$2:$AB$2203,$A51&amp;"|"&amp;Inputs!$B$5),"")</f>
        <v>0</v>
      </c>
      <c r="I51" s="54" t="n">
        <f aca="false">IF(ISNUMBER(C51),SUMIFS(Clean_Data!$X$2:$X$2203,Clean_Data!$AB$2:$AB$2203,$A51&amp;"|"&amp;Inputs!$B$6),"")</f>
        <v>0.00185356811862836</v>
      </c>
      <c r="J51" s="55" t="n">
        <f aca="false">IF(AND(ISNUMBER(H51),ISNUMBER(I51)),(I51-H51)*100,"")</f>
        <v>0.185356811862836</v>
      </c>
      <c r="K51" s="54" t="n">
        <f aca="false">IF(ISNUMBER(C51),SUMIFS(Clean_Data!$Y$2:$Y$2203,Clean_Data!$AB$2:$AB$2203,$A51&amp;"|"&amp;Inputs!$B$6),"")</f>
        <v>0</v>
      </c>
      <c r="L51" s="56" t="n">
        <f aca="false">IF(COUNTIFS(Clean_Data!$AB$2:$AB$2203,$A51&amp;"|"&amp;Inputs!$B$6,Clean_Data!$P$2:$P$2203,"&lt;&gt;")&gt;0,SUMIFS(Clean_Data!$P$2:$P$2203,Clean_Data!$AB$2:$AB$2203,$A51&amp;"|"&amp;Inputs!$B$6),"")</f>
        <v>405</v>
      </c>
      <c r="M51" s="52" t="str">
        <f aca="false">IF(ISNUMBER(C51),IF(C51&gt;=Inputs!$B$7,"Yes","No"),"No")</f>
        <v>No</v>
      </c>
      <c r="N51" s="57" t="n">
        <f aca="false">IF(M51="Yes",F51+ROW()/10^9,-1)</f>
        <v>-1</v>
      </c>
      <c r="O51" s="57" t="n">
        <f aca="false">IF(AND(M51="Yes",ISNUMBER(J51)),J51+ROW()/10^9,-1000)</f>
        <v>-1000</v>
      </c>
      <c r="P51" s="57" t="n">
        <f aca="false">IF(M51="Yes",K51+ROW()/10^9,-1)</f>
        <v>-1</v>
      </c>
    </row>
    <row r="52" customFormat="false" ht="15" hidden="false" customHeight="false" outlineLevel="0" collapsed="false">
      <c r="A52" s="52" t="s">
        <v>227</v>
      </c>
      <c r="B52" s="53" t="n">
        <f aca="false">IF(COUNTIFS(Clean_Data!$AB$2:$AB$2203,$A52&amp;"|"&amp;Inputs!$B$5)&gt;0,SUMIFS(Clean_Data!$F$2:$F$2203,Clean_Data!$AB$2:$AB$2203,$A52&amp;"|"&amp;Inputs!$B$5),"")</f>
        <v>11.24</v>
      </c>
      <c r="C52" s="53" t="n">
        <f aca="false">IF(COUNTIFS(Clean_Data!$AB$2:$AB$2203,$A52&amp;"|"&amp;Inputs!$B$6)&gt;0,SUMIFS(Clean_Data!$F$2:$F$2203,Clean_Data!$AB$2:$AB$2203,$A52&amp;"|"&amp;Inputs!$B$6),"")</f>
        <v>15.29</v>
      </c>
      <c r="D52" s="54" t="n">
        <f aca="false">IF(AND(ISNUMBER(B52),ISNUMBER(C52)),IF(AND(B52&gt;0,Inputs!$B$6&gt;Inputs!$B$5),(C52/B52)^(1/(Inputs!$B$6-Inputs!$B$5))-1,""),"")</f>
        <v>0.0347823664117855</v>
      </c>
      <c r="E52" s="54" t="n">
        <f aca="false">IF(ISNUMBER(B52),SUMIFS(Clean_Data!$V$2:$V$2203,Clean_Data!$AB$2:$AB$2203,$A52&amp;"|"&amp;Inputs!$B$5),"")</f>
        <v>0.669039145907473</v>
      </c>
      <c r="F52" s="54" t="n">
        <f aca="false">IF(ISNUMBER(C52),SUMIFS(Clean_Data!$V$2:$V$2203,Clean_Data!$AB$2:$AB$2203,$A52&amp;"|"&amp;Inputs!$B$6),"")</f>
        <v>0.734466971877044</v>
      </c>
      <c r="G52" s="55" t="n">
        <f aca="false">IF(AND(ISNUMBER(E52),ISNUMBER(F52)),(F52-E52)*100,"")</f>
        <v>6.54278259695706</v>
      </c>
      <c r="H52" s="54" t="n">
        <f aca="false">IF(ISNUMBER(B52),SUMIFS(Clean_Data!$X$2:$X$2203,Clean_Data!$AB$2:$AB$2203,$A52&amp;"|"&amp;Inputs!$B$5),"")</f>
        <v>0.0765124555160142</v>
      </c>
      <c r="I52" s="54" t="n">
        <f aca="false">IF(ISNUMBER(C52),SUMIFS(Clean_Data!$X$2:$X$2203,Clean_Data!$AB$2:$AB$2203,$A52&amp;"|"&amp;Inputs!$B$6),"")</f>
        <v>0.228907782864617</v>
      </c>
      <c r="J52" s="55" t="n">
        <f aca="false">IF(AND(ISNUMBER(H52),ISNUMBER(I52)),(I52-H52)*100,"")</f>
        <v>15.2395327348603</v>
      </c>
      <c r="K52" s="54" t="n">
        <f aca="false">IF(ISNUMBER(C52),SUMIFS(Clean_Data!$Y$2:$Y$2203,Clean_Data!$AB$2:$AB$2203,$A52&amp;"|"&amp;Inputs!$B$6),"")</f>
        <v>0.052321778940484</v>
      </c>
      <c r="L52" s="56" t="n">
        <f aca="false">IF(COUNTIFS(Clean_Data!$AB$2:$AB$2203,$A52&amp;"|"&amp;Inputs!$B$6,Clean_Data!$P$2:$P$2203,"&lt;&gt;")&gt;0,SUMIFS(Clean_Data!$P$2:$P$2203,Clean_Data!$AB$2:$AB$2203,$A52&amp;"|"&amp;Inputs!$B$6),"")</f>
        <v>170.7</v>
      </c>
      <c r="M52" s="52" t="str">
        <f aca="false">IF(ISNUMBER(C52),IF(C52&gt;=Inputs!$B$7,"Yes","No"),"No")</f>
        <v>No</v>
      </c>
      <c r="N52" s="57" t="n">
        <f aca="false">IF(M52="Yes",F52+ROW()/10^9,-1)</f>
        <v>-1</v>
      </c>
      <c r="O52" s="57" t="n">
        <f aca="false">IF(AND(M52="Yes",ISNUMBER(J52)),J52+ROW()/10^9,-1000)</f>
        <v>-1000</v>
      </c>
      <c r="P52" s="57" t="n">
        <f aca="false">IF(M52="Yes",K52+ROW()/10^9,-1)</f>
        <v>-1</v>
      </c>
    </row>
    <row r="53" customFormat="false" ht="15" hidden="false" customHeight="false" outlineLevel="0" collapsed="false">
      <c r="A53" s="52" t="s">
        <v>228</v>
      </c>
      <c r="B53" s="53" t="n">
        <f aca="false">IF(COUNTIFS(Clean_Data!$AB$2:$AB$2203,$A53&amp;"|"&amp;Inputs!$B$5)&gt;0,SUMIFS(Clean_Data!$F$2:$F$2203,Clean_Data!$AB$2:$AB$2203,$A53&amp;"|"&amp;Inputs!$B$5),"")</f>
        <v>20.39</v>
      </c>
      <c r="C53" s="53" t="n">
        <f aca="false">IF(COUNTIFS(Clean_Data!$AB$2:$AB$2203,$A53&amp;"|"&amp;Inputs!$B$6)&gt;0,SUMIFS(Clean_Data!$F$2:$F$2203,Clean_Data!$AB$2:$AB$2203,$A53&amp;"|"&amp;Inputs!$B$6),"")</f>
        <v>19.43</v>
      </c>
      <c r="D53" s="54" t="n">
        <f aca="false">IF(AND(ISNUMBER(B53),ISNUMBER(C53)),IF(AND(B53&gt;0,Inputs!$B$6&gt;Inputs!$B$5),(C53/B53)^(1/(Inputs!$B$6-Inputs!$B$5))-1,""),"")</f>
        <v>-0.0053441490873013</v>
      </c>
      <c r="E53" s="54" t="n">
        <f aca="false">IF(ISNUMBER(B53),SUMIFS(Clean_Data!$V$2:$V$2203,Clean_Data!$AB$2:$AB$2203,$A53&amp;"|"&amp;Inputs!$B$5),"")</f>
        <v>0.0441392839627268</v>
      </c>
      <c r="F53" s="54" t="n">
        <f aca="false">IF(ISNUMBER(C53),SUMIFS(Clean_Data!$V$2:$V$2203,Clean_Data!$AB$2:$AB$2203,$A53&amp;"|"&amp;Inputs!$B$6),"")</f>
        <v>0.0401441070509521</v>
      </c>
      <c r="G53" s="55" t="n">
        <f aca="false">IF(AND(ISNUMBER(E53),ISNUMBER(F53)),(F53-E53)*100,"")</f>
        <v>-0.399517691177469</v>
      </c>
      <c r="H53" s="54" t="n">
        <f aca="false">IF(ISNUMBER(B53),SUMIFS(Clean_Data!$X$2:$X$2203,Clean_Data!$AB$2:$AB$2203,$A53&amp;"|"&amp;Inputs!$B$5),"")</f>
        <v>0.00735654732712114</v>
      </c>
      <c r="I53" s="54" t="n">
        <f aca="false">IF(ISNUMBER(C53),SUMIFS(Clean_Data!$X$2:$X$2203,Clean_Data!$AB$2:$AB$2203,$A53&amp;"|"&amp;Inputs!$B$6),"")</f>
        <v>0.0159547092125579</v>
      </c>
      <c r="J53" s="55" t="n">
        <f aca="false">IF(AND(ISNUMBER(H53),ISNUMBER(I53)),(I53-H53)*100,"")</f>
        <v>0.859816188543676</v>
      </c>
      <c r="K53" s="54" t="n">
        <f aca="false">IF(ISNUMBER(C53),SUMIFS(Clean_Data!$Y$2:$Y$2203,Clean_Data!$AB$2:$AB$2203,$A53&amp;"|"&amp;Inputs!$B$6),"")</f>
        <v>0</v>
      </c>
      <c r="L53" s="56" t="n">
        <f aca="false">IF(COUNTIFS(Clean_Data!$AB$2:$AB$2203,$A53&amp;"|"&amp;Inputs!$B$6,Clean_Data!$P$2:$P$2203,"&lt;&gt;")&gt;0,SUMIFS(Clean_Data!$P$2:$P$2203,Clean_Data!$AB$2:$AB$2203,$A53&amp;"|"&amp;Inputs!$B$6),"")</f>
        <v>642.8</v>
      </c>
      <c r="M53" s="52" t="str">
        <f aca="false">IF(ISNUMBER(C53),IF(C53&gt;=Inputs!$B$7,"Yes","No"),"No")</f>
        <v>No</v>
      </c>
      <c r="N53" s="57" t="n">
        <f aca="false">IF(M53="Yes",F53+ROW()/10^9,-1)</f>
        <v>-1</v>
      </c>
      <c r="O53" s="57" t="n">
        <f aca="false">IF(AND(M53="Yes",ISNUMBER(J53)),J53+ROW()/10^9,-1000)</f>
        <v>-1000</v>
      </c>
      <c r="P53" s="57" t="n">
        <f aca="false">IF(M53="Yes",K53+ROW()/10^9,-1)</f>
        <v>-1</v>
      </c>
    </row>
    <row r="54" customFormat="false" ht="15" hidden="false" customHeight="false" outlineLevel="0" collapsed="false">
      <c r="A54" s="52" t="s">
        <v>229</v>
      </c>
      <c r="B54" s="53" t="n">
        <f aca="false">IF(COUNTIFS(Clean_Data!$AB$2:$AB$2203,$A54&amp;"|"&amp;Inputs!$B$5)&gt;0,SUMIFS(Clean_Data!$F$2:$F$2203,Clean_Data!$AB$2:$AB$2203,$A54&amp;"|"&amp;Inputs!$B$5),"")</f>
        <v>4.54</v>
      </c>
      <c r="C54" s="53" t="n">
        <f aca="false">IF(COUNTIFS(Clean_Data!$AB$2:$AB$2203,$A54&amp;"|"&amp;Inputs!$B$6)&gt;0,SUMIFS(Clean_Data!$F$2:$F$2203,Clean_Data!$AB$2:$AB$2203,$A54&amp;"|"&amp;Inputs!$B$6),"")</f>
        <v>5.79</v>
      </c>
      <c r="D54" s="54" t="n">
        <f aca="false">IF(AND(ISNUMBER(B54),ISNUMBER(C54)),IF(AND(B54&gt;0,Inputs!$B$6&gt;Inputs!$B$5),(C54/B54)^(1/(Inputs!$B$6-Inputs!$B$5))-1,""),"")</f>
        <v>0.0273912360953297</v>
      </c>
      <c r="E54" s="54" t="n">
        <f aca="false">IF(ISNUMBER(B54),SUMIFS(Clean_Data!$V$2:$V$2203,Clean_Data!$AB$2:$AB$2203,$A54&amp;"|"&amp;Inputs!$B$5),"")</f>
        <v>0.0881057268722467</v>
      </c>
      <c r="F54" s="54" t="n">
        <f aca="false">IF(ISNUMBER(C54),SUMIFS(Clean_Data!$V$2:$V$2203,Clean_Data!$AB$2:$AB$2203,$A54&amp;"|"&amp;Inputs!$B$6),"")</f>
        <v>0.24006908462867</v>
      </c>
      <c r="G54" s="55" t="n">
        <f aca="false">IF(AND(ISNUMBER(E54),ISNUMBER(F54)),(F54-E54)*100,"")</f>
        <v>15.1963357756423</v>
      </c>
      <c r="H54" s="54" t="n">
        <f aca="false">IF(ISNUMBER(B54),SUMIFS(Clean_Data!$X$2:$X$2203,Clean_Data!$AB$2:$AB$2203,$A54&amp;"|"&amp;Inputs!$B$5),"")</f>
        <v>0.0770925110132159</v>
      </c>
      <c r="I54" s="54" t="n">
        <f aca="false">IF(ISNUMBER(C54),SUMIFS(Clean_Data!$X$2:$X$2203,Clean_Data!$AB$2:$AB$2203,$A54&amp;"|"&amp;Inputs!$B$6),"")</f>
        <v>0.229706390328152</v>
      </c>
      <c r="J54" s="55" t="n">
        <f aca="false">IF(AND(ISNUMBER(H54),ISNUMBER(I54)),(I54-H54)*100,"")</f>
        <v>15.2613879314936</v>
      </c>
      <c r="K54" s="54" t="n">
        <f aca="false">IF(ISNUMBER(C54),SUMIFS(Clean_Data!$Y$2:$Y$2203,Clean_Data!$AB$2:$AB$2203,$A54&amp;"|"&amp;Inputs!$B$6),"")</f>
        <v>0</v>
      </c>
      <c r="L54" s="56" t="n">
        <f aca="false">IF(COUNTIFS(Clean_Data!$AB$2:$AB$2203,$A54&amp;"|"&amp;Inputs!$B$6,Clean_Data!$P$2:$P$2203,"&lt;&gt;")&gt;0,SUMIFS(Clean_Data!$P$2:$P$2203,Clean_Data!$AB$2:$AB$2203,$A54&amp;"|"&amp;Inputs!$B$6),"")</f>
        <v>511.2</v>
      </c>
      <c r="M54" s="52" t="str">
        <f aca="false">IF(ISNUMBER(C54),IF(C54&gt;=Inputs!$B$7,"Yes","No"),"No")</f>
        <v>No</v>
      </c>
      <c r="N54" s="57" t="n">
        <f aca="false">IF(M54="Yes",F54+ROW()/10^9,-1)</f>
        <v>-1</v>
      </c>
      <c r="O54" s="57" t="n">
        <f aca="false">IF(AND(M54="Yes",ISNUMBER(J54)),J54+ROW()/10^9,-1000)</f>
        <v>-1000</v>
      </c>
      <c r="P54" s="57" t="n">
        <f aca="false">IF(M54="Yes",K54+ROW()/10^9,-1)</f>
        <v>-1</v>
      </c>
    </row>
    <row r="55" customFormat="false" ht="15" hidden="false" customHeight="false" outlineLevel="0" collapsed="false">
      <c r="A55" s="52" t="s">
        <v>230</v>
      </c>
      <c r="B55" s="53" t="n">
        <f aca="false">IF(COUNTIFS(Clean_Data!$AB$2:$AB$2203,$A55&amp;"|"&amp;Inputs!$B$5)&gt;0,SUMIFS(Clean_Data!$F$2:$F$2203,Clean_Data!$AB$2:$AB$2203,$A55&amp;"|"&amp;Inputs!$B$5),"")</f>
        <v>82.49</v>
      </c>
      <c r="C55" s="53" t="n">
        <f aca="false">IF(COUNTIFS(Clean_Data!$AB$2:$AB$2203,$A55&amp;"|"&amp;Inputs!$B$6)&gt;0,SUMIFS(Clean_Data!$F$2:$F$2203,Clean_Data!$AB$2:$AB$2203,$A55&amp;"|"&amp;Inputs!$B$6),"")</f>
        <v>72.81</v>
      </c>
      <c r="D55" s="54" t="n">
        <f aca="false">IF(AND(ISNUMBER(B55),ISNUMBER(C55)),IF(AND(B55&gt;0,Inputs!$B$6&gt;Inputs!$B$5),(C55/B55)^(1/(Inputs!$B$6-Inputs!$B$5))-1,""),"")</f>
        <v>-0.0137735715390486</v>
      </c>
      <c r="E55" s="54" t="n">
        <f aca="false">IF(ISNUMBER(B55),SUMIFS(Clean_Data!$V$2:$V$2203,Clean_Data!$AB$2:$AB$2203,$A55&amp;"|"&amp;Inputs!$B$5),"")</f>
        <v>0.114074433264638</v>
      </c>
      <c r="F55" s="54" t="n">
        <f aca="false">IF(ISNUMBER(C55),SUMIFS(Clean_Data!$V$2:$V$2203,Clean_Data!$AB$2:$AB$2203,$A55&amp;"|"&amp;Inputs!$B$6),"")</f>
        <v>0.168932838895756</v>
      </c>
      <c r="G55" s="55" t="n">
        <f aca="false">IF(AND(ISNUMBER(E55),ISNUMBER(F55)),(F55-E55)*100,"")</f>
        <v>5.48584056311179</v>
      </c>
      <c r="H55" s="54" t="n">
        <f aca="false">IF(ISNUMBER(B55),SUMIFS(Clean_Data!$X$2:$X$2203,Clean_Data!$AB$2:$AB$2203,$A55&amp;"|"&amp;Inputs!$B$5),"")</f>
        <v>0.0343071887501515</v>
      </c>
      <c r="I55" s="54" t="n">
        <f aca="false">IF(ISNUMBER(C55),SUMIFS(Clean_Data!$X$2:$X$2203,Clean_Data!$AB$2:$AB$2203,$A55&amp;"|"&amp;Inputs!$B$6),"")</f>
        <v>0.0585084466419448</v>
      </c>
      <c r="J55" s="55" t="n">
        <f aca="false">IF(AND(ISNUMBER(H55),ISNUMBER(I55)),(I55-H55)*100,"")</f>
        <v>2.42012578917932</v>
      </c>
      <c r="K55" s="54" t="n">
        <f aca="false">IF(ISNUMBER(C55),SUMIFS(Clean_Data!$Y$2:$Y$2203,Clean_Data!$AB$2:$AB$2203,$A55&amp;"|"&amp;Inputs!$B$6),"")</f>
        <v>0.364235681911825</v>
      </c>
      <c r="L55" s="56" t="n">
        <f aca="false">IF(COUNTIFS(Clean_Data!$AB$2:$AB$2203,$A55&amp;"|"&amp;Inputs!$B$6,Clean_Data!$P$2:$P$2203,"&lt;&gt;")&gt;0,SUMIFS(Clean_Data!$P$2:$P$2203,Clean_Data!$AB$2:$AB$2203,$A55&amp;"|"&amp;Inputs!$B$6),"")</f>
        <v>414.2</v>
      </c>
      <c r="M55" s="52" t="str">
        <f aca="false">IF(ISNUMBER(C55),IF(C55&gt;=Inputs!$B$7,"Yes","No"),"No")</f>
        <v>Yes</v>
      </c>
      <c r="N55" s="57" t="n">
        <f aca="false">IF(M55="Yes",F55+ROW()/10^9,-1)</f>
        <v>0.168932893895756</v>
      </c>
      <c r="O55" s="57" t="n">
        <f aca="false">IF(AND(M55="Yes",ISNUMBER(J55)),J55+ROW()/10^9,-1000)</f>
        <v>2.42012584417932</v>
      </c>
      <c r="P55" s="57" t="n">
        <f aca="false">IF(M55="Yes",K55+ROW()/10^9,-1)</f>
        <v>0.364235736911825</v>
      </c>
    </row>
    <row r="56" customFormat="false" ht="15" hidden="false" customHeight="false" outlineLevel="0" collapsed="false">
      <c r="A56" s="52" t="s">
        <v>231</v>
      </c>
      <c r="B56" s="53" t="n">
        <f aca="false">IF(COUNTIFS(Clean_Data!$AB$2:$AB$2203,$A56&amp;"|"&amp;Inputs!$B$5)&gt;0,SUMIFS(Clean_Data!$F$2:$F$2203,Clean_Data!$AB$2:$AB$2203,$A56&amp;"|"&amp;Inputs!$B$5),"")</f>
        <v>8.84</v>
      </c>
      <c r="C56" s="53" t="n">
        <f aca="false">IF(COUNTIFS(Clean_Data!$AB$2:$AB$2203,$A56&amp;"|"&amp;Inputs!$B$6)&gt;0,SUMIFS(Clean_Data!$F$2:$F$2203,Clean_Data!$AB$2:$AB$2203,$A56&amp;"|"&amp;Inputs!$B$6),"")</f>
        <v>15.92</v>
      </c>
      <c r="D56" s="54" t="n">
        <f aca="false">IF(AND(ISNUMBER(B56),ISNUMBER(C56)),IF(AND(B56&gt;0,Inputs!$B$6&gt;Inputs!$B$5),(C56/B56)^(1/(Inputs!$B$6-Inputs!$B$5))-1,""),"")</f>
        <v>0.067549119020788</v>
      </c>
      <c r="E56" s="54" t="n">
        <f aca="false">IF(ISNUMBER(B56),SUMIFS(Clean_Data!$V$2:$V$2203,Clean_Data!$AB$2:$AB$2203,$A56&amp;"|"&amp;Inputs!$B$5),"")</f>
        <v>0.998868778280543</v>
      </c>
      <c r="F56" s="54" t="n">
        <f aca="false">IF(ISNUMBER(C56),SUMIFS(Clean_Data!$V$2:$V$2203,Clean_Data!$AB$2:$AB$2203,$A56&amp;"|"&amp;Inputs!$B$6),"")</f>
        <v>1</v>
      </c>
      <c r="G56" s="55" t="n">
        <f aca="false">IF(AND(ISNUMBER(E56),ISNUMBER(F56)),(F56-E56)*100,"")</f>
        <v>0.113122171945701</v>
      </c>
      <c r="H56" s="54" t="n">
        <f aca="false">IF(ISNUMBER(B56),SUMIFS(Clean_Data!$X$2:$X$2203,Clean_Data!$AB$2:$AB$2203,$A56&amp;"|"&amp;Inputs!$B$5),"")</f>
        <v>0</v>
      </c>
      <c r="I56" s="54" t="n">
        <f aca="false">IF(ISNUMBER(C56),SUMIFS(Clean_Data!$X$2:$X$2203,Clean_Data!$AB$2:$AB$2203,$A56&amp;"|"&amp;Inputs!$B$6),"")</f>
        <v>0.157663316582915</v>
      </c>
      <c r="J56" s="55" t="n">
        <f aca="false">IF(AND(ISNUMBER(H56),ISNUMBER(I56)),(I56-H56)*100,"")</f>
        <v>15.7663316582915</v>
      </c>
      <c r="K56" s="54" t="n">
        <f aca="false">IF(ISNUMBER(C56),SUMIFS(Clean_Data!$Y$2:$Y$2203,Clean_Data!$AB$2:$AB$2203,$A56&amp;"|"&amp;Inputs!$B$6),"")</f>
        <v>0</v>
      </c>
      <c r="L56" s="56" t="n">
        <f aca="false">IF(COUNTIFS(Clean_Data!$AB$2:$AB$2203,$A56&amp;"|"&amp;Inputs!$B$6,Clean_Data!$P$2:$P$2203,"&lt;&gt;")&gt;0,SUMIFS(Clean_Data!$P$2:$P$2203,Clean_Data!$AB$2:$AB$2203,$A56&amp;"|"&amp;Inputs!$B$6),"")</f>
        <v>27.6</v>
      </c>
      <c r="M56" s="52" t="str">
        <f aca="false">IF(ISNUMBER(C56),IF(C56&gt;=Inputs!$B$7,"Yes","No"),"No")</f>
        <v>No</v>
      </c>
      <c r="N56" s="57" t="n">
        <f aca="false">IF(M56="Yes",F56+ROW()/10^9,-1)</f>
        <v>-1</v>
      </c>
      <c r="O56" s="57" t="n">
        <f aca="false">IF(AND(M56="Yes",ISNUMBER(J56)),J56+ROW()/10^9,-1000)</f>
        <v>-1000</v>
      </c>
      <c r="P56" s="57" t="n">
        <f aca="false">IF(M56="Yes",K56+ROW()/10^9,-1)</f>
        <v>-1</v>
      </c>
    </row>
    <row r="57" customFormat="false" ht="15" hidden="false" customHeight="false" outlineLevel="0" collapsed="false">
      <c r="A57" s="52" t="s">
        <v>232</v>
      </c>
      <c r="B57" s="53" t="n">
        <f aca="false">IF(COUNTIFS(Clean_Data!$AB$2:$AB$2203,$A57&amp;"|"&amp;Inputs!$B$5)&gt;0,SUMIFS(Clean_Data!$F$2:$F$2203,Clean_Data!$AB$2:$AB$2203,$A57&amp;"|"&amp;Inputs!$B$5),"")</f>
        <v>28.78</v>
      </c>
      <c r="C57" s="53" t="n">
        <f aca="false">IF(COUNTIFS(Clean_Data!$AB$2:$AB$2203,$A57&amp;"|"&amp;Inputs!$B$6)&gt;0,SUMIFS(Clean_Data!$F$2:$F$2203,Clean_Data!$AB$2:$AB$2203,$A57&amp;"|"&amp;Inputs!$B$6),"")</f>
        <v>35.06</v>
      </c>
      <c r="D57" s="54" t="n">
        <f aca="false">IF(AND(ISNUMBER(B57),ISNUMBER(C57)),IF(AND(B57&gt;0,Inputs!$B$6&gt;Inputs!$B$5),(C57/B57)^(1/(Inputs!$B$6-Inputs!$B$5))-1,""),"")</f>
        <v>0.0221733858776816</v>
      </c>
      <c r="E57" s="54" t="n">
        <f aca="false">IF(ISNUMBER(B57),SUMIFS(Clean_Data!$V$2:$V$2203,Clean_Data!$AB$2:$AB$2203,$A57&amp;"|"&amp;Inputs!$B$5),"")</f>
        <v>0.657748436414177</v>
      </c>
      <c r="F57" s="54" t="n">
        <f aca="false">IF(ISNUMBER(C57),SUMIFS(Clean_Data!$V$2:$V$2203,Clean_Data!$AB$2:$AB$2203,$A57&amp;"|"&amp;Inputs!$B$6),"")</f>
        <v>0.891899600684541</v>
      </c>
      <c r="G57" s="55" t="n">
        <f aca="false">IF(AND(ISNUMBER(E57),ISNUMBER(F57)),(F57-E57)*100,"")</f>
        <v>23.4151164270364</v>
      </c>
      <c r="H57" s="54" t="n">
        <f aca="false">IF(ISNUMBER(B57),SUMIFS(Clean_Data!$X$2:$X$2203,Clean_Data!$AB$2:$AB$2203,$A57&amp;"|"&amp;Inputs!$B$5),"")</f>
        <v>0.511813759555247</v>
      </c>
      <c r="I57" s="54" t="n">
        <f aca="false">IF(ISNUMBER(C57),SUMIFS(Clean_Data!$X$2:$X$2203,Clean_Data!$AB$2:$AB$2203,$A57&amp;"|"&amp;Inputs!$B$6),"")</f>
        <v>0.689960068454079</v>
      </c>
      <c r="J57" s="55" t="n">
        <f aca="false">IF(AND(ISNUMBER(H57),ISNUMBER(I57)),(I57-H57)*100,"")</f>
        <v>17.8146308898832</v>
      </c>
      <c r="K57" s="54" t="n">
        <f aca="false">IF(ISNUMBER(C57),SUMIFS(Clean_Data!$Y$2:$Y$2203,Clean_Data!$AB$2:$AB$2203,$A57&amp;"|"&amp;Inputs!$B$6),"")</f>
        <v>0.0499144324015973</v>
      </c>
      <c r="L57" s="56" t="n">
        <f aca="false">IF(COUNTIFS(Clean_Data!$AB$2:$AB$2203,$A57&amp;"|"&amp;Inputs!$B$6,Clean_Data!$P$2:$P$2203,"&lt;&gt;")&gt;0,SUMIFS(Clean_Data!$P$2:$P$2203,Clean_Data!$AB$2:$AB$2203,$A57&amp;"|"&amp;Inputs!$B$6),"")</f>
        <v>131.8</v>
      </c>
      <c r="M57" s="52" t="str">
        <f aca="false">IF(ISNUMBER(C57),IF(C57&gt;=Inputs!$B$7,"Yes","No"),"No")</f>
        <v>Yes</v>
      </c>
      <c r="N57" s="57" t="n">
        <f aca="false">IF(M57="Yes",F57+ROW()/10^9,-1)</f>
        <v>0.891899657684541</v>
      </c>
      <c r="O57" s="57" t="n">
        <f aca="false">IF(AND(M57="Yes",ISNUMBER(J57)),J57+ROW()/10^9,-1000)</f>
        <v>17.8146309468832</v>
      </c>
      <c r="P57" s="57" t="n">
        <f aca="false">IF(M57="Yes",K57+ROW()/10^9,-1)</f>
        <v>0.0499144894015973</v>
      </c>
    </row>
    <row r="58" customFormat="false" ht="15" hidden="false" customHeight="false" outlineLevel="0" collapsed="false">
      <c r="A58" s="52" t="s">
        <v>233</v>
      </c>
      <c r="B58" s="53" t="n">
        <f aca="false">IF(COUNTIFS(Clean_Data!$AB$2:$AB$2203,$A58&amp;"|"&amp;Inputs!$B$5)&gt;0,SUMIFS(Clean_Data!$F$2:$F$2203,Clean_Data!$AB$2:$AB$2203,$A58&amp;"|"&amp;Inputs!$B$5),"")</f>
        <v>0.18</v>
      </c>
      <c r="C58" s="53" t="n">
        <f aca="false">IF(COUNTIFS(Clean_Data!$AB$2:$AB$2203,$A58&amp;"|"&amp;Inputs!$B$6)&gt;0,SUMIFS(Clean_Data!$F$2:$F$2203,Clean_Data!$AB$2:$AB$2203,$A58&amp;"|"&amp;Inputs!$B$6),"")</f>
        <v>0.2</v>
      </c>
      <c r="D58" s="54" t="n">
        <f aca="false">IF(AND(ISNUMBER(B58),ISNUMBER(C58)),IF(AND(B58&gt;0,Inputs!$B$6&gt;Inputs!$B$5),(C58/B58)^(1/(Inputs!$B$6-Inputs!$B$5))-1,""),"")</f>
        <v>0.0117755158353465</v>
      </c>
      <c r="E58" s="54" t="n">
        <f aca="false">IF(ISNUMBER(B58),SUMIFS(Clean_Data!$V$2:$V$2203,Clean_Data!$AB$2:$AB$2203,$A58&amp;"|"&amp;Inputs!$B$5),"")</f>
        <v>0</v>
      </c>
      <c r="F58" s="54" t="n">
        <f aca="false">IF(ISNUMBER(C58),SUMIFS(Clean_Data!$V$2:$V$2203,Clean_Data!$AB$2:$AB$2203,$A58&amp;"|"&amp;Inputs!$B$6),"")</f>
        <v>0.35</v>
      </c>
      <c r="G58" s="55" t="n">
        <f aca="false">IF(AND(ISNUMBER(E58),ISNUMBER(F58)),(F58-E58)*100,"")</f>
        <v>35</v>
      </c>
      <c r="H58" s="54" t="n">
        <f aca="false">IF(ISNUMBER(B58),SUMIFS(Clean_Data!$X$2:$X$2203,Clean_Data!$AB$2:$AB$2203,$A58&amp;"|"&amp;Inputs!$B$5),"")</f>
        <v>0</v>
      </c>
      <c r="I58" s="54" t="n">
        <f aca="false">IF(ISNUMBER(C58),SUMIFS(Clean_Data!$X$2:$X$2203,Clean_Data!$AB$2:$AB$2203,$A58&amp;"|"&amp;Inputs!$B$6),"")</f>
        <v>0.35</v>
      </c>
      <c r="J58" s="55" t="n">
        <f aca="false">IF(AND(ISNUMBER(H58),ISNUMBER(I58)),(I58-H58)*100,"")</f>
        <v>35</v>
      </c>
      <c r="K58" s="54" t="n">
        <f aca="false">IF(ISNUMBER(C58),SUMIFS(Clean_Data!$Y$2:$Y$2203,Clean_Data!$AB$2:$AB$2203,$A58&amp;"|"&amp;Inputs!$B$6),"")</f>
        <v>0</v>
      </c>
      <c r="L58" s="56" t="n">
        <f aca="false">IF(COUNTIFS(Clean_Data!$AB$2:$AB$2203,$A58&amp;"|"&amp;Inputs!$B$6,Clean_Data!$P$2:$P$2203,"&lt;&gt;")&gt;0,SUMIFS(Clean_Data!$P$2:$P$2203,Clean_Data!$AB$2:$AB$2203,$A58&amp;"|"&amp;Inputs!$B$6),"")</f>
        <v>450</v>
      </c>
      <c r="M58" s="52" t="str">
        <f aca="false">IF(ISNUMBER(C58),IF(C58&gt;=Inputs!$B$7,"Yes","No"),"No")</f>
        <v>No</v>
      </c>
      <c r="N58" s="57" t="n">
        <f aca="false">IF(M58="Yes",F58+ROW()/10^9,-1)</f>
        <v>-1</v>
      </c>
      <c r="O58" s="57" t="n">
        <f aca="false">IF(AND(M58="Yes",ISNUMBER(J58)),J58+ROW()/10^9,-1000)</f>
        <v>-1000</v>
      </c>
      <c r="P58" s="57" t="n">
        <f aca="false">IF(M58="Yes",K58+ROW()/10^9,-1)</f>
        <v>-1</v>
      </c>
    </row>
    <row r="59" customFormat="false" ht="15" hidden="false" customHeight="false" outlineLevel="0" collapsed="false">
      <c r="A59" s="52" t="s">
        <v>234</v>
      </c>
      <c r="B59" s="53" t="n">
        <f aca="false">IF(COUNTIFS(Clean_Data!$AB$2:$AB$2203,$A59&amp;"|"&amp;Inputs!$B$5)&gt;0,SUMIFS(Clean_Data!$F$2:$F$2203,Clean_Data!$AB$2:$AB$2203,$A59&amp;"|"&amp;Inputs!$B$5),"")</f>
        <v>0.15</v>
      </c>
      <c r="C59" s="53" t="str">
        <f aca="false">IF(COUNTIFS(Clean_Data!$AB$2:$AB$2203,$A59&amp;"|"&amp;Inputs!$B$6)&gt;0,SUMIFS(Clean_Data!$F$2:$F$2203,Clean_Data!$AB$2:$AB$2203,$A59&amp;"|"&amp;Inputs!$B$6),"")</f>
        <v/>
      </c>
      <c r="D59" s="54" t="str">
        <f aca="false">IF(AND(ISNUMBER(B59),ISNUMBER(C59)),IF(AND(B59&gt;0,Inputs!$B$6&gt;Inputs!$B$5),(C59/B59)^(1/(Inputs!$B$6-Inputs!$B$5))-1,""),"")</f>
        <v/>
      </c>
      <c r="E59" s="54" t="n">
        <f aca="false">IF(ISNUMBER(B59),SUMIFS(Clean_Data!$V$2:$V$2203,Clean_Data!$AB$2:$AB$2203,$A59&amp;"|"&amp;Inputs!$B$5),"")</f>
        <v>0.133333333333333</v>
      </c>
      <c r="F59" s="54" t="str">
        <f aca="false">IF(ISNUMBER(C59),SUMIFS(Clean_Data!$V$2:$V$2203,Clean_Data!$AB$2:$AB$2203,$A59&amp;"|"&amp;Inputs!$B$6),"")</f>
        <v/>
      </c>
      <c r="G59" s="55" t="str">
        <f aca="false">IF(AND(ISNUMBER(E59),ISNUMBER(F59)),(F59-E59)*100,"")</f>
        <v/>
      </c>
      <c r="H59" s="54" t="n">
        <f aca="false">IF(ISNUMBER(B59),SUMIFS(Clean_Data!$X$2:$X$2203,Clean_Data!$AB$2:$AB$2203,$A59&amp;"|"&amp;Inputs!$B$5),"")</f>
        <v>0</v>
      </c>
      <c r="I59" s="54" t="str">
        <f aca="false">IF(ISNUMBER(C59),SUMIFS(Clean_Data!$X$2:$X$2203,Clean_Data!$AB$2:$AB$2203,$A59&amp;"|"&amp;Inputs!$B$6),"")</f>
        <v/>
      </c>
      <c r="J59" s="55" t="str">
        <f aca="false">IF(AND(ISNUMBER(H59),ISNUMBER(I59)),(I59-H59)*100,"")</f>
        <v/>
      </c>
      <c r="K59" s="54" t="str">
        <f aca="false">IF(ISNUMBER(C59),SUMIFS(Clean_Data!$Y$2:$Y$2203,Clean_Data!$AB$2:$AB$2203,$A59&amp;"|"&amp;Inputs!$B$6),"")</f>
        <v/>
      </c>
      <c r="L59" s="56" t="str">
        <f aca="false">IF(COUNTIFS(Clean_Data!$AB$2:$AB$2203,$A59&amp;"|"&amp;Inputs!$B$6,Clean_Data!$P$2:$P$2203,"&lt;&gt;")&gt;0,SUMIFS(Clean_Data!$P$2:$P$2203,Clean_Data!$AB$2:$AB$2203,$A59&amp;"|"&amp;Inputs!$B$6),"")</f>
        <v/>
      </c>
      <c r="M59" s="52" t="str">
        <f aca="false">IF(ISNUMBER(C59),IF(C59&gt;=Inputs!$B$7,"Yes","No"),"No")</f>
        <v>No</v>
      </c>
      <c r="N59" s="57" t="n">
        <f aca="false">IF(M59="Yes",F59+ROW()/10^9,-1)</f>
        <v>-1</v>
      </c>
      <c r="O59" s="57" t="n">
        <f aca="false">IF(AND(M59="Yes",ISNUMBER(J59)),J59+ROW()/10^9,-1000)</f>
        <v>-1000</v>
      </c>
      <c r="P59" s="57" t="n">
        <f aca="false">IF(M59="Yes",K59+ROW()/10^9,-1)</f>
        <v>-1</v>
      </c>
    </row>
    <row r="60" customFormat="false" ht="15" hidden="false" customHeight="false" outlineLevel="0" collapsed="false">
      <c r="A60" s="52" t="s">
        <v>235</v>
      </c>
      <c r="B60" s="53" t="n">
        <f aca="false">IF(COUNTIFS(Clean_Data!$AB$2:$AB$2203,$A60&amp;"|"&amp;Inputs!$B$5)&gt;0,SUMIFS(Clean_Data!$F$2:$F$2203,Clean_Data!$AB$2:$AB$2203,$A60&amp;"|"&amp;Inputs!$B$5),"")</f>
        <v>18</v>
      </c>
      <c r="C60" s="53" t="n">
        <f aca="false">IF(COUNTIFS(Clean_Data!$AB$2:$AB$2203,$A60&amp;"|"&amp;Inputs!$B$6)&gt;0,SUMIFS(Clean_Data!$F$2:$F$2203,Clean_Data!$AB$2:$AB$2203,$A60&amp;"|"&amp;Inputs!$B$6),"")</f>
        <v>24.03</v>
      </c>
      <c r="D60" s="54" t="n">
        <f aca="false">IF(AND(ISNUMBER(B60),ISNUMBER(C60)),IF(AND(B60&gt;0,Inputs!$B$6&gt;Inputs!$B$5),(C60/B60)^(1/(Inputs!$B$6-Inputs!$B$5))-1,""),"")</f>
        <v>0.0326243525153482</v>
      </c>
      <c r="E60" s="54" t="n">
        <f aca="false">IF(ISNUMBER(B60),SUMIFS(Clean_Data!$V$2:$V$2203,Clean_Data!$AB$2:$AB$2203,$A60&amp;"|"&amp;Inputs!$B$5),"")</f>
        <v>0.0788888888888889</v>
      </c>
      <c r="F60" s="54" t="n">
        <f aca="false">IF(ISNUMBER(C60),SUMIFS(Clean_Data!$V$2:$V$2203,Clean_Data!$AB$2:$AB$2203,$A60&amp;"|"&amp;Inputs!$B$6),"")</f>
        <v>0.188514357053683</v>
      </c>
      <c r="G60" s="55" t="n">
        <f aca="false">IF(AND(ISNUMBER(E60),ISNUMBER(F60)),(F60-E60)*100,"")</f>
        <v>10.9625468164794</v>
      </c>
      <c r="H60" s="54" t="n">
        <f aca="false">IF(ISNUMBER(B60),SUMIFS(Clean_Data!$X$2:$X$2203,Clean_Data!$AB$2:$AB$2203,$A60&amp;"|"&amp;Inputs!$B$5),"")</f>
        <v>0.0177777777777778</v>
      </c>
      <c r="I60" s="54" t="n">
        <f aca="false">IF(ISNUMBER(C60),SUMIFS(Clean_Data!$X$2:$X$2203,Clean_Data!$AB$2:$AB$2203,$A60&amp;"|"&amp;Inputs!$B$6),"")</f>
        <v>0.118601747815231</v>
      </c>
      <c r="J60" s="55" t="n">
        <f aca="false">IF(AND(ISNUMBER(H60),ISNUMBER(I60)),(I60-H60)*100,"")</f>
        <v>10.0823970037453</v>
      </c>
      <c r="K60" s="54" t="n">
        <f aca="false">IF(ISNUMBER(C60),SUMIFS(Clean_Data!$Y$2:$Y$2203,Clean_Data!$AB$2:$AB$2203,$A60&amp;"|"&amp;Inputs!$B$6),"")</f>
        <v>0.299625468164794</v>
      </c>
      <c r="L60" s="56" t="n">
        <f aca="false">IF(COUNTIFS(Clean_Data!$AB$2:$AB$2203,$A60&amp;"|"&amp;Inputs!$B$6,Clean_Data!$P$2:$P$2203,"&lt;&gt;")&gt;0,SUMIFS(Clean_Data!$P$2:$P$2203,Clean_Data!$AB$2:$AB$2203,$A60&amp;"|"&amp;Inputs!$B$6),"")</f>
        <v>567.6</v>
      </c>
      <c r="M60" s="52" t="str">
        <f aca="false">IF(ISNUMBER(C60),IF(C60&gt;=Inputs!$B$7,"Yes","No"),"No")</f>
        <v>Yes</v>
      </c>
      <c r="N60" s="57" t="n">
        <f aca="false">IF(M60="Yes",F60+ROW()/10^9,-1)</f>
        <v>0.188514417053683</v>
      </c>
      <c r="O60" s="57" t="n">
        <f aca="false">IF(AND(M60="Yes",ISNUMBER(J60)),J60+ROW()/10^9,-1000)</f>
        <v>10.0823970637453</v>
      </c>
      <c r="P60" s="57" t="n">
        <f aca="false">IF(M60="Yes",K60+ROW()/10^9,-1)</f>
        <v>0.299625528164794</v>
      </c>
    </row>
    <row r="61" customFormat="false" ht="15" hidden="false" customHeight="false" outlineLevel="0" collapsed="false">
      <c r="A61" s="52" t="s">
        <v>236</v>
      </c>
      <c r="B61" s="53" t="n">
        <f aca="false">IF(COUNTIFS(Clean_Data!$AB$2:$AB$2203,$A61&amp;"|"&amp;Inputs!$B$5)&gt;0,SUMIFS(Clean_Data!$F$2:$F$2203,Clean_Data!$AB$2:$AB$2203,$A61&amp;"|"&amp;Inputs!$B$5),"")</f>
        <v>0.35</v>
      </c>
      <c r="C61" s="53" t="n">
        <f aca="false">IF(COUNTIFS(Clean_Data!$AB$2:$AB$2203,$A61&amp;"|"&amp;Inputs!$B$6)&gt;0,SUMIFS(Clean_Data!$F$2:$F$2203,Clean_Data!$AB$2:$AB$2203,$A61&amp;"|"&amp;Inputs!$B$6),"")</f>
        <v>0.51</v>
      </c>
      <c r="D61" s="54" t="n">
        <f aca="false">IF(AND(ISNUMBER(B61),ISNUMBER(C61)),IF(AND(B61&gt;0,Inputs!$B$6&gt;Inputs!$B$5),(C61/B61)^(1/(Inputs!$B$6-Inputs!$B$5))-1,""),"")</f>
        <v>0.0427180789428139</v>
      </c>
      <c r="E61" s="54" t="n">
        <f aca="false">IF(ISNUMBER(B61),SUMIFS(Clean_Data!$V$2:$V$2203,Clean_Data!$AB$2:$AB$2203,$A61&amp;"|"&amp;Inputs!$B$5),"")</f>
        <v>0</v>
      </c>
      <c r="F61" s="54" t="n">
        <f aca="false">IF(ISNUMBER(C61),SUMIFS(Clean_Data!$V$2:$V$2203,Clean_Data!$AB$2:$AB$2203,$A61&amp;"|"&amp;Inputs!$B$6),"")</f>
        <v>0</v>
      </c>
      <c r="G61" s="55" t="n">
        <f aca="false">IF(AND(ISNUMBER(E61),ISNUMBER(F61)),(F61-E61)*100,"")</f>
        <v>0</v>
      </c>
      <c r="H61" s="54" t="n">
        <f aca="false">IF(ISNUMBER(B61),SUMIFS(Clean_Data!$X$2:$X$2203,Clean_Data!$AB$2:$AB$2203,$A61&amp;"|"&amp;Inputs!$B$5),"")</f>
        <v>0</v>
      </c>
      <c r="I61" s="54" t="n">
        <f aca="false">IF(ISNUMBER(C61),SUMIFS(Clean_Data!$X$2:$X$2203,Clean_Data!$AB$2:$AB$2203,$A61&amp;"|"&amp;Inputs!$B$6),"")</f>
        <v>0</v>
      </c>
      <c r="J61" s="55" t="n">
        <f aca="false">IF(AND(ISNUMBER(H61),ISNUMBER(I61)),(I61-H61)*100,"")</f>
        <v>0</v>
      </c>
      <c r="K61" s="54" t="n">
        <f aca="false">IF(ISNUMBER(C61),SUMIFS(Clean_Data!$Y$2:$Y$2203,Clean_Data!$AB$2:$AB$2203,$A61&amp;"|"&amp;Inputs!$B$6),"")</f>
        <v>0</v>
      </c>
      <c r="L61" s="56" t="n">
        <f aca="false">IF(COUNTIFS(Clean_Data!$AB$2:$AB$2203,$A61&amp;"|"&amp;Inputs!$B$6,Clean_Data!$P$2:$P$2203,"&lt;&gt;")&gt;0,SUMIFS(Clean_Data!$P$2:$P$2203,Clean_Data!$AB$2:$AB$2203,$A61&amp;"|"&amp;Inputs!$B$6),"")</f>
        <v>666.7</v>
      </c>
      <c r="M61" s="52" t="str">
        <f aca="false">IF(ISNUMBER(C61),IF(C61&gt;=Inputs!$B$7,"Yes","No"),"No")</f>
        <v>No</v>
      </c>
      <c r="N61" s="57" t="n">
        <f aca="false">IF(M61="Yes",F61+ROW()/10^9,-1)</f>
        <v>-1</v>
      </c>
      <c r="O61" s="57" t="n">
        <f aca="false">IF(AND(M61="Yes",ISNUMBER(J61)),J61+ROW()/10^9,-1000)</f>
        <v>-1000</v>
      </c>
      <c r="P61" s="57" t="n">
        <f aca="false">IF(M61="Yes",K61+ROW()/10^9,-1)</f>
        <v>-1</v>
      </c>
    </row>
    <row r="62" customFormat="false" ht="15" hidden="false" customHeight="false" outlineLevel="0" collapsed="false">
      <c r="A62" s="52" t="s">
        <v>237</v>
      </c>
      <c r="B62" s="53" t="n">
        <f aca="false">IF(COUNTIFS(Clean_Data!$AB$2:$AB$2203,$A62&amp;"|"&amp;Inputs!$B$5)&gt;0,SUMIFS(Clean_Data!$F$2:$F$2203,Clean_Data!$AB$2:$AB$2203,$A62&amp;"|"&amp;Inputs!$B$5),"")</f>
        <v>25.83</v>
      </c>
      <c r="C62" s="53" t="n">
        <f aca="false">IF(COUNTIFS(Clean_Data!$AB$2:$AB$2203,$A62&amp;"|"&amp;Inputs!$B$6)&gt;0,SUMIFS(Clean_Data!$F$2:$F$2203,Clean_Data!$AB$2:$AB$2203,$A62&amp;"|"&amp;Inputs!$B$6),"")</f>
        <v>32.66</v>
      </c>
      <c r="D62" s="54" t="n">
        <f aca="false">IF(AND(ISNUMBER(B62),ISNUMBER(C62)),IF(AND(B62&gt;0,Inputs!$B$6&gt;Inputs!$B$5),(C62/B62)^(1/(Inputs!$B$6-Inputs!$B$5))-1,""),"")</f>
        <v>0.0264110249136744</v>
      </c>
      <c r="E62" s="54" t="n">
        <f aca="false">IF(ISNUMBER(B62),SUMIFS(Clean_Data!$V$2:$V$2203,Clean_Data!$AB$2:$AB$2203,$A62&amp;"|"&amp;Inputs!$B$5),"")</f>
        <v>0.511033681765389</v>
      </c>
      <c r="F62" s="54" t="n">
        <f aca="false">IF(ISNUMBER(C62),SUMIFS(Clean_Data!$V$2:$V$2203,Clean_Data!$AB$2:$AB$2203,$A62&amp;"|"&amp;Inputs!$B$6),"")</f>
        <v>0.724433557868953</v>
      </c>
      <c r="G62" s="55" t="n">
        <f aca="false">IF(AND(ISNUMBER(E62),ISNUMBER(F62)),(F62-E62)*100,"")</f>
        <v>21.3399876103564</v>
      </c>
      <c r="H62" s="54" t="n">
        <f aca="false">IF(ISNUMBER(B62),SUMIFS(Clean_Data!$X$2:$X$2203,Clean_Data!$AB$2:$AB$2203,$A62&amp;"|"&amp;Inputs!$B$5),"")</f>
        <v>0.00542005420054201</v>
      </c>
      <c r="I62" s="54" t="n">
        <f aca="false">IF(ISNUMBER(C62),SUMIFS(Clean_Data!$X$2:$X$2203,Clean_Data!$AB$2:$AB$2203,$A62&amp;"|"&amp;Inputs!$B$6),"")</f>
        <v>0.00826699326393142</v>
      </c>
      <c r="J62" s="55" t="n">
        <f aca="false">IF(AND(ISNUMBER(H62),ISNUMBER(I62)),(I62-H62)*100,"")</f>
        <v>0.284693906338941</v>
      </c>
      <c r="K62" s="54" t="n">
        <f aca="false">IF(ISNUMBER(C62),SUMIFS(Clean_Data!$Y$2:$Y$2203,Clean_Data!$AB$2:$AB$2203,$A62&amp;"|"&amp;Inputs!$B$6),"")</f>
        <v>0</v>
      </c>
      <c r="L62" s="56" t="n">
        <f aca="false">IF(COUNTIFS(Clean_Data!$AB$2:$AB$2203,$A62&amp;"|"&amp;Inputs!$B$6,Clean_Data!$P$2:$P$2203,"&lt;&gt;")&gt;0,SUMIFS(Clean_Data!$P$2:$P$2203,Clean_Data!$AB$2:$AB$2203,$A62&amp;"|"&amp;Inputs!$B$6),"")</f>
        <v>203.6</v>
      </c>
      <c r="M62" s="52" t="str">
        <f aca="false">IF(ISNUMBER(C62),IF(C62&gt;=Inputs!$B$7,"Yes","No"),"No")</f>
        <v>Yes</v>
      </c>
      <c r="N62" s="57" t="n">
        <f aca="false">IF(M62="Yes",F62+ROW()/10^9,-1)</f>
        <v>0.724433619868953</v>
      </c>
      <c r="O62" s="57" t="n">
        <f aca="false">IF(AND(M62="Yes",ISNUMBER(J62)),J62+ROW()/10^9,-1000)</f>
        <v>0.284693968338941</v>
      </c>
      <c r="P62" s="57" t="n">
        <f aca="false">IF(M62="Yes",K62+ROW()/10^9,-1)</f>
        <v>6.2E-008</v>
      </c>
    </row>
    <row r="63" customFormat="false" ht="15" hidden="false" customHeight="false" outlineLevel="0" collapsed="false">
      <c r="A63" s="52" t="s">
        <v>238</v>
      </c>
      <c r="B63" s="53" t="n">
        <f aca="false">IF(COUNTIFS(Clean_Data!$AB$2:$AB$2203,$A63&amp;"|"&amp;Inputs!$B$5)&gt;0,SUMIFS(Clean_Data!$F$2:$F$2203,Clean_Data!$AB$2:$AB$2203,$A63&amp;"|"&amp;Inputs!$B$5),"")</f>
        <v>181.83</v>
      </c>
      <c r="C63" s="53" t="n">
        <f aca="false">IF(COUNTIFS(Clean_Data!$AB$2:$AB$2203,$A63&amp;"|"&amp;Inputs!$B$6)&gt;0,SUMIFS(Clean_Data!$F$2:$F$2203,Clean_Data!$AB$2:$AB$2203,$A63&amp;"|"&amp;Inputs!$B$6),"")</f>
        <v>237.39</v>
      </c>
      <c r="D63" s="54" t="n">
        <f aca="false">IF(AND(ISNUMBER(B63),ISNUMBER(C63)),IF(AND(B63&gt;0,Inputs!$B$6&gt;Inputs!$B$5),(C63/B63)^(1/(Inputs!$B$6-Inputs!$B$5))-1,""),"")</f>
        <v>0.0300690069880332</v>
      </c>
      <c r="E63" s="54" t="n">
        <f aca="false">IF(ISNUMBER(B63),SUMIFS(Clean_Data!$V$2:$V$2203,Clean_Data!$AB$2:$AB$2203,$A63&amp;"|"&amp;Inputs!$B$5),"")</f>
        <v>0.0858494197877138</v>
      </c>
      <c r="F63" s="54" t="n">
        <f aca="false">IF(ISNUMBER(C63),SUMIFS(Clean_Data!$V$2:$V$2203,Clean_Data!$AB$2:$AB$2203,$A63&amp;"|"&amp;Inputs!$B$6),"")</f>
        <v>0.111967648173891</v>
      </c>
      <c r="G63" s="55" t="n">
        <f aca="false">IF(AND(ISNUMBER(E63),ISNUMBER(F63)),(F63-E63)*100,"")</f>
        <v>2.61182283861773</v>
      </c>
      <c r="H63" s="54" t="n">
        <f aca="false">IF(ISNUMBER(B63),SUMIFS(Clean_Data!$X$2:$X$2203,Clean_Data!$AB$2:$AB$2203,$A63&amp;"|"&amp;Inputs!$B$5),"")</f>
        <v>0.0106143100698455</v>
      </c>
      <c r="I63" s="54" t="n">
        <f aca="false">IF(ISNUMBER(C63),SUMIFS(Clean_Data!$X$2:$X$2203,Clean_Data!$AB$2:$AB$2203,$A63&amp;"|"&amp;Inputs!$B$6),"")</f>
        <v>0.0514343485403766</v>
      </c>
      <c r="J63" s="55" t="n">
        <f aca="false">IF(AND(ISNUMBER(H63),ISNUMBER(I63)),(I63-H63)*100,"")</f>
        <v>4.08200384705311</v>
      </c>
      <c r="K63" s="54" t="n">
        <f aca="false">IF(ISNUMBER(C63),SUMIFS(Clean_Data!$Y$2:$Y$2203,Clean_Data!$AB$2:$AB$2203,$A63&amp;"|"&amp;Inputs!$B$6),"")</f>
        <v>0</v>
      </c>
      <c r="L63" s="56" t="n">
        <f aca="false">IF(COUNTIFS(Clean_Data!$AB$2:$AB$2203,$A63&amp;"|"&amp;Inputs!$B$6,Clean_Data!$P$2:$P$2203,"&lt;&gt;")&gt;0,SUMIFS(Clean_Data!$P$2:$P$2203,Clean_Data!$AB$2:$AB$2203,$A63&amp;"|"&amp;Inputs!$B$6),"")</f>
        <v>574.5</v>
      </c>
      <c r="M63" s="52" t="str">
        <f aca="false">IF(ISNUMBER(C63),IF(C63&gt;=Inputs!$B$7,"Yes","No"),"No")</f>
        <v>Yes</v>
      </c>
      <c r="N63" s="57" t="n">
        <f aca="false">IF(M63="Yes",F63+ROW()/10^9,-1)</f>
        <v>0.111967711173891</v>
      </c>
      <c r="O63" s="57" t="n">
        <f aca="false">IF(AND(M63="Yes",ISNUMBER(J63)),J63+ROW()/10^9,-1000)</f>
        <v>4.08200391005311</v>
      </c>
      <c r="P63" s="57" t="n">
        <f aca="false">IF(M63="Yes",K63+ROW()/10^9,-1)</f>
        <v>6.3E-008</v>
      </c>
    </row>
    <row r="64" customFormat="false" ht="15" hidden="false" customHeight="false" outlineLevel="0" collapsed="false">
      <c r="A64" s="52" t="s">
        <v>239</v>
      </c>
      <c r="B64" s="53" t="n">
        <f aca="false">IF(COUNTIFS(Clean_Data!$AB$2:$AB$2203,$A64&amp;"|"&amp;Inputs!$B$5)&gt;0,SUMIFS(Clean_Data!$F$2:$F$2203,Clean_Data!$AB$2:$AB$2203,$A64&amp;"|"&amp;Inputs!$B$5),"")</f>
        <v>6.07</v>
      </c>
      <c r="C64" s="53" t="n">
        <f aca="false">IF(COUNTIFS(Clean_Data!$AB$2:$AB$2203,$A64&amp;"|"&amp;Inputs!$B$6)&gt;0,SUMIFS(Clean_Data!$F$2:$F$2203,Clean_Data!$AB$2:$AB$2203,$A64&amp;"|"&amp;Inputs!$B$6),"")</f>
        <v>6.53</v>
      </c>
      <c r="D64" s="54" t="n">
        <f aca="false">IF(AND(ISNUMBER(B64),ISNUMBER(C64)),IF(AND(B64&gt;0,Inputs!$B$6&gt;Inputs!$B$5),(C64/B64)^(1/(Inputs!$B$6-Inputs!$B$5))-1,""),"")</f>
        <v>0.00814950996074071</v>
      </c>
      <c r="E64" s="54" t="n">
        <f aca="false">IF(ISNUMBER(B64),SUMIFS(Clean_Data!$V$2:$V$2203,Clean_Data!$AB$2:$AB$2203,$A64&amp;"|"&amp;Inputs!$B$5),"")</f>
        <v>0.583196046128501</v>
      </c>
      <c r="F64" s="54" t="n">
        <f aca="false">IF(ISNUMBER(C64),SUMIFS(Clean_Data!$V$2:$V$2203,Clean_Data!$AB$2:$AB$2203,$A64&amp;"|"&amp;Inputs!$B$6),"")</f>
        <v>0.908116385911179</v>
      </c>
      <c r="G64" s="55" t="n">
        <f aca="false">IF(AND(ISNUMBER(E64),ISNUMBER(F64)),(F64-E64)*100,"")</f>
        <v>32.4920339782678</v>
      </c>
      <c r="H64" s="54" t="n">
        <f aca="false">IF(ISNUMBER(B64),SUMIFS(Clean_Data!$X$2:$X$2203,Clean_Data!$AB$2:$AB$2203,$A64&amp;"|"&amp;Inputs!$B$5),"")</f>
        <v>0.00164744645799012</v>
      </c>
      <c r="I64" s="54" t="n">
        <f aca="false">IF(ISNUMBER(C64),SUMIFS(Clean_Data!$X$2:$X$2203,Clean_Data!$AB$2:$AB$2203,$A64&amp;"|"&amp;Inputs!$B$6),"")</f>
        <v>0.212863705972435</v>
      </c>
      <c r="J64" s="55" t="n">
        <f aca="false">IF(AND(ISNUMBER(H64),ISNUMBER(I64)),(I64-H64)*100,"")</f>
        <v>21.1216259514445</v>
      </c>
      <c r="K64" s="54" t="n">
        <f aca="false">IF(ISNUMBER(C64),SUMIFS(Clean_Data!$Y$2:$Y$2203,Clean_Data!$AB$2:$AB$2203,$A64&amp;"|"&amp;Inputs!$B$6),"")</f>
        <v>0</v>
      </c>
      <c r="L64" s="56" t="n">
        <f aca="false">IF(COUNTIFS(Clean_Data!$AB$2:$AB$2203,$A64&amp;"|"&amp;Inputs!$B$6,Clean_Data!$P$2:$P$2203,"&lt;&gt;")&gt;0,SUMIFS(Clean_Data!$P$2:$P$2203,Clean_Data!$AB$2:$AB$2203,$A64&amp;"|"&amp;Inputs!$B$6),"")</f>
        <v>113.3</v>
      </c>
      <c r="M64" s="52" t="str">
        <f aca="false">IF(ISNUMBER(C64),IF(C64&gt;=Inputs!$B$7,"Yes","No"),"No")</f>
        <v>No</v>
      </c>
      <c r="N64" s="57" t="n">
        <f aca="false">IF(M64="Yes",F64+ROW()/10^9,-1)</f>
        <v>-1</v>
      </c>
      <c r="O64" s="57" t="n">
        <f aca="false">IF(AND(M64="Yes",ISNUMBER(J64)),J64+ROW()/10^9,-1000)</f>
        <v>-1000</v>
      </c>
      <c r="P64" s="57" t="n">
        <f aca="false">IF(M64="Yes",K64+ROW()/10^9,-1)</f>
        <v>-1</v>
      </c>
    </row>
    <row r="65" customFormat="false" ht="15" hidden="false" customHeight="false" outlineLevel="0" collapsed="false">
      <c r="A65" s="52" t="s">
        <v>240</v>
      </c>
      <c r="B65" s="53" t="n">
        <f aca="false">IF(COUNTIFS(Clean_Data!$AB$2:$AB$2203,$A65&amp;"|"&amp;Inputs!$B$5)&gt;0,SUMIFS(Clean_Data!$F$2:$F$2203,Clean_Data!$AB$2:$AB$2203,$A65&amp;"|"&amp;Inputs!$B$5),"")</f>
        <v>1.3</v>
      </c>
      <c r="C65" s="53" t="n">
        <f aca="false">IF(COUNTIFS(Clean_Data!$AB$2:$AB$2203,$A65&amp;"|"&amp;Inputs!$B$6)&gt;0,SUMIFS(Clean_Data!$F$2:$F$2203,Clean_Data!$AB$2:$AB$2203,$A65&amp;"|"&amp;Inputs!$B$6),"")</f>
        <v>1.49</v>
      </c>
      <c r="D65" s="54" t="n">
        <f aca="false">IF(AND(ISNUMBER(B65),ISNUMBER(C65)),IF(AND(B65&gt;0,Inputs!$B$6&gt;Inputs!$B$5),(C65/B65)^(1/(Inputs!$B$6-Inputs!$B$5))-1,""),"")</f>
        <v>0.0152723207683323</v>
      </c>
      <c r="E65" s="54" t="n">
        <f aca="false">IF(ISNUMBER(B65),SUMIFS(Clean_Data!$V$2:$V$2203,Clean_Data!$AB$2:$AB$2203,$A65&amp;"|"&amp;Inputs!$B$5),"")</f>
        <v>0.361538461538462</v>
      </c>
      <c r="F65" s="54" t="n">
        <f aca="false">IF(ISNUMBER(C65),SUMIFS(Clean_Data!$V$2:$V$2203,Clean_Data!$AB$2:$AB$2203,$A65&amp;"|"&amp;Inputs!$B$6),"")</f>
        <v>0.268456375838926</v>
      </c>
      <c r="G65" s="55" t="n">
        <f aca="false">IF(AND(ISNUMBER(E65),ISNUMBER(F65)),(F65-E65)*100,"")</f>
        <v>-9.30820856995354</v>
      </c>
      <c r="H65" s="54" t="n">
        <f aca="false">IF(ISNUMBER(B65),SUMIFS(Clean_Data!$X$2:$X$2203,Clean_Data!$AB$2:$AB$2203,$A65&amp;"|"&amp;Inputs!$B$5),"")</f>
        <v>0</v>
      </c>
      <c r="I65" s="54" t="n">
        <f aca="false">IF(ISNUMBER(C65),SUMIFS(Clean_Data!$X$2:$X$2203,Clean_Data!$AB$2:$AB$2203,$A65&amp;"|"&amp;Inputs!$B$6),"")</f>
        <v>0</v>
      </c>
      <c r="J65" s="55" t="n">
        <f aca="false">IF(AND(ISNUMBER(H65),ISNUMBER(I65)),(I65-H65)*100,"")</f>
        <v>0</v>
      </c>
      <c r="K65" s="54" t="n">
        <f aca="false">IF(ISNUMBER(C65),SUMIFS(Clean_Data!$Y$2:$Y$2203,Clean_Data!$AB$2:$AB$2203,$A65&amp;"|"&amp;Inputs!$B$6),"")</f>
        <v>0</v>
      </c>
      <c r="L65" s="56" t="n">
        <f aca="false">IF(COUNTIFS(Clean_Data!$AB$2:$AB$2203,$A65&amp;"|"&amp;Inputs!$B$6,Clean_Data!$P$2:$P$2203,"&lt;&gt;")&gt;0,SUMIFS(Clean_Data!$P$2:$P$2203,Clean_Data!$AB$2:$AB$2203,$A65&amp;"|"&amp;Inputs!$B$6),"")</f>
        <v>644.3</v>
      </c>
      <c r="M65" s="52" t="str">
        <f aca="false">IF(ISNUMBER(C65),IF(C65&gt;=Inputs!$B$7,"Yes","No"),"No")</f>
        <v>No</v>
      </c>
      <c r="N65" s="57" t="n">
        <f aca="false">IF(M65="Yes",F65+ROW()/10^9,-1)</f>
        <v>-1</v>
      </c>
      <c r="O65" s="57" t="n">
        <f aca="false">IF(AND(M65="Yes",ISNUMBER(J65)),J65+ROW()/10^9,-1000)</f>
        <v>-1000</v>
      </c>
      <c r="P65" s="57" t="n">
        <f aca="false">IF(M65="Yes",K65+ROW()/10^9,-1)</f>
        <v>-1</v>
      </c>
    </row>
    <row r="66" customFormat="false" ht="15" hidden="false" customHeight="false" outlineLevel="0" collapsed="false">
      <c r="A66" s="52" t="s">
        <v>241</v>
      </c>
      <c r="B66" s="53" t="n">
        <f aca="false">IF(COUNTIFS(Clean_Data!$AB$2:$AB$2203,$A66&amp;"|"&amp;Inputs!$B$5)&gt;0,SUMIFS(Clean_Data!$F$2:$F$2203,Clean_Data!$AB$2:$AB$2203,$A66&amp;"|"&amp;Inputs!$B$5),"")</f>
        <v>0.26</v>
      </c>
      <c r="C66" s="53" t="n">
        <f aca="false">IF(COUNTIFS(Clean_Data!$AB$2:$AB$2203,$A66&amp;"|"&amp;Inputs!$B$6)&gt;0,SUMIFS(Clean_Data!$F$2:$F$2203,Clean_Data!$AB$2:$AB$2203,$A66&amp;"|"&amp;Inputs!$B$6),"")</f>
        <v>0.45</v>
      </c>
      <c r="D66" s="54" t="n">
        <f aca="false">IF(AND(ISNUMBER(B66),ISNUMBER(C66)),IF(AND(B66&gt;0,Inputs!$B$6&gt;Inputs!$B$5),(C66/B66)^(1/(Inputs!$B$6-Inputs!$B$5))-1,""),"")</f>
        <v>0.0628476543771774</v>
      </c>
      <c r="E66" s="54" t="n">
        <f aca="false">IF(ISNUMBER(B66),SUMIFS(Clean_Data!$V$2:$V$2203,Clean_Data!$AB$2:$AB$2203,$A66&amp;"|"&amp;Inputs!$B$5),"")</f>
        <v>0</v>
      </c>
      <c r="F66" s="54" t="n">
        <f aca="false">IF(ISNUMBER(C66),SUMIFS(Clean_Data!$V$2:$V$2203,Clean_Data!$AB$2:$AB$2203,$A66&amp;"|"&amp;Inputs!$B$6),"")</f>
        <v>0.111111111111111</v>
      </c>
      <c r="G66" s="55" t="n">
        <f aca="false">IF(AND(ISNUMBER(E66),ISNUMBER(F66)),(F66-E66)*100,"")</f>
        <v>11.1111111111111</v>
      </c>
      <c r="H66" s="54" t="n">
        <f aca="false">IF(ISNUMBER(B66),SUMIFS(Clean_Data!$X$2:$X$2203,Clean_Data!$AB$2:$AB$2203,$A66&amp;"|"&amp;Inputs!$B$5),"")</f>
        <v>0</v>
      </c>
      <c r="I66" s="54" t="n">
        <f aca="false">IF(ISNUMBER(C66),SUMIFS(Clean_Data!$X$2:$X$2203,Clean_Data!$AB$2:$AB$2203,$A66&amp;"|"&amp;Inputs!$B$6),"")</f>
        <v>0.111111111111111</v>
      </c>
      <c r="J66" s="55" t="n">
        <f aca="false">IF(AND(ISNUMBER(H66),ISNUMBER(I66)),(I66-H66)*100,"")</f>
        <v>11.1111111111111</v>
      </c>
      <c r="K66" s="54" t="n">
        <f aca="false">IF(ISNUMBER(C66),SUMIFS(Clean_Data!$Y$2:$Y$2203,Clean_Data!$AB$2:$AB$2203,$A66&amp;"|"&amp;Inputs!$B$6),"")</f>
        <v>0</v>
      </c>
      <c r="L66" s="56" t="n">
        <f aca="false">IF(COUNTIFS(Clean_Data!$AB$2:$AB$2203,$A66&amp;"|"&amp;Inputs!$B$6,Clean_Data!$P$2:$P$2203,"&lt;&gt;")&gt;0,SUMIFS(Clean_Data!$P$2:$P$2203,Clean_Data!$AB$2:$AB$2203,$A66&amp;"|"&amp;Inputs!$B$6),"")</f>
        <v>577.8</v>
      </c>
      <c r="M66" s="52" t="str">
        <f aca="false">IF(ISNUMBER(C66),IF(C66&gt;=Inputs!$B$7,"Yes","No"),"No")</f>
        <v>No</v>
      </c>
      <c r="N66" s="57" t="n">
        <f aca="false">IF(M66="Yes",F66+ROW()/10^9,-1)</f>
        <v>-1</v>
      </c>
      <c r="O66" s="57" t="n">
        <f aca="false">IF(AND(M66="Yes",ISNUMBER(J66)),J66+ROW()/10^9,-1000)</f>
        <v>-1000</v>
      </c>
      <c r="P66" s="57" t="n">
        <f aca="false">IF(M66="Yes",K66+ROW()/10^9,-1)</f>
        <v>-1</v>
      </c>
    </row>
    <row r="67" customFormat="false" ht="15" hidden="false" customHeight="false" outlineLevel="0" collapsed="false">
      <c r="A67" s="52" t="s">
        <v>242</v>
      </c>
      <c r="B67" s="53" t="n">
        <f aca="false">IF(COUNTIFS(Clean_Data!$AB$2:$AB$2203,$A67&amp;"|"&amp;Inputs!$B$5)&gt;0,SUMIFS(Clean_Data!$F$2:$F$2203,Clean_Data!$AB$2:$AB$2203,$A67&amp;"|"&amp;Inputs!$B$5),"")</f>
        <v>10.15</v>
      </c>
      <c r="C67" s="53" t="n">
        <f aca="false">IF(COUNTIFS(Clean_Data!$AB$2:$AB$2203,$A67&amp;"|"&amp;Inputs!$B$6)&gt;0,SUMIFS(Clean_Data!$F$2:$F$2203,Clean_Data!$AB$2:$AB$2203,$A67&amp;"|"&amp;Inputs!$B$6),"")</f>
        <v>6.26</v>
      </c>
      <c r="D67" s="54" t="n">
        <f aca="false">IF(AND(ISNUMBER(B67),ISNUMBER(C67)),IF(AND(B67&gt;0,Inputs!$B$6&gt;Inputs!$B$5),(C67/B67)^(1/(Inputs!$B$6-Inputs!$B$5))-1,""),"")</f>
        <v>-0.0522829389110756</v>
      </c>
      <c r="E67" s="54" t="n">
        <f aca="false">IF(ISNUMBER(B67),SUMIFS(Clean_Data!$V$2:$V$2203,Clean_Data!$AB$2:$AB$2203,$A67&amp;"|"&amp;Inputs!$B$5),"")</f>
        <v>0.153694581280788</v>
      </c>
      <c r="F67" s="54" t="n">
        <f aca="false">IF(ISNUMBER(C67),SUMIFS(Clean_Data!$V$2:$V$2203,Clean_Data!$AB$2:$AB$2203,$A67&amp;"|"&amp;Inputs!$B$6),"")</f>
        <v>0.557507987220447</v>
      </c>
      <c r="G67" s="55" t="n">
        <f aca="false">IF(AND(ISNUMBER(E67),ISNUMBER(F67)),(F67-E67)*100,"")</f>
        <v>40.3813405939659</v>
      </c>
      <c r="H67" s="54" t="n">
        <f aca="false">IF(ISNUMBER(B67),SUMIFS(Clean_Data!$X$2:$X$2203,Clean_Data!$AB$2:$AB$2203,$A67&amp;"|"&amp;Inputs!$B$5),"")</f>
        <v>0.0699507389162562</v>
      </c>
      <c r="I67" s="54" t="n">
        <f aca="false">IF(ISNUMBER(C67),SUMIFS(Clean_Data!$X$2:$X$2203,Clean_Data!$AB$2:$AB$2203,$A67&amp;"|"&amp;Inputs!$B$6),"")</f>
        <v>0.338658146964856</v>
      </c>
      <c r="J67" s="55" t="n">
        <f aca="false">IF(AND(ISNUMBER(H67),ISNUMBER(I67)),(I67-H67)*100,"")</f>
        <v>26.87074080486</v>
      </c>
      <c r="K67" s="54" t="n">
        <f aca="false">IF(ISNUMBER(C67),SUMIFS(Clean_Data!$Y$2:$Y$2203,Clean_Data!$AB$2:$AB$2203,$A67&amp;"|"&amp;Inputs!$B$6),"")</f>
        <v>0</v>
      </c>
      <c r="L67" s="56" t="n">
        <f aca="false">IF(COUNTIFS(Clean_Data!$AB$2:$AB$2203,$A67&amp;"|"&amp;Inputs!$B$6,Clean_Data!$P$2:$P$2203,"&lt;&gt;")&gt;0,SUMIFS(Clean_Data!$P$2:$P$2203,Clean_Data!$AB$2:$AB$2203,$A67&amp;"|"&amp;Inputs!$B$6),"")</f>
        <v>343.4</v>
      </c>
      <c r="M67" s="52" t="str">
        <f aca="false">IF(ISNUMBER(C67),IF(C67&gt;=Inputs!$B$7,"Yes","No"),"No")</f>
        <v>No</v>
      </c>
      <c r="N67" s="57" t="n">
        <f aca="false">IF(M67="Yes",F67+ROW()/10^9,-1)</f>
        <v>-1</v>
      </c>
      <c r="O67" s="57" t="n">
        <f aca="false">IF(AND(M67="Yes",ISNUMBER(J67)),J67+ROW()/10^9,-1000)</f>
        <v>-1000</v>
      </c>
      <c r="P67" s="57" t="n">
        <f aca="false">IF(M67="Yes",K67+ROW()/10^9,-1)</f>
        <v>-1</v>
      </c>
    </row>
    <row r="68" customFormat="false" ht="15" hidden="false" customHeight="false" outlineLevel="0" collapsed="false">
      <c r="A68" s="52" t="s">
        <v>243</v>
      </c>
      <c r="B68" s="53" t="n">
        <f aca="false">IF(COUNTIFS(Clean_Data!$AB$2:$AB$2203,$A68&amp;"|"&amp;Inputs!$B$5)&gt;0,SUMIFS(Clean_Data!$F$2:$F$2203,Clean_Data!$AB$2:$AB$2203,$A68&amp;"|"&amp;Inputs!$B$5),"")</f>
        <v>0.38</v>
      </c>
      <c r="C68" s="53" t="n">
        <f aca="false">IF(COUNTIFS(Clean_Data!$AB$2:$AB$2203,$A68&amp;"|"&amp;Inputs!$B$6)&gt;0,SUMIFS(Clean_Data!$F$2:$F$2203,Clean_Data!$AB$2:$AB$2203,$A68&amp;"|"&amp;Inputs!$B$6),"")</f>
        <v>0.61</v>
      </c>
      <c r="D68" s="54" t="n">
        <f aca="false">IF(AND(ISNUMBER(B68),ISNUMBER(C68)),IF(AND(B68&gt;0,Inputs!$B$6&gt;Inputs!$B$5),(C68/B68)^(1/(Inputs!$B$6-Inputs!$B$5))-1,""),"")</f>
        <v>0.0539948065301961</v>
      </c>
      <c r="E68" s="54" t="n">
        <f aca="false">IF(ISNUMBER(B68),SUMIFS(Clean_Data!$V$2:$V$2203,Clean_Data!$AB$2:$AB$2203,$A68&amp;"|"&amp;Inputs!$B$5),"")</f>
        <v>0.947368421052632</v>
      </c>
      <c r="F68" s="54" t="n">
        <f aca="false">IF(ISNUMBER(C68),SUMIFS(Clean_Data!$V$2:$V$2203,Clean_Data!$AB$2:$AB$2203,$A68&amp;"|"&amp;Inputs!$B$6),"")</f>
        <v>0.967213114754098</v>
      </c>
      <c r="G68" s="55" t="n">
        <f aca="false">IF(AND(ISNUMBER(E68),ISNUMBER(F68)),(F68-E68)*100,"")</f>
        <v>1.98446937014668</v>
      </c>
      <c r="H68" s="54" t="n">
        <f aca="false">IF(ISNUMBER(B68),SUMIFS(Clean_Data!$X$2:$X$2203,Clean_Data!$AB$2:$AB$2203,$A68&amp;"|"&amp;Inputs!$B$5),"")</f>
        <v>0</v>
      </c>
      <c r="I68" s="54" t="n">
        <f aca="false">IF(ISNUMBER(C68),SUMIFS(Clean_Data!$X$2:$X$2203,Clean_Data!$AB$2:$AB$2203,$A68&amp;"|"&amp;Inputs!$B$6),"")</f>
        <v>0.0491803278688525</v>
      </c>
      <c r="J68" s="55" t="n">
        <f aca="false">IF(AND(ISNUMBER(H68),ISNUMBER(I68)),(I68-H68)*100,"")</f>
        <v>4.91803278688525</v>
      </c>
      <c r="K68" s="54" t="n">
        <f aca="false">IF(ISNUMBER(C68),SUMIFS(Clean_Data!$Y$2:$Y$2203,Clean_Data!$AB$2:$AB$2203,$A68&amp;"|"&amp;Inputs!$B$6),"")</f>
        <v>0.0327868852459016</v>
      </c>
      <c r="L68" s="56" t="n">
        <f aca="false">IF(COUNTIFS(Clean_Data!$AB$2:$AB$2203,$A68&amp;"|"&amp;Inputs!$B$6,Clean_Data!$P$2:$P$2203,"&lt;&gt;")&gt;0,SUMIFS(Clean_Data!$P$2:$P$2203,Clean_Data!$AB$2:$AB$2203,$A68&amp;"|"&amp;Inputs!$B$6),"")</f>
        <v>131.2</v>
      </c>
      <c r="M68" s="52" t="str">
        <f aca="false">IF(ISNUMBER(C68),IF(C68&gt;=Inputs!$B$7,"Yes","No"),"No")</f>
        <v>No</v>
      </c>
      <c r="N68" s="57" t="n">
        <f aca="false">IF(M68="Yes",F68+ROW()/10^9,-1)</f>
        <v>-1</v>
      </c>
      <c r="O68" s="57" t="n">
        <f aca="false">IF(AND(M68="Yes",ISNUMBER(J68)),J68+ROW()/10^9,-1000)</f>
        <v>-1000</v>
      </c>
      <c r="P68" s="57" t="n">
        <f aca="false">IF(M68="Yes",K68+ROW()/10^9,-1)</f>
        <v>-1</v>
      </c>
    </row>
    <row r="69" customFormat="false" ht="15" hidden="false" customHeight="false" outlineLevel="0" collapsed="false">
      <c r="A69" s="52" t="s">
        <v>244</v>
      </c>
      <c r="B69" s="53" t="n">
        <f aca="false">IF(COUNTIFS(Clean_Data!$AB$2:$AB$2203,$A69&amp;"|"&amp;Inputs!$B$5)&gt;0,SUMIFS(Clean_Data!$F$2:$F$2203,Clean_Data!$AB$2:$AB$2203,$A69&amp;"|"&amp;Inputs!$B$5),"")</f>
        <v>10.39</v>
      </c>
      <c r="C69" s="53" t="n">
        <f aca="false">IF(COUNTIFS(Clean_Data!$AB$2:$AB$2203,$A69&amp;"|"&amp;Inputs!$B$6)&gt;0,SUMIFS(Clean_Data!$F$2:$F$2203,Clean_Data!$AB$2:$AB$2203,$A69&amp;"|"&amp;Inputs!$B$6),"")</f>
        <v>25.2</v>
      </c>
      <c r="D69" s="54" t="n">
        <f aca="false">IF(AND(ISNUMBER(B69),ISNUMBER(C69)),IF(AND(B69&gt;0,Inputs!$B$6&gt;Inputs!$B$5),(C69/B69)^(1/(Inputs!$B$6-Inputs!$B$5))-1,""),"")</f>
        <v>0.103453122963837</v>
      </c>
      <c r="E69" s="54" t="n">
        <f aca="false">IF(ISNUMBER(B69),SUMIFS(Clean_Data!$V$2:$V$2203,Clean_Data!$AB$2:$AB$2203,$A69&amp;"|"&amp;Inputs!$B$5),"")</f>
        <v>1</v>
      </c>
      <c r="F69" s="54" t="n">
        <f aca="false">IF(ISNUMBER(C69),SUMIFS(Clean_Data!$V$2:$V$2203,Clean_Data!$AB$2:$AB$2203,$A69&amp;"|"&amp;Inputs!$B$6),"")</f>
        <v>1</v>
      </c>
      <c r="G69" s="55" t="n">
        <f aca="false">IF(AND(ISNUMBER(E69),ISNUMBER(F69)),(F69-E69)*100,"")</f>
        <v>0</v>
      </c>
      <c r="H69" s="54" t="n">
        <f aca="false">IF(ISNUMBER(B69),SUMIFS(Clean_Data!$X$2:$X$2203,Clean_Data!$AB$2:$AB$2203,$A69&amp;"|"&amp;Inputs!$B$5),"")</f>
        <v>0.0750721847930703</v>
      </c>
      <c r="I69" s="54" t="n">
        <f aca="false">IF(ISNUMBER(C69),SUMIFS(Clean_Data!$X$2:$X$2203,Clean_Data!$AB$2:$AB$2203,$A69&amp;"|"&amp;Inputs!$B$6),"")</f>
        <v>0.0293650793650794</v>
      </c>
      <c r="J69" s="55" t="n">
        <f aca="false">IF(AND(ISNUMBER(H69),ISNUMBER(I69)),(I69-H69)*100,"")</f>
        <v>-4.57071054279909</v>
      </c>
      <c r="K69" s="54" t="n">
        <f aca="false">IF(ISNUMBER(C69),SUMIFS(Clean_Data!$Y$2:$Y$2203,Clean_Data!$AB$2:$AB$2203,$A69&amp;"|"&amp;Inputs!$B$6),"")</f>
        <v>0</v>
      </c>
      <c r="L69" s="56" t="n">
        <f aca="false">IF(COUNTIFS(Clean_Data!$AB$2:$AB$2203,$A69&amp;"|"&amp;Inputs!$B$6,Clean_Data!$P$2:$P$2203,"&lt;&gt;")&gt;0,SUMIFS(Clean_Data!$P$2:$P$2203,Clean_Data!$AB$2:$AB$2203,$A69&amp;"|"&amp;Inputs!$B$6),"")</f>
        <v>23.4</v>
      </c>
      <c r="M69" s="52" t="str">
        <f aca="false">IF(ISNUMBER(C69),IF(C69&gt;=Inputs!$B$7,"Yes","No"),"No")</f>
        <v>Yes</v>
      </c>
      <c r="N69" s="57" t="n">
        <f aca="false">IF(M69="Yes",F69+ROW()/10^9,-1)</f>
        <v>1.000000069</v>
      </c>
      <c r="O69" s="57" t="n">
        <f aca="false">IF(AND(M69="Yes",ISNUMBER(J69)),J69+ROW()/10^9,-1000)</f>
        <v>-4.57071047379909</v>
      </c>
      <c r="P69" s="57" t="n">
        <f aca="false">IF(M69="Yes",K69+ROW()/10^9,-1)</f>
        <v>6.9E-008</v>
      </c>
    </row>
    <row r="70" customFormat="false" ht="15" hidden="false" customHeight="false" outlineLevel="0" collapsed="false">
      <c r="A70" s="52" t="s">
        <v>245</v>
      </c>
      <c r="B70" s="53" t="n">
        <f aca="false">IF(COUNTIFS(Clean_Data!$AB$2:$AB$2203,$A70&amp;"|"&amp;Inputs!$B$5)&gt;0,SUMIFS(Clean_Data!$F$2:$F$2203,Clean_Data!$AB$2:$AB$2203,$A70&amp;"|"&amp;Inputs!$B$5),"")</f>
        <v>0.02</v>
      </c>
      <c r="C70" s="53" t="str">
        <f aca="false">IF(COUNTIFS(Clean_Data!$AB$2:$AB$2203,$A70&amp;"|"&amp;Inputs!$B$6)&gt;0,SUMIFS(Clean_Data!$F$2:$F$2203,Clean_Data!$AB$2:$AB$2203,$A70&amp;"|"&amp;Inputs!$B$6),"")</f>
        <v/>
      </c>
      <c r="D70" s="54" t="str">
        <f aca="false">IF(AND(ISNUMBER(B70),ISNUMBER(C70)),IF(AND(B70&gt;0,Inputs!$B$6&gt;Inputs!$B$5),(C70/B70)^(1/(Inputs!$B$6-Inputs!$B$5))-1,""),"")</f>
        <v/>
      </c>
      <c r="E70" s="54" t="n">
        <f aca="false">IF(ISNUMBER(B70),SUMIFS(Clean_Data!$V$2:$V$2203,Clean_Data!$AB$2:$AB$2203,$A70&amp;"|"&amp;Inputs!$B$5),"")</f>
        <v>0.5</v>
      </c>
      <c r="F70" s="54" t="str">
        <f aca="false">IF(ISNUMBER(C70),SUMIFS(Clean_Data!$V$2:$V$2203,Clean_Data!$AB$2:$AB$2203,$A70&amp;"|"&amp;Inputs!$B$6),"")</f>
        <v/>
      </c>
      <c r="G70" s="55" t="str">
        <f aca="false">IF(AND(ISNUMBER(E70),ISNUMBER(F70)),(F70-E70)*100,"")</f>
        <v/>
      </c>
      <c r="H70" s="54" t="n">
        <f aca="false">IF(ISNUMBER(B70),SUMIFS(Clean_Data!$X$2:$X$2203,Clean_Data!$AB$2:$AB$2203,$A70&amp;"|"&amp;Inputs!$B$5),"")</f>
        <v>0.5</v>
      </c>
      <c r="I70" s="54" t="str">
        <f aca="false">IF(ISNUMBER(C70),SUMIFS(Clean_Data!$X$2:$X$2203,Clean_Data!$AB$2:$AB$2203,$A70&amp;"|"&amp;Inputs!$B$6),"")</f>
        <v/>
      </c>
      <c r="J70" s="55" t="str">
        <f aca="false">IF(AND(ISNUMBER(H70),ISNUMBER(I70)),(I70-H70)*100,"")</f>
        <v/>
      </c>
      <c r="K70" s="54" t="str">
        <f aca="false">IF(ISNUMBER(C70),SUMIFS(Clean_Data!$Y$2:$Y$2203,Clean_Data!$AB$2:$AB$2203,$A70&amp;"|"&amp;Inputs!$B$6),"")</f>
        <v/>
      </c>
      <c r="L70" s="56" t="str">
        <f aca="false">IF(COUNTIFS(Clean_Data!$AB$2:$AB$2203,$A70&amp;"|"&amp;Inputs!$B$6,Clean_Data!$P$2:$P$2203,"&lt;&gt;")&gt;0,SUMIFS(Clean_Data!$P$2:$P$2203,Clean_Data!$AB$2:$AB$2203,$A70&amp;"|"&amp;Inputs!$B$6),"")</f>
        <v/>
      </c>
      <c r="M70" s="52" t="str">
        <f aca="false">IF(ISNUMBER(C70),IF(C70&gt;=Inputs!$B$7,"Yes","No"),"No")</f>
        <v>No</v>
      </c>
      <c r="N70" s="57" t="n">
        <f aca="false">IF(M70="Yes",F70+ROW()/10^9,-1)</f>
        <v>-1</v>
      </c>
      <c r="O70" s="57" t="n">
        <f aca="false">IF(AND(M70="Yes",ISNUMBER(J70)),J70+ROW()/10^9,-1000)</f>
        <v>-1000</v>
      </c>
      <c r="P70" s="57" t="n">
        <f aca="false">IF(M70="Yes",K70+ROW()/10^9,-1)</f>
        <v>-1</v>
      </c>
    </row>
    <row r="71" customFormat="false" ht="15" hidden="false" customHeight="false" outlineLevel="0" collapsed="false">
      <c r="A71" s="52" t="s">
        <v>246</v>
      </c>
      <c r="B71" s="53" t="n">
        <f aca="false">IF(COUNTIFS(Clean_Data!$AB$2:$AB$2203,$A71&amp;"|"&amp;Inputs!$B$5)&gt;0,SUMIFS(Clean_Data!$F$2:$F$2203,Clean_Data!$AB$2:$AB$2203,$A71&amp;"|"&amp;Inputs!$B$5),"")</f>
        <v>0.32</v>
      </c>
      <c r="C71" s="53" t="str">
        <f aca="false">IF(COUNTIFS(Clean_Data!$AB$2:$AB$2203,$A71&amp;"|"&amp;Inputs!$B$6)&gt;0,SUMIFS(Clean_Data!$F$2:$F$2203,Clean_Data!$AB$2:$AB$2203,$A71&amp;"|"&amp;Inputs!$B$6),"")</f>
        <v/>
      </c>
      <c r="D71" s="54" t="str">
        <f aca="false">IF(AND(ISNUMBER(B71),ISNUMBER(C71)),IF(AND(B71&gt;0,Inputs!$B$6&gt;Inputs!$B$5),(C71/B71)^(1/(Inputs!$B$6-Inputs!$B$5))-1,""),"")</f>
        <v/>
      </c>
      <c r="E71" s="54" t="n">
        <f aca="false">IF(ISNUMBER(B71),SUMIFS(Clean_Data!$V$2:$V$2203,Clean_Data!$AB$2:$AB$2203,$A71&amp;"|"&amp;Inputs!$B$5),"")</f>
        <v>0.59375</v>
      </c>
      <c r="F71" s="54" t="str">
        <f aca="false">IF(ISNUMBER(C71),SUMIFS(Clean_Data!$V$2:$V$2203,Clean_Data!$AB$2:$AB$2203,$A71&amp;"|"&amp;Inputs!$B$6),"")</f>
        <v/>
      </c>
      <c r="G71" s="55" t="str">
        <f aca="false">IF(AND(ISNUMBER(E71),ISNUMBER(F71)),(F71-E71)*100,"")</f>
        <v/>
      </c>
      <c r="H71" s="54" t="n">
        <f aca="false">IF(ISNUMBER(B71),SUMIFS(Clean_Data!$X$2:$X$2203,Clean_Data!$AB$2:$AB$2203,$A71&amp;"|"&amp;Inputs!$B$5),"")</f>
        <v>0.1875</v>
      </c>
      <c r="I71" s="54" t="str">
        <f aca="false">IF(ISNUMBER(C71),SUMIFS(Clean_Data!$X$2:$X$2203,Clean_Data!$AB$2:$AB$2203,$A71&amp;"|"&amp;Inputs!$B$6),"")</f>
        <v/>
      </c>
      <c r="J71" s="55" t="str">
        <f aca="false">IF(AND(ISNUMBER(H71),ISNUMBER(I71)),(I71-H71)*100,"")</f>
        <v/>
      </c>
      <c r="K71" s="54" t="str">
        <f aca="false">IF(ISNUMBER(C71),SUMIFS(Clean_Data!$Y$2:$Y$2203,Clean_Data!$AB$2:$AB$2203,$A71&amp;"|"&amp;Inputs!$B$6),"")</f>
        <v/>
      </c>
      <c r="L71" s="56" t="str">
        <f aca="false">IF(COUNTIFS(Clean_Data!$AB$2:$AB$2203,$A71&amp;"|"&amp;Inputs!$B$6,Clean_Data!$P$2:$P$2203,"&lt;&gt;")&gt;0,SUMIFS(Clean_Data!$P$2:$P$2203,Clean_Data!$AB$2:$AB$2203,$A71&amp;"|"&amp;Inputs!$B$6),"")</f>
        <v/>
      </c>
      <c r="M71" s="52" t="str">
        <f aca="false">IF(ISNUMBER(C71),IF(C71&gt;=Inputs!$B$7,"Yes","No"),"No")</f>
        <v>No</v>
      </c>
      <c r="N71" s="57" t="n">
        <f aca="false">IF(M71="Yes",F71+ROW()/10^9,-1)</f>
        <v>-1</v>
      </c>
      <c r="O71" s="57" t="n">
        <f aca="false">IF(AND(M71="Yes",ISNUMBER(J71)),J71+ROW()/10^9,-1000)</f>
        <v>-1000</v>
      </c>
      <c r="P71" s="57" t="n">
        <f aca="false">IF(M71="Yes",K71+ROW()/10^9,-1)</f>
        <v>-1</v>
      </c>
    </row>
    <row r="72" customFormat="false" ht="15" hidden="false" customHeight="false" outlineLevel="0" collapsed="false">
      <c r="A72" s="52" t="s">
        <v>247</v>
      </c>
      <c r="B72" s="53" t="n">
        <f aca="false">IF(COUNTIFS(Clean_Data!$AB$2:$AB$2203,$A72&amp;"|"&amp;Inputs!$B$5)&gt;0,SUMIFS(Clean_Data!$F$2:$F$2203,Clean_Data!$AB$2:$AB$2203,$A72&amp;"|"&amp;Inputs!$B$5),"")</f>
        <v>0.93</v>
      </c>
      <c r="C72" s="53" t="n">
        <f aca="false">IF(COUNTIFS(Clean_Data!$AB$2:$AB$2203,$A72&amp;"|"&amp;Inputs!$B$6)&gt;0,SUMIFS(Clean_Data!$F$2:$F$2203,Clean_Data!$AB$2:$AB$2203,$A72&amp;"|"&amp;Inputs!$B$6),"")</f>
        <v>1.15</v>
      </c>
      <c r="D72" s="54" t="n">
        <f aca="false">IF(AND(ISNUMBER(B72),ISNUMBER(C72)),IF(AND(B72&gt;0,Inputs!$B$6&gt;Inputs!$B$5),(C72/B72)^(1/(Inputs!$B$6-Inputs!$B$5))-1,""),"")</f>
        <v>0.0238730200014197</v>
      </c>
      <c r="E72" s="54" t="n">
        <f aca="false">IF(ISNUMBER(B72),SUMIFS(Clean_Data!$V$2:$V$2203,Clean_Data!$AB$2:$AB$2203,$A72&amp;"|"&amp;Inputs!$B$5),"")</f>
        <v>0.483870967741935</v>
      </c>
      <c r="F72" s="54" t="n">
        <f aca="false">IF(ISNUMBER(C72),SUMIFS(Clean_Data!$V$2:$V$2203,Clean_Data!$AB$2:$AB$2203,$A72&amp;"|"&amp;Inputs!$B$6),"")</f>
        <v>0.634782608695652</v>
      </c>
      <c r="G72" s="55" t="n">
        <f aca="false">IF(AND(ISNUMBER(E72),ISNUMBER(F72)),(F72-E72)*100,"")</f>
        <v>15.0911640953717</v>
      </c>
      <c r="H72" s="54" t="n">
        <f aca="false">IF(ISNUMBER(B72),SUMIFS(Clean_Data!$X$2:$X$2203,Clean_Data!$AB$2:$AB$2203,$A72&amp;"|"&amp;Inputs!$B$5),"")</f>
        <v>0.010752688172043</v>
      </c>
      <c r="I72" s="54" t="n">
        <f aca="false">IF(ISNUMBER(C72),SUMIFS(Clean_Data!$X$2:$X$2203,Clean_Data!$AB$2:$AB$2203,$A72&amp;"|"&amp;Inputs!$B$6),"")</f>
        <v>0.00869565217391304</v>
      </c>
      <c r="J72" s="55" t="n">
        <f aca="false">IF(AND(ISNUMBER(H72),ISNUMBER(I72)),(I72-H72)*100,"")</f>
        <v>-0.205703599812997</v>
      </c>
      <c r="K72" s="54" t="n">
        <f aca="false">IF(ISNUMBER(C72),SUMIFS(Clean_Data!$Y$2:$Y$2203,Clean_Data!$AB$2:$AB$2203,$A72&amp;"|"&amp;Inputs!$B$6),"")</f>
        <v>0</v>
      </c>
      <c r="L72" s="56" t="n">
        <f aca="false">IF(COUNTIFS(Clean_Data!$AB$2:$AB$2203,$A72&amp;"|"&amp;Inputs!$B$6,Clean_Data!$P$2:$P$2203,"&lt;&gt;")&gt;0,SUMIFS(Clean_Data!$P$2:$P$2203,Clean_Data!$AB$2:$AB$2203,$A72&amp;"|"&amp;Inputs!$B$6),"")</f>
        <v>278.3</v>
      </c>
      <c r="M72" s="52" t="str">
        <f aca="false">IF(ISNUMBER(C72),IF(C72&gt;=Inputs!$B$7,"Yes","No"),"No")</f>
        <v>No</v>
      </c>
      <c r="N72" s="57" t="n">
        <f aca="false">IF(M72="Yes",F72+ROW()/10^9,-1)</f>
        <v>-1</v>
      </c>
      <c r="O72" s="57" t="n">
        <f aca="false">IF(AND(M72="Yes",ISNUMBER(J72)),J72+ROW()/10^9,-1000)</f>
        <v>-1000</v>
      </c>
      <c r="P72" s="57" t="n">
        <f aca="false">IF(M72="Yes",K72+ROW()/10^9,-1)</f>
        <v>-1</v>
      </c>
    </row>
    <row r="73" customFormat="false" ht="15" hidden="false" customHeight="false" outlineLevel="0" collapsed="false">
      <c r="A73" s="52" t="s">
        <v>248</v>
      </c>
      <c r="B73" s="53" t="n">
        <f aca="false">IF(COUNTIFS(Clean_Data!$AB$2:$AB$2203,$A73&amp;"|"&amp;Inputs!$B$5)&gt;0,SUMIFS(Clean_Data!$F$2:$F$2203,Clean_Data!$AB$2:$AB$2203,$A73&amp;"|"&amp;Inputs!$B$5),"")</f>
        <v>68.61</v>
      </c>
      <c r="C73" s="53" t="n">
        <f aca="false">IF(COUNTIFS(Clean_Data!$AB$2:$AB$2203,$A73&amp;"|"&amp;Inputs!$B$6)&gt;0,SUMIFS(Clean_Data!$F$2:$F$2203,Clean_Data!$AB$2:$AB$2203,$A73&amp;"|"&amp;Inputs!$B$6),"")</f>
        <v>82.55</v>
      </c>
      <c r="D73" s="54" t="n">
        <f aca="false">IF(AND(ISNUMBER(B73),ISNUMBER(C73)),IF(AND(B73&gt;0,Inputs!$B$6&gt;Inputs!$B$5),(C73/B73)^(1/(Inputs!$B$6-Inputs!$B$5))-1,""),"")</f>
        <v>0.0207644054593197</v>
      </c>
      <c r="E73" s="54" t="n">
        <f aca="false">IF(ISNUMBER(B73),SUMIFS(Clean_Data!$V$2:$V$2203,Clean_Data!$AB$2:$AB$2203,$A73&amp;"|"&amp;Inputs!$B$5),"")</f>
        <v>0.444978866054511</v>
      </c>
      <c r="F73" s="54" t="n">
        <f aca="false">IF(ISNUMBER(C73),SUMIFS(Clean_Data!$V$2:$V$2203,Clean_Data!$AB$2:$AB$2203,$A73&amp;"|"&amp;Inputs!$B$6),"")</f>
        <v>0.558570563294973</v>
      </c>
      <c r="G73" s="55" t="n">
        <f aca="false">IF(AND(ISNUMBER(E73),ISNUMBER(F73)),(F73-E73)*100,"")</f>
        <v>11.3591697240462</v>
      </c>
      <c r="H73" s="54" t="n">
        <f aca="false">IF(ISNUMBER(B73),SUMIFS(Clean_Data!$X$2:$X$2203,Clean_Data!$AB$2:$AB$2203,$A73&amp;"|"&amp;Inputs!$B$5),"")</f>
        <v>0.0341058154787932</v>
      </c>
      <c r="I73" s="54" t="n">
        <f aca="false">IF(ISNUMBER(C73),SUMIFS(Clean_Data!$X$2:$X$2203,Clean_Data!$AB$2:$AB$2203,$A73&amp;"|"&amp;Inputs!$B$6),"")</f>
        <v>0.259479103573592</v>
      </c>
      <c r="J73" s="55" t="n">
        <f aca="false">IF(AND(ISNUMBER(H73),ISNUMBER(I73)),(I73-H73)*100,"")</f>
        <v>22.5373288094799</v>
      </c>
      <c r="K73" s="54" t="n">
        <f aca="false">IF(ISNUMBER(C73),SUMIFS(Clean_Data!$Y$2:$Y$2203,Clean_Data!$AB$2:$AB$2203,$A73&amp;"|"&amp;Inputs!$B$6),"")</f>
        <v>0.0100545124167171</v>
      </c>
      <c r="L73" s="56" t="n">
        <f aca="false">IF(COUNTIFS(Clean_Data!$AB$2:$AB$2203,$A73&amp;"|"&amp;Inputs!$B$6,Clean_Data!$P$2:$P$2203,"&lt;&gt;")&gt;0,SUMIFS(Clean_Data!$P$2:$P$2203,Clean_Data!$AB$2:$AB$2203,$A73&amp;"|"&amp;Inputs!$B$6),"")</f>
        <v>66.6</v>
      </c>
      <c r="M73" s="52" t="str">
        <f aca="false">IF(ISNUMBER(C73),IF(C73&gt;=Inputs!$B$7,"Yes","No"),"No")</f>
        <v>Yes</v>
      </c>
      <c r="N73" s="57" t="n">
        <f aca="false">IF(M73="Yes",F73+ROW()/10^9,-1)</f>
        <v>0.558570636294973</v>
      </c>
      <c r="O73" s="57" t="n">
        <f aca="false">IF(AND(M73="Yes",ISNUMBER(J73)),J73+ROW()/10^9,-1000)</f>
        <v>22.5373288824799</v>
      </c>
      <c r="P73" s="57" t="n">
        <f aca="false">IF(M73="Yes",K73+ROW()/10^9,-1)</f>
        <v>0.0100545854167171</v>
      </c>
    </row>
    <row r="74" customFormat="false" ht="15" hidden="false" customHeight="false" outlineLevel="0" collapsed="false">
      <c r="A74" s="52" t="s">
        <v>249</v>
      </c>
      <c r="B74" s="53" t="n">
        <f aca="false">IF(COUNTIFS(Clean_Data!$AB$2:$AB$2203,$A74&amp;"|"&amp;Inputs!$B$5)&gt;0,SUMIFS(Clean_Data!$F$2:$F$2203,Clean_Data!$AB$2:$AB$2203,$A74&amp;"|"&amp;Inputs!$B$5),"")</f>
        <v>574.14</v>
      </c>
      <c r="C74" s="53" t="n">
        <f aca="false">IF(COUNTIFS(Clean_Data!$AB$2:$AB$2203,$A74&amp;"|"&amp;Inputs!$B$6)&gt;0,SUMIFS(Clean_Data!$F$2:$F$2203,Clean_Data!$AB$2:$AB$2203,$A74&amp;"|"&amp;Inputs!$B$6),"")</f>
        <v>561.78</v>
      </c>
      <c r="D74" s="54" t="n">
        <f aca="false">IF(AND(ISNUMBER(B74),ISNUMBER(C74)),IF(AND(B74&gt;0,Inputs!$B$6&gt;Inputs!$B$5),(C74/B74)^(1/(Inputs!$B$6-Inputs!$B$5))-1,""),"")</f>
        <v>-0.00241518482995151</v>
      </c>
      <c r="E74" s="54" t="n">
        <f aca="false">IF(ISNUMBER(B74),SUMIFS(Clean_Data!$V$2:$V$2203,Clean_Data!$AB$2:$AB$2203,$A74&amp;"|"&amp;Inputs!$B$5),"")</f>
        <v>0.159960985125579</v>
      </c>
      <c r="F74" s="54" t="n">
        <f aca="false">IF(ISNUMBER(C74),SUMIFS(Clean_Data!$V$2:$V$2203,Clean_Data!$AB$2:$AB$2203,$A74&amp;"|"&amp;Inputs!$B$6),"")</f>
        <v>0.27176118765353</v>
      </c>
      <c r="G74" s="55" t="n">
        <f aca="false">IF(AND(ISNUMBER(E74),ISNUMBER(F74)),(F74-E74)*100,"")</f>
        <v>11.1800202527951</v>
      </c>
      <c r="H74" s="54" t="n">
        <f aca="false">IF(ISNUMBER(B74),SUMIFS(Clean_Data!$X$2:$X$2203,Clean_Data!$AB$2:$AB$2203,$A74&amp;"|"&amp;Inputs!$B$5),"")</f>
        <v>0.0508064235203957</v>
      </c>
      <c r="I74" s="54" t="n">
        <f aca="false">IF(ISNUMBER(C74),SUMIFS(Clean_Data!$X$2:$X$2203,Clean_Data!$AB$2:$AB$2203,$A74&amp;"|"&amp;Inputs!$B$6),"")</f>
        <v>0.125137954359358</v>
      </c>
      <c r="J74" s="55" t="n">
        <f aca="false">IF(AND(ISNUMBER(H74),ISNUMBER(I74)),(I74-H74)*100,"")</f>
        <v>7.4331530838962</v>
      </c>
      <c r="K74" s="54" t="n">
        <f aca="false">IF(ISNUMBER(C74),SUMIFS(Clean_Data!$Y$2:$Y$2203,Clean_Data!$AB$2:$AB$2203,$A74&amp;"|"&amp;Inputs!$B$6),"")</f>
        <v>0.00181565737477304</v>
      </c>
      <c r="L74" s="56" t="n">
        <f aca="false">IF(COUNTIFS(Clean_Data!$AB$2:$AB$2203,$A74&amp;"|"&amp;Inputs!$B$6,Clean_Data!$P$2:$P$2203,"&lt;&gt;")&gt;0,SUMIFS(Clean_Data!$P$2:$P$2203,Clean_Data!$AB$2:$AB$2203,$A74&amp;"|"&amp;Inputs!$B$6),"")</f>
        <v>40.5</v>
      </c>
      <c r="M74" s="52" t="str">
        <f aca="false">IF(ISNUMBER(C74),IF(C74&gt;=Inputs!$B$7,"Yes","No"),"No")</f>
        <v>Yes</v>
      </c>
      <c r="N74" s="57" t="n">
        <f aca="false">IF(M74="Yes",F74+ROW()/10^9,-1)</f>
        <v>0.27176126165353</v>
      </c>
      <c r="O74" s="57" t="n">
        <f aca="false">IF(AND(M74="Yes",ISNUMBER(J74)),J74+ROW()/10^9,-1000)</f>
        <v>7.4331531578962</v>
      </c>
      <c r="P74" s="57" t="n">
        <f aca="false">IF(M74="Yes",K74+ROW()/10^9,-1)</f>
        <v>0.00181573137477304</v>
      </c>
    </row>
    <row r="75" customFormat="false" ht="15" hidden="false" customHeight="false" outlineLevel="0" collapsed="false">
      <c r="A75" s="52" t="s">
        <v>250</v>
      </c>
      <c r="B75" s="53" t="n">
        <f aca="false">IF(COUNTIFS(Clean_Data!$AB$2:$AB$2203,$A75&amp;"|"&amp;Inputs!$B$5)&gt;0,SUMIFS(Clean_Data!$F$2:$F$2203,Clean_Data!$AB$2:$AB$2203,$A75&amp;"|"&amp;Inputs!$B$5),"")</f>
        <v>0.93</v>
      </c>
      <c r="C75" s="53" t="str">
        <f aca="false">IF(COUNTIFS(Clean_Data!$AB$2:$AB$2203,$A75&amp;"|"&amp;Inputs!$B$6)&gt;0,SUMIFS(Clean_Data!$F$2:$F$2203,Clean_Data!$AB$2:$AB$2203,$A75&amp;"|"&amp;Inputs!$B$6),"")</f>
        <v/>
      </c>
      <c r="D75" s="54" t="str">
        <f aca="false">IF(AND(ISNUMBER(B75),ISNUMBER(C75)),IF(AND(B75&gt;0,Inputs!$B$6&gt;Inputs!$B$5),(C75/B75)^(1/(Inputs!$B$6-Inputs!$B$5))-1,""),"")</f>
        <v/>
      </c>
      <c r="E75" s="54" t="n">
        <f aca="false">IF(ISNUMBER(B75),SUMIFS(Clean_Data!$V$2:$V$2203,Clean_Data!$AB$2:$AB$2203,$A75&amp;"|"&amp;Inputs!$B$5),"")</f>
        <v>0.591397849462366</v>
      </c>
      <c r="F75" s="54" t="str">
        <f aca="false">IF(ISNUMBER(C75),SUMIFS(Clean_Data!$V$2:$V$2203,Clean_Data!$AB$2:$AB$2203,$A75&amp;"|"&amp;Inputs!$B$6),"")</f>
        <v/>
      </c>
      <c r="G75" s="55" t="str">
        <f aca="false">IF(AND(ISNUMBER(E75),ISNUMBER(F75)),(F75-E75)*100,"")</f>
        <v/>
      </c>
      <c r="H75" s="54" t="n">
        <f aca="false">IF(ISNUMBER(B75),SUMIFS(Clean_Data!$X$2:$X$2203,Clean_Data!$AB$2:$AB$2203,$A75&amp;"|"&amp;Inputs!$B$5),"")</f>
        <v>0.0537634408602151</v>
      </c>
      <c r="I75" s="54" t="str">
        <f aca="false">IF(ISNUMBER(C75),SUMIFS(Clean_Data!$X$2:$X$2203,Clean_Data!$AB$2:$AB$2203,$A75&amp;"|"&amp;Inputs!$B$6),"")</f>
        <v/>
      </c>
      <c r="J75" s="55" t="str">
        <f aca="false">IF(AND(ISNUMBER(H75),ISNUMBER(I75)),(I75-H75)*100,"")</f>
        <v/>
      </c>
      <c r="K75" s="54" t="str">
        <f aca="false">IF(ISNUMBER(C75),SUMIFS(Clean_Data!$Y$2:$Y$2203,Clean_Data!$AB$2:$AB$2203,$A75&amp;"|"&amp;Inputs!$B$6),"")</f>
        <v/>
      </c>
      <c r="L75" s="56" t="str">
        <f aca="false">IF(COUNTIFS(Clean_Data!$AB$2:$AB$2203,$A75&amp;"|"&amp;Inputs!$B$6,Clean_Data!$P$2:$P$2203,"&lt;&gt;")&gt;0,SUMIFS(Clean_Data!$P$2:$P$2203,Clean_Data!$AB$2:$AB$2203,$A75&amp;"|"&amp;Inputs!$B$6),"")</f>
        <v/>
      </c>
      <c r="M75" s="52" t="str">
        <f aca="false">IF(ISNUMBER(C75),IF(C75&gt;=Inputs!$B$7,"Yes","No"),"No")</f>
        <v>No</v>
      </c>
      <c r="N75" s="57" t="n">
        <f aca="false">IF(M75="Yes",F75+ROW()/10^9,-1)</f>
        <v>-1</v>
      </c>
      <c r="O75" s="57" t="n">
        <f aca="false">IF(AND(M75="Yes",ISNUMBER(J75)),J75+ROW()/10^9,-1000)</f>
        <v>-1000</v>
      </c>
      <c r="P75" s="57" t="n">
        <f aca="false">IF(M75="Yes",K75+ROW()/10^9,-1)</f>
        <v>-1</v>
      </c>
    </row>
    <row r="76" customFormat="false" ht="15" hidden="false" customHeight="false" outlineLevel="0" collapsed="false">
      <c r="A76" s="52" t="s">
        <v>251</v>
      </c>
      <c r="B76" s="53" t="n">
        <f aca="false">IF(COUNTIFS(Clean_Data!$AB$2:$AB$2203,$A76&amp;"|"&amp;Inputs!$B$5)&gt;0,SUMIFS(Clean_Data!$F$2:$F$2203,Clean_Data!$AB$2:$AB$2203,$A76&amp;"|"&amp;Inputs!$B$5),"")</f>
        <v>0.68</v>
      </c>
      <c r="C76" s="53" t="n">
        <f aca="false">IF(COUNTIFS(Clean_Data!$AB$2:$AB$2203,$A76&amp;"|"&amp;Inputs!$B$6)&gt;0,SUMIFS(Clean_Data!$F$2:$F$2203,Clean_Data!$AB$2:$AB$2203,$A76&amp;"|"&amp;Inputs!$B$6),"")</f>
        <v>0.72</v>
      </c>
      <c r="D76" s="54" t="n">
        <f aca="false">IF(AND(ISNUMBER(B76),ISNUMBER(C76)),IF(AND(B76&gt;0,Inputs!$B$6&gt;Inputs!$B$5),(C76/B76)^(1/(Inputs!$B$6-Inputs!$B$5))-1,""),"")</f>
        <v>0.00637114481934287</v>
      </c>
      <c r="E76" s="54" t="n">
        <f aca="false">IF(ISNUMBER(B76),SUMIFS(Clean_Data!$V$2:$V$2203,Clean_Data!$AB$2:$AB$2203,$A76&amp;"|"&amp;Inputs!$B$5),"")</f>
        <v>0.294117647058824</v>
      </c>
      <c r="F76" s="54" t="n">
        <f aca="false">IF(ISNUMBER(C76),SUMIFS(Clean_Data!$V$2:$V$2203,Clean_Data!$AB$2:$AB$2203,$A76&amp;"|"&amp;Inputs!$B$6),"")</f>
        <v>0.347222222222222</v>
      </c>
      <c r="G76" s="55" t="n">
        <f aca="false">IF(AND(ISNUMBER(E76),ISNUMBER(F76)),(F76-E76)*100,"")</f>
        <v>5.31045751633987</v>
      </c>
      <c r="H76" s="54" t="n">
        <f aca="false">IF(ISNUMBER(B76),SUMIFS(Clean_Data!$X$2:$X$2203,Clean_Data!$AB$2:$AB$2203,$A76&amp;"|"&amp;Inputs!$B$5),"")</f>
        <v>0.0441176470588235</v>
      </c>
      <c r="I76" s="54" t="n">
        <f aca="false">IF(ISNUMBER(C76),SUMIFS(Clean_Data!$X$2:$X$2203,Clean_Data!$AB$2:$AB$2203,$A76&amp;"|"&amp;Inputs!$B$6),"")</f>
        <v>0.0833333333333333</v>
      </c>
      <c r="J76" s="55" t="n">
        <f aca="false">IF(AND(ISNUMBER(H76),ISNUMBER(I76)),(I76-H76)*100,"")</f>
        <v>3.92156862745098</v>
      </c>
      <c r="K76" s="54" t="n">
        <f aca="false">IF(ISNUMBER(C76),SUMIFS(Clean_Data!$Y$2:$Y$2203,Clean_Data!$AB$2:$AB$2203,$A76&amp;"|"&amp;Inputs!$B$6),"")</f>
        <v>0</v>
      </c>
      <c r="L76" s="56" t="n">
        <f aca="false">IF(COUNTIFS(Clean_Data!$AB$2:$AB$2203,$A76&amp;"|"&amp;Inputs!$B$6,Clean_Data!$P$2:$P$2203,"&lt;&gt;")&gt;0,SUMIFS(Clean_Data!$P$2:$P$2203,Clean_Data!$AB$2:$AB$2203,$A76&amp;"|"&amp;Inputs!$B$6),"")</f>
        <v>430.6</v>
      </c>
      <c r="M76" s="52" t="str">
        <f aca="false">IF(ISNUMBER(C76),IF(C76&gt;=Inputs!$B$7,"Yes","No"),"No")</f>
        <v>No</v>
      </c>
      <c r="N76" s="57" t="n">
        <f aca="false">IF(M76="Yes",F76+ROW()/10^9,-1)</f>
        <v>-1</v>
      </c>
      <c r="O76" s="57" t="n">
        <f aca="false">IF(AND(M76="Yes",ISNUMBER(J76)),J76+ROW()/10^9,-1000)</f>
        <v>-1000</v>
      </c>
      <c r="P76" s="57" t="n">
        <f aca="false">IF(M76="Yes",K76+ROW()/10^9,-1)</f>
        <v>-1</v>
      </c>
    </row>
    <row r="77" customFormat="false" ht="15" hidden="false" customHeight="false" outlineLevel="0" collapsed="false">
      <c r="A77" s="52" t="s">
        <v>252</v>
      </c>
      <c r="B77" s="53" t="n">
        <f aca="false">IF(COUNTIFS(Clean_Data!$AB$2:$AB$2203,$A77&amp;"|"&amp;Inputs!$B$5)&gt;0,SUMIFS(Clean_Data!$F$2:$F$2203,Clean_Data!$AB$2:$AB$2203,$A77&amp;"|"&amp;Inputs!$B$5),"")</f>
        <v>2.12</v>
      </c>
      <c r="C77" s="53" t="n">
        <f aca="false">IF(COUNTIFS(Clean_Data!$AB$2:$AB$2203,$A77&amp;"|"&amp;Inputs!$B$6)&gt;0,SUMIFS(Clean_Data!$F$2:$F$2203,Clean_Data!$AB$2:$AB$2203,$A77&amp;"|"&amp;Inputs!$B$6),"")</f>
        <v>2.6</v>
      </c>
      <c r="D77" s="54" t="n">
        <f aca="false">IF(AND(ISNUMBER(B77),ISNUMBER(C77)),IF(AND(B77&gt;0,Inputs!$B$6&gt;Inputs!$B$5),(C77/B77)^(1/(Inputs!$B$6-Inputs!$B$5))-1,""),"")</f>
        <v>0.0229363456483966</v>
      </c>
      <c r="E77" s="54" t="n">
        <f aca="false">IF(ISNUMBER(B77),SUMIFS(Clean_Data!$V$2:$V$2203,Clean_Data!$AB$2:$AB$2203,$A77&amp;"|"&amp;Inputs!$B$5),"")</f>
        <v>0.433962264150943</v>
      </c>
      <c r="F77" s="54" t="n">
        <f aca="false">IF(ISNUMBER(C77),SUMIFS(Clean_Data!$V$2:$V$2203,Clean_Data!$AB$2:$AB$2203,$A77&amp;"|"&amp;Inputs!$B$6),"")</f>
        <v>0.353846153846154</v>
      </c>
      <c r="G77" s="55" t="n">
        <f aca="false">IF(AND(ISNUMBER(E77),ISNUMBER(F77)),(F77-E77)*100,"")</f>
        <v>-8.01161103047896</v>
      </c>
      <c r="H77" s="54" t="n">
        <f aca="false">IF(ISNUMBER(B77),SUMIFS(Clean_Data!$X$2:$X$2203,Clean_Data!$AB$2:$AB$2203,$A77&amp;"|"&amp;Inputs!$B$5),"")</f>
        <v>0</v>
      </c>
      <c r="I77" s="54" t="n">
        <f aca="false">IF(ISNUMBER(C77),SUMIFS(Clean_Data!$X$2:$X$2203,Clean_Data!$AB$2:$AB$2203,$A77&amp;"|"&amp;Inputs!$B$6),"")</f>
        <v>0</v>
      </c>
      <c r="J77" s="55" t="n">
        <f aca="false">IF(AND(ISNUMBER(H77),ISNUMBER(I77)),(I77-H77)*100,"")</f>
        <v>0</v>
      </c>
      <c r="K77" s="54" t="n">
        <f aca="false">IF(ISNUMBER(C77),SUMIFS(Clean_Data!$Y$2:$Y$2203,Clean_Data!$AB$2:$AB$2203,$A77&amp;"|"&amp;Inputs!$B$6),"")</f>
        <v>0</v>
      </c>
      <c r="L77" s="56" t="n">
        <f aca="false">IF(COUNTIFS(Clean_Data!$AB$2:$AB$2203,$A77&amp;"|"&amp;Inputs!$B$6,Clean_Data!$P$2:$P$2203,"&lt;&gt;")&gt;0,SUMIFS(Clean_Data!$P$2:$P$2203,Clean_Data!$AB$2:$AB$2203,$A77&amp;"|"&amp;Inputs!$B$6),"")</f>
        <v>523.1</v>
      </c>
      <c r="M77" s="52" t="str">
        <f aca="false">IF(ISNUMBER(C77),IF(C77&gt;=Inputs!$B$7,"Yes","No"),"No")</f>
        <v>No</v>
      </c>
      <c r="N77" s="57" t="n">
        <f aca="false">IF(M77="Yes",F77+ROW()/10^9,-1)</f>
        <v>-1</v>
      </c>
      <c r="O77" s="57" t="n">
        <f aca="false">IF(AND(M77="Yes",ISNUMBER(J77)),J77+ROW()/10^9,-1000)</f>
        <v>-1000</v>
      </c>
      <c r="P77" s="57" t="n">
        <f aca="false">IF(M77="Yes",K77+ROW()/10^9,-1)</f>
        <v>-1</v>
      </c>
    </row>
    <row r="78" customFormat="false" ht="15" hidden="false" customHeight="false" outlineLevel="0" collapsed="false">
      <c r="A78" s="52" t="s">
        <v>253</v>
      </c>
      <c r="B78" s="53" t="n">
        <f aca="false">IF(COUNTIFS(Clean_Data!$AB$2:$AB$2203,$A78&amp;"|"&amp;Inputs!$B$5)&gt;0,SUMIFS(Clean_Data!$F$2:$F$2203,Clean_Data!$AB$2:$AB$2203,$A78&amp;"|"&amp;Inputs!$B$5),"")</f>
        <v>0.28</v>
      </c>
      <c r="C78" s="53" t="n">
        <f aca="false">IF(COUNTIFS(Clean_Data!$AB$2:$AB$2203,$A78&amp;"|"&amp;Inputs!$B$6)&gt;0,SUMIFS(Clean_Data!$F$2:$F$2203,Clean_Data!$AB$2:$AB$2203,$A78&amp;"|"&amp;Inputs!$B$6),"")</f>
        <v>0.51</v>
      </c>
      <c r="D78" s="54" t="n">
        <f aca="false">IF(AND(ISNUMBER(B78),ISNUMBER(C78)),IF(AND(B78&gt;0,Inputs!$B$6&gt;Inputs!$B$5),(C78/B78)^(1/(Inputs!$B$6-Inputs!$B$5))-1,""),"")</f>
        <v>0.0688941070362494</v>
      </c>
      <c r="E78" s="54" t="n">
        <f aca="false">IF(ISNUMBER(B78),SUMIFS(Clean_Data!$V$2:$V$2203,Clean_Data!$AB$2:$AB$2203,$A78&amp;"|"&amp;Inputs!$B$5),"")</f>
        <v>0</v>
      </c>
      <c r="F78" s="54" t="n">
        <f aca="false">IF(ISNUMBER(C78),SUMIFS(Clean_Data!$V$2:$V$2203,Clean_Data!$AB$2:$AB$2203,$A78&amp;"|"&amp;Inputs!$B$6),"")</f>
        <v>0</v>
      </c>
      <c r="G78" s="55" t="n">
        <f aca="false">IF(AND(ISNUMBER(E78),ISNUMBER(F78)),(F78-E78)*100,"")</f>
        <v>0</v>
      </c>
      <c r="H78" s="54" t="n">
        <f aca="false">IF(ISNUMBER(B78),SUMIFS(Clean_Data!$X$2:$X$2203,Clean_Data!$AB$2:$AB$2203,$A78&amp;"|"&amp;Inputs!$B$5),"")</f>
        <v>0</v>
      </c>
      <c r="I78" s="54" t="n">
        <f aca="false">IF(ISNUMBER(C78),SUMIFS(Clean_Data!$X$2:$X$2203,Clean_Data!$AB$2:$AB$2203,$A78&amp;"|"&amp;Inputs!$B$6),"")</f>
        <v>0</v>
      </c>
      <c r="J78" s="55" t="n">
        <f aca="false">IF(AND(ISNUMBER(H78),ISNUMBER(I78)),(I78-H78)*100,"")</f>
        <v>0</v>
      </c>
      <c r="K78" s="54" t="n">
        <f aca="false">IF(ISNUMBER(C78),SUMIFS(Clean_Data!$Y$2:$Y$2203,Clean_Data!$AB$2:$AB$2203,$A78&amp;"|"&amp;Inputs!$B$6),"")</f>
        <v>0</v>
      </c>
      <c r="L78" s="56" t="n">
        <f aca="false">IF(COUNTIFS(Clean_Data!$AB$2:$AB$2203,$A78&amp;"|"&amp;Inputs!$B$6,Clean_Data!$P$2:$P$2203,"&lt;&gt;")&gt;0,SUMIFS(Clean_Data!$P$2:$P$2203,Clean_Data!$AB$2:$AB$2203,$A78&amp;"|"&amp;Inputs!$B$6),"")</f>
        <v>666.7</v>
      </c>
      <c r="M78" s="52" t="str">
        <f aca="false">IF(ISNUMBER(C78),IF(C78&gt;=Inputs!$B$7,"Yes","No"),"No")</f>
        <v>No</v>
      </c>
      <c r="N78" s="57" t="n">
        <f aca="false">IF(M78="Yes",F78+ROW()/10^9,-1)</f>
        <v>-1</v>
      </c>
      <c r="O78" s="57" t="n">
        <f aca="false">IF(AND(M78="Yes",ISNUMBER(J78)),J78+ROW()/10^9,-1000)</f>
        <v>-1000</v>
      </c>
      <c r="P78" s="57" t="n">
        <f aca="false">IF(M78="Yes",K78+ROW()/10^9,-1)</f>
        <v>-1</v>
      </c>
    </row>
    <row r="79" customFormat="false" ht="15" hidden="false" customHeight="false" outlineLevel="0" collapsed="false">
      <c r="A79" s="52" t="s">
        <v>254</v>
      </c>
      <c r="B79" s="53" t="n">
        <f aca="false">IF(COUNTIFS(Clean_Data!$AB$2:$AB$2203,$A79&amp;"|"&amp;Inputs!$B$5)&gt;0,SUMIFS(Clean_Data!$F$2:$F$2203,Clean_Data!$AB$2:$AB$2203,$A79&amp;"|"&amp;Inputs!$B$5),"")</f>
        <v>10.75</v>
      </c>
      <c r="C79" s="53" t="n">
        <f aca="false">IF(COUNTIFS(Clean_Data!$AB$2:$AB$2203,$A79&amp;"|"&amp;Inputs!$B$6)&gt;0,SUMIFS(Clean_Data!$F$2:$F$2203,Clean_Data!$AB$2:$AB$2203,$A79&amp;"|"&amp;Inputs!$B$6),"")</f>
        <v>13.93</v>
      </c>
      <c r="D79" s="54" t="n">
        <f aca="false">IF(AND(ISNUMBER(B79),ISNUMBER(C79)),IF(AND(B79&gt;0,Inputs!$B$6&gt;Inputs!$B$5),(C79/B79)^(1/(Inputs!$B$6-Inputs!$B$5))-1,""),"")</f>
        <v>0.0292117581498688</v>
      </c>
      <c r="E79" s="54" t="n">
        <f aca="false">IF(ISNUMBER(B79),SUMIFS(Clean_Data!$V$2:$V$2203,Clean_Data!$AB$2:$AB$2203,$A79&amp;"|"&amp;Inputs!$B$5),"")</f>
        <v>0.778604651162791</v>
      </c>
      <c r="F79" s="54" t="n">
        <f aca="false">IF(ISNUMBER(C79),SUMIFS(Clean_Data!$V$2:$V$2203,Clean_Data!$AB$2:$AB$2203,$A79&amp;"|"&amp;Inputs!$B$6),"")</f>
        <v>0.798277099784638</v>
      </c>
      <c r="G79" s="55" t="n">
        <f aca="false">IF(AND(ISNUMBER(E79),ISNUMBER(F79)),(F79-E79)*100,"")</f>
        <v>1.96724486218468</v>
      </c>
      <c r="H79" s="54" t="n">
        <f aca="false">IF(ISNUMBER(B79),SUMIFS(Clean_Data!$X$2:$X$2203,Clean_Data!$AB$2:$AB$2203,$A79&amp;"|"&amp;Inputs!$B$5),"")</f>
        <v>0</v>
      </c>
      <c r="I79" s="54" t="n">
        <f aca="false">IF(ISNUMBER(C79),SUMIFS(Clean_Data!$X$2:$X$2203,Clean_Data!$AB$2:$AB$2203,$A79&amp;"|"&amp;Inputs!$B$6),"")</f>
        <v>0.00861450107681263</v>
      </c>
      <c r="J79" s="55" t="n">
        <f aca="false">IF(AND(ISNUMBER(H79),ISNUMBER(I79)),(I79-H79)*100,"")</f>
        <v>0.861450107681263</v>
      </c>
      <c r="K79" s="54" t="n">
        <f aca="false">IF(ISNUMBER(C79),SUMIFS(Clean_Data!$Y$2:$Y$2203,Clean_Data!$AB$2:$AB$2203,$A79&amp;"|"&amp;Inputs!$B$6),"")</f>
        <v>0</v>
      </c>
      <c r="L79" s="56" t="n">
        <f aca="false">IF(COUNTIFS(Clean_Data!$AB$2:$AB$2203,$A79&amp;"|"&amp;Inputs!$B$6,Clean_Data!$P$2:$P$2203,"&lt;&gt;")&gt;0,SUMIFS(Clean_Data!$P$2:$P$2203,Clean_Data!$AB$2:$AB$2203,$A79&amp;"|"&amp;Inputs!$B$6),"")</f>
        <v>145</v>
      </c>
      <c r="M79" s="52" t="str">
        <f aca="false">IF(ISNUMBER(C79),IF(C79&gt;=Inputs!$B$7,"Yes","No"),"No")</f>
        <v>No</v>
      </c>
      <c r="N79" s="57" t="n">
        <f aca="false">IF(M79="Yes",F79+ROW()/10^9,-1)</f>
        <v>-1</v>
      </c>
      <c r="O79" s="57" t="n">
        <f aca="false">IF(AND(M79="Yes",ISNUMBER(J79)),J79+ROW()/10^9,-1000)</f>
        <v>-1000</v>
      </c>
      <c r="P79" s="57" t="n">
        <f aca="false">IF(M79="Yes",K79+ROW()/10^9,-1)</f>
        <v>-1</v>
      </c>
    </row>
    <row r="80" customFormat="false" ht="15" hidden="false" customHeight="false" outlineLevel="0" collapsed="false">
      <c r="A80" s="52" t="s">
        <v>255</v>
      </c>
      <c r="B80" s="53" t="n">
        <f aca="false">IF(COUNTIFS(Clean_Data!$AB$2:$AB$2203,$A80&amp;"|"&amp;Inputs!$B$5)&gt;0,SUMIFS(Clean_Data!$F$2:$F$2203,Clean_Data!$AB$2:$AB$2203,$A80&amp;"|"&amp;Inputs!$B$5),"")</f>
        <v>639.17</v>
      </c>
      <c r="C80" s="53" t="n">
        <f aca="false">IF(COUNTIFS(Clean_Data!$AB$2:$AB$2203,$A80&amp;"|"&amp;Inputs!$B$6)&gt;0,SUMIFS(Clean_Data!$F$2:$F$2203,Clean_Data!$AB$2:$AB$2203,$A80&amp;"|"&amp;Inputs!$B$6),"")</f>
        <v>495.99</v>
      </c>
      <c r="D80" s="54" t="n">
        <f aca="false">IF(AND(ISNUMBER(B80),ISNUMBER(C80)),IF(AND(B80&gt;0,Inputs!$B$6&gt;Inputs!$B$5),(C80/B80)^(1/(Inputs!$B$6-Inputs!$B$5))-1,""),"")</f>
        <v>-0.0277860742279269</v>
      </c>
      <c r="E80" s="54" t="n">
        <f aca="false">IF(ISNUMBER(B80),SUMIFS(Clean_Data!$V$2:$V$2203,Clean_Data!$AB$2:$AB$2203,$A80&amp;"|"&amp;Inputs!$B$5),"")</f>
        <v>0.294350485786254</v>
      </c>
      <c r="F80" s="54" t="n">
        <f aca="false">IF(ISNUMBER(C80),SUMIFS(Clean_Data!$V$2:$V$2203,Clean_Data!$AB$2:$AB$2203,$A80&amp;"|"&amp;Inputs!$B$6),"")</f>
        <v>0.586423113369221</v>
      </c>
      <c r="G80" s="55" t="n">
        <f aca="false">IF(AND(ISNUMBER(E80),ISNUMBER(F80)),(F80-E80)*100,"")</f>
        <v>29.2072627582967</v>
      </c>
      <c r="H80" s="54" t="n">
        <f aca="false">IF(ISNUMBER(B80),SUMIFS(Clean_Data!$X$2:$X$2203,Clean_Data!$AB$2:$AB$2203,$A80&amp;"|"&amp;Inputs!$B$5),"")</f>
        <v>0.18570959212729</v>
      </c>
      <c r="I80" s="54" t="n">
        <f aca="false">IF(ISNUMBER(C80),SUMIFS(Clean_Data!$X$2:$X$2203,Clean_Data!$AB$2:$AB$2203,$A80&amp;"|"&amp;Inputs!$B$6),"")</f>
        <v>0.434948285247686</v>
      </c>
      <c r="J80" s="55" t="n">
        <f aca="false">IF(AND(ISNUMBER(H80),ISNUMBER(I80)),(I80-H80)*100,"")</f>
        <v>24.9238693120396</v>
      </c>
      <c r="K80" s="54" t="n">
        <f aca="false">IF(ISNUMBER(C80),SUMIFS(Clean_Data!$Y$2:$Y$2203,Clean_Data!$AB$2:$AB$2203,$A80&amp;"|"&amp;Inputs!$B$6),"")</f>
        <v>0.214379322163753</v>
      </c>
      <c r="L80" s="56" t="n">
        <f aca="false">IF(COUNTIFS(Clean_Data!$AB$2:$AB$2203,$A80&amp;"|"&amp;Inputs!$B$6,Clean_Data!$P$2:$P$2203,"&lt;&gt;")&gt;0,SUMIFS(Clean_Data!$P$2:$P$2203,Clean_Data!$AB$2:$AB$2203,$A80&amp;"|"&amp;Inputs!$B$6),"")</f>
        <v>336.4</v>
      </c>
      <c r="M80" s="52" t="str">
        <f aca="false">IF(ISNUMBER(C80),IF(C80&gt;=Inputs!$B$7,"Yes","No"),"No")</f>
        <v>Yes</v>
      </c>
      <c r="N80" s="57" t="n">
        <f aca="false">IF(M80="Yes",F80+ROW()/10^9,-1)</f>
        <v>0.586423193369221</v>
      </c>
      <c r="O80" s="57" t="n">
        <f aca="false">IF(AND(M80="Yes",ISNUMBER(J80)),J80+ROW()/10^9,-1000)</f>
        <v>24.9238693920396</v>
      </c>
      <c r="P80" s="57" t="n">
        <f aca="false">IF(M80="Yes",K80+ROW()/10^9,-1)</f>
        <v>0.214379402163753</v>
      </c>
    </row>
    <row r="81" customFormat="false" ht="15" hidden="false" customHeight="false" outlineLevel="0" collapsed="false">
      <c r="A81" s="52" t="s">
        <v>256</v>
      </c>
      <c r="B81" s="53" t="n">
        <f aca="false">IF(COUNTIFS(Clean_Data!$AB$2:$AB$2203,$A81&amp;"|"&amp;Inputs!$B$5)&gt;0,SUMIFS(Clean_Data!$F$2:$F$2203,Clean_Data!$AB$2:$AB$2203,$A81&amp;"|"&amp;Inputs!$B$5),"")</f>
        <v>11.64</v>
      </c>
      <c r="C81" s="53" t="n">
        <f aca="false">IF(COUNTIFS(Clean_Data!$AB$2:$AB$2203,$A81&amp;"|"&amp;Inputs!$B$6)&gt;0,SUMIFS(Clean_Data!$F$2:$F$2203,Clean_Data!$AB$2:$AB$2203,$A81&amp;"|"&amp;Inputs!$B$6),"")</f>
        <v>24.27</v>
      </c>
      <c r="D81" s="54" t="n">
        <f aca="false">IF(AND(ISNUMBER(B81),ISNUMBER(C81)),IF(AND(B81&gt;0,Inputs!$B$6&gt;Inputs!$B$5),(C81/B81)^(1/(Inputs!$B$6-Inputs!$B$5))-1,""),"")</f>
        <v>0.0850691642639523</v>
      </c>
      <c r="E81" s="54" t="n">
        <f aca="false">IF(ISNUMBER(B81),SUMIFS(Clean_Data!$V$2:$V$2203,Clean_Data!$AB$2:$AB$2203,$A81&amp;"|"&amp;Inputs!$B$5),"")</f>
        <v>0.49914089347079</v>
      </c>
      <c r="F81" s="54" t="n">
        <f aca="false">IF(ISNUMBER(C81),SUMIFS(Clean_Data!$V$2:$V$2203,Clean_Data!$AB$2:$AB$2203,$A81&amp;"|"&amp;Inputs!$B$6),"")</f>
        <v>0.362175525339926</v>
      </c>
      <c r="G81" s="55" t="n">
        <f aca="false">IF(AND(ISNUMBER(E81),ISNUMBER(F81)),(F81-E81)*100,"")</f>
        <v>-13.6965368130865</v>
      </c>
      <c r="H81" s="54" t="n">
        <f aca="false">IF(ISNUMBER(B81),SUMIFS(Clean_Data!$X$2:$X$2203,Clean_Data!$AB$2:$AB$2203,$A81&amp;"|"&amp;Inputs!$B$5),"")</f>
        <v>0</v>
      </c>
      <c r="I81" s="54" t="n">
        <f aca="false">IF(ISNUMBER(C81),SUMIFS(Clean_Data!$X$2:$X$2203,Clean_Data!$AB$2:$AB$2203,$A81&amp;"|"&amp;Inputs!$B$6),"")</f>
        <v>0.00700453234445818</v>
      </c>
      <c r="J81" s="55" t="n">
        <f aca="false">IF(AND(ISNUMBER(H81),ISNUMBER(I81)),(I81-H81)*100,"")</f>
        <v>0.700453234445818</v>
      </c>
      <c r="K81" s="54" t="n">
        <f aca="false">IF(ISNUMBER(C81),SUMIFS(Clean_Data!$Y$2:$Y$2203,Clean_Data!$AB$2:$AB$2203,$A81&amp;"|"&amp;Inputs!$B$6),"")</f>
        <v>0</v>
      </c>
      <c r="L81" s="56" t="n">
        <f aca="false">IF(COUNTIFS(Clean_Data!$AB$2:$AB$2203,$A81&amp;"|"&amp;Inputs!$B$6,Clean_Data!$P$2:$P$2203,"&lt;&gt;")&gt;0,SUMIFS(Clean_Data!$P$2:$P$2203,Clean_Data!$AB$2:$AB$2203,$A81&amp;"|"&amp;Inputs!$B$6),"")</f>
        <v>468.9</v>
      </c>
      <c r="M81" s="52" t="str">
        <f aca="false">IF(ISNUMBER(C81),IF(C81&gt;=Inputs!$B$7,"Yes","No"),"No")</f>
        <v>Yes</v>
      </c>
      <c r="N81" s="57" t="n">
        <f aca="false">IF(M81="Yes",F81+ROW()/10^9,-1)</f>
        <v>0.362175606339926</v>
      </c>
      <c r="O81" s="57" t="n">
        <f aca="false">IF(AND(M81="Yes",ISNUMBER(J81)),J81+ROW()/10^9,-1000)</f>
        <v>0.700453315445818</v>
      </c>
      <c r="P81" s="57" t="n">
        <f aca="false">IF(M81="Yes",K81+ROW()/10^9,-1)</f>
        <v>8.1E-008</v>
      </c>
    </row>
    <row r="82" customFormat="false" ht="15" hidden="false" customHeight="false" outlineLevel="0" collapsed="false">
      <c r="A82" s="52" t="s">
        <v>257</v>
      </c>
      <c r="B82" s="53" t="n">
        <f aca="false">IF(COUNTIFS(Clean_Data!$AB$2:$AB$2203,$A82&amp;"|"&amp;Inputs!$B$5)&gt;0,SUMIFS(Clean_Data!$F$2:$F$2203,Clean_Data!$AB$2:$AB$2203,$A82&amp;"|"&amp;Inputs!$B$5),"")</f>
        <v>0.22</v>
      </c>
      <c r="C82" s="53" t="n">
        <f aca="false">IF(COUNTIFS(Clean_Data!$AB$2:$AB$2203,$A82&amp;"|"&amp;Inputs!$B$6)&gt;0,SUMIFS(Clean_Data!$F$2:$F$2203,Clean_Data!$AB$2:$AB$2203,$A82&amp;"|"&amp;Inputs!$B$6),"")</f>
        <v>0.22</v>
      </c>
      <c r="D82" s="54" t="n">
        <f aca="false">IF(AND(ISNUMBER(B82),ISNUMBER(C82)),IF(AND(B82&gt;0,Inputs!$B$6&gt;Inputs!$B$5),(C82/B82)^(1/(Inputs!$B$6-Inputs!$B$5))-1,""),"")</f>
        <v>0</v>
      </c>
      <c r="E82" s="54" t="n">
        <f aca="false">IF(ISNUMBER(B82),SUMIFS(Clean_Data!$V$2:$V$2203,Clean_Data!$AB$2:$AB$2203,$A82&amp;"|"&amp;Inputs!$B$5),"")</f>
        <v>0</v>
      </c>
      <c r="F82" s="54" t="n">
        <f aca="false">IF(ISNUMBER(C82),SUMIFS(Clean_Data!$V$2:$V$2203,Clean_Data!$AB$2:$AB$2203,$A82&amp;"|"&amp;Inputs!$B$6),"")</f>
        <v>0</v>
      </c>
      <c r="G82" s="55" t="n">
        <f aca="false">IF(AND(ISNUMBER(E82),ISNUMBER(F82)),(F82-E82)*100,"")</f>
        <v>0</v>
      </c>
      <c r="H82" s="54" t="n">
        <f aca="false">IF(ISNUMBER(B82),SUMIFS(Clean_Data!$X$2:$X$2203,Clean_Data!$AB$2:$AB$2203,$A82&amp;"|"&amp;Inputs!$B$5),"")</f>
        <v>0</v>
      </c>
      <c r="I82" s="54" t="n">
        <f aca="false">IF(ISNUMBER(C82),SUMIFS(Clean_Data!$X$2:$X$2203,Clean_Data!$AB$2:$AB$2203,$A82&amp;"|"&amp;Inputs!$B$6),"")</f>
        <v>0</v>
      </c>
      <c r="J82" s="55" t="n">
        <f aca="false">IF(AND(ISNUMBER(H82),ISNUMBER(I82)),(I82-H82)*100,"")</f>
        <v>0</v>
      </c>
      <c r="K82" s="54" t="n">
        <f aca="false">IF(ISNUMBER(C82),SUMIFS(Clean_Data!$Y$2:$Y$2203,Clean_Data!$AB$2:$AB$2203,$A82&amp;"|"&amp;Inputs!$B$6),"")</f>
        <v>0</v>
      </c>
      <c r="L82" s="56" t="n">
        <f aca="false">IF(COUNTIFS(Clean_Data!$AB$2:$AB$2203,$A82&amp;"|"&amp;Inputs!$B$6,Clean_Data!$P$2:$P$2203,"&lt;&gt;")&gt;0,SUMIFS(Clean_Data!$P$2:$P$2203,Clean_Data!$AB$2:$AB$2203,$A82&amp;"|"&amp;Inputs!$B$6),"")</f>
        <v>590.9</v>
      </c>
      <c r="M82" s="52" t="str">
        <f aca="false">IF(ISNUMBER(C82),IF(C82&gt;=Inputs!$B$7,"Yes","No"),"No")</f>
        <v>No</v>
      </c>
      <c r="N82" s="57" t="n">
        <f aca="false">IF(M82="Yes",F82+ROW()/10^9,-1)</f>
        <v>-1</v>
      </c>
      <c r="O82" s="57" t="n">
        <f aca="false">IF(AND(M82="Yes",ISNUMBER(J82)),J82+ROW()/10^9,-1000)</f>
        <v>-1000</v>
      </c>
      <c r="P82" s="57" t="n">
        <f aca="false">IF(M82="Yes",K82+ROW()/10^9,-1)</f>
        <v>-1</v>
      </c>
    </row>
    <row r="83" customFormat="false" ht="15" hidden="false" customHeight="false" outlineLevel="0" collapsed="false">
      <c r="A83" s="52" t="s">
        <v>258</v>
      </c>
      <c r="B83" s="53" t="n">
        <f aca="false">IF(COUNTIFS(Clean_Data!$AB$2:$AB$2203,$A83&amp;"|"&amp;Inputs!$B$5)&gt;0,SUMIFS(Clean_Data!$F$2:$F$2203,Clean_Data!$AB$2:$AB$2203,$A83&amp;"|"&amp;Inputs!$B$5),"")</f>
        <v>51.05</v>
      </c>
      <c r="C83" s="53" t="n">
        <f aca="false">IF(COUNTIFS(Clean_Data!$AB$2:$AB$2203,$A83&amp;"|"&amp;Inputs!$B$6)&gt;0,SUMIFS(Clean_Data!$F$2:$F$2203,Clean_Data!$AB$2:$AB$2203,$A83&amp;"|"&amp;Inputs!$B$6),"")</f>
        <v>57.08</v>
      </c>
      <c r="D83" s="54" t="n">
        <f aca="false">IF(AND(ISNUMBER(B83),ISNUMBER(C83)),IF(AND(B83&gt;0,Inputs!$B$6&gt;Inputs!$B$5),(C83/B83)^(1/(Inputs!$B$6-Inputs!$B$5))-1,""),"")</f>
        <v>0.0124826265502884</v>
      </c>
      <c r="E83" s="54" t="n">
        <f aca="false">IF(ISNUMBER(B83),SUMIFS(Clean_Data!$V$2:$V$2203,Clean_Data!$AB$2:$AB$2203,$A83&amp;"|"&amp;Inputs!$B$5),"")</f>
        <v>0.290891283055828</v>
      </c>
      <c r="F83" s="54" t="n">
        <f aca="false">IF(ISNUMBER(C83),SUMIFS(Clean_Data!$V$2:$V$2203,Clean_Data!$AB$2:$AB$2203,$A83&amp;"|"&amp;Inputs!$B$6),"")</f>
        <v>0.49229152067274</v>
      </c>
      <c r="G83" s="55" t="n">
        <f aca="false">IF(AND(ISNUMBER(E83),ISNUMBER(F83)),(F83-E83)*100,"")</f>
        <v>20.1400237616912</v>
      </c>
      <c r="H83" s="54" t="n">
        <f aca="false">IF(ISNUMBER(B83),SUMIFS(Clean_Data!$X$2:$X$2203,Clean_Data!$AB$2:$AB$2203,$A83&amp;"|"&amp;Inputs!$B$5),"")</f>
        <v>0.166895200783546</v>
      </c>
      <c r="I83" s="54" t="n">
        <f aca="false">IF(ISNUMBER(C83),SUMIFS(Clean_Data!$X$2:$X$2203,Clean_Data!$AB$2:$AB$2203,$A83&amp;"|"&amp;Inputs!$B$6),"")</f>
        <v>0.417133847231955</v>
      </c>
      <c r="J83" s="55" t="n">
        <f aca="false">IF(AND(ISNUMBER(H83),ISNUMBER(I83)),(I83-H83)*100,"")</f>
        <v>25.023864644841</v>
      </c>
      <c r="K83" s="54" t="n">
        <f aca="false">IF(ISNUMBER(C83),SUMIFS(Clean_Data!$Y$2:$Y$2203,Clean_Data!$AB$2:$AB$2203,$A83&amp;"|"&amp;Inputs!$B$6),"")</f>
        <v>0.0572880168185004</v>
      </c>
      <c r="L83" s="56" t="n">
        <f aca="false">IF(COUNTIFS(Clean_Data!$AB$2:$AB$2203,$A83&amp;"|"&amp;Inputs!$B$6,Clean_Data!$P$2:$P$2203,"&lt;&gt;")&gt;0,SUMIFS(Clean_Data!$P$2:$P$2203,Clean_Data!$AB$2:$AB$2203,$A83&amp;"|"&amp;Inputs!$B$6),"")</f>
        <v>321.6</v>
      </c>
      <c r="M83" s="52" t="str">
        <f aca="false">IF(ISNUMBER(C83),IF(C83&gt;=Inputs!$B$7,"Yes","No"),"No")</f>
        <v>Yes</v>
      </c>
      <c r="N83" s="57" t="n">
        <f aca="false">IF(M83="Yes",F83+ROW()/10^9,-1)</f>
        <v>0.49229160367274</v>
      </c>
      <c r="O83" s="57" t="n">
        <f aca="false">IF(AND(M83="Yes",ISNUMBER(J83)),J83+ROW()/10^9,-1000)</f>
        <v>25.023864727841</v>
      </c>
      <c r="P83" s="57" t="n">
        <f aca="false">IF(M83="Yes",K83+ROW()/10^9,-1)</f>
        <v>0.0572880998185004</v>
      </c>
    </row>
    <row r="84" customFormat="false" ht="15" hidden="false" customHeight="false" outlineLevel="0" collapsed="false">
      <c r="A84" s="52" t="s">
        <v>259</v>
      </c>
      <c r="B84" s="53" t="n">
        <f aca="false">IF(COUNTIFS(Clean_Data!$AB$2:$AB$2203,$A84&amp;"|"&amp;Inputs!$B$5)&gt;0,SUMIFS(Clean_Data!$F$2:$F$2203,Clean_Data!$AB$2:$AB$2203,$A84&amp;"|"&amp;Inputs!$B$5),"")</f>
        <v>0.51</v>
      </c>
      <c r="C84" s="53" t="n">
        <f aca="false">IF(COUNTIFS(Clean_Data!$AB$2:$AB$2203,$A84&amp;"|"&amp;Inputs!$B$6)&gt;0,SUMIFS(Clean_Data!$F$2:$F$2203,Clean_Data!$AB$2:$AB$2203,$A84&amp;"|"&amp;Inputs!$B$6),"")</f>
        <v>0.6</v>
      </c>
      <c r="D84" s="54" t="n">
        <f aca="false">IF(AND(ISNUMBER(B84),ISNUMBER(C84)),IF(AND(B84&gt;0,Inputs!$B$6&gt;Inputs!$B$5),(C84/B84)^(1/(Inputs!$B$6-Inputs!$B$5))-1,""),"")</f>
        <v>0.0182216841713987</v>
      </c>
      <c r="E84" s="54" t="n">
        <f aca="false">IF(ISNUMBER(B84),SUMIFS(Clean_Data!$V$2:$V$2203,Clean_Data!$AB$2:$AB$2203,$A84&amp;"|"&amp;Inputs!$B$5),"")</f>
        <v>0.823529411764706</v>
      </c>
      <c r="F84" s="54" t="n">
        <f aca="false">IF(ISNUMBER(C84),SUMIFS(Clean_Data!$V$2:$V$2203,Clean_Data!$AB$2:$AB$2203,$A84&amp;"|"&amp;Inputs!$B$6),"")</f>
        <v>0.833333333333333</v>
      </c>
      <c r="G84" s="55" t="n">
        <f aca="false">IF(AND(ISNUMBER(E84),ISNUMBER(F84)),(F84-E84)*100,"")</f>
        <v>0.980392156862753</v>
      </c>
      <c r="H84" s="54" t="n">
        <f aca="false">IF(ISNUMBER(B84),SUMIFS(Clean_Data!$X$2:$X$2203,Clean_Data!$AB$2:$AB$2203,$A84&amp;"|"&amp;Inputs!$B$5),"")</f>
        <v>0</v>
      </c>
      <c r="I84" s="54" t="n">
        <f aca="false">IF(ISNUMBER(C84),SUMIFS(Clean_Data!$X$2:$X$2203,Clean_Data!$AB$2:$AB$2203,$A84&amp;"|"&amp;Inputs!$B$6),"")</f>
        <v>0</v>
      </c>
      <c r="J84" s="55" t="n">
        <f aca="false">IF(AND(ISNUMBER(H84),ISNUMBER(I84)),(I84-H84)*100,"")</f>
        <v>0</v>
      </c>
      <c r="K84" s="54" t="n">
        <f aca="false">IF(ISNUMBER(C84),SUMIFS(Clean_Data!$Y$2:$Y$2203,Clean_Data!$AB$2:$AB$2203,$A84&amp;"|"&amp;Inputs!$B$6),"")</f>
        <v>0</v>
      </c>
      <c r="L84" s="56" t="n">
        <f aca="false">IF(COUNTIFS(Clean_Data!$AB$2:$AB$2203,$A84&amp;"|"&amp;Inputs!$B$6,Clean_Data!$P$2:$P$2203,"&lt;&gt;")&gt;0,SUMIFS(Clean_Data!$P$2:$P$2203,Clean_Data!$AB$2:$AB$2203,$A84&amp;"|"&amp;Inputs!$B$6),"")</f>
        <v>150</v>
      </c>
      <c r="M84" s="52" t="str">
        <f aca="false">IF(ISNUMBER(C84),IF(C84&gt;=Inputs!$B$7,"Yes","No"),"No")</f>
        <v>No</v>
      </c>
      <c r="N84" s="57" t="n">
        <f aca="false">IF(M84="Yes",F84+ROW()/10^9,-1)</f>
        <v>-1</v>
      </c>
      <c r="O84" s="57" t="n">
        <f aca="false">IF(AND(M84="Yes",ISNUMBER(J84)),J84+ROW()/10^9,-1000)</f>
        <v>-1000</v>
      </c>
      <c r="P84" s="57" t="n">
        <f aca="false">IF(M84="Yes",K84+ROW()/10^9,-1)</f>
        <v>-1</v>
      </c>
    </row>
    <row r="85" customFormat="false" ht="15" hidden="false" customHeight="false" outlineLevel="0" collapsed="false">
      <c r="A85" s="52" t="s">
        <v>260</v>
      </c>
      <c r="B85" s="53" t="n">
        <f aca="false">IF(COUNTIFS(Clean_Data!$AB$2:$AB$2203,$A85&amp;"|"&amp;Inputs!$B$5)&gt;0,SUMIFS(Clean_Data!$F$2:$F$2203,Clean_Data!$AB$2:$AB$2203,$A85&amp;"|"&amp;Inputs!$B$5),"")</f>
        <v>0.21</v>
      </c>
      <c r="C85" s="53" t="n">
        <f aca="false">IF(COUNTIFS(Clean_Data!$AB$2:$AB$2203,$A85&amp;"|"&amp;Inputs!$B$6)&gt;0,SUMIFS(Clean_Data!$F$2:$F$2203,Clean_Data!$AB$2:$AB$2203,$A85&amp;"|"&amp;Inputs!$B$6),"")</f>
        <v>0.24</v>
      </c>
      <c r="D85" s="54" t="n">
        <f aca="false">IF(AND(ISNUMBER(B85),ISNUMBER(C85)),IF(AND(B85&gt;0,Inputs!$B$6&gt;Inputs!$B$5),(C85/B85)^(1/(Inputs!$B$6-Inputs!$B$5))-1,""),"")</f>
        <v>0.0149474334038611</v>
      </c>
      <c r="E85" s="54" t="n">
        <f aca="false">IF(ISNUMBER(B85),SUMIFS(Clean_Data!$V$2:$V$2203,Clean_Data!$AB$2:$AB$2203,$A85&amp;"|"&amp;Inputs!$B$5),"")</f>
        <v>0</v>
      </c>
      <c r="F85" s="54" t="n">
        <f aca="false">IF(ISNUMBER(C85),SUMIFS(Clean_Data!$V$2:$V$2203,Clean_Data!$AB$2:$AB$2203,$A85&amp;"|"&amp;Inputs!$B$6),"")</f>
        <v>0</v>
      </c>
      <c r="G85" s="55" t="n">
        <f aca="false">IF(AND(ISNUMBER(E85),ISNUMBER(F85)),(F85-E85)*100,"")</f>
        <v>0</v>
      </c>
      <c r="H85" s="54" t="n">
        <f aca="false">IF(ISNUMBER(B85),SUMIFS(Clean_Data!$X$2:$X$2203,Clean_Data!$AB$2:$AB$2203,$A85&amp;"|"&amp;Inputs!$B$5),"")</f>
        <v>0</v>
      </c>
      <c r="I85" s="54" t="n">
        <f aca="false">IF(ISNUMBER(C85),SUMIFS(Clean_Data!$X$2:$X$2203,Clean_Data!$AB$2:$AB$2203,$A85&amp;"|"&amp;Inputs!$B$6),"")</f>
        <v>0</v>
      </c>
      <c r="J85" s="55" t="n">
        <f aca="false">IF(AND(ISNUMBER(H85),ISNUMBER(I85)),(I85-H85)*100,"")</f>
        <v>0</v>
      </c>
      <c r="K85" s="54" t="n">
        <f aca="false">IF(ISNUMBER(C85),SUMIFS(Clean_Data!$Y$2:$Y$2203,Clean_Data!$AB$2:$AB$2203,$A85&amp;"|"&amp;Inputs!$B$6),"")</f>
        <v>0</v>
      </c>
      <c r="L85" s="56" t="n">
        <f aca="false">IF(COUNTIFS(Clean_Data!$AB$2:$AB$2203,$A85&amp;"|"&amp;Inputs!$B$6,Clean_Data!$P$2:$P$2203,"&lt;&gt;")&gt;0,SUMIFS(Clean_Data!$P$2:$P$2203,Clean_Data!$AB$2:$AB$2203,$A85&amp;"|"&amp;Inputs!$B$6),"")</f>
        <v>666.7</v>
      </c>
      <c r="M85" s="52" t="str">
        <f aca="false">IF(ISNUMBER(C85),IF(C85&gt;=Inputs!$B$7,"Yes","No"),"No")</f>
        <v>No</v>
      </c>
      <c r="N85" s="57" t="n">
        <f aca="false">IF(M85="Yes",F85+ROW()/10^9,-1)</f>
        <v>-1</v>
      </c>
      <c r="O85" s="57" t="n">
        <f aca="false">IF(AND(M85="Yes",ISNUMBER(J85)),J85+ROW()/10^9,-1000)</f>
        <v>-1000</v>
      </c>
      <c r="P85" s="57" t="n">
        <f aca="false">IF(M85="Yes",K85+ROW()/10^9,-1)</f>
        <v>-1</v>
      </c>
    </row>
    <row r="86" customFormat="false" ht="15" hidden="false" customHeight="false" outlineLevel="0" collapsed="false">
      <c r="A86" s="52" t="s">
        <v>261</v>
      </c>
      <c r="B86" s="53" t="n">
        <f aca="false">IF(COUNTIFS(Clean_Data!$AB$2:$AB$2203,$A86&amp;"|"&amp;Inputs!$B$5)&gt;0,SUMIFS(Clean_Data!$F$2:$F$2203,Clean_Data!$AB$2:$AB$2203,$A86&amp;"|"&amp;Inputs!$B$5),"")</f>
        <v>1.76</v>
      </c>
      <c r="C86" s="53" t="str">
        <f aca="false">IF(COUNTIFS(Clean_Data!$AB$2:$AB$2203,$A86&amp;"|"&amp;Inputs!$B$6)&gt;0,SUMIFS(Clean_Data!$F$2:$F$2203,Clean_Data!$AB$2:$AB$2203,$A86&amp;"|"&amp;Inputs!$B$6),"")</f>
        <v/>
      </c>
      <c r="D86" s="54" t="str">
        <f aca="false">IF(AND(ISNUMBER(B86),ISNUMBER(C86)),IF(AND(B86&gt;0,Inputs!$B$6&gt;Inputs!$B$5),(C86/B86)^(1/(Inputs!$B$6-Inputs!$B$5))-1,""),"")</f>
        <v/>
      </c>
      <c r="E86" s="54" t="n">
        <f aca="false">IF(ISNUMBER(B86),SUMIFS(Clean_Data!$V$2:$V$2203,Clean_Data!$AB$2:$AB$2203,$A86&amp;"|"&amp;Inputs!$B$5),"")</f>
        <v>0.176136363636364</v>
      </c>
      <c r="F86" s="54" t="str">
        <f aca="false">IF(ISNUMBER(C86),SUMIFS(Clean_Data!$V$2:$V$2203,Clean_Data!$AB$2:$AB$2203,$A86&amp;"|"&amp;Inputs!$B$6),"")</f>
        <v/>
      </c>
      <c r="G86" s="55" t="str">
        <f aca="false">IF(AND(ISNUMBER(E86),ISNUMBER(F86)),(F86-E86)*100,"")</f>
        <v/>
      </c>
      <c r="H86" s="54" t="n">
        <f aca="false">IF(ISNUMBER(B86),SUMIFS(Clean_Data!$X$2:$X$2203,Clean_Data!$AB$2:$AB$2203,$A86&amp;"|"&amp;Inputs!$B$5),"")</f>
        <v>0.0852272727272727</v>
      </c>
      <c r="I86" s="54" t="str">
        <f aca="false">IF(ISNUMBER(C86),SUMIFS(Clean_Data!$X$2:$X$2203,Clean_Data!$AB$2:$AB$2203,$A86&amp;"|"&amp;Inputs!$B$6),"")</f>
        <v/>
      </c>
      <c r="J86" s="55" t="str">
        <f aca="false">IF(AND(ISNUMBER(H86),ISNUMBER(I86)),(I86-H86)*100,"")</f>
        <v/>
      </c>
      <c r="K86" s="54" t="str">
        <f aca="false">IF(ISNUMBER(C86),SUMIFS(Clean_Data!$Y$2:$Y$2203,Clean_Data!$AB$2:$AB$2203,$A86&amp;"|"&amp;Inputs!$B$6),"")</f>
        <v/>
      </c>
      <c r="L86" s="56" t="str">
        <f aca="false">IF(COUNTIFS(Clean_Data!$AB$2:$AB$2203,$A86&amp;"|"&amp;Inputs!$B$6,Clean_Data!$P$2:$P$2203,"&lt;&gt;")&gt;0,SUMIFS(Clean_Data!$P$2:$P$2203,Clean_Data!$AB$2:$AB$2203,$A86&amp;"|"&amp;Inputs!$B$6),"")</f>
        <v/>
      </c>
      <c r="M86" s="52" t="str">
        <f aca="false">IF(ISNUMBER(C86),IF(C86&gt;=Inputs!$B$7,"Yes","No"),"No")</f>
        <v>No</v>
      </c>
      <c r="N86" s="57" t="n">
        <f aca="false">IF(M86="Yes",F86+ROW()/10^9,-1)</f>
        <v>-1</v>
      </c>
      <c r="O86" s="57" t="n">
        <f aca="false">IF(AND(M86="Yes",ISNUMBER(J86)),J86+ROW()/10^9,-1000)</f>
        <v>-1000</v>
      </c>
      <c r="P86" s="57" t="n">
        <f aca="false">IF(M86="Yes",K86+ROW()/10^9,-1)</f>
        <v>-1</v>
      </c>
    </row>
    <row r="87" customFormat="false" ht="15" hidden="false" customHeight="false" outlineLevel="0" collapsed="false">
      <c r="A87" s="52" t="s">
        <v>262</v>
      </c>
      <c r="B87" s="53" t="n">
        <f aca="false">IF(COUNTIFS(Clean_Data!$AB$2:$AB$2203,$A87&amp;"|"&amp;Inputs!$B$5)&gt;0,SUMIFS(Clean_Data!$F$2:$F$2203,Clean_Data!$AB$2:$AB$2203,$A87&amp;"|"&amp;Inputs!$B$5),"")</f>
        <v>1.71</v>
      </c>
      <c r="C87" s="53" t="n">
        <f aca="false">IF(COUNTIFS(Clean_Data!$AB$2:$AB$2203,$A87&amp;"|"&amp;Inputs!$B$6)&gt;0,SUMIFS(Clean_Data!$F$2:$F$2203,Clean_Data!$AB$2:$AB$2203,$A87&amp;"|"&amp;Inputs!$B$6),"")</f>
        <v>1.86</v>
      </c>
      <c r="D87" s="54" t="n">
        <f aca="false">IF(AND(ISNUMBER(B87),ISNUMBER(C87)),IF(AND(B87&gt;0,Inputs!$B$6&gt;Inputs!$B$5),(C87/B87)^(1/(Inputs!$B$6-Inputs!$B$5))-1,""),"")</f>
        <v>0.0093863465996209</v>
      </c>
      <c r="E87" s="54" t="n">
        <f aca="false">IF(ISNUMBER(B87),SUMIFS(Clean_Data!$V$2:$V$2203,Clean_Data!$AB$2:$AB$2203,$A87&amp;"|"&amp;Inputs!$B$5),"")</f>
        <v>0.0175438596491228</v>
      </c>
      <c r="F87" s="54" t="n">
        <f aca="false">IF(ISNUMBER(C87),SUMIFS(Clean_Data!$V$2:$V$2203,Clean_Data!$AB$2:$AB$2203,$A87&amp;"|"&amp;Inputs!$B$6),"")</f>
        <v>0.0860215053763441</v>
      </c>
      <c r="G87" s="55" t="n">
        <f aca="false">IF(AND(ISNUMBER(E87),ISNUMBER(F87)),(F87-E87)*100,"")</f>
        <v>6.84776457272213</v>
      </c>
      <c r="H87" s="54" t="n">
        <f aca="false">IF(ISNUMBER(B87),SUMIFS(Clean_Data!$X$2:$X$2203,Clean_Data!$AB$2:$AB$2203,$A87&amp;"|"&amp;Inputs!$B$5),"")</f>
        <v>0.0175438596491228</v>
      </c>
      <c r="I87" s="54" t="n">
        <f aca="false">IF(ISNUMBER(C87),SUMIFS(Clean_Data!$X$2:$X$2203,Clean_Data!$AB$2:$AB$2203,$A87&amp;"|"&amp;Inputs!$B$6),"")</f>
        <v>0.0860215053763441</v>
      </c>
      <c r="J87" s="55" t="n">
        <f aca="false">IF(AND(ISNUMBER(H87),ISNUMBER(I87)),(I87-H87)*100,"")</f>
        <v>6.84776457272213</v>
      </c>
      <c r="K87" s="54" t="n">
        <f aca="false">IF(ISNUMBER(C87),SUMIFS(Clean_Data!$Y$2:$Y$2203,Clean_Data!$AB$2:$AB$2203,$A87&amp;"|"&amp;Inputs!$B$6),"")</f>
        <v>0</v>
      </c>
      <c r="L87" s="56" t="n">
        <f aca="false">IF(COUNTIFS(Clean_Data!$AB$2:$AB$2203,$A87&amp;"|"&amp;Inputs!$B$6,Clean_Data!$P$2:$P$2203,"&lt;&gt;")&gt;0,SUMIFS(Clean_Data!$P$2:$P$2203,Clean_Data!$AB$2:$AB$2203,$A87&amp;"|"&amp;Inputs!$B$6),"")</f>
        <v>607.5</v>
      </c>
      <c r="M87" s="52" t="str">
        <f aca="false">IF(ISNUMBER(C87),IF(C87&gt;=Inputs!$B$7,"Yes","No"),"No")</f>
        <v>No</v>
      </c>
      <c r="N87" s="57" t="n">
        <f aca="false">IF(M87="Yes",F87+ROW()/10^9,-1)</f>
        <v>-1</v>
      </c>
      <c r="O87" s="57" t="n">
        <f aca="false">IF(AND(M87="Yes",ISNUMBER(J87)),J87+ROW()/10^9,-1000)</f>
        <v>-1000</v>
      </c>
      <c r="P87" s="57" t="n">
        <f aca="false">IF(M87="Yes",K87+ROW()/10^9,-1)</f>
        <v>-1</v>
      </c>
    </row>
    <row r="88" customFormat="false" ht="15" hidden="false" customHeight="false" outlineLevel="0" collapsed="false">
      <c r="A88" s="52" t="s">
        <v>263</v>
      </c>
      <c r="B88" s="53" t="n">
        <f aca="false">IF(COUNTIFS(Clean_Data!$AB$2:$AB$2203,$A88&amp;"|"&amp;Inputs!$B$5)&gt;0,SUMIFS(Clean_Data!$F$2:$F$2203,Clean_Data!$AB$2:$AB$2203,$A88&amp;"|"&amp;Inputs!$B$5),"")</f>
        <v>11.17</v>
      </c>
      <c r="C88" s="53" t="n">
        <f aca="false">IF(COUNTIFS(Clean_Data!$AB$2:$AB$2203,$A88&amp;"|"&amp;Inputs!$B$6)&gt;0,SUMIFS(Clean_Data!$F$2:$F$2203,Clean_Data!$AB$2:$AB$2203,$A88&amp;"|"&amp;Inputs!$B$6),"")</f>
        <v>15.79</v>
      </c>
      <c r="D88" s="54" t="n">
        <f aca="false">IF(AND(ISNUMBER(B88),ISNUMBER(C88)),IF(AND(B88&gt;0,Inputs!$B$6&gt;Inputs!$B$5),(C88/B88)^(1/(Inputs!$B$6-Inputs!$B$5))-1,""),"")</f>
        <v>0.0392097613459155</v>
      </c>
      <c r="E88" s="54" t="n">
        <f aca="false">IF(ISNUMBER(B88),SUMIFS(Clean_Data!$V$2:$V$2203,Clean_Data!$AB$2:$AB$2203,$A88&amp;"|"&amp;Inputs!$B$5),"")</f>
        <v>0.611459265890779</v>
      </c>
      <c r="F88" s="54" t="n">
        <f aca="false">IF(ISNUMBER(C88),SUMIFS(Clean_Data!$V$2:$V$2203,Clean_Data!$AB$2:$AB$2203,$A88&amp;"|"&amp;Inputs!$B$6),"")</f>
        <v>0.683343888537049</v>
      </c>
      <c r="G88" s="55" t="n">
        <f aca="false">IF(AND(ISNUMBER(E88),ISNUMBER(F88)),(F88-E88)*100,"")</f>
        <v>7.18846226462698</v>
      </c>
      <c r="H88" s="54" t="n">
        <f aca="false">IF(ISNUMBER(B88),SUMIFS(Clean_Data!$X$2:$X$2203,Clean_Data!$AB$2:$AB$2203,$A88&amp;"|"&amp;Inputs!$B$5),"")</f>
        <v>0.0241718889883617</v>
      </c>
      <c r="I88" s="54" t="n">
        <f aca="false">IF(ISNUMBER(C88),SUMIFS(Clean_Data!$X$2:$X$2203,Clean_Data!$AB$2:$AB$2203,$A88&amp;"|"&amp;Inputs!$B$6),"")</f>
        <v>0.0411652944901837</v>
      </c>
      <c r="J88" s="55" t="n">
        <f aca="false">IF(AND(ISNUMBER(H88),ISNUMBER(I88)),(I88-H88)*100,"")</f>
        <v>1.6993405501822</v>
      </c>
      <c r="K88" s="54" t="n">
        <f aca="false">IF(ISNUMBER(C88),SUMIFS(Clean_Data!$Y$2:$Y$2203,Clean_Data!$AB$2:$AB$2203,$A88&amp;"|"&amp;Inputs!$B$6),"")</f>
        <v>0.158328055731476</v>
      </c>
      <c r="L88" s="56" t="n">
        <f aca="false">IF(COUNTIFS(Clean_Data!$AB$2:$AB$2203,$A88&amp;"|"&amp;Inputs!$B$6,Clean_Data!$P$2:$P$2203,"&lt;&gt;")&gt;0,SUMIFS(Clean_Data!$P$2:$P$2203,Clean_Data!$AB$2:$AB$2203,$A88&amp;"|"&amp;Inputs!$B$6),"")</f>
        <v>301.5</v>
      </c>
      <c r="M88" s="52" t="str">
        <f aca="false">IF(ISNUMBER(C88),IF(C88&gt;=Inputs!$B$7,"Yes","No"),"No")</f>
        <v>No</v>
      </c>
      <c r="N88" s="57" t="n">
        <f aca="false">IF(M88="Yes",F88+ROW()/10^9,-1)</f>
        <v>-1</v>
      </c>
      <c r="O88" s="57" t="n">
        <f aca="false">IF(AND(M88="Yes",ISNUMBER(J88)),J88+ROW()/10^9,-1000)</f>
        <v>-1000</v>
      </c>
      <c r="P88" s="57" t="n">
        <f aca="false">IF(M88="Yes",K88+ROW()/10^9,-1)</f>
        <v>-1</v>
      </c>
    </row>
    <row r="89" customFormat="false" ht="15" hidden="false" customHeight="false" outlineLevel="0" collapsed="false">
      <c r="A89" s="52" t="s">
        <v>264</v>
      </c>
      <c r="B89" s="53" t="n">
        <f aca="false">IF(COUNTIFS(Clean_Data!$AB$2:$AB$2203,$A89&amp;"|"&amp;Inputs!$B$5)&gt;0,SUMIFS(Clean_Data!$F$2:$F$2203,Clean_Data!$AB$2:$AB$2203,$A89&amp;"|"&amp;Inputs!$B$5),"")</f>
        <v>1.14</v>
      </c>
      <c r="C89" s="53" t="n">
        <f aca="false">IF(COUNTIFS(Clean_Data!$AB$2:$AB$2203,$A89&amp;"|"&amp;Inputs!$B$6)&gt;0,SUMIFS(Clean_Data!$F$2:$F$2203,Clean_Data!$AB$2:$AB$2203,$A89&amp;"|"&amp;Inputs!$B$6),"")</f>
        <v>4.03</v>
      </c>
      <c r="D89" s="54" t="n">
        <f aca="false">IF(AND(ISNUMBER(B89),ISNUMBER(C89)),IF(AND(B89&gt;0,Inputs!$B$6&gt;Inputs!$B$5),(C89/B89)^(1/(Inputs!$B$6-Inputs!$B$5))-1,""),"")</f>
        <v>0.150623805460782</v>
      </c>
      <c r="E89" s="54" t="n">
        <f aca="false">IF(ISNUMBER(B89),SUMIFS(Clean_Data!$V$2:$V$2203,Clean_Data!$AB$2:$AB$2203,$A89&amp;"|"&amp;Inputs!$B$5),"")</f>
        <v>0.789473684210526</v>
      </c>
      <c r="F89" s="54" t="n">
        <f aca="false">IF(ISNUMBER(C89),SUMIFS(Clean_Data!$V$2:$V$2203,Clean_Data!$AB$2:$AB$2203,$A89&amp;"|"&amp;Inputs!$B$6),"")</f>
        <v>0.751861042183623</v>
      </c>
      <c r="G89" s="55" t="n">
        <f aca="false">IF(AND(ISNUMBER(E89),ISNUMBER(F89)),(F89-E89)*100,"")</f>
        <v>-3.76126420269037</v>
      </c>
      <c r="H89" s="54" t="n">
        <f aca="false">IF(ISNUMBER(B89),SUMIFS(Clean_Data!$X$2:$X$2203,Clean_Data!$AB$2:$AB$2203,$A89&amp;"|"&amp;Inputs!$B$5),"")</f>
        <v>0.0175438596491228</v>
      </c>
      <c r="I89" s="54" t="n">
        <f aca="false">IF(ISNUMBER(C89),SUMIFS(Clean_Data!$X$2:$X$2203,Clean_Data!$AB$2:$AB$2203,$A89&amp;"|"&amp;Inputs!$B$6),"")</f>
        <v>0.00744416873449131</v>
      </c>
      <c r="J89" s="55" t="n">
        <f aca="false">IF(AND(ISNUMBER(H89),ISNUMBER(I89)),(I89-H89)*100,"")</f>
        <v>-1.00996909146315</v>
      </c>
      <c r="K89" s="54" t="n">
        <f aca="false">IF(ISNUMBER(C89),SUMIFS(Clean_Data!$Y$2:$Y$2203,Clean_Data!$AB$2:$AB$2203,$A89&amp;"|"&amp;Inputs!$B$6),"")</f>
        <v>0</v>
      </c>
      <c r="L89" s="56" t="n">
        <f aca="false">IF(COUNTIFS(Clean_Data!$AB$2:$AB$2203,$A89&amp;"|"&amp;Inputs!$B$6,Clean_Data!$P$2:$P$2203,"&lt;&gt;")&gt;0,SUMIFS(Clean_Data!$P$2:$P$2203,Clean_Data!$AB$2:$AB$2203,$A89&amp;"|"&amp;Inputs!$B$6),"")</f>
        <v>181.1</v>
      </c>
      <c r="M89" s="52" t="str">
        <f aca="false">IF(ISNUMBER(C89),IF(C89&gt;=Inputs!$B$7,"Yes","No"),"No")</f>
        <v>No</v>
      </c>
      <c r="N89" s="57" t="n">
        <f aca="false">IF(M89="Yes",F89+ROW()/10^9,-1)</f>
        <v>-1</v>
      </c>
      <c r="O89" s="57" t="n">
        <f aca="false">IF(AND(M89="Yes",ISNUMBER(J89)),J89+ROW()/10^9,-1000)</f>
        <v>-1000</v>
      </c>
      <c r="P89" s="57" t="n">
        <f aca="false">IF(M89="Yes",K89+ROW()/10^9,-1)</f>
        <v>-1</v>
      </c>
    </row>
    <row r="90" customFormat="false" ht="15" hidden="false" customHeight="false" outlineLevel="0" collapsed="false">
      <c r="A90" s="52" t="s">
        <v>265</v>
      </c>
      <c r="B90" s="53" t="n">
        <f aca="false">IF(COUNTIFS(Clean_Data!$AB$2:$AB$2203,$A90&amp;"|"&amp;Inputs!$B$5)&gt;0,SUMIFS(Clean_Data!$F$2:$F$2203,Clean_Data!$AB$2:$AB$2203,$A90&amp;"|"&amp;Inputs!$B$5),"")</f>
        <v>0.06</v>
      </c>
      <c r="C90" s="53" t="n">
        <f aca="false">IF(COUNTIFS(Clean_Data!$AB$2:$AB$2203,$A90&amp;"|"&amp;Inputs!$B$6)&gt;0,SUMIFS(Clean_Data!$F$2:$F$2203,Clean_Data!$AB$2:$AB$2203,$A90&amp;"|"&amp;Inputs!$B$6),"")</f>
        <v>0.08</v>
      </c>
      <c r="D90" s="54" t="n">
        <f aca="false">IF(AND(ISNUMBER(B90),ISNUMBER(C90)),IF(AND(B90&gt;0,Inputs!$B$6&gt;Inputs!$B$5),(C90/B90)^(1/(Inputs!$B$6-Inputs!$B$5))-1,""),"")</f>
        <v>0.0324810319761204</v>
      </c>
      <c r="E90" s="54" t="n">
        <f aca="false">IF(ISNUMBER(B90),SUMIFS(Clean_Data!$V$2:$V$2203,Clean_Data!$AB$2:$AB$2203,$A90&amp;"|"&amp;Inputs!$B$5),"")</f>
        <v>0</v>
      </c>
      <c r="F90" s="54" t="n">
        <f aca="false">IF(ISNUMBER(C90),SUMIFS(Clean_Data!$V$2:$V$2203,Clean_Data!$AB$2:$AB$2203,$A90&amp;"|"&amp;Inputs!$B$6),"")</f>
        <v>0</v>
      </c>
      <c r="G90" s="55" t="n">
        <f aca="false">IF(AND(ISNUMBER(E90),ISNUMBER(F90)),(F90-E90)*100,"")</f>
        <v>0</v>
      </c>
      <c r="H90" s="54" t="n">
        <f aca="false">IF(ISNUMBER(B90),SUMIFS(Clean_Data!$X$2:$X$2203,Clean_Data!$AB$2:$AB$2203,$A90&amp;"|"&amp;Inputs!$B$5),"")</f>
        <v>0</v>
      </c>
      <c r="I90" s="54" t="n">
        <f aca="false">IF(ISNUMBER(C90),SUMIFS(Clean_Data!$X$2:$X$2203,Clean_Data!$AB$2:$AB$2203,$A90&amp;"|"&amp;Inputs!$B$6),"")</f>
        <v>0</v>
      </c>
      <c r="J90" s="55" t="n">
        <f aca="false">IF(AND(ISNUMBER(H90),ISNUMBER(I90)),(I90-H90)*100,"")</f>
        <v>0</v>
      </c>
      <c r="K90" s="54" t="n">
        <f aca="false">IF(ISNUMBER(C90),SUMIFS(Clean_Data!$Y$2:$Y$2203,Clean_Data!$AB$2:$AB$2203,$A90&amp;"|"&amp;Inputs!$B$6),"")</f>
        <v>0</v>
      </c>
      <c r="L90" s="56" t="n">
        <f aca="false">IF(COUNTIFS(Clean_Data!$AB$2:$AB$2203,$A90&amp;"|"&amp;Inputs!$B$6,Clean_Data!$P$2:$P$2203,"&lt;&gt;")&gt;0,SUMIFS(Clean_Data!$P$2:$P$2203,Clean_Data!$AB$2:$AB$2203,$A90&amp;"|"&amp;Inputs!$B$6),"")</f>
        <v>625</v>
      </c>
      <c r="M90" s="52" t="str">
        <f aca="false">IF(ISNUMBER(C90),IF(C90&gt;=Inputs!$B$7,"Yes","No"),"No")</f>
        <v>No</v>
      </c>
      <c r="N90" s="57" t="n">
        <f aca="false">IF(M90="Yes",F90+ROW()/10^9,-1)</f>
        <v>-1</v>
      </c>
      <c r="O90" s="57" t="n">
        <f aca="false">IF(AND(M90="Yes",ISNUMBER(J90)),J90+ROW()/10^9,-1000)</f>
        <v>-1000</v>
      </c>
      <c r="P90" s="57" t="n">
        <f aca="false">IF(M90="Yes",K90+ROW()/10^9,-1)</f>
        <v>-1</v>
      </c>
    </row>
    <row r="91" customFormat="false" ht="15" hidden="false" customHeight="false" outlineLevel="0" collapsed="false">
      <c r="A91" s="52" t="s">
        <v>266</v>
      </c>
      <c r="B91" s="53" t="n">
        <f aca="false">IF(COUNTIFS(Clean_Data!$AB$2:$AB$2203,$A91&amp;"|"&amp;Inputs!$B$5)&gt;0,SUMIFS(Clean_Data!$F$2:$F$2203,Clean_Data!$AB$2:$AB$2203,$A91&amp;"|"&amp;Inputs!$B$5),"")</f>
        <v>1.01</v>
      </c>
      <c r="C91" s="53" t="n">
        <f aca="false">IF(COUNTIFS(Clean_Data!$AB$2:$AB$2203,$A91&amp;"|"&amp;Inputs!$B$6)&gt;0,SUMIFS(Clean_Data!$F$2:$F$2203,Clean_Data!$AB$2:$AB$2203,$A91&amp;"|"&amp;Inputs!$B$6),"")</f>
        <v>1.38</v>
      </c>
      <c r="D91" s="54" t="n">
        <f aca="false">IF(AND(ISNUMBER(B91),ISNUMBER(C91)),IF(AND(B91&gt;0,Inputs!$B$6&gt;Inputs!$B$5),(C91/B91)^(1/(Inputs!$B$6-Inputs!$B$5))-1,""),"")</f>
        <v>0.0352898782902409</v>
      </c>
      <c r="E91" s="54" t="n">
        <f aca="false">IF(ISNUMBER(B91),SUMIFS(Clean_Data!$V$2:$V$2203,Clean_Data!$AB$2:$AB$2203,$A91&amp;"|"&amp;Inputs!$B$5),"")</f>
        <v>0.0396039603960396</v>
      </c>
      <c r="F91" s="54" t="n">
        <f aca="false">IF(ISNUMBER(C91),SUMIFS(Clean_Data!$V$2:$V$2203,Clean_Data!$AB$2:$AB$2203,$A91&amp;"|"&amp;Inputs!$B$6),"")</f>
        <v>0.0289855072463768</v>
      </c>
      <c r="G91" s="55" t="n">
        <f aca="false">IF(AND(ISNUMBER(E91),ISNUMBER(F91)),(F91-E91)*100,"")</f>
        <v>-1.06184531496628</v>
      </c>
      <c r="H91" s="54" t="n">
        <f aca="false">IF(ISNUMBER(B91),SUMIFS(Clean_Data!$X$2:$X$2203,Clean_Data!$AB$2:$AB$2203,$A91&amp;"|"&amp;Inputs!$B$5),"")</f>
        <v>0</v>
      </c>
      <c r="I91" s="54" t="n">
        <f aca="false">IF(ISNUMBER(C91),SUMIFS(Clean_Data!$X$2:$X$2203,Clean_Data!$AB$2:$AB$2203,$A91&amp;"|"&amp;Inputs!$B$6),"")</f>
        <v>0.0144927536231884</v>
      </c>
      <c r="J91" s="55" t="n">
        <f aca="false">IF(AND(ISNUMBER(H91),ISNUMBER(I91)),(I91-H91)*100,"")</f>
        <v>1.44927536231884</v>
      </c>
      <c r="K91" s="54" t="n">
        <f aca="false">IF(ISNUMBER(C91),SUMIFS(Clean_Data!$Y$2:$Y$2203,Clean_Data!$AB$2:$AB$2203,$A91&amp;"|"&amp;Inputs!$B$6),"")</f>
        <v>0</v>
      </c>
      <c r="L91" s="56" t="n">
        <f aca="false">IF(COUNTIFS(Clean_Data!$AB$2:$AB$2203,$A91&amp;"|"&amp;Inputs!$B$6,Clean_Data!$P$2:$P$2203,"&lt;&gt;")&gt;0,SUMIFS(Clean_Data!$P$2:$P$2203,Clean_Data!$AB$2:$AB$2203,$A91&amp;"|"&amp;Inputs!$B$6),"")</f>
        <v>644.9</v>
      </c>
      <c r="M91" s="52" t="str">
        <f aca="false">IF(ISNUMBER(C91),IF(C91&gt;=Inputs!$B$7,"Yes","No"),"No")</f>
        <v>No</v>
      </c>
      <c r="N91" s="57" t="n">
        <f aca="false">IF(M91="Yes",F91+ROW()/10^9,-1)</f>
        <v>-1</v>
      </c>
      <c r="O91" s="57" t="n">
        <f aca="false">IF(AND(M91="Yes",ISNUMBER(J91)),J91+ROW()/10^9,-1000)</f>
        <v>-1000</v>
      </c>
      <c r="P91" s="57" t="n">
        <f aca="false">IF(M91="Yes",K91+ROW()/10^9,-1)</f>
        <v>-1</v>
      </c>
    </row>
    <row r="92" customFormat="false" ht="15" hidden="false" customHeight="false" outlineLevel="0" collapsed="false">
      <c r="A92" s="52" t="s">
        <v>267</v>
      </c>
      <c r="B92" s="53" t="n">
        <f aca="false">IF(COUNTIFS(Clean_Data!$AB$2:$AB$2203,$A92&amp;"|"&amp;Inputs!$B$5)&gt;0,SUMIFS(Clean_Data!$F$2:$F$2203,Clean_Data!$AB$2:$AB$2203,$A92&amp;"|"&amp;Inputs!$B$5),"")</f>
        <v>1.03</v>
      </c>
      <c r="C92" s="53" t="n">
        <f aca="false">IF(COUNTIFS(Clean_Data!$AB$2:$AB$2203,$A92&amp;"|"&amp;Inputs!$B$6)&gt;0,SUMIFS(Clean_Data!$F$2:$F$2203,Clean_Data!$AB$2:$AB$2203,$A92&amp;"|"&amp;Inputs!$B$6),"")</f>
        <v>0.86</v>
      </c>
      <c r="D92" s="54" t="n">
        <f aca="false">IF(AND(ISNUMBER(B92),ISNUMBER(C92)),IF(AND(B92&gt;0,Inputs!$B$6&gt;Inputs!$B$5),(C92/B92)^(1/(Inputs!$B$6-Inputs!$B$5))-1,""),"")</f>
        <v>-0.0198428962527083</v>
      </c>
      <c r="E92" s="54" t="n">
        <f aca="false">IF(ISNUMBER(B92),SUMIFS(Clean_Data!$V$2:$V$2203,Clean_Data!$AB$2:$AB$2203,$A92&amp;"|"&amp;Inputs!$B$5),"")</f>
        <v>0.0776699029126214</v>
      </c>
      <c r="F92" s="54" t="n">
        <f aca="false">IF(ISNUMBER(C92),SUMIFS(Clean_Data!$V$2:$V$2203,Clean_Data!$AB$2:$AB$2203,$A92&amp;"|"&amp;Inputs!$B$6),"")</f>
        <v>0.186046511627907</v>
      </c>
      <c r="G92" s="55" t="n">
        <f aca="false">IF(AND(ISNUMBER(E92),ISNUMBER(F92)),(F92-E92)*100,"")</f>
        <v>10.8376608715286</v>
      </c>
      <c r="H92" s="54" t="n">
        <f aca="false">IF(ISNUMBER(B92),SUMIFS(Clean_Data!$X$2:$X$2203,Clean_Data!$AB$2:$AB$2203,$A92&amp;"|"&amp;Inputs!$B$5),"")</f>
        <v>0</v>
      </c>
      <c r="I92" s="54" t="n">
        <f aca="false">IF(ISNUMBER(C92),SUMIFS(Clean_Data!$X$2:$X$2203,Clean_Data!$AB$2:$AB$2203,$A92&amp;"|"&amp;Inputs!$B$6),"")</f>
        <v>0</v>
      </c>
      <c r="J92" s="55" t="n">
        <f aca="false">IF(AND(ISNUMBER(H92),ISNUMBER(I92)),(I92-H92)*100,"")</f>
        <v>0</v>
      </c>
      <c r="K92" s="54" t="n">
        <f aca="false">IF(ISNUMBER(C92),SUMIFS(Clean_Data!$Y$2:$Y$2203,Clean_Data!$AB$2:$AB$2203,$A92&amp;"|"&amp;Inputs!$B$6),"")</f>
        <v>0</v>
      </c>
      <c r="L92" s="56" t="n">
        <f aca="false">IF(COUNTIFS(Clean_Data!$AB$2:$AB$2203,$A92&amp;"|"&amp;Inputs!$B$6,Clean_Data!$P$2:$P$2203,"&lt;&gt;")&gt;0,SUMIFS(Clean_Data!$P$2:$P$2203,Clean_Data!$AB$2:$AB$2203,$A92&amp;"|"&amp;Inputs!$B$6),"")</f>
        <v>534.9</v>
      </c>
      <c r="M92" s="52" t="str">
        <f aca="false">IF(ISNUMBER(C92),IF(C92&gt;=Inputs!$B$7,"Yes","No"),"No")</f>
        <v>No</v>
      </c>
      <c r="N92" s="57" t="n">
        <f aca="false">IF(M92="Yes",F92+ROW()/10^9,-1)</f>
        <v>-1</v>
      </c>
      <c r="O92" s="57" t="n">
        <f aca="false">IF(AND(M92="Yes",ISNUMBER(J92)),J92+ROW()/10^9,-1000)</f>
        <v>-1000</v>
      </c>
      <c r="P92" s="57" t="n">
        <f aca="false">IF(M92="Yes",K92+ROW()/10^9,-1)</f>
        <v>-1</v>
      </c>
    </row>
    <row r="93" customFormat="false" ht="15" hidden="false" customHeight="false" outlineLevel="0" collapsed="false">
      <c r="A93" s="52" t="s">
        <v>268</v>
      </c>
      <c r="B93" s="53" t="n">
        <f aca="false">IF(COUNTIFS(Clean_Data!$AB$2:$AB$2203,$A93&amp;"|"&amp;Inputs!$B$5)&gt;0,SUMIFS(Clean_Data!$F$2:$F$2203,Clean_Data!$AB$2:$AB$2203,$A93&amp;"|"&amp;Inputs!$B$5),"")</f>
        <v>9.01</v>
      </c>
      <c r="C93" s="53" t="n">
        <f aca="false">IF(COUNTIFS(Clean_Data!$AB$2:$AB$2203,$A93&amp;"|"&amp;Inputs!$B$6)&gt;0,SUMIFS(Clean_Data!$F$2:$F$2203,Clean_Data!$AB$2:$AB$2203,$A93&amp;"|"&amp;Inputs!$B$6),"")</f>
        <v>12.48</v>
      </c>
      <c r="D93" s="54" t="n">
        <f aca="false">IF(AND(ISNUMBER(B93),ISNUMBER(C93)),IF(AND(B93&gt;0,Inputs!$B$6&gt;Inputs!$B$5),(C93/B93)^(1/(Inputs!$B$6-Inputs!$B$5))-1,""),"")</f>
        <v>0.0368623103011541</v>
      </c>
      <c r="E93" s="54" t="n">
        <f aca="false">IF(ISNUMBER(B93),SUMIFS(Clean_Data!$V$2:$V$2203,Clean_Data!$AB$2:$AB$2203,$A93&amp;"|"&amp;Inputs!$B$5),"")</f>
        <v>0.440621531631521</v>
      </c>
      <c r="F93" s="54" t="n">
        <f aca="false">IF(ISNUMBER(C93),SUMIFS(Clean_Data!$V$2:$V$2203,Clean_Data!$AB$2:$AB$2203,$A93&amp;"|"&amp;Inputs!$B$6),"")</f>
        <v>0.554487179487179</v>
      </c>
      <c r="G93" s="55" t="n">
        <f aca="false">IF(AND(ISNUMBER(E93),ISNUMBER(F93)),(F93-E93)*100,"")</f>
        <v>11.3865647855659</v>
      </c>
      <c r="H93" s="54" t="n">
        <f aca="false">IF(ISNUMBER(B93),SUMIFS(Clean_Data!$X$2:$X$2203,Clean_Data!$AB$2:$AB$2203,$A93&amp;"|"&amp;Inputs!$B$5),"")</f>
        <v>0.123196448390677</v>
      </c>
      <c r="I93" s="54" t="n">
        <f aca="false">IF(ISNUMBER(C93),SUMIFS(Clean_Data!$X$2:$X$2203,Clean_Data!$AB$2:$AB$2203,$A93&amp;"|"&amp;Inputs!$B$6),"")</f>
        <v>0.154647435897436</v>
      </c>
      <c r="J93" s="55" t="n">
        <f aca="false">IF(AND(ISNUMBER(H93),ISNUMBER(I93)),(I93-H93)*100,"")</f>
        <v>3.14509875067588</v>
      </c>
      <c r="K93" s="54" t="n">
        <f aca="false">IF(ISNUMBER(C93),SUMIFS(Clean_Data!$Y$2:$Y$2203,Clean_Data!$AB$2:$AB$2203,$A93&amp;"|"&amp;Inputs!$B$6),"")</f>
        <v>0.00480769230769231</v>
      </c>
      <c r="L93" s="56" t="n">
        <f aca="false">IF(COUNTIFS(Clean_Data!$AB$2:$AB$2203,$A93&amp;"|"&amp;Inputs!$B$6,Clean_Data!$P$2:$P$2203,"&lt;&gt;")&gt;0,SUMIFS(Clean_Data!$P$2:$P$2203,Clean_Data!$AB$2:$AB$2203,$A93&amp;"|"&amp;Inputs!$B$6),"")</f>
        <v>322.1</v>
      </c>
      <c r="M93" s="52" t="str">
        <f aca="false">IF(ISNUMBER(C93),IF(C93&gt;=Inputs!$B$7,"Yes","No"),"No")</f>
        <v>No</v>
      </c>
      <c r="N93" s="57" t="n">
        <f aca="false">IF(M93="Yes",F93+ROW()/10^9,-1)</f>
        <v>-1</v>
      </c>
      <c r="O93" s="57" t="n">
        <f aca="false">IF(AND(M93="Yes",ISNUMBER(J93)),J93+ROW()/10^9,-1000)</f>
        <v>-1000</v>
      </c>
      <c r="P93" s="57" t="n">
        <f aca="false">IF(M93="Yes",K93+ROW()/10^9,-1)</f>
        <v>-1</v>
      </c>
    </row>
    <row r="94" customFormat="false" ht="15" hidden="false" customHeight="false" outlineLevel="0" collapsed="false">
      <c r="A94" s="52" t="s">
        <v>269</v>
      </c>
      <c r="B94" s="53" t="n">
        <f aca="false">IF(COUNTIFS(Clean_Data!$AB$2:$AB$2203,$A94&amp;"|"&amp;Inputs!$B$5)&gt;0,SUMIFS(Clean_Data!$F$2:$F$2203,Clean_Data!$AB$2:$AB$2203,$A94&amp;"|"&amp;Inputs!$B$5),"")</f>
        <v>37.86</v>
      </c>
      <c r="C94" s="53" t="n">
        <f aca="false">IF(COUNTIFS(Clean_Data!$AB$2:$AB$2203,$A94&amp;"|"&amp;Inputs!$B$6)&gt;0,SUMIFS(Clean_Data!$F$2:$F$2203,Clean_Data!$AB$2:$AB$2203,$A94&amp;"|"&amp;Inputs!$B$6),"")</f>
        <v>37.44</v>
      </c>
      <c r="D94" s="54" t="n">
        <f aca="false">IF(AND(ISNUMBER(B94),ISNUMBER(C94)),IF(AND(B94&gt;0,Inputs!$B$6&gt;Inputs!$B$5),(C94/B94)^(1/(Inputs!$B$6-Inputs!$B$5))-1,""),"")</f>
        <v>-0.00123873149038589</v>
      </c>
      <c r="E94" s="54" t="n">
        <f aca="false">IF(ISNUMBER(B94),SUMIFS(Clean_Data!$V$2:$V$2203,Clean_Data!$AB$2:$AB$2203,$A94&amp;"|"&amp;Inputs!$B$5),"")</f>
        <v>0.00184891706286318</v>
      </c>
      <c r="F94" s="54" t="n">
        <f aca="false">IF(ISNUMBER(C94),SUMIFS(Clean_Data!$V$2:$V$2203,Clean_Data!$AB$2:$AB$2203,$A94&amp;"|"&amp;Inputs!$B$6),"")</f>
        <v>0.0104166666666667</v>
      </c>
      <c r="G94" s="55" t="n">
        <f aca="false">IF(AND(ISNUMBER(E94),ISNUMBER(F94)),(F94-E94)*100,"")</f>
        <v>0.856774960380349</v>
      </c>
      <c r="H94" s="54" t="n">
        <f aca="false">IF(ISNUMBER(B94),SUMIFS(Clean_Data!$X$2:$X$2203,Clean_Data!$AB$2:$AB$2203,$A94&amp;"|"&amp;Inputs!$B$5),"")</f>
        <v>0</v>
      </c>
      <c r="I94" s="54" t="n">
        <f aca="false">IF(ISNUMBER(C94),SUMIFS(Clean_Data!$X$2:$X$2203,Clean_Data!$AB$2:$AB$2203,$A94&amp;"|"&amp;Inputs!$B$6),"")</f>
        <v>0.00614316239316239</v>
      </c>
      <c r="J94" s="55" t="n">
        <f aca="false">IF(AND(ISNUMBER(H94),ISNUMBER(I94)),(I94-H94)*100,"")</f>
        <v>0.614316239316239</v>
      </c>
      <c r="K94" s="54" t="n">
        <f aca="false">IF(ISNUMBER(C94),SUMIFS(Clean_Data!$Y$2:$Y$2203,Clean_Data!$AB$2:$AB$2203,$A94&amp;"|"&amp;Inputs!$B$6),"")</f>
        <v>0.336538461538462</v>
      </c>
      <c r="L94" s="56" t="n">
        <f aca="false">IF(COUNTIFS(Clean_Data!$AB$2:$AB$2203,$A94&amp;"|"&amp;Inputs!$B$6,Clean_Data!$P$2:$P$2203,"&lt;&gt;")&gt;0,SUMIFS(Clean_Data!$P$2:$P$2203,Clean_Data!$AB$2:$AB$2203,$A94&amp;"|"&amp;Inputs!$B$6),"")</f>
        <v>675.5</v>
      </c>
      <c r="M94" s="52" t="str">
        <f aca="false">IF(ISNUMBER(C94),IF(C94&gt;=Inputs!$B$7,"Yes","No"),"No")</f>
        <v>Yes</v>
      </c>
      <c r="N94" s="57" t="n">
        <f aca="false">IF(M94="Yes",F94+ROW()/10^9,-1)</f>
        <v>0.0104167606666667</v>
      </c>
      <c r="O94" s="57" t="n">
        <f aca="false">IF(AND(M94="Yes",ISNUMBER(J94)),J94+ROW()/10^9,-1000)</f>
        <v>0.614316333316239</v>
      </c>
      <c r="P94" s="57" t="n">
        <f aca="false">IF(M94="Yes",K94+ROW()/10^9,-1)</f>
        <v>0.336538555538462</v>
      </c>
    </row>
    <row r="95" customFormat="false" ht="15" hidden="false" customHeight="false" outlineLevel="0" collapsed="false">
      <c r="A95" s="52" t="s">
        <v>270</v>
      </c>
      <c r="B95" s="53" t="n">
        <f aca="false">IF(COUNTIFS(Clean_Data!$AB$2:$AB$2203,$A95&amp;"|"&amp;Inputs!$B$5)&gt;0,SUMIFS(Clean_Data!$F$2:$F$2203,Clean_Data!$AB$2:$AB$2203,$A95&amp;"|"&amp;Inputs!$B$5),"")</f>
        <v>30.33</v>
      </c>
      <c r="C95" s="53" t="n">
        <f aca="false">IF(COUNTIFS(Clean_Data!$AB$2:$AB$2203,$A95&amp;"|"&amp;Inputs!$B$6)&gt;0,SUMIFS(Clean_Data!$F$2:$F$2203,Clean_Data!$AB$2:$AB$2203,$A95&amp;"|"&amp;Inputs!$B$6),"")</f>
        <v>38</v>
      </c>
      <c r="D95" s="54" t="n">
        <f aca="false">IF(AND(ISNUMBER(B95),ISNUMBER(C95)),IF(AND(B95&gt;0,Inputs!$B$6&gt;Inputs!$B$5),(C95/B95)^(1/(Inputs!$B$6-Inputs!$B$5))-1,""),"")</f>
        <v>0.0253662551788856</v>
      </c>
      <c r="E95" s="54" t="n">
        <f aca="false">IF(ISNUMBER(B95),SUMIFS(Clean_Data!$V$2:$V$2203,Clean_Data!$AB$2:$AB$2203,$A95&amp;"|"&amp;Inputs!$B$5),"")</f>
        <v>0.106165512693703</v>
      </c>
      <c r="F95" s="54" t="n">
        <f aca="false">IF(ISNUMBER(C95),SUMIFS(Clean_Data!$V$2:$V$2203,Clean_Data!$AB$2:$AB$2203,$A95&amp;"|"&amp;Inputs!$B$6),"")</f>
        <v>0.314736842105263</v>
      </c>
      <c r="G95" s="55" t="n">
        <f aca="false">IF(AND(ISNUMBER(E95),ISNUMBER(F95)),(F95-E95)*100,"")</f>
        <v>20.8571329411561</v>
      </c>
      <c r="H95" s="54" t="n">
        <f aca="false">IF(ISNUMBER(B95),SUMIFS(Clean_Data!$X$2:$X$2203,Clean_Data!$AB$2:$AB$2203,$A95&amp;"|"&amp;Inputs!$B$5),"")</f>
        <v>0.0273656445763271</v>
      </c>
      <c r="I95" s="54" t="n">
        <f aca="false">IF(ISNUMBER(C95),SUMIFS(Clean_Data!$X$2:$X$2203,Clean_Data!$AB$2:$AB$2203,$A95&amp;"|"&amp;Inputs!$B$6),"")</f>
        <v>0.260263157894737</v>
      </c>
      <c r="J95" s="55" t="n">
        <f aca="false">IF(AND(ISNUMBER(H95),ISNUMBER(I95)),(I95-H95)*100,"")</f>
        <v>23.289751331841</v>
      </c>
      <c r="K95" s="54" t="n">
        <f aca="false">IF(ISNUMBER(C95),SUMIFS(Clean_Data!$Y$2:$Y$2203,Clean_Data!$AB$2:$AB$2203,$A95&amp;"|"&amp;Inputs!$B$6),"")</f>
        <v>0.0642105263157895</v>
      </c>
      <c r="L95" s="56" t="n">
        <f aca="false">IF(COUNTIFS(Clean_Data!$AB$2:$AB$2203,$A95&amp;"|"&amp;Inputs!$B$6,Clean_Data!$P$2:$P$2203,"&lt;&gt;")&gt;0,SUMIFS(Clean_Data!$P$2:$P$2203,Clean_Data!$AB$2:$AB$2203,$A95&amp;"|"&amp;Inputs!$B$6),"")</f>
        <v>184.5</v>
      </c>
      <c r="M95" s="52" t="str">
        <f aca="false">IF(ISNUMBER(C95),IF(C95&gt;=Inputs!$B$7,"Yes","No"),"No")</f>
        <v>Yes</v>
      </c>
      <c r="N95" s="57" t="n">
        <f aca="false">IF(M95="Yes",F95+ROW()/10^9,-1)</f>
        <v>0.314736937105263</v>
      </c>
      <c r="O95" s="57" t="n">
        <f aca="false">IF(AND(M95="Yes",ISNUMBER(J95)),J95+ROW()/10^9,-1000)</f>
        <v>23.289751426841</v>
      </c>
      <c r="P95" s="57" t="n">
        <f aca="false">IF(M95="Yes",K95+ROW()/10^9,-1)</f>
        <v>0.0642106213157895</v>
      </c>
    </row>
    <row r="96" customFormat="false" ht="15" hidden="false" customHeight="false" outlineLevel="0" collapsed="false">
      <c r="A96" s="52" t="s">
        <v>271</v>
      </c>
      <c r="B96" s="53" t="n">
        <f aca="false">IF(COUNTIFS(Clean_Data!$AB$2:$AB$2203,$A96&amp;"|"&amp;Inputs!$B$5)&gt;0,SUMIFS(Clean_Data!$F$2:$F$2203,Clean_Data!$AB$2:$AB$2203,$A96&amp;"|"&amp;Inputs!$B$5),"")</f>
        <v>18.55</v>
      </c>
      <c r="C96" s="53" t="n">
        <f aca="false">IF(COUNTIFS(Clean_Data!$AB$2:$AB$2203,$A96&amp;"|"&amp;Inputs!$B$6)&gt;0,SUMIFS(Clean_Data!$F$2:$F$2203,Clean_Data!$AB$2:$AB$2203,$A96&amp;"|"&amp;Inputs!$B$6),"")</f>
        <v>19.05</v>
      </c>
      <c r="D96" s="54" t="n">
        <f aca="false">IF(AND(ISNUMBER(B96),ISNUMBER(C96)),IF(AND(B96&gt;0,Inputs!$B$6&gt;Inputs!$B$5),(C96/B96)^(1/(Inputs!$B$6-Inputs!$B$5))-1,""),"")</f>
        <v>0.00295962802321959</v>
      </c>
      <c r="E96" s="54" t="n">
        <f aca="false">IF(ISNUMBER(B96),SUMIFS(Clean_Data!$V$2:$V$2203,Clean_Data!$AB$2:$AB$2203,$A96&amp;"|"&amp;Inputs!$B$5),"")</f>
        <v>1</v>
      </c>
      <c r="F96" s="54" t="n">
        <f aca="false">IF(ISNUMBER(C96),SUMIFS(Clean_Data!$V$2:$V$2203,Clean_Data!$AB$2:$AB$2203,$A96&amp;"|"&amp;Inputs!$B$6),"")</f>
        <v>1</v>
      </c>
      <c r="G96" s="55" t="n">
        <f aca="false">IF(AND(ISNUMBER(E96),ISNUMBER(F96)),(F96-E96)*100,"")</f>
        <v>0</v>
      </c>
      <c r="H96" s="54" t="n">
        <f aca="false">IF(ISNUMBER(B96),SUMIFS(Clean_Data!$X$2:$X$2203,Clean_Data!$AB$2:$AB$2203,$A96&amp;"|"&amp;Inputs!$B$5),"")</f>
        <v>0.000539083557951482</v>
      </c>
      <c r="I96" s="54" t="n">
        <f aca="false">IF(ISNUMBER(C96),SUMIFS(Clean_Data!$X$2:$X$2203,Clean_Data!$AB$2:$AB$2203,$A96&amp;"|"&amp;Inputs!$B$6),"")</f>
        <v>0.0010498687664042</v>
      </c>
      <c r="J96" s="55" t="n">
        <f aca="false">IF(AND(ISNUMBER(H96),ISNUMBER(I96)),(I96-H96)*100,"")</f>
        <v>0.0510785208452717</v>
      </c>
      <c r="K96" s="54" t="n">
        <f aca="false">IF(ISNUMBER(C96),SUMIFS(Clean_Data!$Y$2:$Y$2203,Clean_Data!$AB$2:$AB$2203,$A96&amp;"|"&amp;Inputs!$B$6),"")</f>
        <v>0</v>
      </c>
      <c r="L96" s="56" t="n">
        <f aca="false">IF(COUNTIFS(Clean_Data!$AB$2:$AB$2203,$A96&amp;"|"&amp;Inputs!$B$6,Clean_Data!$P$2:$P$2203,"&lt;&gt;")&gt;0,SUMIFS(Clean_Data!$P$2:$P$2203,Clean_Data!$AB$2:$AB$2203,$A96&amp;"|"&amp;Inputs!$B$6),"")</f>
        <v>27.8</v>
      </c>
      <c r="M96" s="52" t="str">
        <f aca="false">IF(ISNUMBER(C96),IF(C96&gt;=Inputs!$B$7,"Yes","No"),"No")</f>
        <v>No</v>
      </c>
      <c r="N96" s="57" t="n">
        <f aca="false">IF(M96="Yes",F96+ROW()/10^9,-1)</f>
        <v>-1</v>
      </c>
      <c r="O96" s="57" t="n">
        <f aca="false">IF(AND(M96="Yes",ISNUMBER(J96)),J96+ROW()/10^9,-1000)</f>
        <v>-1000</v>
      </c>
      <c r="P96" s="57" t="n">
        <f aca="false">IF(M96="Yes",K96+ROW()/10^9,-1)</f>
        <v>-1</v>
      </c>
    </row>
    <row r="97" customFormat="false" ht="15" hidden="false" customHeight="false" outlineLevel="0" collapsed="false">
      <c r="A97" s="52" t="s">
        <v>84</v>
      </c>
      <c r="B97" s="53" t="n">
        <f aca="false">IF(COUNTIFS(Clean_Data!$AB$2:$AB$2203,$A97&amp;"|"&amp;Inputs!$B$5)&gt;0,SUMIFS(Clean_Data!$F$2:$F$2203,Clean_Data!$AB$2:$AB$2203,$A97&amp;"|"&amp;Inputs!$B$5),"")</f>
        <v>1310.56</v>
      </c>
      <c r="C97" s="53" t="n">
        <f aca="false">IF(COUNTIFS(Clean_Data!$AB$2:$AB$2203,$A97&amp;"|"&amp;Inputs!$B$6)&gt;0,SUMIFS(Clean_Data!$F$2:$F$2203,Clean_Data!$AB$2:$AB$2203,$A97&amp;"|"&amp;Inputs!$B$6),"")</f>
        <v>2036.52</v>
      </c>
      <c r="D97" s="54" t="n">
        <f aca="false">IF(AND(ISNUMBER(B97),ISNUMBER(C97)),IF(AND(B97&gt;0,Inputs!$B$6&gt;Inputs!$B$5),(C97/B97)^(1/(Inputs!$B$6-Inputs!$B$5))-1,""),"")</f>
        <v>0.0501956057447666</v>
      </c>
      <c r="E97" s="54" t="n">
        <f aca="false">IF(ISNUMBER(B97),SUMIFS(Clean_Data!$V$2:$V$2203,Clean_Data!$AB$2:$AB$2203,$A97&amp;"|"&amp;Inputs!$B$5),"")</f>
        <v>0.146250457819558</v>
      </c>
      <c r="F97" s="54" t="n">
        <f aca="false">IF(ISNUMBER(C97),SUMIFS(Clean_Data!$V$2:$V$2203,Clean_Data!$AB$2:$AB$2203,$A97&amp;"|"&amp;Inputs!$B$6),"")</f>
        <v>0.198078094003496</v>
      </c>
      <c r="G97" s="55" t="n">
        <f aca="false">IF(AND(ISNUMBER(E97),ISNUMBER(F97)),(F97-E97)*100,"")</f>
        <v>5.18276361839381</v>
      </c>
      <c r="H97" s="54" t="n">
        <f aca="false">IF(ISNUMBER(B97),SUMIFS(Clean_Data!$X$2:$X$2203,Clean_Data!$AB$2:$AB$2203,$A97&amp;"|"&amp;Inputs!$B$5),"")</f>
        <v>0.0303915883286534</v>
      </c>
      <c r="I97" s="54" t="n">
        <f aca="false">IF(ISNUMBER(C97),SUMIFS(Clean_Data!$X$2:$X$2203,Clean_Data!$AB$2:$AB$2203,$A97&amp;"|"&amp;Inputs!$B$6),"")</f>
        <v>0.110291084791704</v>
      </c>
      <c r="J97" s="55" t="n">
        <f aca="false">IF(AND(ISNUMBER(H97),ISNUMBER(I97)),(I97-H97)*100,"")</f>
        <v>7.98994964630501</v>
      </c>
      <c r="K97" s="54" t="n">
        <f aca="false">IF(ISNUMBER(C97),SUMIFS(Clean_Data!$Y$2:$Y$2203,Clean_Data!$AB$2:$AB$2203,$A97&amp;"|"&amp;Inputs!$B$6),"")</f>
        <v>0.745340089957378</v>
      </c>
      <c r="L97" s="56" t="n">
        <f aca="false">IF(COUNTIFS(Clean_Data!$AB$2:$AB$2203,$A97&amp;"|"&amp;Inputs!$B$6,Clean_Data!$P$2:$P$2203,"&lt;&gt;")&gt;0,SUMIFS(Clean_Data!$P$2:$P$2203,Clean_Data!$AB$2:$AB$2203,$A97&amp;"|"&amp;Inputs!$B$6),"")</f>
        <v>705.4</v>
      </c>
      <c r="M97" s="52" t="str">
        <f aca="false">IF(ISNUMBER(C97),IF(C97&gt;=Inputs!$B$7,"Yes","No"),"No")</f>
        <v>Yes</v>
      </c>
      <c r="N97" s="57" t="n">
        <f aca="false">IF(M97="Yes",F97+ROW()/10^9,-1)</f>
        <v>0.198078191003496</v>
      </c>
      <c r="O97" s="57" t="n">
        <f aca="false">IF(AND(M97="Yes",ISNUMBER(J97)),J97+ROW()/10^9,-1000)</f>
        <v>7.98994974330501</v>
      </c>
      <c r="P97" s="57" t="n">
        <f aca="false">IF(M97="Yes",K97+ROW()/10^9,-1)</f>
        <v>0.745340186957378</v>
      </c>
    </row>
    <row r="98" customFormat="false" ht="15" hidden="false" customHeight="false" outlineLevel="0" collapsed="false">
      <c r="A98" s="52" t="s">
        <v>272</v>
      </c>
      <c r="B98" s="53" t="n">
        <f aca="false">IF(COUNTIFS(Clean_Data!$AB$2:$AB$2203,$A98&amp;"|"&amp;Inputs!$B$5)&gt;0,SUMIFS(Clean_Data!$F$2:$F$2203,Clean_Data!$AB$2:$AB$2203,$A98&amp;"|"&amp;Inputs!$B$5),"")</f>
        <v>243.28</v>
      </c>
      <c r="C98" s="53" t="n">
        <f aca="false">IF(COUNTIFS(Clean_Data!$AB$2:$AB$2203,$A98&amp;"|"&amp;Inputs!$B$6)&gt;0,SUMIFS(Clean_Data!$F$2:$F$2203,Clean_Data!$AB$2:$AB$2203,$A98&amp;"|"&amp;Inputs!$B$6),"")</f>
        <v>371.54</v>
      </c>
      <c r="D98" s="54" t="n">
        <f aca="false">IF(AND(ISNUMBER(B98),ISNUMBER(C98)),IF(AND(B98&gt;0,Inputs!$B$6&gt;Inputs!$B$5),(C98/B98)^(1/(Inputs!$B$6-Inputs!$B$5))-1,""),"")</f>
        <v>0.0481736579144054</v>
      </c>
      <c r="E98" s="54" t="n">
        <f aca="false">IF(ISNUMBER(B98),SUMIFS(Clean_Data!$V$2:$V$2203,Clean_Data!$AB$2:$AB$2203,$A98&amp;"|"&amp;Inputs!$B$5),"")</f>
        <v>0.137948043406774</v>
      </c>
      <c r="F98" s="54" t="n">
        <f aca="false">IF(ISNUMBER(C98),SUMIFS(Clean_Data!$V$2:$V$2203,Clean_Data!$AB$2:$AB$2203,$A98&amp;"|"&amp;Inputs!$B$6),"")</f>
        <v>0.180895731280616</v>
      </c>
      <c r="G98" s="55" t="n">
        <f aca="false">IF(AND(ISNUMBER(E98),ISNUMBER(F98)),(F98-E98)*100,"")</f>
        <v>4.29476878738417</v>
      </c>
      <c r="H98" s="54" t="n">
        <f aca="false">IF(ISNUMBER(B98),SUMIFS(Clean_Data!$X$2:$X$2203,Clean_Data!$AB$2:$AB$2203,$A98&amp;"|"&amp;Inputs!$B$5),"")</f>
        <v>4.11048997040447E-005</v>
      </c>
      <c r="I98" s="54" t="n">
        <f aca="false">IF(ISNUMBER(C98),SUMIFS(Clean_Data!$X$2:$X$2203,Clean_Data!$AB$2:$AB$2203,$A98&amp;"|"&amp;Inputs!$B$6),"")</f>
        <v>0.00489853044086774</v>
      </c>
      <c r="J98" s="55" t="n">
        <f aca="false">IF(AND(ISNUMBER(H98),ISNUMBER(I98)),(I98-H98)*100,"")</f>
        <v>0.485742554116369</v>
      </c>
      <c r="K98" s="54" t="n">
        <f aca="false">IF(ISNUMBER(C98),SUMIFS(Clean_Data!$Y$2:$Y$2203,Clean_Data!$AB$2:$AB$2203,$A98&amp;"|"&amp;Inputs!$B$6),"")</f>
        <v>0.614819400333746</v>
      </c>
      <c r="L98" s="56" t="n">
        <f aca="false">IF(COUNTIFS(Clean_Data!$AB$2:$AB$2203,$A98&amp;"|"&amp;Inputs!$B$6,Clean_Data!$P$2:$P$2203,"&lt;&gt;")&gt;0,SUMIFS(Clean_Data!$P$2:$P$2203,Clean_Data!$AB$2:$AB$2203,$A98&amp;"|"&amp;Inputs!$B$6),"")</f>
        <v>680.2</v>
      </c>
      <c r="M98" s="52" t="str">
        <f aca="false">IF(ISNUMBER(C98),IF(C98&gt;=Inputs!$B$7,"Yes","No"),"No")</f>
        <v>Yes</v>
      </c>
      <c r="N98" s="57" t="n">
        <f aca="false">IF(M98="Yes",F98+ROW()/10^9,-1)</f>
        <v>0.180895829280616</v>
      </c>
      <c r="O98" s="57" t="n">
        <f aca="false">IF(AND(M98="Yes",ISNUMBER(J98)),J98+ROW()/10^9,-1000)</f>
        <v>0.485742652116369</v>
      </c>
      <c r="P98" s="57" t="n">
        <f aca="false">IF(M98="Yes",K98+ROW()/10^9,-1)</f>
        <v>0.614819498333746</v>
      </c>
    </row>
    <row r="99" customFormat="false" ht="15" hidden="false" customHeight="false" outlineLevel="0" collapsed="false">
      <c r="A99" s="52" t="s">
        <v>273</v>
      </c>
      <c r="B99" s="53" t="n">
        <f aca="false">IF(COUNTIFS(Clean_Data!$AB$2:$AB$2203,$A99&amp;"|"&amp;Inputs!$B$5)&gt;0,SUMIFS(Clean_Data!$F$2:$F$2203,Clean_Data!$AB$2:$AB$2203,$A99&amp;"|"&amp;Inputs!$B$5),"")</f>
        <v>280.24</v>
      </c>
      <c r="C99" s="53" t="n">
        <f aca="false">IF(COUNTIFS(Clean_Data!$AB$2:$AB$2203,$A99&amp;"|"&amp;Inputs!$B$6)&gt;0,SUMIFS(Clean_Data!$F$2:$F$2203,Clean_Data!$AB$2:$AB$2203,$A99&amp;"|"&amp;Inputs!$B$6),"")</f>
        <v>395.79</v>
      </c>
      <c r="D99" s="54" t="n">
        <f aca="false">IF(AND(ISNUMBER(B99),ISNUMBER(C99)),IF(AND(B99&gt;0,Inputs!$B$6&gt;Inputs!$B$5),(C99/B99)^(1/(Inputs!$B$6-Inputs!$B$5))-1,""),"")</f>
        <v>0.0391049419466891</v>
      </c>
      <c r="E99" s="54" t="n">
        <f aca="false">IF(ISNUMBER(B99),SUMIFS(Clean_Data!$V$2:$V$2203,Clean_Data!$AB$2:$AB$2203,$A99&amp;"|"&amp;Inputs!$B$5),"")</f>
        <v>0.0478518412789038</v>
      </c>
      <c r="F99" s="54" t="n">
        <f aca="false">IF(ISNUMBER(C99),SUMIFS(Clean_Data!$V$2:$V$2203,Clean_Data!$AB$2:$AB$2203,$A99&amp;"|"&amp;Inputs!$B$6),"")</f>
        <v>0.0531847697011041</v>
      </c>
      <c r="G99" s="55" t="n">
        <f aca="false">IF(AND(ISNUMBER(E99),ISNUMBER(F99)),(F99-E99)*100,"")</f>
        <v>0.533292842220032</v>
      </c>
      <c r="H99" s="54" t="n">
        <f aca="false">IF(ISNUMBER(B99),SUMIFS(Clean_Data!$X$2:$X$2203,Clean_Data!$AB$2:$AB$2203,$A99&amp;"|"&amp;Inputs!$B$5),"")</f>
        <v>0.000499571795603768</v>
      </c>
      <c r="I99" s="54" t="n">
        <f aca="false">IF(ISNUMBER(C99),SUMIFS(Clean_Data!$X$2:$X$2203,Clean_Data!$AB$2:$AB$2203,$A99&amp;"|"&amp;Inputs!$B$6),"")</f>
        <v>0.00543217362742869</v>
      </c>
      <c r="J99" s="55" t="n">
        <f aca="false">IF(AND(ISNUMBER(H99),ISNUMBER(I99)),(I99-H99)*100,"")</f>
        <v>0.493260183182492</v>
      </c>
      <c r="K99" s="54" t="n">
        <f aca="false">IF(ISNUMBER(C99),SUMIFS(Clean_Data!$Y$2:$Y$2203,Clean_Data!$AB$2:$AB$2203,$A99&amp;"|"&amp;Inputs!$B$6),"")</f>
        <v>0.0018444124409409</v>
      </c>
      <c r="L99" s="56" t="n">
        <f aca="false">IF(COUNTIFS(Clean_Data!$AB$2:$AB$2203,$A99&amp;"|"&amp;Inputs!$B$6,Clean_Data!$P$2:$P$2203,"&lt;&gt;")&gt;0,SUMIFS(Clean_Data!$P$2:$P$2203,Clean_Data!$AB$2:$AB$2203,$A99&amp;"|"&amp;Inputs!$B$6),"")</f>
        <v>648.7</v>
      </c>
      <c r="M99" s="52" t="str">
        <f aca="false">IF(ISNUMBER(C99),IF(C99&gt;=Inputs!$B$7,"Yes","No"),"No")</f>
        <v>Yes</v>
      </c>
      <c r="N99" s="57" t="n">
        <f aca="false">IF(M99="Yes",F99+ROW()/10^9,-1)</f>
        <v>0.0531848687011041</v>
      </c>
      <c r="O99" s="57" t="n">
        <f aca="false">IF(AND(M99="Yes",ISNUMBER(J99)),J99+ROW()/10^9,-1000)</f>
        <v>0.493260282182492</v>
      </c>
      <c r="P99" s="57" t="n">
        <f aca="false">IF(M99="Yes",K99+ROW()/10^9,-1)</f>
        <v>0.0018445114409409</v>
      </c>
    </row>
    <row r="100" customFormat="false" ht="15" hidden="false" customHeight="false" outlineLevel="0" collapsed="false">
      <c r="A100" s="52" t="s">
        <v>274</v>
      </c>
      <c r="B100" s="53" t="n">
        <f aca="false">IF(COUNTIFS(Clean_Data!$AB$2:$AB$2203,$A100&amp;"|"&amp;Inputs!$B$5)&gt;0,SUMIFS(Clean_Data!$F$2:$F$2203,Clean_Data!$AB$2:$AB$2203,$A100&amp;"|"&amp;Inputs!$B$5),"")</f>
        <v>70.64</v>
      </c>
      <c r="C100" s="53" t="n">
        <f aca="false">IF(COUNTIFS(Clean_Data!$AB$2:$AB$2203,$A100&amp;"|"&amp;Inputs!$B$6)&gt;0,SUMIFS(Clean_Data!$F$2:$F$2203,Clean_Data!$AB$2:$AB$2203,$A100&amp;"|"&amp;Inputs!$B$6),"")</f>
        <v>149.73</v>
      </c>
      <c r="D100" s="54" t="n">
        <f aca="false">IF(AND(ISNUMBER(B100),ISNUMBER(C100)),IF(AND(B100&gt;0,Inputs!$B$6&gt;Inputs!$B$5),(C100/B100)^(1/(Inputs!$B$6-Inputs!$B$5))-1,""),"")</f>
        <v>0.0870534627045563</v>
      </c>
      <c r="E100" s="54" t="n">
        <f aca="false">IF(ISNUMBER(B100),SUMIFS(Clean_Data!$V$2:$V$2203,Clean_Data!$AB$2:$AB$2203,$A100&amp;"|"&amp;Inputs!$B$5),"")</f>
        <v>0.0369479048697622</v>
      </c>
      <c r="F100" s="54" t="n">
        <f aca="false">IF(ISNUMBER(C100),SUMIFS(Clean_Data!$V$2:$V$2203,Clean_Data!$AB$2:$AB$2203,$A100&amp;"|"&amp;Inputs!$B$6),"")</f>
        <v>0.0162292125826488</v>
      </c>
      <c r="G100" s="55" t="n">
        <f aca="false">IF(AND(ISNUMBER(E100),ISNUMBER(F100)),(F100-E100)*100,"")</f>
        <v>-2.07186922871134</v>
      </c>
      <c r="H100" s="54" t="n">
        <f aca="false">IF(ISNUMBER(B100),SUMIFS(Clean_Data!$X$2:$X$2203,Clean_Data!$AB$2:$AB$2203,$A100&amp;"|"&amp;Inputs!$B$5),"")</f>
        <v>0.000849377123442809</v>
      </c>
      <c r="I100" s="54" t="n">
        <f aca="false">IF(ISNUMBER(C100),SUMIFS(Clean_Data!$X$2:$X$2203,Clean_Data!$AB$2:$AB$2203,$A100&amp;"|"&amp;Inputs!$B$6),"")</f>
        <v>0.00287183597141521</v>
      </c>
      <c r="J100" s="55" t="n">
        <f aca="false">IF(AND(ISNUMBER(H100),ISNUMBER(I100)),(I100-H100)*100,"")</f>
        <v>0.202245884797241</v>
      </c>
      <c r="K100" s="54" t="n">
        <f aca="false">IF(ISNUMBER(C100),SUMIFS(Clean_Data!$Y$2:$Y$2203,Clean_Data!$AB$2:$AB$2203,$A100&amp;"|"&amp;Inputs!$B$6),"")</f>
        <v>0</v>
      </c>
      <c r="L100" s="56" t="n">
        <f aca="false">IF(COUNTIFS(Clean_Data!$AB$2:$AB$2203,$A100&amp;"|"&amp;Inputs!$B$6,Clean_Data!$P$2:$P$2203,"&lt;&gt;")&gt;0,SUMIFS(Clean_Data!$P$2:$P$2203,Clean_Data!$AB$2:$AB$2203,$A100&amp;"|"&amp;Inputs!$B$6),"")</f>
        <v>683.1</v>
      </c>
      <c r="M100" s="52" t="str">
        <f aca="false">IF(ISNUMBER(C100),IF(C100&gt;=Inputs!$B$7,"Yes","No"),"No")</f>
        <v>Yes</v>
      </c>
      <c r="N100" s="57" t="n">
        <f aca="false">IF(M100="Yes",F100+ROW()/10^9,-1)</f>
        <v>0.0162293125826488</v>
      </c>
      <c r="O100" s="57" t="n">
        <f aca="false">IF(AND(M100="Yes",ISNUMBER(J100)),J100+ROW()/10^9,-1000)</f>
        <v>0.202245984797241</v>
      </c>
      <c r="P100" s="57" t="n">
        <f aca="false">IF(M100="Yes",K100+ROW()/10^9,-1)</f>
        <v>1E-007</v>
      </c>
    </row>
    <row r="101" customFormat="false" ht="15" hidden="false" customHeight="false" outlineLevel="0" collapsed="false">
      <c r="A101" s="52" t="s">
        <v>275</v>
      </c>
      <c r="B101" s="53" t="n">
        <f aca="false">IF(COUNTIFS(Clean_Data!$AB$2:$AB$2203,$A101&amp;"|"&amp;Inputs!$B$5)&gt;0,SUMIFS(Clean_Data!$F$2:$F$2203,Clean_Data!$AB$2:$AB$2203,$A101&amp;"|"&amp;Inputs!$B$5),"")</f>
        <v>28.16</v>
      </c>
      <c r="C101" s="53" t="n">
        <f aca="false">IF(COUNTIFS(Clean_Data!$AB$2:$AB$2203,$A101&amp;"|"&amp;Inputs!$B$6)&gt;0,SUMIFS(Clean_Data!$F$2:$F$2203,Clean_Data!$AB$2:$AB$2203,$A101&amp;"|"&amp;Inputs!$B$6),"")</f>
        <v>31.08</v>
      </c>
      <c r="D101" s="54" t="n">
        <f aca="false">IF(AND(ISNUMBER(B101),ISNUMBER(C101)),IF(AND(B101&gt;0,Inputs!$B$6&gt;Inputs!$B$5),(C101/B101)^(1/(Inputs!$B$6-Inputs!$B$5))-1,""),"")</f>
        <v>0.0110227515601198</v>
      </c>
      <c r="E101" s="54" t="n">
        <f aca="false">IF(ISNUMBER(B101),SUMIFS(Clean_Data!$V$2:$V$2203,Clean_Data!$AB$2:$AB$2203,$A101&amp;"|"&amp;Inputs!$B$5),"")</f>
        <v>0.283025568181818</v>
      </c>
      <c r="F101" s="54" t="n">
        <f aca="false">IF(ISNUMBER(C101),SUMIFS(Clean_Data!$V$2:$V$2203,Clean_Data!$AB$2:$AB$2203,$A101&amp;"|"&amp;Inputs!$B$6),"")</f>
        <v>0.465250965250965</v>
      </c>
      <c r="G101" s="55" t="n">
        <f aca="false">IF(AND(ISNUMBER(E101),ISNUMBER(F101)),(F101-E101)*100,"")</f>
        <v>18.2225397069147</v>
      </c>
      <c r="H101" s="54" t="n">
        <f aca="false">IF(ISNUMBER(B101),SUMIFS(Clean_Data!$X$2:$X$2203,Clean_Data!$AB$2:$AB$2203,$A101&amp;"|"&amp;Inputs!$B$5),"")</f>
        <v>0.237215909090909</v>
      </c>
      <c r="I101" s="54" t="n">
        <f aca="false">IF(ISNUMBER(C101),SUMIFS(Clean_Data!$X$2:$X$2203,Clean_Data!$AB$2:$AB$2203,$A101&amp;"|"&amp;Inputs!$B$6),"")</f>
        <v>0.408301158301158</v>
      </c>
      <c r="J101" s="55" t="n">
        <f aca="false">IF(AND(ISNUMBER(H101),ISNUMBER(I101)),(I101-H101)*100,"")</f>
        <v>17.1085249210249</v>
      </c>
      <c r="K101" s="54" t="n">
        <f aca="false">IF(ISNUMBER(C101),SUMIFS(Clean_Data!$Y$2:$Y$2203,Clean_Data!$AB$2:$AB$2203,$A101&amp;"|"&amp;Inputs!$B$6),"")</f>
        <v>0.0202702702702703</v>
      </c>
      <c r="L101" s="56" t="n">
        <f aca="false">IF(COUNTIFS(Clean_Data!$AB$2:$AB$2203,$A101&amp;"|"&amp;Inputs!$B$6,Clean_Data!$P$2:$P$2203,"&lt;&gt;")&gt;0,SUMIFS(Clean_Data!$P$2:$P$2203,Clean_Data!$AB$2:$AB$2203,$A101&amp;"|"&amp;Inputs!$B$6),"")</f>
        <v>270.9</v>
      </c>
      <c r="M101" s="52" t="str">
        <f aca="false">IF(ISNUMBER(C101),IF(C101&gt;=Inputs!$B$7,"Yes","No"),"No")</f>
        <v>Yes</v>
      </c>
      <c r="N101" s="57" t="n">
        <f aca="false">IF(M101="Yes",F101+ROW()/10^9,-1)</f>
        <v>0.465251066250965</v>
      </c>
      <c r="O101" s="57" t="n">
        <f aca="false">IF(AND(M101="Yes",ISNUMBER(J101)),J101+ROW()/10^9,-1000)</f>
        <v>17.1085250220249</v>
      </c>
      <c r="P101" s="57" t="n">
        <f aca="false">IF(M101="Yes",K101+ROW()/10^9,-1)</f>
        <v>0.0202703712702703</v>
      </c>
    </row>
    <row r="102" customFormat="false" ht="15" hidden="false" customHeight="false" outlineLevel="0" collapsed="false">
      <c r="A102" s="52" t="s">
        <v>276</v>
      </c>
      <c r="B102" s="53" t="n">
        <f aca="false">IF(COUNTIFS(Clean_Data!$AB$2:$AB$2203,$A102&amp;"|"&amp;Inputs!$B$5)&gt;0,SUMIFS(Clean_Data!$F$2:$F$2203,Clean_Data!$AB$2:$AB$2203,$A102&amp;"|"&amp;Inputs!$B$5),"")</f>
        <v>64.23</v>
      </c>
      <c r="C102" s="53" t="n">
        <f aca="false">IF(COUNTIFS(Clean_Data!$AB$2:$AB$2203,$A102&amp;"|"&amp;Inputs!$B$6)&gt;0,SUMIFS(Clean_Data!$F$2:$F$2203,Clean_Data!$AB$2:$AB$2203,$A102&amp;"|"&amp;Inputs!$B$6),"")</f>
        <v>80.4</v>
      </c>
      <c r="D102" s="54" t="n">
        <f aca="false">IF(AND(ISNUMBER(B102),ISNUMBER(C102)),IF(AND(B102&gt;0,Inputs!$B$6&gt;Inputs!$B$5),(C102/B102)^(1/(Inputs!$B$6-Inputs!$B$5))-1,""),"")</f>
        <v>0.0252631480389598</v>
      </c>
      <c r="E102" s="54" t="n">
        <f aca="false">IF(ISNUMBER(B102),SUMIFS(Clean_Data!$V$2:$V$2203,Clean_Data!$AB$2:$AB$2203,$A102&amp;"|"&amp;Inputs!$B$5),"")</f>
        <v>0.0189942394519695</v>
      </c>
      <c r="F102" s="54" t="n">
        <f aca="false">IF(ISNUMBER(C102),SUMIFS(Clean_Data!$V$2:$V$2203,Clean_Data!$AB$2:$AB$2203,$A102&amp;"|"&amp;Inputs!$B$6),"")</f>
        <v>0.138059701492537</v>
      </c>
      <c r="G102" s="55" t="n">
        <f aca="false">IF(AND(ISNUMBER(E102),ISNUMBER(F102)),(F102-E102)*100,"")</f>
        <v>11.9065462040568</v>
      </c>
      <c r="H102" s="54" t="n">
        <f aca="false">IF(ISNUMBER(B102),SUMIFS(Clean_Data!$X$2:$X$2203,Clean_Data!$AB$2:$AB$2203,$A102&amp;"|"&amp;Inputs!$B$5),"")</f>
        <v>0.0175930250661685</v>
      </c>
      <c r="I102" s="54" t="n">
        <f aca="false">IF(ISNUMBER(C102),SUMIFS(Clean_Data!$X$2:$X$2203,Clean_Data!$AB$2:$AB$2203,$A102&amp;"|"&amp;Inputs!$B$6),"")</f>
        <v>0.136567164179104</v>
      </c>
      <c r="J102" s="55" t="n">
        <f aca="false">IF(AND(ISNUMBER(H102),ISNUMBER(I102)),(I102-H102)*100,"")</f>
        <v>11.8974139112936</v>
      </c>
      <c r="K102" s="54" t="n">
        <f aca="false">IF(ISNUMBER(C102),SUMIFS(Clean_Data!$Y$2:$Y$2203,Clean_Data!$AB$2:$AB$2203,$A102&amp;"|"&amp;Inputs!$B$6),"")</f>
        <v>0.143034825870647</v>
      </c>
      <c r="L102" s="56" t="n">
        <f aca="false">IF(COUNTIFS(Clean_Data!$AB$2:$AB$2203,$A102&amp;"|"&amp;Inputs!$B$6,Clean_Data!$P$2:$P$2203,"&lt;&gt;")&gt;0,SUMIFS(Clean_Data!$P$2:$P$2203,Clean_Data!$AB$2:$AB$2203,$A102&amp;"|"&amp;Inputs!$B$6),"")</f>
        <v>540.5</v>
      </c>
      <c r="M102" s="52" t="str">
        <f aca="false">IF(ISNUMBER(C102),IF(C102&gt;=Inputs!$B$7,"Yes","No"),"No")</f>
        <v>Yes</v>
      </c>
      <c r="N102" s="57" t="n">
        <f aca="false">IF(M102="Yes",F102+ROW()/10^9,-1)</f>
        <v>0.138059803492537</v>
      </c>
      <c r="O102" s="57" t="n">
        <f aca="false">IF(AND(M102="Yes",ISNUMBER(J102)),J102+ROW()/10^9,-1000)</f>
        <v>11.8974140132936</v>
      </c>
      <c r="P102" s="57" t="n">
        <f aca="false">IF(M102="Yes",K102+ROW()/10^9,-1)</f>
        <v>0.143034927870647</v>
      </c>
    </row>
    <row r="103" customFormat="false" ht="15" hidden="false" customHeight="false" outlineLevel="0" collapsed="false">
      <c r="A103" s="52" t="s">
        <v>277</v>
      </c>
      <c r="B103" s="53" t="n">
        <f aca="false">IF(COUNTIFS(Clean_Data!$AB$2:$AB$2203,$A103&amp;"|"&amp;Inputs!$B$5)&gt;0,SUMIFS(Clean_Data!$F$2:$F$2203,Clean_Data!$AB$2:$AB$2203,$A103&amp;"|"&amp;Inputs!$B$5),"")</f>
        <v>279.7</v>
      </c>
      <c r="C103" s="53" t="n">
        <f aca="false">IF(COUNTIFS(Clean_Data!$AB$2:$AB$2203,$A103&amp;"|"&amp;Inputs!$B$6)&gt;0,SUMIFS(Clean_Data!$F$2:$F$2203,Clean_Data!$AB$2:$AB$2203,$A103&amp;"|"&amp;Inputs!$B$6),"")</f>
        <v>267.56</v>
      </c>
      <c r="D103" s="54" t="n">
        <f aca="false">IF(AND(ISNUMBER(B103),ISNUMBER(C103)),IF(AND(B103&gt;0,Inputs!$B$6&gt;Inputs!$B$5),(C103/B103)^(1/(Inputs!$B$6-Inputs!$B$5))-1,""),"")</f>
        <v>-0.00491828321437582</v>
      </c>
      <c r="E103" s="54" t="n">
        <f aca="false">IF(ISNUMBER(B103),SUMIFS(Clean_Data!$V$2:$V$2203,Clean_Data!$AB$2:$AB$2203,$A103&amp;"|"&amp;Inputs!$B$5),"")</f>
        <v>0.389309974973186</v>
      </c>
      <c r="F103" s="54" t="n">
        <f aca="false">IF(ISNUMBER(C103),SUMIFS(Clean_Data!$V$2:$V$2203,Clean_Data!$AB$2:$AB$2203,$A103&amp;"|"&amp;Inputs!$B$6),"")</f>
        <v>0.501719240544177</v>
      </c>
      <c r="G103" s="55" t="n">
        <f aca="false">IF(AND(ISNUMBER(E103),ISNUMBER(F103)),(F103-E103)*100,"")</f>
        <v>11.2409265570991</v>
      </c>
      <c r="H103" s="54" t="n">
        <f aca="false">IF(ISNUMBER(B103),SUMIFS(Clean_Data!$X$2:$X$2203,Clean_Data!$AB$2:$AB$2203,$A103&amp;"|"&amp;Inputs!$B$5),"")</f>
        <v>0.135073292813729</v>
      </c>
      <c r="I103" s="54" t="n">
        <f aca="false">IF(ISNUMBER(C103),SUMIFS(Clean_Data!$X$2:$X$2203,Clean_Data!$AB$2:$AB$2203,$A103&amp;"|"&amp;Inputs!$B$6),"")</f>
        <v>0.217558678427269</v>
      </c>
      <c r="J103" s="55" t="n">
        <f aca="false">IF(AND(ISNUMBER(H103),ISNUMBER(I103)),(I103-H103)*100,"")</f>
        <v>8.24853856135396</v>
      </c>
      <c r="K103" s="54" t="n">
        <f aca="false">IF(ISNUMBER(C103),SUMIFS(Clean_Data!$Y$2:$Y$2203,Clean_Data!$AB$2:$AB$2203,$A103&amp;"|"&amp;Inputs!$B$6),"")</f>
        <v>0.0147630438032591</v>
      </c>
      <c r="L103" s="56" t="n">
        <f aca="false">IF(COUNTIFS(Clean_Data!$AB$2:$AB$2203,$A103&amp;"|"&amp;Inputs!$B$6,Clean_Data!$P$2:$P$2203,"&lt;&gt;")&gt;0,SUMIFS(Clean_Data!$P$2:$P$2203,Clean_Data!$AB$2:$AB$2203,$A103&amp;"|"&amp;Inputs!$B$6),"")</f>
        <v>281.4</v>
      </c>
      <c r="M103" s="52" t="str">
        <f aca="false">IF(ISNUMBER(C103),IF(C103&gt;=Inputs!$B$7,"Yes","No"),"No")</f>
        <v>Yes</v>
      </c>
      <c r="N103" s="57" t="n">
        <f aca="false">IF(M103="Yes",F103+ROW()/10^9,-1)</f>
        <v>0.501719343544177</v>
      </c>
      <c r="O103" s="57" t="n">
        <f aca="false">IF(AND(M103="Yes",ISNUMBER(J103)),J103+ROW()/10^9,-1000)</f>
        <v>8.24853866435396</v>
      </c>
      <c r="P103" s="57" t="n">
        <f aca="false">IF(M103="Yes",K103+ROW()/10^9,-1)</f>
        <v>0.0147631468032591</v>
      </c>
    </row>
    <row r="104" customFormat="false" ht="15" hidden="false" customHeight="false" outlineLevel="0" collapsed="false">
      <c r="A104" s="52" t="s">
        <v>278</v>
      </c>
      <c r="B104" s="53" t="n">
        <f aca="false">IF(COUNTIFS(Clean_Data!$AB$2:$AB$2203,$A104&amp;"|"&amp;Inputs!$B$5)&gt;0,SUMIFS(Clean_Data!$F$2:$F$2203,Clean_Data!$AB$2:$AB$2203,$A104&amp;"|"&amp;Inputs!$B$5),"")</f>
        <v>4.28</v>
      </c>
      <c r="C104" s="53" t="n">
        <f aca="false">IF(COUNTIFS(Clean_Data!$AB$2:$AB$2203,$A104&amp;"|"&amp;Inputs!$B$6)&gt;0,SUMIFS(Clean_Data!$F$2:$F$2203,Clean_Data!$AB$2:$AB$2203,$A104&amp;"|"&amp;Inputs!$B$6),"")</f>
        <v>4.92</v>
      </c>
      <c r="D104" s="54" t="n">
        <f aca="false">IF(AND(ISNUMBER(B104),ISNUMBER(C104)),IF(AND(B104&gt;0,Inputs!$B$6&gt;Inputs!$B$5),(C104/B104)^(1/(Inputs!$B$6-Inputs!$B$5))-1,""),"")</f>
        <v>0.0156044441935155</v>
      </c>
      <c r="E104" s="54" t="n">
        <f aca="false">IF(ISNUMBER(B104),SUMIFS(Clean_Data!$V$2:$V$2203,Clean_Data!$AB$2:$AB$2203,$A104&amp;"|"&amp;Inputs!$B$5),"")</f>
        <v>0.102803738317757</v>
      </c>
      <c r="F104" s="54" t="n">
        <f aca="false">IF(ISNUMBER(C104),SUMIFS(Clean_Data!$V$2:$V$2203,Clean_Data!$AB$2:$AB$2203,$A104&amp;"|"&amp;Inputs!$B$6),"")</f>
        <v>0.126016260162602</v>
      </c>
      <c r="G104" s="55" t="n">
        <f aca="false">IF(AND(ISNUMBER(E104),ISNUMBER(F104)),(F104-E104)*100,"")</f>
        <v>2.32125218448446</v>
      </c>
      <c r="H104" s="54" t="n">
        <f aca="false">IF(ISNUMBER(B104),SUMIFS(Clean_Data!$X$2:$X$2203,Clean_Data!$AB$2:$AB$2203,$A104&amp;"|"&amp;Inputs!$B$5),"")</f>
        <v>0.0327102803738318</v>
      </c>
      <c r="I104" s="54" t="n">
        <f aca="false">IF(ISNUMBER(C104),SUMIFS(Clean_Data!$X$2:$X$2203,Clean_Data!$AB$2:$AB$2203,$A104&amp;"|"&amp;Inputs!$B$6),"")</f>
        <v>0.0894308943089431</v>
      </c>
      <c r="J104" s="55" t="n">
        <f aca="false">IF(AND(ISNUMBER(H104),ISNUMBER(I104)),(I104-H104)*100,"")</f>
        <v>5.67206139351113</v>
      </c>
      <c r="K104" s="54" t="n">
        <f aca="false">IF(ISNUMBER(C104),SUMIFS(Clean_Data!$Y$2:$Y$2203,Clean_Data!$AB$2:$AB$2203,$A104&amp;"|"&amp;Inputs!$B$6),"")</f>
        <v>0</v>
      </c>
      <c r="L104" s="56" t="n">
        <f aca="false">IF(COUNTIFS(Clean_Data!$AB$2:$AB$2203,$A104&amp;"|"&amp;Inputs!$B$6,Clean_Data!$P$2:$P$2203,"&lt;&gt;")&gt;0,SUMIFS(Clean_Data!$P$2:$P$2203,Clean_Data!$AB$2:$AB$2203,$A104&amp;"|"&amp;Inputs!$B$6),"")</f>
        <v>563</v>
      </c>
      <c r="M104" s="52" t="str">
        <f aca="false">IF(ISNUMBER(C104),IF(C104&gt;=Inputs!$B$7,"Yes","No"),"No")</f>
        <v>No</v>
      </c>
      <c r="N104" s="57" t="n">
        <f aca="false">IF(M104="Yes",F104+ROW()/10^9,-1)</f>
        <v>-1</v>
      </c>
      <c r="O104" s="57" t="n">
        <f aca="false">IF(AND(M104="Yes",ISNUMBER(J104)),J104+ROW()/10^9,-1000)</f>
        <v>-1000</v>
      </c>
      <c r="P104" s="57" t="n">
        <f aca="false">IF(M104="Yes",K104+ROW()/10^9,-1)</f>
        <v>-1</v>
      </c>
    </row>
    <row r="105" customFormat="false" ht="15" hidden="false" customHeight="false" outlineLevel="0" collapsed="false">
      <c r="A105" s="52" t="s">
        <v>279</v>
      </c>
      <c r="B105" s="53" t="n">
        <f aca="false">IF(COUNTIFS(Clean_Data!$AB$2:$AB$2203,$A105&amp;"|"&amp;Inputs!$B$5)&gt;0,SUMIFS(Clean_Data!$F$2:$F$2203,Clean_Data!$AB$2:$AB$2203,$A105&amp;"|"&amp;Inputs!$B$5),"")</f>
        <v>1030.12</v>
      </c>
      <c r="C105" s="53" t="n">
        <f aca="false">IF(COUNTIFS(Clean_Data!$AB$2:$AB$2203,$A105&amp;"|"&amp;Inputs!$B$6)&gt;0,SUMIFS(Clean_Data!$F$2:$F$2203,Clean_Data!$AB$2:$AB$2203,$A105&amp;"|"&amp;Inputs!$B$6),"")</f>
        <v>1016.39</v>
      </c>
      <c r="D105" s="54" t="n">
        <f aca="false">IF(AND(ISNUMBER(B105),ISNUMBER(C105)),IF(AND(B105&gt;0,Inputs!$B$6&gt;Inputs!$B$5),(C105/B105)^(1/(Inputs!$B$6-Inputs!$B$5))-1,""),"")</f>
        <v>-0.00148979654308568</v>
      </c>
      <c r="E105" s="54" t="n">
        <f aca="false">IF(ISNUMBER(B105),SUMIFS(Clean_Data!$V$2:$V$2203,Clean_Data!$AB$2:$AB$2203,$A105&amp;"|"&amp;Inputs!$B$5),"")</f>
        <v>0.149516561177339</v>
      </c>
      <c r="F105" s="54" t="n">
        <f aca="false">IF(ISNUMBER(C105),SUMIFS(Clean_Data!$V$2:$V$2203,Clean_Data!$AB$2:$AB$2203,$A105&amp;"|"&amp;Inputs!$B$6),"")</f>
        <v>0.229350938124145</v>
      </c>
      <c r="G105" s="55" t="n">
        <f aca="false">IF(AND(ISNUMBER(E105),ISNUMBER(F105)),(F105-E105)*100,"")</f>
        <v>7.98343769468067</v>
      </c>
      <c r="H105" s="54" t="n">
        <f aca="false">IF(ISNUMBER(B105),SUMIFS(Clean_Data!$X$2:$X$2203,Clean_Data!$AB$2:$AB$2203,$A105&amp;"|"&amp;Inputs!$B$5),"")</f>
        <v>0.038597444957869</v>
      </c>
      <c r="I105" s="54" t="n">
        <f aca="false">IF(ISNUMBER(C105),SUMIFS(Clean_Data!$X$2:$X$2203,Clean_Data!$AB$2:$AB$2203,$A105&amp;"|"&amp;Inputs!$B$6),"")</f>
        <v>0.106494554255748</v>
      </c>
      <c r="J105" s="55" t="n">
        <f aca="false">IF(AND(ISNUMBER(H105),ISNUMBER(I105)),(I105-H105)*100,"")</f>
        <v>6.78971092978793</v>
      </c>
      <c r="K105" s="54" t="n">
        <f aca="false">IF(ISNUMBER(C105),SUMIFS(Clean_Data!$Y$2:$Y$2203,Clean_Data!$AB$2:$AB$2203,$A105&amp;"|"&amp;Inputs!$B$6),"")</f>
        <v>0.321854799830774</v>
      </c>
      <c r="L105" s="56" t="n">
        <f aca="false">IF(COUNTIFS(Clean_Data!$AB$2:$AB$2203,$A105&amp;"|"&amp;Inputs!$B$6,Clean_Data!$P$2:$P$2203,"&lt;&gt;")&gt;0,SUMIFS(Clean_Data!$P$2:$P$2203,Clean_Data!$AB$2:$AB$2203,$A105&amp;"|"&amp;Inputs!$B$6),"")</f>
        <v>483.4</v>
      </c>
      <c r="M105" s="52" t="str">
        <f aca="false">IF(ISNUMBER(C105),IF(C105&gt;=Inputs!$B$7,"Yes","No"),"No")</f>
        <v>Yes</v>
      </c>
      <c r="N105" s="57" t="n">
        <f aca="false">IF(M105="Yes",F105+ROW()/10^9,-1)</f>
        <v>0.229351043124145</v>
      </c>
      <c r="O105" s="57" t="n">
        <f aca="false">IF(AND(M105="Yes",ISNUMBER(J105)),J105+ROW()/10^9,-1000)</f>
        <v>6.78971103478793</v>
      </c>
      <c r="P105" s="57" t="n">
        <f aca="false">IF(M105="Yes",K105+ROW()/10^9,-1)</f>
        <v>0.321854904830774</v>
      </c>
    </row>
    <row r="106" customFormat="false" ht="15" hidden="false" customHeight="false" outlineLevel="0" collapsed="false">
      <c r="A106" s="52" t="s">
        <v>280</v>
      </c>
      <c r="B106" s="53" t="n">
        <f aca="false">IF(COUNTIFS(Clean_Data!$AB$2:$AB$2203,$A106&amp;"|"&amp;Inputs!$B$5)&gt;0,SUMIFS(Clean_Data!$F$2:$F$2203,Clean_Data!$AB$2:$AB$2203,$A106&amp;"|"&amp;Inputs!$B$5),"")</f>
        <v>19.06</v>
      </c>
      <c r="C106" s="53" t="n">
        <f aca="false">IF(COUNTIFS(Clean_Data!$AB$2:$AB$2203,$A106&amp;"|"&amp;Inputs!$B$6)&gt;0,SUMIFS(Clean_Data!$F$2:$F$2203,Clean_Data!$AB$2:$AB$2203,$A106&amp;"|"&amp;Inputs!$B$6),"")</f>
        <v>23.67</v>
      </c>
      <c r="D106" s="54" t="n">
        <f aca="false">IF(AND(ISNUMBER(B106),ISNUMBER(C106)),IF(AND(B106&gt;0,Inputs!$B$6&gt;Inputs!$B$5),(C106/B106)^(1/(Inputs!$B$6-Inputs!$B$5))-1,""),"")</f>
        <v>0.0243604870601375</v>
      </c>
      <c r="E106" s="54" t="n">
        <f aca="false">IF(ISNUMBER(B106),SUMIFS(Clean_Data!$V$2:$V$2203,Clean_Data!$AB$2:$AB$2203,$A106&amp;"|"&amp;Inputs!$B$5),"")</f>
        <v>0.0120671563483736</v>
      </c>
      <c r="F106" s="54" t="n">
        <f aca="false">IF(ISNUMBER(C106),SUMIFS(Clean_Data!$V$2:$V$2203,Clean_Data!$AB$2:$AB$2203,$A106&amp;"|"&amp;Inputs!$B$6),"")</f>
        <v>0.240811153358682</v>
      </c>
      <c r="G106" s="55" t="n">
        <f aca="false">IF(AND(ISNUMBER(E106),ISNUMBER(F106)),(F106-E106)*100,"")</f>
        <v>22.8743997010308</v>
      </c>
      <c r="H106" s="54" t="n">
        <f aca="false">IF(ISNUMBER(B106),SUMIFS(Clean_Data!$X$2:$X$2203,Clean_Data!$AB$2:$AB$2203,$A106&amp;"|"&amp;Inputs!$B$5),"")</f>
        <v>0.00891920251836306</v>
      </c>
      <c r="I106" s="54" t="n">
        <f aca="false">IF(ISNUMBER(C106),SUMIFS(Clean_Data!$X$2:$X$2203,Clean_Data!$AB$2:$AB$2203,$A106&amp;"|"&amp;Inputs!$B$6),"")</f>
        <v>0.239966201943388</v>
      </c>
      <c r="J106" s="55" t="n">
        <f aca="false">IF(AND(ISNUMBER(H106),ISNUMBER(I106)),(I106-H106)*100,"")</f>
        <v>23.1046999425025</v>
      </c>
      <c r="K106" s="54" t="n">
        <f aca="false">IF(ISNUMBER(C106),SUMIFS(Clean_Data!$Y$2:$Y$2203,Clean_Data!$AB$2:$AB$2203,$A106&amp;"|"&amp;Inputs!$B$6),"")</f>
        <v>0</v>
      </c>
      <c r="L106" s="56" t="n">
        <f aca="false">IF(COUNTIFS(Clean_Data!$AB$2:$AB$2203,$A106&amp;"|"&amp;Inputs!$B$6,Clean_Data!$P$2:$P$2203,"&lt;&gt;")&gt;0,SUMIFS(Clean_Data!$P$2:$P$2203,Clean_Data!$AB$2:$AB$2203,$A106&amp;"|"&amp;Inputs!$B$6),"")</f>
        <v>529.8</v>
      </c>
      <c r="M106" s="52" t="str">
        <f aca="false">IF(ISNUMBER(C106),IF(C106&gt;=Inputs!$B$7,"Yes","No"),"No")</f>
        <v>Yes</v>
      </c>
      <c r="N106" s="57" t="n">
        <f aca="false">IF(M106="Yes",F106+ROW()/10^9,-1)</f>
        <v>0.240811259358682</v>
      </c>
      <c r="O106" s="57" t="n">
        <f aca="false">IF(AND(M106="Yes",ISNUMBER(J106)),J106+ROW()/10^9,-1000)</f>
        <v>23.1047000485025</v>
      </c>
      <c r="P106" s="57" t="n">
        <f aca="false">IF(M106="Yes",K106+ROW()/10^9,-1)</f>
        <v>1.06E-007</v>
      </c>
    </row>
    <row r="107" customFormat="false" ht="15" hidden="false" customHeight="false" outlineLevel="0" collapsed="false">
      <c r="A107" s="52" t="s">
        <v>281</v>
      </c>
      <c r="B107" s="53" t="n">
        <f aca="false">IF(COUNTIFS(Clean_Data!$AB$2:$AB$2203,$A107&amp;"|"&amp;Inputs!$B$5)&gt;0,SUMIFS(Clean_Data!$F$2:$F$2203,Clean_Data!$AB$2:$AB$2203,$A107&amp;"|"&amp;Inputs!$B$5),"")</f>
        <v>91.65</v>
      </c>
      <c r="C107" s="53" t="n">
        <f aca="false">IF(COUNTIFS(Clean_Data!$AB$2:$AB$2203,$A107&amp;"|"&amp;Inputs!$B$6)&gt;0,SUMIFS(Clean_Data!$F$2:$F$2203,Clean_Data!$AB$2:$AB$2203,$A107&amp;"|"&amp;Inputs!$B$6),"")</f>
        <v>118.51</v>
      </c>
      <c r="D107" s="54" t="n">
        <f aca="false">IF(AND(ISNUMBER(B107),ISNUMBER(C107)),IF(AND(B107&gt;0,Inputs!$B$6&gt;Inputs!$B$5),(C107/B107)^(1/(Inputs!$B$6-Inputs!$B$5))-1,""),"")</f>
        <v>0.0289695030925567</v>
      </c>
      <c r="E107" s="54" t="n">
        <f aca="false">IF(ISNUMBER(B107),SUMIFS(Clean_Data!$V$2:$V$2203,Clean_Data!$AB$2:$AB$2203,$A107&amp;"|"&amp;Inputs!$B$5),"")</f>
        <v>0.103109656301146</v>
      </c>
      <c r="F107" s="54" t="n">
        <f aca="false">IF(ISNUMBER(C107),SUMIFS(Clean_Data!$V$2:$V$2203,Clean_Data!$AB$2:$AB$2203,$A107&amp;"|"&amp;Inputs!$B$6),"")</f>
        <v>0.152139059994937</v>
      </c>
      <c r="G107" s="55" t="n">
        <f aca="false">IF(AND(ISNUMBER(E107),ISNUMBER(F107)),(F107-E107)*100,"")</f>
        <v>4.90294036937915</v>
      </c>
      <c r="H107" s="54" t="n">
        <f aca="false">IF(ISNUMBER(B107),SUMIFS(Clean_Data!$X$2:$X$2203,Clean_Data!$AB$2:$AB$2203,$A107&amp;"|"&amp;Inputs!$B$5),"")</f>
        <v>0.00196399345335516</v>
      </c>
      <c r="I107" s="54" t="n">
        <f aca="false">IF(ISNUMBER(C107),SUMIFS(Clean_Data!$X$2:$X$2203,Clean_Data!$AB$2:$AB$2203,$A107&amp;"|"&amp;Inputs!$B$6),"")</f>
        <v>0.0572103619947684</v>
      </c>
      <c r="J107" s="55" t="n">
        <f aca="false">IF(AND(ISNUMBER(H107),ISNUMBER(I107)),(I107-H107)*100,"")</f>
        <v>5.52463685414132</v>
      </c>
      <c r="K107" s="54" t="n">
        <f aca="false">IF(ISNUMBER(C107),SUMIFS(Clean_Data!$Y$2:$Y$2203,Clean_Data!$AB$2:$AB$2203,$A107&amp;"|"&amp;Inputs!$B$6),"")</f>
        <v>0.540291958484516</v>
      </c>
      <c r="L107" s="56" t="n">
        <f aca="false">IF(COUNTIFS(Clean_Data!$AB$2:$AB$2203,$A107&amp;"|"&amp;Inputs!$B$6,Clean_Data!$P$2:$P$2203,"&lt;&gt;")&gt;0,SUMIFS(Clean_Data!$P$2:$P$2203,Clean_Data!$AB$2:$AB$2203,$A107&amp;"|"&amp;Inputs!$B$6),"")</f>
        <v>802</v>
      </c>
      <c r="M107" s="52" t="str">
        <f aca="false">IF(ISNUMBER(C107),IF(C107&gt;=Inputs!$B$7,"Yes","No"),"No")</f>
        <v>Yes</v>
      </c>
      <c r="N107" s="57" t="n">
        <f aca="false">IF(M107="Yes",F107+ROW()/10^9,-1)</f>
        <v>0.152139166994937</v>
      </c>
      <c r="O107" s="57" t="n">
        <f aca="false">IF(AND(M107="Yes",ISNUMBER(J107)),J107+ROW()/10^9,-1000)</f>
        <v>5.52463696114132</v>
      </c>
      <c r="P107" s="57" t="n">
        <f aca="false">IF(M107="Yes",K107+ROW()/10^9,-1)</f>
        <v>0.540292065484516</v>
      </c>
    </row>
    <row r="108" customFormat="false" ht="15" hidden="false" customHeight="false" outlineLevel="0" collapsed="false">
      <c r="A108" s="52" t="s">
        <v>282</v>
      </c>
      <c r="B108" s="53" t="n">
        <f aca="false">IF(COUNTIFS(Clean_Data!$AB$2:$AB$2203,$A108&amp;"|"&amp;Inputs!$B$5)&gt;0,SUMIFS(Clean_Data!$F$2:$F$2203,Clean_Data!$AB$2:$AB$2203,$A108&amp;"|"&amp;Inputs!$B$5),"")</f>
        <v>9.81</v>
      </c>
      <c r="C108" s="53" t="n">
        <f aca="false">IF(COUNTIFS(Clean_Data!$AB$2:$AB$2203,$A108&amp;"|"&amp;Inputs!$B$6)&gt;0,SUMIFS(Clean_Data!$F$2:$F$2203,Clean_Data!$AB$2:$AB$2203,$A108&amp;"|"&amp;Inputs!$B$6),"")</f>
        <v>13.26</v>
      </c>
      <c r="D108" s="54" t="n">
        <f aca="false">IF(AND(ISNUMBER(B108),ISNUMBER(C108)),IF(AND(B108&gt;0,Inputs!$B$6&gt;Inputs!$B$5),(C108/B108)^(1/(Inputs!$B$6-Inputs!$B$5))-1,""),"")</f>
        <v>0.0340501762287342</v>
      </c>
      <c r="E108" s="54" t="n">
        <f aca="false">IF(ISNUMBER(B108),SUMIFS(Clean_Data!$V$2:$V$2203,Clean_Data!$AB$2:$AB$2203,$A108&amp;"|"&amp;Inputs!$B$5),"")</f>
        <v>0.898063200815494</v>
      </c>
      <c r="F108" s="54" t="n">
        <f aca="false">IF(ISNUMBER(C108),SUMIFS(Clean_Data!$V$2:$V$2203,Clean_Data!$AB$2:$AB$2203,$A108&amp;"|"&amp;Inputs!$B$6),"")</f>
        <v>0.914781297134238</v>
      </c>
      <c r="G108" s="55" t="n">
        <f aca="false">IF(AND(ISNUMBER(E108),ISNUMBER(F108)),(F108-E108)*100,"")</f>
        <v>1.67180963187439</v>
      </c>
      <c r="H108" s="54" t="n">
        <f aca="false">IF(ISNUMBER(B108),SUMIFS(Clean_Data!$X$2:$X$2203,Clean_Data!$AB$2:$AB$2203,$A108&amp;"|"&amp;Inputs!$B$5),"")</f>
        <v>0.0112130479102956</v>
      </c>
      <c r="I108" s="54" t="n">
        <f aca="false">IF(ISNUMBER(C108),SUMIFS(Clean_Data!$X$2:$X$2203,Clean_Data!$AB$2:$AB$2203,$A108&amp;"|"&amp;Inputs!$B$6),"")</f>
        <v>0.21342383107089</v>
      </c>
      <c r="J108" s="55" t="n">
        <f aca="false">IF(AND(ISNUMBER(H108),ISNUMBER(I108)),(I108-H108)*100,"")</f>
        <v>20.2210783160594</v>
      </c>
      <c r="K108" s="54" t="n">
        <f aca="false">IF(ISNUMBER(C108),SUMIFS(Clean_Data!$Y$2:$Y$2203,Clean_Data!$AB$2:$AB$2203,$A108&amp;"|"&amp;Inputs!$B$6),"")</f>
        <v>0</v>
      </c>
      <c r="L108" s="56" t="n">
        <f aca="false">IF(COUNTIFS(Clean_Data!$AB$2:$AB$2203,$A108&amp;"|"&amp;Inputs!$B$6,Clean_Data!$P$2:$P$2203,"&lt;&gt;")&gt;0,SUMIFS(Clean_Data!$P$2:$P$2203,Clean_Data!$AB$2:$AB$2203,$A108&amp;"|"&amp;Inputs!$B$6),"")</f>
        <v>85.2</v>
      </c>
      <c r="M108" s="52" t="str">
        <f aca="false">IF(ISNUMBER(C108),IF(C108&gt;=Inputs!$B$7,"Yes","No"),"No")</f>
        <v>No</v>
      </c>
      <c r="N108" s="57" t="n">
        <f aca="false">IF(M108="Yes",F108+ROW()/10^9,-1)</f>
        <v>-1</v>
      </c>
      <c r="O108" s="57" t="n">
        <f aca="false">IF(AND(M108="Yes",ISNUMBER(J108)),J108+ROW()/10^9,-1000)</f>
        <v>-1000</v>
      </c>
      <c r="P108" s="57" t="n">
        <f aca="false">IF(M108="Yes",K108+ROW()/10^9,-1)</f>
        <v>-1</v>
      </c>
    </row>
    <row r="109" customFormat="false" ht="15" hidden="false" customHeight="false" outlineLevel="0" collapsed="false">
      <c r="A109" s="52" t="s">
        <v>283</v>
      </c>
      <c r="B109" s="53" t="n">
        <f aca="false">IF(COUNTIFS(Clean_Data!$AB$2:$AB$2203,$A109&amp;"|"&amp;Inputs!$B$5)&gt;0,SUMIFS(Clean_Data!$F$2:$F$2203,Clean_Data!$AB$2:$AB$2203,$A109&amp;"|"&amp;Inputs!$B$5),"")</f>
        <v>0.03</v>
      </c>
      <c r="C109" s="53" t="n">
        <f aca="false">IF(COUNTIFS(Clean_Data!$AB$2:$AB$2203,$A109&amp;"|"&amp;Inputs!$B$6)&gt;0,SUMIFS(Clean_Data!$F$2:$F$2203,Clean_Data!$AB$2:$AB$2203,$A109&amp;"|"&amp;Inputs!$B$6),"")</f>
        <v>0.04</v>
      </c>
      <c r="D109" s="54" t="n">
        <f aca="false">IF(AND(ISNUMBER(B109),ISNUMBER(C109)),IF(AND(B109&gt;0,Inputs!$B$6&gt;Inputs!$B$5),(C109/B109)^(1/(Inputs!$B$6-Inputs!$B$5))-1,""),"")</f>
        <v>0.0324810319761204</v>
      </c>
      <c r="E109" s="54" t="n">
        <f aca="false">IF(ISNUMBER(B109),SUMIFS(Clean_Data!$V$2:$V$2203,Clean_Data!$AB$2:$AB$2203,$A109&amp;"|"&amp;Inputs!$B$5),"")</f>
        <v>0</v>
      </c>
      <c r="F109" s="54" t="n">
        <f aca="false">IF(ISNUMBER(C109),SUMIFS(Clean_Data!$V$2:$V$2203,Clean_Data!$AB$2:$AB$2203,$A109&amp;"|"&amp;Inputs!$B$6),"")</f>
        <v>0.25</v>
      </c>
      <c r="G109" s="55" t="n">
        <f aca="false">IF(AND(ISNUMBER(E109),ISNUMBER(F109)),(F109-E109)*100,"")</f>
        <v>25</v>
      </c>
      <c r="H109" s="54" t="n">
        <f aca="false">IF(ISNUMBER(B109),SUMIFS(Clean_Data!$X$2:$X$2203,Clean_Data!$AB$2:$AB$2203,$A109&amp;"|"&amp;Inputs!$B$5),"")</f>
        <v>0</v>
      </c>
      <c r="I109" s="54" t="n">
        <f aca="false">IF(ISNUMBER(C109),SUMIFS(Clean_Data!$X$2:$X$2203,Clean_Data!$AB$2:$AB$2203,$A109&amp;"|"&amp;Inputs!$B$6),"")</f>
        <v>0.25</v>
      </c>
      <c r="J109" s="55" t="n">
        <f aca="false">IF(AND(ISNUMBER(H109),ISNUMBER(I109)),(I109-H109)*100,"")</f>
        <v>25</v>
      </c>
      <c r="K109" s="54" t="n">
        <f aca="false">IF(ISNUMBER(C109),SUMIFS(Clean_Data!$Y$2:$Y$2203,Clean_Data!$AB$2:$AB$2203,$A109&amp;"|"&amp;Inputs!$B$6),"")</f>
        <v>0</v>
      </c>
      <c r="L109" s="56" t="n">
        <f aca="false">IF(COUNTIFS(Clean_Data!$AB$2:$AB$2203,$A109&amp;"|"&amp;Inputs!$B$6,Clean_Data!$P$2:$P$2203,"&lt;&gt;")&gt;0,SUMIFS(Clean_Data!$P$2:$P$2203,Clean_Data!$AB$2:$AB$2203,$A109&amp;"|"&amp;Inputs!$B$6),"")</f>
        <v>500</v>
      </c>
      <c r="M109" s="52" t="str">
        <f aca="false">IF(ISNUMBER(C109),IF(C109&gt;=Inputs!$B$7,"Yes","No"),"No")</f>
        <v>No</v>
      </c>
      <c r="N109" s="57" t="n">
        <f aca="false">IF(M109="Yes",F109+ROW()/10^9,-1)</f>
        <v>-1</v>
      </c>
      <c r="O109" s="57" t="n">
        <f aca="false">IF(AND(M109="Yes",ISNUMBER(J109)),J109+ROW()/10^9,-1000)</f>
        <v>-1000</v>
      </c>
      <c r="P109" s="57" t="n">
        <f aca="false">IF(M109="Yes",K109+ROW()/10^9,-1)</f>
        <v>-1</v>
      </c>
    </row>
    <row r="110" customFormat="false" ht="15" hidden="false" customHeight="false" outlineLevel="0" collapsed="false">
      <c r="A110" s="52" t="s">
        <v>284</v>
      </c>
      <c r="B110" s="53" t="n">
        <f aca="false">IF(COUNTIFS(Clean_Data!$AB$2:$AB$2203,$A110&amp;"|"&amp;Inputs!$B$5)&gt;0,SUMIFS(Clean_Data!$F$2:$F$2203,Clean_Data!$AB$2:$AB$2203,$A110&amp;"|"&amp;Inputs!$B$5),"")</f>
        <v>68.3</v>
      </c>
      <c r="C110" s="53" t="n">
        <f aca="false">IF(COUNTIFS(Clean_Data!$AB$2:$AB$2203,$A110&amp;"|"&amp;Inputs!$B$6)&gt;0,SUMIFS(Clean_Data!$F$2:$F$2203,Clean_Data!$AB$2:$AB$2203,$A110&amp;"|"&amp;Inputs!$B$6),"")</f>
        <v>92.49</v>
      </c>
      <c r="D110" s="54" t="n">
        <f aca="false">IF(AND(ISNUMBER(B110),ISNUMBER(C110)),IF(AND(B110&gt;0,Inputs!$B$6&gt;Inputs!$B$5),(C110/B110)^(1/(Inputs!$B$6-Inputs!$B$5))-1,""),"")</f>
        <v>0.0342617246410488</v>
      </c>
      <c r="E110" s="54" t="n">
        <f aca="false">IF(ISNUMBER(B110),SUMIFS(Clean_Data!$V$2:$V$2203,Clean_Data!$AB$2:$AB$2203,$A110&amp;"|"&amp;Inputs!$B$5),"")</f>
        <v>0.000146412884333821</v>
      </c>
      <c r="F110" s="54" t="n">
        <f aca="false">IF(ISNUMBER(C110),SUMIFS(Clean_Data!$V$2:$V$2203,Clean_Data!$AB$2:$AB$2203,$A110&amp;"|"&amp;Inputs!$B$6),"")</f>
        <v>0.0223807979240999</v>
      </c>
      <c r="G110" s="55" t="n">
        <f aca="false">IF(AND(ISNUMBER(E110),ISNUMBER(F110)),(F110-E110)*100,"")</f>
        <v>2.22343850397661</v>
      </c>
      <c r="H110" s="54" t="n">
        <f aca="false">IF(ISNUMBER(B110),SUMIFS(Clean_Data!$X$2:$X$2203,Clean_Data!$AB$2:$AB$2203,$A110&amp;"|"&amp;Inputs!$B$5),"")</f>
        <v>0.000146412884333821</v>
      </c>
      <c r="I110" s="54" t="n">
        <f aca="false">IF(ISNUMBER(C110),SUMIFS(Clean_Data!$X$2:$X$2203,Clean_Data!$AB$2:$AB$2203,$A110&amp;"|"&amp;Inputs!$B$6),"")</f>
        <v>0.0223807979240999</v>
      </c>
      <c r="J110" s="55" t="n">
        <f aca="false">IF(AND(ISNUMBER(H110),ISNUMBER(I110)),(I110-H110)*100,"")</f>
        <v>2.22343850397661</v>
      </c>
      <c r="K110" s="54" t="n">
        <f aca="false">IF(ISNUMBER(C110),SUMIFS(Clean_Data!$Y$2:$Y$2203,Clean_Data!$AB$2:$AB$2203,$A110&amp;"|"&amp;Inputs!$B$6),"")</f>
        <v>0</v>
      </c>
      <c r="L110" s="56" t="n">
        <f aca="false">IF(COUNTIFS(Clean_Data!$AB$2:$AB$2203,$A110&amp;"|"&amp;Inputs!$B$6,Clean_Data!$P$2:$P$2203,"&lt;&gt;")&gt;0,SUMIFS(Clean_Data!$P$2:$P$2203,Clean_Data!$AB$2:$AB$2203,$A110&amp;"|"&amp;Inputs!$B$6),"")</f>
        <v>635.2</v>
      </c>
      <c r="M110" s="52" t="str">
        <f aca="false">IF(ISNUMBER(C110),IF(C110&gt;=Inputs!$B$7,"Yes","No"),"No")</f>
        <v>Yes</v>
      </c>
      <c r="N110" s="57" t="n">
        <f aca="false">IF(M110="Yes",F110+ROW()/10^9,-1)</f>
        <v>0.0223809079240999</v>
      </c>
      <c r="O110" s="57" t="n">
        <f aca="false">IF(AND(M110="Yes",ISNUMBER(J110)),J110+ROW()/10^9,-1000)</f>
        <v>2.22343861397661</v>
      </c>
      <c r="P110" s="57" t="n">
        <f aca="false">IF(M110="Yes",K110+ROW()/10^9,-1)</f>
        <v>1.1E-007</v>
      </c>
    </row>
    <row r="111" customFormat="false" ht="15" hidden="false" customHeight="false" outlineLevel="0" collapsed="false">
      <c r="A111" s="52" t="s">
        <v>285</v>
      </c>
      <c r="B111" s="53" t="n">
        <f aca="false">IF(COUNTIFS(Clean_Data!$AB$2:$AB$2203,$A111&amp;"|"&amp;Inputs!$B$5)&gt;0,SUMIFS(Clean_Data!$F$2:$F$2203,Clean_Data!$AB$2:$AB$2203,$A111&amp;"|"&amp;Inputs!$B$5),"")</f>
        <v>12.92</v>
      </c>
      <c r="C111" s="53" t="n">
        <f aca="false">IF(COUNTIFS(Clean_Data!$AB$2:$AB$2203,$A111&amp;"|"&amp;Inputs!$B$6)&gt;0,SUMIFS(Clean_Data!$F$2:$F$2203,Clean_Data!$AB$2:$AB$2203,$A111&amp;"|"&amp;Inputs!$B$6),"")</f>
        <v>15.77</v>
      </c>
      <c r="D111" s="54" t="n">
        <f aca="false">IF(AND(ISNUMBER(B111),ISNUMBER(C111)),IF(AND(B111&gt;0,Inputs!$B$6&gt;Inputs!$B$5),(C111/B111)^(1/(Inputs!$B$6-Inputs!$B$5))-1,""),"")</f>
        <v>0.0223951902839064</v>
      </c>
      <c r="E111" s="54" t="n">
        <f aca="false">IF(ISNUMBER(B111),SUMIFS(Clean_Data!$V$2:$V$2203,Clean_Data!$AB$2:$AB$2203,$A111&amp;"|"&amp;Inputs!$B$5),"")</f>
        <v>0.85061919504644</v>
      </c>
      <c r="F111" s="54" t="n">
        <f aca="false">IF(ISNUMBER(C111),SUMIFS(Clean_Data!$V$2:$V$2203,Clean_Data!$AB$2:$AB$2203,$A111&amp;"|"&amp;Inputs!$B$6),"")</f>
        <v>0.887761572606214</v>
      </c>
      <c r="G111" s="55" t="n">
        <f aca="false">IF(AND(ISNUMBER(E111),ISNUMBER(F111)),(F111-E111)*100,"")</f>
        <v>3.71423775597747</v>
      </c>
      <c r="H111" s="54" t="n">
        <f aca="false">IF(ISNUMBER(B111),SUMIFS(Clean_Data!$X$2:$X$2203,Clean_Data!$AB$2:$AB$2203,$A111&amp;"|"&amp;Inputs!$B$5),"")</f>
        <v>0</v>
      </c>
      <c r="I111" s="54" t="n">
        <f aca="false">IF(ISNUMBER(C111),SUMIFS(Clean_Data!$X$2:$X$2203,Clean_Data!$AB$2:$AB$2203,$A111&amp;"|"&amp;Inputs!$B$6),"")</f>
        <v>0</v>
      </c>
      <c r="J111" s="55" t="n">
        <f aca="false">IF(AND(ISNUMBER(H111),ISNUMBER(I111)),(I111-H111)*100,"")</f>
        <v>0</v>
      </c>
      <c r="K111" s="54" t="n">
        <f aca="false">IF(ISNUMBER(C111),SUMIFS(Clean_Data!$Y$2:$Y$2203,Clean_Data!$AB$2:$AB$2203,$A111&amp;"|"&amp;Inputs!$B$6),"")</f>
        <v>0.0970196575776791</v>
      </c>
      <c r="L111" s="56" t="n">
        <f aca="false">IF(COUNTIFS(Clean_Data!$AB$2:$AB$2203,$A111&amp;"|"&amp;Inputs!$B$6,Clean_Data!$P$2:$P$2203,"&lt;&gt;")&gt;0,SUMIFS(Clean_Data!$P$2:$P$2203,Clean_Data!$AB$2:$AB$2203,$A111&amp;"|"&amp;Inputs!$B$6),"")</f>
        <v>119.2</v>
      </c>
      <c r="M111" s="52" t="str">
        <f aca="false">IF(ISNUMBER(C111),IF(C111&gt;=Inputs!$B$7,"Yes","No"),"No")</f>
        <v>No</v>
      </c>
      <c r="N111" s="57" t="n">
        <f aca="false">IF(M111="Yes",F111+ROW()/10^9,-1)</f>
        <v>-1</v>
      </c>
      <c r="O111" s="57" t="n">
        <f aca="false">IF(AND(M111="Yes",ISNUMBER(J111)),J111+ROW()/10^9,-1000)</f>
        <v>-1000</v>
      </c>
      <c r="P111" s="57" t="n">
        <f aca="false">IF(M111="Yes",K111+ROW()/10^9,-1)</f>
        <v>-1</v>
      </c>
    </row>
    <row r="112" customFormat="false" ht="15" hidden="false" customHeight="false" outlineLevel="0" collapsed="false">
      <c r="A112" s="52" t="s">
        <v>286</v>
      </c>
      <c r="B112" s="53" t="n">
        <f aca="false">IF(COUNTIFS(Clean_Data!$AB$2:$AB$2203,$A112&amp;"|"&amp;Inputs!$B$5)&gt;0,SUMIFS(Clean_Data!$F$2:$F$2203,Clean_Data!$AB$2:$AB$2203,$A112&amp;"|"&amp;Inputs!$B$5),"")</f>
        <v>16.16</v>
      </c>
      <c r="C112" s="53" t="n">
        <f aca="false">IF(COUNTIFS(Clean_Data!$AB$2:$AB$2203,$A112&amp;"|"&amp;Inputs!$B$6)&gt;0,SUMIFS(Clean_Data!$F$2:$F$2203,Clean_Data!$AB$2:$AB$2203,$A112&amp;"|"&amp;Inputs!$B$6),"")</f>
        <v>52.31</v>
      </c>
      <c r="D112" s="54" t="n">
        <f aca="false">IF(AND(ISNUMBER(B112),ISNUMBER(C112)),IF(AND(B112&gt;0,Inputs!$B$6&gt;Inputs!$B$5),(C112/B112)^(1/(Inputs!$B$6-Inputs!$B$5))-1,""),"")</f>
        <v>0.139416740657738</v>
      </c>
      <c r="E112" s="54" t="n">
        <f aca="false">IF(ISNUMBER(B112),SUMIFS(Clean_Data!$V$2:$V$2203,Clean_Data!$AB$2:$AB$2203,$A112&amp;"|"&amp;Inputs!$B$5),"")</f>
        <v>0.860148514851485</v>
      </c>
      <c r="F112" s="54" t="n">
        <f aca="false">IF(ISNUMBER(C112),SUMIFS(Clean_Data!$V$2:$V$2203,Clean_Data!$AB$2:$AB$2203,$A112&amp;"|"&amp;Inputs!$B$6),"")</f>
        <v>0.767157331294208</v>
      </c>
      <c r="G112" s="55" t="n">
        <f aca="false">IF(AND(ISNUMBER(E112),ISNUMBER(F112)),(F112-E112)*100,"")</f>
        <v>-9.29911835572775</v>
      </c>
      <c r="H112" s="54" t="n">
        <f aca="false">IF(ISNUMBER(B112),SUMIFS(Clean_Data!$X$2:$X$2203,Clean_Data!$AB$2:$AB$2203,$A112&amp;"|"&amp;Inputs!$B$5),"")</f>
        <v>0</v>
      </c>
      <c r="I112" s="54" t="n">
        <f aca="false">IF(ISNUMBER(C112),SUMIFS(Clean_Data!$X$2:$X$2203,Clean_Data!$AB$2:$AB$2203,$A112&amp;"|"&amp;Inputs!$B$6),"")</f>
        <v>0.00172051233033837</v>
      </c>
      <c r="J112" s="55" t="n">
        <f aca="false">IF(AND(ISNUMBER(H112),ISNUMBER(I112)),(I112-H112)*100,"")</f>
        <v>0.172051233033837</v>
      </c>
      <c r="K112" s="54" t="n">
        <f aca="false">IF(ISNUMBER(C112),SUMIFS(Clean_Data!$Y$2:$Y$2203,Clean_Data!$AB$2:$AB$2203,$A112&amp;"|"&amp;Inputs!$B$6),"")</f>
        <v>0.232842668705792</v>
      </c>
      <c r="L112" s="56" t="n">
        <f aca="false">IF(COUNTIFS(Clean_Data!$AB$2:$AB$2203,$A112&amp;"|"&amp;Inputs!$B$6,Clean_Data!$P$2:$P$2203,"&lt;&gt;")&gt;0,SUMIFS(Clean_Data!$P$2:$P$2203,Clean_Data!$AB$2:$AB$2203,$A112&amp;"|"&amp;Inputs!$B$6),"")</f>
        <v>232.1</v>
      </c>
      <c r="M112" s="52" t="str">
        <f aca="false">IF(ISNUMBER(C112),IF(C112&gt;=Inputs!$B$7,"Yes","No"),"No")</f>
        <v>Yes</v>
      </c>
      <c r="N112" s="57" t="n">
        <f aca="false">IF(M112="Yes",F112+ROW()/10^9,-1)</f>
        <v>0.767157443294208</v>
      </c>
      <c r="O112" s="57" t="n">
        <f aca="false">IF(AND(M112="Yes",ISNUMBER(J112)),J112+ROW()/10^9,-1000)</f>
        <v>0.172051345033837</v>
      </c>
      <c r="P112" s="57" t="n">
        <f aca="false">IF(M112="Yes",K112+ROW()/10^9,-1)</f>
        <v>0.232842780705792</v>
      </c>
    </row>
    <row r="113" customFormat="false" ht="15" hidden="false" customHeight="false" outlineLevel="0" collapsed="false">
      <c r="A113" s="52" t="s">
        <v>287</v>
      </c>
      <c r="B113" s="53" t="n">
        <f aca="false">IF(COUNTIFS(Clean_Data!$AB$2:$AB$2203,$A113&amp;"|"&amp;Inputs!$B$5)&gt;0,SUMIFS(Clean_Data!$F$2:$F$2203,Clean_Data!$AB$2:$AB$2203,$A113&amp;"|"&amp;Inputs!$B$5),"")</f>
        <v>5.54</v>
      </c>
      <c r="C113" s="53" t="n">
        <f aca="false">IF(COUNTIFS(Clean_Data!$AB$2:$AB$2203,$A113&amp;"|"&amp;Inputs!$B$6)&gt;0,SUMIFS(Clean_Data!$F$2:$F$2203,Clean_Data!$AB$2:$AB$2203,$A113&amp;"|"&amp;Inputs!$B$6),"")</f>
        <v>6.33</v>
      </c>
      <c r="D113" s="54" t="n">
        <f aca="false">IF(AND(ISNUMBER(B113),ISNUMBER(C113)),IF(AND(B113&gt;0,Inputs!$B$6&gt;Inputs!$B$5),(C113/B113)^(1/(Inputs!$B$6-Inputs!$B$5))-1,""),"")</f>
        <v>0.0149219859202172</v>
      </c>
      <c r="E113" s="54" t="n">
        <f aca="false">IF(ISNUMBER(B113),SUMIFS(Clean_Data!$V$2:$V$2203,Clean_Data!$AB$2:$AB$2203,$A113&amp;"|"&amp;Inputs!$B$5),"")</f>
        <v>0.501805054151625</v>
      </c>
      <c r="F113" s="54" t="n">
        <f aca="false">IF(ISNUMBER(C113),SUMIFS(Clean_Data!$V$2:$V$2203,Clean_Data!$AB$2:$AB$2203,$A113&amp;"|"&amp;Inputs!$B$6),"")</f>
        <v>0.734597156398104</v>
      </c>
      <c r="G113" s="55" t="n">
        <f aca="false">IF(AND(ISNUMBER(E113),ISNUMBER(F113)),(F113-E113)*100,"")</f>
        <v>23.279210224648</v>
      </c>
      <c r="H113" s="54" t="n">
        <f aca="false">IF(ISNUMBER(B113),SUMIFS(Clean_Data!$X$2:$X$2203,Clean_Data!$AB$2:$AB$2203,$A113&amp;"|"&amp;Inputs!$B$5),"")</f>
        <v>0.0270758122743682</v>
      </c>
      <c r="I113" s="54" t="n">
        <f aca="false">IF(ISNUMBER(C113),SUMIFS(Clean_Data!$X$2:$X$2203,Clean_Data!$AB$2:$AB$2203,$A113&amp;"|"&amp;Inputs!$B$6),"")</f>
        <v>0.129541864139021</v>
      </c>
      <c r="J113" s="55" t="n">
        <f aca="false">IF(AND(ISNUMBER(H113),ISNUMBER(I113)),(I113-H113)*100,"")</f>
        <v>10.2466051864652</v>
      </c>
      <c r="K113" s="54" t="n">
        <f aca="false">IF(ISNUMBER(C113),SUMIFS(Clean_Data!$Y$2:$Y$2203,Clean_Data!$AB$2:$AB$2203,$A113&amp;"|"&amp;Inputs!$B$6),"")</f>
        <v>0</v>
      </c>
      <c r="L113" s="56" t="n">
        <f aca="false">IF(COUNTIFS(Clean_Data!$AB$2:$AB$2203,$A113&amp;"|"&amp;Inputs!$B$6,Clean_Data!$P$2:$P$2203,"&lt;&gt;")&gt;0,SUMIFS(Clean_Data!$P$2:$P$2203,Clean_Data!$AB$2:$AB$2203,$A113&amp;"|"&amp;Inputs!$B$6),"")</f>
        <v>134.3</v>
      </c>
      <c r="M113" s="52" t="str">
        <f aca="false">IF(ISNUMBER(C113),IF(C113&gt;=Inputs!$B$7,"Yes","No"),"No")</f>
        <v>No</v>
      </c>
      <c r="N113" s="57" t="n">
        <f aca="false">IF(M113="Yes",F113+ROW()/10^9,-1)</f>
        <v>-1</v>
      </c>
      <c r="O113" s="57" t="n">
        <f aca="false">IF(AND(M113="Yes",ISNUMBER(J113)),J113+ROW()/10^9,-1000)</f>
        <v>-1000</v>
      </c>
      <c r="P113" s="57" t="n">
        <f aca="false">IF(M113="Yes",K113+ROW()/10^9,-1)</f>
        <v>-1</v>
      </c>
    </row>
    <row r="114" customFormat="false" ht="15" hidden="false" customHeight="false" outlineLevel="0" collapsed="false">
      <c r="A114" s="52" t="s">
        <v>288</v>
      </c>
      <c r="B114" s="53" t="n">
        <f aca="false">IF(COUNTIFS(Clean_Data!$AB$2:$AB$2203,$A114&amp;"|"&amp;Inputs!$B$5)&gt;0,SUMIFS(Clean_Data!$F$2:$F$2203,Clean_Data!$AB$2:$AB$2203,$A114&amp;"|"&amp;Inputs!$B$5),"")</f>
        <v>18.64</v>
      </c>
      <c r="C114" s="53" t="n">
        <f aca="false">IF(COUNTIFS(Clean_Data!$AB$2:$AB$2203,$A114&amp;"|"&amp;Inputs!$B$6)&gt;0,SUMIFS(Clean_Data!$F$2:$F$2203,Clean_Data!$AB$2:$AB$2203,$A114&amp;"|"&amp;Inputs!$B$6),"")</f>
        <v>5.34</v>
      </c>
      <c r="D114" s="54" t="n">
        <f aca="false">IF(AND(ISNUMBER(B114),ISNUMBER(C114)),IF(AND(B114&gt;0,Inputs!$B$6&gt;Inputs!$B$5),(C114/B114)^(1/(Inputs!$B$6-Inputs!$B$5))-1,""),"")</f>
        <v>-0.129683412272557</v>
      </c>
      <c r="E114" s="54" t="n">
        <f aca="false">IF(ISNUMBER(B114),SUMIFS(Clean_Data!$V$2:$V$2203,Clean_Data!$AB$2:$AB$2203,$A114&amp;"|"&amp;Inputs!$B$5),"")</f>
        <v>0.026824034334764</v>
      </c>
      <c r="F114" s="54" t="n">
        <f aca="false">IF(ISNUMBER(C114),SUMIFS(Clean_Data!$V$2:$V$2203,Clean_Data!$AB$2:$AB$2203,$A114&amp;"|"&amp;Inputs!$B$6),"")</f>
        <v>0.438202247191011</v>
      </c>
      <c r="G114" s="55" t="n">
        <f aca="false">IF(AND(ISNUMBER(E114),ISNUMBER(F114)),(F114-E114)*100,"")</f>
        <v>41.1378212856247</v>
      </c>
      <c r="H114" s="54" t="n">
        <f aca="false">IF(ISNUMBER(B114),SUMIFS(Clean_Data!$X$2:$X$2203,Clean_Data!$AB$2:$AB$2203,$A114&amp;"|"&amp;Inputs!$B$5),"")</f>
        <v>0.00160944206008584</v>
      </c>
      <c r="I114" s="54" t="n">
        <f aca="false">IF(ISNUMBER(C114),SUMIFS(Clean_Data!$X$2:$X$2203,Clean_Data!$AB$2:$AB$2203,$A114&amp;"|"&amp;Inputs!$B$6),"")</f>
        <v>0.301498127340824</v>
      </c>
      <c r="J114" s="55" t="n">
        <f aca="false">IF(AND(ISNUMBER(H114),ISNUMBER(I114)),(I114-H114)*100,"")</f>
        <v>29.9888685280738</v>
      </c>
      <c r="K114" s="54" t="n">
        <f aca="false">IF(ISNUMBER(C114),SUMIFS(Clean_Data!$Y$2:$Y$2203,Clean_Data!$AB$2:$AB$2203,$A114&amp;"|"&amp;Inputs!$B$6),"")</f>
        <v>0</v>
      </c>
      <c r="L114" s="56" t="n">
        <f aca="false">IF(COUNTIFS(Clean_Data!$AB$2:$AB$2203,$A114&amp;"|"&amp;Inputs!$B$6,Clean_Data!$P$2:$P$2203,"&lt;&gt;")&gt;0,SUMIFS(Clean_Data!$P$2:$P$2203,Clean_Data!$AB$2:$AB$2203,$A114&amp;"|"&amp;Inputs!$B$6),"")</f>
        <v>389.5</v>
      </c>
      <c r="M114" s="52" t="str">
        <f aca="false">IF(ISNUMBER(C114),IF(C114&gt;=Inputs!$B$7,"Yes","No"),"No")</f>
        <v>No</v>
      </c>
      <c r="N114" s="57" t="n">
        <f aca="false">IF(M114="Yes",F114+ROW()/10^9,-1)</f>
        <v>-1</v>
      </c>
      <c r="O114" s="57" t="n">
        <f aca="false">IF(AND(M114="Yes",ISNUMBER(J114)),J114+ROW()/10^9,-1000)</f>
        <v>-1000</v>
      </c>
      <c r="P114" s="57" t="n">
        <f aca="false">IF(M114="Yes",K114+ROW()/10^9,-1)</f>
        <v>-1</v>
      </c>
    </row>
    <row r="115" customFormat="false" ht="15" hidden="false" customHeight="false" outlineLevel="0" collapsed="false">
      <c r="A115" s="52" t="s">
        <v>289</v>
      </c>
      <c r="B115" s="53" t="n">
        <f aca="false">IF(COUNTIFS(Clean_Data!$AB$2:$AB$2203,$A115&amp;"|"&amp;Inputs!$B$5)&gt;0,SUMIFS(Clean_Data!$F$2:$F$2203,Clean_Data!$AB$2:$AB$2203,$A115&amp;"|"&amp;Inputs!$B$5),"")</f>
        <v>0.53</v>
      </c>
      <c r="C115" s="53" t="str">
        <f aca="false">IF(COUNTIFS(Clean_Data!$AB$2:$AB$2203,$A115&amp;"|"&amp;Inputs!$B$6)&gt;0,SUMIFS(Clean_Data!$F$2:$F$2203,Clean_Data!$AB$2:$AB$2203,$A115&amp;"|"&amp;Inputs!$B$6),"")</f>
        <v/>
      </c>
      <c r="D115" s="54" t="str">
        <f aca="false">IF(AND(ISNUMBER(B115),ISNUMBER(C115)),IF(AND(B115&gt;0,Inputs!$B$6&gt;Inputs!$B$5),(C115/B115)^(1/(Inputs!$B$6-Inputs!$B$5))-1,""),"")</f>
        <v/>
      </c>
      <c r="E115" s="54" t="n">
        <f aca="false">IF(ISNUMBER(B115),SUMIFS(Clean_Data!$V$2:$V$2203,Clean_Data!$AB$2:$AB$2203,$A115&amp;"|"&amp;Inputs!$B$5),"")</f>
        <v>1</v>
      </c>
      <c r="F115" s="54" t="str">
        <f aca="false">IF(ISNUMBER(C115),SUMIFS(Clean_Data!$V$2:$V$2203,Clean_Data!$AB$2:$AB$2203,$A115&amp;"|"&amp;Inputs!$B$6),"")</f>
        <v/>
      </c>
      <c r="G115" s="55" t="str">
        <f aca="false">IF(AND(ISNUMBER(E115),ISNUMBER(F115)),(F115-E115)*100,"")</f>
        <v/>
      </c>
      <c r="H115" s="54" t="n">
        <f aca="false">IF(ISNUMBER(B115),SUMIFS(Clean_Data!$X$2:$X$2203,Clean_Data!$AB$2:$AB$2203,$A115&amp;"|"&amp;Inputs!$B$5),"")</f>
        <v>0</v>
      </c>
      <c r="I115" s="54" t="str">
        <f aca="false">IF(ISNUMBER(C115),SUMIFS(Clean_Data!$X$2:$X$2203,Clean_Data!$AB$2:$AB$2203,$A115&amp;"|"&amp;Inputs!$B$6),"")</f>
        <v/>
      </c>
      <c r="J115" s="55" t="str">
        <f aca="false">IF(AND(ISNUMBER(H115),ISNUMBER(I115)),(I115-H115)*100,"")</f>
        <v/>
      </c>
      <c r="K115" s="54" t="str">
        <f aca="false">IF(ISNUMBER(C115),SUMIFS(Clean_Data!$Y$2:$Y$2203,Clean_Data!$AB$2:$AB$2203,$A115&amp;"|"&amp;Inputs!$B$6),"")</f>
        <v/>
      </c>
      <c r="L115" s="56" t="str">
        <f aca="false">IF(COUNTIFS(Clean_Data!$AB$2:$AB$2203,$A115&amp;"|"&amp;Inputs!$B$6,Clean_Data!$P$2:$P$2203,"&lt;&gt;")&gt;0,SUMIFS(Clean_Data!$P$2:$P$2203,Clean_Data!$AB$2:$AB$2203,$A115&amp;"|"&amp;Inputs!$B$6),"")</f>
        <v/>
      </c>
      <c r="M115" s="52" t="str">
        <f aca="false">IF(ISNUMBER(C115),IF(C115&gt;=Inputs!$B$7,"Yes","No"),"No")</f>
        <v>No</v>
      </c>
      <c r="N115" s="57" t="n">
        <f aca="false">IF(M115="Yes",F115+ROW()/10^9,-1)</f>
        <v>-1</v>
      </c>
      <c r="O115" s="57" t="n">
        <f aca="false">IF(AND(M115="Yes",ISNUMBER(J115)),J115+ROW()/10^9,-1000)</f>
        <v>-1000</v>
      </c>
      <c r="P115" s="57" t="n">
        <f aca="false">IF(M115="Yes",K115+ROW()/10^9,-1)</f>
        <v>-1</v>
      </c>
    </row>
    <row r="116" customFormat="false" ht="15" hidden="false" customHeight="false" outlineLevel="0" collapsed="false">
      <c r="A116" s="52" t="s">
        <v>290</v>
      </c>
      <c r="B116" s="53" t="n">
        <f aca="false">IF(COUNTIFS(Clean_Data!$AB$2:$AB$2203,$A116&amp;"|"&amp;Inputs!$B$5)&gt;0,SUMIFS(Clean_Data!$F$2:$F$2203,Clean_Data!$AB$2:$AB$2203,$A116&amp;"|"&amp;Inputs!$B$5),"")</f>
        <v>0.31</v>
      </c>
      <c r="C116" s="53" t="n">
        <f aca="false">IF(COUNTIFS(Clean_Data!$AB$2:$AB$2203,$A116&amp;"|"&amp;Inputs!$B$6)&gt;0,SUMIFS(Clean_Data!$F$2:$F$2203,Clean_Data!$AB$2:$AB$2203,$A116&amp;"|"&amp;Inputs!$B$6),"")</f>
        <v>0.57</v>
      </c>
      <c r="D116" s="54" t="n">
        <f aca="false">IF(AND(ISNUMBER(B116),ISNUMBER(C116)),IF(AND(B116&gt;0,Inputs!$B$6&gt;Inputs!$B$5),(C116/B116)^(1/(Inputs!$B$6-Inputs!$B$5))-1,""),"")</f>
        <v>0.0700161960093544</v>
      </c>
      <c r="E116" s="54" t="n">
        <f aca="false">IF(ISNUMBER(B116),SUMIFS(Clean_Data!$V$2:$V$2203,Clean_Data!$AB$2:$AB$2203,$A116&amp;"|"&amp;Inputs!$B$5),"")</f>
        <v>0</v>
      </c>
      <c r="F116" s="54" t="n">
        <f aca="false">IF(ISNUMBER(C116),SUMIFS(Clean_Data!$V$2:$V$2203,Clean_Data!$AB$2:$AB$2203,$A116&amp;"|"&amp;Inputs!$B$6),"")</f>
        <v>0.543859649122807</v>
      </c>
      <c r="G116" s="55" t="n">
        <f aca="false">IF(AND(ISNUMBER(E116),ISNUMBER(F116)),(F116-E116)*100,"")</f>
        <v>54.3859649122807</v>
      </c>
      <c r="H116" s="54" t="n">
        <f aca="false">IF(ISNUMBER(B116),SUMIFS(Clean_Data!$X$2:$X$2203,Clean_Data!$AB$2:$AB$2203,$A116&amp;"|"&amp;Inputs!$B$5),"")</f>
        <v>0</v>
      </c>
      <c r="I116" s="54" t="n">
        <f aca="false">IF(ISNUMBER(C116),SUMIFS(Clean_Data!$X$2:$X$2203,Clean_Data!$AB$2:$AB$2203,$A116&amp;"|"&amp;Inputs!$B$6),"")</f>
        <v>0.0175438596491228</v>
      </c>
      <c r="J116" s="55" t="n">
        <f aca="false">IF(AND(ISNUMBER(H116),ISNUMBER(I116)),(I116-H116)*100,"")</f>
        <v>1.75438596491228</v>
      </c>
      <c r="K116" s="54" t="n">
        <f aca="false">IF(ISNUMBER(C116),SUMIFS(Clean_Data!$Y$2:$Y$2203,Clean_Data!$AB$2:$AB$2203,$A116&amp;"|"&amp;Inputs!$B$6),"")</f>
        <v>0</v>
      </c>
      <c r="L116" s="56" t="n">
        <f aca="false">IF(COUNTIFS(Clean_Data!$AB$2:$AB$2203,$A116&amp;"|"&amp;Inputs!$B$6,Clean_Data!$P$2:$P$2203,"&lt;&gt;")&gt;0,SUMIFS(Clean_Data!$P$2:$P$2203,Clean_Data!$AB$2:$AB$2203,$A116&amp;"|"&amp;Inputs!$B$6),"")</f>
        <v>315.8</v>
      </c>
      <c r="M116" s="52" t="str">
        <f aca="false">IF(ISNUMBER(C116),IF(C116&gt;=Inputs!$B$7,"Yes","No"),"No")</f>
        <v>No</v>
      </c>
      <c r="N116" s="57" t="n">
        <f aca="false">IF(M116="Yes",F116+ROW()/10^9,-1)</f>
        <v>-1</v>
      </c>
      <c r="O116" s="57" t="n">
        <f aca="false">IF(AND(M116="Yes",ISNUMBER(J116)),J116+ROW()/10^9,-1000)</f>
        <v>-1000</v>
      </c>
      <c r="P116" s="57" t="n">
        <f aca="false">IF(M116="Yes",K116+ROW()/10^9,-1)</f>
        <v>-1</v>
      </c>
    </row>
    <row r="117" customFormat="false" ht="15" hidden="false" customHeight="false" outlineLevel="0" collapsed="false">
      <c r="A117" s="52" t="s">
        <v>291</v>
      </c>
      <c r="B117" s="53" t="n">
        <f aca="false">IF(COUNTIFS(Clean_Data!$AB$2:$AB$2203,$A117&amp;"|"&amp;Inputs!$B$5)&gt;0,SUMIFS(Clean_Data!$F$2:$F$2203,Clean_Data!$AB$2:$AB$2203,$A117&amp;"|"&amp;Inputs!$B$5),"")</f>
        <v>37.51</v>
      </c>
      <c r="C117" s="53" t="n">
        <f aca="false">IF(COUNTIFS(Clean_Data!$AB$2:$AB$2203,$A117&amp;"|"&amp;Inputs!$B$6)&gt;0,SUMIFS(Clean_Data!$F$2:$F$2203,Clean_Data!$AB$2:$AB$2203,$A117&amp;"|"&amp;Inputs!$B$6),"")</f>
        <v>34.59</v>
      </c>
      <c r="D117" s="54" t="n">
        <f aca="false">IF(AND(ISNUMBER(B117),ISNUMBER(C117)),IF(AND(B117&gt;0,Inputs!$B$6&gt;Inputs!$B$5),(C117/B117)^(1/(Inputs!$B$6-Inputs!$B$5))-1,""),"")</f>
        <v>-0.00896434970565008</v>
      </c>
      <c r="E117" s="54" t="n">
        <f aca="false">IF(ISNUMBER(B117),SUMIFS(Clean_Data!$V$2:$V$2203,Clean_Data!$AB$2:$AB$2203,$A117&amp;"|"&amp;Inputs!$B$5),"")</f>
        <v>0.000266595574513463</v>
      </c>
      <c r="F117" s="54" t="n">
        <f aca="false">IF(ISNUMBER(C117),SUMIFS(Clean_Data!$V$2:$V$2203,Clean_Data!$AB$2:$AB$2203,$A117&amp;"|"&amp;Inputs!$B$6),"")</f>
        <v>0.000289100896212778</v>
      </c>
      <c r="G117" s="55" t="n">
        <f aca="false">IF(AND(ISNUMBER(E117),ISNUMBER(F117)),(F117-E117)*100,"")</f>
        <v>0.00225053216993151</v>
      </c>
      <c r="H117" s="54" t="n">
        <f aca="false">IF(ISNUMBER(B117),SUMIFS(Clean_Data!$X$2:$X$2203,Clean_Data!$AB$2:$AB$2203,$A117&amp;"|"&amp;Inputs!$B$5),"")</f>
        <v>0.000266595574513463</v>
      </c>
      <c r="I117" s="54" t="n">
        <f aca="false">IF(ISNUMBER(C117),SUMIFS(Clean_Data!$X$2:$X$2203,Clean_Data!$AB$2:$AB$2203,$A117&amp;"|"&amp;Inputs!$B$6),"")</f>
        <v>0.000289100896212778</v>
      </c>
      <c r="J117" s="55" t="n">
        <f aca="false">IF(AND(ISNUMBER(H117),ISNUMBER(I117)),(I117-H117)*100,"")</f>
        <v>0.00225053216993151</v>
      </c>
      <c r="K117" s="54" t="n">
        <f aca="false">IF(ISNUMBER(C117),SUMIFS(Clean_Data!$Y$2:$Y$2203,Clean_Data!$AB$2:$AB$2203,$A117&amp;"|"&amp;Inputs!$B$6),"")</f>
        <v>0</v>
      </c>
      <c r="L117" s="56" t="n">
        <f aca="false">IF(COUNTIFS(Clean_Data!$AB$2:$AB$2203,$A117&amp;"|"&amp;Inputs!$B$6,Clean_Data!$P$2:$P$2203,"&lt;&gt;")&gt;0,SUMIFS(Clean_Data!$P$2:$P$2203,Clean_Data!$AB$2:$AB$2203,$A117&amp;"|"&amp;Inputs!$B$6),"")</f>
        <v>826.8</v>
      </c>
      <c r="M117" s="52" t="str">
        <f aca="false">IF(ISNUMBER(C117),IF(C117&gt;=Inputs!$B$7,"Yes","No"),"No")</f>
        <v>Yes</v>
      </c>
      <c r="N117" s="57" t="n">
        <f aca="false">IF(M117="Yes",F117+ROW()/10^9,-1)</f>
        <v>0.000289217896212778</v>
      </c>
      <c r="O117" s="57" t="n">
        <f aca="false">IF(AND(M117="Yes",ISNUMBER(J117)),J117+ROW()/10^9,-1000)</f>
        <v>0.00225064916993151</v>
      </c>
      <c r="P117" s="57" t="n">
        <f aca="false">IF(M117="Yes",K117+ROW()/10^9,-1)</f>
        <v>1.17E-007</v>
      </c>
    </row>
    <row r="118" customFormat="false" ht="15" hidden="false" customHeight="false" outlineLevel="0" collapsed="false">
      <c r="A118" s="52" t="s">
        <v>292</v>
      </c>
      <c r="B118" s="53" t="n">
        <f aca="false">IF(COUNTIFS(Clean_Data!$AB$2:$AB$2203,$A118&amp;"|"&amp;Inputs!$B$5)&gt;0,SUMIFS(Clean_Data!$F$2:$F$2203,Clean_Data!$AB$2:$AB$2203,$A118&amp;"|"&amp;Inputs!$B$5),"")</f>
        <v>4.23</v>
      </c>
      <c r="C118" s="53" t="n">
        <f aca="false">IF(COUNTIFS(Clean_Data!$AB$2:$AB$2203,$A118&amp;"|"&amp;Inputs!$B$6)&gt;0,SUMIFS(Clean_Data!$F$2:$F$2203,Clean_Data!$AB$2:$AB$2203,$A118&amp;"|"&amp;Inputs!$B$6),"")</f>
        <v>7.39</v>
      </c>
      <c r="D118" s="54" t="n">
        <f aca="false">IF(AND(ISNUMBER(B118),ISNUMBER(C118)),IF(AND(B118&gt;0,Inputs!$B$6&gt;Inputs!$B$5),(C118/B118)^(1/(Inputs!$B$6-Inputs!$B$5))-1,""),"")</f>
        <v>0.0639535661175668</v>
      </c>
      <c r="E118" s="54" t="n">
        <f aca="false">IF(ISNUMBER(B118),SUMIFS(Clean_Data!$V$2:$V$2203,Clean_Data!$AB$2:$AB$2203,$A118&amp;"|"&amp;Inputs!$B$5),"")</f>
        <v>0.397163120567376</v>
      </c>
      <c r="F118" s="54" t="n">
        <f aca="false">IF(ISNUMBER(C118),SUMIFS(Clean_Data!$V$2:$V$2203,Clean_Data!$AB$2:$AB$2203,$A118&amp;"|"&amp;Inputs!$B$6),"")</f>
        <v>0.843031123139378</v>
      </c>
      <c r="G118" s="55" t="n">
        <f aca="false">IF(AND(ISNUMBER(E118),ISNUMBER(F118)),(F118-E118)*100,"")</f>
        <v>44.5868002572002</v>
      </c>
      <c r="H118" s="54" t="n">
        <f aca="false">IF(ISNUMBER(B118),SUMIFS(Clean_Data!$X$2:$X$2203,Clean_Data!$AB$2:$AB$2203,$A118&amp;"|"&amp;Inputs!$B$5),"")</f>
        <v>0.208037825059102</v>
      </c>
      <c r="I118" s="54" t="n">
        <f aca="false">IF(ISNUMBER(C118),SUMIFS(Clean_Data!$X$2:$X$2203,Clean_Data!$AB$2:$AB$2203,$A118&amp;"|"&amp;Inputs!$B$6),"")</f>
        <v>0.650879566982409</v>
      </c>
      <c r="J118" s="55" t="n">
        <f aca="false">IF(AND(ISNUMBER(H118),ISNUMBER(I118)),(I118-H118)*100,"")</f>
        <v>44.2841741923307</v>
      </c>
      <c r="K118" s="54" t="n">
        <f aca="false">IF(ISNUMBER(C118),SUMIFS(Clean_Data!$Y$2:$Y$2203,Clean_Data!$AB$2:$AB$2203,$A118&amp;"|"&amp;Inputs!$B$6),"")</f>
        <v>0</v>
      </c>
      <c r="L118" s="56" t="n">
        <f aca="false">IF(COUNTIFS(Clean_Data!$AB$2:$AB$2203,$A118&amp;"|"&amp;Inputs!$B$6,Clean_Data!$P$2:$P$2203,"&lt;&gt;")&gt;0,SUMIFS(Clean_Data!$P$2:$P$2203,Clean_Data!$AB$2:$AB$2203,$A118&amp;"|"&amp;Inputs!$B$6),"")</f>
        <v>116.4</v>
      </c>
      <c r="M118" s="52" t="str">
        <f aca="false">IF(ISNUMBER(C118),IF(C118&gt;=Inputs!$B$7,"Yes","No"),"No")</f>
        <v>No</v>
      </c>
      <c r="N118" s="57" t="n">
        <f aca="false">IF(M118="Yes",F118+ROW()/10^9,-1)</f>
        <v>-1</v>
      </c>
      <c r="O118" s="57" t="n">
        <f aca="false">IF(AND(M118="Yes",ISNUMBER(J118)),J118+ROW()/10^9,-1000)</f>
        <v>-1000</v>
      </c>
      <c r="P118" s="57" t="n">
        <f aca="false">IF(M118="Yes",K118+ROW()/10^9,-1)</f>
        <v>-1</v>
      </c>
    </row>
    <row r="119" customFormat="false" ht="15" hidden="false" customHeight="false" outlineLevel="0" collapsed="false">
      <c r="A119" s="52" t="s">
        <v>293</v>
      </c>
      <c r="B119" s="53" t="n">
        <f aca="false">IF(COUNTIFS(Clean_Data!$AB$2:$AB$2203,$A119&amp;"|"&amp;Inputs!$B$5)&gt;0,SUMIFS(Clean_Data!$F$2:$F$2203,Clean_Data!$AB$2:$AB$2203,$A119&amp;"|"&amp;Inputs!$B$5),"")</f>
        <v>1.34</v>
      </c>
      <c r="C119" s="53" t="n">
        <f aca="false">IF(COUNTIFS(Clean_Data!$AB$2:$AB$2203,$A119&amp;"|"&amp;Inputs!$B$6)&gt;0,SUMIFS(Clean_Data!$F$2:$F$2203,Clean_Data!$AB$2:$AB$2203,$A119&amp;"|"&amp;Inputs!$B$6),"")</f>
        <v>1.51</v>
      </c>
      <c r="D119" s="54" t="n">
        <f aca="false">IF(AND(ISNUMBER(B119),ISNUMBER(C119)),IF(AND(B119&gt;0,Inputs!$B$6&gt;Inputs!$B$5),(C119/B119)^(1/(Inputs!$B$6-Inputs!$B$5))-1,""),"")</f>
        <v>0.0133595673094302</v>
      </c>
      <c r="E119" s="54" t="n">
        <f aca="false">IF(ISNUMBER(B119),SUMIFS(Clean_Data!$V$2:$V$2203,Clean_Data!$AB$2:$AB$2203,$A119&amp;"|"&amp;Inputs!$B$5),"")</f>
        <v>0.32089552238806</v>
      </c>
      <c r="F119" s="54" t="n">
        <f aca="false">IF(ISNUMBER(C119),SUMIFS(Clean_Data!$V$2:$V$2203,Clean_Data!$AB$2:$AB$2203,$A119&amp;"|"&amp;Inputs!$B$6),"")</f>
        <v>0.907284768211921</v>
      </c>
      <c r="G119" s="55" t="n">
        <f aca="false">IF(AND(ISNUMBER(E119),ISNUMBER(F119)),(F119-E119)*100,"")</f>
        <v>58.6389245823861</v>
      </c>
      <c r="H119" s="54" t="n">
        <f aca="false">IF(ISNUMBER(B119),SUMIFS(Clean_Data!$X$2:$X$2203,Clean_Data!$AB$2:$AB$2203,$A119&amp;"|"&amp;Inputs!$B$5),"")</f>
        <v>0.149253731343284</v>
      </c>
      <c r="I119" s="54" t="n">
        <f aca="false">IF(ISNUMBER(C119),SUMIFS(Clean_Data!$X$2:$X$2203,Clean_Data!$AB$2:$AB$2203,$A119&amp;"|"&amp;Inputs!$B$6),"")</f>
        <v>0.543046357615894</v>
      </c>
      <c r="J119" s="55" t="n">
        <f aca="false">IF(AND(ISNUMBER(H119),ISNUMBER(I119)),(I119-H119)*100,"")</f>
        <v>39.3792626272611</v>
      </c>
      <c r="K119" s="54" t="n">
        <f aca="false">IF(ISNUMBER(C119),SUMIFS(Clean_Data!$Y$2:$Y$2203,Clean_Data!$AB$2:$AB$2203,$A119&amp;"|"&amp;Inputs!$B$6),"")</f>
        <v>0</v>
      </c>
      <c r="L119" s="56" t="n">
        <f aca="false">IF(COUNTIFS(Clean_Data!$AB$2:$AB$2203,$A119&amp;"|"&amp;Inputs!$B$6,Clean_Data!$P$2:$P$2203,"&lt;&gt;")&gt;0,SUMIFS(Clean_Data!$P$2:$P$2203,Clean_Data!$AB$2:$AB$2203,$A119&amp;"|"&amp;Inputs!$B$6),"")</f>
        <v>132.4</v>
      </c>
      <c r="M119" s="52" t="str">
        <f aca="false">IF(ISNUMBER(C119),IF(C119&gt;=Inputs!$B$7,"Yes","No"),"No")</f>
        <v>No</v>
      </c>
      <c r="N119" s="57" t="n">
        <f aca="false">IF(M119="Yes",F119+ROW()/10^9,-1)</f>
        <v>-1</v>
      </c>
      <c r="O119" s="57" t="n">
        <f aca="false">IF(AND(M119="Yes",ISNUMBER(J119)),J119+ROW()/10^9,-1000)</f>
        <v>-1000</v>
      </c>
      <c r="P119" s="57" t="n">
        <f aca="false">IF(M119="Yes",K119+ROW()/10^9,-1)</f>
        <v>-1</v>
      </c>
    </row>
    <row r="120" customFormat="false" ht="15" hidden="false" customHeight="false" outlineLevel="0" collapsed="false">
      <c r="A120" s="52" t="s">
        <v>294</v>
      </c>
      <c r="B120" s="53" t="n">
        <f aca="false">IF(COUNTIFS(Clean_Data!$AB$2:$AB$2203,$A120&amp;"|"&amp;Inputs!$B$5)&gt;0,SUMIFS(Clean_Data!$F$2:$F$2203,Clean_Data!$AB$2:$AB$2203,$A120&amp;"|"&amp;Inputs!$B$5),"")</f>
        <v>0.95</v>
      </c>
      <c r="C120" s="53" t="n">
        <f aca="false">IF(COUNTIFS(Clean_Data!$AB$2:$AB$2203,$A120&amp;"|"&amp;Inputs!$B$6)&gt;0,SUMIFS(Clean_Data!$F$2:$F$2203,Clean_Data!$AB$2:$AB$2203,$A120&amp;"|"&amp;Inputs!$B$6),"")</f>
        <v>0.78</v>
      </c>
      <c r="D120" s="54" t="n">
        <f aca="false">IF(AND(ISNUMBER(B120),ISNUMBER(C120)),IF(AND(B120&gt;0,Inputs!$B$6&gt;Inputs!$B$5),(C120/B120)^(1/(Inputs!$B$6-Inputs!$B$5))-1,""),"")</f>
        <v>-0.0216693349496315</v>
      </c>
      <c r="E120" s="54" t="n">
        <f aca="false">IF(ISNUMBER(B120),SUMIFS(Clean_Data!$V$2:$V$2203,Clean_Data!$AB$2:$AB$2203,$A120&amp;"|"&amp;Inputs!$B$5),"")</f>
        <v>0.210526315789474</v>
      </c>
      <c r="F120" s="54" t="n">
        <f aca="false">IF(ISNUMBER(C120),SUMIFS(Clean_Data!$V$2:$V$2203,Clean_Data!$AB$2:$AB$2203,$A120&amp;"|"&amp;Inputs!$B$6),"")</f>
        <v>0.307692307692308</v>
      </c>
      <c r="G120" s="55" t="n">
        <f aca="false">IF(AND(ISNUMBER(E120),ISNUMBER(F120)),(F120-E120)*100,"")</f>
        <v>9.7165991902834</v>
      </c>
      <c r="H120" s="54" t="n">
        <f aca="false">IF(ISNUMBER(B120),SUMIFS(Clean_Data!$X$2:$X$2203,Clean_Data!$AB$2:$AB$2203,$A120&amp;"|"&amp;Inputs!$B$5),"")</f>
        <v>0</v>
      </c>
      <c r="I120" s="54" t="n">
        <f aca="false">IF(ISNUMBER(C120),SUMIFS(Clean_Data!$X$2:$X$2203,Clean_Data!$AB$2:$AB$2203,$A120&amp;"|"&amp;Inputs!$B$6),"")</f>
        <v>0</v>
      </c>
      <c r="J120" s="55" t="n">
        <f aca="false">IF(AND(ISNUMBER(H120),ISNUMBER(I120)),(I120-H120)*100,"")</f>
        <v>0</v>
      </c>
      <c r="K120" s="54" t="n">
        <f aca="false">IF(ISNUMBER(C120),SUMIFS(Clean_Data!$Y$2:$Y$2203,Clean_Data!$AB$2:$AB$2203,$A120&amp;"|"&amp;Inputs!$B$6),"")</f>
        <v>0</v>
      </c>
      <c r="L120" s="56" t="n">
        <f aca="false">IF(COUNTIFS(Clean_Data!$AB$2:$AB$2203,$A120&amp;"|"&amp;Inputs!$B$6,Clean_Data!$P$2:$P$2203,"&lt;&gt;")&gt;0,SUMIFS(Clean_Data!$P$2:$P$2203,Clean_Data!$AB$2:$AB$2203,$A120&amp;"|"&amp;Inputs!$B$6),"")</f>
        <v>474.4</v>
      </c>
      <c r="M120" s="52" t="str">
        <f aca="false">IF(ISNUMBER(C120),IF(C120&gt;=Inputs!$B$7,"Yes","No"),"No")</f>
        <v>No</v>
      </c>
      <c r="N120" s="57" t="n">
        <f aca="false">IF(M120="Yes",F120+ROW()/10^9,-1)</f>
        <v>-1</v>
      </c>
      <c r="O120" s="57" t="n">
        <f aca="false">IF(AND(M120="Yes",ISNUMBER(J120)),J120+ROW()/10^9,-1000)</f>
        <v>-1000</v>
      </c>
      <c r="P120" s="57" t="n">
        <f aca="false">IF(M120="Yes",K120+ROW()/10^9,-1)</f>
        <v>-1</v>
      </c>
    </row>
    <row r="121" customFormat="false" ht="15" hidden="false" customHeight="false" outlineLevel="0" collapsed="false">
      <c r="A121" s="52" t="s">
        <v>295</v>
      </c>
      <c r="B121" s="53" t="n">
        <f aca="false">IF(COUNTIFS(Clean_Data!$AB$2:$AB$2203,$A121&amp;"|"&amp;Inputs!$B$5)&gt;0,SUMIFS(Clean_Data!$F$2:$F$2203,Clean_Data!$AB$2:$AB$2203,$A121&amp;"|"&amp;Inputs!$B$5),"")</f>
        <v>1.79</v>
      </c>
      <c r="C121" s="53" t="n">
        <f aca="false">IF(COUNTIFS(Clean_Data!$AB$2:$AB$2203,$A121&amp;"|"&amp;Inputs!$B$6)&gt;0,SUMIFS(Clean_Data!$F$2:$F$2203,Clean_Data!$AB$2:$AB$2203,$A121&amp;"|"&amp;Inputs!$B$6),"")</f>
        <v>2.43</v>
      </c>
      <c r="D121" s="54" t="n">
        <f aca="false">IF(AND(ISNUMBER(B121),ISNUMBER(C121)),IF(AND(B121&gt;0,Inputs!$B$6&gt;Inputs!$B$5),(C121/B121)^(1/(Inputs!$B$6-Inputs!$B$5))-1,""),"")</f>
        <v>0.0345473206833868</v>
      </c>
      <c r="E121" s="54" t="n">
        <f aca="false">IF(ISNUMBER(B121),SUMIFS(Clean_Data!$V$2:$V$2203,Clean_Data!$AB$2:$AB$2203,$A121&amp;"|"&amp;Inputs!$B$5),"")</f>
        <v>0.541899441340782</v>
      </c>
      <c r="F121" s="54" t="n">
        <f aca="false">IF(ISNUMBER(C121),SUMIFS(Clean_Data!$V$2:$V$2203,Clean_Data!$AB$2:$AB$2203,$A121&amp;"|"&amp;Inputs!$B$6),"")</f>
        <v>0.423868312757202</v>
      </c>
      <c r="G121" s="55" t="n">
        <f aca="false">IF(AND(ISNUMBER(E121),ISNUMBER(F121)),(F121-E121)*100,"")</f>
        <v>-11.8031128583581</v>
      </c>
      <c r="H121" s="54" t="n">
        <f aca="false">IF(ISNUMBER(B121),SUMIFS(Clean_Data!$X$2:$X$2203,Clean_Data!$AB$2:$AB$2203,$A121&amp;"|"&amp;Inputs!$B$5),"")</f>
        <v>0.0111731843575419</v>
      </c>
      <c r="I121" s="54" t="n">
        <f aca="false">IF(ISNUMBER(C121),SUMIFS(Clean_Data!$X$2:$X$2203,Clean_Data!$AB$2:$AB$2203,$A121&amp;"|"&amp;Inputs!$B$6),"")</f>
        <v>0.0411522633744856</v>
      </c>
      <c r="J121" s="55" t="n">
        <f aca="false">IF(AND(ISNUMBER(H121),ISNUMBER(I121)),(I121-H121)*100,"")</f>
        <v>2.99790790169437</v>
      </c>
      <c r="K121" s="54" t="n">
        <f aca="false">IF(ISNUMBER(C121),SUMIFS(Clean_Data!$Y$2:$Y$2203,Clean_Data!$AB$2:$AB$2203,$A121&amp;"|"&amp;Inputs!$B$6),"")</f>
        <v>0.205761316872428</v>
      </c>
      <c r="L121" s="56" t="n">
        <f aca="false">IF(COUNTIFS(Clean_Data!$AB$2:$AB$2203,$A121&amp;"|"&amp;Inputs!$B$6,Clean_Data!$P$2:$P$2203,"&lt;&gt;")&gt;0,SUMIFS(Clean_Data!$P$2:$P$2203,Clean_Data!$AB$2:$AB$2203,$A121&amp;"|"&amp;Inputs!$B$6),"")</f>
        <v>432.1</v>
      </c>
      <c r="M121" s="52" t="str">
        <f aca="false">IF(ISNUMBER(C121),IF(C121&gt;=Inputs!$B$7,"Yes","No"),"No")</f>
        <v>No</v>
      </c>
      <c r="N121" s="57" t="n">
        <f aca="false">IF(M121="Yes",F121+ROW()/10^9,-1)</f>
        <v>-1</v>
      </c>
      <c r="O121" s="57" t="n">
        <f aca="false">IF(AND(M121="Yes",ISNUMBER(J121)),J121+ROW()/10^9,-1000)</f>
        <v>-1000</v>
      </c>
      <c r="P121" s="57" t="n">
        <f aca="false">IF(M121="Yes",K121+ROW()/10^9,-1)</f>
        <v>-1</v>
      </c>
    </row>
    <row r="122" customFormat="false" ht="15" hidden="false" customHeight="false" outlineLevel="0" collapsed="false">
      <c r="A122" s="52" t="s">
        <v>296</v>
      </c>
      <c r="B122" s="53" t="n">
        <f aca="false">IF(COUNTIFS(Clean_Data!$AB$2:$AB$2203,$A122&amp;"|"&amp;Inputs!$B$5)&gt;0,SUMIFS(Clean_Data!$F$2:$F$2203,Clean_Data!$AB$2:$AB$2203,$A122&amp;"|"&amp;Inputs!$B$5),"")</f>
        <v>2.17</v>
      </c>
      <c r="C122" s="53" t="n">
        <f aca="false">IF(COUNTIFS(Clean_Data!$AB$2:$AB$2203,$A122&amp;"|"&amp;Inputs!$B$6)&gt;0,SUMIFS(Clean_Data!$F$2:$F$2203,Clean_Data!$AB$2:$AB$2203,$A122&amp;"|"&amp;Inputs!$B$6),"")</f>
        <v>1.83</v>
      </c>
      <c r="D122" s="54" t="n">
        <f aca="false">IF(AND(ISNUMBER(B122),ISNUMBER(C122)),IF(AND(B122&gt;0,Inputs!$B$6&gt;Inputs!$B$5),(C122/B122)^(1/(Inputs!$B$6-Inputs!$B$5))-1,""),"")</f>
        <v>-0.018756444799329</v>
      </c>
      <c r="E122" s="54" t="n">
        <f aca="false">IF(ISNUMBER(B122),SUMIFS(Clean_Data!$V$2:$V$2203,Clean_Data!$AB$2:$AB$2203,$A122&amp;"|"&amp;Inputs!$B$5),"")</f>
        <v>0.940092165898618</v>
      </c>
      <c r="F122" s="54" t="n">
        <f aca="false">IF(ISNUMBER(C122),SUMIFS(Clean_Data!$V$2:$V$2203,Clean_Data!$AB$2:$AB$2203,$A122&amp;"|"&amp;Inputs!$B$6),"")</f>
        <v>0.956284153005464</v>
      </c>
      <c r="G122" s="55" t="n">
        <f aca="false">IF(AND(ISNUMBER(E122),ISNUMBER(F122)),(F122-E122)*100,"")</f>
        <v>1.61919871068469</v>
      </c>
      <c r="H122" s="54" t="n">
        <f aca="false">IF(ISNUMBER(B122),SUMIFS(Clean_Data!$X$2:$X$2203,Clean_Data!$AB$2:$AB$2203,$A122&amp;"|"&amp;Inputs!$B$5),"")</f>
        <v>0.0138248847926267</v>
      </c>
      <c r="I122" s="54" t="n">
        <f aca="false">IF(ISNUMBER(C122),SUMIFS(Clean_Data!$X$2:$X$2203,Clean_Data!$AB$2:$AB$2203,$A122&amp;"|"&amp;Inputs!$B$6),"")</f>
        <v>0.00546448087431694</v>
      </c>
      <c r="J122" s="55" t="n">
        <f aca="false">IF(AND(ISNUMBER(H122),ISNUMBER(I122)),(I122-H122)*100,"")</f>
        <v>-0.836040391830979</v>
      </c>
      <c r="K122" s="54" t="n">
        <f aca="false">IF(ISNUMBER(C122),SUMIFS(Clean_Data!$Y$2:$Y$2203,Clean_Data!$AB$2:$AB$2203,$A122&amp;"|"&amp;Inputs!$B$6),"")</f>
        <v>0</v>
      </c>
      <c r="L122" s="56" t="n">
        <f aca="false">IF(COUNTIFS(Clean_Data!$AB$2:$AB$2203,$A122&amp;"|"&amp;Inputs!$B$6,Clean_Data!$P$2:$P$2203,"&lt;&gt;")&gt;0,SUMIFS(Clean_Data!$P$2:$P$2203,Clean_Data!$AB$2:$AB$2203,$A122&amp;"|"&amp;Inputs!$B$6),"")</f>
        <v>54.6</v>
      </c>
      <c r="M122" s="52" t="str">
        <f aca="false">IF(ISNUMBER(C122),IF(C122&gt;=Inputs!$B$7,"Yes","No"),"No")</f>
        <v>No</v>
      </c>
      <c r="N122" s="57" t="n">
        <f aca="false">IF(M122="Yes",F122+ROW()/10^9,-1)</f>
        <v>-1</v>
      </c>
      <c r="O122" s="57" t="n">
        <f aca="false">IF(AND(M122="Yes",ISNUMBER(J122)),J122+ROW()/10^9,-1000)</f>
        <v>-1000</v>
      </c>
      <c r="P122" s="57" t="n">
        <f aca="false">IF(M122="Yes",K122+ROW()/10^9,-1)</f>
        <v>-1</v>
      </c>
    </row>
    <row r="123" customFormat="false" ht="15" hidden="false" customHeight="false" outlineLevel="0" collapsed="false">
      <c r="A123" s="52" t="s">
        <v>297</v>
      </c>
      <c r="B123" s="53" t="n">
        <f aca="false">IF(COUNTIFS(Clean_Data!$AB$2:$AB$2203,$A123&amp;"|"&amp;Inputs!$B$5)&gt;0,SUMIFS(Clean_Data!$F$2:$F$2203,Clean_Data!$AB$2:$AB$2203,$A123&amp;"|"&amp;Inputs!$B$5),"")</f>
        <v>150.11</v>
      </c>
      <c r="C123" s="53" t="n">
        <f aca="false">IF(COUNTIFS(Clean_Data!$AB$2:$AB$2203,$A123&amp;"|"&amp;Inputs!$B$6)&gt;0,SUMIFS(Clean_Data!$F$2:$F$2203,Clean_Data!$AB$2:$AB$2203,$A123&amp;"|"&amp;Inputs!$B$6),"")</f>
        <v>198.12</v>
      </c>
      <c r="D123" s="54" t="n">
        <f aca="false">IF(AND(ISNUMBER(B123),ISNUMBER(C123)),IF(AND(B123&gt;0,Inputs!$B$6&gt;Inputs!$B$5),(C123/B123)^(1/(Inputs!$B$6-Inputs!$B$5))-1,""),"")</f>
        <v>0.0313141252386249</v>
      </c>
      <c r="E123" s="54" t="n">
        <f aca="false">IF(ISNUMBER(B123),SUMIFS(Clean_Data!$V$2:$V$2203,Clean_Data!$AB$2:$AB$2203,$A123&amp;"|"&amp;Inputs!$B$5),"")</f>
        <v>0.0995270135234162</v>
      </c>
      <c r="F123" s="54" t="n">
        <f aca="false">IF(ISNUMBER(C123),SUMIFS(Clean_Data!$V$2:$V$2203,Clean_Data!$AB$2:$AB$2203,$A123&amp;"|"&amp;Inputs!$B$6),"")</f>
        <v>0.20366444579043</v>
      </c>
      <c r="G123" s="55" t="n">
        <f aca="false">IF(AND(ISNUMBER(E123),ISNUMBER(F123)),(F123-E123)*100,"")</f>
        <v>10.4137432267014</v>
      </c>
      <c r="H123" s="54" t="n">
        <f aca="false">IF(ISNUMBER(B123),SUMIFS(Clean_Data!$X$2:$X$2203,Clean_Data!$AB$2:$AB$2203,$A123&amp;"|"&amp;Inputs!$B$5),"")</f>
        <v>0.00179868096729065</v>
      </c>
      <c r="I123" s="54" t="n">
        <f aca="false">IF(ISNUMBER(C123),SUMIFS(Clean_Data!$X$2:$X$2203,Clean_Data!$AB$2:$AB$2203,$A123&amp;"|"&amp;Inputs!$B$6),"")</f>
        <v>0.0207954774883909</v>
      </c>
      <c r="J123" s="55" t="n">
        <f aca="false">IF(AND(ISNUMBER(H123),ISNUMBER(I123)),(I123-H123)*100,"")</f>
        <v>1.89967965211002</v>
      </c>
      <c r="K123" s="54" t="n">
        <f aca="false">IF(ISNUMBER(C123),SUMIFS(Clean_Data!$Y$2:$Y$2203,Clean_Data!$AB$2:$AB$2203,$A123&amp;"|"&amp;Inputs!$B$6),"")</f>
        <v>0.430547143145568</v>
      </c>
      <c r="L123" s="56" t="n">
        <f aca="false">IF(COUNTIFS(Clean_Data!$AB$2:$AB$2203,$A123&amp;"|"&amp;Inputs!$B$6,Clean_Data!$P$2:$P$2203,"&lt;&gt;")&gt;0,SUMIFS(Clean_Data!$P$2:$P$2203,Clean_Data!$AB$2:$AB$2203,$A123&amp;"|"&amp;Inputs!$B$6),"")</f>
        <v>600.4</v>
      </c>
      <c r="M123" s="52" t="str">
        <f aca="false">IF(ISNUMBER(C123),IF(C123&gt;=Inputs!$B$7,"Yes","No"),"No")</f>
        <v>Yes</v>
      </c>
      <c r="N123" s="57" t="n">
        <f aca="false">IF(M123="Yes",F123+ROW()/10^9,-1)</f>
        <v>0.20366456879043</v>
      </c>
      <c r="O123" s="57" t="n">
        <f aca="false">IF(AND(M123="Yes",ISNUMBER(J123)),J123+ROW()/10^9,-1000)</f>
        <v>1.89967977511002</v>
      </c>
      <c r="P123" s="57" t="n">
        <f aca="false">IF(M123="Yes",K123+ROW()/10^9,-1)</f>
        <v>0.430547266145568</v>
      </c>
    </row>
    <row r="124" customFormat="false" ht="15" hidden="false" customHeight="false" outlineLevel="0" collapsed="false">
      <c r="A124" s="52" t="s">
        <v>298</v>
      </c>
      <c r="B124" s="53" t="n">
        <f aca="false">IF(COUNTIFS(Clean_Data!$AB$2:$AB$2203,$A124&amp;"|"&amp;Inputs!$B$5)&gt;0,SUMIFS(Clean_Data!$F$2:$F$2203,Clean_Data!$AB$2:$AB$2203,$A124&amp;"|"&amp;Inputs!$B$5),"")</f>
        <v>0.62</v>
      </c>
      <c r="C124" s="53" t="n">
        <f aca="false">IF(COUNTIFS(Clean_Data!$AB$2:$AB$2203,$A124&amp;"|"&amp;Inputs!$B$6)&gt;0,SUMIFS(Clean_Data!$F$2:$F$2203,Clean_Data!$AB$2:$AB$2203,$A124&amp;"|"&amp;Inputs!$B$6),"")</f>
        <v>0.85</v>
      </c>
      <c r="D124" s="54" t="n">
        <f aca="false">IF(AND(ISNUMBER(B124),ISNUMBER(C124)),IF(AND(B124&gt;0,Inputs!$B$6&gt;Inputs!$B$5),(C124/B124)^(1/(Inputs!$B$6-Inputs!$B$5))-1,""),"")</f>
        <v>0.0356791863136852</v>
      </c>
      <c r="E124" s="54" t="n">
        <f aca="false">IF(ISNUMBER(B124),SUMIFS(Clean_Data!$V$2:$V$2203,Clean_Data!$AB$2:$AB$2203,$A124&amp;"|"&amp;Inputs!$B$5),"")</f>
        <v>0.0161290322580645</v>
      </c>
      <c r="F124" s="54" t="n">
        <f aca="false">IF(ISNUMBER(C124),SUMIFS(Clean_Data!$V$2:$V$2203,Clean_Data!$AB$2:$AB$2203,$A124&amp;"|"&amp;Inputs!$B$6),"")</f>
        <v>0.0705882352941177</v>
      </c>
      <c r="G124" s="55" t="n">
        <f aca="false">IF(AND(ISNUMBER(E124),ISNUMBER(F124)),(F124-E124)*100,"")</f>
        <v>5.44592030360531</v>
      </c>
      <c r="H124" s="54" t="n">
        <f aca="false">IF(ISNUMBER(B124),SUMIFS(Clean_Data!$X$2:$X$2203,Clean_Data!$AB$2:$AB$2203,$A124&amp;"|"&amp;Inputs!$B$5),"")</f>
        <v>0.0161290322580645</v>
      </c>
      <c r="I124" s="54" t="n">
        <f aca="false">IF(ISNUMBER(C124),SUMIFS(Clean_Data!$X$2:$X$2203,Clean_Data!$AB$2:$AB$2203,$A124&amp;"|"&amp;Inputs!$B$6),"")</f>
        <v>0.0705882352941177</v>
      </c>
      <c r="J124" s="55" t="n">
        <f aca="false">IF(AND(ISNUMBER(H124),ISNUMBER(I124)),(I124-H124)*100,"")</f>
        <v>5.44592030360531</v>
      </c>
      <c r="K124" s="54" t="n">
        <f aca="false">IF(ISNUMBER(C124),SUMIFS(Clean_Data!$Y$2:$Y$2203,Clean_Data!$AB$2:$AB$2203,$A124&amp;"|"&amp;Inputs!$B$6),"")</f>
        <v>0</v>
      </c>
      <c r="L124" s="56" t="n">
        <f aca="false">IF(COUNTIFS(Clean_Data!$AB$2:$AB$2203,$A124&amp;"|"&amp;Inputs!$B$6,Clean_Data!$P$2:$P$2203,"&lt;&gt;")&gt;0,SUMIFS(Clean_Data!$P$2:$P$2203,Clean_Data!$AB$2:$AB$2203,$A124&amp;"|"&amp;Inputs!$B$6),"")</f>
        <v>611.8</v>
      </c>
      <c r="M124" s="52" t="str">
        <f aca="false">IF(ISNUMBER(C124),IF(C124&gt;=Inputs!$B$7,"Yes","No"),"No")</f>
        <v>No</v>
      </c>
      <c r="N124" s="57" t="n">
        <f aca="false">IF(M124="Yes",F124+ROW()/10^9,-1)</f>
        <v>-1</v>
      </c>
      <c r="O124" s="57" t="n">
        <f aca="false">IF(AND(M124="Yes",ISNUMBER(J124)),J124+ROW()/10^9,-1000)</f>
        <v>-1000</v>
      </c>
      <c r="P124" s="57" t="n">
        <f aca="false">IF(M124="Yes",K124+ROW()/10^9,-1)</f>
        <v>-1</v>
      </c>
    </row>
    <row r="125" customFormat="false" ht="15" hidden="false" customHeight="false" outlineLevel="0" collapsed="false">
      <c r="A125" s="52" t="s">
        <v>299</v>
      </c>
      <c r="B125" s="53" t="n">
        <f aca="false">IF(COUNTIFS(Clean_Data!$AB$2:$AB$2203,$A125&amp;"|"&amp;Inputs!$B$5)&gt;0,SUMIFS(Clean_Data!$F$2:$F$2203,Clean_Data!$AB$2:$AB$2203,$A125&amp;"|"&amp;Inputs!$B$5),"")</f>
        <v>2.51</v>
      </c>
      <c r="C125" s="53" t="n">
        <f aca="false">IF(COUNTIFS(Clean_Data!$AB$2:$AB$2203,$A125&amp;"|"&amp;Inputs!$B$6)&gt;0,SUMIFS(Clean_Data!$F$2:$F$2203,Clean_Data!$AB$2:$AB$2203,$A125&amp;"|"&amp;Inputs!$B$6),"")</f>
        <v>5.96</v>
      </c>
      <c r="D125" s="54" t="n">
        <f aca="false">IF(AND(ISNUMBER(B125),ISNUMBER(C125)),IF(AND(B125&gt;0,Inputs!$B$6&gt;Inputs!$B$5),(C125/B125)^(1/(Inputs!$B$6-Inputs!$B$5))-1,""),"")</f>
        <v>0.100855412506255</v>
      </c>
      <c r="E125" s="54" t="n">
        <f aca="false">IF(ISNUMBER(B125),SUMIFS(Clean_Data!$V$2:$V$2203,Clean_Data!$AB$2:$AB$2203,$A125&amp;"|"&amp;Inputs!$B$5),"")</f>
        <v>0.482071713147411</v>
      </c>
      <c r="F125" s="54" t="n">
        <f aca="false">IF(ISNUMBER(C125),SUMIFS(Clean_Data!$V$2:$V$2203,Clean_Data!$AB$2:$AB$2203,$A125&amp;"|"&amp;Inputs!$B$6),"")</f>
        <v>0.194630872483222</v>
      </c>
      <c r="G125" s="55" t="n">
        <f aca="false">IF(AND(ISNUMBER(E125),ISNUMBER(F125)),(F125-E125)*100,"")</f>
        <v>-28.7440840664189</v>
      </c>
      <c r="H125" s="54" t="n">
        <f aca="false">IF(ISNUMBER(B125),SUMIFS(Clean_Data!$X$2:$X$2203,Clean_Data!$AB$2:$AB$2203,$A125&amp;"|"&amp;Inputs!$B$5),"")</f>
        <v>0.0119521912350598</v>
      </c>
      <c r="I125" s="54" t="n">
        <f aca="false">IF(ISNUMBER(C125),SUMIFS(Clean_Data!$X$2:$X$2203,Clean_Data!$AB$2:$AB$2203,$A125&amp;"|"&amp;Inputs!$B$6),"")</f>
        <v>0.0285234899328859</v>
      </c>
      <c r="J125" s="55" t="n">
        <f aca="false">IF(AND(ISNUMBER(H125),ISNUMBER(I125)),(I125-H125)*100,"")</f>
        <v>1.65712986978262</v>
      </c>
      <c r="K125" s="54" t="n">
        <f aca="false">IF(ISNUMBER(C125),SUMIFS(Clean_Data!$Y$2:$Y$2203,Clean_Data!$AB$2:$AB$2203,$A125&amp;"|"&amp;Inputs!$B$6),"")</f>
        <v>0</v>
      </c>
      <c r="L125" s="56" t="n">
        <f aca="false">IF(COUNTIFS(Clean_Data!$AB$2:$AB$2203,$A125&amp;"|"&amp;Inputs!$B$6,Clean_Data!$P$2:$P$2203,"&lt;&gt;")&gt;0,SUMIFS(Clean_Data!$P$2:$P$2203,Clean_Data!$AB$2:$AB$2203,$A125&amp;"|"&amp;Inputs!$B$6),"")</f>
        <v>538.6</v>
      </c>
      <c r="M125" s="52" t="str">
        <f aca="false">IF(ISNUMBER(C125),IF(C125&gt;=Inputs!$B$7,"Yes","No"),"No")</f>
        <v>No</v>
      </c>
      <c r="N125" s="57" t="n">
        <f aca="false">IF(M125="Yes",F125+ROW()/10^9,-1)</f>
        <v>-1</v>
      </c>
      <c r="O125" s="57" t="n">
        <f aca="false">IF(AND(M125="Yes",ISNUMBER(J125)),J125+ROW()/10^9,-1000)</f>
        <v>-1000</v>
      </c>
      <c r="P125" s="57" t="n">
        <f aca="false">IF(M125="Yes",K125+ROW()/10^9,-1)</f>
        <v>-1</v>
      </c>
    </row>
    <row r="126" customFormat="false" ht="15" hidden="false" customHeight="false" outlineLevel="0" collapsed="false">
      <c r="A126" s="52" t="s">
        <v>300</v>
      </c>
      <c r="B126" s="53" t="n">
        <f aca="false">IF(COUNTIFS(Clean_Data!$AB$2:$AB$2203,$A126&amp;"|"&amp;Inputs!$B$5)&gt;0,SUMIFS(Clean_Data!$F$2:$F$2203,Clean_Data!$AB$2:$AB$2203,$A126&amp;"|"&amp;Inputs!$B$5),"")</f>
        <v>1.3</v>
      </c>
      <c r="C126" s="53" t="n">
        <f aca="false">IF(COUNTIFS(Clean_Data!$AB$2:$AB$2203,$A126&amp;"|"&amp;Inputs!$B$6)&gt;0,SUMIFS(Clean_Data!$F$2:$F$2203,Clean_Data!$AB$2:$AB$2203,$A126&amp;"|"&amp;Inputs!$B$6),"")</f>
        <v>2.19</v>
      </c>
      <c r="D126" s="54" t="n">
        <f aca="false">IF(AND(ISNUMBER(B126),ISNUMBER(C126)),IF(AND(B126&gt;0,Inputs!$B$6&gt;Inputs!$B$5),(C126/B126)^(1/(Inputs!$B$6-Inputs!$B$5))-1,""),"")</f>
        <v>0.0596605135552939</v>
      </c>
      <c r="E126" s="54" t="n">
        <f aca="false">IF(ISNUMBER(B126),SUMIFS(Clean_Data!$V$2:$V$2203,Clean_Data!$AB$2:$AB$2203,$A126&amp;"|"&amp;Inputs!$B$5),"")</f>
        <v>0.0769230769230769</v>
      </c>
      <c r="F126" s="54" t="n">
        <f aca="false">IF(ISNUMBER(C126),SUMIFS(Clean_Data!$V$2:$V$2203,Clean_Data!$AB$2:$AB$2203,$A126&amp;"|"&amp;Inputs!$B$6),"")</f>
        <v>0.155251141552511</v>
      </c>
      <c r="G126" s="55" t="n">
        <f aca="false">IF(AND(ISNUMBER(E126),ISNUMBER(F126)),(F126-E126)*100,"")</f>
        <v>7.83280646294345</v>
      </c>
      <c r="H126" s="54" t="n">
        <f aca="false">IF(ISNUMBER(B126),SUMIFS(Clean_Data!$X$2:$X$2203,Clean_Data!$AB$2:$AB$2203,$A126&amp;"|"&amp;Inputs!$B$5),"")</f>
        <v>0.0692307692307692</v>
      </c>
      <c r="I126" s="54" t="n">
        <f aca="false">IF(ISNUMBER(C126),SUMIFS(Clean_Data!$X$2:$X$2203,Clean_Data!$AB$2:$AB$2203,$A126&amp;"|"&amp;Inputs!$B$6),"")</f>
        <v>0.150684931506849</v>
      </c>
      <c r="J126" s="55" t="n">
        <f aca="false">IF(AND(ISNUMBER(H126),ISNUMBER(I126)),(I126-H126)*100,"")</f>
        <v>8.14541622760801</v>
      </c>
      <c r="K126" s="54" t="n">
        <f aca="false">IF(ISNUMBER(C126),SUMIFS(Clean_Data!$Y$2:$Y$2203,Clean_Data!$AB$2:$AB$2203,$A126&amp;"|"&amp;Inputs!$B$6),"")</f>
        <v>0</v>
      </c>
      <c r="L126" s="56" t="n">
        <f aca="false">IF(COUNTIFS(Clean_Data!$AB$2:$AB$2203,$A126&amp;"|"&amp;Inputs!$B$6,Clean_Data!$P$2:$P$2203,"&lt;&gt;")&gt;0,SUMIFS(Clean_Data!$P$2:$P$2203,Clean_Data!$AB$2:$AB$2203,$A126&amp;"|"&amp;Inputs!$B$6),"")</f>
        <v>488.6</v>
      </c>
      <c r="M126" s="52" t="str">
        <f aca="false">IF(ISNUMBER(C126),IF(C126&gt;=Inputs!$B$7,"Yes","No"),"No")</f>
        <v>No</v>
      </c>
      <c r="N126" s="57" t="n">
        <f aca="false">IF(M126="Yes",F126+ROW()/10^9,-1)</f>
        <v>-1</v>
      </c>
      <c r="O126" s="57" t="n">
        <f aca="false">IF(AND(M126="Yes",ISNUMBER(J126)),J126+ROW()/10^9,-1000)</f>
        <v>-1000</v>
      </c>
      <c r="P126" s="57" t="n">
        <f aca="false">IF(M126="Yes",K126+ROW()/10^9,-1)</f>
        <v>-1</v>
      </c>
    </row>
    <row r="127" customFormat="false" ht="15" hidden="false" customHeight="false" outlineLevel="0" collapsed="false">
      <c r="A127" s="52" t="s">
        <v>301</v>
      </c>
      <c r="B127" s="53" t="n">
        <f aca="false">IF(COUNTIFS(Clean_Data!$AB$2:$AB$2203,$A127&amp;"|"&amp;Inputs!$B$5)&gt;0,SUMIFS(Clean_Data!$F$2:$F$2203,Clean_Data!$AB$2:$AB$2203,$A127&amp;"|"&amp;Inputs!$B$5),"")</f>
        <v>1.56</v>
      </c>
      <c r="C127" s="53" t="str">
        <f aca="false">IF(COUNTIFS(Clean_Data!$AB$2:$AB$2203,$A127&amp;"|"&amp;Inputs!$B$6)&gt;0,SUMIFS(Clean_Data!$F$2:$F$2203,Clean_Data!$AB$2:$AB$2203,$A127&amp;"|"&amp;Inputs!$B$6),"")</f>
        <v/>
      </c>
      <c r="D127" s="54" t="str">
        <f aca="false">IF(AND(ISNUMBER(B127),ISNUMBER(C127)),IF(AND(B127&gt;0,Inputs!$B$6&gt;Inputs!$B$5),(C127/B127)^(1/(Inputs!$B$6-Inputs!$B$5))-1,""),"")</f>
        <v/>
      </c>
      <c r="E127" s="54" t="n">
        <f aca="false">IF(ISNUMBER(B127),SUMIFS(Clean_Data!$V$2:$V$2203,Clean_Data!$AB$2:$AB$2203,$A127&amp;"|"&amp;Inputs!$B$5),"")</f>
        <v>0.0576923076923077</v>
      </c>
      <c r="F127" s="54" t="str">
        <f aca="false">IF(ISNUMBER(C127),SUMIFS(Clean_Data!$V$2:$V$2203,Clean_Data!$AB$2:$AB$2203,$A127&amp;"|"&amp;Inputs!$B$6),"")</f>
        <v/>
      </c>
      <c r="G127" s="55" t="str">
        <f aca="false">IF(AND(ISNUMBER(E127),ISNUMBER(F127)),(F127-E127)*100,"")</f>
        <v/>
      </c>
      <c r="H127" s="54" t="n">
        <f aca="false">IF(ISNUMBER(B127),SUMIFS(Clean_Data!$X$2:$X$2203,Clean_Data!$AB$2:$AB$2203,$A127&amp;"|"&amp;Inputs!$B$5),"")</f>
        <v>0.0512820512820513</v>
      </c>
      <c r="I127" s="54" t="str">
        <f aca="false">IF(ISNUMBER(C127),SUMIFS(Clean_Data!$X$2:$X$2203,Clean_Data!$AB$2:$AB$2203,$A127&amp;"|"&amp;Inputs!$B$6),"")</f>
        <v/>
      </c>
      <c r="J127" s="55" t="str">
        <f aca="false">IF(AND(ISNUMBER(H127),ISNUMBER(I127)),(I127-H127)*100,"")</f>
        <v/>
      </c>
      <c r="K127" s="54" t="str">
        <f aca="false">IF(ISNUMBER(C127),SUMIFS(Clean_Data!$Y$2:$Y$2203,Clean_Data!$AB$2:$AB$2203,$A127&amp;"|"&amp;Inputs!$B$6),"")</f>
        <v/>
      </c>
      <c r="L127" s="56" t="str">
        <f aca="false">IF(COUNTIFS(Clean_Data!$AB$2:$AB$2203,$A127&amp;"|"&amp;Inputs!$B$6,Clean_Data!$P$2:$P$2203,"&lt;&gt;")&gt;0,SUMIFS(Clean_Data!$P$2:$P$2203,Clean_Data!$AB$2:$AB$2203,$A127&amp;"|"&amp;Inputs!$B$6),"")</f>
        <v/>
      </c>
      <c r="M127" s="52" t="str">
        <f aca="false">IF(ISNUMBER(C127),IF(C127&gt;=Inputs!$B$7,"Yes","No"),"No")</f>
        <v>No</v>
      </c>
      <c r="N127" s="57" t="n">
        <f aca="false">IF(M127="Yes",F127+ROW()/10^9,-1)</f>
        <v>-1</v>
      </c>
      <c r="O127" s="57" t="n">
        <f aca="false">IF(AND(M127="Yes",ISNUMBER(J127)),J127+ROW()/10^9,-1000)</f>
        <v>-1000</v>
      </c>
      <c r="P127" s="57" t="n">
        <f aca="false">IF(M127="Yes",K127+ROW()/10^9,-1)</f>
        <v>-1</v>
      </c>
    </row>
    <row r="128" customFormat="false" ht="15" hidden="false" customHeight="false" outlineLevel="0" collapsed="false">
      <c r="A128" s="52" t="s">
        <v>302</v>
      </c>
      <c r="B128" s="53" t="n">
        <f aca="false">IF(COUNTIFS(Clean_Data!$AB$2:$AB$2203,$A128&amp;"|"&amp;Inputs!$B$5)&gt;0,SUMIFS(Clean_Data!$F$2:$F$2203,Clean_Data!$AB$2:$AB$2203,$A128&amp;"|"&amp;Inputs!$B$5),"")</f>
        <v>1.16</v>
      </c>
      <c r="C128" s="53" t="n">
        <f aca="false">IF(COUNTIFS(Clean_Data!$AB$2:$AB$2203,$A128&amp;"|"&amp;Inputs!$B$6)&gt;0,SUMIFS(Clean_Data!$F$2:$F$2203,Clean_Data!$AB$2:$AB$2203,$A128&amp;"|"&amp;Inputs!$B$6),"")</f>
        <v>2.07</v>
      </c>
      <c r="D128" s="54" t="n">
        <f aca="false">IF(AND(ISNUMBER(B128),ISNUMBER(C128)),IF(AND(B128&gt;0,Inputs!$B$6&gt;Inputs!$B$5),(C128/B128)^(1/(Inputs!$B$6-Inputs!$B$5))-1,""),"")</f>
        <v>0.0664630608475021</v>
      </c>
      <c r="E128" s="54" t="n">
        <f aca="false">IF(ISNUMBER(B128),SUMIFS(Clean_Data!$V$2:$V$2203,Clean_Data!$AB$2:$AB$2203,$A128&amp;"|"&amp;Inputs!$B$5),"")</f>
        <v>0.275862068965517</v>
      </c>
      <c r="F128" s="54" t="n">
        <f aca="false">IF(ISNUMBER(C128),SUMIFS(Clean_Data!$V$2:$V$2203,Clean_Data!$AB$2:$AB$2203,$A128&amp;"|"&amp;Inputs!$B$6),"")</f>
        <v>0.227053140096618</v>
      </c>
      <c r="G128" s="55" t="n">
        <f aca="false">IF(AND(ISNUMBER(E128),ISNUMBER(F128)),(F128-E128)*100,"")</f>
        <v>-4.88089288688989</v>
      </c>
      <c r="H128" s="54" t="n">
        <f aca="false">IF(ISNUMBER(B128),SUMIFS(Clean_Data!$X$2:$X$2203,Clean_Data!$AB$2:$AB$2203,$A128&amp;"|"&amp;Inputs!$B$5),"")</f>
        <v>0.112068965517241</v>
      </c>
      <c r="I128" s="54" t="n">
        <f aca="false">IF(ISNUMBER(C128),SUMIFS(Clean_Data!$X$2:$X$2203,Clean_Data!$AB$2:$AB$2203,$A128&amp;"|"&amp;Inputs!$B$6),"")</f>
        <v>0.1256038647343</v>
      </c>
      <c r="J128" s="55" t="n">
        <f aca="false">IF(AND(ISNUMBER(H128),ISNUMBER(I128)),(I128-H128)*100,"")</f>
        <v>1.35348992170581</v>
      </c>
      <c r="K128" s="54" t="n">
        <f aca="false">IF(ISNUMBER(C128),SUMIFS(Clean_Data!$Y$2:$Y$2203,Clean_Data!$AB$2:$AB$2203,$A128&amp;"|"&amp;Inputs!$B$6),"")</f>
        <v>0</v>
      </c>
      <c r="L128" s="56" t="n">
        <f aca="false">IF(COUNTIFS(Clean_Data!$AB$2:$AB$2203,$A128&amp;"|"&amp;Inputs!$B$6,Clean_Data!$P$2:$P$2203,"&lt;&gt;")&gt;0,SUMIFS(Clean_Data!$P$2:$P$2203,Clean_Data!$AB$2:$AB$2203,$A128&amp;"|"&amp;Inputs!$B$6),"")</f>
        <v>512.1</v>
      </c>
      <c r="M128" s="52" t="str">
        <f aca="false">IF(ISNUMBER(C128),IF(C128&gt;=Inputs!$B$7,"Yes","No"),"No")</f>
        <v>No</v>
      </c>
      <c r="N128" s="57" t="n">
        <f aca="false">IF(M128="Yes",F128+ROW()/10^9,-1)</f>
        <v>-1</v>
      </c>
      <c r="O128" s="57" t="n">
        <f aca="false">IF(AND(M128="Yes",ISNUMBER(J128)),J128+ROW()/10^9,-1000)</f>
        <v>-1000</v>
      </c>
      <c r="P128" s="57" t="n">
        <f aca="false">IF(M128="Yes",K128+ROW()/10^9,-1)</f>
        <v>-1</v>
      </c>
    </row>
    <row r="129" customFormat="false" ht="15" hidden="false" customHeight="false" outlineLevel="0" collapsed="false">
      <c r="A129" s="52" t="s">
        <v>303</v>
      </c>
      <c r="B129" s="53" t="n">
        <f aca="false">IF(COUNTIFS(Clean_Data!$AB$2:$AB$2203,$A129&amp;"|"&amp;Inputs!$B$5)&gt;0,SUMIFS(Clean_Data!$F$2:$F$2203,Clean_Data!$AB$2:$AB$2203,$A129&amp;"|"&amp;Inputs!$B$5),"")</f>
        <v>2.99</v>
      </c>
      <c r="C129" s="53" t="n">
        <f aca="false">IF(COUNTIFS(Clean_Data!$AB$2:$AB$2203,$A129&amp;"|"&amp;Inputs!$B$6)&gt;0,SUMIFS(Clean_Data!$F$2:$F$2203,Clean_Data!$AB$2:$AB$2203,$A129&amp;"|"&amp;Inputs!$B$6),"")</f>
        <v>3.41</v>
      </c>
      <c r="D129" s="54" t="n">
        <f aca="false">IF(AND(ISNUMBER(B129),ISNUMBER(C129)),IF(AND(B129&gt;0,Inputs!$B$6&gt;Inputs!$B$5),(C129/B129)^(1/(Inputs!$B$6-Inputs!$B$5))-1,""),"")</f>
        <v>0.0147114868260485</v>
      </c>
      <c r="E129" s="54" t="n">
        <f aca="false">IF(ISNUMBER(B129),SUMIFS(Clean_Data!$V$2:$V$2203,Clean_Data!$AB$2:$AB$2203,$A129&amp;"|"&amp;Inputs!$B$5),"")</f>
        <v>0.22742474916388</v>
      </c>
      <c r="F129" s="54" t="n">
        <f aca="false">IF(ISNUMBER(C129),SUMIFS(Clean_Data!$V$2:$V$2203,Clean_Data!$AB$2:$AB$2203,$A129&amp;"|"&amp;Inputs!$B$6),"")</f>
        <v>0.178885630498534</v>
      </c>
      <c r="G129" s="55" t="n">
        <f aca="false">IF(AND(ISNUMBER(E129),ISNUMBER(F129)),(F129-E129)*100,"")</f>
        <v>-4.85391186653459</v>
      </c>
      <c r="H129" s="54" t="n">
        <f aca="false">IF(ISNUMBER(B129),SUMIFS(Clean_Data!$X$2:$X$2203,Clean_Data!$AB$2:$AB$2203,$A129&amp;"|"&amp;Inputs!$B$5),"")</f>
        <v>0.0100334448160535</v>
      </c>
      <c r="I129" s="54" t="n">
        <f aca="false">IF(ISNUMBER(C129),SUMIFS(Clean_Data!$X$2:$X$2203,Clean_Data!$AB$2:$AB$2203,$A129&amp;"|"&amp;Inputs!$B$6),"")</f>
        <v>0.0527859237536657</v>
      </c>
      <c r="J129" s="55" t="n">
        <f aca="false">IF(AND(ISNUMBER(H129),ISNUMBER(I129)),(I129-H129)*100,"")</f>
        <v>4.27524789376122</v>
      </c>
      <c r="K129" s="54" t="n">
        <f aca="false">IF(ISNUMBER(C129),SUMIFS(Clean_Data!$Y$2:$Y$2203,Clean_Data!$AB$2:$AB$2203,$A129&amp;"|"&amp;Inputs!$B$6),"")</f>
        <v>0.392961876832845</v>
      </c>
      <c r="L129" s="56" t="n">
        <f aca="false">IF(COUNTIFS(Clean_Data!$AB$2:$AB$2203,$A129&amp;"|"&amp;Inputs!$B$6,Clean_Data!$P$2:$P$2203,"&lt;&gt;")&gt;0,SUMIFS(Clean_Data!$P$2:$P$2203,Clean_Data!$AB$2:$AB$2203,$A129&amp;"|"&amp;Inputs!$B$6),"")</f>
        <v>642.2</v>
      </c>
      <c r="M129" s="52" t="str">
        <f aca="false">IF(ISNUMBER(C129),IF(C129&gt;=Inputs!$B$7,"Yes","No"),"No")</f>
        <v>No</v>
      </c>
      <c r="N129" s="57" t="n">
        <f aca="false">IF(M129="Yes",F129+ROW()/10^9,-1)</f>
        <v>-1</v>
      </c>
      <c r="O129" s="57" t="n">
        <f aca="false">IF(AND(M129="Yes",ISNUMBER(J129)),J129+ROW()/10^9,-1000)</f>
        <v>-1000</v>
      </c>
      <c r="P129" s="57" t="n">
        <f aca="false">IF(M129="Yes",K129+ROW()/10^9,-1)</f>
        <v>-1</v>
      </c>
    </row>
    <row r="130" customFormat="false" ht="15" hidden="false" customHeight="false" outlineLevel="0" collapsed="false">
      <c r="A130" s="52" t="s">
        <v>304</v>
      </c>
      <c r="B130" s="53" t="n">
        <f aca="false">IF(COUNTIFS(Clean_Data!$AB$2:$AB$2203,$A130&amp;"|"&amp;Inputs!$B$5)&gt;0,SUMIFS(Clean_Data!$F$2:$F$2203,Clean_Data!$AB$2:$AB$2203,$A130&amp;"|"&amp;Inputs!$B$5),"")</f>
        <v>310.36</v>
      </c>
      <c r="C130" s="53" t="n">
        <f aca="false">IF(COUNTIFS(Clean_Data!$AB$2:$AB$2203,$A130&amp;"|"&amp;Inputs!$B$6)&gt;0,SUMIFS(Clean_Data!$F$2:$F$2203,Clean_Data!$AB$2:$AB$2203,$A130&amp;"|"&amp;Inputs!$B$6),"")</f>
        <v>355.18</v>
      </c>
      <c r="D130" s="54" t="n">
        <f aca="false">IF(AND(ISNUMBER(B130),ISNUMBER(C130)),IF(AND(B130&gt;0,Inputs!$B$6&gt;Inputs!$B$5),(C130/B130)^(1/(Inputs!$B$6-Inputs!$B$5))-1,""),"")</f>
        <v>0.0151008595561923</v>
      </c>
      <c r="E130" s="54" t="n">
        <f aca="false">IF(ISNUMBER(B130),SUMIFS(Clean_Data!$V$2:$V$2203,Clean_Data!$AB$2:$AB$2203,$A130&amp;"|"&amp;Inputs!$B$5),"")</f>
        <v>0.155432401082614</v>
      </c>
      <c r="F130" s="54" t="n">
        <f aca="false">IF(ISNUMBER(C130),SUMIFS(Clean_Data!$V$2:$V$2203,Clean_Data!$AB$2:$AB$2203,$A130&amp;"|"&amp;Inputs!$B$6),"")</f>
        <v>0.211160538318599</v>
      </c>
      <c r="G130" s="55" t="n">
        <f aca="false">IF(AND(ISNUMBER(E130),ISNUMBER(F130)),(F130-E130)*100,"")</f>
        <v>5.57281372359852</v>
      </c>
      <c r="H130" s="54" t="n">
        <f aca="false">IF(ISNUMBER(B130),SUMIFS(Clean_Data!$X$2:$X$2203,Clean_Data!$AB$2:$AB$2203,$A130&amp;"|"&amp;Inputs!$B$5),"")</f>
        <v>0.0288374790565795</v>
      </c>
      <c r="I130" s="54" t="n">
        <f aca="false">IF(ISNUMBER(C130),SUMIFS(Clean_Data!$X$2:$X$2203,Clean_Data!$AB$2:$AB$2203,$A130&amp;"|"&amp;Inputs!$B$6),"")</f>
        <v>0.128019595697956</v>
      </c>
      <c r="J130" s="55" t="n">
        <f aca="false">IF(AND(ISNUMBER(H130),ISNUMBER(I130)),(I130-H130)*100,"")</f>
        <v>9.91821166413765</v>
      </c>
      <c r="K130" s="54" t="n">
        <f aca="false">IF(ISNUMBER(C130),SUMIFS(Clean_Data!$Y$2:$Y$2203,Clean_Data!$AB$2:$AB$2203,$A130&amp;"|"&amp;Inputs!$B$6),"")</f>
        <v>0.0348837209302326</v>
      </c>
      <c r="L130" s="56" t="n">
        <f aca="false">IF(COUNTIFS(Clean_Data!$AB$2:$AB$2203,$A130&amp;"|"&amp;Inputs!$B$6,Clean_Data!$P$2:$P$2203,"&lt;&gt;")&gt;0,SUMIFS(Clean_Data!$P$2:$P$2203,Clean_Data!$AB$2:$AB$2203,$A130&amp;"|"&amp;Inputs!$B$6),"")</f>
        <v>483.1</v>
      </c>
      <c r="M130" s="52" t="str">
        <f aca="false">IF(ISNUMBER(C130),IF(C130&gt;=Inputs!$B$7,"Yes","No"),"No")</f>
        <v>Yes</v>
      </c>
      <c r="N130" s="57" t="n">
        <f aca="false">IF(M130="Yes",F130+ROW()/10^9,-1)</f>
        <v>0.211160668318599</v>
      </c>
      <c r="O130" s="57" t="n">
        <f aca="false">IF(AND(M130="Yes",ISNUMBER(J130)),J130+ROW()/10^9,-1000)</f>
        <v>9.91821179413765</v>
      </c>
      <c r="P130" s="57" t="n">
        <f aca="false">IF(M130="Yes",K130+ROW()/10^9,-1)</f>
        <v>0.0348838509302326</v>
      </c>
    </row>
    <row r="131" customFormat="false" ht="15" hidden="false" customHeight="false" outlineLevel="0" collapsed="false">
      <c r="A131" s="52" t="s">
        <v>305</v>
      </c>
      <c r="B131" s="53" t="n">
        <f aca="false">IF(COUNTIFS(Clean_Data!$AB$2:$AB$2203,$A131&amp;"|"&amp;Inputs!$B$5)&gt;0,SUMIFS(Clean_Data!$F$2:$F$2203,Clean_Data!$AB$2:$AB$2203,$A131&amp;"|"&amp;Inputs!$B$5),"")</f>
        <v>6.04</v>
      </c>
      <c r="C131" s="53" t="n">
        <f aca="false">IF(COUNTIFS(Clean_Data!$AB$2:$AB$2203,$A131&amp;"|"&amp;Inputs!$B$6)&gt;0,SUMIFS(Clean_Data!$F$2:$F$2203,Clean_Data!$AB$2:$AB$2203,$A131&amp;"|"&amp;Inputs!$B$6),"")</f>
        <v>6.07</v>
      </c>
      <c r="D131" s="54" t="n">
        <f aca="false">IF(AND(ISNUMBER(B131),ISNUMBER(C131)),IF(AND(B131&gt;0,Inputs!$B$6&gt;Inputs!$B$5),(C131/B131)^(1/(Inputs!$B$6-Inputs!$B$5))-1,""),"")</f>
        <v>0.000550661905818428</v>
      </c>
      <c r="E131" s="54" t="n">
        <f aca="false">IF(ISNUMBER(B131),SUMIFS(Clean_Data!$V$2:$V$2203,Clean_Data!$AB$2:$AB$2203,$A131&amp;"|"&amp;Inputs!$B$5),"")</f>
        <v>0.0447019867549669</v>
      </c>
      <c r="F131" s="54" t="n">
        <f aca="false">IF(ISNUMBER(C131),SUMIFS(Clean_Data!$V$2:$V$2203,Clean_Data!$AB$2:$AB$2203,$A131&amp;"|"&amp;Inputs!$B$6),"")</f>
        <v>0.107084019769358</v>
      </c>
      <c r="G131" s="55" t="n">
        <f aca="false">IF(AND(ISNUMBER(E131),ISNUMBER(F131)),(F131-E131)*100,"")</f>
        <v>6.23820330143906</v>
      </c>
      <c r="H131" s="54" t="n">
        <f aca="false">IF(ISNUMBER(B131),SUMIFS(Clean_Data!$X$2:$X$2203,Clean_Data!$AB$2:$AB$2203,$A131&amp;"|"&amp;Inputs!$B$5),"")</f>
        <v>0</v>
      </c>
      <c r="I131" s="54" t="n">
        <f aca="false">IF(ISNUMBER(C131),SUMIFS(Clean_Data!$X$2:$X$2203,Clean_Data!$AB$2:$AB$2203,$A131&amp;"|"&amp;Inputs!$B$6),"")</f>
        <v>0.0510708401976936</v>
      </c>
      <c r="J131" s="55" t="n">
        <f aca="false">IF(AND(ISNUMBER(H131),ISNUMBER(I131)),(I131-H131)*100,"")</f>
        <v>5.10708401976936</v>
      </c>
      <c r="K131" s="54" t="n">
        <f aca="false">IF(ISNUMBER(C131),SUMIFS(Clean_Data!$Y$2:$Y$2203,Clean_Data!$AB$2:$AB$2203,$A131&amp;"|"&amp;Inputs!$B$6),"")</f>
        <v>0</v>
      </c>
      <c r="L131" s="56" t="n">
        <f aca="false">IF(COUNTIFS(Clean_Data!$AB$2:$AB$2203,$A131&amp;"|"&amp;Inputs!$B$6,Clean_Data!$P$2:$P$2203,"&lt;&gt;")&gt;0,SUMIFS(Clean_Data!$P$2:$P$2203,Clean_Data!$AB$2:$AB$2203,$A131&amp;"|"&amp;Inputs!$B$6),"")</f>
        <v>634.3</v>
      </c>
      <c r="M131" s="52" t="str">
        <f aca="false">IF(ISNUMBER(C131),IF(C131&gt;=Inputs!$B$7,"Yes","No"),"No")</f>
        <v>No</v>
      </c>
      <c r="N131" s="57" t="n">
        <f aca="false">IF(M131="Yes",F131+ROW()/10^9,-1)</f>
        <v>-1</v>
      </c>
      <c r="O131" s="57" t="n">
        <f aca="false">IF(AND(M131="Yes",ISNUMBER(J131)),J131+ROW()/10^9,-1000)</f>
        <v>-1000</v>
      </c>
      <c r="P131" s="57" t="n">
        <f aca="false">IF(M131="Yes",K131+ROW()/10^9,-1)</f>
        <v>-1</v>
      </c>
    </row>
    <row r="132" customFormat="false" ht="15" hidden="false" customHeight="false" outlineLevel="0" collapsed="false">
      <c r="A132" s="52" t="s">
        <v>306</v>
      </c>
      <c r="B132" s="53" t="n">
        <f aca="false">IF(COUNTIFS(Clean_Data!$AB$2:$AB$2203,$A132&amp;"|"&amp;Inputs!$B$5)&gt;0,SUMIFS(Clean_Data!$F$2:$F$2203,Clean_Data!$AB$2:$AB$2203,$A132&amp;"|"&amp;Inputs!$B$5),"")</f>
        <v>5.51</v>
      </c>
      <c r="C132" s="53" t="n">
        <f aca="false">IF(COUNTIFS(Clean_Data!$AB$2:$AB$2203,$A132&amp;"|"&amp;Inputs!$B$6)&gt;0,SUMIFS(Clean_Data!$F$2:$F$2203,Clean_Data!$AB$2:$AB$2203,$A132&amp;"|"&amp;Inputs!$B$6),"")</f>
        <v>8.82</v>
      </c>
      <c r="D132" s="54" t="n">
        <f aca="false">IF(AND(ISNUMBER(B132),ISNUMBER(C132)),IF(AND(B132&gt;0,Inputs!$B$6&gt;Inputs!$B$5),(C132/B132)^(1/(Inputs!$B$6-Inputs!$B$5))-1,""),"")</f>
        <v>0.0536633822482622</v>
      </c>
      <c r="E132" s="54" t="n">
        <f aca="false">IF(ISNUMBER(B132),SUMIFS(Clean_Data!$V$2:$V$2203,Clean_Data!$AB$2:$AB$2203,$A132&amp;"|"&amp;Inputs!$B$5),"")</f>
        <v>0.0399274047186933</v>
      </c>
      <c r="F132" s="54" t="n">
        <f aca="false">IF(ISNUMBER(C132),SUMIFS(Clean_Data!$V$2:$V$2203,Clean_Data!$AB$2:$AB$2203,$A132&amp;"|"&amp;Inputs!$B$6),"")</f>
        <v>0.0884353741496599</v>
      </c>
      <c r="G132" s="55" t="n">
        <f aca="false">IF(AND(ISNUMBER(E132),ISNUMBER(F132)),(F132-E132)*100,"")</f>
        <v>4.85079694309666</v>
      </c>
      <c r="H132" s="54" t="n">
        <f aca="false">IF(ISNUMBER(B132),SUMIFS(Clean_Data!$X$2:$X$2203,Clean_Data!$AB$2:$AB$2203,$A132&amp;"|"&amp;Inputs!$B$5),"")</f>
        <v>0.029038112522686</v>
      </c>
      <c r="I132" s="54" t="n">
        <f aca="false">IF(ISNUMBER(C132),SUMIFS(Clean_Data!$X$2:$X$2203,Clean_Data!$AB$2:$AB$2203,$A132&amp;"|"&amp;Inputs!$B$6),"")</f>
        <v>0.0816326530612245</v>
      </c>
      <c r="J132" s="55" t="n">
        <f aca="false">IF(AND(ISNUMBER(H132),ISNUMBER(I132)),(I132-H132)*100,"")</f>
        <v>5.25945405385385</v>
      </c>
      <c r="K132" s="54" t="n">
        <f aca="false">IF(ISNUMBER(C132),SUMIFS(Clean_Data!$Y$2:$Y$2203,Clean_Data!$AB$2:$AB$2203,$A132&amp;"|"&amp;Inputs!$B$6),"")</f>
        <v>0.846938775510204</v>
      </c>
      <c r="L132" s="56" t="n">
        <f aca="false">IF(COUNTIFS(Clean_Data!$AB$2:$AB$2203,$A132&amp;"|"&amp;Inputs!$B$6,Clean_Data!$P$2:$P$2203,"&lt;&gt;")&gt;0,SUMIFS(Clean_Data!$P$2:$P$2203,Clean_Data!$AB$2:$AB$2203,$A132&amp;"|"&amp;Inputs!$B$6),"")</f>
        <v>810.7</v>
      </c>
      <c r="M132" s="52" t="str">
        <f aca="false">IF(ISNUMBER(C132),IF(C132&gt;=Inputs!$B$7,"Yes","No"),"No")</f>
        <v>No</v>
      </c>
      <c r="N132" s="57" t="n">
        <f aca="false">IF(M132="Yes",F132+ROW()/10^9,-1)</f>
        <v>-1</v>
      </c>
      <c r="O132" s="57" t="n">
        <f aca="false">IF(AND(M132="Yes",ISNUMBER(J132)),J132+ROW()/10^9,-1000)</f>
        <v>-1000</v>
      </c>
      <c r="P132" s="57" t="n">
        <f aca="false">IF(M132="Yes",K132+ROW()/10^9,-1)</f>
        <v>-1</v>
      </c>
    </row>
    <row r="133" customFormat="false" ht="15" hidden="false" customHeight="false" outlineLevel="0" collapsed="false">
      <c r="A133" s="52" t="s">
        <v>307</v>
      </c>
      <c r="B133" s="53" t="n">
        <f aca="false">IF(COUNTIFS(Clean_Data!$AB$2:$AB$2203,$A133&amp;"|"&amp;Inputs!$B$5)&gt;0,SUMIFS(Clean_Data!$F$2:$F$2203,Clean_Data!$AB$2:$AB$2203,$A133&amp;"|"&amp;Inputs!$B$5),"")</f>
        <v>3</v>
      </c>
      <c r="C133" s="53" t="n">
        <f aca="false">IF(COUNTIFS(Clean_Data!$AB$2:$AB$2203,$A133&amp;"|"&amp;Inputs!$B$6)&gt;0,SUMIFS(Clean_Data!$F$2:$F$2203,Clean_Data!$AB$2:$AB$2203,$A133&amp;"|"&amp;Inputs!$B$6),"")</f>
        <v>3.53</v>
      </c>
      <c r="D133" s="54" t="n">
        <f aca="false">IF(AND(ISNUMBER(B133),ISNUMBER(C133)),IF(AND(B133&gt;0,Inputs!$B$6&gt;Inputs!$B$5),(C133/B133)^(1/(Inputs!$B$6-Inputs!$B$5))-1,""),"")</f>
        <v>0.018240538731922</v>
      </c>
      <c r="E133" s="54" t="n">
        <f aca="false">IF(ISNUMBER(B133),SUMIFS(Clean_Data!$V$2:$V$2203,Clean_Data!$AB$2:$AB$2203,$A133&amp;"|"&amp;Inputs!$B$5),"")</f>
        <v>0.496666666666667</v>
      </c>
      <c r="F133" s="54" t="n">
        <f aca="false">IF(ISNUMBER(C133),SUMIFS(Clean_Data!$V$2:$V$2203,Clean_Data!$AB$2:$AB$2203,$A133&amp;"|"&amp;Inputs!$B$6),"")</f>
        <v>0.594900849858357</v>
      </c>
      <c r="G133" s="55" t="n">
        <f aca="false">IF(AND(ISNUMBER(E133),ISNUMBER(F133)),(F133-E133)*100,"")</f>
        <v>9.82341831916904</v>
      </c>
      <c r="H133" s="54" t="n">
        <f aca="false">IF(ISNUMBER(B133),SUMIFS(Clean_Data!$X$2:$X$2203,Clean_Data!$AB$2:$AB$2203,$A133&amp;"|"&amp;Inputs!$B$5),"")</f>
        <v>0</v>
      </c>
      <c r="I133" s="54" t="n">
        <f aca="false">IF(ISNUMBER(C133),SUMIFS(Clean_Data!$X$2:$X$2203,Clean_Data!$AB$2:$AB$2203,$A133&amp;"|"&amp;Inputs!$B$6),"")</f>
        <v>0.0934844192634561</v>
      </c>
      <c r="J133" s="55" t="n">
        <f aca="false">IF(AND(ISNUMBER(H133),ISNUMBER(I133)),(I133-H133)*100,"")</f>
        <v>9.34844192634561</v>
      </c>
      <c r="K133" s="54" t="n">
        <f aca="false">IF(ISNUMBER(C133),SUMIFS(Clean_Data!$Y$2:$Y$2203,Clean_Data!$AB$2:$AB$2203,$A133&amp;"|"&amp;Inputs!$B$6),"")</f>
        <v>0.405099150141643</v>
      </c>
      <c r="L133" s="56" t="n">
        <f aca="false">IF(COUNTIFS(Clean_Data!$AB$2:$AB$2203,$A133&amp;"|"&amp;Inputs!$B$6,Clean_Data!$P$2:$P$2203,"&lt;&gt;")&gt;0,SUMIFS(Clean_Data!$P$2:$P$2203,Clean_Data!$AB$2:$AB$2203,$A133&amp;"|"&amp;Inputs!$B$6),"")</f>
        <v>422.1</v>
      </c>
      <c r="M133" s="52" t="str">
        <f aca="false">IF(ISNUMBER(C133),IF(C133&gt;=Inputs!$B$7,"Yes","No"),"No")</f>
        <v>No</v>
      </c>
      <c r="N133" s="57" t="n">
        <f aca="false">IF(M133="Yes",F133+ROW()/10^9,-1)</f>
        <v>-1</v>
      </c>
      <c r="O133" s="57" t="n">
        <f aca="false">IF(AND(M133="Yes",ISNUMBER(J133)),J133+ROW()/10^9,-1000)</f>
        <v>-1000</v>
      </c>
      <c r="P133" s="57" t="n">
        <f aca="false">IF(M133="Yes",K133+ROW()/10^9,-1)</f>
        <v>-1</v>
      </c>
    </row>
    <row r="134" customFormat="false" ht="15" hidden="false" customHeight="false" outlineLevel="0" collapsed="false">
      <c r="A134" s="52" t="s">
        <v>308</v>
      </c>
      <c r="B134" s="53" t="n">
        <f aca="false">IF(COUNTIFS(Clean_Data!$AB$2:$AB$2203,$A134&amp;"|"&amp;Inputs!$B$5)&gt;0,SUMIFS(Clean_Data!$F$2:$F$2203,Clean_Data!$AB$2:$AB$2203,$A134&amp;"|"&amp;Inputs!$B$5),"")</f>
        <v>0.01</v>
      </c>
      <c r="C134" s="53" t="n">
        <f aca="false">IF(COUNTIFS(Clean_Data!$AB$2:$AB$2203,$A134&amp;"|"&amp;Inputs!$B$6)&gt;0,SUMIFS(Clean_Data!$F$2:$F$2203,Clean_Data!$AB$2:$AB$2203,$A134&amp;"|"&amp;Inputs!$B$6),"")</f>
        <v>0.01</v>
      </c>
      <c r="D134" s="54" t="n">
        <f aca="false">IF(AND(ISNUMBER(B134),ISNUMBER(C134)),IF(AND(B134&gt;0,Inputs!$B$6&gt;Inputs!$B$5),(C134/B134)^(1/(Inputs!$B$6-Inputs!$B$5))-1,""),"")</f>
        <v>0</v>
      </c>
      <c r="E134" s="54" t="n">
        <f aca="false">IF(ISNUMBER(B134),SUMIFS(Clean_Data!$V$2:$V$2203,Clean_Data!$AB$2:$AB$2203,$A134&amp;"|"&amp;Inputs!$B$5),"")</f>
        <v>0</v>
      </c>
      <c r="F134" s="54" t="n">
        <f aca="false">IF(ISNUMBER(C134),SUMIFS(Clean_Data!$V$2:$V$2203,Clean_Data!$AB$2:$AB$2203,$A134&amp;"|"&amp;Inputs!$B$6),"")</f>
        <v>0</v>
      </c>
      <c r="G134" s="55" t="n">
        <f aca="false">IF(AND(ISNUMBER(E134),ISNUMBER(F134)),(F134-E134)*100,"")</f>
        <v>0</v>
      </c>
      <c r="H134" s="54" t="n">
        <f aca="false">IF(ISNUMBER(B134),SUMIFS(Clean_Data!$X$2:$X$2203,Clean_Data!$AB$2:$AB$2203,$A134&amp;"|"&amp;Inputs!$B$5),"")</f>
        <v>0</v>
      </c>
      <c r="I134" s="54" t="n">
        <f aca="false">IF(ISNUMBER(C134),SUMIFS(Clean_Data!$X$2:$X$2203,Clean_Data!$AB$2:$AB$2203,$A134&amp;"|"&amp;Inputs!$B$6),"")</f>
        <v>0</v>
      </c>
      <c r="J134" s="55" t="n">
        <f aca="false">IF(AND(ISNUMBER(H134),ISNUMBER(I134)),(I134-H134)*100,"")</f>
        <v>0</v>
      </c>
      <c r="K134" s="54" t="n">
        <f aca="false">IF(ISNUMBER(C134),SUMIFS(Clean_Data!$Y$2:$Y$2203,Clean_Data!$AB$2:$AB$2203,$A134&amp;"|"&amp;Inputs!$B$6),"")</f>
        <v>0</v>
      </c>
      <c r="L134" s="56" t="n">
        <f aca="false">IF(COUNTIFS(Clean_Data!$AB$2:$AB$2203,$A134&amp;"|"&amp;Inputs!$B$6,Clean_Data!$P$2:$P$2203,"&lt;&gt;")&gt;0,SUMIFS(Clean_Data!$P$2:$P$2203,Clean_Data!$AB$2:$AB$2203,$A134&amp;"|"&amp;Inputs!$B$6),"")</f>
        <v>1000</v>
      </c>
      <c r="M134" s="52" t="str">
        <f aca="false">IF(ISNUMBER(C134),IF(C134&gt;=Inputs!$B$7,"Yes","No"),"No")</f>
        <v>No</v>
      </c>
      <c r="N134" s="57" t="n">
        <f aca="false">IF(M134="Yes",F134+ROW()/10^9,-1)</f>
        <v>-1</v>
      </c>
      <c r="O134" s="57" t="n">
        <f aca="false">IF(AND(M134="Yes",ISNUMBER(J134)),J134+ROW()/10^9,-1000)</f>
        <v>-1000</v>
      </c>
      <c r="P134" s="57" t="n">
        <f aca="false">IF(M134="Yes",K134+ROW()/10^9,-1)</f>
        <v>-1</v>
      </c>
    </row>
    <row r="135" customFormat="false" ht="15" hidden="false" customHeight="false" outlineLevel="0" collapsed="false">
      <c r="A135" s="52" t="s">
        <v>309</v>
      </c>
      <c r="B135" s="53" t="n">
        <f aca="false">IF(COUNTIFS(Clean_Data!$AB$2:$AB$2203,$A135&amp;"|"&amp;Inputs!$B$5)&gt;0,SUMIFS(Clean_Data!$F$2:$F$2203,Clean_Data!$AB$2:$AB$2203,$A135&amp;"|"&amp;Inputs!$B$5),"")</f>
        <v>29.91</v>
      </c>
      <c r="C135" s="53" t="n">
        <f aca="false">IF(COUNTIFS(Clean_Data!$AB$2:$AB$2203,$A135&amp;"|"&amp;Inputs!$B$6)&gt;0,SUMIFS(Clean_Data!$F$2:$F$2203,Clean_Data!$AB$2:$AB$2203,$A135&amp;"|"&amp;Inputs!$B$6),"")</f>
        <v>42.4</v>
      </c>
      <c r="D135" s="54" t="n">
        <f aca="false">IF(AND(ISNUMBER(B135),ISNUMBER(C135)),IF(AND(B135&gt;0,Inputs!$B$6&gt;Inputs!$B$5),(C135/B135)^(1/(Inputs!$B$6-Inputs!$B$5))-1,""),"")</f>
        <v>0.039534308080081</v>
      </c>
      <c r="E135" s="54" t="n">
        <f aca="false">IF(ISNUMBER(B135),SUMIFS(Clean_Data!$V$2:$V$2203,Clean_Data!$AB$2:$AB$2203,$A135&amp;"|"&amp;Inputs!$B$5),"")</f>
        <v>0.160815780675359</v>
      </c>
      <c r="F135" s="54" t="n">
        <f aca="false">IF(ISNUMBER(C135),SUMIFS(Clean_Data!$V$2:$V$2203,Clean_Data!$AB$2:$AB$2203,$A135&amp;"|"&amp;Inputs!$B$6),"")</f>
        <v>0.244103773584906</v>
      </c>
      <c r="G135" s="55" t="n">
        <f aca="false">IF(AND(ISNUMBER(E135),ISNUMBER(F135)),(F135-E135)*100,"")</f>
        <v>8.32879929095462</v>
      </c>
      <c r="H135" s="54" t="n">
        <f aca="false">IF(ISNUMBER(B135),SUMIFS(Clean_Data!$X$2:$X$2203,Clean_Data!$AB$2:$AB$2203,$A135&amp;"|"&amp;Inputs!$B$5),"")</f>
        <v>0.0842527582748245</v>
      </c>
      <c r="I135" s="54" t="n">
        <f aca="false">IF(ISNUMBER(C135),SUMIFS(Clean_Data!$X$2:$X$2203,Clean_Data!$AB$2:$AB$2203,$A135&amp;"|"&amp;Inputs!$B$6),"")</f>
        <v>0.224056603773585</v>
      </c>
      <c r="J135" s="55" t="n">
        <f aca="false">IF(AND(ISNUMBER(H135),ISNUMBER(I135)),(I135-H135)*100,"")</f>
        <v>13.980384549876</v>
      </c>
      <c r="K135" s="54" t="n">
        <f aca="false">IF(ISNUMBER(C135),SUMIFS(Clean_Data!$Y$2:$Y$2203,Clean_Data!$AB$2:$AB$2203,$A135&amp;"|"&amp;Inputs!$B$6),"")</f>
        <v>0.617452830188679</v>
      </c>
      <c r="L135" s="56" t="n">
        <f aca="false">IF(COUNTIFS(Clean_Data!$AB$2:$AB$2203,$A135&amp;"|"&amp;Inputs!$B$6,Clean_Data!$P$2:$P$2203,"&lt;&gt;")&gt;0,SUMIFS(Clean_Data!$P$2:$P$2203,Clean_Data!$AB$2:$AB$2203,$A135&amp;"|"&amp;Inputs!$B$6),"")</f>
        <v>594.8</v>
      </c>
      <c r="M135" s="52" t="str">
        <f aca="false">IF(ISNUMBER(C135),IF(C135&gt;=Inputs!$B$7,"Yes","No"),"No")</f>
        <v>Yes</v>
      </c>
      <c r="N135" s="57" t="n">
        <f aca="false">IF(M135="Yes",F135+ROW()/10^9,-1)</f>
        <v>0.244103908584906</v>
      </c>
      <c r="O135" s="57" t="n">
        <f aca="false">IF(AND(M135="Yes",ISNUMBER(J135)),J135+ROW()/10^9,-1000)</f>
        <v>13.980384684876</v>
      </c>
      <c r="P135" s="57" t="n">
        <f aca="false">IF(M135="Yes",K135+ROW()/10^9,-1)</f>
        <v>0.617452965188679</v>
      </c>
    </row>
    <row r="136" customFormat="false" ht="15" hidden="false" customHeight="false" outlineLevel="0" collapsed="false">
      <c r="A136" s="52" t="s">
        <v>310</v>
      </c>
      <c r="B136" s="53" t="n">
        <f aca="false">IF(COUNTIFS(Clean_Data!$AB$2:$AB$2203,$A136&amp;"|"&amp;Inputs!$B$5)&gt;0,SUMIFS(Clean_Data!$F$2:$F$2203,Clean_Data!$AB$2:$AB$2203,$A136&amp;"|"&amp;Inputs!$B$5),"")</f>
        <v>18.38</v>
      </c>
      <c r="C136" s="53" t="n">
        <f aca="false">IF(COUNTIFS(Clean_Data!$AB$2:$AB$2203,$A136&amp;"|"&amp;Inputs!$B$6)&gt;0,SUMIFS(Clean_Data!$F$2:$F$2203,Clean_Data!$AB$2:$AB$2203,$A136&amp;"|"&amp;Inputs!$B$6),"")</f>
        <v>19.79</v>
      </c>
      <c r="D136" s="54" t="n">
        <f aca="false">IF(AND(ISNUMBER(B136),ISNUMBER(C136)),IF(AND(B136&gt;0,Inputs!$B$6&gt;Inputs!$B$5),(C136/B136)^(1/(Inputs!$B$6-Inputs!$B$5))-1,""),"")</f>
        <v>0.00824644309574785</v>
      </c>
      <c r="E136" s="54" t="n">
        <f aca="false">IF(ISNUMBER(B136),SUMIFS(Clean_Data!$V$2:$V$2203,Clean_Data!$AB$2:$AB$2203,$A136&amp;"|"&amp;Inputs!$B$5),"")</f>
        <v>0.929815016322089</v>
      </c>
      <c r="F136" s="54" t="n">
        <f aca="false">IF(ISNUMBER(C136),SUMIFS(Clean_Data!$V$2:$V$2203,Clean_Data!$AB$2:$AB$2203,$A136&amp;"|"&amp;Inputs!$B$6),"")</f>
        <v>0.834259727134917</v>
      </c>
      <c r="G136" s="55" t="n">
        <f aca="false">IF(AND(ISNUMBER(E136),ISNUMBER(F136)),(F136-E136)*100,"")</f>
        <v>-9.55552891871727</v>
      </c>
      <c r="H136" s="54" t="n">
        <f aca="false">IF(ISNUMBER(B136),SUMIFS(Clean_Data!$X$2:$X$2203,Clean_Data!$AB$2:$AB$2203,$A136&amp;"|"&amp;Inputs!$B$5),"")</f>
        <v>0</v>
      </c>
      <c r="I136" s="54" t="n">
        <f aca="false">IF(ISNUMBER(C136),SUMIFS(Clean_Data!$X$2:$X$2203,Clean_Data!$AB$2:$AB$2203,$A136&amp;"|"&amp;Inputs!$B$6),"")</f>
        <v>0.00404244567963618</v>
      </c>
      <c r="J136" s="55" t="n">
        <f aca="false">IF(AND(ISNUMBER(H136),ISNUMBER(I136)),(I136-H136)*100,"")</f>
        <v>0.404244567963618</v>
      </c>
      <c r="K136" s="54" t="n">
        <f aca="false">IF(ISNUMBER(C136),SUMIFS(Clean_Data!$Y$2:$Y$2203,Clean_Data!$AB$2:$AB$2203,$A136&amp;"|"&amp;Inputs!$B$6),"")</f>
        <v>0</v>
      </c>
      <c r="L136" s="56" t="n">
        <f aca="false">IF(COUNTIFS(Clean_Data!$AB$2:$AB$2203,$A136&amp;"|"&amp;Inputs!$B$6,Clean_Data!$P$2:$P$2203,"&lt;&gt;")&gt;0,SUMIFS(Clean_Data!$P$2:$P$2203,Clean_Data!$AB$2:$AB$2203,$A136&amp;"|"&amp;Inputs!$B$6),"")</f>
        <v>129.4</v>
      </c>
      <c r="M136" s="52" t="str">
        <f aca="false">IF(ISNUMBER(C136),IF(C136&gt;=Inputs!$B$7,"Yes","No"),"No")</f>
        <v>No</v>
      </c>
      <c r="N136" s="57" t="n">
        <f aca="false">IF(M136="Yes",F136+ROW()/10^9,-1)</f>
        <v>-1</v>
      </c>
      <c r="O136" s="57" t="n">
        <f aca="false">IF(AND(M136="Yes",ISNUMBER(J136)),J136+ROW()/10^9,-1000)</f>
        <v>-1000</v>
      </c>
      <c r="P136" s="57" t="n">
        <f aca="false">IF(M136="Yes",K136+ROW()/10^9,-1)</f>
        <v>-1</v>
      </c>
    </row>
    <row r="137" customFormat="false" ht="15" hidden="false" customHeight="false" outlineLevel="0" collapsed="false">
      <c r="A137" s="52" t="s">
        <v>311</v>
      </c>
      <c r="B137" s="53" t="n">
        <f aca="false">IF(COUNTIFS(Clean_Data!$AB$2:$AB$2203,$A137&amp;"|"&amp;Inputs!$B$5)&gt;0,SUMIFS(Clean_Data!$F$2:$F$2203,Clean_Data!$AB$2:$AB$2203,$A137&amp;"|"&amp;Inputs!$B$5),"")</f>
        <v>16.2</v>
      </c>
      <c r="C137" s="53" t="n">
        <f aca="false">IF(COUNTIFS(Clean_Data!$AB$2:$AB$2203,$A137&amp;"|"&amp;Inputs!$B$6)&gt;0,SUMIFS(Clean_Data!$F$2:$F$2203,Clean_Data!$AB$2:$AB$2203,$A137&amp;"|"&amp;Inputs!$B$6),"")</f>
        <v>21.71</v>
      </c>
      <c r="D137" s="54" t="n">
        <f aca="false">IF(AND(ISNUMBER(B137),ISNUMBER(C137)),IF(AND(B137&gt;0,Inputs!$B$6&gt;Inputs!$B$5),(C137/B137)^(1/(Inputs!$B$6-Inputs!$B$5))-1,""),"")</f>
        <v>0.0330639366916865</v>
      </c>
      <c r="E137" s="54" t="n">
        <f aca="false">IF(ISNUMBER(B137),SUMIFS(Clean_Data!$V$2:$V$2203,Clean_Data!$AB$2:$AB$2203,$A137&amp;"|"&amp;Inputs!$B$5),"")</f>
        <v>0.595061728395062</v>
      </c>
      <c r="F137" s="54" t="n">
        <f aca="false">IF(ISNUMBER(C137),SUMIFS(Clean_Data!$V$2:$V$2203,Clean_Data!$AB$2:$AB$2203,$A137&amp;"|"&amp;Inputs!$B$6),"")</f>
        <v>0.47858129894058</v>
      </c>
      <c r="G137" s="55" t="n">
        <f aca="false">IF(AND(ISNUMBER(E137),ISNUMBER(F137)),(F137-E137)*100,"")</f>
        <v>-11.6480429454481</v>
      </c>
      <c r="H137" s="54" t="n">
        <f aca="false">IF(ISNUMBER(B137),SUMIFS(Clean_Data!$X$2:$X$2203,Clean_Data!$AB$2:$AB$2203,$A137&amp;"|"&amp;Inputs!$B$5),"")</f>
        <v>0.00185185185185185</v>
      </c>
      <c r="I137" s="54" t="n">
        <f aca="false">IF(ISNUMBER(C137),SUMIFS(Clean_Data!$X$2:$X$2203,Clean_Data!$AB$2:$AB$2203,$A137&amp;"|"&amp;Inputs!$B$6),"")</f>
        <v>0.00552740672501152</v>
      </c>
      <c r="J137" s="55" t="n">
        <f aca="false">IF(AND(ISNUMBER(H137),ISNUMBER(I137)),(I137-H137)*100,"")</f>
        <v>0.367555487315966</v>
      </c>
      <c r="K137" s="54" t="n">
        <f aca="false">IF(ISNUMBER(C137),SUMIFS(Clean_Data!$Y$2:$Y$2203,Clean_Data!$AB$2:$AB$2203,$A137&amp;"|"&amp;Inputs!$B$6),"")</f>
        <v>0.0552740672501152</v>
      </c>
      <c r="L137" s="56" t="n">
        <f aca="false">IF(COUNTIFS(Clean_Data!$AB$2:$AB$2203,$A137&amp;"|"&amp;Inputs!$B$6,Clean_Data!$P$2:$P$2203,"&lt;&gt;")&gt;0,SUMIFS(Clean_Data!$P$2:$P$2203,Clean_Data!$AB$2:$AB$2203,$A137&amp;"|"&amp;Inputs!$B$6),"")</f>
        <v>503</v>
      </c>
      <c r="M137" s="52" t="str">
        <f aca="false">IF(ISNUMBER(C137),IF(C137&gt;=Inputs!$B$7,"Yes","No"),"No")</f>
        <v>Yes</v>
      </c>
      <c r="N137" s="57" t="n">
        <f aca="false">IF(M137="Yes",F137+ROW()/10^9,-1)</f>
        <v>0.47858143594058</v>
      </c>
      <c r="O137" s="57" t="n">
        <f aca="false">IF(AND(M137="Yes",ISNUMBER(J137)),J137+ROW()/10^9,-1000)</f>
        <v>0.367555624315966</v>
      </c>
      <c r="P137" s="57" t="n">
        <f aca="false">IF(M137="Yes",K137+ROW()/10^9,-1)</f>
        <v>0.0552742042501151</v>
      </c>
    </row>
    <row r="138" customFormat="false" ht="15" hidden="false" customHeight="false" outlineLevel="0" collapsed="false">
      <c r="A138" s="52" t="s">
        <v>312</v>
      </c>
      <c r="B138" s="53" t="n">
        <f aca="false">IF(COUNTIFS(Clean_Data!$AB$2:$AB$2203,$A138&amp;"|"&amp;Inputs!$B$5)&gt;0,SUMIFS(Clean_Data!$F$2:$F$2203,Clean_Data!$AB$2:$AB$2203,$A138&amp;"|"&amp;Inputs!$B$5),"")</f>
        <v>1.58</v>
      </c>
      <c r="C138" s="53" t="n">
        <f aca="false">IF(COUNTIFS(Clean_Data!$AB$2:$AB$2203,$A138&amp;"|"&amp;Inputs!$B$6)&gt;0,SUMIFS(Clean_Data!$F$2:$F$2203,Clean_Data!$AB$2:$AB$2203,$A138&amp;"|"&amp;Inputs!$B$6),"")</f>
        <v>1.64</v>
      </c>
      <c r="D138" s="54" t="n">
        <f aca="false">IF(AND(ISNUMBER(B138),ISNUMBER(C138)),IF(AND(B138&gt;0,Inputs!$B$6&gt;Inputs!$B$5),(C138/B138)^(1/(Inputs!$B$6-Inputs!$B$5))-1,""),"")</f>
        <v>0.00414985298043225</v>
      </c>
      <c r="E138" s="54" t="n">
        <f aca="false">IF(ISNUMBER(B138),SUMIFS(Clean_Data!$V$2:$V$2203,Clean_Data!$AB$2:$AB$2203,$A138&amp;"|"&amp;Inputs!$B$5),"")</f>
        <v>0.974683544303797</v>
      </c>
      <c r="F138" s="54" t="n">
        <f aca="false">IF(ISNUMBER(C138),SUMIFS(Clean_Data!$V$2:$V$2203,Clean_Data!$AB$2:$AB$2203,$A138&amp;"|"&amp;Inputs!$B$6),"")</f>
        <v>0.975609756097561</v>
      </c>
      <c r="G138" s="55" t="n">
        <f aca="false">IF(AND(ISNUMBER(E138),ISNUMBER(F138)),(F138-E138)*100,"")</f>
        <v>0.0926211793763621</v>
      </c>
      <c r="H138" s="54" t="n">
        <f aca="false">IF(ISNUMBER(B138),SUMIFS(Clean_Data!$X$2:$X$2203,Clean_Data!$AB$2:$AB$2203,$A138&amp;"|"&amp;Inputs!$B$5),"")</f>
        <v>0.0253164556962025</v>
      </c>
      <c r="I138" s="54" t="n">
        <f aca="false">IF(ISNUMBER(C138),SUMIFS(Clean_Data!$X$2:$X$2203,Clean_Data!$AB$2:$AB$2203,$A138&amp;"|"&amp;Inputs!$B$6),"")</f>
        <v>0.365853658536585</v>
      </c>
      <c r="J138" s="55" t="n">
        <f aca="false">IF(AND(ISNUMBER(H138),ISNUMBER(I138)),(I138-H138)*100,"")</f>
        <v>34.0537202840383</v>
      </c>
      <c r="K138" s="54" t="n">
        <f aca="false">IF(ISNUMBER(C138),SUMIFS(Clean_Data!$Y$2:$Y$2203,Clean_Data!$AB$2:$AB$2203,$A138&amp;"|"&amp;Inputs!$B$6),"")</f>
        <v>0.024390243902439</v>
      </c>
      <c r="L138" s="56" t="n">
        <f aca="false">IF(COUNTIFS(Clean_Data!$AB$2:$AB$2203,$A138&amp;"|"&amp;Inputs!$B$6,Clean_Data!$P$2:$P$2203,"&lt;&gt;")&gt;0,SUMIFS(Clean_Data!$P$2:$P$2203,Clean_Data!$AB$2:$AB$2203,$A138&amp;"|"&amp;Inputs!$B$6),"")</f>
        <v>48.8</v>
      </c>
      <c r="M138" s="52" t="str">
        <f aca="false">IF(ISNUMBER(C138),IF(C138&gt;=Inputs!$B$7,"Yes","No"),"No")</f>
        <v>No</v>
      </c>
      <c r="N138" s="57" t="n">
        <f aca="false">IF(M138="Yes",F138+ROW()/10^9,-1)</f>
        <v>-1</v>
      </c>
      <c r="O138" s="57" t="n">
        <f aca="false">IF(AND(M138="Yes",ISNUMBER(J138)),J138+ROW()/10^9,-1000)</f>
        <v>-1000</v>
      </c>
      <c r="P138" s="57" t="n">
        <f aca="false">IF(M138="Yes",K138+ROW()/10^9,-1)</f>
        <v>-1</v>
      </c>
    </row>
    <row r="139" customFormat="false" ht="15" hidden="false" customHeight="false" outlineLevel="0" collapsed="false">
      <c r="A139" s="52" t="s">
        <v>313</v>
      </c>
      <c r="B139" s="53" t="n">
        <f aca="false">IF(COUNTIFS(Clean_Data!$AB$2:$AB$2203,$A139&amp;"|"&amp;Inputs!$B$5)&gt;0,SUMIFS(Clean_Data!$F$2:$F$2203,Clean_Data!$AB$2:$AB$2203,$A139&amp;"|"&amp;Inputs!$B$5),"")</f>
        <v>0.03</v>
      </c>
      <c r="C139" s="53" t="n">
        <f aca="false">IF(COUNTIFS(Clean_Data!$AB$2:$AB$2203,$A139&amp;"|"&amp;Inputs!$B$6)&gt;0,SUMIFS(Clean_Data!$F$2:$F$2203,Clean_Data!$AB$2:$AB$2203,$A139&amp;"|"&amp;Inputs!$B$6),"")</f>
        <v>0.05</v>
      </c>
      <c r="D139" s="54" t="n">
        <f aca="false">IF(AND(ISNUMBER(B139),ISNUMBER(C139)),IF(AND(B139&gt;0,Inputs!$B$6&gt;Inputs!$B$5),(C139/B139)^(1/(Inputs!$B$6-Inputs!$B$5))-1,""),"")</f>
        <v>0.0584000728412675</v>
      </c>
      <c r="E139" s="54" t="n">
        <f aca="false">IF(ISNUMBER(B139),SUMIFS(Clean_Data!$V$2:$V$2203,Clean_Data!$AB$2:$AB$2203,$A139&amp;"|"&amp;Inputs!$B$5),"")</f>
        <v>0</v>
      </c>
      <c r="F139" s="54" t="n">
        <f aca="false">IF(ISNUMBER(C139),SUMIFS(Clean_Data!$V$2:$V$2203,Clean_Data!$AB$2:$AB$2203,$A139&amp;"|"&amp;Inputs!$B$6),"")</f>
        <v>0.2</v>
      </c>
      <c r="G139" s="55" t="n">
        <f aca="false">IF(AND(ISNUMBER(E139),ISNUMBER(F139)),(F139-E139)*100,"")</f>
        <v>20</v>
      </c>
      <c r="H139" s="54" t="n">
        <f aca="false">IF(ISNUMBER(B139),SUMIFS(Clean_Data!$X$2:$X$2203,Clean_Data!$AB$2:$AB$2203,$A139&amp;"|"&amp;Inputs!$B$5),"")</f>
        <v>0</v>
      </c>
      <c r="I139" s="54" t="n">
        <f aca="false">IF(ISNUMBER(C139),SUMIFS(Clean_Data!$X$2:$X$2203,Clean_Data!$AB$2:$AB$2203,$A139&amp;"|"&amp;Inputs!$B$6),"")</f>
        <v>0.2</v>
      </c>
      <c r="J139" s="55" t="n">
        <f aca="false">IF(AND(ISNUMBER(H139),ISNUMBER(I139)),(I139-H139)*100,"")</f>
        <v>20</v>
      </c>
      <c r="K139" s="54" t="n">
        <f aca="false">IF(ISNUMBER(C139),SUMIFS(Clean_Data!$Y$2:$Y$2203,Clean_Data!$AB$2:$AB$2203,$A139&amp;"|"&amp;Inputs!$B$6),"")</f>
        <v>0</v>
      </c>
      <c r="L139" s="56" t="n">
        <f aca="false">IF(COUNTIFS(Clean_Data!$AB$2:$AB$2203,$A139&amp;"|"&amp;Inputs!$B$6,Clean_Data!$P$2:$P$2203,"&lt;&gt;")&gt;0,SUMIFS(Clean_Data!$P$2:$P$2203,Clean_Data!$AB$2:$AB$2203,$A139&amp;"|"&amp;Inputs!$B$6),"")</f>
        <v>600</v>
      </c>
      <c r="M139" s="52" t="str">
        <f aca="false">IF(ISNUMBER(C139),IF(C139&gt;=Inputs!$B$7,"Yes","No"),"No")</f>
        <v>No</v>
      </c>
      <c r="N139" s="57" t="n">
        <f aca="false">IF(M139="Yes",F139+ROW()/10^9,-1)</f>
        <v>-1</v>
      </c>
      <c r="O139" s="57" t="n">
        <f aca="false">IF(AND(M139="Yes",ISNUMBER(J139)),J139+ROW()/10^9,-1000)</f>
        <v>-1000</v>
      </c>
      <c r="P139" s="57" t="n">
        <f aca="false">IF(M139="Yes",K139+ROW()/10^9,-1)</f>
        <v>-1</v>
      </c>
    </row>
    <row r="140" customFormat="false" ht="15" hidden="false" customHeight="false" outlineLevel="0" collapsed="false">
      <c r="A140" s="52" t="s">
        <v>314</v>
      </c>
      <c r="B140" s="53" t="n">
        <f aca="false">IF(COUNTIFS(Clean_Data!$AB$2:$AB$2203,$A140&amp;"|"&amp;Inputs!$B$5)&gt;0,SUMIFS(Clean_Data!$F$2:$F$2203,Clean_Data!$AB$2:$AB$2203,$A140&amp;"|"&amp;Inputs!$B$5),"")</f>
        <v>3.46</v>
      </c>
      <c r="C140" s="53" t="n">
        <f aca="false">IF(COUNTIFS(Clean_Data!$AB$2:$AB$2203,$A140&amp;"|"&amp;Inputs!$B$6)&gt;0,SUMIFS(Clean_Data!$F$2:$F$2203,Clean_Data!$AB$2:$AB$2203,$A140&amp;"|"&amp;Inputs!$B$6),"")</f>
        <v>11.13</v>
      </c>
      <c r="D140" s="54" t="n">
        <f aca="false">IF(AND(ISNUMBER(B140),ISNUMBER(C140)),IF(AND(B140&gt;0,Inputs!$B$6&gt;Inputs!$B$5),(C140/B140)^(1/(Inputs!$B$6-Inputs!$B$5))-1,""),"")</f>
        <v>0.138622852994567</v>
      </c>
      <c r="E140" s="54" t="n">
        <f aca="false">IF(ISNUMBER(B140),SUMIFS(Clean_Data!$V$2:$V$2203,Clean_Data!$AB$2:$AB$2203,$A140&amp;"|"&amp;Inputs!$B$5),"")</f>
        <v>1</v>
      </c>
      <c r="F140" s="54" t="n">
        <f aca="false">IF(ISNUMBER(C140),SUMIFS(Clean_Data!$V$2:$V$2203,Clean_Data!$AB$2:$AB$2203,$A140&amp;"|"&amp;Inputs!$B$6),"")</f>
        <v>1</v>
      </c>
      <c r="G140" s="55" t="n">
        <f aca="false">IF(AND(ISNUMBER(E140),ISNUMBER(F140)),(F140-E140)*100,"")</f>
        <v>0</v>
      </c>
      <c r="H140" s="54" t="n">
        <f aca="false">IF(ISNUMBER(B140),SUMIFS(Clean_Data!$X$2:$X$2203,Clean_Data!$AB$2:$AB$2203,$A140&amp;"|"&amp;Inputs!$B$5),"")</f>
        <v>0.00867052023121387</v>
      </c>
      <c r="I140" s="54" t="n">
        <f aca="false">IF(ISNUMBER(C140),SUMIFS(Clean_Data!$X$2:$X$2203,Clean_Data!$AB$2:$AB$2203,$A140&amp;"|"&amp;Inputs!$B$6),"")</f>
        <v>0.0116801437556155</v>
      </c>
      <c r="J140" s="55" t="n">
        <f aca="false">IF(AND(ISNUMBER(H140),ISNUMBER(I140)),(I140-H140)*100,"")</f>
        <v>0.300962352440158</v>
      </c>
      <c r="K140" s="54" t="n">
        <f aca="false">IF(ISNUMBER(C140),SUMIFS(Clean_Data!$Y$2:$Y$2203,Clean_Data!$AB$2:$AB$2203,$A140&amp;"|"&amp;Inputs!$B$6),"")</f>
        <v>0</v>
      </c>
      <c r="L140" s="56" t="n">
        <f aca="false">IF(COUNTIFS(Clean_Data!$AB$2:$AB$2203,$A140&amp;"|"&amp;Inputs!$B$6,Clean_Data!$P$2:$P$2203,"&lt;&gt;")&gt;0,SUMIFS(Clean_Data!$P$2:$P$2203,Clean_Data!$AB$2:$AB$2203,$A140&amp;"|"&amp;Inputs!$B$6),"")</f>
        <v>24.3</v>
      </c>
      <c r="M140" s="52" t="str">
        <f aca="false">IF(ISNUMBER(C140),IF(C140&gt;=Inputs!$B$7,"Yes","No"),"No")</f>
        <v>No</v>
      </c>
      <c r="N140" s="57" t="n">
        <f aca="false">IF(M140="Yes",F140+ROW()/10^9,-1)</f>
        <v>-1</v>
      </c>
      <c r="O140" s="57" t="n">
        <f aca="false">IF(AND(M140="Yes",ISNUMBER(J140)),J140+ROW()/10^9,-1000)</f>
        <v>-1000</v>
      </c>
      <c r="P140" s="57" t="n">
        <f aca="false">IF(M140="Yes",K140+ROW()/10^9,-1)</f>
        <v>-1</v>
      </c>
    </row>
    <row r="141" customFormat="false" ht="15" hidden="false" customHeight="false" outlineLevel="0" collapsed="false">
      <c r="A141" s="52" t="s">
        <v>315</v>
      </c>
      <c r="B141" s="53" t="n">
        <f aca="false">IF(COUNTIFS(Clean_Data!$AB$2:$AB$2203,$A141&amp;"|"&amp;Inputs!$B$5)&gt;0,SUMIFS(Clean_Data!$F$2:$F$2203,Clean_Data!$AB$2:$AB$2203,$A141&amp;"|"&amp;Inputs!$B$5),"")</f>
        <v>108.99</v>
      </c>
      <c r="C141" s="53" t="n">
        <f aca="false">IF(COUNTIFS(Clean_Data!$AB$2:$AB$2203,$A141&amp;"|"&amp;Inputs!$B$6)&gt;0,SUMIFS(Clean_Data!$F$2:$F$2203,Clean_Data!$AB$2:$AB$2203,$A141&amp;"|"&amp;Inputs!$B$6),"")</f>
        <v>122.33</v>
      </c>
      <c r="D141" s="54" t="n">
        <f aca="false">IF(AND(ISNUMBER(B141),ISNUMBER(C141)),IF(AND(B141&gt;0,Inputs!$B$6&gt;Inputs!$B$5),(C141/B141)^(1/(Inputs!$B$6-Inputs!$B$5))-1,""),"")</f>
        <v>0.0129122272131004</v>
      </c>
      <c r="E141" s="54" t="n">
        <f aca="false">IF(ISNUMBER(B141),SUMIFS(Clean_Data!$V$2:$V$2203,Clean_Data!$AB$2:$AB$2203,$A141&amp;"|"&amp;Inputs!$B$5),"")</f>
        <v>0.125607853931553</v>
      </c>
      <c r="F141" s="54" t="n">
        <f aca="false">IF(ISNUMBER(C141),SUMIFS(Clean_Data!$V$2:$V$2203,Clean_Data!$AB$2:$AB$2203,$A141&amp;"|"&amp;Inputs!$B$6),"")</f>
        <v>0.507398021744462</v>
      </c>
      <c r="G141" s="55" t="n">
        <f aca="false">IF(AND(ISNUMBER(E141),ISNUMBER(F141)),(F141-E141)*100,"")</f>
        <v>38.1790167812908</v>
      </c>
      <c r="H141" s="54" t="n">
        <f aca="false">IF(ISNUMBER(B141),SUMIFS(Clean_Data!$X$2:$X$2203,Clean_Data!$AB$2:$AB$2203,$A141&amp;"|"&amp;Inputs!$B$5),"")</f>
        <v>0.0794568309019176</v>
      </c>
      <c r="I141" s="54" t="n">
        <f aca="false">IF(ISNUMBER(C141),SUMIFS(Clean_Data!$X$2:$X$2203,Clean_Data!$AB$2:$AB$2203,$A141&amp;"|"&amp;Inputs!$B$6),"")</f>
        <v>0.452055914330091</v>
      </c>
      <c r="J141" s="55" t="n">
        <f aca="false">IF(AND(ISNUMBER(H141),ISNUMBER(I141)),(I141-H141)*100,"")</f>
        <v>37.2599083428173</v>
      </c>
      <c r="K141" s="54" t="n">
        <f aca="false">IF(ISNUMBER(C141),SUMIFS(Clean_Data!$Y$2:$Y$2203,Clean_Data!$AB$2:$AB$2203,$A141&amp;"|"&amp;Inputs!$B$6),"")</f>
        <v>0.061064334178043</v>
      </c>
      <c r="L141" s="56" t="n">
        <f aca="false">IF(COUNTIFS(Clean_Data!$AB$2:$AB$2203,$A141&amp;"|"&amp;Inputs!$B$6,Clean_Data!$P$2:$P$2203,"&lt;&gt;")&gt;0,SUMIFS(Clean_Data!$P$2:$P$2203,Clean_Data!$AB$2:$AB$2203,$A141&amp;"|"&amp;Inputs!$B$6),"")</f>
        <v>250.7</v>
      </c>
      <c r="M141" s="52" t="str">
        <f aca="false">IF(ISNUMBER(C141),IF(C141&gt;=Inputs!$B$7,"Yes","No"),"No")</f>
        <v>Yes</v>
      </c>
      <c r="N141" s="57" t="n">
        <f aca="false">IF(M141="Yes",F141+ROW()/10^9,-1)</f>
        <v>0.507398162744462</v>
      </c>
      <c r="O141" s="57" t="n">
        <f aca="false">IF(AND(M141="Yes",ISNUMBER(J141)),J141+ROW()/10^9,-1000)</f>
        <v>37.2599084838173</v>
      </c>
      <c r="P141" s="57" t="n">
        <f aca="false">IF(M141="Yes",K141+ROW()/10^9,-1)</f>
        <v>0.061064475178043</v>
      </c>
    </row>
    <row r="142" customFormat="false" ht="15" hidden="false" customHeight="false" outlineLevel="0" collapsed="false">
      <c r="A142" s="52" t="s">
        <v>316</v>
      </c>
      <c r="B142" s="53" t="n">
        <f aca="false">IF(COUNTIFS(Clean_Data!$AB$2:$AB$2203,$A142&amp;"|"&amp;Inputs!$B$5)&gt;0,SUMIFS(Clean_Data!$F$2:$F$2203,Clean_Data!$AB$2:$AB$2203,$A142&amp;"|"&amp;Inputs!$B$5),"")</f>
        <v>2.9</v>
      </c>
      <c r="C142" s="53" t="n">
        <f aca="false">IF(COUNTIFS(Clean_Data!$AB$2:$AB$2203,$A142&amp;"|"&amp;Inputs!$B$6)&gt;0,SUMIFS(Clean_Data!$F$2:$F$2203,Clean_Data!$AB$2:$AB$2203,$A142&amp;"|"&amp;Inputs!$B$6),"")</f>
        <v>3.12</v>
      </c>
      <c r="D142" s="54" t="n">
        <f aca="false">IF(AND(ISNUMBER(B142),ISNUMBER(C142)),IF(AND(B142&gt;0,Inputs!$B$6&gt;Inputs!$B$5),(C142/B142)^(1/(Inputs!$B$6-Inputs!$B$5))-1,""),"")</f>
        <v>0.00815779100338365</v>
      </c>
      <c r="E142" s="54" t="n">
        <f aca="false">IF(ISNUMBER(B142),SUMIFS(Clean_Data!$V$2:$V$2203,Clean_Data!$AB$2:$AB$2203,$A142&amp;"|"&amp;Inputs!$B$5),"")</f>
        <v>0.141379310344828</v>
      </c>
      <c r="F142" s="54" t="n">
        <f aca="false">IF(ISNUMBER(C142),SUMIFS(Clean_Data!$V$2:$V$2203,Clean_Data!$AB$2:$AB$2203,$A142&amp;"|"&amp;Inputs!$B$6),"")</f>
        <v>0.269230769230769</v>
      </c>
      <c r="G142" s="55" t="n">
        <f aca="false">IF(AND(ISNUMBER(E142),ISNUMBER(F142)),(F142-E142)*100,"")</f>
        <v>12.7851458885942</v>
      </c>
      <c r="H142" s="54" t="n">
        <f aca="false">IF(ISNUMBER(B142),SUMIFS(Clean_Data!$X$2:$X$2203,Clean_Data!$AB$2:$AB$2203,$A142&amp;"|"&amp;Inputs!$B$5),"")</f>
        <v>0.0241379310344828</v>
      </c>
      <c r="I142" s="54" t="n">
        <f aca="false">IF(ISNUMBER(C142),SUMIFS(Clean_Data!$X$2:$X$2203,Clean_Data!$AB$2:$AB$2203,$A142&amp;"|"&amp;Inputs!$B$6),"")</f>
        <v>0.0961538461538462</v>
      </c>
      <c r="J142" s="55" t="n">
        <f aca="false">IF(AND(ISNUMBER(H142),ISNUMBER(I142)),(I142-H142)*100,"")</f>
        <v>7.20159151193634</v>
      </c>
      <c r="K142" s="54" t="n">
        <f aca="false">IF(ISNUMBER(C142),SUMIFS(Clean_Data!$Y$2:$Y$2203,Clean_Data!$AB$2:$AB$2203,$A142&amp;"|"&amp;Inputs!$B$6),"")</f>
        <v>0.365384615384615</v>
      </c>
      <c r="L142" s="56" t="n">
        <f aca="false">IF(COUNTIFS(Clean_Data!$AB$2:$AB$2203,$A142&amp;"|"&amp;Inputs!$B$6,Clean_Data!$P$2:$P$2203,"&lt;&gt;")&gt;0,SUMIFS(Clean_Data!$P$2:$P$2203,Clean_Data!$AB$2:$AB$2203,$A142&amp;"|"&amp;Inputs!$B$6),"")</f>
        <v>560.9</v>
      </c>
      <c r="M142" s="52" t="str">
        <f aca="false">IF(ISNUMBER(C142),IF(C142&gt;=Inputs!$B$7,"Yes","No"),"No")</f>
        <v>No</v>
      </c>
      <c r="N142" s="57" t="n">
        <f aca="false">IF(M142="Yes",F142+ROW()/10^9,-1)</f>
        <v>-1</v>
      </c>
      <c r="O142" s="57" t="n">
        <f aca="false">IF(AND(M142="Yes",ISNUMBER(J142)),J142+ROW()/10^9,-1000)</f>
        <v>-1000</v>
      </c>
      <c r="P142" s="57" t="n">
        <f aca="false">IF(M142="Yes",K142+ROW()/10^9,-1)</f>
        <v>-1</v>
      </c>
    </row>
    <row r="143" customFormat="false" ht="15" hidden="false" customHeight="false" outlineLevel="0" collapsed="false">
      <c r="A143" s="52" t="s">
        <v>317</v>
      </c>
      <c r="B143" s="53" t="n">
        <f aca="false">IF(COUNTIFS(Clean_Data!$AB$2:$AB$2203,$A143&amp;"|"&amp;Inputs!$B$5)&gt;0,SUMIFS(Clean_Data!$F$2:$F$2203,Clean_Data!$AB$2:$AB$2203,$A143&amp;"|"&amp;Inputs!$B$5),"")</f>
        <v>43.57</v>
      </c>
      <c r="C143" s="53" t="n">
        <f aca="false">IF(COUNTIFS(Clean_Data!$AB$2:$AB$2203,$A143&amp;"|"&amp;Inputs!$B$6)&gt;0,SUMIFS(Clean_Data!$F$2:$F$2203,Clean_Data!$AB$2:$AB$2203,$A143&amp;"|"&amp;Inputs!$B$6),"")</f>
        <v>44.01</v>
      </c>
      <c r="D143" s="54" t="n">
        <f aca="false">IF(AND(ISNUMBER(B143),ISNUMBER(C143)),IF(AND(B143&gt;0,Inputs!$B$6&gt;Inputs!$B$5),(C143/B143)^(1/(Inputs!$B$6-Inputs!$B$5))-1,""),"")</f>
        <v>0.00111707242710701</v>
      </c>
      <c r="E143" s="54" t="n">
        <f aca="false">IF(ISNUMBER(B143),SUMIFS(Clean_Data!$V$2:$V$2203,Clean_Data!$AB$2:$AB$2203,$A143&amp;"|"&amp;Inputs!$B$5),"")</f>
        <v>0.800780353454212</v>
      </c>
      <c r="F143" s="54" t="n">
        <f aca="false">IF(ISNUMBER(C143),SUMIFS(Clean_Data!$V$2:$V$2203,Clean_Data!$AB$2:$AB$2203,$A143&amp;"|"&amp;Inputs!$B$6),"")</f>
        <v>0.85980458986594</v>
      </c>
      <c r="G143" s="55" t="n">
        <f aca="false">IF(AND(ISNUMBER(E143),ISNUMBER(F143)),(F143-E143)*100,"")</f>
        <v>5.9024236411728</v>
      </c>
      <c r="H143" s="54" t="n">
        <f aca="false">IF(ISNUMBER(B143),SUMIFS(Clean_Data!$X$2:$X$2203,Clean_Data!$AB$2:$AB$2203,$A143&amp;"|"&amp;Inputs!$B$5),"")</f>
        <v>0.0546247417948129</v>
      </c>
      <c r="I143" s="54" t="n">
        <f aca="false">IF(ISNUMBER(C143),SUMIFS(Clean_Data!$X$2:$X$2203,Clean_Data!$AB$2:$AB$2203,$A143&amp;"|"&amp;Inputs!$B$6),"")</f>
        <v>0.106339468302658</v>
      </c>
      <c r="J143" s="55" t="n">
        <f aca="false">IF(AND(ISNUMBER(H143),ISNUMBER(I143)),(I143-H143)*100,"")</f>
        <v>5.17147265078456</v>
      </c>
      <c r="K143" s="54" t="n">
        <f aca="false">IF(ISNUMBER(C143),SUMIFS(Clean_Data!$Y$2:$Y$2203,Clean_Data!$AB$2:$AB$2203,$A143&amp;"|"&amp;Inputs!$B$6),"")</f>
        <v>0.027266530334015</v>
      </c>
      <c r="L143" s="56" t="n">
        <f aca="false">IF(COUNTIFS(Clean_Data!$AB$2:$AB$2203,$A143&amp;"|"&amp;Inputs!$B$6,Clean_Data!$P$2:$P$2203,"&lt;&gt;")&gt;0,SUMIFS(Clean_Data!$P$2:$P$2203,Clean_Data!$AB$2:$AB$2203,$A143&amp;"|"&amp;Inputs!$B$6),"")</f>
        <v>112</v>
      </c>
      <c r="M143" s="52" t="str">
        <f aca="false">IF(ISNUMBER(C143),IF(C143&gt;=Inputs!$B$7,"Yes","No"),"No")</f>
        <v>Yes</v>
      </c>
      <c r="N143" s="57" t="n">
        <f aca="false">IF(M143="Yes",F143+ROW()/10^9,-1)</f>
        <v>0.85980473286594</v>
      </c>
      <c r="O143" s="57" t="n">
        <f aca="false">IF(AND(M143="Yes",ISNUMBER(J143)),J143+ROW()/10^9,-1000)</f>
        <v>5.17147279378456</v>
      </c>
      <c r="P143" s="57" t="n">
        <f aca="false">IF(M143="Yes",K143+ROW()/10^9,-1)</f>
        <v>0.027266673334015</v>
      </c>
    </row>
    <row r="144" customFormat="false" ht="15" hidden="false" customHeight="false" outlineLevel="0" collapsed="false">
      <c r="A144" s="52" t="s">
        <v>318</v>
      </c>
      <c r="B144" s="53" t="n">
        <f aca="false">IF(COUNTIFS(Clean_Data!$AB$2:$AB$2203,$A144&amp;"|"&amp;Inputs!$B$5)&gt;0,SUMIFS(Clean_Data!$F$2:$F$2203,Clean_Data!$AB$2:$AB$2203,$A144&amp;"|"&amp;Inputs!$B$5),"")</f>
        <v>4.59</v>
      </c>
      <c r="C144" s="53" t="n">
        <f aca="false">IF(COUNTIFS(Clean_Data!$AB$2:$AB$2203,$A144&amp;"|"&amp;Inputs!$B$6)&gt;0,SUMIFS(Clean_Data!$F$2:$F$2203,Clean_Data!$AB$2:$AB$2203,$A144&amp;"|"&amp;Inputs!$B$6),"")</f>
        <v>4.52</v>
      </c>
      <c r="D144" s="54" t="n">
        <f aca="false">IF(AND(ISNUMBER(B144),ISNUMBER(C144)),IF(AND(B144&gt;0,Inputs!$B$6&gt;Inputs!$B$5),(C144/B144)^(1/(Inputs!$B$6-Inputs!$B$5))-1,""),"")</f>
        <v>-0.00170610186498477</v>
      </c>
      <c r="E144" s="54" t="n">
        <f aca="false">IF(ISNUMBER(B144),SUMIFS(Clean_Data!$V$2:$V$2203,Clean_Data!$AB$2:$AB$2203,$A144&amp;"|"&amp;Inputs!$B$5),"")</f>
        <v>0.501089324618736</v>
      </c>
      <c r="F144" s="54" t="n">
        <f aca="false">IF(ISNUMBER(C144),SUMIFS(Clean_Data!$V$2:$V$2203,Clean_Data!$AB$2:$AB$2203,$A144&amp;"|"&amp;Inputs!$B$6),"")</f>
        <v>0.623893805309735</v>
      </c>
      <c r="G144" s="55" t="n">
        <f aca="false">IF(AND(ISNUMBER(E144),ISNUMBER(F144)),(F144-E144)*100,"")</f>
        <v>12.2804480690998</v>
      </c>
      <c r="H144" s="54" t="n">
        <f aca="false">IF(ISNUMBER(B144),SUMIFS(Clean_Data!$X$2:$X$2203,Clean_Data!$AB$2:$AB$2203,$A144&amp;"|"&amp;Inputs!$B$5),"")</f>
        <v>0.189542483660131</v>
      </c>
      <c r="I144" s="54" t="n">
        <f aca="false">IF(ISNUMBER(C144),SUMIFS(Clean_Data!$X$2:$X$2203,Clean_Data!$AB$2:$AB$2203,$A144&amp;"|"&amp;Inputs!$B$6),"")</f>
        <v>0.130530973451327</v>
      </c>
      <c r="J144" s="55" t="n">
        <f aca="false">IF(AND(ISNUMBER(H144),ISNUMBER(I144)),(I144-H144)*100,"")</f>
        <v>-5.90115102088032</v>
      </c>
      <c r="K144" s="54" t="n">
        <f aca="false">IF(ISNUMBER(C144),SUMIFS(Clean_Data!$Y$2:$Y$2203,Clean_Data!$AB$2:$AB$2203,$A144&amp;"|"&amp;Inputs!$B$6),"")</f>
        <v>0</v>
      </c>
      <c r="L144" s="56" t="n">
        <f aca="false">IF(COUNTIFS(Clean_Data!$AB$2:$AB$2203,$A144&amp;"|"&amp;Inputs!$B$6,Clean_Data!$P$2:$P$2203,"&lt;&gt;")&gt;0,SUMIFS(Clean_Data!$P$2:$P$2203,Clean_Data!$AB$2:$AB$2203,$A144&amp;"|"&amp;Inputs!$B$6),"")</f>
        <v>300.9</v>
      </c>
      <c r="M144" s="52" t="str">
        <f aca="false">IF(ISNUMBER(C144),IF(C144&gt;=Inputs!$B$7,"Yes","No"),"No")</f>
        <v>No</v>
      </c>
      <c r="N144" s="57" t="n">
        <f aca="false">IF(M144="Yes",F144+ROW()/10^9,-1)</f>
        <v>-1</v>
      </c>
      <c r="O144" s="57" t="n">
        <f aca="false">IF(AND(M144="Yes",ISNUMBER(J144)),J144+ROW()/10^9,-1000)</f>
        <v>-1000</v>
      </c>
      <c r="P144" s="57" t="n">
        <f aca="false">IF(M144="Yes",K144+ROW()/10^9,-1)</f>
        <v>-1</v>
      </c>
    </row>
    <row r="145" customFormat="false" ht="15" hidden="false" customHeight="false" outlineLevel="0" collapsed="false">
      <c r="A145" s="52" t="s">
        <v>319</v>
      </c>
      <c r="B145" s="53" t="n">
        <f aca="false">IF(COUNTIFS(Clean_Data!$AB$2:$AB$2203,$A145&amp;"|"&amp;Inputs!$B$5)&gt;0,SUMIFS(Clean_Data!$F$2:$F$2203,Clean_Data!$AB$2:$AB$2203,$A145&amp;"|"&amp;Inputs!$B$5),"")</f>
        <v>0.54</v>
      </c>
      <c r="C145" s="53" t="n">
        <f aca="false">IF(COUNTIFS(Clean_Data!$AB$2:$AB$2203,$A145&amp;"|"&amp;Inputs!$B$6)&gt;0,SUMIFS(Clean_Data!$F$2:$F$2203,Clean_Data!$AB$2:$AB$2203,$A145&amp;"|"&amp;Inputs!$B$6),"")</f>
        <v>0.95</v>
      </c>
      <c r="D145" s="54" t="n">
        <f aca="false">IF(AND(ISNUMBER(B145),ISNUMBER(C145)),IF(AND(B145&gt;0,Inputs!$B$6&gt;Inputs!$B$5),(C145/B145)^(1/(Inputs!$B$6-Inputs!$B$5))-1,""),"")</f>
        <v>0.0647775154647901</v>
      </c>
      <c r="E145" s="54" t="n">
        <f aca="false">IF(ISNUMBER(B145),SUMIFS(Clean_Data!$V$2:$V$2203,Clean_Data!$AB$2:$AB$2203,$A145&amp;"|"&amp;Inputs!$B$5),"")</f>
        <v>0.0185185185185185</v>
      </c>
      <c r="F145" s="54" t="n">
        <f aca="false">IF(ISNUMBER(C145),SUMIFS(Clean_Data!$V$2:$V$2203,Clean_Data!$AB$2:$AB$2203,$A145&amp;"|"&amp;Inputs!$B$6),"")</f>
        <v>0.0315789473684211</v>
      </c>
      <c r="G145" s="55" t="n">
        <f aca="false">IF(AND(ISNUMBER(E145),ISNUMBER(F145)),(F145-E145)*100,"")</f>
        <v>1.30604288499025</v>
      </c>
      <c r="H145" s="54" t="n">
        <f aca="false">IF(ISNUMBER(B145),SUMIFS(Clean_Data!$X$2:$X$2203,Clean_Data!$AB$2:$AB$2203,$A145&amp;"|"&amp;Inputs!$B$5),"")</f>
        <v>0.0185185185185185</v>
      </c>
      <c r="I145" s="54" t="n">
        <f aca="false">IF(ISNUMBER(C145),SUMIFS(Clean_Data!$X$2:$X$2203,Clean_Data!$AB$2:$AB$2203,$A145&amp;"|"&amp;Inputs!$B$6),"")</f>
        <v>0.0315789473684211</v>
      </c>
      <c r="J145" s="55" t="n">
        <f aca="false">IF(AND(ISNUMBER(H145),ISNUMBER(I145)),(I145-H145)*100,"")</f>
        <v>1.30604288499025</v>
      </c>
      <c r="K145" s="54" t="n">
        <f aca="false">IF(ISNUMBER(C145),SUMIFS(Clean_Data!$Y$2:$Y$2203,Clean_Data!$AB$2:$AB$2203,$A145&amp;"|"&amp;Inputs!$B$6),"")</f>
        <v>0.178947368421053</v>
      </c>
      <c r="L145" s="56" t="n">
        <f aca="false">IF(COUNTIFS(Clean_Data!$AB$2:$AB$2203,$A145&amp;"|"&amp;Inputs!$B$6,Clean_Data!$P$2:$P$2203,"&lt;&gt;")&gt;0,SUMIFS(Clean_Data!$P$2:$P$2203,Clean_Data!$AB$2:$AB$2203,$A145&amp;"|"&amp;Inputs!$B$6),"")</f>
        <v>673.7</v>
      </c>
      <c r="M145" s="52" t="str">
        <f aca="false">IF(ISNUMBER(C145),IF(C145&gt;=Inputs!$B$7,"Yes","No"),"No")</f>
        <v>No</v>
      </c>
      <c r="N145" s="57" t="n">
        <f aca="false">IF(M145="Yes",F145+ROW()/10^9,-1)</f>
        <v>-1</v>
      </c>
      <c r="O145" s="57" t="n">
        <f aca="false">IF(AND(M145="Yes",ISNUMBER(J145)),J145+ROW()/10^9,-1000)</f>
        <v>-1000</v>
      </c>
      <c r="P145" s="57" t="n">
        <f aca="false">IF(M145="Yes",K145+ROW()/10^9,-1)</f>
        <v>-1</v>
      </c>
    </row>
    <row r="146" customFormat="false" ht="15" hidden="false" customHeight="false" outlineLevel="0" collapsed="false">
      <c r="A146" s="52" t="s">
        <v>320</v>
      </c>
      <c r="B146" s="53" t="n">
        <f aca="false">IF(COUNTIFS(Clean_Data!$AB$2:$AB$2203,$A146&amp;"|"&amp;Inputs!$B$5)&gt;0,SUMIFS(Clean_Data!$F$2:$F$2203,Clean_Data!$AB$2:$AB$2203,$A146&amp;"|"&amp;Inputs!$B$5),"")</f>
        <v>33.17</v>
      </c>
      <c r="C146" s="53" t="n">
        <f aca="false">IF(COUNTIFS(Clean_Data!$AB$2:$AB$2203,$A146&amp;"|"&amp;Inputs!$B$6)&gt;0,SUMIFS(Clean_Data!$F$2:$F$2203,Clean_Data!$AB$2:$AB$2203,$A146&amp;"|"&amp;Inputs!$B$6),"")</f>
        <v>37.56</v>
      </c>
      <c r="D146" s="54" t="n">
        <f aca="false">IF(AND(ISNUMBER(B146),ISNUMBER(C146)),IF(AND(B146&gt;0,Inputs!$B$6&gt;Inputs!$B$5),(C146/B146)^(1/(Inputs!$B$6-Inputs!$B$5))-1,""),"")</f>
        <v>0.0139062267838515</v>
      </c>
      <c r="E146" s="54" t="n">
        <f aca="false">IF(ISNUMBER(B146),SUMIFS(Clean_Data!$V$2:$V$2203,Clean_Data!$AB$2:$AB$2203,$A146&amp;"|"&amp;Inputs!$B$5),"")</f>
        <v>0.195055773289117</v>
      </c>
      <c r="F146" s="54" t="n">
        <f aca="false">IF(ISNUMBER(C146),SUMIFS(Clean_Data!$V$2:$V$2203,Clean_Data!$AB$2:$AB$2203,$A146&amp;"|"&amp;Inputs!$B$6),"")</f>
        <v>0.25</v>
      </c>
      <c r="G146" s="55" t="n">
        <f aca="false">IF(AND(ISNUMBER(E146),ISNUMBER(F146)),(F146-E146)*100,"")</f>
        <v>5.49442267108833</v>
      </c>
      <c r="H146" s="54" t="n">
        <f aca="false">IF(ISNUMBER(B146),SUMIFS(Clean_Data!$X$2:$X$2203,Clean_Data!$AB$2:$AB$2203,$A146&amp;"|"&amp;Inputs!$B$5),"")</f>
        <v>0.000904431715405487</v>
      </c>
      <c r="I146" s="54" t="n">
        <f aca="false">IF(ISNUMBER(C146),SUMIFS(Clean_Data!$X$2:$X$2203,Clean_Data!$AB$2:$AB$2203,$A146&amp;"|"&amp;Inputs!$B$6),"")</f>
        <v>0.00346112886048988</v>
      </c>
      <c r="J146" s="55" t="n">
        <f aca="false">IF(AND(ISNUMBER(H146),ISNUMBER(I146)),(I146-H146)*100,"")</f>
        <v>0.25566971450844</v>
      </c>
      <c r="K146" s="54" t="n">
        <f aca="false">IF(ISNUMBER(C146),SUMIFS(Clean_Data!$Y$2:$Y$2203,Clean_Data!$AB$2:$AB$2203,$A146&amp;"|"&amp;Inputs!$B$6),"")</f>
        <v>0</v>
      </c>
      <c r="L146" s="56" t="n">
        <f aca="false">IF(COUNTIFS(Clean_Data!$AB$2:$AB$2203,$A146&amp;"|"&amp;Inputs!$B$6,Clean_Data!$P$2:$P$2203,"&lt;&gt;")&gt;0,SUMIFS(Clean_Data!$P$2:$P$2203,Clean_Data!$AB$2:$AB$2203,$A146&amp;"|"&amp;Inputs!$B$6),"")</f>
        <v>495.7</v>
      </c>
      <c r="M146" s="52" t="str">
        <f aca="false">IF(ISNUMBER(C146),IF(C146&gt;=Inputs!$B$7,"Yes","No"),"No")</f>
        <v>Yes</v>
      </c>
      <c r="N146" s="57" t="n">
        <f aca="false">IF(M146="Yes",F146+ROW()/10^9,-1)</f>
        <v>0.250000146</v>
      </c>
      <c r="O146" s="57" t="n">
        <f aca="false">IF(AND(M146="Yes",ISNUMBER(J146)),J146+ROW()/10^9,-1000)</f>
        <v>0.25566986050844</v>
      </c>
      <c r="P146" s="57" t="n">
        <f aca="false">IF(M146="Yes",K146+ROW()/10^9,-1)</f>
        <v>1.46E-007</v>
      </c>
    </row>
    <row r="147" customFormat="false" ht="15" hidden="false" customHeight="false" outlineLevel="0" collapsed="false">
      <c r="A147" s="52" t="s">
        <v>321</v>
      </c>
      <c r="B147" s="53" t="n">
        <f aca="false">IF(COUNTIFS(Clean_Data!$AB$2:$AB$2203,$A147&amp;"|"&amp;Inputs!$B$5)&gt;0,SUMIFS(Clean_Data!$F$2:$F$2203,Clean_Data!$AB$2:$AB$2203,$A147&amp;"|"&amp;Inputs!$B$5),"")</f>
        <v>18.93</v>
      </c>
      <c r="C147" s="53" t="n">
        <f aca="false">IF(COUNTIFS(Clean_Data!$AB$2:$AB$2203,$A147&amp;"|"&amp;Inputs!$B$6)&gt;0,SUMIFS(Clean_Data!$F$2:$F$2203,Clean_Data!$AB$2:$AB$2203,$A147&amp;"|"&amp;Inputs!$B$6),"")</f>
        <v>27.1</v>
      </c>
      <c r="D147" s="54" t="n">
        <f aca="false">IF(AND(ISNUMBER(B147),ISNUMBER(C147)),IF(AND(B147&gt;0,Inputs!$B$6&gt;Inputs!$B$5),(C147/B147)^(1/(Inputs!$B$6-Inputs!$B$5))-1,""),"")</f>
        <v>0.0406703624087479</v>
      </c>
      <c r="E147" s="54" t="n">
        <f aca="false">IF(ISNUMBER(B147),SUMIFS(Clean_Data!$V$2:$V$2203,Clean_Data!$AB$2:$AB$2203,$A147&amp;"|"&amp;Inputs!$B$5),"")</f>
        <v>0.524564183835182</v>
      </c>
      <c r="F147" s="54" t="n">
        <f aca="false">IF(ISNUMBER(C147),SUMIFS(Clean_Data!$V$2:$V$2203,Clean_Data!$AB$2:$AB$2203,$A147&amp;"|"&amp;Inputs!$B$6),"")</f>
        <v>0.633579335793358</v>
      </c>
      <c r="G147" s="55" t="n">
        <f aca="false">IF(AND(ISNUMBER(E147),ISNUMBER(F147)),(F147-E147)*100,"")</f>
        <v>10.9015151958176</v>
      </c>
      <c r="H147" s="54" t="n">
        <f aca="false">IF(ISNUMBER(B147),SUMIFS(Clean_Data!$X$2:$X$2203,Clean_Data!$AB$2:$AB$2203,$A147&amp;"|"&amp;Inputs!$B$5),"")</f>
        <v>0.00158478605388273</v>
      </c>
      <c r="I147" s="54" t="n">
        <f aca="false">IF(ISNUMBER(C147),SUMIFS(Clean_Data!$X$2:$X$2203,Clean_Data!$AB$2:$AB$2203,$A147&amp;"|"&amp;Inputs!$B$6),"")</f>
        <v>0.00627306273062731</v>
      </c>
      <c r="J147" s="55" t="n">
        <f aca="false">IF(AND(ISNUMBER(H147),ISNUMBER(I147)),(I147-H147)*100,"")</f>
        <v>0.468827667674458</v>
      </c>
      <c r="K147" s="54" t="n">
        <f aca="false">IF(ISNUMBER(C147),SUMIFS(Clean_Data!$Y$2:$Y$2203,Clean_Data!$AB$2:$AB$2203,$A147&amp;"|"&amp;Inputs!$B$6),"")</f>
        <v>0.340590405904059</v>
      </c>
      <c r="L147" s="56" t="n">
        <f aca="false">IF(COUNTIFS(Clean_Data!$AB$2:$AB$2203,$A147&amp;"|"&amp;Inputs!$B$6,Clean_Data!$P$2:$P$2203,"&lt;&gt;")&gt;0,SUMIFS(Clean_Data!$P$2:$P$2203,Clean_Data!$AB$2:$AB$2203,$A147&amp;"|"&amp;Inputs!$B$6),"")</f>
        <v>340.6</v>
      </c>
      <c r="M147" s="52" t="str">
        <f aca="false">IF(ISNUMBER(C147),IF(C147&gt;=Inputs!$B$7,"Yes","No"),"No")</f>
        <v>Yes</v>
      </c>
      <c r="N147" s="57" t="n">
        <f aca="false">IF(M147="Yes",F147+ROW()/10^9,-1)</f>
        <v>0.633579482793358</v>
      </c>
      <c r="O147" s="57" t="n">
        <f aca="false">IF(AND(M147="Yes",ISNUMBER(J147)),J147+ROW()/10^9,-1000)</f>
        <v>0.468827814674458</v>
      </c>
      <c r="P147" s="57" t="n">
        <f aca="false">IF(M147="Yes",K147+ROW()/10^9,-1)</f>
        <v>0.340590552904059</v>
      </c>
    </row>
    <row r="148" customFormat="false" ht="15" hidden="false" customHeight="false" outlineLevel="0" collapsed="false">
      <c r="A148" s="52" t="s">
        <v>322</v>
      </c>
      <c r="B148" s="53" t="n">
        <f aca="false">IF(COUNTIFS(Clean_Data!$AB$2:$AB$2203,$A148&amp;"|"&amp;Inputs!$B$5)&gt;0,SUMIFS(Clean_Data!$F$2:$F$2203,Clean_Data!$AB$2:$AB$2203,$A148&amp;"|"&amp;Inputs!$B$5),"")</f>
        <v>5.65</v>
      </c>
      <c r="C148" s="53" t="n">
        <f aca="false">IF(COUNTIFS(Clean_Data!$AB$2:$AB$2203,$A148&amp;"|"&amp;Inputs!$B$6)&gt;0,SUMIFS(Clean_Data!$F$2:$F$2203,Clean_Data!$AB$2:$AB$2203,$A148&amp;"|"&amp;Inputs!$B$6),"")</f>
        <v>6.31</v>
      </c>
      <c r="D148" s="54" t="n">
        <f aca="false">IF(AND(ISNUMBER(B148),ISNUMBER(C148)),IF(AND(B148&gt;0,Inputs!$B$6&gt;Inputs!$B$5),(C148/B148)^(1/(Inputs!$B$6-Inputs!$B$5))-1,""),"")</f>
        <v>0.0123512242149297</v>
      </c>
      <c r="E148" s="54" t="n">
        <f aca="false">IF(ISNUMBER(B148),SUMIFS(Clean_Data!$V$2:$V$2203,Clean_Data!$AB$2:$AB$2203,$A148&amp;"|"&amp;Inputs!$B$5),"")</f>
        <v>0.35929203539823</v>
      </c>
      <c r="F148" s="54" t="n">
        <f aca="false">IF(ISNUMBER(C148),SUMIFS(Clean_Data!$V$2:$V$2203,Clean_Data!$AB$2:$AB$2203,$A148&amp;"|"&amp;Inputs!$B$6),"")</f>
        <v>0.394611727416799</v>
      </c>
      <c r="G148" s="55" t="n">
        <f aca="false">IF(AND(ISNUMBER(E148),ISNUMBER(F148)),(F148-E148)*100,"")</f>
        <v>3.53196920185687</v>
      </c>
      <c r="H148" s="54" t="n">
        <f aca="false">IF(ISNUMBER(B148),SUMIFS(Clean_Data!$X$2:$X$2203,Clean_Data!$AB$2:$AB$2203,$A148&amp;"|"&amp;Inputs!$B$5),"")</f>
        <v>0.0247787610619469</v>
      </c>
      <c r="I148" s="54" t="n">
        <f aca="false">IF(ISNUMBER(C148),SUMIFS(Clean_Data!$X$2:$X$2203,Clean_Data!$AB$2:$AB$2203,$A148&amp;"|"&amp;Inputs!$B$6),"")</f>
        <v>0.167987321711569</v>
      </c>
      <c r="J148" s="55" t="n">
        <f aca="false">IF(AND(ISNUMBER(H148),ISNUMBER(I148)),(I148-H148)*100,"")</f>
        <v>14.3208560649622</v>
      </c>
      <c r="K148" s="54" t="n">
        <f aca="false">IF(ISNUMBER(C148),SUMIFS(Clean_Data!$Y$2:$Y$2203,Clean_Data!$AB$2:$AB$2203,$A148&amp;"|"&amp;Inputs!$B$6),"")</f>
        <v>0.374009508716323</v>
      </c>
      <c r="L148" s="56" t="n">
        <f aca="false">IF(COUNTIFS(Clean_Data!$AB$2:$AB$2203,$A148&amp;"|"&amp;Inputs!$B$6,Clean_Data!$P$2:$P$2203,"&lt;&gt;")&gt;0,SUMIFS(Clean_Data!$P$2:$P$2203,Clean_Data!$AB$2:$AB$2203,$A148&amp;"|"&amp;Inputs!$B$6),"")</f>
        <v>510.3</v>
      </c>
      <c r="M148" s="52" t="str">
        <f aca="false">IF(ISNUMBER(C148),IF(C148&gt;=Inputs!$B$7,"Yes","No"),"No")</f>
        <v>No</v>
      </c>
      <c r="N148" s="57" t="n">
        <f aca="false">IF(M148="Yes",F148+ROW()/10^9,-1)</f>
        <v>-1</v>
      </c>
      <c r="O148" s="57" t="n">
        <f aca="false">IF(AND(M148="Yes",ISNUMBER(J148)),J148+ROW()/10^9,-1000)</f>
        <v>-1000</v>
      </c>
      <c r="P148" s="57" t="n">
        <f aca="false">IF(M148="Yes",K148+ROW()/10^9,-1)</f>
        <v>-1</v>
      </c>
    </row>
    <row r="149" customFormat="false" ht="15" hidden="false" customHeight="false" outlineLevel="0" collapsed="false">
      <c r="A149" s="52" t="s">
        <v>323</v>
      </c>
      <c r="B149" s="53" t="n">
        <f aca="false">IF(COUNTIFS(Clean_Data!$AB$2:$AB$2203,$A149&amp;"|"&amp;Inputs!$B$5)&gt;0,SUMIFS(Clean_Data!$F$2:$F$2203,Clean_Data!$AB$2:$AB$2203,$A149&amp;"|"&amp;Inputs!$B$5),"")</f>
        <v>143</v>
      </c>
      <c r="C149" s="53" t="n">
        <f aca="false">IF(COUNTIFS(Clean_Data!$AB$2:$AB$2203,$A149&amp;"|"&amp;Inputs!$B$6)&gt;0,SUMIFS(Clean_Data!$F$2:$F$2203,Clean_Data!$AB$2:$AB$2203,$A149&amp;"|"&amp;Inputs!$B$6),"")</f>
        <v>157.11</v>
      </c>
      <c r="D149" s="54" t="n">
        <f aca="false">IF(AND(ISNUMBER(B149),ISNUMBER(C149)),IF(AND(B149&gt;0,Inputs!$B$6&gt;Inputs!$B$5),(C149/B149)^(1/(Inputs!$B$6-Inputs!$B$5))-1,""),"")</f>
        <v>0.0105105817807585</v>
      </c>
      <c r="E149" s="54" t="n">
        <f aca="false">IF(ISNUMBER(B149),SUMIFS(Clean_Data!$V$2:$V$2203,Clean_Data!$AB$2:$AB$2203,$A149&amp;"|"&amp;Inputs!$B$5),"")</f>
        <v>0.97951048951049</v>
      </c>
      <c r="F149" s="54" t="n">
        <f aca="false">IF(ISNUMBER(C149),SUMIFS(Clean_Data!$V$2:$V$2203,Clean_Data!$AB$2:$AB$2203,$A149&amp;"|"&amp;Inputs!$B$6),"")</f>
        <v>0.986060721787283</v>
      </c>
      <c r="G149" s="55" t="n">
        <f aca="false">IF(AND(ISNUMBER(E149),ISNUMBER(F149)),(F149-E149)*100,"")</f>
        <v>0.655023227679308</v>
      </c>
      <c r="H149" s="54" t="n">
        <f aca="false">IF(ISNUMBER(B149),SUMIFS(Clean_Data!$X$2:$X$2203,Clean_Data!$AB$2:$AB$2203,$A149&amp;"|"&amp;Inputs!$B$5),"")</f>
        <v>0.0176223776223776</v>
      </c>
      <c r="I149" s="54" t="n">
        <f aca="false">IF(ISNUMBER(C149),SUMIFS(Clean_Data!$X$2:$X$2203,Clean_Data!$AB$2:$AB$2203,$A149&amp;"|"&amp;Inputs!$B$6),"")</f>
        <v>0.0963019540449367</v>
      </c>
      <c r="J149" s="55" t="n">
        <f aca="false">IF(AND(ISNUMBER(H149),ISNUMBER(I149)),(I149-H149)*100,"")</f>
        <v>7.8679576422559</v>
      </c>
      <c r="K149" s="54" t="n">
        <f aca="false">IF(ISNUMBER(C149),SUMIFS(Clean_Data!$Y$2:$Y$2203,Clean_Data!$AB$2:$AB$2203,$A149&amp;"|"&amp;Inputs!$B$6),"")</f>
        <v>0</v>
      </c>
      <c r="L149" s="56" t="n">
        <f aca="false">IF(COUNTIFS(Clean_Data!$AB$2:$AB$2203,$A149&amp;"|"&amp;Inputs!$B$6,Clean_Data!$P$2:$P$2203,"&lt;&gt;")&gt;0,SUMIFS(Clean_Data!$P$2:$P$2203,Clean_Data!$AB$2:$AB$2203,$A149&amp;"|"&amp;Inputs!$B$6),"")</f>
        <v>29.7</v>
      </c>
      <c r="M149" s="52" t="str">
        <f aca="false">IF(ISNUMBER(C149),IF(C149&gt;=Inputs!$B$7,"Yes","No"),"No")</f>
        <v>Yes</v>
      </c>
      <c r="N149" s="57" t="n">
        <f aca="false">IF(M149="Yes",F149+ROW()/10^9,-1)</f>
        <v>0.986060870787283</v>
      </c>
      <c r="O149" s="57" t="n">
        <f aca="false">IF(AND(M149="Yes",ISNUMBER(J149)),J149+ROW()/10^9,-1000)</f>
        <v>7.8679577912559</v>
      </c>
      <c r="P149" s="57" t="n">
        <f aca="false">IF(M149="Yes",K149+ROW()/10^9,-1)</f>
        <v>1.49E-007</v>
      </c>
    </row>
    <row r="150" customFormat="false" ht="15" hidden="false" customHeight="false" outlineLevel="0" collapsed="false">
      <c r="A150" s="52" t="s">
        <v>324</v>
      </c>
      <c r="B150" s="53" t="n">
        <f aca="false">IF(COUNTIFS(Clean_Data!$AB$2:$AB$2203,$A150&amp;"|"&amp;Inputs!$B$5)&gt;0,SUMIFS(Clean_Data!$F$2:$F$2203,Clean_Data!$AB$2:$AB$2203,$A150&amp;"|"&amp;Inputs!$B$5),"")</f>
        <v>32.75</v>
      </c>
      <c r="C150" s="53" t="n">
        <f aca="false">IF(COUNTIFS(Clean_Data!$AB$2:$AB$2203,$A150&amp;"|"&amp;Inputs!$B$6)&gt;0,SUMIFS(Clean_Data!$F$2:$F$2203,Clean_Data!$AB$2:$AB$2203,$A150&amp;"|"&amp;Inputs!$B$6),"")</f>
        <v>49.1</v>
      </c>
      <c r="D150" s="54" t="n">
        <f aca="false">IF(AND(ISNUMBER(B150),ISNUMBER(C150)),IF(AND(B150&gt;0,Inputs!$B$6&gt;Inputs!$B$5),(C150/B150)^(1/(Inputs!$B$6-Inputs!$B$5))-1,""),"")</f>
        <v>0.0460227544590084</v>
      </c>
      <c r="E150" s="54" t="n">
        <f aca="false">IF(ISNUMBER(B150),SUMIFS(Clean_Data!$V$2:$V$2203,Clean_Data!$AB$2:$AB$2203,$A150&amp;"|"&amp;Inputs!$B$5),"")</f>
        <v>0</v>
      </c>
      <c r="F150" s="54" t="n">
        <f aca="false">IF(ISNUMBER(C150),SUMIFS(Clean_Data!$V$2:$V$2203,Clean_Data!$AB$2:$AB$2203,$A150&amp;"|"&amp;Inputs!$B$6),"")</f>
        <v>0.0488798370672098</v>
      </c>
      <c r="G150" s="55" t="n">
        <f aca="false">IF(AND(ISNUMBER(E150),ISNUMBER(F150)),(F150-E150)*100,"")</f>
        <v>4.88798370672098</v>
      </c>
      <c r="H150" s="54" t="n">
        <f aca="false">IF(ISNUMBER(B150),SUMIFS(Clean_Data!$X$2:$X$2203,Clean_Data!$AB$2:$AB$2203,$A150&amp;"|"&amp;Inputs!$B$5),"")</f>
        <v>0</v>
      </c>
      <c r="I150" s="54" t="n">
        <f aca="false">IF(ISNUMBER(C150),SUMIFS(Clean_Data!$X$2:$X$2203,Clean_Data!$AB$2:$AB$2203,$A150&amp;"|"&amp;Inputs!$B$6),"")</f>
        <v>0.0488798370672098</v>
      </c>
      <c r="J150" s="55" t="n">
        <f aca="false">IF(AND(ISNUMBER(H150),ISNUMBER(I150)),(I150-H150)*100,"")</f>
        <v>4.88798370672098</v>
      </c>
      <c r="K150" s="54" t="n">
        <f aca="false">IF(ISNUMBER(C150),SUMIFS(Clean_Data!$Y$2:$Y$2203,Clean_Data!$AB$2:$AB$2203,$A150&amp;"|"&amp;Inputs!$B$6),"")</f>
        <v>0</v>
      </c>
      <c r="L150" s="56" t="n">
        <f aca="false">IF(COUNTIFS(Clean_Data!$AB$2:$AB$2203,$A150&amp;"|"&amp;Inputs!$B$6,Clean_Data!$P$2:$P$2203,"&lt;&gt;")&gt;0,SUMIFS(Clean_Data!$P$2:$P$2203,Clean_Data!$AB$2:$AB$2203,$A150&amp;"|"&amp;Inputs!$B$6),"")</f>
        <v>542.8</v>
      </c>
      <c r="M150" s="52" t="str">
        <f aca="false">IF(ISNUMBER(C150),IF(C150&gt;=Inputs!$B$7,"Yes","No"),"No")</f>
        <v>Yes</v>
      </c>
      <c r="N150" s="57" t="n">
        <f aca="false">IF(M150="Yes",F150+ROW()/10^9,-1)</f>
        <v>0.0488799870672098</v>
      </c>
      <c r="O150" s="57" t="n">
        <f aca="false">IF(AND(M150="Yes",ISNUMBER(J150)),J150+ROW()/10^9,-1000)</f>
        <v>4.88798385672098</v>
      </c>
      <c r="P150" s="57" t="n">
        <f aca="false">IF(M150="Yes",K150+ROW()/10^9,-1)</f>
        <v>1.5E-007</v>
      </c>
    </row>
    <row r="151" customFormat="false" ht="15" hidden="false" customHeight="false" outlineLevel="0" collapsed="false">
      <c r="A151" s="52" t="s">
        <v>325</v>
      </c>
      <c r="B151" s="53" t="n">
        <f aca="false">IF(COUNTIFS(Clean_Data!$AB$2:$AB$2203,$A151&amp;"|"&amp;Inputs!$B$5)&gt;0,SUMIFS(Clean_Data!$F$2:$F$2203,Clean_Data!$AB$2:$AB$2203,$A151&amp;"|"&amp;Inputs!$B$5),"")</f>
        <v>112.79</v>
      </c>
      <c r="C151" s="53" t="n">
        <f aca="false">IF(COUNTIFS(Clean_Data!$AB$2:$AB$2203,$A151&amp;"|"&amp;Inputs!$B$6)&gt;0,SUMIFS(Clean_Data!$F$2:$F$2203,Clean_Data!$AB$2:$AB$2203,$A151&amp;"|"&amp;Inputs!$B$6),"")</f>
        <v>174.96</v>
      </c>
      <c r="D151" s="54" t="n">
        <f aca="false">IF(AND(ISNUMBER(B151),ISNUMBER(C151)),IF(AND(B151&gt;0,Inputs!$B$6&gt;Inputs!$B$5),(C151/B151)^(1/(Inputs!$B$6-Inputs!$B$5))-1,""),"")</f>
        <v>0.0499904585990618</v>
      </c>
      <c r="E151" s="54" t="n">
        <f aca="false">IF(ISNUMBER(B151),SUMIFS(Clean_Data!$V$2:$V$2203,Clean_Data!$AB$2:$AB$2203,$A151&amp;"|"&amp;Inputs!$B$5),"")</f>
        <v>0.336465998758755</v>
      </c>
      <c r="F151" s="54" t="n">
        <f aca="false">IF(ISNUMBER(C151),SUMIFS(Clean_Data!$V$2:$V$2203,Clean_Data!$AB$2:$AB$2203,$A151&amp;"|"&amp;Inputs!$B$6),"")</f>
        <v>0.371970736168267</v>
      </c>
      <c r="G151" s="55" t="n">
        <f aca="false">IF(AND(ISNUMBER(E151),ISNUMBER(F151)),(F151-E151)*100,"")</f>
        <v>3.55047374095118</v>
      </c>
      <c r="H151" s="54" t="n">
        <f aca="false">IF(ISNUMBER(B151),SUMIFS(Clean_Data!$X$2:$X$2203,Clean_Data!$AB$2:$AB$2203,$A151&amp;"|"&amp;Inputs!$B$5),"")</f>
        <v>0.0103732600407838</v>
      </c>
      <c r="I151" s="54" t="n">
        <f aca="false">IF(ISNUMBER(C151),SUMIFS(Clean_Data!$X$2:$X$2203,Clean_Data!$AB$2:$AB$2203,$A151&amp;"|"&amp;Inputs!$B$6),"")</f>
        <v>0.142832647462277</v>
      </c>
      <c r="J151" s="55" t="n">
        <f aca="false">IF(AND(ISNUMBER(H151),ISNUMBER(I151)),(I151-H151)*100,"")</f>
        <v>13.2459387421493</v>
      </c>
      <c r="K151" s="54" t="n">
        <f aca="false">IF(ISNUMBER(C151),SUMIFS(Clean_Data!$Y$2:$Y$2203,Clean_Data!$AB$2:$AB$2203,$A151&amp;"|"&amp;Inputs!$B$6),"")</f>
        <v>0.13923182441701</v>
      </c>
      <c r="L151" s="56" t="n">
        <f aca="false">IF(COUNTIFS(Clean_Data!$AB$2:$AB$2203,$A151&amp;"|"&amp;Inputs!$B$6,Clean_Data!$P$2:$P$2203,"&lt;&gt;")&gt;0,SUMIFS(Clean_Data!$P$2:$P$2203,Clean_Data!$AB$2:$AB$2203,$A151&amp;"|"&amp;Inputs!$B$6),"")</f>
        <v>373.7</v>
      </c>
      <c r="M151" s="52" t="str">
        <f aca="false">IF(ISNUMBER(C151),IF(C151&gt;=Inputs!$B$7,"Yes","No"),"No")</f>
        <v>Yes</v>
      </c>
      <c r="N151" s="57" t="n">
        <f aca="false">IF(M151="Yes",F151+ROW()/10^9,-1)</f>
        <v>0.371970887168267</v>
      </c>
      <c r="O151" s="57" t="n">
        <f aca="false">IF(AND(M151="Yes",ISNUMBER(J151)),J151+ROW()/10^9,-1000)</f>
        <v>13.2459388931493</v>
      </c>
      <c r="P151" s="57" t="n">
        <f aca="false">IF(M151="Yes",K151+ROW()/10^9,-1)</f>
        <v>0.13923197541701</v>
      </c>
    </row>
    <row r="152" customFormat="false" ht="15" hidden="false" customHeight="false" outlineLevel="0" collapsed="false">
      <c r="A152" s="52" t="s">
        <v>326</v>
      </c>
      <c r="B152" s="53" t="n">
        <f aca="false">IF(COUNTIFS(Clean_Data!$AB$2:$AB$2203,$A152&amp;"|"&amp;Inputs!$B$5)&gt;0,SUMIFS(Clean_Data!$F$2:$F$2203,Clean_Data!$AB$2:$AB$2203,$A152&amp;"|"&amp;Inputs!$B$5),"")</f>
        <v>0.52</v>
      </c>
      <c r="C152" s="53" t="n">
        <f aca="false">IF(COUNTIFS(Clean_Data!$AB$2:$AB$2203,$A152&amp;"|"&amp;Inputs!$B$6)&gt;0,SUMIFS(Clean_Data!$F$2:$F$2203,Clean_Data!$AB$2:$AB$2203,$A152&amp;"|"&amp;Inputs!$B$6),"")</f>
        <v>0.99</v>
      </c>
      <c r="D152" s="54" t="n">
        <f aca="false">IF(AND(ISNUMBER(B152),ISNUMBER(C152)),IF(AND(B152&gt;0,Inputs!$B$6&gt;Inputs!$B$5),(C152/B152)^(1/(Inputs!$B$6-Inputs!$B$5))-1,""),"")</f>
        <v>0.0741630416091681</v>
      </c>
      <c r="E152" s="54" t="n">
        <f aca="false">IF(ISNUMBER(B152),SUMIFS(Clean_Data!$V$2:$V$2203,Clean_Data!$AB$2:$AB$2203,$A152&amp;"|"&amp;Inputs!$B$5),"")</f>
        <v>0.0192307692307692</v>
      </c>
      <c r="F152" s="54" t="n">
        <f aca="false">IF(ISNUMBER(C152),SUMIFS(Clean_Data!$V$2:$V$2203,Clean_Data!$AB$2:$AB$2203,$A152&amp;"|"&amp;Inputs!$B$6),"")</f>
        <v>0.393939393939394</v>
      </c>
      <c r="G152" s="55" t="n">
        <f aca="false">IF(AND(ISNUMBER(E152),ISNUMBER(F152)),(F152-E152)*100,"")</f>
        <v>37.4708624708625</v>
      </c>
      <c r="H152" s="54" t="n">
        <f aca="false">IF(ISNUMBER(B152),SUMIFS(Clean_Data!$X$2:$X$2203,Clean_Data!$AB$2:$AB$2203,$A152&amp;"|"&amp;Inputs!$B$5),"")</f>
        <v>0.0192307692307692</v>
      </c>
      <c r="I152" s="54" t="n">
        <f aca="false">IF(ISNUMBER(C152),SUMIFS(Clean_Data!$X$2:$X$2203,Clean_Data!$AB$2:$AB$2203,$A152&amp;"|"&amp;Inputs!$B$6),"")</f>
        <v>0.393939393939394</v>
      </c>
      <c r="J152" s="55" t="n">
        <f aca="false">IF(AND(ISNUMBER(H152),ISNUMBER(I152)),(I152-H152)*100,"")</f>
        <v>37.4708624708625</v>
      </c>
      <c r="K152" s="54" t="n">
        <f aca="false">IF(ISNUMBER(C152),SUMIFS(Clean_Data!$Y$2:$Y$2203,Clean_Data!$AB$2:$AB$2203,$A152&amp;"|"&amp;Inputs!$B$6),"")</f>
        <v>0</v>
      </c>
      <c r="L152" s="56" t="n">
        <f aca="false">IF(COUNTIFS(Clean_Data!$AB$2:$AB$2203,$A152&amp;"|"&amp;Inputs!$B$6,Clean_Data!$P$2:$P$2203,"&lt;&gt;")&gt;0,SUMIFS(Clean_Data!$P$2:$P$2203,Clean_Data!$AB$2:$AB$2203,$A152&amp;"|"&amp;Inputs!$B$6),"")</f>
        <v>414.1</v>
      </c>
      <c r="M152" s="52" t="str">
        <f aca="false">IF(ISNUMBER(C152),IF(C152&gt;=Inputs!$B$7,"Yes","No"),"No")</f>
        <v>No</v>
      </c>
      <c r="N152" s="57" t="n">
        <f aca="false">IF(M152="Yes",F152+ROW()/10^9,-1)</f>
        <v>-1</v>
      </c>
      <c r="O152" s="57" t="n">
        <f aca="false">IF(AND(M152="Yes",ISNUMBER(J152)),J152+ROW()/10^9,-1000)</f>
        <v>-1000</v>
      </c>
      <c r="P152" s="57" t="n">
        <f aca="false">IF(M152="Yes",K152+ROW()/10^9,-1)</f>
        <v>-1</v>
      </c>
    </row>
    <row r="153" customFormat="false" ht="15" hidden="false" customHeight="false" outlineLevel="0" collapsed="false">
      <c r="A153" s="52" t="s">
        <v>327</v>
      </c>
      <c r="B153" s="53" t="n">
        <f aca="false">IF(COUNTIFS(Clean_Data!$AB$2:$AB$2203,$A153&amp;"|"&amp;Inputs!$B$5)&gt;0,SUMIFS(Clean_Data!$F$2:$F$2203,Clean_Data!$AB$2:$AB$2203,$A153&amp;"|"&amp;Inputs!$B$5),"")</f>
        <v>10.3</v>
      </c>
      <c r="C153" s="53" t="n">
        <f aca="false">IF(COUNTIFS(Clean_Data!$AB$2:$AB$2203,$A153&amp;"|"&amp;Inputs!$B$6)&gt;0,SUMIFS(Clean_Data!$F$2:$F$2203,Clean_Data!$AB$2:$AB$2203,$A153&amp;"|"&amp;Inputs!$B$6),"")</f>
        <v>13.43</v>
      </c>
      <c r="D153" s="54" t="n">
        <f aca="false">IF(AND(ISNUMBER(B153),ISNUMBER(C153)),IF(AND(B153&gt;0,Inputs!$B$6&gt;Inputs!$B$5),(C153/B153)^(1/(Inputs!$B$6-Inputs!$B$5))-1,""),"")</f>
        <v>0.0299219398447077</v>
      </c>
      <c r="E153" s="54" t="n">
        <f aca="false">IF(ISNUMBER(B153),SUMIFS(Clean_Data!$V$2:$V$2203,Clean_Data!$AB$2:$AB$2203,$A153&amp;"|"&amp;Inputs!$B$5),"")</f>
        <v>0.653398058252427</v>
      </c>
      <c r="F153" s="54" t="n">
        <f aca="false">IF(ISNUMBER(C153),SUMIFS(Clean_Data!$V$2:$V$2203,Clean_Data!$AB$2:$AB$2203,$A153&amp;"|"&amp;Inputs!$B$6),"")</f>
        <v>0.67982129560685</v>
      </c>
      <c r="G153" s="55" t="n">
        <f aca="false">IF(AND(ISNUMBER(E153),ISNUMBER(F153)),(F153-E153)*100,"")</f>
        <v>2.64232373544231</v>
      </c>
      <c r="H153" s="54" t="n">
        <f aca="false">IF(ISNUMBER(B153),SUMIFS(Clean_Data!$X$2:$X$2203,Clean_Data!$AB$2:$AB$2203,$A153&amp;"|"&amp;Inputs!$B$5),"")</f>
        <v>0.0427184466019418</v>
      </c>
      <c r="I153" s="54" t="n">
        <f aca="false">IF(ISNUMBER(C153),SUMIFS(Clean_Data!$X$2:$X$2203,Clean_Data!$AB$2:$AB$2203,$A153&amp;"|"&amp;Inputs!$B$6),"")</f>
        <v>0.145197319434103</v>
      </c>
      <c r="J153" s="55" t="n">
        <f aca="false">IF(AND(ISNUMBER(H153),ISNUMBER(I153)),(I153-H153)*100,"")</f>
        <v>10.2478872832161</v>
      </c>
      <c r="K153" s="54" t="n">
        <f aca="false">IF(ISNUMBER(C153),SUMIFS(Clean_Data!$Y$2:$Y$2203,Clean_Data!$AB$2:$AB$2203,$A153&amp;"|"&amp;Inputs!$B$6),"")</f>
        <v>0.0372300819061802</v>
      </c>
      <c r="L153" s="56" t="n">
        <f aca="false">IF(COUNTIFS(Clean_Data!$AB$2:$AB$2203,$A153&amp;"|"&amp;Inputs!$B$6,Clean_Data!$P$2:$P$2203,"&lt;&gt;")&gt;0,SUMIFS(Clean_Data!$P$2:$P$2203,Clean_Data!$AB$2:$AB$2203,$A153&amp;"|"&amp;Inputs!$B$6),"")</f>
        <v>221.2</v>
      </c>
      <c r="M153" s="52" t="str">
        <f aca="false">IF(ISNUMBER(C153),IF(C153&gt;=Inputs!$B$7,"Yes","No"),"No")</f>
        <v>No</v>
      </c>
      <c r="N153" s="57" t="n">
        <f aca="false">IF(M153="Yes",F153+ROW()/10^9,-1)</f>
        <v>-1</v>
      </c>
      <c r="O153" s="57" t="n">
        <f aca="false">IF(AND(M153="Yes",ISNUMBER(J153)),J153+ROW()/10^9,-1000)</f>
        <v>-1000</v>
      </c>
      <c r="P153" s="57" t="n">
        <f aca="false">IF(M153="Yes",K153+ROW()/10^9,-1)</f>
        <v>-1</v>
      </c>
    </row>
    <row r="154" customFormat="false" ht="15" hidden="false" customHeight="false" outlineLevel="0" collapsed="false">
      <c r="A154" s="52" t="s">
        <v>328</v>
      </c>
      <c r="B154" s="53" t="n">
        <f aca="false">IF(COUNTIFS(Clean_Data!$AB$2:$AB$2203,$A154&amp;"|"&amp;Inputs!$B$5)&gt;0,SUMIFS(Clean_Data!$F$2:$F$2203,Clean_Data!$AB$2:$AB$2203,$A154&amp;"|"&amp;Inputs!$B$5),"")</f>
        <v>4.53</v>
      </c>
      <c r="C154" s="53" t="n">
        <f aca="false">IF(COUNTIFS(Clean_Data!$AB$2:$AB$2203,$A154&amp;"|"&amp;Inputs!$B$6)&gt;0,SUMIFS(Clean_Data!$F$2:$F$2203,Clean_Data!$AB$2:$AB$2203,$A154&amp;"|"&amp;Inputs!$B$6),"")</f>
        <v>4.73</v>
      </c>
      <c r="D154" s="54" t="n">
        <f aca="false">IF(AND(ISNUMBER(B154),ISNUMBER(C154)),IF(AND(B154&gt;0,Inputs!$B$6&gt;Inputs!$B$5),(C154/B154)^(1/(Inputs!$B$6-Inputs!$B$5))-1,""),"")</f>
        <v>0.00481190275520471</v>
      </c>
      <c r="E154" s="54" t="n">
        <f aca="false">IF(ISNUMBER(B154),SUMIFS(Clean_Data!$V$2:$V$2203,Clean_Data!$AB$2:$AB$2203,$A154&amp;"|"&amp;Inputs!$B$5),"")</f>
        <v>0.313465783664459</v>
      </c>
      <c r="F154" s="54" t="n">
        <f aca="false">IF(ISNUMBER(C154),SUMIFS(Clean_Data!$V$2:$V$2203,Clean_Data!$AB$2:$AB$2203,$A154&amp;"|"&amp;Inputs!$B$6),"")</f>
        <v>0.236786469344609</v>
      </c>
      <c r="G154" s="55" t="n">
        <f aca="false">IF(AND(ISNUMBER(E154),ISNUMBER(F154)),(F154-E154)*100,"")</f>
        <v>-7.66793143198503</v>
      </c>
      <c r="H154" s="54" t="n">
        <f aca="false">IF(ISNUMBER(B154),SUMIFS(Clean_Data!$X$2:$X$2203,Clean_Data!$AB$2:$AB$2203,$A154&amp;"|"&amp;Inputs!$B$5),"")</f>
        <v>0</v>
      </c>
      <c r="I154" s="54" t="n">
        <f aca="false">IF(ISNUMBER(C154),SUMIFS(Clean_Data!$X$2:$X$2203,Clean_Data!$AB$2:$AB$2203,$A154&amp;"|"&amp;Inputs!$B$6),"")</f>
        <v>0.00211416490486258</v>
      </c>
      <c r="J154" s="55" t="n">
        <f aca="false">IF(AND(ISNUMBER(H154),ISNUMBER(I154)),(I154-H154)*100,"")</f>
        <v>0.211416490486258</v>
      </c>
      <c r="K154" s="54" t="n">
        <f aca="false">IF(ISNUMBER(C154),SUMIFS(Clean_Data!$Y$2:$Y$2203,Clean_Data!$AB$2:$AB$2203,$A154&amp;"|"&amp;Inputs!$B$6),"")</f>
        <v>0</v>
      </c>
      <c r="L154" s="56" t="n">
        <f aca="false">IF(COUNTIFS(Clean_Data!$AB$2:$AB$2203,$A154&amp;"|"&amp;Inputs!$B$6,Clean_Data!$P$2:$P$2203,"&lt;&gt;")&gt;0,SUMIFS(Clean_Data!$P$2:$P$2203,Clean_Data!$AB$2:$AB$2203,$A154&amp;"|"&amp;Inputs!$B$6),"")</f>
        <v>513.7</v>
      </c>
      <c r="M154" s="52" t="str">
        <f aca="false">IF(ISNUMBER(C154),IF(C154&gt;=Inputs!$B$7,"Yes","No"),"No")</f>
        <v>No</v>
      </c>
      <c r="N154" s="57" t="n">
        <f aca="false">IF(M154="Yes",F154+ROW()/10^9,-1)</f>
        <v>-1</v>
      </c>
      <c r="O154" s="57" t="n">
        <f aca="false">IF(AND(M154="Yes",ISNUMBER(J154)),J154+ROW()/10^9,-1000)</f>
        <v>-1000</v>
      </c>
      <c r="P154" s="57" t="n">
        <f aca="false">IF(M154="Yes",K154+ROW()/10^9,-1)</f>
        <v>-1</v>
      </c>
    </row>
    <row r="155" customFormat="false" ht="15" hidden="false" customHeight="false" outlineLevel="0" collapsed="false">
      <c r="A155" s="52" t="s">
        <v>329</v>
      </c>
      <c r="B155" s="53" t="n">
        <f aca="false">IF(COUNTIFS(Clean_Data!$AB$2:$AB$2203,$A155&amp;"|"&amp;Inputs!$B$5)&gt;0,SUMIFS(Clean_Data!$F$2:$F$2203,Clean_Data!$AB$2:$AB$2203,$A155&amp;"|"&amp;Inputs!$B$5),"")</f>
        <v>55.89</v>
      </c>
      <c r="C155" s="53" t="n">
        <f aca="false">IF(COUNTIFS(Clean_Data!$AB$2:$AB$2203,$A155&amp;"|"&amp;Inputs!$B$6)&gt;0,SUMIFS(Clean_Data!$F$2:$F$2203,Clean_Data!$AB$2:$AB$2203,$A155&amp;"|"&amp;Inputs!$B$6),"")</f>
        <v>42.41</v>
      </c>
      <c r="D155" s="54" t="n">
        <f aca="false">IF(AND(ISNUMBER(B155),ISNUMBER(C155)),IF(AND(B155&gt;0,Inputs!$B$6&gt;Inputs!$B$5),(C155/B155)^(1/(Inputs!$B$6-Inputs!$B$5))-1,""),"")</f>
        <v>-0.0302013535162807</v>
      </c>
      <c r="E155" s="54" t="n">
        <f aca="false">IF(ISNUMBER(B155),SUMIFS(Clean_Data!$V$2:$V$2203,Clean_Data!$AB$2:$AB$2203,$A155&amp;"|"&amp;Inputs!$B$5),"")</f>
        <v>1</v>
      </c>
      <c r="F155" s="54" t="n">
        <f aca="false">IF(ISNUMBER(C155),SUMIFS(Clean_Data!$V$2:$V$2203,Clean_Data!$AB$2:$AB$2203,$A155&amp;"|"&amp;Inputs!$B$6),"")</f>
        <v>1</v>
      </c>
      <c r="G155" s="55" t="n">
        <f aca="false">IF(AND(ISNUMBER(E155),ISNUMBER(F155)),(F155-E155)*100,"")</f>
        <v>0</v>
      </c>
      <c r="H155" s="54" t="n">
        <f aca="false">IF(ISNUMBER(B155),SUMIFS(Clean_Data!$X$2:$X$2203,Clean_Data!$AB$2:$AB$2203,$A155&amp;"|"&amp;Inputs!$B$5),"")</f>
        <v>0</v>
      </c>
      <c r="I155" s="54" t="n">
        <f aca="false">IF(ISNUMBER(C155),SUMIFS(Clean_Data!$X$2:$X$2203,Clean_Data!$AB$2:$AB$2203,$A155&amp;"|"&amp;Inputs!$B$6),"")</f>
        <v>0</v>
      </c>
      <c r="J155" s="55" t="n">
        <f aca="false">IF(AND(ISNUMBER(H155),ISNUMBER(I155)),(I155-H155)*100,"")</f>
        <v>0</v>
      </c>
      <c r="K155" s="54" t="n">
        <f aca="false">IF(ISNUMBER(C155),SUMIFS(Clean_Data!$Y$2:$Y$2203,Clean_Data!$AB$2:$AB$2203,$A155&amp;"|"&amp;Inputs!$B$6),"")</f>
        <v>0</v>
      </c>
      <c r="L155" s="56" t="n">
        <f aca="false">IF(COUNTIFS(Clean_Data!$AB$2:$AB$2203,$A155&amp;"|"&amp;Inputs!$B$6,Clean_Data!$P$2:$P$2203,"&lt;&gt;")&gt;0,SUMIFS(Clean_Data!$P$2:$P$2203,Clean_Data!$AB$2:$AB$2203,$A155&amp;"|"&amp;Inputs!$B$6),"")</f>
        <v>24.8</v>
      </c>
      <c r="M155" s="52" t="str">
        <f aca="false">IF(ISNUMBER(C155),IF(C155&gt;=Inputs!$B$7,"Yes","No"),"No")</f>
        <v>Yes</v>
      </c>
      <c r="N155" s="57" t="n">
        <f aca="false">IF(M155="Yes",F155+ROW()/10^9,-1)</f>
        <v>1.000000155</v>
      </c>
      <c r="O155" s="57" t="n">
        <f aca="false">IF(AND(M155="Yes",ISNUMBER(J155)),J155+ROW()/10^9,-1000)</f>
        <v>1.55E-007</v>
      </c>
      <c r="P155" s="57" t="n">
        <f aca="false">IF(M155="Yes",K155+ROW()/10^9,-1)</f>
        <v>1.55E-007</v>
      </c>
    </row>
    <row r="156" customFormat="false" ht="15" hidden="false" customHeight="false" outlineLevel="0" collapsed="false">
      <c r="A156" s="52" t="s">
        <v>330</v>
      </c>
      <c r="B156" s="53" t="n">
        <f aca="false">IF(COUNTIFS(Clean_Data!$AB$2:$AB$2203,$A156&amp;"|"&amp;Inputs!$B$5)&gt;0,SUMIFS(Clean_Data!$F$2:$F$2203,Clean_Data!$AB$2:$AB$2203,$A156&amp;"|"&amp;Inputs!$B$5),"")</f>
        <v>48.27</v>
      </c>
      <c r="C156" s="53" t="n">
        <f aca="false">IF(COUNTIFS(Clean_Data!$AB$2:$AB$2203,$A156&amp;"|"&amp;Inputs!$B$6)&gt;0,SUMIFS(Clean_Data!$F$2:$F$2203,Clean_Data!$AB$2:$AB$2203,$A156&amp;"|"&amp;Inputs!$B$6),"")</f>
        <v>59.29</v>
      </c>
      <c r="D156" s="54" t="n">
        <f aca="false">IF(AND(ISNUMBER(B156),ISNUMBER(C156)),IF(AND(B156&gt;0,Inputs!$B$6&gt;Inputs!$B$5),(C156/B156)^(1/(Inputs!$B$6-Inputs!$B$5))-1,""),"")</f>
        <v>0.0231108338817565</v>
      </c>
      <c r="E156" s="54" t="n">
        <f aca="false">IF(ISNUMBER(B156),SUMIFS(Clean_Data!$V$2:$V$2203,Clean_Data!$AB$2:$AB$2203,$A156&amp;"|"&amp;Inputs!$B$5),"")</f>
        <v>0.527242593743526</v>
      </c>
      <c r="F156" s="54" t="n">
        <f aca="false">IF(ISNUMBER(C156),SUMIFS(Clean_Data!$V$2:$V$2203,Clean_Data!$AB$2:$AB$2203,$A156&amp;"|"&amp;Inputs!$B$6),"")</f>
        <v>0.601113172541744</v>
      </c>
      <c r="G156" s="55" t="n">
        <f aca="false">IF(AND(ISNUMBER(E156),ISNUMBER(F156)),(F156-E156)*100,"")</f>
        <v>7.38705787982181</v>
      </c>
      <c r="H156" s="54" t="n">
        <f aca="false">IF(ISNUMBER(B156),SUMIFS(Clean_Data!$X$2:$X$2203,Clean_Data!$AB$2:$AB$2203,$A156&amp;"|"&amp;Inputs!$B$5),"")</f>
        <v>0.0171949451004765</v>
      </c>
      <c r="I156" s="54" t="n">
        <f aca="false">IF(ISNUMBER(C156),SUMIFS(Clean_Data!$X$2:$X$2203,Clean_Data!$AB$2:$AB$2203,$A156&amp;"|"&amp;Inputs!$B$6),"")</f>
        <v>0.0512734019227526</v>
      </c>
      <c r="J156" s="55" t="n">
        <f aca="false">IF(AND(ISNUMBER(H156),ISNUMBER(I156)),(I156-H156)*100,"")</f>
        <v>3.40784568222761</v>
      </c>
      <c r="K156" s="54" t="n">
        <f aca="false">IF(ISNUMBER(C156),SUMIFS(Clean_Data!$Y$2:$Y$2203,Clean_Data!$AB$2:$AB$2203,$A156&amp;"|"&amp;Inputs!$B$6),"")</f>
        <v>0</v>
      </c>
      <c r="L156" s="56" t="n">
        <f aca="false">IF(COUNTIFS(Clean_Data!$AB$2:$AB$2203,$A156&amp;"|"&amp;Inputs!$B$6,Clean_Data!$P$2:$P$2203,"&lt;&gt;")&gt;0,SUMIFS(Clean_Data!$P$2:$P$2203,Clean_Data!$AB$2:$AB$2203,$A156&amp;"|"&amp;Inputs!$B$6),"")</f>
        <v>258.7</v>
      </c>
      <c r="M156" s="52" t="str">
        <f aca="false">IF(ISNUMBER(C156),IF(C156&gt;=Inputs!$B$7,"Yes","No"),"No")</f>
        <v>Yes</v>
      </c>
      <c r="N156" s="57" t="n">
        <f aca="false">IF(M156="Yes",F156+ROW()/10^9,-1)</f>
        <v>0.601113328541744</v>
      </c>
      <c r="O156" s="57" t="n">
        <f aca="false">IF(AND(M156="Yes",ISNUMBER(J156)),J156+ROW()/10^9,-1000)</f>
        <v>3.40784583822761</v>
      </c>
      <c r="P156" s="57" t="n">
        <f aca="false">IF(M156="Yes",K156+ROW()/10^9,-1)</f>
        <v>1.56E-007</v>
      </c>
    </row>
    <row r="157" customFormat="false" ht="15" hidden="false" customHeight="false" outlineLevel="0" collapsed="false">
      <c r="A157" s="52" t="s">
        <v>331</v>
      </c>
      <c r="B157" s="53" t="n">
        <f aca="false">IF(COUNTIFS(Clean_Data!$AB$2:$AB$2203,$A157&amp;"|"&amp;Inputs!$B$5)&gt;0,SUMIFS(Clean_Data!$F$2:$F$2203,Clean_Data!$AB$2:$AB$2203,$A157&amp;"|"&amp;Inputs!$B$5),"")</f>
        <v>82.4</v>
      </c>
      <c r="C157" s="53" t="n">
        <f aca="false">IF(COUNTIFS(Clean_Data!$AB$2:$AB$2203,$A157&amp;"|"&amp;Inputs!$B$6)&gt;0,SUMIFS(Clean_Data!$F$2:$F$2203,Clean_Data!$AB$2:$AB$2203,$A157&amp;"|"&amp;Inputs!$B$6),"")</f>
        <v>124.17</v>
      </c>
      <c r="D157" s="54" t="n">
        <f aca="false">IF(AND(ISNUMBER(B157),ISNUMBER(C157)),IF(AND(B157&gt;0,Inputs!$B$6&gt;Inputs!$B$5),(C157/B157)^(1/(Inputs!$B$6-Inputs!$B$5))-1,""),"")</f>
        <v>0.0466168414307431</v>
      </c>
      <c r="E157" s="54" t="n">
        <f aca="false">IF(ISNUMBER(B157),SUMIFS(Clean_Data!$V$2:$V$2203,Clean_Data!$AB$2:$AB$2203,$A157&amp;"|"&amp;Inputs!$B$5),"")</f>
        <v>0.254126213592233</v>
      </c>
      <c r="F157" s="54" t="n">
        <f aca="false">IF(ISNUMBER(C157),SUMIFS(Clean_Data!$V$2:$V$2203,Clean_Data!$AB$2:$AB$2203,$A157&amp;"|"&amp;Inputs!$B$6),"")</f>
        <v>0.204719336393654</v>
      </c>
      <c r="G157" s="55" t="n">
        <f aca="false">IF(AND(ISNUMBER(E157),ISNUMBER(F157)),(F157-E157)*100,"")</f>
        <v>-4.94068771985791</v>
      </c>
      <c r="H157" s="54" t="n">
        <f aca="false">IF(ISNUMBER(B157),SUMIFS(Clean_Data!$X$2:$X$2203,Clean_Data!$AB$2:$AB$2203,$A157&amp;"|"&amp;Inputs!$B$5),"")</f>
        <v>0.0108009708737864</v>
      </c>
      <c r="I157" s="54" t="n">
        <f aca="false">IF(ISNUMBER(C157),SUMIFS(Clean_Data!$X$2:$X$2203,Clean_Data!$AB$2:$AB$2203,$A157&amp;"|"&amp;Inputs!$B$6),"")</f>
        <v>0.0288314407666908</v>
      </c>
      <c r="J157" s="55" t="n">
        <f aca="false">IF(AND(ISNUMBER(H157),ISNUMBER(I157)),(I157-H157)*100,"")</f>
        <v>1.80304698929044</v>
      </c>
      <c r="K157" s="54" t="n">
        <f aca="false">IF(ISNUMBER(C157),SUMIFS(Clean_Data!$Y$2:$Y$2203,Clean_Data!$AB$2:$AB$2203,$A157&amp;"|"&amp;Inputs!$B$6),"")</f>
        <v>0.639123781911895</v>
      </c>
      <c r="L157" s="56" t="n">
        <f aca="false">IF(COUNTIFS(Clean_Data!$AB$2:$AB$2203,$A157&amp;"|"&amp;Inputs!$B$6,Clean_Data!$P$2:$P$2203,"&lt;&gt;")&gt;0,SUMIFS(Clean_Data!$P$2:$P$2203,Clean_Data!$AB$2:$AB$2203,$A157&amp;"|"&amp;Inputs!$B$6),"")</f>
        <v>621.7</v>
      </c>
      <c r="M157" s="52" t="str">
        <f aca="false">IF(ISNUMBER(C157),IF(C157&gt;=Inputs!$B$7,"Yes","No"),"No")</f>
        <v>Yes</v>
      </c>
      <c r="N157" s="57" t="n">
        <f aca="false">IF(M157="Yes",F157+ROW()/10^9,-1)</f>
        <v>0.204719493393654</v>
      </c>
      <c r="O157" s="57" t="n">
        <f aca="false">IF(AND(M157="Yes",ISNUMBER(J157)),J157+ROW()/10^9,-1000)</f>
        <v>1.80304714629044</v>
      </c>
      <c r="P157" s="57" t="n">
        <f aca="false">IF(M157="Yes",K157+ROW()/10^9,-1)</f>
        <v>0.639123938911895</v>
      </c>
    </row>
    <row r="158" customFormat="false" ht="15" hidden="false" customHeight="false" outlineLevel="0" collapsed="false">
      <c r="A158" s="52" t="s">
        <v>332</v>
      </c>
      <c r="B158" s="53" t="n">
        <f aca="false">IF(COUNTIFS(Clean_Data!$AB$2:$AB$2203,$A158&amp;"|"&amp;Inputs!$B$5)&gt;0,SUMIFS(Clean_Data!$F$2:$F$2203,Clean_Data!$AB$2:$AB$2203,$A158&amp;"|"&amp;Inputs!$B$5),"")</f>
        <v>164.3</v>
      </c>
      <c r="C158" s="53" t="n">
        <f aca="false">IF(COUNTIFS(Clean_Data!$AB$2:$AB$2203,$A158&amp;"|"&amp;Inputs!$B$6)&gt;0,SUMIFS(Clean_Data!$F$2:$F$2203,Clean_Data!$AB$2:$AB$2203,$A158&amp;"|"&amp;Inputs!$B$6),"")</f>
        <v>172.12</v>
      </c>
      <c r="D158" s="54" t="n">
        <f aca="false">IF(AND(ISNUMBER(B158),ISNUMBER(C158)),IF(AND(B158&gt;0,Inputs!$B$6&gt;Inputs!$B$5),(C158/B158)^(1/(Inputs!$B$6-Inputs!$B$5))-1,""),"")</f>
        <v>0.00517980045670607</v>
      </c>
      <c r="E158" s="54" t="n">
        <f aca="false">IF(ISNUMBER(B158),SUMIFS(Clean_Data!$V$2:$V$2203,Clean_Data!$AB$2:$AB$2203,$A158&amp;"|"&amp;Inputs!$B$5),"")</f>
        <v>0.138101034692635</v>
      </c>
      <c r="F158" s="54" t="n">
        <f aca="false">IF(ISNUMBER(C158),SUMIFS(Clean_Data!$V$2:$V$2203,Clean_Data!$AB$2:$AB$2203,$A158&amp;"|"&amp;Inputs!$B$6),"")</f>
        <v>0.311468742737625</v>
      </c>
      <c r="G158" s="55" t="n">
        <f aca="false">IF(AND(ISNUMBER(E158),ISNUMBER(F158)),(F158-E158)*100,"")</f>
        <v>17.336770804499</v>
      </c>
      <c r="H158" s="54" t="n">
        <f aca="false">IF(ISNUMBER(B158),SUMIFS(Clean_Data!$X$2:$X$2203,Clean_Data!$AB$2:$AB$2203,$A158&amp;"|"&amp;Inputs!$B$5),"")</f>
        <v>0.0664637857577602</v>
      </c>
      <c r="I158" s="54" t="n">
        <f aca="false">IF(ISNUMBER(C158),SUMIFS(Clean_Data!$X$2:$X$2203,Clean_Data!$AB$2:$AB$2203,$A158&amp;"|"&amp;Inputs!$B$6),"")</f>
        <v>0.253021148036254</v>
      </c>
      <c r="J158" s="55" t="n">
        <f aca="false">IF(AND(ISNUMBER(H158),ISNUMBER(I158)),(I158-H158)*100,"")</f>
        <v>18.6557362278494</v>
      </c>
      <c r="K158" s="54" t="n">
        <f aca="false">IF(ISNUMBER(C158),SUMIFS(Clean_Data!$Y$2:$Y$2203,Clean_Data!$AB$2:$AB$2203,$A158&amp;"|"&amp;Inputs!$B$6),"")</f>
        <v>0.543225656518708</v>
      </c>
      <c r="L158" s="56" t="n">
        <f aca="false">IF(COUNTIFS(Clean_Data!$AB$2:$AB$2203,$A158&amp;"|"&amp;Inputs!$B$6,Clean_Data!$P$2:$P$2203,"&lt;&gt;")&gt;0,SUMIFS(Clean_Data!$P$2:$P$2203,Clean_Data!$AB$2:$AB$2203,$A158&amp;"|"&amp;Inputs!$B$6),"")</f>
        <v>608.2</v>
      </c>
      <c r="M158" s="52" t="str">
        <f aca="false">IF(ISNUMBER(C158),IF(C158&gt;=Inputs!$B$7,"Yes","No"),"No")</f>
        <v>Yes</v>
      </c>
      <c r="N158" s="57" t="n">
        <f aca="false">IF(M158="Yes",F158+ROW()/10^9,-1)</f>
        <v>0.311468900737625</v>
      </c>
      <c r="O158" s="57" t="n">
        <f aca="false">IF(AND(M158="Yes",ISNUMBER(J158)),J158+ROW()/10^9,-1000)</f>
        <v>18.6557363858494</v>
      </c>
      <c r="P158" s="57" t="n">
        <f aca="false">IF(M158="Yes",K158+ROW()/10^9,-1)</f>
        <v>0.543225814518708</v>
      </c>
    </row>
    <row r="159" customFormat="false" ht="15" hidden="false" customHeight="false" outlineLevel="0" collapsed="false">
      <c r="A159" s="52" t="s">
        <v>333</v>
      </c>
      <c r="B159" s="53" t="n">
        <f aca="false">IF(COUNTIFS(Clean_Data!$AB$2:$AB$2203,$A159&amp;"|"&amp;Inputs!$B$5)&gt;0,SUMIFS(Clean_Data!$F$2:$F$2203,Clean_Data!$AB$2:$AB$2203,$A159&amp;"|"&amp;Inputs!$B$5),"")</f>
        <v>51.14</v>
      </c>
      <c r="C159" s="53" t="n">
        <f aca="false">IF(COUNTIFS(Clean_Data!$AB$2:$AB$2203,$A159&amp;"|"&amp;Inputs!$B$6)&gt;0,SUMIFS(Clean_Data!$F$2:$F$2203,Clean_Data!$AB$2:$AB$2203,$A159&amp;"|"&amp;Inputs!$B$6),"")</f>
        <v>47.27</v>
      </c>
      <c r="D159" s="54" t="n">
        <f aca="false">IF(AND(ISNUMBER(B159),ISNUMBER(C159)),IF(AND(B159&gt;0,Inputs!$B$6&gt;Inputs!$B$5),(C159/B159)^(1/(Inputs!$B$6-Inputs!$B$5))-1,""),"")</f>
        <v>-0.00870534546821911</v>
      </c>
      <c r="E159" s="54" t="n">
        <f aca="false">IF(ISNUMBER(B159),SUMIFS(Clean_Data!$V$2:$V$2203,Clean_Data!$AB$2:$AB$2203,$A159&amp;"|"&amp;Inputs!$B$5),"")</f>
        <v>0.476339460305045</v>
      </c>
      <c r="F159" s="54" t="n">
        <f aca="false">IF(ISNUMBER(C159),SUMIFS(Clean_Data!$V$2:$V$2203,Clean_Data!$AB$2:$AB$2203,$A159&amp;"|"&amp;Inputs!$B$6),"")</f>
        <v>0.851914533530781</v>
      </c>
      <c r="G159" s="55" t="n">
        <f aca="false">IF(AND(ISNUMBER(E159),ISNUMBER(F159)),(F159-E159)*100,"")</f>
        <v>37.5575073225736</v>
      </c>
      <c r="H159" s="54" t="n">
        <f aca="false">IF(ISNUMBER(B159),SUMIFS(Clean_Data!$X$2:$X$2203,Clean_Data!$AB$2:$AB$2203,$A159&amp;"|"&amp;Inputs!$B$5),"")</f>
        <v>0.242471646460696</v>
      </c>
      <c r="I159" s="54" t="n">
        <f aca="false">IF(ISNUMBER(C159),SUMIFS(Clean_Data!$X$2:$X$2203,Clean_Data!$AB$2:$AB$2203,$A159&amp;"|"&amp;Inputs!$B$6),"")</f>
        <v>0.453353078062196</v>
      </c>
      <c r="J159" s="55" t="n">
        <f aca="false">IF(AND(ISNUMBER(H159),ISNUMBER(I159)),(I159-H159)*100,"")</f>
        <v>21.08814316015</v>
      </c>
      <c r="K159" s="54" t="n">
        <f aca="false">IF(ISNUMBER(C159),SUMIFS(Clean_Data!$Y$2:$Y$2203,Clean_Data!$AB$2:$AB$2203,$A159&amp;"|"&amp;Inputs!$B$6),"")</f>
        <v>0</v>
      </c>
      <c r="L159" s="56" t="n">
        <f aca="false">IF(COUNTIFS(Clean_Data!$AB$2:$AB$2203,$A159&amp;"|"&amp;Inputs!$B$6,Clean_Data!$P$2:$P$2203,"&lt;&gt;")&gt;0,SUMIFS(Clean_Data!$P$2:$P$2203,Clean_Data!$AB$2:$AB$2203,$A159&amp;"|"&amp;Inputs!$B$6),"")</f>
        <v>110.6</v>
      </c>
      <c r="M159" s="52" t="str">
        <f aca="false">IF(ISNUMBER(C159),IF(C159&gt;=Inputs!$B$7,"Yes","No"),"No")</f>
        <v>Yes</v>
      </c>
      <c r="N159" s="57" t="n">
        <f aca="false">IF(M159="Yes",F159+ROW()/10^9,-1)</f>
        <v>0.851914692530781</v>
      </c>
      <c r="O159" s="57" t="n">
        <f aca="false">IF(AND(M159="Yes",ISNUMBER(J159)),J159+ROW()/10^9,-1000)</f>
        <v>21.08814331915</v>
      </c>
      <c r="P159" s="57" t="n">
        <f aca="false">IF(M159="Yes",K159+ROW()/10^9,-1)</f>
        <v>1.59E-007</v>
      </c>
    </row>
    <row r="160" customFormat="false" ht="15" hidden="false" customHeight="false" outlineLevel="0" collapsed="false">
      <c r="A160" s="52" t="s">
        <v>334</v>
      </c>
      <c r="B160" s="53" t="n">
        <f aca="false">IF(COUNTIFS(Clean_Data!$AB$2:$AB$2203,$A160&amp;"|"&amp;Inputs!$B$5)&gt;0,SUMIFS(Clean_Data!$F$2:$F$2203,Clean_Data!$AB$2:$AB$2203,$A160&amp;"|"&amp;Inputs!$B$5),"")</f>
        <v>20.9</v>
      </c>
      <c r="C160" s="53" t="n">
        <f aca="false">IF(COUNTIFS(Clean_Data!$AB$2:$AB$2203,$A160&amp;"|"&amp;Inputs!$B$6)&gt;0,SUMIFS(Clean_Data!$F$2:$F$2203,Clean_Data!$AB$2:$AB$2203,$A160&amp;"|"&amp;Inputs!$B$6),"")</f>
        <v>20</v>
      </c>
      <c r="D160" s="54" t="n">
        <f aca="false">IF(AND(ISNUMBER(B160),ISNUMBER(C160)),IF(AND(B160&gt;0,Inputs!$B$6&gt;Inputs!$B$5),(C160/B160)^(1/(Inputs!$B$6-Inputs!$B$5))-1,""),"")</f>
        <v>-0.00487882472863288</v>
      </c>
      <c r="E160" s="54" t="n">
        <f aca="false">IF(ISNUMBER(B160),SUMIFS(Clean_Data!$V$2:$V$2203,Clean_Data!$AB$2:$AB$2203,$A160&amp;"|"&amp;Inputs!$B$5),"")</f>
        <v>0.0181818181818182</v>
      </c>
      <c r="F160" s="54" t="n">
        <f aca="false">IF(ISNUMBER(C160),SUMIFS(Clean_Data!$V$2:$V$2203,Clean_Data!$AB$2:$AB$2203,$A160&amp;"|"&amp;Inputs!$B$6),"")</f>
        <v>0.06</v>
      </c>
      <c r="G160" s="55" t="n">
        <f aca="false">IF(AND(ISNUMBER(E160),ISNUMBER(F160)),(F160-E160)*100,"")</f>
        <v>4.18181818181818</v>
      </c>
      <c r="H160" s="54" t="n">
        <f aca="false">IF(ISNUMBER(B160),SUMIFS(Clean_Data!$X$2:$X$2203,Clean_Data!$AB$2:$AB$2203,$A160&amp;"|"&amp;Inputs!$B$5),"")</f>
        <v>0.0157894736842105</v>
      </c>
      <c r="I160" s="54" t="n">
        <f aca="false">IF(ISNUMBER(C160),SUMIFS(Clean_Data!$X$2:$X$2203,Clean_Data!$AB$2:$AB$2203,$A160&amp;"|"&amp;Inputs!$B$6),"")</f>
        <v>0.057</v>
      </c>
      <c r="J160" s="55" t="n">
        <f aca="false">IF(AND(ISNUMBER(H160),ISNUMBER(I160)),(I160-H160)*100,"")</f>
        <v>4.12105263157895</v>
      </c>
      <c r="K160" s="54" t="n">
        <f aca="false">IF(ISNUMBER(C160),SUMIFS(Clean_Data!$Y$2:$Y$2203,Clean_Data!$AB$2:$AB$2203,$A160&amp;"|"&amp;Inputs!$B$6),"")</f>
        <v>0.16</v>
      </c>
      <c r="L160" s="56" t="n">
        <f aca="false">IF(COUNTIFS(Clean_Data!$AB$2:$AB$2203,$A160&amp;"|"&amp;Inputs!$B$6,Clean_Data!$P$2:$P$2203,"&lt;&gt;")&gt;0,SUMIFS(Clean_Data!$P$2:$P$2203,Clean_Data!$AB$2:$AB$2203,$A160&amp;"|"&amp;Inputs!$B$6),"")</f>
        <v>656</v>
      </c>
      <c r="M160" s="52" t="str">
        <f aca="false">IF(ISNUMBER(C160),IF(C160&gt;=Inputs!$B$7,"Yes","No"),"No")</f>
        <v>Yes</v>
      </c>
      <c r="N160" s="57" t="n">
        <f aca="false">IF(M160="Yes",F160+ROW()/10^9,-1)</f>
        <v>0.06000016</v>
      </c>
      <c r="O160" s="57" t="n">
        <f aca="false">IF(AND(M160="Yes",ISNUMBER(J160)),J160+ROW()/10^9,-1000)</f>
        <v>4.12105279157895</v>
      </c>
      <c r="P160" s="57" t="n">
        <f aca="false">IF(M160="Yes",K160+ROW()/10^9,-1)</f>
        <v>0.16000016</v>
      </c>
    </row>
    <row r="161" customFormat="false" ht="15" hidden="false" customHeight="false" outlineLevel="0" collapsed="false">
      <c r="A161" s="52" t="s">
        <v>335</v>
      </c>
      <c r="B161" s="53" t="n">
        <f aca="false">IF(COUNTIFS(Clean_Data!$AB$2:$AB$2203,$A161&amp;"|"&amp;Inputs!$B$5)&gt;0,SUMIFS(Clean_Data!$F$2:$F$2203,Clean_Data!$AB$2:$AB$2203,$A161&amp;"|"&amp;Inputs!$B$5),"")</f>
        <v>41.63</v>
      </c>
      <c r="C161" s="53" t="n">
        <f aca="false">IF(COUNTIFS(Clean_Data!$AB$2:$AB$2203,$A161&amp;"|"&amp;Inputs!$B$6)&gt;0,SUMIFS(Clean_Data!$F$2:$F$2203,Clean_Data!$AB$2:$AB$2203,$A161&amp;"|"&amp;Inputs!$B$6),"")</f>
        <v>56.68</v>
      </c>
      <c r="D161" s="54" t="n">
        <f aca="false">IF(AND(ISNUMBER(B161),ISNUMBER(C161)),IF(AND(B161&gt;0,Inputs!$B$6&gt;Inputs!$B$5),(C161/B161)^(1/(Inputs!$B$6-Inputs!$B$5))-1,""),"")</f>
        <v>0.0348835705625481</v>
      </c>
      <c r="E161" s="54" t="n">
        <f aca="false">IF(ISNUMBER(B161),SUMIFS(Clean_Data!$V$2:$V$2203,Clean_Data!$AB$2:$AB$2203,$A161&amp;"|"&amp;Inputs!$B$5),"")</f>
        <v>0.00312274801825607</v>
      </c>
      <c r="F161" s="54" t="n">
        <f aca="false">IF(ISNUMBER(C161),SUMIFS(Clean_Data!$V$2:$V$2203,Clean_Data!$AB$2:$AB$2203,$A161&amp;"|"&amp;Inputs!$B$6),"")</f>
        <v>0.0402258292166549</v>
      </c>
      <c r="G161" s="55" t="n">
        <f aca="false">IF(AND(ISNUMBER(E161),ISNUMBER(F161)),(F161-E161)*100,"")</f>
        <v>3.71030811983988</v>
      </c>
      <c r="H161" s="54" t="n">
        <f aca="false">IF(ISNUMBER(B161),SUMIFS(Clean_Data!$X$2:$X$2203,Clean_Data!$AB$2:$AB$2203,$A161&amp;"|"&amp;Inputs!$B$5),"")</f>
        <v>0.000240211386019697</v>
      </c>
      <c r="I161" s="54" t="n">
        <f aca="false">IF(ISNUMBER(C161),SUMIFS(Clean_Data!$X$2:$X$2203,Clean_Data!$AB$2:$AB$2203,$A161&amp;"|"&amp;Inputs!$B$6),"")</f>
        <v>0.0379322512350035</v>
      </c>
      <c r="J161" s="55" t="n">
        <f aca="false">IF(AND(ISNUMBER(H161),ISNUMBER(I161)),(I161-H161)*100,"")</f>
        <v>3.76920398489838</v>
      </c>
      <c r="K161" s="54" t="n">
        <f aca="false">IF(ISNUMBER(C161),SUMIFS(Clean_Data!$Y$2:$Y$2203,Clean_Data!$AB$2:$AB$2203,$A161&amp;"|"&amp;Inputs!$B$6),"")</f>
        <v>0</v>
      </c>
      <c r="L161" s="56" t="n">
        <f aca="false">IF(COUNTIFS(Clean_Data!$AB$2:$AB$2203,$A161&amp;"|"&amp;Inputs!$B$6,Clean_Data!$P$2:$P$2203,"&lt;&gt;")&gt;0,SUMIFS(Clean_Data!$P$2:$P$2203,Clean_Data!$AB$2:$AB$2203,$A161&amp;"|"&amp;Inputs!$B$6),"")</f>
        <v>581.7</v>
      </c>
      <c r="M161" s="52" t="str">
        <f aca="false">IF(ISNUMBER(C161),IF(C161&gt;=Inputs!$B$7,"Yes","No"),"No")</f>
        <v>Yes</v>
      </c>
      <c r="N161" s="57" t="n">
        <f aca="false">IF(M161="Yes",F161+ROW()/10^9,-1)</f>
        <v>0.0402259902166549</v>
      </c>
      <c r="O161" s="57" t="n">
        <f aca="false">IF(AND(M161="Yes",ISNUMBER(J161)),J161+ROW()/10^9,-1000)</f>
        <v>3.76920414589838</v>
      </c>
      <c r="P161" s="57" t="n">
        <f aca="false">IF(M161="Yes",K161+ROW()/10^9,-1)</f>
        <v>1.61E-007</v>
      </c>
    </row>
    <row r="162" customFormat="false" ht="15" hidden="false" customHeight="false" outlineLevel="0" collapsed="false">
      <c r="A162" s="52" t="s">
        <v>336</v>
      </c>
      <c r="B162" s="53" t="n">
        <f aca="false">IF(COUNTIFS(Clean_Data!$AB$2:$AB$2203,$A162&amp;"|"&amp;Inputs!$B$5)&gt;0,SUMIFS(Clean_Data!$F$2:$F$2203,Clean_Data!$AB$2:$AB$2203,$A162&amp;"|"&amp;Inputs!$B$5),"")</f>
        <v>2.9</v>
      </c>
      <c r="C162" s="53" t="str">
        <f aca="false">IF(COUNTIFS(Clean_Data!$AB$2:$AB$2203,$A162&amp;"|"&amp;Inputs!$B$6)&gt;0,SUMIFS(Clean_Data!$F$2:$F$2203,Clean_Data!$AB$2:$AB$2203,$A162&amp;"|"&amp;Inputs!$B$6),"")</f>
        <v/>
      </c>
      <c r="D162" s="54" t="str">
        <f aca="false">IF(AND(ISNUMBER(B162),ISNUMBER(C162)),IF(AND(B162&gt;0,Inputs!$B$6&gt;Inputs!$B$5),(C162/B162)^(1/(Inputs!$B$6-Inputs!$B$5))-1,""),"")</f>
        <v/>
      </c>
      <c r="E162" s="54" t="n">
        <f aca="false">IF(ISNUMBER(B162),SUMIFS(Clean_Data!$V$2:$V$2203,Clean_Data!$AB$2:$AB$2203,$A162&amp;"|"&amp;Inputs!$B$5),"")</f>
        <v>0.362068965517241</v>
      </c>
      <c r="F162" s="54" t="str">
        <f aca="false">IF(ISNUMBER(C162),SUMIFS(Clean_Data!$V$2:$V$2203,Clean_Data!$AB$2:$AB$2203,$A162&amp;"|"&amp;Inputs!$B$6),"")</f>
        <v/>
      </c>
      <c r="G162" s="55" t="str">
        <f aca="false">IF(AND(ISNUMBER(E162),ISNUMBER(F162)),(F162-E162)*100,"")</f>
        <v/>
      </c>
      <c r="H162" s="54" t="n">
        <f aca="false">IF(ISNUMBER(B162),SUMIFS(Clean_Data!$X$2:$X$2203,Clean_Data!$AB$2:$AB$2203,$A162&amp;"|"&amp;Inputs!$B$5),"")</f>
        <v>0.0896551724137931</v>
      </c>
      <c r="I162" s="54" t="str">
        <f aca="false">IF(ISNUMBER(C162),SUMIFS(Clean_Data!$X$2:$X$2203,Clean_Data!$AB$2:$AB$2203,$A162&amp;"|"&amp;Inputs!$B$6),"")</f>
        <v/>
      </c>
      <c r="J162" s="55" t="str">
        <f aca="false">IF(AND(ISNUMBER(H162),ISNUMBER(I162)),(I162-H162)*100,"")</f>
        <v/>
      </c>
      <c r="K162" s="54" t="str">
        <f aca="false">IF(ISNUMBER(C162),SUMIFS(Clean_Data!$Y$2:$Y$2203,Clean_Data!$AB$2:$AB$2203,$A162&amp;"|"&amp;Inputs!$B$6),"")</f>
        <v/>
      </c>
      <c r="L162" s="56" t="str">
        <f aca="false">IF(COUNTIFS(Clean_Data!$AB$2:$AB$2203,$A162&amp;"|"&amp;Inputs!$B$6,Clean_Data!$P$2:$P$2203,"&lt;&gt;")&gt;0,SUMIFS(Clean_Data!$P$2:$P$2203,Clean_Data!$AB$2:$AB$2203,$A162&amp;"|"&amp;Inputs!$B$6),"")</f>
        <v/>
      </c>
      <c r="M162" s="52" t="str">
        <f aca="false">IF(ISNUMBER(C162),IF(C162&gt;=Inputs!$B$7,"Yes","No"),"No")</f>
        <v>No</v>
      </c>
      <c r="N162" s="57" t="n">
        <f aca="false">IF(M162="Yes",F162+ROW()/10^9,-1)</f>
        <v>-1</v>
      </c>
      <c r="O162" s="57" t="n">
        <f aca="false">IF(AND(M162="Yes",ISNUMBER(J162)),J162+ROW()/10^9,-1000)</f>
        <v>-1000</v>
      </c>
      <c r="P162" s="57" t="n">
        <f aca="false">IF(M162="Yes",K162+ROW()/10^9,-1)</f>
        <v>-1</v>
      </c>
    </row>
    <row r="163" customFormat="false" ht="15" hidden="false" customHeight="false" outlineLevel="0" collapsed="false">
      <c r="A163" s="52" t="s">
        <v>337</v>
      </c>
      <c r="B163" s="53" t="n">
        <f aca="false">IF(COUNTIFS(Clean_Data!$AB$2:$AB$2203,$A163&amp;"|"&amp;Inputs!$B$5)&gt;0,SUMIFS(Clean_Data!$F$2:$F$2203,Clean_Data!$AB$2:$AB$2203,$A163&amp;"|"&amp;Inputs!$B$5),"")</f>
        <v>65.66</v>
      </c>
      <c r="C163" s="53" t="n">
        <f aca="false">IF(COUNTIFS(Clean_Data!$AB$2:$AB$2203,$A163&amp;"|"&amp;Inputs!$B$6)&gt;0,SUMIFS(Clean_Data!$F$2:$F$2203,Clean_Data!$AB$2:$AB$2203,$A163&amp;"|"&amp;Inputs!$B$6),"")</f>
        <v>52.72</v>
      </c>
      <c r="D163" s="54" t="n">
        <f aca="false">IF(AND(ISNUMBER(B163),ISNUMBER(C163)),IF(AND(B163&gt;0,Inputs!$B$6&gt;Inputs!$B$5),(C163/B163)^(1/(Inputs!$B$6-Inputs!$B$5))-1,""),"")</f>
        <v>-0.0240933432947263</v>
      </c>
      <c r="E163" s="54" t="n">
        <f aca="false">IF(ISNUMBER(B163),SUMIFS(Clean_Data!$V$2:$V$2203,Clean_Data!$AB$2:$AB$2203,$A163&amp;"|"&amp;Inputs!$B$5),"")</f>
        <v>0.398872982028632</v>
      </c>
      <c r="F163" s="54" t="n">
        <f aca="false">IF(ISNUMBER(C163),SUMIFS(Clean_Data!$V$2:$V$2203,Clean_Data!$AB$2:$AB$2203,$A163&amp;"|"&amp;Inputs!$B$6),"")</f>
        <v>0.465098634294385</v>
      </c>
      <c r="G163" s="55" t="n">
        <f aca="false">IF(AND(ISNUMBER(E163),ISNUMBER(F163)),(F163-E163)*100,"")</f>
        <v>6.62256522657531</v>
      </c>
      <c r="H163" s="54" t="n">
        <f aca="false">IF(ISNUMBER(B163),SUMIFS(Clean_Data!$X$2:$X$2203,Clean_Data!$AB$2:$AB$2203,$A163&amp;"|"&amp;Inputs!$B$5),"")</f>
        <v>0.137678952177886</v>
      </c>
      <c r="I163" s="54" t="n">
        <f aca="false">IF(ISNUMBER(C163),SUMIFS(Clean_Data!$X$2:$X$2203,Clean_Data!$AB$2:$AB$2203,$A163&amp;"|"&amp;Inputs!$B$6),"")</f>
        <v>0.186836115326252</v>
      </c>
      <c r="J163" s="55" t="n">
        <f aca="false">IF(AND(ISNUMBER(H163),ISNUMBER(I163)),(I163-H163)*100,"")</f>
        <v>4.91571631483658</v>
      </c>
      <c r="K163" s="54" t="n">
        <f aca="false">IF(ISNUMBER(C163),SUMIFS(Clean_Data!$Y$2:$Y$2203,Clean_Data!$AB$2:$AB$2203,$A163&amp;"|"&amp;Inputs!$B$6),"")</f>
        <v>0.134294385432473</v>
      </c>
      <c r="L163" s="56" t="n">
        <f aca="false">IF(COUNTIFS(Clean_Data!$AB$2:$AB$2203,$A163&amp;"|"&amp;Inputs!$B$6,Clean_Data!$P$2:$P$2203,"&lt;&gt;")&gt;0,SUMIFS(Clean_Data!$P$2:$P$2203,Clean_Data!$AB$2:$AB$2203,$A163&amp;"|"&amp;Inputs!$B$6),"")</f>
        <v>251.3</v>
      </c>
      <c r="M163" s="52" t="str">
        <f aca="false">IF(ISNUMBER(C163),IF(C163&gt;=Inputs!$B$7,"Yes","No"),"No")</f>
        <v>Yes</v>
      </c>
      <c r="N163" s="57" t="n">
        <f aca="false">IF(M163="Yes",F163+ROW()/10^9,-1)</f>
        <v>0.465098797294385</v>
      </c>
      <c r="O163" s="57" t="n">
        <f aca="false">IF(AND(M163="Yes",ISNUMBER(J163)),J163+ROW()/10^9,-1000)</f>
        <v>4.91571647783658</v>
      </c>
      <c r="P163" s="57" t="n">
        <f aca="false">IF(M163="Yes",K163+ROW()/10^9,-1)</f>
        <v>0.134294548432473</v>
      </c>
    </row>
    <row r="164" customFormat="false" ht="15" hidden="false" customHeight="false" outlineLevel="0" collapsed="false">
      <c r="A164" s="52" t="s">
        <v>338</v>
      </c>
      <c r="B164" s="53" t="n">
        <f aca="false">IF(COUNTIFS(Clean_Data!$AB$2:$AB$2203,$A164&amp;"|"&amp;Inputs!$B$5)&gt;0,SUMIFS(Clean_Data!$F$2:$F$2203,Clean_Data!$AB$2:$AB$2203,$A164&amp;"|"&amp;Inputs!$B$5),"")</f>
        <v>1067.55</v>
      </c>
      <c r="C164" s="53" t="n">
        <f aca="false">IF(COUNTIFS(Clean_Data!$AB$2:$AB$2203,$A164&amp;"|"&amp;Inputs!$B$6)&gt;0,SUMIFS(Clean_Data!$F$2:$F$2203,Clean_Data!$AB$2:$AB$2203,$A164&amp;"|"&amp;Inputs!$B$6),"")</f>
        <v>1209.31</v>
      </c>
      <c r="D164" s="54" t="n">
        <f aca="false">IF(AND(ISNUMBER(B164),ISNUMBER(C164)),IF(AND(B164&gt;0,Inputs!$B$6&gt;Inputs!$B$5),(C164/B164)^(1/(Inputs!$B$6-Inputs!$B$5))-1,""),"")</f>
        <v>0.0139501461207394</v>
      </c>
      <c r="E164" s="54" t="n">
        <f aca="false">IF(ISNUMBER(B164),SUMIFS(Clean_Data!$V$2:$V$2203,Clean_Data!$AB$2:$AB$2203,$A164&amp;"|"&amp;Inputs!$B$5),"")</f>
        <v>0.158268933539413</v>
      </c>
      <c r="F164" s="54" t="n">
        <f aca="false">IF(ISNUMBER(C164),SUMIFS(Clean_Data!$V$2:$V$2203,Clean_Data!$AB$2:$AB$2203,$A164&amp;"|"&amp;Inputs!$B$6),"")</f>
        <v>0.180979236093309</v>
      </c>
      <c r="G164" s="55" t="n">
        <f aca="false">IF(AND(ISNUMBER(E164),ISNUMBER(F164)),(F164-E164)*100,"")</f>
        <v>2.27103025538967</v>
      </c>
      <c r="H164" s="54" t="n">
        <f aca="false">IF(ISNUMBER(B164),SUMIFS(Clean_Data!$X$2:$X$2203,Clean_Data!$AB$2:$AB$2203,$A164&amp;"|"&amp;Inputs!$B$5),"")</f>
        <v>0.0004589948948527</v>
      </c>
      <c r="I164" s="54" t="n">
        <f aca="false">IF(ISNUMBER(C164),SUMIFS(Clean_Data!$X$2:$X$2203,Clean_Data!$AB$2:$AB$2203,$A164&amp;"|"&amp;Inputs!$B$6),"")</f>
        <v>0.00619361454052311</v>
      </c>
      <c r="J164" s="55" t="n">
        <f aca="false">IF(AND(ISNUMBER(H164),ISNUMBER(I164)),(I164-H164)*100,"")</f>
        <v>0.573461964567041</v>
      </c>
      <c r="K164" s="54" t="n">
        <f aca="false">IF(ISNUMBER(C164),SUMIFS(Clean_Data!$Y$2:$Y$2203,Clean_Data!$AB$2:$AB$2203,$A164&amp;"|"&amp;Inputs!$B$6),"")</f>
        <v>0.177927909303653</v>
      </c>
      <c r="L164" s="56" t="n">
        <f aca="false">IF(COUNTIFS(Clean_Data!$AB$2:$AB$2203,$A164&amp;"|"&amp;Inputs!$B$6,Clean_Data!$P$2:$P$2203,"&lt;&gt;")&gt;0,SUMIFS(Clean_Data!$P$2:$P$2203,Clean_Data!$AB$2:$AB$2203,$A164&amp;"|"&amp;Inputs!$B$6),"")</f>
        <v>446</v>
      </c>
      <c r="M164" s="52" t="str">
        <f aca="false">IF(ISNUMBER(C164),IF(C164&gt;=Inputs!$B$7,"Yes","No"),"No")</f>
        <v>Yes</v>
      </c>
      <c r="N164" s="57" t="n">
        <f aca="false">IF(M164="Yes",F164+ROW()/10^9,-1)</f>
        <v>0.180979400093309</v>
      </c>
      <c r="O164" s="57" t="n">
        <f aca="false">IF(AND(M164="Yes",ISNUMBER(J164)),J164+ROW()/10^9,-1000)</f>
        <v>0.573462128567041</v>
      </c>
      <c r="P164" s="57" t="n">
        <f aca="false">IF(M164="Yes",K164+ROW()/10^9,-1)</f>
        <v>0.177928073303652</v>
      </c>
    </row>
    <row r="165" customFormat="false" ht="15" hidden="false" customHeight="false" outlineLevel="0" collapsed="false">
      <c r="A165" s="52" t="s">
        <v>339</v>
      </c>
      <c r="B165" s="53" t="n">
        <f aca="false">IF(COUNTIFS(Clean_Data!$AB$2:$AB$2203,$A165&amp;"|"&amp;Inputs!$B$5)&gt;0,SUMIFS(Clean_Data!$F$2:$F$2203,Clean_Data!$AB$2:$AB$2203,$A165&amp;"|"&amp;Inputs!$B$5),"")</f>
        <v>0.51</v>
      </c>
      <c r="C165" s="53" t="n">
        <f aca="false">IF(COUNTIFS(Clean_Data!$AB$2:$AB$2203,$A165&amp;"|"&amp;Inputs!$B$6)&gt;0,SUMIFS(Clean_Data!$F$2:$F$2203,Clean_Data!$AB$2:$AB$2203,$A165&amp;"|"&amp;Inputs!$B$6),"")</f>
        <v>1.13</v>
      </c>
      <c r="D165" s="54" t="n">
        <f aca="false">IF(AND(ISNUMBER(B165),ISNUMBER(C165)),IF(AND(B165&gt;0,Inputs!$B$6&gt;Inputs!$B$5),(C165/B165)^(1/(Inputs!$B$6-Inputs!$B$5))-1,""),"")</f>
        <v>0.0924204147715477</v>
      </c>
      <c r="E165" s="54" t="n">
        <f aca="false">IF(ISNUMBER(B165),SUMIFS(Clean_Data!$V$2:$V$2203,Clean_Data!$AB$2:$AB$2203,$A165&amp;"|"&amp;Inputs!$B$5),"")</f>
        <v>0.568627450980392</v>
      </c>
      <c r="F165" s="54" t="n">
        <f aca="false">IF(ISNUMBER(C165),SUMIFS(Clean_Data!$V$2:$V$2203,Clean_Data!$AB$2:$AB$2203,$A165&amp;"|"&amp;Inputs!$B$6),"")</f>
        <v>0.495575221238938</v>
      </c>
      <c r="G165" s="55" t="n">
        <f aca="false">IF(AND(ISNUMBER(E165),ISNUMBER(F165)),(F165-E165)*100,"")</f>
        <v>-7.30522297414541</v>
      </c>
      <c r="H165" s="54" t="n">
        <f aca="false">IF(ISNUMBER(B165),SUMIFS(Clean_Data!$X$2:$X$2203,Clean_Data!$AB$2:$AB$2203,$A165&amp;"|"&amp;Inputs!$B$5),"")</f>
        <v>0.0196078431372549</v>
      </c>
      <c r="I165" s="54" t="n">
        <f aca="false">IF(ISNUMBER(C165),SUMIFS(Clean_Data!$X$2:$X$2203,Clean_Data!$AB$2:$AB$2203,$A165&amp;"|"&amp;Inputs!$B$6),"")</f>
        <v>0.0353982300884956</v>
      </c>
      <c r="J165" s="55" t="n">
        <f aca="false">IF(AND(ISNUMBER(H165),ISNUMBER(I165)),(I165-H165)*100,"")</f>
        <v>1.57903869512407</v>
      </c>
      <c r="K165" s="54" t="n">
        <f aca="false">IF(ISNUMBER(C165),SUMIFS(Clean_Data!$Y$2:$Y$2203,Clean_Data!$AB$2:$AB$2203,$A165&amp;"|"&amp;Inputs!$B$6),"")</f>
        <v>0.150442477876106</v>
      </c>
      <c r="L165" s="56" t="n">
        <f aca="false">IF(COUNTIFS(Clean_Data!$AB$2:$AB$2203,$A165&amp;"|"&amp;Inputs!$B$6,Clean_Data!$P$2:$P$2203,"&lt;&gt;")&gt;0,SUMIFS(Clean_Data!$P$2:$P$2203,Clean_Data!$AB$2:$AB$2203,$A165&amp;"|"&amp;Inputs!$B$6),"")</f>
        <v>354</v>
      </c>
      <c r="M165" s="52" t="str">
        <f aca="false">IF(ISNUMBER(C165),IF(C165&gt;=Inputs!$B$7,"Yes","No"),"No")</f>
        <v>No</v>
      </c>
      <c r="N165" s="57" t="n">
        <f aca="false">IF(M165="Yes",F165+ROW()/10^9,-1)</f>
        <v>-1</v>
      </c>
      <c r="O165" s="57" t="n">
        <f aca="false">IF(AND(M165="Yes",ISNUMBER(J165)),J165+ROW()/10^9,-1000)</f>
        <v>-1000</v>
      </c>
      <c r="P165" s="57" t="n">
        <f aca="false">IF(M165="Yes",K165+ROW()/10^9,-1)</f>
        <v>-1</v>
      </c>
    </row>
    <row r="166" customFormat="false" ht="15" hidden="false" customHeight="false" outlineLevel="0" collapsed="false">
      <c r="A166" s="52" t="s">
        <v>340</v>
      </c>
      <c r="B166" s="53" t="n">
        <f aca="false">IF(COUNTIFS(Clean_Data!$AB$2:$AB$2203,$A166&amp;"|"&amp;Inputs!$B$5)&gt;0,SUMIFS(Clean_Data!$F$2:$F$2203,Clean_Data!$AB$2:$AB$2203,$A166&amp;"|"&amp;Inputs!$B$5),"")</f>
        <v>0.01</v>
      </c>
      <c r="C166" s="53" t="str">
        <f aca="false">IF(COUNTIFS(Clean_Data!$AB$2:$AB$2203,$A166&amp;"|"&amp;Inputs!$B$6)&gt;0,SUMIFS(Clean_Data!$F$2:$F$2203,Clean_Data!$AB$2:$AB$2203,$A166&amp;"|"&amp;Inputs!$B$6),"")</f>
        <v/>
      </c>
      <c r="D166" s="54" t="str">
        <f aca="false">IF(AND(ISNUMBER(B166),ISNUMBER(C166)),IF(AND(B166&gt;0,Inputs!$B$6&gt;Inputs!$B$5),(C166/B166)^(1/(Inputs!$B$6-Inputs!$B$5))-1,""),"")</f>
        <v/>
      </c>
      <c r="E166" s="54" t="n">
        <f aca="false">IF(ISNUMBER(B166),SUMIFS(Clean_Data!$V$2:$V$2203,Clean_Data!$AB$2:$AB$2203,$A166&amp;"|"&amp;Inputs!$B$5),"")</f>
        <v>0</v>
      </c>
      <c r="F166" s="54" t="str">
        <f aca="false">IF(ISNUMBER(C166),SUMIFS(Clean_Data!$V$2:$V$2203,Clean_Data!$AB$2:$AB$2203,$A166&amp;"|"&amp;Inputs!$B$6),"")</f>
        <v/>
      </c>
      <c r="G166" s="55" t="str">
        <f aca="false">IF(AND(ISNUMBER(E166),ISNUMBER(F166)),(F166-E166)*100,"")</f>
        <v/>
      </c>
      <c r="H166" s="54" t="n">
        <f aca="false">IF(ISNUMBER(B166),SUMIFS(Clean_Data!$X$2:$X$2203,Clean_Data!$AB$2:$AB$2203,$A166&amp;"|"&amp;Inputs!$B$5),"")</f>
        <v>0</v>
      </c>
      <c r="I166" s="54" t="str">
        <f aca="false">IF(ISNUMBER(C166),SUMIFS(Clean_Data!$X$2:$X$2203,Clean_Data!$AB$2:$AB$2203,$A166&amp;"|"&amp;Inputs!$B$6),"")</f>
        <v/>
      </c>
      <c r="J166" s="55" t="str">
        <f aca="false">IF(AND(ISNUMBER(H166),ISNUMBER(I166)),(I166-H166)*100,"")</f>
        <v/>
      </c>
      <c r="K166" s="54" t="str">
        <f aca="false">IF(ISNUMBER(C166),SUMIFS(Clean_Data!$Y$2:$Y$2203,Clean_Data!$AB$2:$AB$2203,$A166&amp;"|"&amp;Inputs!$B$6),"")</f>
        <v/>
      </c>
      <c r="L166" s="56" t="str">
        <f aca="false">IF(COUNTIFS(Clean_Data!$AB$2:$AB$2203,$A166&amp;"|"&amp;Inputs!$B$6,Clean_Data!$P$2:$P$2203,"&lt;&gt;")&gt;0,SUMIFS(Clean_Data!$P$2:$P$2203,Clean_Data!$AB$2:$AB$2203,$A166&amp;"|"&amp;Inputs!$B$6),"")</f>
        <v/>
      </c>
      <c r="M166" s="52" t="str">
        <f aca="false">IF(ISNUMBER(C166),IF(C166&gt;=Inputs!$B$7,"Yes","No"),"No")</f>
        <v>No</v>
      </c>
      <c r="N166" s="57" t="n">
        <f aca="false">IF(M166="Yes",F166+ROW()/10^9,-1)</f>
        <v>-1</v>
      </c>
      <c r="O166" s="57" t="n">
        <f aca="false">IF(AND(M166="Yes",ISNUMBER(J166)),J166+ROW()/10^9,-1000)</f>
        <v>-1000</v>
      </c>
      <c r="P166" s="57" t="n">
        <f aca="false">IF(M166="Yes",K166+ROW()/10^9,-1)</f>
        <v>-1</v>
      </c>
    </row>
    <row r="167" customFormat="false" ht="15" hidden="false" customHeight="false" outlineLevel="0" collapsed="false">
      <c r="A167" s="52" t="s">
        <v>341</v>
      </c>
      <c r="B167" s="53" t="n">
        <f aca="false">IF(COUNTIFS(Clean_Data!$AB$2:$AB$2203,$A167&amp;"|"&amp;Inputs!$B$5)&gt;0,SUMIFS(Clean_Data!$F$2:$F$2203,Clean_Data!$AB$2:$AB$2203,$A167&amp;"|"&amp;Inputs!$B$5),"")</f>
        <v>0.22</v>
      </c>
      <c r="C167" s="53" t="n">
        <f aca="false">IF(COUNTIFS(Clean_Data!$AB$2:$AB$2203,$A167&amp;"|"&amp;Inputs!$B$6)&gt;0,SUMIFS(Clean_Data!$F$2:$F$2203,Clean_Data!$AB$2:$AB$2203,$A167&amp;"|"&amp;Inputs!$B$6),"")</f>
        <v>0.23</v>
      </c>
      <c r="D167" s="54" t="n">
        <f aca="false">IF(AND(ISNUMBER(B167),ISNUMBER(C167)),IF(AND(B167&gt;0,Inputs!$B$6&gt;Inputs!$B$5),(C167/B167)^(1/(Inputs!$B$6-Inputs!$B$5))-1,""),"")</f>
        <v>0.00495130211502981</v>
      </c>
      <c r="E167" s="54" t="n">
        <f aca="false">IF(ISNUMBER(B167),SUMIFS(Clean_Data!$V$2:$V$2203,Clean_Data!$AB$2:$AB$2203,$A167&amp;"|"&amp;Inputs!$B$5),"")</f>
        <v>0.0454545454545455</v>
      </c>
      <c r="F167" s="54" t="n">
        <f aca="false">IF(ISNUMBER(C167),SUMIFS(Clean_Data!$V$2:$V$2203,Clean_Data!$AB$2:$AB$2203,$A167&amp;"|"&amp;Inputs!$B$6),"")</f>
        <v>0.0869565217391304</v>
      </c>
      <c r="G167" s="55" t="n">
        <f aca="false">IF(AND(ISNUMBER(E167),ISNUMBER(F167)),(F167-E167)*100,"")</f>
        <v>4.1501976284585</v>
      </c>
      <c r="H167" s="54" t="n">
        <f aca="false">IF(ISNUMBER(B167),SUMIFS(Clean_Data!$X$2:$X$2203,Clean_Data!$AB$2:$AB$2203,$A167&amp;"|"&amp;Inputs!$B$5),"")</f>
        <v>0.0454545454545455</v>
      </c>
      <c r="I167" s="54" t="n">
        <f aca="false">IF(ISNUMBER(C167),SUMIFS(Clean_Data!$X$2:$X$2203,Clean_Data!$AB$2:$AB$2203,$A167&amp;"|"&amp;Inputs!$B$6),"")</f>
        <v>0.0869565217391304</v>
      </c>
      <c r="J167" s="55" t="n">
        <f aca="false">IF(AND(ISNUMBER(H167),ISNUMBER(I167)),(I167-H167)*100,"")</f>
        <v>4.1501976284585</v>
      </c>
      <c r="K167" s="54" t="n">
        <f aca="false">IF(ISNUMBER(C167),SUMIFS(Clean_Data!$Y$2:$Y$2203,Clean_Data!$AB$2:$AB$2203,$A167&amp;"|"&amp;Inputs!$B$6),"")</f>
        <v>0</v>
      </c>
      <c r="L167" s="56" t="n">
        <f aca="false">IF(COUNTIFS(Clean_Data!$AB$2:$AB$2203,$A167&amp;"|"&amp;Inputs!$B$6,Clean_Data!$P$2:$P$2203,"&lt;&gt;")&gt;0,SUMIFS(Clean_Data!$P$2:$P$2203,Clean_Data!$AB$2:$AB$2203,$A167&amp;"|"&amp;Inputs!$B$6),"")</f>
        <v>608.7</v>
      </c>
      <c r="M167" s="52" t="str">
        <f aca="false">IF(ISNUMBER(C167),IF(C167&gt;=Inputs!$B$7,"Yes","No"),"No")</f>
        <v>No</v>
      </c>
      <c r="N167" s="57" t="n">
        <f aca="false">IF(M167="Yes",F167+ROW()/10^9,-1)</f>
        <v>-1</v>
      </c>
      <c r="O167" s="57" t="n">
        <f aca="false">IF(AND(M167="Yes",ISNUMBER(J167)),J167+ROW()/10^9,-1000)</f>
        <v>-1000</v>
      </c>
      <c r="P167" s="57" t="n">
        <f aca="false">IF(M167="Yes",K167+ROW()/10^9,-1)</f>
        <v>-1</v>
      </c>
    </row>
    <row r="168" customFormat="false" ht="15" hidden="false" customHeight="false" outlineLevel="0" collapsed="false">
      <c r="A168" s="52" t="s">
        <v>342</v>
      </c>
      <c r="B168" s="53" t="n">
        <f aca="false">IF(COUNTIFS(Clean_Data!$AB$2:$AB$2203,$A168&amp;"|"&amp;Inputs!$B$5)&gt;0,SUMIFS(Clean_Data!$F$2:$F$2203,Clean_Data!$AB$2:$AB$2203,$A168&amp;"|"&amp;Inputs!$B$5),"")</f>
        <v>0.38</v>
      </c>
      <c r="C168" s="53" t="n">
        <f aca="false">IF(COUNTIFS(Clean_Data!$AB$2:$AB$2203,$A168&amp;"|"&amp;Inputs!$B$6)&gt;0,SUMIFS(Clean_Data!$F$2:$F$2203,Clean_Data!$AB$2:$AB$2203,$A168&amp;"|"&amp;Inputs!$B$6),"")</f>
        <v>0.4</v>
      </c>
      <c r="D168" s="54" t="n">
        <f aca="false">IF(AND(ISNUMBER(B168),ISNUMBER(C168)),IF(AND(B168&gt;0,Inputs!$B$6&gt;Inputs!$B$5),(C168/B168)^(1/(Inputs!$B$6-Inputs!$B$5))-1,""),"")</f>
        <v>0.00571552658274821</v>
      </c>
      <c r="E168" s="54" t="n">
        <f aca="false">IF(ISNUMBER(B168),SUMIFS(Clean_Data!$V$2:$V$2203,Clean_Data!$AB$2:$AB$2203,$A168&amp;"|"&amp;Inputs!$B$5),"")</f>
        <v>0</v>
      </c>
      <c r="F168" s="54" t="n">
        <f aca="false">IF(ISNUMBER(C168),SUMIFS(Clean_Data!$V$2:$V$2203,Clean_Data!$AB$2:$AB$2203,$A168&amp;"|"&amp;Inputs!$B$6),"")</f>
        <v>0.025</v>
      </c>
      <c r="G168" s="55" t="n">
        <f aca="false">IF(AND(ISNUMBER(E168),ISNUMBER(F168)),(F168-E168)*100,"")</f>
        <v>2.5</v>
      </c>
      <c r="H168" s="54" t="n">
        <f aca="false">IF(ISNUMBER(B168),SUMIFS(Clean_Data!$X$2:$X$2203,Clean_Data!$AB$2:$AB$2203,$A168&amp;"|"&amp;Inputs!$B$5),"")</f>
        <v>0</v>
      </c>
      <c r="I168" s="54" t="n">
        <f aca="false">IF(ISNUMBER(C168),SUMIFS(Clean_Data!$X$2:$X$2203,Clean_Data!$AB$2:$AB$2203,$A168&amp;"|"&amp;Inputs!$B$6),"")</f>
        <v>0.025</v>
      </c>
      <c r="J168" s="55" t="n">
        <f aca="false">IF(AND(ISNUMBER(H168),ISNUMBER(I168)),(I168-H168)*100,"")</f>
        <v>2.5</v>
      </c>
      <c r="K168" s="54" t="n">
        <f aca="false">IF(ISNUMBER(C168),SUMIFS(Clean_Data!$Y$2:$Y$2203,Clean_Data!$AB$2:$AB$2203,$A168&amp;"|"&amp;Inputs!$B$6),"")</f>
        <v>0</v>
      </c>
      <c r="L168" s="56" t="n">
        <f aca="false">IF(COUNTIFS(Clean_Data!$AB$2:$AB$2203,$A168&amp;"|"&amp;Inputs!$B$6,Clean_Data!$P$2:$P$2203,"&lt;&gt;")&gt;0,SUMIFS(Clean_Data!$P$2:$P$2203,Clean_Data!$AB$2:$AB$2203,$A168&amp;"|"&amp;Inputs!$B$6),"")</f>
        <v>650</v>
      </c>
      <c r="M168" s="52" t="str">
        <f aca="false">IF(ISNUMBER(C168),IF(C168&gt;=Inputs!$B$7,"Yes","No"),"No")</f>
        <v>No</v>
      </c>
      <c r="N168" s="57" t="n">
        <f aca="false">IF(M168="Yes",F168+ROW()/10^9,-1)</f>
        <v>-1</v>
      </c>
      <c r="O168" s="57" t="n">
        <f aca="false">IF(AND(M168="Yes",ISNUMBER(J168)),J168+ROW()/10^9,-1000)</f>
        <v>-1000</v>
      </c>
      <c r="P168" s="57" t="n">
        <f aca="false">IF(M168="Yes",K168+ROW()/10^9,-1)</f>
        <v>-1</v>
      </c>
    </row>
    <row r="169" customFormat="false" ht="15" hidden="false" customHeight="false" outlineLevel="0" collapsed="false">
      <c r="A169" s="52" t="s">
        <v>343</v>
      </c>
      <c r="B169" s="53" t="n">
        <f aca="false">IF(COUNTIFS(Clean_Data!$AB$2:$AB$2203,$A169&amp;"|"&amp;Inputs!$B$5)&gt;0,SUMIFS(Clean_Data!$F$2:$F$2203,Clean_Data!$AB$2:$AB$2203,$A169&amp;"|"&amp;Inputs!$B$5),"")</f>
        <v>0.05</v>
      </c>
      <c r="C169" s="53" t="str">
        <f aca="false">IF(COUNTIFS(Clean_Data!$AB$2:$AB$2203,$A169&amp;"|"&amp;Inputs!$B$6)&gt;0,SUMIFS(Clean_Data!$F$2:$F$2203,Clean_Data!$AB$2:$AB$2203,$A169&amp;"|"&amp;Inputs!$B$6),"")</f>
        <v/>
      </c>
      <c r="D169" s="54" t="str">
        <f aca="false">IF(AND(ISNUMBER(B169),ISNUMBER(C169)),IF(AND(B169&gt;0,Inputs!$B$6&gt;Inputs!$B$5),(C169/B169)^(1/(Inputs!$B$6-Inputs!$B$5))-1,""),"")</f>
        <v/>
      </c>
      <c r="E169" s="54" t="n">
        <f aca="false">IF(ISNUMBER(B169),SUMIFS(Clean_Data!$V$2:$V$2203,Clean_Data!$AB$2:$AB$2203,$A169&amp;"|"&amp;Inputs!$B$5),"")</f>
        <v>0</v>
      </c>
      <c r="F169" s="54" t="str">
        <f aca="false">IF(ISNUMBER(C169),SUMIFS(Clean_Data!$V$2:$V$2203,Clean_Data!$AB$2:$AB$2203,$A169&amp;"|"&amp;Inputs!$B$6),"")</f>
        <v/>
      </c>
      <c r="G169" s="55" t="str">
        <f aca="false">IF(AND(ISNUMBER(E169),ISNUMBER(F169)),(F169-E169)*100,"")</f>
        <v/>
      </c>
      <c r="H169" s="54" t="n">
        <f aca="false">IF(ISNUMBER(B169),SUMIFS(Clean_Data!$X$2:$X$2203,Clean_Data!$AB$2:$AB$2203,$A169&amp;"|"&amp;Inputs!$B$5),"")</f>
        <v>0</v>
      </c>
      <c r="I169" s="54" t="str">
        <f aca="false">IF(ISNUMBER(C169),SUMIFS(Clean_Data!$X$2:$X$2203,Clean_Data!$AB$2:$AB$2203,$A169&amp;"|"&amp;Inputs!$B$6),"")</f>
        <v/>
      </c>
      <c r="J169" s="55" t="str">
        <f aca="false">IF(AND(ISNUMBER(H169),ISNUMBER(I169)),(I169-H169)*100,"")</f>
        <v/>
      </c>
      <c r="K169" s="54" t="str">
        <f aca="false">IF(ISNUMBER(C169),SUMIFS(Clean_Data!$Y$2:$Y$2203,Clean_Data!$AB$2:$AB$2203,$A169&amp;"|"&amp;Inputs!$B$6),"")</f>
        <v/>
      </c>
      <c r="L169" s="56" t="str">
        <f aca="false">IF(COUNTIFS(Clean_Data!$AB$2:$AB$2203,$A169&amp;"|"&amp;Inputs!$B$6,Clean_Data!$P$2:$P$2203,"&lt;&gt;")&gt;0,SUMIFS(Clean_Data!$P$2:$P$2203,Clean_Data!$AB$2:$AB$2203,$A169&amp;"|"&amp;Inputs!$B$6),"")</f>
        <v/>
      </c>
      <c r="M169" s="52" t="str">
        <f aca="false">IF(ISNUMBER(C169),IF(C169&gt;=Inputs!$B$7,"Yes","No"),"No")</f>
        <v>No</v>
      </c>
      <c r="N169" s="57" t="n">
        <f aca="false">IF(M169="Yes",F169+ROW()/10^9,-1)</f>
        <v>-1</v>
      </c>
      <c r="O169" s="57" t="n">
        <f aca="false">IF(AND(M169="Yes",ISNUMBER(J169)),J169+ROW()/10^9,-1000)</f>
        <v>-1000</v>
      </c>
      <c r="P169" s="57" t="n">
        <f aca="false">IF(M169="Yes",K169+ROW()/10^9,-1)</f>
        <v>-1</v>
      </c>
    </row>
    <row r="170" customFormat="false" ht="15" hidden="false" customHeight="false" outlineLevel="0" collapsed="false">
      <c r="A170" s="52" t="s">
        <v>344</v>
      </c>
      <c r="B170" s="53" t="n">
        <f aca="false">IF(COUNTIFS(Clean_Data!$AB$2:$AB$2203,$A170&amp;"|"&amp;Inputs!$B$5)&gt;0,SUMIFS(Clean_Data!$F$2:$F$2203,Clean_Data!$AB$2:$AB$2203,$A170&amp;"|"&amp;Inputs!$B$5),"")</f>
        <v>0.15</v>
      </c>
      <c r="C170" s="53" t="n">
        <f aca="false">IF(COUNTIFS(Clean_Data!$AB$2:$AB$2203,$A170&amp;"|"&amp;Inputs!$B$6)&gt;0,SUMIFS(Clean_Data!$F$2:$F$2203,Clean_Data!$AB$2:$AB$2203,$A170&amp;"|"&amp;Inputs!$B$6),"")</f>
        <v>0.15</v>
      </c>
      <c r="D170" s="54" t="n">
        <f aca="false">IF(AND(ISNUMBER(B170),ISNUMBER(C170)),IF(AND(B170&gt;0,Inputs!$B$6&gt;Inputs!$B$5),(C170/B170)^(1/(Inputs!$B$6-Inputs!$B$5))-1,""),"")</f>
        <v>0</v>
      </c>
      <c r="E170" s="54" t="n">
        <f aca="false">IF(ISNUMBER(B170),SUMIFS(Clean_Data!$V$2:$V$2203,Clean_Data!$AB$2:$AB$2203,$A170&amp;"|"&amp;Inputs!$B$5),"")</f>
        <v>0.133333333333333</v>
      </c>
      <c r="F170" s="54" t="n">
        <f aca="false">IF(ISNUMBER(C170),SUMIFS(Clean_Data!$V$2:$V$2203,Clean_Data!$AB$2:$AB$2203,$A170&amp;"|"&amp;Inputs!$B$6),"")</f>
        <v>0.133333333333333</v>
      </c>
      <c r="G170" s="55" t="n">
        <f aca="false">IF(AND(ISNUMBER(E170),ISNUMBER(F170)),(F170-E170)*100,"")</f>
        <v>0</v>
      </c>
      <c r="H170" s="54" t="n">
        <f aca="false">IF(ISNUMBER(B170),SUMIFS(Clean_Data!$X$2:$X$2203,Clean_Data!$AB$2:$AB$2203,$A170&amp;"|"&amp;Inputs!$B$5),"")</f>
        <v>0</v>
      </c>
      <c r="I170" s="54" t="n">
        <f aca="false">IF(ISNUMBER(C170),SUMIFS(Clean_Data!$X$2:$X$2203,Clean_Data!$AB$2:$AB$2203,$A170&amp;"|"&amp;Inputs!$B$6),"")</f>
        <v>0</v>
      </c>
      <c r="J170" s="55" t="n">
        <f aca="false">IF(AND(ISNUMBER(H170),ISNUMBER(I170)),(I170-H170)*100,"")</f>
        <v>0</v>
      </c>
      <c r="K170" s="54" t="n">
        <f aca="false">IF(ISNUMBER(C170),SUMIFS(Clean_Data!$Y$2:$Y$2203,Clean_Data!$AB$2:$AB$2203,$A170&amp;"|"&amp;Inputs!$B$6),"")</f>
        <v>0</v>
      </c>
      <c r="L170" s="56" t="n">
        <f aca="false">IF(COUNTIFS(Clean_Data!$AB$2:$AB$2203,$A170&amp;"|"&amp;Inputs!$B$6,Clean_Data!$P$2:$P$2203,"&lt;&gt;")&gt;0,SUMIFS(Clean_Data!$P$2:$P$2203,Clean_Data!$AB$2:$AB$2203,$A170&amp;"|"&amp;Inputs!$B$6),"")</f>
        <v>600</v>
      </c>
      <c r="M170" s="52" t="str">
        <f aca="false">IF(ISNUMBER(C170),IF(C170&gt;=Inputs!$B$7,"Yes","No"),"No")</f>
        <v>No</v>
      </c>
      <c r="N170" s="57" t="n">
        <f aca="false">IF(M170="Yes",F170+ROW()/10^9,-1)</f>
        <v>-1</v>
      </c>
      <c r="O170" s="57" t="n">
        <f aca="false">IF(AND(M170="Yes",ISNUMBER(J170)),J170+ROW()/10^9,-1000)</f>
        <v>-1000</v>
      </c>
      <c r="P170" s="57" t="n">
        <f aca="false">IF(M170="Yes",K170+ROW()/10^9,-1)</f>
        <v>-1</v>
      </c>
    </row>
    <row r="171" customFormat="false" ht="15" hidden="false" customHeight="false" outlineLevel="0" collapsed="false">
      <c r="A171" s="52" t="s">
        <v>345</v>
      </c>
      <c r="B171" s="53" t="n">
        <f aca="false">IF(COUNTIFS(Clean_Data!$AB$2:$AB$2203,$A171&amp;"|"&amp;Inputs!$B$5)&gt;0,SUMIFS(Clean_Data!$F$2:$F$2203,Clean_Data!$AB$2:$AB$2203,$A171&amp;"|"&amp;Inputs!$B$5),"")</f>
        <v>0.13</v>
      </c>
      <c r="C171" s="53" t="n">
        <f aca="false">IF(COUNTIFS(Clean_Data!$AB$2:$AB$2203,$A171&amp;"|"&amp;Inputs!$B$6)&gt;0,SUMIFS(Clean_Data!$F$2:$F$2203,Clean_Data!$AB$2:$AB$2203,$A171&amp;"|"&amp;Inputs!$B$6),"")</f>
        <v>0.16</v>
      </c>
      <c r="D171" s="54" t="n">
        <f aca="false">IF(AND(ISNUMBER(B171),ISNUMBER(C171)),IF(AND(B171&gt;0,Inputs!$B$6&gt;Inputs!$B$5),(C171/B171)^(1/(Inputs!$B$6-Inputs!$B$5))-1,""),"")</f>
        <v>0.0233392355276054</v>
      </c>
      <c r="E171" s="54" t="n">
        <f aca="false">IF(ISNUMBER(B171),SUMIFS(Clean_Data!$V$2:$V$2203,Clean_Data!$AB$2:$AB$2203,$A171&amp;"|"&amp;Inputs!$B$5),"")</f>
        <v>0.307692307692308</v>
      </c>
      <c r="F171" s="54" t="n">
        <f aca="false">IF(ISNUMBER(C171),SUMIFS(Clean_Data!$V$2:$V$2203,Clean_Data!$AB$2:$AB$2203,$A171&amp;"|"&amp;Inputs!$B$6),"")</f>
        <v>0.4375</v>
      </c>
      <c r="G171" s="55" t="n">
        <f aca="false">IF(AND(ISNUMBER(E171),ISNUMBER(F171)),(F171-E171)*100,"")</f>
        <v>12.9807692307692</v>
      </c>
      <c r="H171" s="54" t="n">
        <f aca="false">IF(ISNUMBER(B171),SUMIFS(Clean_Data!$X$2:$X$2203,Clean_Data!$AB$2:$AB$2203,$A171&amp;"|"&amp;Inputs!$B$5),"")</f>
        <v>0.0769230769230769</v>
      </c>
      <c r="I171" s="54" t="n">
        <f aca="false">IF(ISNUMBER(C171),SUMIFS(Clean_Data!$X$2:$X$2203,Clean_Data!$AB$2:$AB$2203,$A171&amp;"|"&amp;Inputs!$B$6),"")</f>
        <v>0.1875</v>
      </c>
      <c r="J171" s="55" t="n">
        <f aca="false">IF(AND(ISNUMBER(H171),ISNUMBER(I171)),(I171-H171)*100,"")</f>
        <v>11.0576923076923</v>
      </c>
      <c r="K171" s="54" t="n">
        <f aca="false">IF(ISNUMBER(C171),SUMIFS(Clean_Data!$Y$2:$Y$2203,Clean_Data!$AB$2:$AB$2203,$A171&amp;"|"&amp;Inputs!$B$6),"")</f>
        <v>0</v>
      </c>
      <c r="L171" s="56" t="n">
        <f aca="false">IF(COUNTIFS(Clean_Data!$AB$2:$AB$2203,$A171&amp;"|"&amp;Inputs!$B$6,Clean_Data!$P$2:$P$2203,"&lt;&gt;")&gt;0,SUMIFS(Clean_Data!$P$2:$P$2203,Clean_Data!$AB$2:$AB$2203,$A171&amp;"|"&amp;Inputs!$B$6),"")</f>
        <v>375</v>
      </c>
      <c r="M171" s="52" t="str">
        <f aca="false">IF(ISNUMBER(C171),IF(C171&gt;=Inputs!$B$7,"Yes","No"),"No")</f>
        <v>No</v>
      </c>
      <c r="N171" s="57" t="n">
        <f aca="false">IF(M171="Yes",F171+ROW()/10^9,-1)</f>
        <v>-1</v>
      </c>
      <c r="O171" s="57" t="n">
        <f aca="false">IF(AND(M171="Yes",ISNUMBER(J171)),J171+ROW()/10^9,-1000)</f>
        <v>-1000</v>
      </c>
      <c r="P171" s="57" t="n">
        <f aca="false">IF(M171="Yes",K171+ROW()/10^9,-1)</f>
        <v>-1</v>
      </c>
    </row>
    <row r="172" customFormat="false" ht="15" hidden="false" customHeight="false" outlineLevel="0" collapsed="false">
      <c r="A172" s="52" t="s">
        <v>346</v>
      </c>
      <c r="B172" s="53" t="n">
        <f aca="false">IF(COUNTIFS(Clean_Data!$AB$2:$AB$2203,$A172&amp;"|"&amp;Inputs!$B$5)&gt;0,SUMIFS(Clean_Data!$F$2:$F$2203,Clean_Data!$AB$2:$AB$2203,$A172&amp;"|"&amp;Inputs!$B$5),"")</f>
        <v>0.1</v>
      </c>
      <c r="C172" s="53" t="str">
        <f aca="false">IF(COUNTIFS(Clean_Data!$AB$2:$AB$2203,$A172&amp;"|"&amp;Inputs!$B$6)&gt;0,SUMIFS(Clean_Data!$F$2:$F$2203,Clean_Data!$AB$2:$AB$2203,$A172&amp;"|"&amp;Inputs!$B$6),"")</f>
        <v/>
      </c>
      <c r="D172" s="54" t="str">
        <f aca="false">IF(AND(ISNUMBER(B172),ISNUMBER(C172)),IF(AND(B172&gt;0,Inputs!$B$6&gt;Inputs!$B$5),(C172/B172)^(1/(Inputs!$B$6-Inputs!$B$5))-1,""),"")</f>
        <v/>
      </c>
      <c r="E172" s="54" t="n">
        <f aca="false">IF(ISNUMBER(B172),SUMIFS(Clean_Data!$V$2:$V$2203,Clean_Data!$AB$2:$AB$2203,$A172&amp;"|"&amp;Inputs!$B$5),"")</f>
        <v>0.1</v>
      </c>
      <c r="F172" s="54" t="str">
        <f aca="false">IF(ISNUMBER(C172),SUMIFS(Clean_Data!$V$2:$V$2203,Clean_Data!$AB$2:$AB$2203,$A172&amp;"|"&amp;Inputs!$B$6),"")</f>
        <v/>
      </c>
      <c r="G172" s="55" t="str">
        <f aca="false">IF(AND(ISNUMBER(E172),ISNUMBER(F172)),(F172-E172)*100,"")</f>
        <v/>
      </c>
      <c r="H172" s="54" t="n">
        <f aca="false">IF(ISNUMBER(B172),SUMIFS(Clean_Data!$X$2:$X$2203,Clean_Data!$AB$2:$AB$2203,$A172&amp;"|"&amp;Inputs!$B$5),"")</f>
        <v>0</v>
      </c>
      <c r="I172" s="54" t="str">
        <f aca="false">IF(ISNUMBER(C172),SUMIFS(Clean_Data!$X$2:$X$2203,Clean_Data!$AB$2:$AB$2203,$A172&amp;"|"&amp;Inputs!$B$6),"")</f>
        <v/>
      </c>
      <c r="J172" s="55" t="str">
        <f aca="false">IF(AND(ISNUMBER(H172),ISNUMBER(I172)),(I172-H172)*100,"")</f>
        <v/>
      </c>
      <c r="K172" s="54" t="str">
        <f aca="false">IF(ISNUMBER(C172),SUMIFS(Clean_Data!$Y$2:$Y$2203,Clean_Data!$AB$2:$AB$2203,$A172&amp;"|"&amp;Inputs!$B$6),"")</f>
        <v/>
      </c>
      <c r="L172" s="56" t="str">
        <f aca="false">IF(COUNTIFS(Clean_Data!$AB$2:$AB$2203,$A172&amp;"|"&amp;Inputs!$B$6,Clean_Data!$P$2:$P$2203,"&lt;&gt;")&gt;0,SUMIFS(Clean_Data!$P$2:$P$2203,Clean_Data!$AB$2:$AB$2203,$A172&amp;"|"&amp;Inputs!$B$6),"")</f>
        <v/>
      </c>
      <c r="M172" s="52" t="str">
        <f aca="false">IF(ISNUMBER(C172),IF(C172&gt;=Inputs!$B$7,"Yes","No"),"No")</f>
        <v>No</v>
      </c>
      <c r="N172" s="57" t="n">
        <f aca="false">IF(M172="Yes",F172+ROW()/10^9,-1)</f>
        <v>-1</v>
      </c>
      <c r="O172" s="57" t="n">
        <f aca="false">IF(AND(M172="Yes",ISNUMBER(J172)),J172+ROW()/10^9,-1000)</f>
        <v>-1000</v>
      </c>
      <c r="P172" s="57" t="n">
        <f aca="false">IF(M172="Yes",K172+ROW()/10^9,-1)</f>
        <v>-1</v>
      </c>
    </row>
    <row r="173" customFormat="false" ht="15" hidden="false" customHeight="false" outlineLevel="0" collapsed="false">
      <c r="A173" s="52" t="s">
        <v>347</v>
      </c>
      <c r="B173" s="53" t="n">
        <f aca="false">IF(COUNTIFS(Clean_Data!$AB$2:$AB$2203,$A173&amp;"|"&amp;Inputs!$B$5)&gt;0,SUMIFS(Clean_Data!$F$2:$F$2203,Clean_Data!$AB$2:$AB$2203,$A173&amp;"|"&amp;Inputs!$B$5),"")</f>
        <v>350.64</v>
      </c>
      <c r="C173" s="53" t="n">
        <f aca="false">IF(COUNTIFS(Clean_Data!$AB$2:$AB$2203,$A173&amp;"|"&amp;Inputs!$B$6)&gt;0,SUMIFS(Clean_Data!$F$2:$F$2203,Clean_Data!$AB$2:$AB$2203,$A173&amp;"|"&amp;Inputs!$B$6),"")</f>
        <v>454.64</v>
      </c>
      <c r="D173" s="54" t="n">
        <f aca="false">IF(AND(ISNUMBER(B173),ISNUMBER(C173)),IF(AND(B173&gt;0,Inputs!$B$6&gt;Inputs!$B$5),(C173/B173)^(1/(Inputs!$B$6-Inputs!$B$5))-1,""),"")</f>
        <v>0.0292811531091295</v>
      </c>
      <c r="E173" s="54" t="n">
        <f aca="false">IF(ISNUMBER(B173),SUMIFS(Clean_Data!$V$2:$V$2203,Clean_Data!$AB$2:$AB$2203,$A173&amp;"|"&amp;Inputs!$B$5),"")</f>
        <v>0.00014259639516313</v>
      </c>
      <c r="F173" s="54" t="n">
        <f aca="false">IF(ISNUMBER(C173),SUMIFS(Clean_Data!$V$2:$V$2203,Clean_Data!$AB$2:$AB$2203,$A173&amp;"|"&amp;Inputs!$B$6),"")</f>
        <v>0.0215995073024811</v>
      </c>
      <c r="G173" s="55" t="n">
        <f aca="false">IF(AND(ISNUMBER(E173),ISNUMBER(F173)),(F173-E173)*100,"")</f>
        <v>2.1456910907318</v>
      </c>
      <c r="H173" s="54" t="n">
        <f aca="false">IF(ISNUMBER(B173),SUMIFS(Clean_Data!$X$2:$X$2203,Clean_Data!$AB$2:$AB$2203,$A173&amp;"|"&amp;Inputs!$B$5),"")</f>
        <v>0.00014259639516313</v>
      </c>
      <c r="I173" s="54" t="n">
        <f aca="false">IF(ISNUMBER(C173),SUMIFS(Clean_Data!$X$2:$X$2203,Clean_Data!$AB$2:$AB$2203,$A173&amp;"|"&amp;Inputs!$B$6),"")</f>
        <v>0.0215995073024811</v>
      </c>
      <c r="J173" s="55" t="n">
        <f aca="false">IF(AND(ISNUMBER(H173),ISNUMBER(I173)),(I173-H173)*100,"")</f>
        <v>2.1456910907318</v>
      </c>
      <c r="K173" s="54" t="n">
        <f aca="false">IF(ISNUMBER(C173),SUMIFS(Clean_Data!$Y$2:$Y$2203,Clean_Data!$AB$2:$AB$2203,$A173&amp;"|"&amp;Inputs!$B$6),"")</f>
        <v>0</v>
      </c>
      <c r="L173" s="56" t="n">
        <f aca="false">IF(COUNTIFS(Clean_Data!$AB$2:$AB$2203,$A173&amp;"|"&amp;Inputs!$B$6,Clean_Data!$P$2:$P$2203,"&lt;&gt;")&gt;0,SUMIFS(Clean_Data!$P$2:$P$2203,Clean_Data!$AB$2:$AB$2203,$A173&amp;"|"&amp;Inputs!$B$6),"")</f>
        <v>692</v>
      </c>
      <c r="M173" s="52" t="str">
        <f aca="false">IF(ISNUMBER(C173),IF(C173&gt;=Inputs!$B$7,"Yes","No"),"No")</f>
        <v>Yes</v>
      </c>
      <c r="N173" s="57" t="n">
        <f aca="false">IF(M173="Yes",F173+ROW()/10^9,-1)</f>
        <v>0.0215996803024811</v>
      </c>
      <c r="O173" s="57" t="n">
        <f aca="false">IF(AND(M173="Yes",ISNUMBER(J173)),J173+ROW()/10^9,-1000)</f>
        <v>2.1456912637318</v>
      </c>
      <c r="P173" s="57" t="n">
        <f aca="false">IF(M173="Yes",K173+ROW()/10^9,-1)</f>
        <v>1.73E-007</v>
      </c>
    </row>
    <row r="174" customFormat="false" ht="15" hidden="false" customHeight="false" outlineLevel="0" collapsed="false">
      <c r="A174" s="52" t="s">
        <v>348</v>
      </c>
      <c r="B174" s="53" t="n">
        <f aca="false">IF(COUNTIFS(Clean_Data!$AB$2:$AB$2203,$A174&amp;"|"&amp;Inputs!$B$5)&gt;0,SUMIFS(Clean_Data!$F$2:$F$2203,Clean_Data!$AB$2:$AB$2203,$A174&amp;"|"&amp;Inputs!$B$5),"")</f>
        <v>4.44</v>
      </c>
      <c r="C174" s="53" t="n">
        <f aca="false">IF(COUNTIFS(Clean_Data!$AB$2:$AB$2203,$A174&amp;"|"&amp;Inputs!$B$6)&gt;0,SUMIFS(Clean_Data!$F$2:$F$2203,Clean_Data!$AB$2:$AB$2203,$A174&amp;"|"&amp;Inputs!$B$6),"")</f>
        <v>7.63</v>
      </c>
      <c r="D174" s="54" t="n">
        <f aca="false">IF(AND(ISNUMBER(B174),ISNUMBER(C174)),IF(AND(B174&gt;0,Inputs!$B$6&gt;Inputs!$B$5),(C174/B174)^(1/(Inputs!$B$6-Inputs!$B$5))-1,""),"")</f>
        <v>0.062005683305199</v>
      </c>
      <c r="E174" s="54" t="n">
        <f aca="false">IF(ISNUMBER(B174),SUMIFS(Clean_Data!$V$2:$V$2203,Clean_Data!$AB$2:$AB$2203,$A174&amp;"|"&amp;Inputs!$B$5),"")</f>
        <v>0.0900900900900901</v>
      </c>
      <c r="F174" s="54" t="n">
        <f aca="false">IF(ISNUMBER(C174),SUMIFS(Clean_Data!$V$2:$V$2203,Clean_Data!$AB$2:$AB$2203,$A174&amp;"|"&amp;Inputs!$B$6),"")</f>
        <v>0.197903014416776</v>
      </c>
      <c r="G174" s="55" t="n">
        <f aca="false">IF(AND(ISNUMBER(E174),ISNUMBER(F174)),(F174-E174)*100,"")</f>
        <v>10.7812924326686</v>
      </c>
      <c r="H174" s="54" t="n">
        <f aca="false">IF(ISNUMBER(B174),SUMIFS(Clean_Data!$X$2:$X$2203,Clean_Data!$AB$2:$AB$2203,$A174&amp;"|"&amp;Inputs!$B$5),"")</f>
        <v>0</v>
      </c>
      <c r="I174" s="54" t="n">
        <f aca="false">IF(ISNUMBER(C174),SUMIFS(Clean_Data!$X$2:$X$2203,Clean_Data!$AB$2:$AB$2203,$A174&amp;"|"&amp;Inputs!$B$6),"")</f>
        <v>0.142857142857143</v>
      </c>
      <c r="J174" s="55" t="n">
        <f aca="false">IF(AND(ISNUMBER(H174),ISNUMBER(I174)),(I174-H174)*100,"")</f>
        <v>14.2857142857143</v>
      </c>
      <c r="K174" s="54" t="n">
        <f aca="false">IF(ISNUMBER(C174),SUMIFS(Clean_Data!$Y$2:$Y$2203,Clean_Data!$AB$2:$AB$2203,$A174&amp;"|"&amp;Inputs!$B$6),"")</f>
        <v>0.0131061598951507</v>
      </c>
      <c r="L174" s="56" t="n">
        <f aca="false">IF(COUNTIFS(Clean_Data!$AB$2:$AB$2203,$A174&amp;"|"&amp;Inputs!$B$6,Clean_Data!$P$2:$P$2203,"&lt;&gt;")&gt;0,SUMIFS(Clean_Data!$P$2:$P$2203,Clean_Data!$AB$2:$AB$2203,$A174&amp;"|"&amp;Inputs!$B$6),"")</f>
        <v>540</v>
      </c>
      <c r="M174" s="52" t="str">
        <f aca="false">IF(ISNUMBER(C174),IF(C174&gt;=Inputs!$B$7,"Yes","No"),"No")</f>
        <v>No</v>
      </c>
      <c r="N174" s="57" t="n">
        <f aca="false">IF(M174="Yes",F174+ROW()/10^9,-1)</f>
        <v>-1</v>
      </c>
      <c r="O174" s="57" t="n">
        <f aca="false">IF(AND(M174="Yes",ISNUMBER(J174)),J174+ROW()/10^9,-1000)</f>
        <v>-1000</v>
      </c>
      <c r="P174" s="57" t="n">
        <f aca="false">IF(M174="Yes",K174+ROW()/10^9,-1)</f>
        <v>-1</v>
      </c>
    </row>
    <row r="175" customFormat="false" ht="15" hidden="false" customHeight="false" outlineLevel="0" collapsed="false">
      <c r="A175" s="52" t="s">
        <v>349</v>
      </c>
      <c r="B175" s="53" t="n">
        <f aca="false">IF(COUNTIFS(Clean_Data!$AB$2:$AB$2203,$A175&amp;"|"&amp;Inputs!$B$5)&gt;0,SUMIFS(Clean_Data!$F$2:$F$2203,Clean_Data!$AB$2:$AB$2203,$A175&amp;"|"&amp;Inputs!$B$5),"")</f>
        <v>37.59</v>
      </c>
      <c r="C175" s="53" t="n">
        <f aca="false">IF(COUNTIFS(Clean_Data!$AB$2:$AB$2203,$A175&amp;"|"&amp;Inputs!$B$6)&gt;0,SUMIFS(Clean_Data!$F$2:$F$2203,Clean_Data!$AB$2:$AB$2203,$A175&amp;"|"&amp;Inputs!$B$6),"")</f>
        <v>36.96</v>
      </c>
      <c r="D175" s="54" t="n">
        <f aca="false">IF(AND(ISNUMBER(B175),ISNUMBER(C175)),IF(AND(B175&gt;0,Inputs!$B$6&gt;Inputs!$B$5),(C175/B175)^(1/(Inputs!$B$6-Inputs!$B$5))-1,""),"")</f>
        <v>-0.00187621667890558</v>
      </c>
      <c r="E175" s="54" t="n">
        <f aca="false">IF(ISNUMBER(B175),SUMIFS(Clean_Data!$V$2:$V$2203,Clean_Data!$AB$2:$AB$2203,$A175&amp;"|"&amp;Inputs!$B$5),"")</f>
        <v>0.268954509177973</v>
      </c>
      <c r="F175" s="54" t="n">
        <f aca="false">IF(ISNUMBER(C175),SUMIFS(Clean_Data!$V$2:$V$2203,Clean_Data!$AB$2:$AB$2203,$A175&amp;"|"&amp;Inputs!$B$6),"")</f>
        <v>0.320616883116883</v>
      </c>
      <c r="G175" s="55" t="n">
        <f aca="false">IF(AND(ISNUMBER(E175),ISNUMBER(F175)),(F175-E175)*100,"")</f>
        <v>5.16623739389103</v>
      </c>
      <c r="H175" s="54" t="n">
        <f aca="false">IF(ISNUMBER(B175),SUMIFS(Clean_Data!$X$2:$X$2203,Clean_Data!$AB$2:$AB$2203,$A175&amp;"|"&amp;Inputs!$B$5),"")</f>
        <v>0.000266028198989093</v>
      </c>
      <c r="I175" s="54" t="n">
        <f aca="false">IF(ISNUMBER(C175),SUMIFS(Clean_Data!$X$2:$X$2203,Clean_Data!$AB$2:$AB$2203,$A175&amp;"|"&amp;Inputs!$B$6),"")</f>
        <v>0.0381493506493507</v>
      </c>
      <c r="J175" s="55" t="n">
        <f aca="false">IF(AND(ISNUMBER(H175),ISNUMBER(I175)),(I175-H175)*100,"")</f>
        <v>3.78833224503616</v>
      </c>
      <c r="K175" s="54" t="n">
        <f aca="false">IF(ISNUMBER(C175),SUMIFS(Clean_Data!$Y$2:$Y$2203,Clean_Data!$AB$2:$AB$2203,$A175&amp;"|"&amp;Inputs!$B$6),"")</f>
        <v>0.629329004329004</v>
      </c>
      <c r="L175" s="56" t="n">
        <f aca="false">IF(COUNTIFS(Clean_Data!$AB$2:$AB$2203,$A175&amp;"|"&amp;Inputs!$B$6,Clean_Data!$P$2:$P$2203,"&lt;&gt;")&gt;0,SUMIFS(Clean_Data!$P$2:$P$2203,Clean_Data!$AB$2:$AB$2203,$A175&amp;"|"&amp;Inputs!$B$6),"")</f>
        <v>666.4</v>
      </c>
      <c r="M175" s="52" t="str">
        <f aca="false">IF(ISNUMBER(C175),IF(C175&gt;=Inputs!$B$7,"Yes","No"),"No")</f>
        <v>Yes</v>
      </c>
      <c r="N175" s="57" t="n">
        <f aca="false">IF(M175="Yes",F175+ROW()/10^9,-1)</f>
        <v>0.320617058116883</v>
      </c>
      <c r="O175" s="57" t="n">
        <f aca="false">IF(AND(M175="Yes",ISNUMBER(J175)),J175+ROW()/10^9,-1000)</f>
        <v>3.78833242003616</v>
      </c>
      <c r="P175" s="57" t="n">
        <f aca="false">IF(M175="Yes",K175+ROW()/10^9,-1)</f>
        <v>0.629329179329005</v>
      </c>
    </row>
    <row r="176" customFormat="false" ht="15" hidden="false" customHeight="false" outlineLevel="0" collapsed="false">
      <c r="A176" s="52" t="s">
        <v>350</v>
      </c>
      <c r="B176" s="53" t="n">
        <f aca="false">IF(COUNTIFS(Clean_Data!$AB$2:$AB$2203,$A176&amp;"|"&amp;Inputs!$B$5)&gt;0,SUMIFS(Clean_Data!$F$2:$F$2203,Clean_Data!$AB$2:$AB$2203,$A176&amp;"|"&amp;Inputs!$B$5),"")</f>
        <v>0.46</v>
      </c>
      <c r="C176" s="53" t="n">
        <f aca="false">IF(COUNTIFS(Clean_Data!$AB$2:$AB$2203,$A176&amp;"|"&amp;Inputs!$B$6)&gt;0,SUMIFS(Clean_Data!$F$2:$F$2203,Clean_Data!$AB$2:$AB$2203,$A176&amp;"|"&amp;Inputs!$B$6),"")</f>
        <v>0.63</v>
      </c>
      <c r="D176" s="54" t="n">
        <f aca="false">IF(AND(ISNUMBER(B176),ISNUMBER(C176)),IF(AND(B176&gt;0,Inputs!$B$6&gt;Inputs!$B$5),(C176/B176)^(1/(Inputs!$B$6-Inputs!$B$5))-1,""),"")</f>
        <v>0.0355614084919294</v>
      </c>
      <c r="E176" s="54" t="n">
        <f aca="false">IF(ISNUMBER(B176),SUMIFS(Clean_Data!$V$2:$V$2203,Clean_Data!$AB$2:$AB$2203,$A176&amp;"|"&amp;Inputs!$B$5),"")</f>
        <v>0.0217391304347826</v>
      </c>
      <c r="F176" s="54" t="n">
        <f aca="false">IF(ISNUMBER(C176),SUMIFS(Clean_Data!$V$2:$V$2203,Clean_Data!$AB$2:$AB$2203,$A176&amp;"|"&amp;Inputs!$B$6),"")</f>
        <v>0.158730158730159</v>
      </c>
      <c r="G176" s="55" t="n">
        <f aca="false">IF(AND(ISNUMBER(E176),ISNUMBER(F176)),(F176-E176)*100,"")</f>
        <v>13.6991028295376</v>
      </c>
      <c r="H176" s="54" t="n">
        <f aca="false">IF(ISNUMBER(B176),SUMIFS(Clean_Data!$X$2:$X$2203,Clean_Data!$AB$2:$AB$2203,$A176&amp;"|"&amp;Inputs!$B$5),"")</f>
        <v>0.0217391304347826</v>
      </c>
      <c r="I176" s="54" t="n">
        <f aca="false">IF(ISNUMBER(C176),SUMIFS(Clean_Data!$X$2:$X$2203,Clean_Data!$AB$2:$AB$2203,$A176&amp;"|"&amp;Inputs!$B$6),"")</f>
        <v>0.158730158730159</v>
      </c>
      <c r="J176" s="55" t="n">
        <f aca="false">IF(AND(ISNUMBER(H176),ISNUMBER(I176)),(I176-H176)*100,"")</f>
        <v>13.6991028295376</v>
      </c>
      <c r="K176" s="54" t="n">
        <f aca="false">IF(ISNUMBER(C176),SUMIFS(Clean_Data!$Y$2:$Y$2203,Clean_Data!$AB$2:$AB$2203,$A176&amp;"|"&amp;Inputs!$B$6),"")</f>
        <v>0</v>
      </c>
      <c r="L176" s="56" t="n">
        <f aca="false">IF(COUNTIFS(Clean_Data!$AB$2:$AB$2203,$A176&amp;"|"&amp;Inputs!$B$6,Clean_Data!$P$2:$P$2203,"&lt;&gt;")&gt;0,SUMIFS(Clean_Data!$P$2:$P$2203,Clean_Data!$AB$2:$AB$2203,$A176&amp;"|"&amp;Inputs!$B$6),"")</f>
        <v>555.6</v>
      </c>
      <c r="M176" s="52" t="str">
        <f aca="false">IF(ISNUMBER(C176),IF(C176&gt;=Inputs!$B$7,"Yes","No"),"No")</f>
        <v>No</v>
      </c>
      <c r="N176" s="57" t="n">
        <f aca="false">IF(M176="Yes",F176+ROW()/10^9,-1)</f>
        <v>-1</v>
      </c>
      <c r="O176" s="57" t="n">
        <f aca="false">IF(AND(M176="Yes",ISNUMBER(J176)),J176+ROW()/10^9,-1000)</f>
        <v>-1000</v>
      </c>
      <c r="P176" s="57" t="n">
        <f aca="false">IF(M176="Yes",K176+ROW()/10^9,-1)</f>
        <v>-1</v>
      </c>
    </row>
    <row r="177" customFormat="false" ht="15" hidden="false" customHeight="false" outlineLevel="0" collapsed="false">
      <c r="A177" s="52" t="s">
        <v>351</v>
      </c>
      <c r="B177" s="53" t="n">
        <f aca="false">IF(COUNTIFS(Clean_Data!$AB$2:$AB$2203,$A177&amp;"|"&amp;Inputs!$B$5)&gt;0,SUMIFS(Clean_Data!$F$2:$F$2203,Clean_Data!$AB$2:$AB$2203,$A177&amp;"|"&amp;Inputs!$B$5),"")</f>
        <v>0.16</v>
      </c>
      <c r="C177" s="53" t="n">
        <f aca="false">IF(COUNTIFS(Clean_Data!$AB$2:$AB$2203,$A177&amp;"|"&amp;Inputs!$B$6)&gt;0,SUMIFS(Clean_Data!$F$2:$F$2203,Clean_Data!$AB$2:$AB$2203,$A177&amp;"|"&amp;Inputs!$B$6),"")</f>
        <v>0.21</v>
      </c>
      <c r="D177" s="54" t="n">
        <f aca="false">IF(AND(ISNUMBER(B177),ISNUMBER(C177)),IF(AND(B177&gt;0,Inputs!$B$6&gt;Inputs!$B$5),(C177/B177)^(1/(Inputs!$B$6-Inputs!$B$5))-1,""),"")</f>
        <v>0.0306759583941572</v>
      </c>
      <c r="E177" s="54" t="n">
        <f aca="false">IF(ISNUMBER(B177),SUMIFS(Clean_Data!$V$2:$V$2203,Clean_Data!$AB$2:$AB$2203,$A177&amp;"|"&amp;Inputs!$B$5),"")</f>
        <v>0.75</v>
      </c>
      <c r="F177" s="54" t="n">
        <f aca="false">IF(ISNUMBER(C177),SUMIFS(Clean_Data!$V$2:$V$2203,Clean_Data!$AB$2:$AB$2203,$A177&amp;"|"&amp;Inputs!$B$6),"")</f>
        <v>0.952380952380952</v>
      </c>
      <c r="G177" s="55" t="n">
        <f aca="false">IF(AND(ISNUMBER(E177),ISNUMBER(F177)),(F177-E177)*100,"")</f>
        <v>20.2380952380952</v>
      </c>
      <c r="H177" s="54" t="n">
        <f aca="false">IF(ISNUMBER(B177),SUMIFS(Clean_Data!$X$2:$X$2203,Clean_Data!$AB$2:$AB$2203,$A177&amp;"|"&amp;Inputs!$B$5),"")</f>
        <v>0</v>
      </c>
      <c r="I177" s="54" t="n">
        <f aca="false">IF(ISNUMBER(C177),SUMIFS(Clean_Data!$X$2:$X$2203,Clean_Data!$AB$2:$AB$2203,$A177&amp;"|"&amp;Inputs!$B$6),"")</f>
        <v>0.0952380952380953</v>
      </c>
      <c r="J177" s="55" t="n">
        <f aca="false">IF(AND(ISNUMBER(H177),ISNUMBER(I177)),(I177-H177)*100,"")</f>
        <v>9.52380952380953</v>
      </c>
      <c r="K177" s="54" t="n">
        <f aca="false">IF(ISNUMBER(C177),SUMIFS(Clean_Data!$Y$2:$Y$2203,Clean_Data!$AB$2:$AB$2203,$A177&amp;"|"&amp;Inputs!$B$6),"")</f>
        <v>0</v>
      </c>
      <c r="L177" s="56" t="n">
        <f aca="false">IF(COUNTIFS(Clean_Data!$AB$2:$AB$2203,$A177&amp;"|"&amp;Inputs!$B$6,Clean_Data!$P$2:$P$2203,"&lt;&gt;")&gt;0,SUMIFS(Clean_Data!$P$2:$P$2203,Clean_Data!$AB$2:$AB$2203,$A177&amp;"|"&amp;Inputs!$B$6),"")</f>
        <v>47.6</v>
      </c>
      <c r="M177" s="52" t="str">
        <f aca="false">IF(ISNUMBER(C177),IF(C177&gt;=Inputs!$B$7,"Yes","No"),"No")</f>
        <v>No</v>
      </c>
      <c r="N177" s="57" t="n">
        <f aca="false">IF(M177="Yes",F177+ROW()/10^9,-1)</f>
        <v>-1</v>
      </c>
      <c r="O177" s="57" t="n">
        <f aca="false">IF(AND(M177="Yes",ISNUMBER(J177)),J177+ROW()/10^9,-1000)</f>
        <v>-1000</v>
      </c>
      <c r="P177" s="57" t="n">
        <f aca="false">IF(M177="Yes",K177+ROW()/10^9,-1)</f>
        <v>-1</v>
      </c>
    </row>
    <row r="178" customFormat="false" ht="15" hidden="false" customHeight="false" outlineLevel="0" collapsed="false">
      <c r="A178" s="52" t="s">
        <v>352</v>
      </c>
      <c r="B178" s="53" t="n">
        <f aca="false">IF(COUNTIFS(Clean_Data!$AB$2:$AB$2203,$A178&amp;"|"&amp;Inputs!$B$5)&gt;0,SUMIFS(Clean_Data!$F$2:$F$2203,Clean_Data!$AB$2:$AB$2203,$A178&amp;"|"&amp;Inputs!$B$5),"")</f>
        <v>50.28</v>
      </c>
      <c r="C178" s="53" t="n">
        <f aca="false">IF(COUNTIFS(Clean_Data!$AB$2:$AB$2203,$A178&amp;"|"&amp;Inputs!$B$6)&gt;0,SUMIFS(Clean_Data!$F$2:$F$2203,Clean_Data!$AB$2:$AB$2203,$A178&amp;"|"&amp;Inputs!$B$6),"")</f>
        <v>59.61</v>
      </c>
      <c r="D178" s="54" t="n">
        <f aca="false">IF(AND(ISNUMBER(B178),ISNUMBER(C178)),IF(AND(B178&gt;0,Inputs!$B$6&gt;Inputs!$B$5),(C178/B178)^(1/(Inputs!$B$6-Inputs!$B$5))-1,""),"")</f>
        <v>0.0190928660800676</v>
      </c>
      <c r="E178" s="54" t="n">
        <f aca="false">IF(ISNUMBER(B178),SUMIFS(Clean_Data!$V$2:$V$2203,Clean_Data!$AB$2:$AB$2203,$A178&amp;"|"&amp;Inputs!$B$5),"")</f>
        <v>0.0290373906125696</v>
      </c>
      <c r="F178" s="54" t="n">
        <f aca="false">IF(ISNUMBER(C178),SUMIFS(Clean_Data!$V$2:$V$2203,Clean_Data!$AB$2:$AB$2203,$A178&amp;"|"&amp;Inputs!$B$6),"")</f>
        <v>0.0493205837946653</v>
      </c>
      <c r="G178" s="55" t="n">
        <f aca="false">IF(AND(ISNUMBER(E178),ISNUMBER(F178)),(F178-E178)*100,"")</f>
        <v>2.02831931820957</v>
      </c>
      <c r="H178" s="54" t="n">
        <f aca="false">IF(ISNUMBER(B178),SUMIFS(Clean_Data!$X$2:$X$2203,Clean_Data!$AB$2:$AB$2203,$A178&amp;"|"&amp;Inputs!$B$5),"")</f>
        <v>0</v>
      </c>
      <c r="I178" s="54" t="n">
        <f aca="false">IF(ISNUMBER(C178),SUMIFS(Clean_Data!$X$2:$X$2203,Clean_Data!$AB$2:$AB$2203,$A178&amp;"|"&amp;Inputs!$B$6),"")</f>
        <v>0.0214729072303305</v>
      </c>
      <c r="J178" s="55" t="n">
        <f aca="false">IF(AND(ISNUMBER(H178),ISNUMBER(I178)),(I178-H178)*100,"")</f>
        <v>2.14729072303305</v>
      </c>
      <c r="K178" s="54" t="n">
        <f aca="false">IF(ISNUMBER(C178),SUMIFS(Clean_Data!$Y$2:$Y$2203,Clean_Data!$AB$2:$AB$2203,$A178&amp;"|"&amp;Inputs!$B$6),"")</f>
        <v>0.00956215400100654</v>
      </c>
      <c r="L178" s="56" t="n">
        <f aca="false">IF(COUNTIFS(Clean_Data!$AB$2:$AB$2203,$A178&amp;"|"&amp;Inputs!$B$6,Clean_Data!$P$2:$P$2203,"&lt;&gt;")&gt;0,SUMIFS(Clean_Data!$P$2:$P$2203,Clean_Data!$AB$2:$AB$2203,$A178&amp;"|"&amp;Inputs!$B$6),"")</f>
        <v>498.7</v>
      </c>
      <c r="M178" s="52" t="str">
        <f aca="false">IF(ISNUMBER(C178),IF(C178&gt;=Inputs!$B$7,"Yes","No"),"No")</f>
        <v>Yes</v>
      </c>
      <c r="N178" s="57" t="n">
        <f aca="false">IF(M178="Yes",F178+ROW()/10^9,-1)</f>
        <v>0.0493207617946653</v>
      </c>
      <c r="O178" s="57" t="n">
        <f aca="false">IF(AND(M178="Yes",ISNUMBER(J178)),J178+ROW()/10^9,-1000)</f>
        <v>2.14729090103305</v>
      </c>
      <c r="P178" s="57" t="n">
        <f aca="false">IF(M178="Yes",K178+ROW()/10^9,-1)</f>
        <v>0.00956233200100654</v>
      </c>
    </row>
    <row r="179" customFormat="false" ht="15" hidden="false" customHeight="false" outlineLevel="0" collapsed="false">
      <c r="A179" s="52" t="s">
        <v>353</v>
      </c>
      <c r="B179" s="53" t="n">
        <f aca="false">IF(COUNTIFS(Clean_Data!$AB$2:$AB$2203,$A179&amp;"|"&amp;Inputs!$B$5)&gt;0,SUMIFS(Clean_Data!$F$2:$F$2203,Clean_Data!$AB$2:$AB$2203,$A179&amp;"|"&amp;Inputs!$B$5),"")</f>
        <v>26.62</v>
      </c>
      <c r="C179" s="53" t="n">
        <f aca="false">IF(COUNTIFS(Clean_Data!$AB$2:$AB$2203,$A179&amp;"|"&amp;Inputs!$B$6)&gt;0,SUMIFS(Clean_Data!$F$2:$F$2203,Clean_Data!$AB$2:$AB$2203,$A179&amp;"|"&amp;Inputs!$B$6),"")</f>
        <v>29.52</v>
      </c>
      <c r="D179" s="54" t="n">
        <f aca="false">IF(AND(ISNUMBER(B179),ISNUMBER(C179)),IF(AND(B179&gt;0,Inputs!$B$6&gt;Inputs!$B$5),(C179/B179)^(1/(Inputs!$B$6-Inputs!$B$5))-1,""),"")</f>
        <v>0.0115557226123402</v>
      </c>
      <c r="E179" s="54" t="n">
        <f aca="false">IF(ISNUMBER(B179),SUMIFS(Clean_Data!$V$2:$V$2203,Clean_Data!$AB$2:$AB$2203,$A179&amp;"|"&amp;Inputs!$B$5),"")</f>
        <v>0.227272727272727</v>
      </c>
      <c r="F179" s="54" t="n">
        <f aca="false">IF(ISNUMBER(C179),SUMIFS(Clean_Data!$V$2:$V$2203,Clean_Data!$AB$2:$AB$2203,$A179&amp;"|"&amp;Inputs!$B$6),"")</f>
        <v>0.240514905149052</v>
      </c>
      <c r="G179" s="55" t="n">
        <f aca="false">IF(AND(ISNUMBER(E179),ISNUMBER(F179)),(F179-E179)*100,"")</f>
        <v>1.32421778763242</v>
      </c>
      <c r="H179" s="54" t="n">
        <f aca="false">IF(ISNUMBER(B179),SUMIFS(Clean_Data!$X$2:$X$2203,Clean_Data!$AB$2:$AB$2203,$A179&amp;"|"&amp;Inputs!$B$5),"")</f>
        <v>0.019534184823441</v>
      </c>
      <c r="I179" s="54" t="n">
        <f aca="false">IF(ISNUMBER(C179),SUMIFS(Clean_Data!$X$2:$X$2203,Clean_Data!$AB$2:$AB$2203,$A179&amp;"|"&amp;Inputs!$B$6),"")</f>
        <v>0.0233739837398374</v>
      </c>
      <c r="J179" s="55" t="n">
        <f aca="false">IF(AND(ISNUMBER(H179),ISNUMBER(I179)),(I179-H179)*100,"")</f>
        <v>0.383979891639637</v>
      </c>
      <c r="K179" s="54" t="n">
        <f aca="false">IF(ISNUMBER(C179),SUMIFS(Clean_Data!$Y$2:$Y$2203,Clean_Data!$AB$2:$AB$2203,$A179&amp;"|"&amp;Inputs!$B$6),"")</f>
        <v>0.0176151761517615</v>
      </c>
      <c r="L179" s="56" t="n">
        <f aca="false">IF(COUNTIFS(Clean_Data!$AB$2:$AB$2203,$A179&amp;"|"&amp;Inputs!$B$6,Clean_Data!$P$2:$P$2203,"&lt;&gt;")&gt;0,SUMIFS(Clean_Data!$P$2:$P$2203,Clean_Data!$AB$2:$AB$2203,$A179&amp;"|"&amp;Inputs!$B$6),"")</f>
        <v>96.5</v>
      </c>
      <c r="M179" s="52" t="str">
        <f aca="false">IF(ISNUMBER(C179),IF(C179&gt;=Inputs!$B$7,"Yes","No"),"No")</f>
        <v>Yes</v>
      </c>
      <c r="N179" s="57" t="n">
        <f aca="false">IF(M179="Yes",F179+ROW()/10^9,-1)</f>
        <v>0.240515084149051</v>
      </c>
      <c r="O179" s="57" t="n">
        <f aca="false">IF(AND(M179="Yes",ISNUMBER(J179)),J179+ROW()/10^9,-1000)</f>
        <v>0.383980070639637</v>
      </c>
      <c r="P179" s="57" t="n">
        <f aca="false">IF(M179="Yes",K179+ROW()/10^9,-1)</f>
        <v>0.0176153551517615</v>
      </c>
    </row>
    <row r="180" customFormat="false" ht="15" hidden="false" customHeight="false" outlineLevel="0" collapsed="false">
      <c r="A180" s="52" t="s">
        <v>354</v>
      </c>
      <c r="B180" s="53" t="n">
        <f aca="false">IF(COUNTIFS(Clean_Data!$AB$2:$AB$2203,$A180&amp;"|"&amp;Inputs!$B$5)&gt;0,SUMIFS(Clean_Data!$F$2:$F$2203,Clean_Data!$AB$2:$AB$2203,$A180&amp;"|"&amp;Inputs!$B$5),"")</f>
        <v>14.8</v>
      </c>
      <c r="C180" s="53" t="n">
        <f aca="false">IF(COUNTIFS(Clean_Data!$AB$2:$AB$2203,$A180&amp;"|"&amp;Inputs!$B$6)&gt;0,SUMIFS(Clean_Data!$F$2:$F$2203,Clean_Data!$AB$2:$AB$2203,$A180&amp;"|"&amp;Inputs!$B$6),"")</f>
        <v>16.71</v>
      </c>
      <c r="D180" s="54" t="n">
        <f aca="false">IF(AND(ISNUMBER(B180),ISNUMBER(C180)),IF(AND(B180&gt;0,Inputs!$B$6&gt;Inputs!$B$5),(C180/B180)^(1/(Inputs!$B$6-Inputs!$B$5))-1,""),"")</f>
        <v>0.0135780402125572</v>
      </c>
      <c r="E180" s="54" t="n">
        <f aca="false">IF(ISNUMBER(B180),SUMIFS(Clean_Data!$V$2:$V$2203,Clean_Data!$AB$2:$AB$2203,$A180&amp;"|"&amp;Inputs!$B$5),"")</f>
        <v>0.293918918918919</v>
      </c>
      <c r="F180" s="54" t="n">
        <f aca="false">IF(ISNUMBER(C180),SUMIFS(Clean_Data!$V$2:$V$2203,Clean_Data!$AB$2:$AB$2203,$A180&amp;"|"&amp;Inputs!$B$6),"")</f>
        <v>0.41113105924596</v>
      </c>
      <c r="G180" s="55" t="n">
        <f aca="false">IF(AND(ISNUMBER(E180),ISNUMBER(F180)),(F180-E180)*100,"")</f>
        <v>11.7212140327042</v>
      </c>
      <c r="H180" s="54" t="n">
        <f aca="false">IF(ISNUMBER(B180),SUMIFS(Clean_Data!$X$2:$X$2203,Clean_Data!$AB$2:$AB$2203,$A180&amp;"|"&amp;Inputs!$B$5),"")</f>
        <v>0.0189189189189189</v>
      </c>
      <c r="I180" s="54" t="n">
        <f aca="false">IF(ISNUMBER(C180),SUMIFS(Clean_Data!$X$2:$X$2203,Clean_Data!$AB$2:$AB$2203,$A180&amp;"|"&amp;Inputs!$B$6),"")</f>
        <v>0.0766008378216637</v>
      </c>
      <c r="J180" s="55" t="n">
        <f aca="false">IF(AND(ISNUMBER(H180),ISNUMBER(I180)),(I180-H180)*100,"")</f>
        <v>5.76819189027448</v>
      </c>
      <c r="K180" s="54" t="n">
        <f aca="false">IF(ISNUMBER(C180),SUMIFS(Clean_Data!$Y$2:$Y$2203,Clean_Data!$AB$2:$AB$2203,$A180&amp;"|"&amp;Inputs!$B$6),"")</f>
        <v>0.209455415918612</v>
      </c>
      <c r="L180" s="56" t="n">
        <f aca="false">IF(COUNTIFS(Clean_Data!$AB$2:$AB$2203,$A180&amp;"|"&amp;Inputs!$B$6,Clean_Data!$P$2:$P$2203,"&lt;&gt;")&gt;0,SUMIFS(Clean_Data!$P$2:$P$2203,Clean_Data!$AB$2:$AB$2203,$A180&amp;"|"&amp;Inputs!$B$6),"")</f>
        <v>230.4</v>
      </c>
      <c r="M180" s="52" t="str">
        <f aca="false">IF(ISNUMBER(C180),IF(C180&gt;=Inputs!$B$7,"Yes","No"),"No")</f>
        <v>No</v>
      </c>
      <c r="N180" s="57" t="n">
        <f aca="false">IF(M180="Yes",F180+ROW()/10^9,-1)</f>
        <v>-1</v>
      </c>
      <c r="O180" s="57" t="n">
        <f aca="false">IF(AND(M180="Yes",ISNUMBER(J180)),J180+ROW()/10^9,-1000)</f>
        <v>-1000</v>
      </c>
      <c r="P180" s="57" t="n">
        <f aca="false">IF(M180="Yes",K180+ROW()/10^9,-1)</f>
        <v>-1</v>
      </c>
    </row>
    <row r="181" customFormat="false" ht="15" hidden="false" customHeight="false" outlineLevel="0" collapsed="false">
      <c r="A181" s="52" t="s">
        <v>355</v>
      </c>
      <c r="B181" s="53" t="n">
        <f aca="false">IF(COUNTIFS(Clean_Data!$AB$2:$AB$2203,$A181&amp;"|"&amp;Inputs!$B$5)&gt;0,SUMIFS(Clean_Data!$F$2:$F$2203,Clean_Data!$AB$2:$AB$2203,$A181&amp;"|"&amp;Inputs!$B$5),"")</f>
        <v>0.09</v>
      </c>
      <c r="C181" s="53" t="n">
        <f aca="false">IF(COUNTIFS(Clean_Data!$AB$2:$AB$2203,$A181&amp;"|"&amp;Inputs!$B$6)&gt;0,SUMIFS(Clean_Data!$F$2:$F$2203,Clean_Data!$AB$2:$AB$2203,$A181&amp;"|"&amp;Inputs!$B$6),"")</f>
        <v>0.11</v>
      </c>
      <c r="D181" s="54" t="n">
        <f aca="false">IF(AND(ISNUMBER(B181),ISNUMBER(C181)),IF(AND(B181&gt;0,Inputs!$B$6&gt;Inputs!$B$5),(C181/B181)^(1/(Inputs!$B$6-Inputs!$B$5))-1,""),"")</f>
        <v>0.0225471741312222</v>
      </c>
      <c r="E181" s="54" t="n">
        <f aca="false">IF(ISNUMBER(B181),SUMIFS(Clean_Data!$V$2:$V$2203,Clean_Data!$AB$2:$AB$2203,$A181&amp;"|"&amp;Inputs!$B$5),"")</f>
        <v>0</v>
      </c>
      <c r="F181" s="54" t="n">
        <f aca="false">IF(ISNUMBER(C181),SUMIFS(Clean_Data!$V$2:$V$2203,Clean_Data!$AB$2:$AB$2203,$A181&amp;"|"&amp;Inputs!$B$6),"")</f>
        <v>0.0909090909090909</v>
      </c>
      <c r="G181" s="55" t="n">
        <f aca="false">IF(AND(ISNUMBER(E181),ISNUMBER(F181)),(F181-E181)*100,"")</f>
        <v>9.09090909090909</v>
      </c>
      <c r="H181" s="54" t="n">
        <f aca="false">IF(ISNUMBER(B181),SUMIFS(Clean_Data!$X$2:$X$2203,Clean_Data!$AB$2:$AB$2203,$A181&amp;"|"&amp;Inputs!$B$5),"")</f>
        <v>0</v>
      </c>
      <c r="I181" s="54" t="n">
        <f aca="false">IF(ISNUMBER(C181),SUMIFS(Clean_Data!$X$2:$X$2203,Clean_Data!$AB$2:$AB$2203,$A181&amp;"|"&amp;Inputs!$B$6),"")</f>
        <v>0.0909090909090909</v>
      </c>
      <c r="J181" s="55" t="n">
        <f aca="false">IF(AND(ISNUMBER(H181),ISNUMBER(I181)),(I181-H181)*100,"")</f>
        <v>9.09090909090909</v>
      </c>
      <c r="K181" s="54" t="n">
        <f aca="false">IF(ISNUMBER(C181),SUMIFS(Clean_Data!$Y$2:$Y$2203,Clean_Data!$AB$2:$AB$2203,$A181&amp;"|"&amp;Inputs!$B$6),"")</f>
        <v>0</v>
      </c>
      <c r="L181" s="56" t="n">
        <f aca="false">IF(COUNTIFS(Clean_Data!$AB$2:$AB$2203,$A181&amp;"|"&amp;Inputs!$B$6,Clean_Data!$P$2:$P$2203,"&lt;&gt;")&gt;0,SUMIFS(Clean_Data!$P$2:$P$2203,Clean_Data!$AB$2:$AB$2203,$A181&amp;"|"&amp;Inputs!$B$6),"")</f>
        <v>636.4</v>
      </c>
      <c r="M181" s="52" t="str">
        <f aca="false">IF(ISNUMBER(C181),IF(C181&gt;=Inputs!$B$7,"Yes","No"),"No")</f>
        <v>No</v>
      </c>
      <c r="N181" s="57" t="n">
        <f aca="false">IF(M181="Yes",F181+ROW()/10^9,-1)</f>
        <v>-1</v>
      </c>
      <c r="O181" s="57" t="n">
        <f aca="false">IF(AND(M181="Yes",ISNUMBER(J181)),J181+ROW()/10^9,-1000)</f>
        <v>-1000</v>
      </c>
      <c r="P181" s="57" t="n">
        <f aca="false">IF(M181="Yes",K181+ROW()/10^9,-1)</f>
        <v>-1</v>
      </c>
    </row>
    <row r="182" customFormat="false" ht="15" hidden="false" customHeight="false" outlineLevel="0" collapsed="false">
      <c r="A182" s="52" t="s">
        <v>356</v>
      </c>
      <c r="B182" s="53" t="n">
        <f aca="false">IF(COUNTIFS(Clean_Data!$AB$2:$AB$2203,$A182&amp;"|"&amp;Inputs!$B$5)&gt;0,SUMIFS(Clean_Data!$F$2:$F$2203,Clean_Data!$AB$2:$AB$2203,$A182&amp;"|"&amp;Inputs!$B$5),"")</f>
        <v>0.35</v>
      </c>
      <c r="C182" s="53" t="n">
        <f aca="false">IF(COUNTIFS(Clean_Data!$AB$2:$AB$2203,$A182&amp;"|"&amp;Inputs!$B$6)&gt;0,SUMIFS(Clean_Data!$F$2:$F$2203,Clean_Data!$AB$2:$AB$2203,$A182&amp;"|"&amp;Inputs!$B$6),"")</f>
        <v>0.43</v>
      </c>
      <c r="D182" s="54" t="n">
        <f aca="false">IF(AND(ISNUMBER(B182),ISNUMBER(C182)),IF(AND(B182&gt;0,Inputs!$B$6&gt;Inputs!$B$5),(C182/B182)^(1/(Inputs!$B$6-Inputs!$B$5))-1,""),"")</f>
        <v>0.0231360307014423</v>
      </c>
      <c r="E182" s="54" t="n">
        <f aca="false">IF(ISNUMBER(B182),SUMIFS(Clean_Data!$V$2:$V$2203,Clean_Data!$AB$2:$AB$2203,$A182&amp;"|"&amp;Inputs!$B$5),"")</f>
        <v>0</v>
      </c>
      <c r="F182" s="54" t="n">
        <f aca="false">IF(ISNUMBER(C182),SUMIFS(Clean_Data!$V$2:$V$2203,Clean_Data!$AB$2:$AB$2203,$A182&amp;"|"&amp;Inputs!$B$6),"")</f>
        <v>0.209302325581395</v>
      </c>
      <c r="G182" s="55" t="n">
        <f aca="false">IF(AND(ISNUMBER(E182),ISNUMBER(F182)),(F182-E182)*100,"")</f>
        <v>20.9302325581395</v>
      </c>
      <c r="H182" s="54" t="n">
        <f aca="false">IF(ISNUMBER(B182),SUMIFS(Clean_Data!$X$2:$X$2203,Clean_Data!$AB$2:$AB$2203,$A182&amp;"|"&amp;Inputs!$B$5),"")</f>
        <v>0</v>
      </c>
      <c r="I182" s="54" t="n">
        <f aca="false">IF(ISNUMBER(C182),SUMIFS(Clean_Data!$X$2:$X$2203,Clean_Data!$AB$2:$AB$2203,$A182&amp;"|"&amp;Inputs!$B$6),"")</f>
        <v>0.209302325581395</v>
      </c>
      <c r="J182" s="55" t="n">
        <f aca="false">IF(AND(ISNUMBER(H182),ISNUMBER(I182)),(I182-H182)*100,"")</f>
        <v>20.9302325581395</v>
      </c>
      <c r="K182" s="54" t="n">
        <f aca="false">IF(ISNUMBER(C182),SUMIFS(Clean_Data!$Y$2:$Y$2203,Clean_Data!$AB$2:$AB$2203,$A182&amp;"|"&amp;Inputs!$B$6),"")</f>
        <v>0</v>
      </c>
      <c r="L182" s="56" t="n">
        <f aca="false">IF(COUNTIFS(Clean_Data!$AB$2:$AB$2203,$A182&amp;"|"&amp;Inputs!$B$6,Clean_Data!$P$2:$P$2203,"&lt;&gt;")&gt;0,SUMIFS(Clean_Data!$P$2:$P$2203,Clean_Data!$AB$2:$AB$2203,$A182&amp;"|"&amp;Inputs!$B$6),"")</f>
        <v>511.6</v>
      </c>
      <c r="M182" s="52" t="str">
        <f aca="false">IF(ISNUMBER(C182),IF(C182&gt;=Inputs!$B$7,"Yes","No"),"No")</f>
        <v>No</v>
      </c>
      <c r="N182" s="57" t="n">
        <f aca="false">IF(M182="Yes",F182+ROW()/10^9,-1)</f>
        <v>-1</v>
      </c>
      <c r="O182" s="57" t="n">
        <f aca="false">IF(AND(M182="Yes",ISNUMBER(J182)),J182+ROW()/10^9,-1000)</f>
        <v>-1000</v>
      </c>
      <c r="P182" s="57" t="n">
        <f aca="false">IF(M182="Yes",K182+ROW()/10^9,-1)</f>
        <v>-1</v>
      </c>
    </row>
    <row r="183" customFormat="false" ht="15" hidden="false" customHeight="false" outlineLevel="0" collapsed="false">
      <c r="A183" s="52" t="s">
        <v>357</v>
      </c>
      <c r="B183" s="53" t="n">
        <f aca="false">IF(COUNTIFS(Clean_Data!$AB$2:$AB$2203,$A183&amp;"|"&amp;Inputs!$B$5)&gt;0,SUMIFS(Clean_Data!$F$2:$F$2203,Clean_Data!$AB$2:$AB$2203,$A183&amp;"|"&amp;Inputs!$B$5),"")</f>
        <v>250.05</v>
      </c>
      <c r="C183" s="53" t="n">
        <f aca="false">IF(COUNTIFS(Clean_Data!$AB$2:$AB$2203,$A183&amp;"|"&amp;Inputs!$B$6)&gt;0,SUMIFS(Clean_Data!$F$2:$F$2203,Clean_Data!$AB$2:$AB$2203,$A183&amp;"|"&amp;Inputs!$B$6),"")</f>
        <v>247.52</v>
      </c>
      <c r="D183" s="54" t="n">
        <f aca="false">IF(AND(ISNUMBER(B183),ISNUMBER(C183)),IF(AND(B183&gt;0,Inputs!$B$6&gt;Inputs!$B$5),(C183/B183)^(1/(Inputs!$B$6-Inputs!$B$5))-1,""),"")</f>
        <v>-0.00112930752289886</v>
      </c>
      <c r="E183" s="54" t="n">
        <f aca="false">IF(ISNUMBER(B183),SUMIFS(Clean_Data!$V$2:$V$2203,Clean_Data!$AB$2:$AB$2203,$A183&amp;"|"&amp;Inputs!$B$5),"")</f>
        <v>0.0260747850429914</v>
      </c>
      <c r="F183" s="54" t="n">
        <f aca="false">IF(ISNUMBER(C183),SUMIFS(Clean_Data!$V$2:$V$2203,Clean_Data!$AB$2:$AB$2203,$A183&amp;"|"&amp;Inputs!$B$6),"")</f>
        <v>0.125121202327085</v>
      </c>
      <c r="G183" s="55" t="n">
        <f aca="false">IF(AND(ISNUMBER(E183),ISNUMBER(F183)),(F183-E183)*100,"")</f>
        <v>9.90464172840933</v>
      </c>
      <c r="H183" s="54" t="n">
        <f aca="false">IF(ISNUMBER(B183),SUMIFS(Clean_Data!$X$2:$X$2203,Clean_Data!$AB$2:$AB$2203,$A183&amp;"|"&amp;Inputs!$B$5),"")</f>
        <v>0.021875624875025</v>
      </c>
      <c r="I183" s="54" t="n">
        <f aca="false">IF(ISNUMBER(C183),SUMIFS(Clean_Data!$X$2:$X$2203,Clean_Data!$AB$2:$AB$2203,$A183&amp;"|"&amp;Inputs!$B$6),"")</f>
        <v>0.118778280542986</v>
      </c>
      <c r="J183" s="55" t="n">
        <f aca="false">IF(AND(ISNUMBER(H183),ISNUMBER(I183)),(I183-H183)*100,"")</f>
        <v>9.69026556679614</v>
      </c>
      <c r="K183" s="54" t="n">
        <f aca="false">IF(ISNUMBER(C183),SUMIFS(Clean_Data!$Y$2:$Y$2203,Clean_Data!$AB$2:$AB$2203,$A183&amp;"|"&amp;Inputs!$B$6),"")</f>
        <v>0.835528442146089</v>
      </c>
      <c r="L183" s="56" t="n">
        <f aca="false">IF(COUNTIFS(Clean_Data!$AB$2:$AB$2203,$A183&amp;"|"&amp;Inputs!$B$6,Clean_Data!$P$2:$P$2203,"&lt;&gt;")&gt;0,SUMIFS(Clean_Data!$P$2:$P$2203,Clean_Data!$AB$2:$AB$2203,$A183&amp;"|"&amp;Inputs!$B$6),"")</f>
        <v>717.4</v>
      </c>
      <c r="M183" s="52" t="str">
        <f aca="false">IF(ISNUMBER(C183),IF(C183&gt;=Inputs!$B$7,"Yes","No"),"No")</f>
        <v>Yes</v>
      </c>
      <c r="N183" s="57" t="n">
        <f aca="false">IF(M183="Yes",F183+ROW()/10^9,-1)</f>
        <v>0.125121385327085</v>
      </c>
      <c r="O183" s="57" t="n">
        <f aca="false">IF(AND(M183="Yes",ISNUMBER(J183)),J183+ROW()/10^9,-1000)</f>
        <v>9.69026574979614</v>
      </c>
      <c r="P183" s="57" t="n">
        <f aca="false">IF(M183="Yes",K183+ROW()/10^9,-1)</f>
        <v>0.835528625146089</v>
      </c>
    </row>
    <row r="184" customFormat="false" ht="15" hidden="false" customHeight="false" outlineLevel="0" collapsed="false">
      <c r="A184" s="52" t="s">
        <v>358</v>
      </c>
      <c r="B184" s="53" t="n">
        <f aca="false">IF(COUNTIFS(Clean_Data!$AB$2:$AB$2203,$A184&amp;"|"&amp;Inputs!$B$5)&gt;0,SUMIFS(Clean_Data!$F$2:$F$2203,Clean_Data!$AB$2:$AB$2203,$A184&amp;"|"&amp;Inputs!$B$5),"")</f>
        <v>547.8</v>
      </c>
      <c r="C184" s="53" t="n">
        <f aca="false">IF(COUNTIFS(Clean_Data!$AB$2:$AB$2203,$A184&amp;"|"&amp;Inputs!$B$6)&gt;0,SUMIFS(Clean_Data!$F$2:$F$2203,Clean_Data!$AB$2:$AB$2203,$A184&amp;"|"&amp;Inputs!$B$6),"")</f>
        <v>625.38</v>
      </c>
      <c r="D184" s="54" t="n">
        <f aca="false">IF(AND(ISNUMBER(B184),ISNUMBER(C184)),IF(AND(B184&gt;0,Inputs!$B$6&gt;Inputs!$B$5),(C184/B184)^(1/(Inputs!$B$6-Inputs!$B$5))-1,""),"")</f>
        <v>0.0148254007013831</v>
      </c>
      <c r="E184" s="54" t="n">
        <f aca="false">IF(ISNUMBER(B184),SUMIFS(Clean_Data!$V$2:$V$2203,Clean_Data!$AB$2:$AB$2203,$A184&amp;"|"&amp;Inputs!$B$5),"")</f>
        <v>0.0277473530485579</v>
      </c>
      <c r="F184" s="54" t="n">
        <f aca="false">IF(ISNUMBER(C184),SUMIFS(Clean_Data!$V$2:$V$2203,Clean_Data!$AB$2:$AB$2203,$A184&amp;"|"&amp;Inputs!$B$6),"")</f>
        <v>0.0970929674757747</v>
      </c>
      <c r="G184" s="55" t="n">
        <f aca="false">IF(AND(ISNUMBER(E184),ISNUMBER(F184)),(F184-E184)*100,"")</f>
        <v>6.93456144272169</v>
      </c>
      <c r="H184" s="54" t="n">
        <f aca="false">IF(ISNUMBER(B184),SUMIFS(Clean_Data!$X$2:$X$2203,Clean_Data!$AB$2:$AB$2203,$A184&amp;"|"&amp;Inputs!$B$5),"")</f>
        <v>0.0101679445052939</v>
      </c>
      <c r="I184" s="54" t="n">
        <f aca="false">IF(ISNUMBER(C184),SUMIFS(Clean_Data!$X$2:$X$2203,Clean_Data!$AB$2:$AB$2203,$A184&amp;"|"&amp;Inputs!$B$6),"")</f>
        <v>0.0576929227029966</v>
      </c>
      <c r="J184" s="55" t="n">
        <f aca="false">IF(AND(ISNUMBER(H184),ISNUMBER(I184)),(I184-H184)*100,"")</f>
        <v>4.75249781977027</v>
      </c>
      <c r="K184" s="54" t="n">
        <f aca="false">IF(ISNUMBER(C184),SUMIFS(Clean_Data!$Y$2:$Y$2203,Clean_Data!$AB$2:$AB$2203,$A184&amp;"|"&amp;Inputs!$B$6),"")</f>
        <v>0.305062521986632</v>
      </c>
      <c r="L184" s="56" t="n">
        <f aca="false">IF(COUNTIFS(Clean_Data!$AB$2:$AB$2203,$A184&amp;"|"&amp;Inputs!$B$6,Clean_Data!$P$2:$P$2203,"&lt;&gt;")&gt;0,SUMIFS(Clean_Data!$P$2:$P$2203,Clean_Data!$AB$2:$AB$2203,$A184&amp;"|"&amp;Inputs!$B$6),"")</f>
        <v>415.5</v>
      </c>
      <c r="M184" s="52" t="str">
        <f aca="false">IF(ISNUMBER(C184),IF(C184&gt;=Inputs!$B$7,"Yes","No"),"No")</f>
        <v>Yes</v>
      </c>
      <c r="N184" s="57" t="n">
        <f aca="false">IF(M184="Yes",F184+ROW()/10^9,-1)</f>
        <v>0.0970931514757747</v>
      </c>
      <c r="O184" s="57" t="n">
        <f aca="false">IF(AND(M184="Yes",ISNUMBER(J184)),J184+ROW()/10^9,-1000)</f>
        <v>4.75249800377027</v>
      </c>
      <c r="P184" s="57" t="n">
        <f aca="false">IF(M184="Yes",K184+ROW()/10^9,-1)</f>
        <v>0.305062705986632</v>
      </c>
    </row>
    <row r="185" customFormat="false" ht="15" hidden="false" customHeight="false" outlineLevel="0" collapsed="false">
      <c r="A185" s="52" t="s">
        <v>359</v>
      </c>
      <c r="B185" s="53" t="n">
        <f aca="false">IF(COUNTIFS(Clean_Data!$AB$2:$AB$2203,$A185&amp;"|"&amp;Inputs!$B$5)&gt;0,SUMIFS(Clean_Data!$F$2:$F$2203,Clean_Data!$AB$2:$AB$2203,$A185&amp;"|"&amp;Inputs!$B$5),"")</f>
        <v>0.58</v>
      </c>
      <c r="C185" s="53" t="n">
        <f aca="false">IF(COUNTIFS(Clean_Data!$AB$2:$AB$2203,$A185&amp;"|"&amp;Inputs!$B$6)&gt;0,SUMIFS(Clean_Data!$F$2:$F$2203,Clean_Data!$AB$2:$AB$2203,$A185&amp;"|"&amp;Inputs!$B$6),"")</f>
        <v>0.56</v>
      </c>
      <c r="D185" s="54" t="n">
        <f aca="false">IF(AND(ISNUMBER(B185),ISNUMBER(C185)),IF(AND(B185&gt;0,Inputs!$B$6&gt;Inputs!$B$5),(C185/B185)^(1/(Inputs!$B$6-Inputs!$B$5))-1,""),"")</f>
        <v>-0.00389144416508036</v>
      </c>
      <c r="E185" s="54" t="n">
        <f aca="false">IF(ISNUMBER(B185),SUMIFS(Clean_Data!$V$2:$V$2203,Clean_Data!$AB$2:$AB$2203,$A185&amp;"|"&amp;Inputs!$B$5),"")</f>
        <v>0</v>
      </c>
      <c r="F185" s="54" t="n">
        <f aca="false">IF(ISNUMBER(C185),SUMIFS(Clean_Data!$V$2:$V$2203,Clean_Data!$AB$2:$AB$2203,$A185&amp;"|"&amp;Inputs!$B$6),"")</f>
        <v>0.0178571428571429</v>
      </c>
      <c r="G185" s="55" t="n">
        <f aca="false">IF(AND(ISNUMBER(E185),ISNUMBER(F185)),(F185-E185)*100,"")</f>
        <v>1.78571428571429</v>
      </c>
      <c r="H185" s="54" t="n">
        <f aca="false">IF(ISNUMBER(B185),SUMIFS(Clean_Data!$X$2:$X$2203,Clean_Data!$AB$2:$AB$2203,$A185&amp;"|"&amp;Inputs!$B$5),"")</f>
        <v>0</v>
      </c>
      <c r="I185" s="54" t="n">
        <f aca="false">IF(ISNUMBER(C185),SUMIFS(Clean_Data!$X$2:$X$2203,Clean_Data!$AB$2:$AB$2203,$A185&amp;"|"&amp;Inputs!$B$6),"")</f>
        <v>0.0178571428571429</v>
      </c>
      <c r="J185" s="55" t="n">
        <f aca="false">IF(AND(ISNUMBER(H185),ISNUMBER(I185)),(I185-H185)*100,"")</f>
        <v>1.78571428571429</v>
      </c>
      <c r="K185" s="54" t="n">
        <f aca="false">IF(ISNUMBER(C185),SUMIFS(Clean_Data!$Y$2:$Y$2203,Clean_Data!$AB$2:$AB$2203,$A185&amp;"|"&amp;Inputs!$B$6),"")</f>
        <v>0</v>
      </c>
      <c r="L185" s="56" t="n">
        <f aca="false">IF(COUNTIFS(Clean_Data!$AB$2:$AB$2203,$A185&amp;"|"&amp;Inputs!$B$6,Clean_Data!$P$2:$P$2203,"&lt;&gt;")&gt;0,SUMIFS(Clean_Data!$P$2:$P$2203,Clean_Data!$AB$2:$AB$2203,$A185&amp;"|"&amp;Inputs!$B$6),"")</f>
        <v>642.9</v>
      </c>
      <c r="M185" s="52" t="str">
        <f aca="false">IF(ISNUMBER(C185),IF(C185&gt;=Inputs!$B$7,"Yes","No"),"No")</f>
        <v>No</v>
      </c>
      <c r="N185" s="57" t="n">
        <f aca="false">IF(M185="Yes",F185+ROW()/10^9,-1)</f>
        <v>-1</v>
      </c>
      <c r="O185" s="57" t="n">
        <f aca="false">IF(AND(M185="Yes",ISNUMBER(J185)),J185+ROW()/10^9,-1000)</f>
        <v>-1000</v>
      </c>
      <c r="P185" s="57" t="n">
        <f aca="false">IF(M185="Yes",K185+ROW()/10^9,-1)</f>
        <v>-1</v>
      </c>
    </row>
    <row r="186" customFormat="false" ht="15" hidden="false" customHeight="false" outlineLevel="0" collapsed="false">
      <c r="A186" s="52" t="s">
        <v>360</v>
      </c>
      <c r="B186" s="53" t="n">
        <f aca="false">IF(COUNTIFS(Clean_Data!$AB$2:$AB$2203,$A186&amp;"|"&amp;Inputs!$B$5)&gt;0,SUMIFS(Clean_Data!$F$2:$F$2203,Clean_Data!$AB$2:$AB$2203,$A186&amp;"|"&amp;Inputs!$B$5),"")</f>
        <v>277.17</v>
      </c>
      <c r="C186" s="53" t="n">
        <f aca="false">IF(COUNTIFS(Clean_Data!$AB$2:$AB$2203,$A186&amp;"|"&amp;Inputs!$B$6)&gt;0,SUMIFS(Clean_Data!$F$2:$F$2203,Clean_Data!$AB$2:$AB$2203,$A186&amp;"|"&amp;Inputs!$B$6),"")</f>
        <v>280.94</v>
      </c>
      <c r="D186" s="54" t="n">
        <f aca="false">IF(AND(ISNUMBER(B186),ISNUMBER(C186)),IF(AND(B186&gt;0,Inputs!$B$6&gt;Inputs!$B$5),(C186/B186)^(1/(Inputs!$B$6-Inputs!$B$5))-1,""),"")</f>
        <v>0.00150224802933252</v>
      </c>
      <c r="E186" s="54" t="n">
        <f aca="false">IF(ISNUMBER(B186),SUMIFS(Clean_Data!$V$2:$V$2203,Clean_Data!$AB$2:$AB$2203,$A186&amp;"|"&amp;Inputs!$B$5),"")</f>
        <v>0.350254356532092</v>
      </c>
      <c r="F186" s="54" t="n">
        <f aca="false">IF(ISNUMBER(C186),SUMIFS(Clean_Data!$V$2:$V$2203,Clean_Data!$AB$2:$AB$2203,$A186&amp;"|"&amp;Inputs!$B$6),"")</f>
        <v>0.5733608599701</v>
      </c>
      <c r="G186" s="55" t="n">
        <f aca="false">IF(AND(ISNUMBER(E186),ISNUMBER(F186)),(F186-E186)*100,"")</f>
        <v>22.3106503438008</v>
      </c>
      <c r="H186" s="54" t="n">
        <f aca="false">IF(ISNUMBER(B186),SUMIFS(Clean_Data!$X$2:$X$2203,Clean_Data!$AB$2:$AB$2203,$A186&amp;"|"&amp;Inputs!$B$5),"")</f>
        <v>0.227946747483494</v>
      </c>
      <c r="I186" s="54" t="n">
        <f aca="false">IF(ISNUMBER(C186),SUMIFS(Clean_Data!$X$2:$X$2203,Clean_Data!$AB$2:$AB$2203,$A186&amp;"|"&amp;Inputs!$B$6),"")</f>
        <v>0.428881611732043</v>
      </c>
      <c r="J186" s="55" t="n">
        <f aca="false">IF(AND(ISNUMBER(H186),ISNUMBER(I186)),(I186-H186)*100,"")</f>
        <v>20.0934864248549</v>
      </c>
      <c r="K186" s="54" t="n">
        <f aca="false">IF(ISNUMBER(C186),SUMIFS(Clean_Data!$Y$2:$Y$2203,Clean_Data!$AB$2:$AB$2203,$A186&amp;"|"&amp;Inputs!$B$6),"")</f>
        <v>0.00918345554210864</v>
      </c>
      <c r="L186" s="56" t="n">
        <f aca="false">IF(COUNTIFS(Clean_Data!$AB$2:$AB$2203,$A186&amp;"|"&amp;Inputs!$B$6,Clean_Data!$P$2:$P$2203,"&lt;&gt;")&gt;0,SUMIFS(Clean_Data!$P$2:$P$2203,Clean_Data!$AB$2:$AB$2203,$A186&amp;"|"&amp;Inputs!$B$6),"")</f>
        <v>146.2</v>
      </c>
      <c r="M186" s="52" t="str">
        <f aca="false">IF(ISNUMBER(C186),IF(C186&gt;=Inputs!$B$7,"Yes","No"),"No")</f>
        <v>Yes</v>
      </c>
      <c r="N186" s="57" t="n">
        <f aca="false">IF(M186="Yes",F186+ROW()/10^9,-1)</f>
        <v>0.5733610459701</v>
      </c>
      <c r="O186" s="57" t="n">
        <f aca="false">IF(AND(M186="Yes",ISNUMBER(J186)),J186+ROW()/10^9,-1000)</f>
        <v>20.0934866108549</v>
      </c>
      <c r="P186" s="57" t="n">
        <f aca="false">IF(M186="Yes",K186+ROW()/10^9,-1)</f>
        <v>0.00918364154210864</v>
      </c>
    </row>
    <row r="187" customFormat="false" ht="15" hidden="false" customHeight="false" outlineLevel="0" collapsed="false">
      <c r="A187" s="52" t="s">
        <v>361</v>
      </c>
      <c r="B187" s="53" t="n">
        <f aca="false">IF(COUNTIFS(Clean_Data!$AB$2:$AB$2203,$A187&amp;"|"&amp;Inputs!$B$5)&gt;0,SUMIFS(Clean_Data!$F$2:$F$2203,Clean_Data!$AB$2:$AB$2203,$A187&amp;"|"&amp;Inputs!$B$5),"")</f>
        <v>13.21</v>
      </c>
      <c r="C187" s="53" t="n">
        <f aca="false">IF(COUNTIFS(Clean_Data!$AB$2:$AB$2203,$A187&amp;"|"&amp;Inputs!$B$6)&gt;0,SUMIFS(Clean_Data!$F$2:$F$2203,Clean_Data!$AB$2:$AB$2203,$A187&amp;"|"&amp;Inputs!$B$6),"")</f>
        <v>17.07</v>
      </c>
      <c r="D187" s="54" t="n">
        <f aca="false">IF(AND(ISNUMBER(B187),ISNUMBER(C187)),IF(AND(B187&gt;0,Inputs!$B$6&gt;Inputs!$B$5),(C187/B187)^(1/(Inputs!$B$6-Inputs!$B$5))-1,""),"")</f>
        <v>0.0288926816518702</v>
      </c>
      <c r="E187" s="54" t="n">
        <f aca="false">IF(ISNUMBER(B187),SUMIFS(Clean_Data!$V$2:$V$2203,Clean_Data!$AB$2:$AB$2203,$A187&amp;"|"&amp;Inputs!$B$5),"")</f>
        <v>0.487509462528388</v>
      </c>
      <c r="F187" s="54" t="n">
        <f aca="false">IF(ISNUMBER(C187),SUMIFS(Clean_Data!$V$2:$V$2203,Clean_Data!$AB$2:$AB$2203,$A187&amp;"|"&amp;Inputs!$B$6),"")</f>
        <v>0.552431165787932</v>
      </c>
      <c r="G187" s="55" t="n">
        <f aca="false">IF(AND(ISNUMBER(E187),ISNUMBER(F187)),(F187-E187)*100,"")</f>
        <v>6.49217032595444</v>
      </c>
      <c r="H187" s="54" t="n">
        <f aca="false">IF(ISNUMBER(B187),SUMIFS(Clean_Data!$X$2:$X$2203,Clean_Data!$AB$2:$AB$2203,$A187&amp;"|"&amp;Inputs!$B$5),"")</f>
        <v>0.0287660862982589</v>
      </c>
      <c r="I187" s="54" t="n">
        <f aca="false">IF(ISNUMBER(C187),SUMIFS(Clean_Data!$X$2:$X$2203,Clean_Data!$AB$2:$AB$2203,$A187&amp;"|"&amp;Inputs!$B$6),"")</f>
        <v>0.127709431751611</v>
      </c>
      <c r="J187" s="55" t="n">
        <f aca="false">IF(AND(ISNUMBER(H187),ISNUMBER(I187)),(I187-H187)*100,"")</f>
        <v>9.89433454533521</v>
      </c>
      <c r="K187" s="54" t="n">
        <f aca="false">IF(ISNUMBER(C187),SUMIFS(Clean_Data!$Y$2:$Y$2203,Clean_Data!$AB$2:$AB$2203,$A187&amp;"|"&amp;Inputs!$B$6),"")</f>
        <v>0.328646748681898</v>
      </c>
      <c r="L187" s="56" t="n">
        <f aca="false">IF(COUNTIFS(Clean_Data!$AB$2:$AB$2203,$A187&amp;"|"&amp;Inputs!$B$6,Clean_Data!$P$2:$P$2203,"&lt;&gt;")&gt;0,SUMIFS(Clean_Data!$P$2:$P$2203,Clean_Data!$AB$2:$AB$2203,$A187&amp;"|"&amp;Inputs!$B$6),"")</f>
        <v>378.4</v>
      </c>
      <c r="M187" s="52" t="str">
        <f aca="false">IF(ISNUMBER(C187),IF(C187&gt;=Inputs!$B$7,"Yes","No"),"No")</f>
        <v>No</v>
      </c>
      <c r="N187" s="57" t="n">
        <f aca="false">IF(M187="Yes",F187+ROW()/10^9,-1)</f>
        <v>-1</v>
      </c>
      <c r="O187" s="57" t="n">
        <f aca="false">IF(AND(M187="Yes",ISNUMBER(J187)),J187+ROW()/10^9,-1000)</f>
        <v>-1000</v>
      </c>
      <c r="P187" s="57" t="n">
        <f aca="false">IF(M187="Yes",K187+ROW()/10^9,-1)</f>
        <v>-1</v>
      </c>
    </row>
    <row r="188" customFormat="false" ht="15" hidden="false" customHeight="false" outlineLevel="0" collapsed="false">
      <c r="A188" s="52" t="s">
        <v>362</v>
      </c>
      <c r="B188" s="53" t="n">
        <f aca="false">IF(COUNTIFS(Clean_Data!$AB$2:$AB$2203,$A188&amp;"|"&amp;Inputs!$B$5)&gt;0,SUMIFS(Clean_Data!$F$2:$F$2203,Clean_Data!$AB$2:$AB$2203,$A188&amp;"|"&amp;Inputs!$B$5),"")</f>
        <v>13.09</v>
      </c>
      <c r="C188" s="53" t="n">
        <f aca="false">IF(COUNTIFS(Clean_Data!$AB$2:$AB$2203,$A188&amp;"|"&amp;Inputs!$B$6)&gt;0,SUMIFS(Clean_Data!$F$2:$F$2203,Clean_Data!$AB$2:$AB$2203,$A188&amp;"|"&amp;Inputs!$B$6),"")</f>
        <v>14.77</v>
      </c>
      <c r="D188" s="54" t="n">
        <f aca="false">IF(AND(ISNUMBER(B188),ISNUMBER(C188)),IF(AND(B188&gt;0,Inputs!$B$6&gt;Inputs!$B$5),(C188/B188)^(1/(Inputs!$B$6-Inputs!$B$5))-1,""),"")</f>
        <v>0.0135070195739817</v>
      </c>
      <c r="E188" s="54" t="n">
        <f aca="false">IF(ISNUMBER(B188),SUMIFS(Clean_Data!$V$2:$V$2203,Clean_Data!$AB$2:$AB$2203,$A188&amp;"|"&amp;Inputs!$B$5),"")</f>
        <v>0.646294881588999</v>
      </c>
      <c r="F188" s="54" t="n">
        <f aca="false">IF(ISNUMBER(C188),SUMIFS(Clean_Data!$V$2:$V$2203,Clean_Data!$AB$2:$AB$2203,$A188&amp;"|"&amp;Inputs!$B$6),"")</f>
        <v>0.7968855788761</v>
      </c>
      <c r="G188" s="55" t="n">
        <f aca="false">IF(AND(ISNUMBER(E188),ISNUMBER(F188)),(F188-E188)*100,"")</f>
        <v>15.0590697287101</v>
      </c>
      <c r="H188" s="54" t="n">
        <f aca="false">IF(ISNUMBER(B188),SUMIFS(Clean_Data!$X$2:$X$2203,Clean_Data!$AB$2:$AB$2203,$A188&amp;"|"&amp;Inputs!$B$5),"")</f>
        <v>0.000763941940412529</v>
      </c>
      <c r="I188" s="54" t="n">
        <f aca="false">IF(ISNUMBER(C188),SUMIFS(Clean_Data!$X$2:$X$2203,Clean_Data!$AB$2:$AB$2203,$A188&amp;"|"&amp;Inputs!$B$6),"")</f>
        <v>0.010832769126608</v>
      </c>
      <c r="J188" s="55" t="n">
        <f aca="false">IF(AND(ISNUMBER(H188),ISNUMBER(I188)),(I188-H188)*100,"")</f>
        <v>1.00688271861955</v>
      </c>
      <c r="K188" s="54" t="n">
        <f aca="false">IF(ISNUMBER(C188),SUMIFS(Clean_Data!$Y$2:$Y$2203,Clean_Data!$AB$2:$AB$2203,$A188&amp;"|"&amp;Inputs!$B$6),"")</f>
        <v>0</v>
      </c>
      <c r="L188" s="56" t="n">
        <f aca="false">IF(COUNTIFS(Clean_Data!$AB$2:$AB$2203,$A188&amp;"|"&amp;Inputs!$B$6,Clean_Data!$P$2:$P$2203,"&lt;&gt;")&gt;0,SUMIFS(Clean_Data!$P$2:$P$2203,Clean_Data!$AB$2:$AB$2203,$A188&amp;"|"&amp;Inputs!$B$6),"")</f>
        <v>153.7</v>
      </c>
      <c r="M188" s="52" t="str">
        <f aca="false">IF(ISNUMBER(C188),IF(C188&gt;=Inputs!$B$7,"Yes","No"),"No")</f>
        <v>No</v>
      </c>
      <c r="N188" s="57" t="n">
        <f aca="false">IF(M188="Yes",F188+ROW()/10^9,-1)</f>
        <v>-1</v>
      </c>
      <c r="O188" s="57" t="n">
        <f aca="false">IF(AND(M188="Yes",ISNUMBER(J188)),J188+ROW()/10^9,-1000)</f>
        <v>-1000</v>
      </c>
      <c r="P188" s="57" t="n">
        <f aca="false">IF(M188="Yes",K188+ROW()/10^9,-1)</f>
        <v>-1</v>
      </c>
    </row>
    <row r="189" customFormat="false" ht="15" hidden="false" customHeight="false" outlineLevel="0" collapsed="false">
      <c r="A189" s="52" t="s">
        <v>363</v>
      </c>
      <c r="B189" s="53" t="n">
        <f aca="false">IF(COUNTIFS(Clean_Data!$AB$2:$AB$2203,$A189&amp;"|"&amp;Inputs!$B$5)&gt;0,SUMIFS(Clean_Data!$F$2:$F$2203,Clean_Data!$AB$2:$AB$2203,$A189&amp;"|"&amp;Inputs!$B$5),"")</f>
        <v>1.86</v>
      </c>
      <c r="C189" s="53" t="n">
        <f aca="false">IF(COUNTIFS(Clean_Data!$AB$2:$AB$2203,$A189&amp;"|"&amp;Inputs!$B$6)&gt;0,SUMIFS(Clean_Data!$F$2:$F$2203,Clean_Data!$AB$2:$AB$2203,$A189&amp;"|"&amp;Inputs!$B$6),"")</f>
        <v>1.74</v>
      </c>
      <c r="D189" s="54" t="n">
        <f aca="false">IF(AND(ISNUMBER(B189),ISNUMBER(C189)),IF(AND(B189&gt;0,Inputs!$B$6&gt;Inputs!$B$5),(C189/B189)^(1/(Inputs!$B$6-Inputs!$B$5))-1,""),"")</f>
        <v>-0.00738276523064363</v>
      </c>
      <c r="E189" s="54" t="n">
        <f aca="false">IF(ISNUMBER(B189),SUMIFS(Clean_Data!$V$2:$V$2203,Clean_Data!$AB$2:$AB$2203,$A189&amp;"|"&amp;Inputs!$B$5),"")</f>
        <v>0.263440860215054</v>
      </c>
      <c r="F189" s="54" t="n">
        <f aca="false">IF(ISNUMBER(C189),SUMIFS(Clean_Data!$V$2:$V$2203,Clean_Data!$AB$2:$AB$2203,$A189&amp;"|"&amp;Inputs!$B$6),"")</f>
        <v>0.528735632183908</v>
      </c>
      <c r="G189" s="55" t="n">
        <f aca="false">IF(AND(ISNUMBER(E189),ISNUMBER(F189)),(F189-E189)*100,"")</f>
        <v>26.5294771968854</v>
      </c>
      <c r="H189" s="54" t="n">
        <f aca="false">IF(ISNUMBER(B189),SUMIFS(Clean_Data!$X$2:$X$2203,Clean_Data!$AB$2:$AB$2203,$A189&amp;"|"&amp;Inputs!$B$5),"")</f>
        <v>0.00537634408602151</v>
      </c>
      <c r="I189" s="54" t="n">
        <f aca="false">IF(ISNUMBER(C189),SUMIFS(Clean_Data!$X$2:$X$2203,Clean_Data!$AB$2:$AB$2203,$A189&amp;"|"&amp;Inputs!$B$6),"")</f>
        <v>0.00574712643678161</v>
      </c>
      <c r="J189" s="55" t="n">
        <f aca="false">IF(AND(ISNUMBER(H189),ISNUMBER(I189)),(I189-H189)*100,"")</f>
        <v>0.0370782350760104</v>
      </c>
      <c r="K189" s="54" t="n">
        <f aca="false">IF(ISNUMBER(C189),SUMIFS(Clean_Data!$Y$2:$Y$2203,Clean_Data!$AB$2:$AB$2203,$A189&amp;"|"&amp;Inputs!$B$6),"")</f>
        <v>0</v>
      </c>
      <c r="L189" s="56" t="n">
        <f aca="false">IF(COUNTIFS(Clean_Data!$AB$2:$AB$2203,$A189&amp;"|"&amp;Inputs!$B$6,Clean_Data!$P$2:$P$2203,"&lt;&gt;")&gt;0,SUMIFS(Clean_Data!$P$2:$P$2203,Clean_Data!$AB$2:$AB$2203,$A189&amp;"|"&amp;Inputs!$B$6),"")</f>
        <v>321.8</v>
      </c>
      <c r="M189" s="52" t="str">
        <f aca="false">IF(ISNUMBER(C189),IF(C189&gt;=Inputs!$B$7,"Yes","No"),"No")</f>
        <v>No</v>
      </c>
      <c r="N189" s="57" t="n">
        <f aca="false">IF(M189="Yes",F189+ROW()/10^9,-1)</f>
        <v>-1</v>
      </c>
      <c r="O189" s="57" t="n">
        <f aca="false">IF(AND(M189="Yes",ISNUMBER(J189)),J189+ROW()/10^9,-1000)</f>
        <v>-1000</v>
      </c>
      <c r="P189" s="57" t="n">
        <f aca="false">IF(M189="Yes",K189+ROW()/10^9,-1)</f>
        <v>-1</v>
      </c>
    </row>
    <row r="190" customFormat="false" ht="15" hidden="false" customHeight="false" outlineLevel="0" collapsed="false">
      <c r="A190" s="52" t="s">
        <v>364</v>
      </c>
      <c r="B190" s="53" t="n">
        <f aca="false">IF(COUNTIFS(Clean_Data!$AB$2:$AB$2203,$A190&amp;"|"&amp;Inputs!$B$5)&gt;0,SUMIFS(Clean_Data!$F$2:$F$2203,Clean_Data!$AB$2:$AB$2203,$A190&amp;"|"&amp;Inputs!$B$5),"")</f>
        <v>162</v>
      </c>
      <c r="C190" s="53" t="n">
        <f aca="false">IF(COUNTIFS(Clean_Data!$AB$2:$AB$2203,$A190&amp;"|"&amp;Inputs!$B$6)&gt;0,SUMIFS(Clean_Data!$F$2:$F$2203,Clean_Data!$AB$2:$AB$2203,$A190&amp;"|"&amp;Inputs!$B$6),"")</f>
        <v>172.15</v>
      </c>
      <c r="D190" s="54" t="n">
        <f aca="false">IF(AND(ISNUMBER(B190),ISNUMBER(C190)),IF(AND(B190&gt;0,Inputs!$B$6&gt;Inputs!$B$5),(C190/B190)^(1/(Inputs!$B$6-Inputs!$B$5))-1,""),"")</f>
        <v>0.00677505359951081</v>
      </c>
      <c r="E190" s="54" t="n">
        <f aca="false">IF(ISNUMBER(B190),SUMIFS(Clean_Data!$V$2:$V$2203,Clean_Data!$AB$2:$AB$2203,$A190&amp;"|"&amp;Inputs!$B$5),"")</f>
        <v>0.632716049382716</v>
      </c>
      <c r="F190" s="54" t="n">
        <f aca="false">IF(ISNUMBER(C190),SUMIFS(Clean_Data!$V$2:$V$2203,Clean_Data!$AB$2:$AB$2203,$A190&amp;"|"&amp;Inputs!$B$6),"")</f>
        <v>0.693581179204182</v>
      </c>
      <c r="G190" s="55" t="n">
        <f aca="false">IF(AND(ISNUMBER(E190),ISNUMBER(F190)),(F190-E190)*100,"")</f>
        <v>6.08651298214664</v>
      </c>
      <c r="H190" s="54" t="n">
        <f aca="false">IF(ISNUMBER(B190),SUMIFS(Clean_Data!$X$2:$X$2203,Clean_Data!$AB$2:$AB$2203,$A190&amp;"|"&amp;Inputs!$B$5),"")</f>
        <v>0.101358024691358</v>
      </c>
      <c r="I190" s="54" t="n">
        <f aca="false">IF(ISNUMBER(C190),SUMIFS(Clean_Data!$X$2:$X$2203,Clean_Data!$AB$2:$AB$2203,$A190&amp;"|"&amp;Inputs!$B$6),"")</f>
        <v>0.259134475747894</v>
      </c>
      <c r="J190" s="55" t="n">
        <f aca="false">IF(AND(ISNUMBER(H190),ISNUMBER(I190)),(I190-H190)*100,"")</f>
        <v>15.7776451056536</v>
      </c>
      <c r="K190" s="54" t="n">
        <f aca="false">IF(ISNUMBER(C190),SUMIFS(Clean_Data!$Y$2:$Y$2203,Clean_Data!$AB$2:$AB$2203,$A190&amp;"|"&amp;Inputs!$B$6),"")</f>
        <v>0</v>
      </c>
      <c r="L190" s="56" t="n">
        <f aca="false">IF(COUNTIFS(Clean_Data!$AB$2:$AB$2203,$A190&amp;"|"&amp;Inputs!$B$6,Clean_Data!$P$2:$P$2203,"&lt;&gt;")&gt;0,SUMIFS(Clean_Data!$P$2:$P$2203,Clean_Data!$AB$2:$AB$2203,$A190&amp;"|"&amp;Inputs!$B$6),"")</f>
        <v>34.9</v>
      </c>
      <c r="M190" s="52" t="str">
        <f aca="false">IF(ISNUMBER(C190),IF(C190&gt;=Inputs!$B$7,"Yes","No"),"No")</f>
        <v>Yes</v>
      </c>
      <c r="N190" s="57" t="n">
        <f aca="false">IF(M190="Yes",F190+ROW()/10^9,-1)</f>
        <v>0.693581369204182</v>
      </c>
      <c r="O190" s="57" t="n">
        <f aca="false">IF(AND(M190="Yes",ISNUMBER(J190)),J190+ROW()/10^9,-1000)</f>
        <v>15.7776452956536</v>
      </c>
      <c r="P190" s="57" t="n">
        <f aca="false">IF(M190="Yes",K190+ROW()/10^9,-1)</f>
        <v>1.9E-007</v>
      </c>
    </row>
    <row r="191" customFormat="false" ht="15" hidden="false" customHeight="false" outlineLevel="0" collapsed="false">
      <c r="A191" s="52" t="s">
        <v>365</v>
      </c>
      <c r="B191" s="53" t="n">
        <f aca="false">IF(COUNTIFS(Clean_Data!$AB$2:$AB$2203,$A191&amp;"|"&amp;Inputs!$B$5)&gt;0,SUMIFS(Clean_Data!$F$2:$F$2203,Clean_Data!$AB$2:$AB$2203,$A191&amp;"|"&amp;Inputs!$B$5),"")</f>
        <v>66.07</v>
      </c>
      <c r="C191" s="53" t="n">
        <f aca="false">IF(COUNTIFS(Clean_Data!$AB$2:$AB$2203,$A191&amp;"|"&amp;Inputs!$B$6)&gt;0,SUMIFS(Clean_Data!$F$2:$F$2203,Clean_Data!$AB$2:$AB$2203,$A191&amp;"|"&amp;Inputs!$B$6),"")</f>
        <v>78.37</v>
      </c>
      <c r="D191" s="54" t="n">
        <f aca="false">IF(AND(ISNUMBER(B191),ISNUMBER(C191)),IF(AND(B191&gt;0,Inputs!$B$6&gt;Inputs!$B$5),(C191/B191)^(1/(Inputs!$B$6-Inputs!$B$5))-1,""),"")</f>
        <v>0.0191506676674154</v>
      </c>
      <c r="E191" s="54" t="n">
        <f aca="false">IF(ISNUMBER(B191),SUMIFS(Clean_Data!$V$2:$V$2203,Clean_Data!$AB$2:$AB$2203,$A191&amp;"|"&amp;Inputs!$B$5),"")</f>
        <v>0.62237021341002</v>
      </c>
      <c r="F191" s="54" t="n">
        <f aca="false">IF(ISNUMBER(C191),SUMIFS(Clean_Data!$V$2:$V$2203,Clean_Data!$AB$2:$AB$2203,$A191&amp;"|"&amp;Inputs!$B$6),"")</f>
        <v>0.674492790608651</v>
      </c>
      <c r="G191" s="55" t="n">
        <f aca="false">IF(AND(ISNUMBER(E191),ISNUMBER(F191)),(F191-E191)*100,"")</f>
        <v>5.21225771986313</v>
      </c>
      <c r="H191" s="54" t="n">
        <f aca="false">IF(ISNUMBER(B191),SUMIFS(Clean_Data!$X$2:$X$2203,Clean_Data!$AB$2:$AB$2203,$A191&amp;"|"&amp;Inputs!$B$5),"")</f>
        <v>0.0186166187377024</v>
      </c>
      <c r="I191" s="54" t="n">
        <f aca="false">IF(ISNUMBER(C191),SUMIFS(Clean_Data!$X$2:$X$2203,Clean_Data!$AB$2:$AB$2203,$A191&amp;"|"&amp;Inputs!$B$6),"")</f>
        <v>0.0745183105780273</v>
      </c>
      <c r="J191" s="55" t="n">
        <f aca="false">IF(AND(ISNUMBER(H191),ISNUMBER(I191)),(I191-H191)*100,"")</f>
        <v>5.59016918403249</v>
      </c>
      <c r="K191" s="54" t="n">
        <f aca="false">IF(ISNUMBER(C191),SUMIFS(Clean_Data!$Y$2:$Y$2203,Clean_Data!$AB$2:$AB$2203,$A191&amp;"|"&amp;Inputs!$B$6),"")</f>
        <v>0</v>
      </c>
      <c r="L191" s="56" t="n">
        <f aca="false">IF(COUNTIFS(Clean_Data!$AB$2:$AB$2203,$A191&amp;"|"&amp;Inputs!$B$6,Clean_Data!$P$2:$P$2203,"&lt;&gt;")&gt;0,SUMIFS(Clean_Data!$P$2:$P$2203,Clean_Data!$AB$2:$AB$2203,$A191&amp;"|"&amp;Inputs!$B$6),"")</f>
        <v>34.6</v>
      </c>
      <c r="M191" s="52" t="str">
        <f aca="false">IF(ISNUMBER(C191),IF(C191&gt;=Inputs!$B$7,"Yes","No"),"No")</f>
        <v>Yes</v>
      </c>
      <c r="N191" s="57" t="n">
        <f aca="false">IF(M191="Yes",F191+ROW()/10^9,-1)</f>
        <v>0.674492981608651</v>
      </c>
      <c r="O191" s="57" t="n">
        <f aca="false">IF(AND(M191="Yes",ISNUMBER(J191)),J191+ROW()/10^9,-1000)</f>
        <v>5.59016937503249</v>
      </c>
      <c r="P191" s="57" t="n">
        <f aca="false">IF(M191="Yes",K191+ROW()/10^9,-1)</f>
        <v>1.91E-007</v>
      </c>
    </row>
    <row r="192" customFormat="false" ht="15" hidden="false" customHeight="false" outlineLevel="0" collapsed="false">
      <c r="A192" s="52" t="s">
        <v>366</v>
      </c>
      <c r="B192" s="53" t="n">
        <f aca="false">IF(COUNTIFS(Clean_Data!$AB$2:$AB$2203,$A192&amp;"|"&amp;Inputs!$B$5)&gt;0,SUMIFS(Clean_Data!$F$2:$F$2203,Clean_Data!$AB$2:$AB$2203,$A192&amp;"|"&amp;Inputs!$B$5),"")</f>
        <v>18.01</v>
      </c>
      <c r="C192" s="53" t="n">
        <f aca="false">IF(COUNTIFS(Clean_Data!$AB$2:$AB$2203,$A192&amp;"|"&amp;Inputs!$B$6)&gt;0,SUMIFS(Clean_Data!$F$2:$F$2203,Clean_Data!$AB$2:$AB$2203,$A192&amp;"|"&amp;Inputs!$B$6),"")</f>
        <v>24.88</v>
      </c>
      <c r="D192" s="54" t="n">
        <f aca="false">IF(AND(ISNUMBER(B192),ISNUMBER(C192)),IF(AND(B192&gt;0,Inputs!$B$6&gt;Inputs!$B$5),(C192/B192)^(1/(Inputs!$B$6-Inputs!$B$5))-1,""),"")</f>
        <v>0.0365564599967039</v>
      </c>
      <c r="E192" s="54" t="n">
        <f aca="false">IF(ISNUMBER(B192),SUMIFS(Clean_Data!$V$2:$V$2203,Clean_Data!$AB$2:$AB$2203,$A192&amp;"|"&amp;Inputs!$B$5),"")</f>
        <v>0.0244308717379234</v>
      </c>
      <c r="F192" s="54" t="n">
        <f aca="false">IF(ISNUMBER(C192),SUMIFS(Clean_Data!$V$2:$V$2203,Clean_Data!$AB$2:$AB$2203,$A192&amp;"|"&amp;Inputs!$B$6),"")</f>
        <v>0.0353697749196142</v>
      </c>
      <c r="G192" s="55" t="n">
        <f aca="false">IF(AND(ISNUMBER(E192),ISNUMBER(F192)),(F192-E192)*100,"")</f>
        <v>1.09389031816908</v>
      </c>
      <c r="H192" s="54" t="n">
        <f aca="false">IF(ISNUMBER(B192),SUMIFS(Clean_Data!$X$2:$X$2203,Clean_Data!$AB$2:$AB$2203,$A192&amp;"|"&amp;Inputs!$B$5),"")</f>
        <v>0</v>
      </c>
      <c r="I192" s="54" t="n">
        <f aca="false">IF(ISNUMBER(C192),SUMIFS(Clean_Data!$X$2:$X$2203,Clean_Data!$AB$2:$AB$2203,$A192&amp;"|"&amp;Inputs!$B$6),"")</f>
        <v>0.00401929260450161</v>
      </c>
      <c r="J192" s="55" t="n">
        <f aca="false">IF(AND(ISNUMBER(H192),ISNUMBER(I192)),(I192-H192)*100,"")</f>
        <v>0.401929260450161</v>
      </c>
      <c r="K192" s="54" t="n">
        <f aca="false">IF(ISNUMBER(C192),SUMIFS(Clean_Data!$Y$2:$Y$2203,Clean_Data!$AB$2:$AB$2203,$A192&amp;"|"&amp;Inputs!$B$6),"")</f>
        <v>0</v>
      </c>
      <c r="L192" s="56" t="n">
        <f aca="false">IF(COUNTIFS(Clean_Data!$AB$2:$AB$2203,$A192&amp;"|"&amp;Inputs!$B$6,Clean_Data!$P$2:$P$2203,"&lt;&gt;")&gt;0,SUMIFS(Clean_Data!$P$2:$P$2203,Clean_Data!$AB$2:$AB$2203,$A192&amp;"|"&amp;Inputs!$B$6),"")</f>
        <v>706.2</v>
      </c>
      <c r="M192" s="52" t="str">
        <f aca="false">IF(ISNUMBER(C192),IF(C192&gt;=Inputs!$B$7,"Yes","No"),"No")</f>
        <v>Yes</v>
      </c>
      <c r="N192" s="57" t="n">
        <f aca="false">IF(M192="Yes",F192+ROW()/10^9,-1)</f>
        <v>0.0353699669196142</v>
      </c>
      <c r="O192" s="57" t="n">
        <f aca="false">IF(AND(M192="Yes",ISNUMBER(J192)),J192+ROW()/10^9,-1000)</f>
        <v>0.401929452450161</v>
      </c>
      <c r="P192" s="57" t="n">
        <f aca="false">IF(M192="Yes",K192+ROW()/10^9,-1)</f>
        <v>1.92E-007</v>
      </c>
    </row>
    <row r="193" customFormat="false" ht="15" hidden="false" customHeight="false" outlineLevel="0" collapsed="false">
      <c r="A193" s="52" t="s">
        <v>367</v>
      </c>
      <c r="B193" s="53" t="n">
        <f aca="false">IF(COUNTIFS(Clean_Data!$AB$2:$AB$2203,$A193&amp;"|"&amp;Inputs!$B$5)&gt;0,SUMIFS(Clean_Data!$F$2:$F$2203,Clean_Data!$AB$2:$AB$2203,$A193&amp;"|"&amp;Inputs!$B$5),"")</f>
        <v>258.14</v>
      </c>
      <c r="C193" s="53" t="n">
        <f aca="false">IF(COUNTIFS(Clean_Data!$AB$2:$AB$2203,$A193&amp;"|"&amp;Inputs!$B$6)&gt;0,SUMIFS(Clean_Data!$F$2:$F$2203,Clean_Data!$AB$2:$AB$2203,$A193&amp;"|"&amp;Inputs!$B$6),"")</f>
        <v>288.56</v>
      </c>
      <c r="D193" s="54" t="n">
        <f aca="false">IF(AND(ISNUMBER(B193),ISNUMBER(C193)),IF(AND(B193&gt;0,Inputs!$B$6&gt;Inputs!$B$5),(C193/B193)^(1/(Inputs!$B$6-Inputs!$B$5))-1,""),"")</f>
        <v>0.0124548078687254</v>
      </c>
      <c r="E193" s="54" t="n">
        <f aca="false">IF(ISNUMBER(B193),SUMIFS(Clean_Data!$V$2:$V$2203,Clean_Data!$AB$2:$AB$2203,$A193&amp;"|"&amp;Inputs!$B$5),"")</f>
        <v>0.0340512899976757</v>
      </c>
      <c r="F193" s="54" t="n">
        <f aca="false">IF(ISNUMBER(C193),SUMIFS(Clean_Data!$V$2:$V$2203,Clean_Data!$AB$2:$AB$2203,$A193&amp;"|"&amp;Inputs!$B$6),"")</f>
        <v>0.109197393956196</v>
      </c>
      <c r="G193" s="55" t="n">
        <f aca="false">IF(AND(ISNUMBER(E193),ISNUMBER(F193)),(F193-E193)*100,"")</f>
        <v>7.51461039585206</v>
      </c>
      <c r="H193" s="54" t="n">
        <f aca="false">IF(ISNUMBER(B193),SUMIFS(Clean_Data!$X$2:$X$2203,Clean_Data!$AB$2:$AB$2203,$A193&amp;"|"&amp;Inputs!$B$5),"")</f>
        <v>0.00921980320756179</v>
      </c>
      <c r="I193" s="54" t="n">
        <f aca="false">IF(ISNUMBER(C193),SUMIFS(Clean_Data!$X$2:$X$2203,Clean_Data!$AB$2:$AB$2203,$A193&amp;"|"&amp;Inputs!$B$6),"")</f>
        <v>0.0874341558081508</v>
      </c>
      <c r="J193" s="55" t="n">
        <f aca="false">IF(AND(ISNUMBER(H193),ISNUMBER(I193)),(I193-H193)*100,"")</f>
        <v>7.8214352600589</v>
      </c>
      <c r="K193" s="54" t="n">
        <f aca="false">IF(ISNUMBER(C193),SUMIFS(Clean_Data!$Y$2:$Y$2203,Clean_Data!$AB$2:$AB$2203,$A193&amp;"|"&amp;Inputs!$B$6),"")</f>
        <v>0.400679234821181</v>
      </c>
      <c r="L193" s="56" t="n">
        <f aca="false">IF(COUNTIFS(Clean_Data!$AB$2:$AB$2203,$A193&amp;"|"&amp;Inputs!$B$6,Clean_Data!$P$2:$P$2203,"&lt;&gt;")&gt;0,SUMIFS(Clean_Data!$P$2:$P$2203,Clean_Data!$AB$2:$AB$2203,$A193&amp;"|"&amp;Inputs!$B$6),"")</f>
        <v>635.2</v>
      </c>
      <c r="M193" s="52" t="str">
        <f aca="false">IF(ISNUMBER(C193),IF(C193&gt;=Inputs!$B$7,"Yes","No"),"No")</f>
        <v>Yes</v>
      </c>
      <c r="N193" s="57" t="n">
        <f aca="false">IF(M193="Yes",F193+ROW()/10^9,-1)</f>
        <v>0.109197586956196</v>
      </c>
      <c r="O193" s="57" t="n">
        <f aca="false">IF(AND(M193="Yes",ISNUMBER(J193)),J193+ROW()/10^9,-1000)</f>
        <v>7.8214354530589</v>
      </c>
      <c r="P193" s="57" t="n">
        <f aca="false">IF(M193="Yes",K193+ROW()/10^9,-1)</f>
        <v>0.400679427821181</v>
      </c>
    </row>
    <row r="194" customFormat="false" ht="15" hidden="false" customHeight="false" outlineLevel="0" collapsed="false">
      <c r="A194" s="52" t="s">
        <v>368</v>
      </c>
      <c r="B194" s="53" t="n">
        <f aca="false">IF(COUNTIFS(Clean_Data!$AB$2:$AB$2203,$A194&amp;"|"&amp;Inputs!$B$5)&gt;0,SUMIFS(Clean_Data!$F$2:$F$2203,Clean_Data!$AB$2:$AB$2203,$A194&amp;"|"&amp;Inputs!$B$5),"")</f>
        <v>17.16</v>
      </c>
      <c r="C194" s="53" t="n">
        <f aca="false">IF(COUNTIFS(Clean_Data!$AB$2:$AB$2203,$A194&amp;"|"&amp;Inputs!$B$6)&gt;0,SUMIFS(Clean_Data!$F$2:$F$2203,Clean_Data!$AB$2:$AB$2203,$A194&amp;"|"&amp;Inputs!$B$6),"")</f>
        <v>22.2</v>
      </c>
      <c r="D194" s="54" t="n">
        <f aca="false">IF(AND(ISNUMBER(B194),ISNUMBER(C194)),IF(AND(B194&gt;0,Inputs!$B$6&gt;Inputs!$B$5),(C194/B194)^(1/(Inputs!$B$6-Inputs!$B$5))-1,""),"")</f>
        <v>0.029025620492571</v>
      </c>
      <c r="E194" s="54" t="n">
        <f aca="false">IF(ISNUMBER(B194),SUMIFS(Clean_Data!$V$2:$V$2203,Clean_Data!$AB$2:$AB$2203,$A194&amp;"|"&amp;Inputs!$B$5),"")</f>
        <v>0.990675990675991</v>
      </c>
      <c r="F194" s="54" t="n">
        <f aca="false">IF(ISNUMBER(C194),SUMIFS(Clean_Data!$V$2:$V$2203,Clean_Data!$AB$2:$AB$2203,$A194&amp;"|"&amp;Inputs!$B$6),"")</f>
        <v>0.945945945945946</v>
      </c>
      <c r="G194" s="55" t="n">
        <f aca="false">IF(AND(ISNUMBER(E194),ISNUMBER(F194)),(F194-E194)*100,"")</f>
        <v>-4.47300447300447</v>
      </c>
      <c r="H194" s="54" t="n">
        <f aca="false">IF(ISNUMBER(B194),SUMIFS(Clean_Data!$X$2:$X$2203,Clean_Data!$AB$2:$AB$2203,$A194&amp;"|"&amp;Inputs!$B$5),"")</f>
        <v>0</v>
      </c>
      <c r="I194" s="54" t="n">
        <f aca="false">IF(ISNUMBER(C194),SUMIFS(Clean_Data!$X$2:$X$2203,Clean_Data!$AB$2:$AB$2203,$A194&amp;"|"&amp;Inputs!$B$6),"")</f>
        <v>0</v>
      </c>
      <c r="J194" s="55" t="n">
        <f aca="false">IF(AND(ISNUMBER(H194),ISNUMBER(I194)),(I194-H194)*100,"")</f>
        <v>0</v>
      </c>
      <c r="K194" s="54" t="n">
        <f aca="false">IF(ISNUMBER(C194),SUMIFS(Clean_Data!$Y$2:$Y$2203,Clean_Data!$AB$2:$AB$2203,$A194&amp;"|"&amp;Inputs!$B$6),"")</f>
        <v>0.0450450450450451</v>
      </c>
      <c r="L194" s="56" t="n">
        <f aca="false">IF(COUNTIFS(Clean_Data!$AB$2:$AB$2203,$A194&amp;"|"&amp;Inputs!$B$6,Clean_Data!$P$2:$P$2203,"&lt;&gt;")&gt;0,SUMIFS(Clean_Data!$P$2:$P$2203,Clean_Data!$AB$2:$AB$2203,$A194&amp;"|"&amp;Inputs!$B$6),"")</f>
        <v>71.2</v>
      </c>
      <c r="M194" s="52" t="str">
        <f aca="false">IF(ISNUMBER(C194),IF(C194&gt;=Inputs!$B$7,"Yes","No"),"No")</f>
        <v>Yes</v>
      </c>
      <c r="N194" s="57" t="n">
        <f aca="false">IF(M194="Yes",F194+ROW()/10^9,-1)</f>
        <v>0.945946139945946</v>
      </c>
      <c r="O194" s="57" t="n">
        <f aca="false">IF(AND(M194="Yes",ISNUMBER(J194)),J194+ROW()/10^9,-1000)</f>
        <v>1.94E-007</v>
      </c>
      <c r="P194" s="57" t="n">
        <f aca="false">IF(M194="Yes",K194+ROW()/10^9,-1)</f>
        <v>0.0450452390450451</v>
      </c>
    </row>
    <row r="195" customFormat="false" ht="15" hidden="false" customHeight="false" outlineLevel="0" collapsed="false">
      <c r="A195" s="52" t="s">
        <v>369</v>
      </c>
      <c r="B195" s="53" t="n">
        <f aca="false">IF(COUNTIFS(Clean_Data!$AB$2:$AB$2203,$A195&amp;"|"&amp;Inputs!$B$5)&gt;0,SUMIFS(Clean_Data!$F$2:$F$2203,Clean_Data!$AB$2:$AB$2203,$A195&amp;"|"&amp;Inputs!$B$5),"")</f>
        <v>6.53</v>
      </c>
      <c r="C195" s="53" t="n">
        <f aca="false">IF(COUNTIFS(Clean_Data!$AB$2:$AB$2203,$A195&amp;"|"&amp;Inputs!$B$6)&gt;0,SUMIFS(Clean_Data!$F$2:$F$2203,Clean_Data!$AB$2:$AB$2203,$A195&amp;"|"&amp;Inputs!$B$6),"")</f>
        <v>8.84</v>
      </c>
      <c r="D195" s="54" t="n">
        <f aca="false">IF(AND(ISNUMBER(B195),ISNUMBER(C195)),IF(AND(B195&gt;0,Inputs!$B$6&gt;Inputs!$B$5),(C195/B195)^(1/(Inputs!$B$6-Inputs!$B$5))-1,""),"")</f>
        <v>0.0342260052332455</v>
      </c>
      <c r="E195" s="54" t="n">
        <f aca="false">IF(ISNUMBER(B195),SUMIFS(Clean_Data!$V$2:$V$2203,Clean_Data!$AB$2:$AB$2203,$A195&amp;"|"&amp;Inputs!$B$5),"")</f>
        <v>0.335375191424196</v>
      </c>
      <c r="F195" s="54" t="n">
        <f aca="false">IF(ISNUMBER(C195),SUMIFS(Clean_Data!$V$2:$V$2203,Clean_Data!$AB$2:$AB$2203,$A195&amp;"|"&amp;Inputs!$B$6),"")</f>
        <v>0.329185520361991</v>
      </c>
      <c r="G195" s="55" t="n">
        <f aca="false">IF(AND(ISNUMBER(E195),ISNUMBER(F195)),(F195-E195)*100,"")</f>
        <v>-0.618967106220503</v>
      </c>
      <c r="H195" s="54" t="n">
        <f aca="false">IF(ISNUMBER(B195),SUMIFS(Clean_Data!$X$2:$X$2203,Clean_Data!$AB$2:$AB$2203,$A195&amp;"|"&amp;Inputs!$B$5),"")</f>
        <v>0.00306278713629403</v>
      </c>
      <c r="I195" s="54" t="n">
        <f aca="false">IF(ISNUMBER(C195),SUMIFS(Clean_Data!$X$2:$X$2203,Clean_Data!$AB$2:$AB$2203,$A195&amp;"|"&amp;Inputs!$B$6),"")</f>
        <v>0.00452488687782806</v>
      </c>
      <c r="J195" s="55" t="n">
        <f aca="false">IF(AND(ISNUMBER(H195),ISNUMBER(I195)),(I195-H195)*100,"")</f>
        <v>0.146209974153403</v>
      </c>
      <c r="K195" s="54" t="n">
        <f aca="false">IF(ISNUMBER(C195),SUMIFS(Clean_Data!$Y$2:$Y$2203,Clean_Data!$AB$2:$AB$2203,$A195&amp;"|"&amp;Inputs!$B$6),"")</f>
        <v>0</v>
      </c>
      <c r="L195" s="56" t="n">
        <f aca="false">IF(COUNTIFS(Clean_Data!$AB$2:$AB$2203,$A195&amp;"|"&amp;Inputs!$B$6,Clean_Data!$P$2:$P$2203,"&lt;&gt;")&gt;0,SUMIFS(Clean_Data!$P$2:$P$2203,Clean_Data!$AB$2:$AB$2203,$A195&amp;"|"&amp;Inputs!$B$6),"")</f>
        <v>345</v>
      </c>
      <c r="M195" s="52" t="str">
        <f aca="false">IF(ISNUMBER(C195),IF(C195&gt;=Inputs!$B$7,"Yes","No"),"No")</f>
        <v>No</v>
      </c>
      <c r="N195" s="57" t="n">
        <f aca="false">IF(M195="Yes",F195+ROW()/10^9,-1)</f>
        <v>-1</v>
      </c>
      <c r="O195" s="57" t="n">
        <f aca="false">IF(AND(M195="Yes",ISNUMBER(J195)),J195+ROW()/10^9,-1000)</f>
        <v>-1000</v>
      </c>
      <c r="P195" s="57" t="n">
        <f aca="false">IF(M195="Yes",K195+ROW()/10^9,-1)</f>
        <v>-1</v>
      </c>
    </row>
    <row r="196" customFormat="false" ht="15" hidden="false" customHeight="false" outlineLevel="0" collapsed="false">
      <c r="A196" s="52" t="s">
        <v>370</v>
      </c>
      <c r="B196" s="53" t="n">
        <f aca="false">IF(COUNTIFS(Clean_Data!$AB$2:$AB$2203,$A196&amp;"|"&amp;Inputs!$B$5)&gt;0,SUMIFS(Clean_Data!$F$2:$F$2203,Clean_Data!$AB$2:$AB$2203,$A196&amp;"|"&amp;Inputs!$B$5),"")</f>
        <v>177.83</v>
      </c>
      <c r="C196" s="53" t="n">
        <f aca="false">IF(COUNTIFS(Clean_Data!$AB$2:$AB$2203,$A196&amp;"|"&amp;Inputs!$B$6)&gt;0,SUMIFS(Clean_Data!$F$2:$F$2203,Clean_Data!$AB$2:$AB$2203,$A196&amp;"|"&amp;Inputs!$B$6),"")</f>
        <v>199.52</v>
      </c>
      <c r="D196" s="54" t="n">
        <f aca="false">IF(AND(ISNUMBER(B196),ISNUMBER(C196)),IF(AND(B196&gt;0,Inputs!$B$6&gt;Inputs!$B$5),(C196/B196)^(1/(Inputs!$B$6-Inputs!$B$5))-1,""),"")</f>
        <v>0.0128694908738962</v>
      </c>
      <c r="E196" s="54" t="n">
        <f aca="false">IF(ISNUMBER(B196),SUMIFS(Clean_Data!$V$2:$V$2203,Clean_Data!$AB$2:$AB$2203,$A196&amp;"|"&amp;Inputs!$B$5),"")</f>
        <v>0.0776584378338863</v>
      </c>
      <c r="F196" s="54" t="n">
        <f aca="false">IF(ISNUMBER(C196),SUMIFS(Clean_Data!$V$2:$V$2203,Clean_Data!$AB$2:$AB$2203,$A196&amp;"|"&amp;Inputs!$B$6),"")</f>
        <v>0.148406174819567</v>
      </c>
      <c r="G196" s="55" t="n">
        <f aca="false">IF(AND(ISNUMBER(E196),ISNUMBER(F196)),(F196-E196)*100,"")</f>
        <v>7.07477369856807</v>
      </c>
      <c r="H196" s="54" t="n">
        <f aca="false">IF(ISNUMBER(B196),SUMIFS(Clean_Data!$X$2:$X$2203,Clean_Data!$AB$2:$AB$2203,$A196&amp;"|"&amp;Inputs!$B$5),"")</f>
        <v>0.0152392734634201</v>
      </c>
      <c r="I196" s="54" t="n">
        <f aca="false">IF(ISNUMBER(C196),SUMIFS(Clean_Data!$X$2:$X$2203,Clean_Data!$AB$2:$AB$2203,$A196&amp;"|"&amp;Inputs!$B$6),"")</f>
        <v>0.0441559743384122</v>
      </c>
      <c r="J196" s="55" t="n">
        <f aca="false">IF(AND(ISNUMBER(H196),ISNUMBER(I196)),(I196-H196)*100,"")</f>
        <v>2.89167008749921</v>
      </c>
      <c r="K196" s="54" t="n">
        <f aca="false">IF(ISNUMBER(C196),SUMIFS(Clean_Data!$Y$2:$Y$2203,Clean_Data!$AB$2:$AB$2203,$A196&amp;"|"&amp;Inputs!$B$6),"")</f>
        <v>0.166700080192462</v>
      </c>
      <c r="L196" s="56" t="n">
        <f aca="false">IF(COUNTIFS(Clean_Data!$AB$2:$AB$2203,$A196&amp;"|"&amp;Inputs!$B$6,Clean_Data!$P$2:$P$2203,"&lt;&gt;")&gt;0,SUMIFS(Clean_Data!$P$2:$P$2203,Clean_Data!$AB$2:$AB$2203,$A196&amp;"|"&amp;Inputs!$B$6),"")</f>
        <v>554.7</v>
      </c>
      <c r="M196" s="52" t="str">
        <f aca="false">IF(ISNUMBER(C196),IF(C196&gt;=Inputs!$B$7,"Yes","No"),"No")</f>
        <v>Yes</v>
      </c>
      <c r="N196" s="57" t="n">
        <f aca="false">IF(M196="Yes",F196+ROW()/10^9,-1)</f>
        <v>0.148406370819567</v>
      </c>
      <c r="O196" s="57" t="n">
        <f aca="false">IF(AND(M196="Yes",ISNUMBER(J196)),J196+ROW()/10^9,-1000)</f>
        <v>2.89167028349921</v>
      </c>
      <c r="P196" s="57" t="n">
        <f aca="false">IF(M196="Yes",K196+ROW()/10^9,-1)</f>
        <v>0.166700276192462</v>
      </c>
    </row>
    <row r="197" customFormat="false" ht="15" hidden="false" customHeight="false" outlineLevel="0" collapsed="false">
      <c r="A197" s="52" t="s">
        <v>371</v>
      </c>
      <c r="B197" s="53" t="n">
        <f aca="false">IF(COUNTIFS(Clean_Data!$AB$2:$AB$2203,$A197&amp;"|"&amp;Inputs!$B$5)&gt;0,SUMIFS(Clean_Data!$F$2:$F$2203,Clean_Data!$AB$2:$AB$2203,$A197&amp;"|"&amp;Inputs!$B$5),"")</f>
        <v>0.44</v>
      </c>
      <c r="C197" s="53" t="n">
        <f aca="false">IF(COUNTIFS(Clean_Data!$AB$2:$AB$2203,$A197&amp;"|"&amp;Inputs!$B$6)&gt;0,SUMIFS(Clean_Data!$F$2:$F$2203,Clean_Data!$AB$2:$AB$2203,$A197&amp;"|"&amp;Inputs!$B$6),"")</f>
        <v>0.71</v>
      </c>
      <c r="D197" s="54" t="n">
        <f aca="false">IF(AND(ISNUMBER(B197),ISNUMBER(C197)),IF(AND(B197&gt;0,Inputs!$B$6&gt;Inputs!$B$5),(C197/B197)^(1/(Inputs!$B$6-Inputs!$B$5))-1,""),"")</f>
        <v>0.0546042547448213</v>
      </c>
      <c r="E197" s="54" t="n">
        <f aca="false">IF(ISNUMBER(B197),SUMIFS(Clean_Data!$V$2:$V$2203,Clean_Data!$AB$2:$AB$2203,$A197&amp;"|"&amp;Inputs!$B$5),"")</f>
        <v>0.136363636363636</v>
      </c>
      <c r="F197" s="54" t="n">
        <f aca="false">IF(ISNUMBER(C197),SUMIFS(Clean_Data!$V$2:$V$2203,Clean_Data!$AB$2:$AB$2203,$A197&amp;"|"&amp;Inputs!$B$6),"")</f>
        <v>0.295774647887324</v>
      </c>
      <c r="G197" s="55" t="n">
        <f aca="false">IF(AND(ISNUMBER(E197),ISNUMBER(F197)),(F197-E197)*100,"")</f>
        <v>15.9411011523688</v>
      </c>
      <c r="H197" s="54" t="n">
        <f aca="false">IF(ISNUMBER(B197),SUMIFS(Clean_Data!$X$2:$X$2203,Clean_Data!$AB$2:$AB$2203,$A197&amp;"|"&amp;Inputs!$B$5),"")</f>
        <v>0</v>
      </c>
      <c r="I197" s="54" t="n">
        <f aca="false">IF(ISNUMBER(C197),SUMIFS(Clean_Data!$X$2:$X$2203,Clean_Data!$AB$2:$AB$2203,$A197&amp;"|"&amp;Inputs!$B$6),"")</f>
        <v>0.183098591549296</v>
      </c>
      <c r="J197" s="55" t="n">
        <f aca="false">IF(AND(ISNUMBER(H197),ISNUMBER(I197)),(I197-H197)*100,"")</f>
        <v>18.3098591549296</v>
      </c>
      <c r="K197" s="54" t="n">
        <f aca="false">IF(ISNUMBER(C197),SUMIFS(Clean_Data!$Y$2:$Y$2203,Clean_Data!$AB$2:$AB$2203,$A197&amp;"|"&amp;Inputs!$B$6),"")</f>
        <v>0</v>
      </c>
      <c r="L197" s="56" t="n">
        <f aca="false">IF(COUNTIFS(Clean_Data!$AB$2:$AB$2203,$A197&amp;"|"&amp;Inputs!$B$6,Clean_Data!$P$2:$P$2203,"&lt;&gt;")&gt;0,SUMIFS(Clean_Data!$P$2:$P$2203,Clean_Data!$AB$2:$AB$2203,$A197&amp;"|"&amp;Inputs!$B$6),"")</f>
        <v>422.5</v>
      </c>
      <c r="M197" s="52" t="str">
        <f aca="false">IF(ISNUMBER(C197),IF(C197&gt;=Inputs!$B$7,"Yes","No"),"No")</f>
        <v>No</v>
      </c>
      <c r="N197" s="57" t="n">
        <f aca="false">IF(M197="Yes",F197+ROW()/10^9,-1)</f>
        <v>-1</v>
      </c>
      <c r="O197" s="57" t="n">
        <f aca="false">IF(AND(M197="Yes",ISNUMBER(J197)),J197+ROW()/10^9,-1000)</f>
        <v>-1000</v>
      </c>
      <c r="P197" s="57" t="n">
        <f aca="false">IF(M197="Yes",K197+ROW()/10^9,-1)</f>
        <v>-1</v>
      </c>
    </row>
    <row r="198" customFormat="false" ht="15" hidden="false" customHeight="false" outlineLevel="0" collapsed="false">
      <c r="A198" s="52" t="s">
        <v>372</v>
      </c>
      <c r="B198" s="53" t="n">
        <f aca="false">IF(COUNTIFS(Clean_Data!$AB$2:$AB$2203,$A198&amp;"|"&amp;Inputs!$B$5)&gt;0,SUMIFS(Clean_Data!$F$2:$F$2203,Clean_Data!$AB$2:$AB$2203,$A198&amp;"|"&amp;Inputs!$B$5),"")</f>
        <v>0.05</v>
      </c>
      <c r="C198" s="53" t="n">
        <f aca="false">IF(COUNTIFS(Clean_Data!$AB$2:$AB$2203,$A198&amp;"|"&amp;Inputs!$B$6)&gt;0,SUMIFS(Clean_Data!$F$2:$F$2203,Clean_Data!$AB$2:$AB$2203,$A198&amp;"|"&amp;Inputs!$B$6),"")</f>
        <v>0.07</v>
      </c>
      <c r="D198" s="54" t="n">
        <f aca="false">IF(AND(ISNUMBER(B198),ISNUMBER(C198)),IF(AND(B198&gt;0,Inputs!$B$6&gt;Inputs!$B$5),(C198/B198)^(1/(Inputs!$B$6-Inputs!$B$5))-1,""),"")</f>
        <v>0.038093444265521</v>
      </c>
      <c r="E198" s="54" t="n">
        <f aca="false">IF(ISNUMBER(B198),SUMIFS(Clean_Data!$V$2:$V$2203,Clean_Data!$AB$2:$AB$2203,$A198&amp;"|"&amp;Inputs!$B$5),"")</f>
        <v>0</v>
      </c>
      <c r="F198" s="54" t="n">
        <f aca="false">IF(ISNUMBER(C198),SUMIFS(Clean_Data!$V$2:$V$2203,Clean_Data!$AB$2:$AB$2203,$A198&amp;"|"&amp;Inputs!$B$6),"")</f>
        <v>0.142857142857143</v>
      </c>
      <c r="G198" s="55" t="n">
        <f aca="false">IF(AND(ISNUMBER(E198),ISNUMBER(F198)),(F198-E198)*100,"")</f>
        <v>14.2857142857143</v>
      </c>
      <c r="H198" s="54" t="n">
        <f aca="false">IF(ISNUMBER(B198),SUMIFS(Clean_Data!$X$2:$X$2203,Clean_Data!$AB$2:$AB$2203,$A198&amp;"|"&amp;Inputs!$B$5),"")</f>
        <v>0</v>
      </c>
      <c r="I198" s="54" t="n">
        <f aca="false">IF(ISNUMBER(C198),SUMIFS(Clean_Data!$X$2:$X$2203,Clean_Data!$AB$2:$AB$2203,$A198&amp;"|"&amp;Inputs!$B$6),"")</f>
        <v>0.142857142857143</v>
      </c>
      <c r="J198" s="55" t="n">
        <f aca="false">IF(AND(ISNUMBER(H198),ISNUMBER(I198)),(I198-H198)*100,"")</f>
        <v>14.2857142857143</v>
      </c>
      <c r="K198" s="54" t="n">
        <f aca="false">IF(ISNUMBER(C198),SUMIFS(Clean_Data!$Y$2:$Y$2203,Clean_Data!$AB$2:$AB$2203,$A198&amp;"|"&amp;Inputs!$B$6),"")</f>
        <v>0</v>
      </c>
      <c r="L198" s="56" t="n">
        <f aca="false">IF(COUNTIFS(Clean_Data!$AB$2:$AB$2203,$A198&amp;"|"&amp;Inputs!$B$6,Clean_Data!$P$2:$P$2203,"&lt;&gt;")&gt;0,SUMIFS(Clean_Data!$P$2:$P$2203,Clean_Data!$AB$2:$AB$2203,$A198&amp;"|"&amp;Inputs!$B$6),"")</f>
        <v>571.4</v>
      </c>
      <c r="M198" s="52" t="str">
        <f aca="false">IF(ISNUMBER(C198),IF(C198&gt;=Inputs!$B$7,"Yes","No"),"No")</f>
        <v>No</v>
      </c>
      <c r="N198" s="57" t="n">
        <f aca="false">IF(M198="Yes",F198+ROW()/10^9,-1)</f>
        <v>-1</v>
      </c>
      <c r="O198" s="57" t="n">
        <f aca="false">IF(AND(M198="Yes",ISNUMBER(J198)),J198+ROW()/10^9,-1000)</f>
        <v>-1000</v>
      </c>
      <c r="P198" s="57" t="n">
        <f aca="false">IF(M198="Yes",K198+ROW()/10^9,-1)</f>
        <v>-1</v>
      </c>
    </row>
    <row r="199" customFormat="false" ht="15" hidden="false" customHeight="false" outlineLevel="0" collapsed="false">
      <c r="A199" s="52" t="s">
        <v>373</v>
      </c>
      <c r="B199" s="53" t="n">
        <f aca="false">IF(COUNTIFS(Clean_Data!$AB$2:$AB$2203,$A199&amp;"|"&amp;Inputs!$B$5)&gt;0,SUMIFS(Clean_Data!$F$2:$F$2203,Clean_Data!$AB$2:$AB$2203,$A199&amp;"|"&amp;Inputs!$B$5),"")</f>
        <v>9.57</v>
      </c>
      <c r="C199" s="53" t="n">
        <f aca="false">IF(COUNTIFS(Clean_Data!$AB$2:$AB$2203,$A199&amp;"|"&amp;Inputs!$B$6)&gt;0,SUMIFS(Clean_Data!$F$2:$F$2203,Clean_Data!$AB$2:$AB$2203,$A199&amp;"|"&amp;Inputs!$B$6),"")</f>
        <v>9.55</v>
      </c>
      <c r="D199" s="54" t="n">
        <f aca="false">IF(AND(ISNUMBER(B199),ISNUMBER(C199)),IF(AND(B199&gt;0,Inputs!$B$6&gt;Inputs!$B$5),(C199/B199)^(1/(Inputs!$B$6-Inputs!$B$5))-1,""),"")</f>
        <v>-0.000232423093591727</v>
      </c>
      <c r="E199" s="54" t="n">
        <f aca="false">IF(ISNUMBER(B199),SUMIFS(Clean_Data!$V$2:$V$2203,Clean_Data!$AB$2:$AB$2203,$A199&amp;"|"&amp;Inputs!$B$5),"")</f>
        <v>0.00104493207941484</v>
      </c>
      <c r="F199" s="54" t="n">
        <f aca="false">IF(ISNUMBER(C199),SUMIFS(Clean_Data!$V$2:$V$2203,Clean_Data!$AB$2:$AB$2203,$A199&amp;"|"&amp;Inputs!$B$6),"")</f>
        <v>0.00104712041884817</v>
      </c>
      <c r="G199" s="55" t="n">
        <f aca="false">IF(AND(ISNUMBER(E199),ISNUMBER(F199)),(F199-E199)*100,"")</f>
        <v>0.000218833943332951</v>
      </c>
      <c r="H199" s="54" t="n">
        <f aca="false">IF(ISNUMBER(B199),SUMIFS(Clean_Data!$X$2:$X$2203,Clean_Data!$AB$2:$AB$2203,$A199&amp;"|"&amp;Inputs!$B$5),"")</f>
        <v>0.00104493207941484</v>
      </c>
      <c r="I199" s="54" t="n">
        <f aca="false">IF(ISNUMBER(C199),SUMIFS(Clean_Data!$X$2:$X$2203,Clean_Data!$AB$2:$AB$2203,$A199&amp;"|"&amp;Inputs!$B$6),"")</f>
        <v>0.00104712041884817</v>
      </c>
      <c r="J199" s="55" t="n">
        <f aca="false">IF(AND(ISNUMBER(H199),ISNUMBER(I199)),(I199-H199)*100,"")</f>
        <v>0.000218833943332951</v>
      </c>
      <c r="K199" s="54" t="n">
        <f aca="false">IF(ISNUMBER(C199),SUMIFS(Clean_Data!$Y$2:$Y$2203,Clean_Data!$AB$2:$AB$2203,$A199&amp;"|"&amp;Inputs!$B$6),"")</f>
        <v>0</v>
      </c>
      <c r="L199" s="56" t="n">
        <f aca="false">IF(COUNTIFS(Clean_Data!$AB$2:$AB$2203,$A199&amp;"|"&amp;Inputs!$B$6,Clean_Data!$P$2:$P$2203,"&lt;&gt;")&gt;0,SUMIFS(Clean_Data!$P$2:$P$2203,Clean_Data!$AB$2:$AB$2203,$A199&amp;"|"&amp;Inputs!$B$6),"")</f>
        <v>681.7</v>
      </c>
      <c r="M199" s="52" t="str">
        <f aca="false">IF(ISNUMBER(C199),IF(C199&gt;=Inputs!$B$7,"Yes","No"),"No")</f>
        <v>No</v>
      </c>
      <c r="N199" s="57" t="n">
        <f aca="false">IF(M199="Yes",F199+ROW()/10^9,-1)</f>
        <v>-1</v>
      </c>
      <c r="O199" s="57" t="n">
        <f aca="false">IF(AND(M199="Yes",ISNUMBER(J199)),J199+ROW()/10^9,-1000)</f>
        <v>-1000</v>
      </c>
      <c r="P199" s="57" t="n">
        <f aca="false">IF(M199="Yes",K199+ROW()/10^9,-1)</f>
        <v>-1</v>
      </c>
    </row>
    <row r="200" customFormat="false" ht="15" hidden="false" customHeight="false" outlineLevel="0" collapsed="false">
      <c r="A200" s="52" t="s">
        <v>374</v>
      </c>
      <c r="B200" s="53" t="n">
        <f aca="false">IF(COUNTIFS(Clean_Data!$AB$2:$AB$2203,$A200&amp;"|"&amp;Inputs!$B$5)&gt;0,SUMIFS(Clean_Data!$F$2:$F$2203,Clean_Data!$AB$2:$AB$2203,$A200&amp;"|"&amp;Inputs!$B$5),"")</f>
        <v>19.48</v>
      </c>
      <c r="C200" s="53" t="n">
        <f aca="false">IF(COUNTIFS(Clean_Data!$AB$2:$AB$2203,$A200&amp;"|"&amp;Inputs!$B$6)&gt;0,SUMIFS(Clean_Data!$F$2:$F$2203,Clean_Data!$AB$2:$AB$2203,$A200&amp;"|"&amp;Inputs!$B$6),"")</f>
        <v>21.37</v>
      </c>
      <c r="D200" s="54" t="n">
        <f aca="false">IF(AND(ISNUMBER(B200),ISNUMBER(C200)),IF(AND(B200&gt;0,Inputs!$B$6&gt;Inputs!$B$5),(C200/B200)^(1/(Inputs!$B$6-Inputs!$B$5))-1,""),"")</f>
        <v>0.0103419758119969</v>
      </c>
      <c r="E200" s="54" t="n">
        <f aca="false">IF(ISNUMBER(B200),SUMIFS(Clean_Data!$V$2:$V$2203,Clean_Data!$AB$2:$AB$2203,$A200&amp;"|"&amp;Inputs!$B$5),"")</f>
        <v>0.0297741273100616</v>
      </c>
      <c r="F200" s="54" t="n">
        <f aca="false">IF(ISNUMBER(C200),SUMIFS(Clean_Data!$V$2:$V$2203,Clean_Data!$AB$2:$AB$2203,$A200&amp;"|"&amp;Inputs!$B$6),"")</f>
        <v>0.0439868975198877</v>
      </c>
      <c r="G200" s="55" t="n">
        <f aca="false">IF(AND(ISNUMBER(E200),ISNUMBER(F200)),(F200-E200)*100,"")</f>
        <v>1.42127702098261</v>
      </c>
      <c r="H200" s="54" t="n">
        <f aca="false">IF(ISNUMBER(B200),SUMIFS(Clean_Data!$X$2:$X$2203,Clean_Data!$AB$2:$AB$2203,$A200&amp;"|"&amp;Inputs!$B$5),"")</f>
        <v>0.0261806981519507</v>
      </c>
      <c r="I200" s="54" t="n">
        <f aca="false">IF(ISNUMBER(C200),SUMIFS(Clean_Data!$X$2:$X$2203,Clean_Data!$AB$2:$AB$2203,$A200&amp;"|"&amp;Inputs!$B$6),"")</f>
        <v>0.043518951801591</v>
      </c>
      <c r="J200" s="55" t="n">
        <f aca="false">IF(AND(ISNUMBER(H200),ISNUMBER(I200)),(I200-H200)*100,"")</f>
        <v>1.73382536496403</v>
      </c>
      <c r="K200" s="54" t="n">
        <f aca="false">IF(ISNUMBER(C200),SUMIFS(Clean_Data!$Y$2:$Y$2203,Clean_Data!$AB$2:$AB$2203,$A200&amp;"|"&amp;Inputs!$B$6),"")</f>
        <v>0</v>
      </c>
      <c r="L200" s="56" t="n">
        <f aca="false">IF(COUNTIFS(Clean_Data!$AB$2:$AB$2203,$A200&amp;"|"&amp;Inputs!$B$6,Clean_Data!$P$2:$P$2203,"&lt;&gt;")&gt;0,SUMIFS(Clean_Data!$P$2:$P$2203,Clean_Data!$AB$2:$AB$2203,$A200&amp;"|"&amp;Inputs!$B$6),"")</f>
        <v>558.3</v>
      </c>
      <c r="M200" s="52" t="str">
        <f aca="false">IF(ISNUMBER(C200),IF(C200&gt;=Inputs!$B$7,"Yes","No"),"No")</f>
        <v>Yes</v>
      </c>
      <c r="N200" s="57" t="n">
        <f aca="false">IF(M200="Yes",F200+ROW()/10^9,-1)</f>
        <v>0.0439870975198877</v>
      </c>
      <c r="O200" s="57" t="n">
        <f aca="false">IF(AND(M200="Yes",ISNUMBER(J200)),J200+ROW()/10^9,-1000)</f>
        <v>1.73382556496403</v>
      </c>
      <c r="P200" s="57" t="n">
        <f aca="false">IF(M200="Yes",K200+ROW()/10^9,-1)</f>
        <v>2E-007</v>
      </c>
    </row>
    <row r="201" customFormat="false" ht="15" hidden="false" customHeight="false" outlineLevel="0" collapsed="false">
      <c r="A201" s="52" t="s">
        <v>375</v>
      </c>
      <c r="B201" s="53" t="n">
        <f aca="false">IF(COUNTIFS(Clean_Data!$AB$2:$AB$2203,$A201&amp;"|"&amp;Inputs!$B$5)&gt;0,SUMIFS(Clean_Data!$F$2:$F$2203,Clean_Data!$AB$2:$AB$2203,$A201&amp;"|"&amp;Inputs!$B$5),"")</f>
        <v>261.77</v>
      </c>
      <c r="C201" s="53" t="n">
        <f aca="false">IF(COUNTIFS(Clean_Data!$AB$2:$AB$2203,$A201&amp;"|"&amp;Inputs!$B$6)&gt;0,SUMIFS(Clean_Data!$F$2:$F$2203,Clean_Data!$AB$2:$AB$2203,$A201&amp;"|"&amp;Inputs!$B$6),"")</f>
        <v>341.23</v>
      </c>
      <c r="D201" s="54" t="n">
        <f aca="false">IF(AND(ISNUMBER(B201),ISNUMBER(C201)),IF(AND(B201&gt;0,Inputs!$B$6&gt;Inputs!$B$5),(C201/B201)^(1/(Inputs!$B$6-Inputs!$B$5))-1,""),"")</f>
        <v>0.0298925721314054</v>
      </c>
      <c r="E201" s="54" t="n">
        <f aca="false">IF(ISNUMBER(B201),SUMIFS(Clean_Data!$V$2:$V$2203,Clean_Data!$AB$2:$AB$2203,$A201&amp;"|"&amp;Inputs!$B$5),"")</f>
        <v>0.319555334835925</v>
      </c>
      <c r="F201" s="54" t="n">
        <f aca="false">IF(ISNUMBER(C201),SUMIFS(Clean_Data!$V$2:$V$2203,Clean_Data!$AB$2:$AB$2203,$A201&amp;"|"&amp;Inputs!$B$6),"")</f>
        <v>0.456143949828561</v>
      </c>
      <c r="G201" s="55" t="n">
        <f aca="false">IF(AND(ISNUMBER(E201),ISNUMBER(F201)),(F201-E201)*100,"")</f>
        <v>13.6588614992637</v>
      </c>
      <c r="H201" s="54" t="n">
        <f aca="false">IF(ISNUMBER(B201),SUMIFS(Clean_Data!$X$2:$X$2203,Clean_Data!$AB$2:$AB$2203,$A201&amp;"|"&amp;Inputs!$B$5),"")</f>
        <v>0.0452305458990717</v>
      </c>
      <c r="I201" s="54" t="n">
        <f aca="false">IF(ISNUMBER(C201),SUMIFS(Clean_Data!$X$2:$X$2203,Clean_Data!$AB$2:$AB$2203,$A201&amp;"|"&amp;Inputs!$B$6),"")</f>
        <v>0.182281745450283</v>
      </c>
      <c r="J201" s="55" t="n">
        <f aca="false">IF(AND(ISNUMBER(H201),ISNUMBER(I201)),(I201-H201)*100,"")</f>
        <v>13.7051199551211</v>
      </c>
      <c r="K201" s="54" t="n">
        <f aca="false">IF(ISNUMBER(C201),SUMIFS(Clean_Data!$Y$2:$Y$2203,Clean_Data!$AB$2:$AB$2203,$A201&amp;"|"&amp;Inputs!$B$6),"")</f>
        <v>0.355537320868622</v>
      </c>
      <c r="L201" s="56" t="n">
        <f aca="false">IF(COUNTIFS(Clean_Data!$AB$2:$AB$2203,$A201&amp;"|"&amp;Inputs!$B$6,Clean_Data!$P$2:$P$2203,"&lt;&gt;")&gt;0,SUMIFS(Clean_Data!$P$2:$P$2203,Clean_Data!$AB$2:$AB$2203,$A201&amp;"|"&amp;Inputs!$B$6),"")</f>
        <v>469.7</v>
      </c>
      <c r="M201" s="52" t="str">
        <f aca="false">IF(ISNUMBER(C201),IF(C201&gt;=Inputs!$B$7,"Yes","No"),"No")</f>
        <v>Yes</v>
      </c>
      <c r="N201" s="57" t="n">
        <f aca="false">IF(M201="Yes",F201+ROW()/10^9,-1)</f>
        <v>0.456144150828561</v>
      </c>
      <c r="O201" s="57" t="n">
        <f aca="false">IF(AND(M201="Yes",ISNUMBER(J201)),J201+ROW()/10^9,-1000)</f>
        <v>13.7051201561211</v>
      </c>
      <c r="P201" s="57" t="n">
        <f aca="false">IF(M201="Yes",K201+ROW()/10^9,-1)</f>
        <v>0.355537521868622</v>
      </c>
    </row>
    <row r="202" customFormat="false" ht="15" hidden="false" customHeight="false" outlineLevel="0" collapsed="false">
      <c r="A202" s="52" t="s">
        <v>376</v>
      </c>
      <c r="B202" s="53" t="n">
        <f aca="false">IF(COUNTIFS(Clean_Data!$AB$2:$AB$2203,$A202&amp;"|"&amp;Inputs!$B$5)&gt;0,SUMIFS(Clean_Data!$F$2:$F$2203,Clean_Data!$AB$2:$AB$2203,$A202&amp;"|"&amp;Inputs!$B$5),"")</f>
        <v>22.53</v>
      </c>
      <c r="C202" s="53" t="n">
        <f aca="false">IF(COUNTIFS(Clean_Data!$AB$2:$AB$2203,$A202&amp;"|"&amp;Inputs!$B$6)&gt;0,SUMIFS(Clean_Data!$F$2:$F$2203,Clean_Data!$AB$2:$AB$2203,$A202&amp;"|"&amp;Inputs!$B$6),"")</f>
        <v>33.01</v>
      </c>
      <c r="D202" s="54" t="n">
        <f aca="false">IF(AND(ISNUMBER(B202),ISNUMBER(C202)),IF(AND(B202&gt;0,Inputs!$B$6&gt;Inputs!$B$5),(C202/B202)^(1/(Inputs!$B$6-Inputs!$B$5))-1,""),"")</f>
        <v>0.0433537768927557</v>
      </c>
      <c r="E202" s="54" t="n">
        <f aca="false">IF(ISNUMBER(B202),SUMIFS(Clean_Data!$V$2:$V$2203,Clean_Data!$AB$2:$AB$2203,$A202&amp;"|"&amp;Inputs!$B$5),"")</f>
        <v>0</v>
      </c>
      <c r="F202" s="54" t="n">
        <f aca="false">IF(ISNUMBER(C202),SUMIFS(Clean_Data!$V$2:$V$2203,Clean_Data!$AB$2:$AB$2203,$A202&amp;"|"&amp;Inputs!$B$6),"")</f>
        <v>0.000302938503483793</v>
      </c>
      <c r="G202" s="55" t="n">
        <f aca="false">IF(AND(ISNUMBER(E202),ISNUMBER(F202)),(F202-E202)*100,"")</f>
        <v>0.0302938503483793</v>
      </c>
      <c r="H202" s="54" t="n">
        <f aca="false">IF(ISNUMBER(B202),SUMIFS(Clean_Data!$X$2:$X$2203,Clean_Data!$AB$2:$AB$2203,$A202&amp;"|"&amp;Inputs!$B$5),"")</f>
        <v>0</v>
      </c>
      <c r="I202" s="54" t="n">
        <f aca="false">IF(ISNUMBER(C202),SUMIFS(Clean_Data!$X$2:$X$2203,Clean_Data!$AB$2:$AB$2203,$A202&amp;"|"&amp;Inputs!$B$6),"")</f>
        <v>0</v>
      </c>
      <c r="J202" s="55" t="n">
        <f aca="false">IF(AND(ISNUMBER(H202),ISNUMBER(I202)),(I202-H202)*100,"")</f>
        <v>0</v>
      </c>
      <c r="K202" s="54" t="n">
        <f aca="false">IF(ISNUMBER(C202),SUMIFS(Clean_Data!$Y$2:$Y$2203,Clean_Data!$AB$2:$AB$2203,$A202&amp;"|"&amp;Inputs!$B$6),"")</f>
        <v>0</v>
      </c>
      <c r="L202" s="56" t="n">
        <f aca="false">IF(COUNTIFS(Clean_Data!$AB$2:$AB$2203,$A202&amp;"|"&amp;Inputs!$B$6,Clean_Data!$P$2:$P$2203,"&lt;&gt;")&gt;0,SUMIFS(Clean_Data!$P$2:$P$2203,Clean_Data!$AB$2:$AB$2203,$A202&amp;"|"&amp;Inputs!$B$6),"")</f>
        <v>1306.3</v>
      </c>
      <c r="M202" s="52" t="str">
        <f aca="false">IF(ISNUMBER(C202),IF(C202&gt;=Inputs!$B$7,"Yes","No"),"No")</f>
        <v>Yes</v>
      </c>
      <c r="N202" s="57" t="n">
        <f aca="false">IF(M202="Yes",F202+ROW()/10^9,-1)</f>
        <v>0.000303140503483793</v>
      </c>
      <c r="O202" s="57" t="n">
        <f aca="false">IF(AND(M202="Yes",ISNUMBER(J202)),J202+ROW()/10^9,-1000)</f>
        <v>2.02E-007</v>
      </c>
      <c r="P202" s="57" t="n">
        <f aca="false">IF(M202="Yes",K202+ROW()/10^9,-1)</f>
        <v>2.02E-007</v>
      </c>
    </row>
    <row r="203" customFormat="false" ht="15" hidden="false" customHeight="false" outlineLevel="0" collapsed="false">
      <c r="A203" s="52" t="s">
        <v>377</v>
      </c>
      <c r="B203" s="53" t="n">
        <f aca="false">IF(COUNTIFS(Clean_Data!$AB$2:$AB$2203,$A203&amp;"|"&amp;Inputs!$B$5)&gt;0,SUMIFS(Clean_Data!$F$2:$F$2203,Clean_Data!$AB$2:$AB$2203,$A203&amp;"|"&amp;Inputs!$B$5),"")</f>
        <v>0.23</v>
      </c>
      <c r="C203" s="53" t="n">
        <f aca="false">IF(COUNTIFS(Clean_Data!$AB$2:$AB$2203,$A203&amp;"|"&amp;Inputs!$B$6)&gt;0,SUMIFS(Clean_Data!$F$2:$F$2203,Clean_Data!$AB$2:$AB$2203,$A203&amp;"|"&amp;Inputs!$B$6),"")</f>
        <v>0.27</v>
      </c>
      <c r="D203" s="54" t="n">
        <f aca="false">IF(AND(ISNUMBER(B203),ISNUMBER(C203)),IF(AND(B203&gt;0,Inputs!$B$6&gt;Inputs!$B$5),(C203/B203)^(1/(Inputs!$B$6-Inputs!$B$5))-1,""),"")</f>
        <v>0.0179754989487111</v>
      </c>
      <c r="E203" s="54" t="n">
        <f aca="false">IF(ISNUMBER(B203),SUMIFS(Clean_Data!$V$2:$V$2203,Clean_Data!$AB$2:$AB$2203,$A203&amp;"|"&amp;Inputs!$B$5),"")</f>
        <v>0</v>
      </c>
      <c r="F203" s="54" t="n">
        <f aca="false">IF(ISNUMBER(C203),SUMIFS(Clean_Data!$V$2:$V$2203,Clean_Data!$AB$2:$AB$2203,$A203&amp;"|"&amp;Inputs!$B$6),"")</f>
        <v>0.037037037037037</v>
      </c>
      <c r="G203" s="55" t="n">
        <f aca="false">IF(AND(ISNUMBER(E203),ISNUMBER(F203)),(F203-E203)*100,"")</f>
        <v>3.7037037037037</v>
      </c>
      <c r="H203" s="54" t="n">
        <f aca="false">IF(ISNUMBER(B203),SUMIFS(Clean_Data!$X$2:$X$2203,Clean_Data!$AB$2:$AB$2203,$A203&amp;"|"&amp;Inputs!$B$5),"")</f>
        <v>0</v>
      </c>
      <c r="I203" s="54" t="n">
        <f aca="false">IF(ISNUMBER(C203),SUMIFS(Clean_Data!$X$2:$X$2203,Clean_Data!$AB$2:$AB$2203,$A203&amp;"|"&amp;Inputs!$B$6),"")</f>
        <v>0.037037037037037</v>
      </c>
      <c r="J203" s="55" t="n">
        <f aca="false">IF(AND(ISNUMBER(H203),ISNUMBER(I203)),(I203-H203)*100,"")</f>
        <v>3.7037037037037</v>
      </c>
      <c r="K203" s="54" t="n">
        <f aca="false">IF(ISNUMBER(C203),SUMIFS(Clean_Data!$Y$2:$Y$2203,Clean_Data!$AB$2:$AB$2203,$A203&amp;"|"&amp;Inputs!$B$6),"")</f>
        <v>0</v>
      </c>
      <c r="L203" s="56" t="n">
        <f aca="false">IF(COUNTIFS(Clean_Data!$AB$2:$AB$2203,$A203&amp;"|"&amp;Inputs!$B$6,Clean_Data!$P$2:$P$2203,"&lt;&gt;")&gt;0,SUMIFS(Clean_Data!$P$2:$P$2203,Clean_Data!$AB$2:$AB$2203,$A203&amp;"|"&amp;Inputs!$B$6),"")</f>
        <v>629.6</v>
      </c>
      <c r="M203" s="52" t="str">
        <f aca="false">IF(ISNUMBER(C203),IF(C203&gt;=Inputs!$B$7,"Yes","No"),"No")</f>
        <v>No</v>
      </c>
      <c r="N203" s="57" t="n">
        <f aca="false">IF(M203="Yes",F203+ROW()/10^9,-1)</f>
        <v>-1</v>
      </c>
      <c r="O203" s="57" t="n">
        <f aca="false">IF(AND(M203="Yes",ISNUMBER(J203)),J203+ROW()/10^9,-1000)</f>
        <v>-1000</v>
      </c>
      <c r="P203" s="57" t="n">
        <f aca="false">IF(M203="Yes",K203+ROW()/10^9,-1)</f>
        <v>-1</v>
      </c>
    </row>
    <row r="204" customFormat="false" ht="15" hidden="false" customHeight="false" outlineLevel="0" collapsed="false">
      <c r="A204" s="52" t="s">
        <v>378</v>
      </c>
      <c r="B204" s="53" t="n">
        <f aca="false">IF(COUNTIFS(Clean_Data!$AB$2:$AB$2203,$A204&amp;"|"&amp;Inputs!$B$5)&gt;0,SUMIFS(Clean_Data!$F$2:$F$2203,Clean_Data!$AB$2:$AB$2203,$A204&amp;"|"&amp;Inputs!$B$5),"")</f>
        <v>3.55</v>
      </c>
      <c r="C204" s="53" t="n">
        <f aca="false">IF(COUNTIFS(Clean_Data!$AB$2:$AB$2203,$A204&amp;"|"&amp;Inputs!$B$6)&gt;0,SUMIFS(Clean_Data!$F$2:$F$2203,Clean_Data!$AB$2:$AB$2203,$A204&amp;"|"&amp;Inputs!$B$6),"")</f>
        <v>5.81</v>
      </c>
      <c r="D204" s="54" t="n">
        <f aca="false">IF(AND(ISNUMBER(B204),ISNUMBER(C204)),IF(AND(B204&gt;0,Inputs!$B$6&gt;Inputs!$B$5),(C204/B204)^(1/(Inputs!$B$6-Inputs!$B$5))-1,""),"")</f>
        <v>0.0562627772017834</v>
      </c>
      <c r="E204" s="54" t="n">
        <f aca="false">IF(ISNUMBER(B204),SUMIFS(Clean_Data!$V$2:$V$2203,Clean_Data!$AB$2:$AB$2203,$A204&amp;"|"&amp;Inputs!$B$5),"")</f>
        <v>0.977464788732394</v>
      </c>
      <c r="F204" s="54" t="n">
        <f aca="false">IF(ISNUMBER(C204),SUMIFS(Clean_Data!$V$2:$V$2203,Clean_Data!$AB$2:$AB$2203,$A204&amp;"|"&amp;Inputs!$B$6),"")</f>
        <v>0.970740103270224</v>
      </c>
      <c r="G204" s="55" t="n">
        <f aca="false">IF(AND(ISNUMBER(E204),ISNUMBER(F204)),(F204-E204)*100,"")</f>
        <v>-0.672468546217064</v>
      </c>
      <c r="H204" s="54" t="n">
        <f aca="false">IF(ISNUMBER(B204),SUMIFS(Clean_Data!$X$2:$X$2203,Clean_Data!$AB$2:$AB$2203,$A204&amp;"|"&amp;Inputs!$B$5),"")</f>
        <v>0.00845070422535211</v>
      </c>
      <c r="I204" s="54" t="n">
        <f aca="false">IF(ISNUMBER(C204),SUMIFS(Clean_Data!$X$2:$X$2203,Clean_Data!$AB$2:$AB$2203,$A204&amp;"|"&amp;Inputs!$B$6),"")</f>
        <v>0.0292598967297763</v>
      </c>
      <c r="J204" s="55" t="n">
        <f aca="false">IF(AND(ISNUMBER(H204),ISNUMBER(I204)),(I204-H204)*100,"")</f>
        <v>2.08091925044241</v>
      </c>
      <c r="K204" s="54" t="n">
        <f aca="false">IF(ISNUMBER(C204),SUMIFS(Clean_Data!$Y$2:$Y$2203,Clean_Data!$AB$2:$AB$2203,$A204&amp;"|"&amp;Inputs!$B$6),"")</f>
        <v>0</v>
      </c>
      <c r="L204" s="56" t="n">
        <f aca="false">IF(COUNTIFS(Clean_Data!$AB$2:$AB$2203,$A204&amp;"|"&amp;Inputs!$B$6,Clean_Data!$P$2:$P$2203,"&lt;&gt;")&gt;0,SUMIFS(Clean_Data!$P$2:$P$2203,Clean_Data!$AB$2:$AB$2203,$A204&amp;"|"&amp;Inputs!$B$6),"")</f>
        <v>58.5</v>
      </c>
      <c r="M204" s="52" t="str">
        <f aca="false">IF(ISNUMBER(C204),IF(C204&gt;=Inputs!$B$7,"Yes","No"),"No")</f>
        <v>No</v>
      </c>
      <c r="N204" s="57" t="n">
        <f aca="false">IF(M204="Yes",F204+ROW()/10^9,-1)</f>
        <v>-1</v>
      </c>
      <c r="O204" s="57" t="n">
        <f aca="false">IF(AND(M204="Yes",ISNUMBER(J204)),J204+ROW()/10^9,-1000)</f>
        <v>-1000</v>
      </c>
      <c r="P204" s="57" t="n">
        <f aca="false">IF(M204="Yes",K204+ROW()/10^9,-1)</f>
        <v>-1</v>
      </c>
    </row>
    <row r="205" customFormat="false" ht="15" hidden="false" customHeight="false" outlineLevel="0" collapsed="false">
      <c r="A205" s="52" t="s">
        <v>379</v>
      </c>
      <c r="B205" s="53" t="n">
        <f aca="false">IF(COUNTIFS(Clean_Data!$AB$2:$AB$2203,$A205&amp;"|"&amp;Inputs!$B$5)&gt;0,SUMIFS(Clean_Data!$F$2:$F$2203,Clean_Data!$AB$2:$AB$2203,$A205&amp;"|"&amp;Inputs!$B$5),"")</f>
        <v>163.68</v>
      </c>
      <c r="C205" s="53" t="str">
        <f aca="false">IF(COUNTIFS(Clean_Data!$AB$2:$AB$2203,$A205&amp;"|"&amp;Inputs!$B$6)&gt;0,SUMIFS(Clean_Data!$F$2:$F$2203,Clean_Data!$AB$2:$AB$2203,$A205&amp;"|"&amp;Inputs!$B$6),"")</f>
        <v/>
      </c>
      <c r="D205" s="54" t="str">
        <f aca="false">IF(AND(ISNUMBER(B205),ISNUMBER(C205)),IF(AND(B205&gt;0,Inputs!$B$6&gt;Inputs!$B$5),(C205/B205)^(1/(Inputs!$B$6-Inputs!$B$5))-1,""),"")</f>
        <v/>
      </c>
      <c r="E205" s="54" t="n">
        <f aca="false">IF(ISNUMBER(B205),SUMIFS(Clean_Data!$V$2:$V$2203,Clean_Data!$AB$2:$AB$2203,$A205&amp;"|"&amp;Inputs!$B$5),"")</f>
        <v>0.0433773216031281</v>
      </c>
      <c r="F205" s="54" t="str">
        <f aca="false">IF(ISNUMBER(C205),SUMIFS(Clean_Data!$V$2:$V$2203,Clean_Data!$AB$2:$AB$2203,$A205&amp;"|"&amp;Inputs!$B$6),"")</f>
        <v/>
      </c>
      <c r="G205" s="55" t="str">
        <f aca="false">IF(AND(ISNUMBER(E205),ISNUMBER(F205)),(F205-E205)*100,"")</f>
        <v/>
      </c>
      <c r="H205" s="54" t="n">
        <f aca="false">IF(ISNUMBER(B205),SUMIFS(Clean_Data!$X$2:$X$2203,Clean_Data!$AB$2:$AB$2203,$A205&amp;"|"&amp;Inputs!$B$5),"")</f>
        <v>0.00953079178885631</v>
      </c>
      <c r="I205" s="54" t="str">
        <f aca="false">IF(ISNUMBER(C205),SUMIFS(Clean_Data!$X$2:$X$2203,Clean_Data!$AB$2:$AB$2203,$A205&amp;"|"&amp;Inputs!$B$6),"")</f>
        <v/>
      </c>
      <c r="J205" s="55" t="str">
        <f aca="false">IF(AND(ISNUMBER(H205),ISNUMBER(I205)),(I205-H205)*100,"")</f>
        <v/>
      </c>
      <c r="K205" s="54" t="str">
        <f aca="false">IF(ISNUMBER(C205),SUMIFS(Clean_Data!$Y$2:$Y$2203,Clean_Data!$AB$2:$AB$2203,$A205&amp;"|"&amp;Inputs!$B$6),"")</f>
        <v/>
      </c>
      <c r="L205" s="56" t="str">
        <f aca="false">IF(COUNTIFS(Clean_Data!$AB$2:$AB$2203,$A205&amp;"|"&amp;Inputs!$B$6,Clean_Data!$P$2:$P$2203,"&lt;&gt;")&gt;0,SUMIFS(Clean_Data!$P$2:$P$2203,Clean_Data!$AB$2:$AB$2203,$A205&amp;"|"&amp;Inputs!$B$6),"")</f>
        <v/>
      </c>
      <c r="M205" s="52" t="str">
        <f aca="false">IF(ISNUMBER(C205),IF(C205&gt;=Inputs!$B$7,"Yes","No"),"No")</f>
        <v>No</v>
      </c>
      <c r="N205" s="57" t="n">
        <f aca="false">IF(M205="Yes",F205+ROW()/10^9,-1)</f>
        <v>-1</v>
      </c>
      <c r="O205" s="57" t="n">
        <f aca="false">IF(AND(M205="Yes",ISNUMBER(J205)),J205+ROW()/10^9,-1000)</f>
        <v>-1000</v>
      </c>
      <c r="P205" s="57" t="n">
        <f aca="false">IF(M205="Yes",K205+ROW()/10^9,-1)</f>
        <v>-1</v>
      </c>
    </row>
    <row r="206" customFormat="false" ht="15" hidden="false" customHeight="false" outlineLevel="0" collapsed="false">
      <c r="A206" s="52" t="s">
        <v>380</v>
      </c>
      <c r="B206" s="53" t="n">
        <f aca="false">IF(COUNTIFS(Clean_Data!$AB$2:$AB$2203,$A206&amp;"|"&amp;Inputs!$B$5)&gt;0,SUMIFS(Clean_Data!$F$2:$F$2203,Clean_Data!$AB$2:$AB$2203,$A206&amp;"|"&amp;Inputs!$B$5),"")</f>
        <v>127.38</v>
      </c>
      <c r="C206" s="53" t="n">
        <f aca="false">IF(COUNTIFS(Clean_Data!$AB$2:$AB$2203,$A206&amp;"|"&amp;Inputs!$B$6)&gt;0,SUMIFS(Clean_Data!$F$2:$F$2203,Clean_Data!$AB$2:$AB$2203,$A206&amp;"|"&amp;Inputs!$B$6),"")</f>
        <v>177.26</v>
      </c>
      <c r="D206" s="54" t="n">
        <f aca="false">IF(AND(ISNUMBER(B206),ISNUMBER(C206)),IF(AND(B206&gt;0,Inputs!$B$6&gt;Inputs!$B$5),(C206/B206)^(1/(Inputs!$B$6-Inputs!$B$5))-1,""),"")</f>
        <v>0.0373982237364894</v>
      </c>
      <c r="E206" s="54" t="n">
        <f aca="false">IF(ISNUMBER(B206),SUMIFS(Clean_Data!$V$2:$V$2203,Clean_Data!$AB$2:$AB$2203,$A206&amp;"|"&amp;Inputs!$B$5),"")</f>
        <v>0.0023551577955723</v>
      </c>
      <c r="F206" s="54" t="n">
        <f aca="false">IF(ISNUMBER(C206),SUMIFS(Clean_Data!$V$2:$V$2203,Clean_Data!$AB$2:$AB$2203,$A206&amp;"|"&amp;Inputs!$B$6),"")</f>
        <v>0.0881191470156832</v>
      </c>
      <c r="G206" s="55" t="n">
        <f aca="false">IF(AND(ISNUMBER(E206),ISNUMBER(F206)),(F206-E206)*100,"")</f>
        <v>8.57639892201109</v>
      </c>
      <c r="H206" s="54" t="n">
        <f aca="false">IF(ISNUMBER(B206),SUMIFS(Clean_Data!$X$2:$X$2203,Clean_Data!$AB$2:$AB$2203,$A206&amp;"|"&amp;Inputs!$B$5),"")</f>
        <v>0.0023551577955723</v>
      </c>
      <c r="I206" s="54" t="n">
        <f aca="false">IF(ISNUMBER(C206),SUMIFS(Clean_Data!$X$2:$X$2203,Clean_Data!$AB$2:$AB$2203,$A206&amp;"|"&amp;Inputs!$B$6),"")</f>
        <v>0.0869344465756516</v>
      </c>
      <c r="J206" s="55" t="n">
        <f aca="false">IF(AND(ISNUMBER(H206),ISNUMBER(I206)),(I206-H206)*100,"")</f>
        <v>8.45792887800793</v>
      </c>
      <c r="K206" s="54" t="n">
        <f aca="false">IF(ISNUMBER(C206),SUMIFS(Clean_Data!$Y$2:$Y$2203,Clean_Data!$AB$2:$AB$2203,$A206&amp;"|"&amp;Inputs!$B$6),"")</f>
        <v>0</v>
      </c>
      <c r="L206" s="56" t="n">
        <f aca="false">IF(COUNTIFS(Clean_Data!$AB$2:$AB$2203,$A206&amp;"|"&amp;Inputs!$B$6,Clean_Data!$P$2:$P$2203,"&lt;&gt;")&gt;0,SUMIFS(Clean_Data!$P$2:$P$2203,Clean_Data!$AB$2:$AB$2203,$A206&amp;"|"&amp;Inputs!$B$6),"")</f>
        <v>467.5</v>
      </c>
      <c r="M206" s="52" t="str">
        <f aca="false">IF(ISNUMBER(C206),IF(C206&gt;=Inputs!$B$7,"Yes","No"),"No")</f>
        <v>Yes</v>
      </c>
      <c r="N206" s="57" t="n">
        <f aca="false">IF(M206="Yes",F206+ROW()/10^9,-1)</f>
        <v>0.0881193530156832</v>
      </c>
      <c r="O206" s="57" t="n">
        <f aca="false">IF(AND(M206="Yes",ISNUMBER(J206)),J206+ROW()/10^9,-1000)</f>
        <v>8.45792908400793</v>
      </c>
      <c r="P206" s="57" t="n">
        <f aca="false">IF(M206="Yes",K206+ROW()/10^9,-1)</f>
        <v>2.06E-007</v>
      </c>
    </row>
    <row r="207" customFormat="false" ht="15" hidden="false" customHeight="false" outlineLevel="0" collapsed="false">
      <c r="A207" s="52" t="s">
        <v>381</v>
      </c>
      <c r="B207" s="53" t="n">
        <f aca="false">IF(COUNTIFS(Clean_Data!$AB$2:$AB$2203,$A207&amp;"|"&amp;Inputs!$B$5)&gt;0,SUMIFS(Clean_Data!$F$2:$F$2203,Clean_Data!$AB$2:$AB$2203,$A207&amp;"|"&amp;Inputs!$B$5),"")</f>
        <v>338.87</v>
      </c>
      <c r="C207" s="53" t="n">
        <f aca="false">IF(COUNTIFS(Clean_Data!$AB$2:$AB$2203,$A207&amp;"|"&amp;Inputs!$B$6)&gt;0,SUMIFS(Clean_Data!$F$2:$F$2203,Clean_Data!$AB$2:$AB$2203,$A207&amp;"|"&amp;Inputs!$B$6),"")</f>
        <v>284.16</v>
      </c>
      <c r="D207" s="54" t="n">
        <f aca="false">IF(AND(ISNUMBER(B207),ISNUMBER(C207)),IF(AND(B207&gt;0,Inputs!$B$6&gt;Inputs!$B$5),(C207/B207)^(1/(Inputs!$B$6-Inputs!$B$5))-1,""),"")</f>
        <v>-0.019374203922805</v>
      </c>
      <c r="E207" s="54" t="n">
        <f aca="false">IF(ISNUMBER(B207),SUMIFS(Clean_Data!$V$2:$V$2203,Clean_Data!$AB$2:$AB$2203,$A207&amp;"|"&amp;Inputs!$B$5),"")</f>
        <v>0.245994039012011</v>
      </c>
      <c r="F207" s="54" t="n">
        <f aca="false">IF(ISNUMBER(C207),SUMIFS(Clean_Data!$V$2:$V$2203,Clean_Data!$AB$2:$AB$2203,$A207&amp;"|"&amp;Inputs!$B$6),"")</f>
        <v>0.506475225225225</v>
      </c>
      <c r="G207" s="55" t="n">
        <f aca="false">IF(AND(ISNUMBER(E207),ISNUMBER(F207)),(F207-E207)*100,"")</f>
        <v>26.0481186213215</v>
      </c>
      <c r="H207" s="54" t="n">
        <f aca="false">IF(ISNUMBER(B207),SUMIFS(Clean_Data!$X$2:$X$2203,Clean_Data!$AB$2:$AB$2203,$A207&amp;"|"&amp;Inputs!$B$5),"")</f>
        <v>0.141057042523682</v>
      </c>
      <c r="I207" s="54" t="n">
        <f aca="false">IF(ISNUMBER(C207),SUMIFS(Clean_Data!$X$2:$X$2203,Clean_Data!$AB$2:$AB$2203,$A207&amp;"|"&amp;Inputs!$B$6),"")</f>
        <v>0.345122466216216</v>
      </c>
      <c r="J207" s="55" t="n">
        <f aca="false">IF(AND(ISNUMBER(H207),ISNUMBER(I207)),(I207-H207)*100,"")</f>
        <v>20.4065423692535</v>
      </c>
      <c r="K207" s="54" t="n">
        <f aca="false">IF(ISNUMBER(C207),SUMIFS(Clean_Data!$Y$2:$Y$2203,Clean_Data!$AB$2:$AB$2203,$A207&amp;"|"&amp;Inputs!$B$6),"")</f>
        <v>0.00668637387387387</v>
      </c>
      <c r="L207" s="56" t="n">
        <f aca="false">IF(COUNTIFS(Clean_Data!$AB$2:$AB$2203,$A207&amp;"|"&amp;Inputs!$B$6,Clean_Data!$P$2:$P$2203,"&lt;&gt;")&gt;0,SUMIFS(Clean_Data!$P$2:$P$2203,Clean_Data!$AB$2:$AB$2203,$A207&amp;"|"&amp;Inputs!$B$6),"")</f>
        <v>216.5</v>
      </c>
      <c r="M207" s="52" t="str">
        <f aca="false">IF(ISNUMBER(C207),IF(C207&gt;=Inputs!$B$7,"Yes","No"),"No")</f>
        <v>Yes</v>
      </c>
      <c r="N207" s="57" t="n">
        <f aca="false">IF(M207="Yes",F207+ROW()/10^9,-1)</f>
        <v>0.506475432225225</v>
      </c>
      <c r="O207" s="57" t="n">
        <f aca="false">IF(AND(M207="Yes",ISNUMBER(J207)),J207+ROW()/10^9,-1000)</f>
        <v>20.4065425762535</v>
      </c>
      <c r="P207" s="57" t="n">
        <f aca="false">IF(M207="Yes",K207+ROW()/10^9,-1)</f>
        <v>0.00668658087387387</v>
      </c>
    </row>
    <row r="208" customFormat="false" ht="15" hidden="false" customHeight="false" outlineLevel="0" collapsed="false">
      <c r="A208" s="52" t="s">
        <v>382</v>
      </c>
      <c r="B208" s="53" t="n">
        <f aca="false">IF(COUNTIFS(Clean_Data!$AB$2:$AB$2203,$A208&amp;"|"&amp;Inputs!$B$5)&gt;0,SUMIFS(Clean_Data!$F$2:$F$2203,Clean_Data!$AB$2:$AB$2203,$A208&amp;"|"&amp;Inputs!$B$5),"")</f>
        <v>4083.99</v>
      </c>
      <c r="C208" s="53" t="n">
        <f aca="false">IF(COUNTIFS(Clean_Data!$AB$2:$AB$2203,$A208&amp;"|"&amp;Inputs!$B$6)&gt;0,SUMIFS(Clean_Data!$F$2:$F$2203,Clean_Data!$AB$2:$AB$2203,$A208&amp;"|"&amp;Inputs!$B$6),"")</f>
        <v>4391.02</v>
      </c>
      <c r="D208" s="54" t="n">
        <f aca="false">IF(AND(ISNUMBER(B208),ISNUMBER(C208)),IF(AND(B208&gt;0,Inputs!$B$6&gt;Inputs!$B$5),(C208/B208)^(1/(Inputs!$B$6-Inputs!$B$5))-1,""),"")</f>
        <v>0.00808664331468045</v>
      </c>
      <c r="E208" s="54" t="n">
        <f aca="false">IF(ISNUMBER(B208),SUMIFS(Clean_Data!$V$2:$V$2203,Clean_Data!$AB$2:$AB$2203,$A208&amp;"|"&amp;Inputs!$B$5),"")</f>
        <v>0.136261352256005</v>
      </c>
      <c r="F208" s="54" t="n">
        <f aca="false">IF(ISNUMBER(C208),SUMIFS(Clean_Data!$V$2:$V$2203,Clean_Data!$AB$2:$AB$2203,$A208&amp;"|"&amp;Inputs!$B$6),"")</f>
        <v>0.240634294537488</v>
      </c>
      <c r="G208" s="55" t="n">
        <f aca="false">IF(AND(ISNUMBER(E208),ISNUMBER(F208)),(F208-E208)*100,"")</f>
        <v>10.4372942281483</v>
      </c>
      <c r="H208" s="54" t="n">
        <f aca="false">IF(ISNUMBER(B208),SUMIFS(Clean_Data!$X$2:$X$2203,Clean_Data!$AB$2:$AB$2203,$A208&amp;"|"&amp;Inputs!$B$5),"")</f>
        <v>0.0562562591975005</v>
      </c>
      <c r="I208" s="54" t="n">
        <f aca="false">IF(ISNUMBER(C208),SUMIFS(Clean_Data!$X$2:$X$2203,Clean_Data!$AB$2:$AB$2203,$A208&amp;"|"&amp;Inputs!$B$6),"")</f>
        <v>0.172089856115436</v>
      </c>
      <c r="J208" s="55" t="n">
        <f aca="false">IF(AND(ISNUMBER(H208),ISNUMBER(I208)),(I208-H208)*100,"")</f>
        <v>11.5833596917935</v>
      </c>
      <c r="K208" s="54" t="n">
        <f aca="false">IF(ISNUMBER(C208),SUMIFS(Clean_Data!$Y$2:$Y$2203,Clean_Data!$AB$2:$AB$2203,$A208&amp;"|"&amp;Inputs!$B$6),"")</f>
        <v>0.148521300290138</v>
      </c>
      <c r="L208" s="56" t="n">
        <f aca="false">IF(COUNTIFS(Clean_Data!$AB$2:$AB$2203,$A208&amp;"|"&amp;Inputs!$B$6,Clean_Data!$P$2:$P$2203,"&lt;&gt;")&gt;0,SUMIFS(Clean_Data!$P$2:$P$2203,Clean_Data!$AB$2:$AB$2203,$A208&amp;"|"&amp;Inputs!$B$6),"")</f>
        <v>383.8</v>
      </c>
      <c r="M208" s="52" t="str">
        <f aca="false">IF(ISNUMBER(C208),IF(C208&gt;=Inputs!$B$7,"Yes","No"),"No")</f>
        <v>Yes</v>
      </c>
      <c r="N208" s="57" t="n">
        <f aca="false">IF(M208="Yes",F208+ROW()/10^9,-1)</f>
        <v>0.240634502537488</v>
      </c>
      <c r="O208" s="57" t="n">
        <f aca="false">IF(AND(M208="Yes",ISNUMBER(J208)),J208+ROW()/10^9,-1000)</f>
        <v>11.5833598997935</v>
      </c>
      <c r="P208" s="57" t="n">
        <f aca="false">IF(M208="Yes",K208+ROW()/10^9,-1)</f>
        <v>0.148521508290138</v>
      </c>
    </row>
    <row r="209" customFormat="false" ht="15" hidden="false" customHeight="false" outlineLevel="0" collapsed="false">
      <c r="A209" s="52" t="s">
        <v>383</v>
      </c>
      <c r="B209" s="53" t="n">
        <f aca="false">IF(COUNTIFS(Clean_Data!$AB$2:$AB$2203,$A209&amp;"|"&amp;Inputs!$B$5)&gt;0,SUMIFS(Clean_Data!$F$2:$F$2203,Clean_Data!$AB$2:$AB$2203,$A209&amp;"|"&amp;Inputs!$B$5),"")</f>
        <v>0.78</v>
      </c>
      <c r="C209" s="53" t="str">
        <f aca="false">IF(COUNTIFS(Clean_Data!$AB$2:$AB$2203,$A209&amp;"|"&amp;Inputs!$B$6)&gt;0,SUMIFS(Clean_Data!$F$2:$F$2203,Clean_Data!$AB$2:$AB$2203,$A209&amp;"|"&amp;Inputs!$B$6),"")</f>
        <v/>
      </c>
      <c r="D209" s="54" t="str">
        <f aca="false">IF(AND(ISNUMBER(B209),ISNUMBER(C209)),IF(AND(B209&gt;0,Inputs!$B$6&gt;Inputs!$B$5),(C209/B209)^(1/(Inputs!$B$6-Inputs!$B$5))-1,""),"")</f>
        <v/>
      </c>
      <c r="E209" s="54" t="n">
        <f aca="false">IF(ISNUMBER(B209),SUMIFS(Clean_Data!$V$2:$V$2203,Clean_Data!$AB$2:$AB$2203,$A209&amp;"|"&amp;Inputs!$B$5),"")</f>
        <v>0.0128205128205128</v>
      </c>
      <c r="F209" s="54" t="str">
        <f aca="false">IF(ISNUMBER(C209),SUMIFS(Clean_Data!$V$2:$V$2203,Clean_Data!$AB$2:$AB$2203,$A209&amp;"|"&amp;Inputs!$B$6),"")</f>
        <v/>
      </c>
      <c r="G209" s="55" t="str">
        <f aca="false">IF(AND(ISNUMBER(E209),ISNUMBER(F209)),(F209-E209)*100,"")</f>
        <v/>
      </c>
      <c r="H209" s="54" t="n">
        <f aca="false">IF(ISNUMBER(B209),SUMIFS(Clean_Data!$X$2:$X$2203,Clean_Data!$AB$2:$AB$2203,$A209&amp;"|"&amp;Inputs!$B$5),"")</f>
        <v>0.0128205128205128</v>
      </c>
      <c r="I209" s="54" t="str">
        <f aca="false">IF(ISNUMBER(C209),SUMIFS(Clean_Data!$X$2:$X$2203,Clean_Data!$AB$2:$AB$2203,$A209&amp;"|"&amp;Inputs!$B$6),"")</f>
        <v/>
      </c>
      <c r="J209" s="55" t="str">
        <f aca="false">IF(AND(ISNUMBER(H209),ISNUMBER(I209)),(I209-H209)*100,"")</f>
        <v/>
      </c>
      <c r="K209" s="54" t="str">
        <f aca="false">IF(ISNUMBER(C209),SUMIFS(Clean_Data!$Y$2:$Y$2203,Clean_Data!$AB$2:$AB$2203,$A209&amp;"|"&amp;Inputs!$B$6),"")</f>
        <v/>
      </c>
      <c r="L209" s="56" t="str">
        <f aca="false">IF(COUNTIFS(Clean_Data!$AB$2:$AB$2203,$A209&amp;"|"&amp;Inputs!$B$6,Clean_Data!$P$2:$P$2203,"&lt;&gt;")&gt;0,SUMIFS(Clean_Data!$P$2:$P$2203,Clean_Data!$AB$2:$AB$2203,$A209&amp;"|"&amp;Inputs!$B$6),"")</f>
        <v/>
      </c>
      <c r="M209" s="52" t="str">
        <f aca="false">IF(ISNUMBER(C209),IF(C209&gt;=Inputs!$B$7,"Yes","No"),"No")</f>
        <v>No</v>
      </c>
      <c r="N209" s="57" t="n">
        <f aca="false">IF(M209="Yes",F209+ROW()/10^9,-1)</f>
        <v>-1</v>
      </c>
      <c r="O209" s="57" t="n">
        <f aca="false">IF(AND(M209="Yes",ISNUMBER(J209)),J209+ROW()/10^9,-1000)</f>
        <v>-1000</v>
      </c>
      <c r="P209" s="57" t="n">
        <f aca="false">IF(M209="Yes",K209+ROW()/10^9,-1)</f>
        <v>-1</v>
      </c>
    </row>
    <row r="210" customFormat="false" ht="15" hidden="false" customHeight="false" outlineLevel="0" collapsed="false">
      <c r="A210" s="52" t="s">
        <v>384</v>
      </c>
      <c r="B210" s="53" t="n">
        <f aca="false">IF(COUNTIFS(Clean_Data!$AB$2:$AB$2203,$A210&amp;"|"&amp;Inputs!$B$5)&gt;0,SUMIFS(Clean_Data!$F$2:$F$2203,Clean_Data!$AB$2:$AB$2203,$A210&amp;"|"&amp;Inputs!$B$5),"")</f>
        <v>13.74</v>
      </c>
      <c r="C210" s="53" t="n">
        <f aca="false">IF(COUNTIFS(Clean_Data!$AB$2:$AB$2203,$A210&amp;"|"&amp;Inputs!$B$6)&gt;0,SUMIFS(Clean_Data!$F$2:$F$2203,Clean_Data!$AB$2:$AB$2203,$A210&amp;"|"&amp;Inputs!$B$6),"")</f>
        <v>13.37</v>
      </c>
      <c r="D210" s="54" t="n">
        <f aca="false">IF(AND(ISNUMBER(B210),ISNUMBER(C210)),IF(AND(B210&gt;0,Inputs!$B$6&gt;Inputs!$B$5),(C210/B210)^(1/(Inputs!$B$6-Inputs!$B$5))-1,""),"")</f>
        <v>-0.00302850432076274</v>
      </c>
      <c r="E210" s="54" t="n">
        <f aca="false">IF(ISNUMBER(B210),SUMIFS(Clean_Data!$V$2:$V$2203,Clean_Data!$AB$2:$AB$2203,$A210&amp;"|"&amp;Inputs!$B$5),"")</f>
        <v>0.931586608442504</v>
      </c>
      <c r="F210" s="54" t="n">
        <f aca="false">IF(ISNUMBER(C210),SUMIFS(Clean_Data!$V$2:$V$2203,Clean_Data!$AB$2:$AB$2203,$A210&amp;"|"&amp;Inputs!$B$6),"")</f>
        <v>0.988780852655198</v>
      </c>
      <c r="G210" s="55" t="n">
        <f aca="false">IF(AND(ISNUMBER(E210),ISNUMBER(F210)),(F210-E210)*100,"")</f>
        <v>5.71942442126947</v>
      </c>
      <c r="H210" s="54" t="n">
        <f aca="false">IF(ISNUMBER(B210),SUMIFS(Clean_Data!$X$2:$X$2203,Clean_Data!$AB$2:$AB$2203,$A210&amp;"|"&amp;Inputs!$B$5),"")</f>
        <v>0.15429403202329</v>
      </c>
      <c r="I210" s="54" t="n">
        <f aca="false">IF(ISNUMBER(C210),SUMIFS(Clean_Data!$X$2:$X$2203,Clean_Data!$AB$2:$AB$2203,$A210&amp;"|"&amp;Inputs!$B$6),"")</f>
        <v>0.427823485415109</v>
      </c>
      <c r="J210" s="55" t="n">
        <f aca="false">IF(AND(ISNUMBER(H210),ISNUMBER(I210)),(I210-H210)*100,"")</f>
        <v>27.3529453391819</v>
      </c>
      <c r="K210" s="54" t="n">
        <f aca="false">IF(ISNUMBER(C210),SUMIFS(Clean_Data!$Y$2:$Y$2203,Clean_Data!$AB$2:$AB$2203,$A210&amp;"|"&amp;Inputs!$B$6),"")</f>
        <v>0</v>
      </c>
      <c r="L210" s="56" t="n">
        <f aca="false">IF(COUNTIFS(Clean_Data!$AB$2:$AB$2203,$A210&amp;"|"&amp;Inputs!$B$6,Clean_Data!$P$2:$P$2203,"&lt;&gt;")&gt;0,SUMIFS(Clean_Data!$P$2:$P$2203,Clean_Data!$AB$2:$AB$2203,$A210&amp;"|"&amp;Inputs!$B$6),"")</f>
        <v>69.6</v>
      </c>
      <c r="M210" s="52" t="str">
        <f aca="false">IF(ISNUMBER(C210),IF(C210&gt;=Inputs!$B$7,"Yes","No"),"No")</f>
        <v>No</v>
      </c>
      <c r="N210" s="57" t="n">
        <f aca="false">IF(M210="Yes",F210+ROW()/10^9,-1)</f>
        <v>-1</v>
      </c>
      <c r="O210" s="57" t="n">
        <f aca="false">IF(AND(M210="Yes",ISNUMBER(J210)),J210+ROW()/10^9,-1000)</f>
        <v>-1000</v>
      </c>
      <c r="P210" s="57" t="n">
        <f aca="false">IF(M210="Yes",K210+ROW()/10^9,-1)</f>
        <v>-1</v>
      </c>
    </row>
    <row r="211" customFormat="false" ht="15" hidden="false" customHeight="false" outlineLevel="0" collapsed="false">
      <c r="A211" s="52" t="s">
        <v>385</v>
      </c>
      <c r="B211" s="53" t="n">
        <f aca="false">IF(COUNTIFS(Clean_Data!$AB$2:$AB$2203,$A211&amp;"|"&amp;Inputs!$B$5)&gt;0,SUMIFS(Clean_Data!$F$2:$F$2203,Clean_Data!$AB$2:$AB$2203,$A211&amp;"|"&amp;Inputs!$B$5),"")</f>
        <v>57.41</v>
      </c>
      <c r="C211" s="53" t="n">
        <f aca="false">IF(COUNTIFS(Clean_Data!$AB$2:$AB$2203,$A211&amp;"|"&amp;Inputs!$B$6)&gt;0,SUMIFS(Clean_Data!$F$2:$F$2203,Clean_Data!$AB$2:$AB$2203,$A211&amp;"|"&amp;Inputs!$B$6),"")</f>
        <v>81.5</v>
      </c>
      <c r="D211" s="54" t="n">
        <f aca="false">IF(AND(ISNUMBER(B211),ISNUMBER(C211)),IF(AND(B211&gt;0,Inputs!$B$6&gt;Inputs!$B$5),(C211/B211)^(1/(Inputs!$B$6-Inputs!$B$5))-1,""),"")</f>
        <v>0.039699379189676</v>
      </c>
      <c r="E211" s="54" t="n">
        <f aca="false">IF(ISNUMBER(B211),SUMIFS(Clean_Data!$V$2:$V$2203,Clean_Data!$AB$2:$AB$2203,$A211&amp;"|"&amp;Inputs!$B$5),"")</f>
        <v>0.118794635080996</v>
      </c>
      <c r="F211" s="54" t="n">
        <f aca="false">IF(ISNUMBER(C211),SUMIFS(Clean_Data!$V$2:$V$2203,Clean_Data!$AB$2:$AB$2203,$A211&amp;"|"&amp;Inputs!$B$6),"")</f>
        <v>0.159509202453988</v>
      </c>
      <c r="G211" s="55" t="n">
        <f aca="false">IF(AND(ISNUMBER(E211),ISNUMBER(F211)),(F211-E211)*100,"")</f>
        <v>4.07145673729914</v>
      </c>
      <c r="H211" s="54" t="n">
        <f aca="false">IF(ISNUMBER(B211),SUMIFS(Clean_Data!$X$2:$X$2203,Clean_Data!$AB$2:$AB$2203,$A211&amp;"|"&amp;Inputs!$B$5),"")</f>
        <v>0</v>
      </c>
      <c r="I211" s="54" t="n">
        <f aca="false">IF(ISNUMBER(C211),SUMIFS(Clean_Data!$X$2:$X$2203,Clean_Data!$AB$2:$AB$2203,$A211&amp;"|"&amp;Inputs!$B$6),"")</f>
        <v>0.0588957055214724</v>
      </c>
      <c r="J211" s="55" t="n">
        <f aca="false">IF(AND(ISNUMBER(H211),ISNUMBER(I211)),(I211-H211)*100,"")</f>
        <v>5.88957055214724</v>
      </c>
      <c r="K211" s="54" t="n">
        <f aca="false">IF(ISNUMBER(C211),SUMIFS(Clean_Data!$Y$2:$Y$2203,Clean_Data!$AB$2:$AB$2203,$A211&amp;"|"&amp;Inputs!$B$6),"")</f>
        <v>0.0699386503067485</v>
      </c>
      <c r="L211" s="56" t="n">
        <f aca="false">IF(COUNTIFS(Clean_Data!$AB$2:$AB$2203,$A211&amp;"|"&amp;Inputs!$B$6,Clean_Data!$P$2:$P$2203,"&lt;&gt;")&gt;0,SUMIFS(Clean_Data!$P$2:$P$2203,Clean_Data!$AB$2:$AB$2203,$A211&amp;"|"&amp;Inputs!$B$6),"")</f>
        <v>1040.1</v>
      </c>
      <c r="M211" s="52" t="str">
        <f aca="false">IF(ISNUMBER(C211),IF(C211&gt;=Inputs!$B$7,"Yes","No"),"No")</f>
        <v>Yes</v>
      </c>
      <c r="N211" s="57" t="n">
        <f aca="false">IF(M211="Yes",F211+ROW()/10^9,-1)</f>
        <v>0.159509413453988</v>
      </c>
      <c r="O211" s="57" t="n">
        <f aca="false">IF(AND(M211="Yes",ISNUMBER(J211)),J211+ROW()/10^9,-1000)</f>
        <v>5.88957076314724</v>
      </c>
      <c r="P211" s="57" t="n">
        <f aca="false">IF(M211="Yes",K211+ROW()/10^9,-1)</f>
        <v>0.0699388613067485</v>
      </c>
    </row>
    <row r="212" customFormat="false" ht="15" hidden="false" customHeight="false" outlineLevel="0" collapsed="false">
      <c r="A212" s="52" t="s">
        <v>386</v>
      </c>
      <c r="B212" s="53" t="n">
        <f aca="false">IF(COUNTIFS(Clean_Data!$AB$2:$AB$2203,$A212&amp;"|"&amp;Inputs!$B$5)&gt;0,SUMIFS(Clean_Data!$F$2:$F$2203,Clean_Data!$AB$2:$AB$2203,$A212&amp;"|"&amp;Inputs!$B$5),"")</f>
        <v>0.06</v>
      </c>
      <c r="C212" s="53" t="str">
        <f aca="false">IF(COUNTIFS(Clean_Data!$AB$2:$AB$2203,$A212&amp;"|"&amp;Inputs!$B$6)&gt;0,SUMIFS(Clean_Data!$F$2:$F$2203,Clean_Data!$AB$2:$AB$2203,$A212&amp;"|"&amp;Inputs!$B$6),"")</f>
        <v/>
      </c>
      <c r="D212" s="54" t="str">
        <f aca="false">IF(AND(ISNUMBER(B212),ISNUMBER(C212)),IF(AND(B212&gt;0,Inputs!$B$6&gt;Inputs!$B$5),(C212/B212)^(1/(Inputs!$B$6-Inputs!$B$5))-1,""),"")</f>
        <v/>
      </c>
      <c r="E212" s="54" t="n">
        <f aca="false">IF(ISNUMBER(B212),SUMIFS(Clean_Data!$V$2:$V$2203,Clean_Data!$AB$2:$AB$2203,$A212&amp;"|"&amp;Inputs!$B$5),"")</f>
        <v>0.166666666666667</v>
      </c>
      <c r="F212" s="54" t="str">
        <f aca="false">IF(ISNUMBER(C212),SUMIFS(Clean_Data!$V$2:$V$2203,Clean_Data!$AB$2:$AB$2203,$A212&amp;"|"&amp;Inputs!$B$6),"")</f>
        <v/>
      </c>
      <c r="G212" s="55" t="str">
        <f aca="false">IF(AND(ISNUMBER(E212),ISNUMBER(F212)),(F212-E212)*100,"")</f>
        <v/>
      </c>
      <c r="H212" s="54" t="n">
        <f aca="false">IF(ISNUMBER(B212),SUMIFS(Clean_Data!$X$2:$X$2203,Clean_Data!$AB$2:$AB$2203,$A212&amp;"|"&amp;Inputs!$B$5),"")</f>
        <v>0.166666666666667</v>
      </c>
      <c r="I212" s="54" t="str">
        <f aca="false">IF(ISNUMBER(C212),SUMIFS(Clean_Data!$X$2:$X$2203,Clean_Data!$AB$2:$AB$2203,$A212&amp;"|"&amp;Inputs!$B$6),"")</f>
        <v/>
      </c>
      <c r="J212" s="55" t="str">
        <f aca="false">IF(AND(ISNUMBER(H212),ISNUMBER(I212)),(I212-H212)*100,"")</f>
        <v/>
      </c>
      <c r="K212" s="54" t="str">
        <f aca="false">IF(ISNUMBER(C212),SUMIFS(Clean_Data!$Y$2:$Y$2203,Clean_Data!$AB$2:$AB$2203,$A212&amp;"|"&amp;Inputs!$B$6),"")</f>
        <v/>
      </c>
      <c r="L212" s="56" t="str">
        <f aca="false">IF(COUNTIFS(Clean_Data!$AB$2:$AB$2203,$A212&amp;"|"&amp;Inputs!$B$6,Clean_Data!$P$2:$P$2203,"&lt;&gt;")&gt;0,SUMIFS(Clean_Data!$P$2:$P$2203,Clean_Data!$AB$2:$AB$2203,$A212&amp;"|"&amp;Inputs!$B$6),"")</f>
        <v/>
      </c>
      <c r="M212" s="52" t="str">
        <f aca="false">IF(ISNUMBER(C212),IF(C212&gt;=Inputs!$B$7,"Yes","No"),"No")</f>
        <v>No</v>
      </c>
      <c r="N212" s="57" t="n">
        <f aca="false">IF(M212="Yes",F212+ROW()/10^9,-1)</f>
        <v>-1</v>
      </c>
      <c r="O212" s="57" t="n">
        <f aca="false">IF(AND(M212="Yes",ISNUMBER(J212)),J212+ROW()/10^9,-1000)</f>
        <v>-1000</v>
      </c>
      <c r="P212" s="57" t="n">
        <f aca="false">IF(M212="Yes",K212+ROW()/10^9,-1)</f>
        <v>-1</v>
      </c>
    </row>
    <row r="213" customFormat="false" ht="15" hidden="false" customHeight="false" outlineLevel="0" collapsed="false">
      <c r="A213" s="52" t="s">
        <v>387</v>
      </c>
      <c r="B213" s="53" t="n">
        <f aca="false">IF(COUNTIFS(Clean_Data!$AB$2:$AB$2203,$A213&amp;"|"&amp;Inputs!$B$5)&gt;0,SUMIFS(Clean_Data!$F$2:$F$2203,Clean_Data!$AB$2:$AB$2203,$A213&amp;"|"&amp;Inputs!$B$5),"")</f>
        <v>127.52</v>
      </c>
      <c r="C213" s="53" t="n">
        <f aca="false">IF(COUNTIFS(Clean_Data!$AB$2:$AB$2203,$A213&amp;"|"&amp;Inputs!$B$6)&gt;0,SUMIFS(Clean_Data!$F$2:$F$2203,Clean_Data!$AB$2:$AB$2203,$A213&amp;"|"&amp;Inputs!$B$6),"")</f>
        <v>80.13</v>
      </c>
      <c r="D213" s="54" t="n">
        <f aca="false">IF(AND(ISNUMBER(B213),ISNUMBER(C213)),IF(AND(B213&gt;0,Inputs!$B$6&gt;Inputs!$B$5),(C213/B213)^(1/(Inputs!$B$6-Inputs!$B$5))-1,""),"")</f>
        <v>-0.0503148464019</v>
      </c>
      <c r="E213" s="54" t="n">
        <f aca="false">IF(ISNUMBER(B213),SUMIFS(Clean_Data!$V$2:$V$2203,Clean_Data!$AB$2:$AB$2203,$A213&amp;"|"&amp;Inputs!$B$5),"")</f>
        <v>0.588143036386449</v>
      </c>
      <c r="F213" s="54" t="n">
        <f aca="false">IF(ISNUMBER(C213),SUMIFS(Clean_Data!$V$2:$V$2203,Clean_Data!$AB$2:$AB$2203,$A213&amp;"|"&amp;Inputs!$B$6),"")</f>
        <v>0.911393984774741</v>
      </c>
      <c r="G213" s="55" t="n">
        <f aca="false">IF(AND(ISNUMBER(E213),ISNUMBER(F213)),(F213-E213)*100,"")</f>
        <v>32.3250948388292</v>
      </c>
      <c r="H213" s="54" t="n">
        <f aca="false">IF(ISNUMBER(B213),SUMIFS(Clean_Data!$X$2:$X$2203,Clean_Data!$AB$2:$AB$2203,$A213&amp;"|"&amp;Inputs!$B$5),"")</f>
        <v>0.000784190715181932</v>
      </c>
      <c r="I213" s="54" t="n">
        <f aca="false">IF(ISNUMBER(C213),SUMIFS(Clean_Data!$X$2:$X$2203,Clean_Data!$AB$2:$AB$2203,$A213&amp;"|"&amp;Inputs!$B$6),"")</f>
        <v>0.000374391613627855</v>
      </c>
      <c r="J213" s="55" t="n">
        <f aca="false">IF(AND(ISNUMBER(H213),ISNUMBER(I213)),(I213-H213)*100,"")</f>
        <v>-0.0409799101554077</v>
      </c>
      <c r="K213" s="54" t="n">
        <f aca="false">IF(ISNUMBER(C213),SUMIFS(Clean_Data!$Y$2:$Y$2203,Clean_Data!$AB$2:$AB$2203,$A213&amp;"|"&amp;Inputs!$B$6),"")</f>
        <v>0</v>
      </c>
      <c r="L213" s="56" t="n">
        <f aca="false">IF(COUNTIFS(Clean_Data!$AB$2:$AB$2203,$A213&amp;"|"&amp;Inputs!$B$6,Clean_Data!$P$2:$P$2203,"&lt;&gt;")&gt;0,SUMIFS(Clean_Data!$P$2:$P$2203,Clean_Data!$AB$2:$AB$2203,$A213&amp;"|"&amp;Inputs!$B$6),"")</f>
        <v>85.9</v>
      </c>
      <c r="M213" s="52" t="str">
        <f aca="false">IF(ISNUMBER(C213),IF(C213&gt;=Inputs!$B$7,"Yes","No"),"No")</f>
        <v>Yes</v>
      </c>
      <c r="N213" s="57" t="n">
        <f aca="false">IF(M213="Yes",F213+ROW()/10^9,-1)</f>
        <v>0.911394197774741</v>
      </c>
      <c r="O213" s="57" t="n">
        <f aca="false">IF(AND(M213="Yes",ISNUMBER(J213)),J213+ROW()/10^9,-1000)</f>
        <v>-0.0409796971554077</v>
      </c>
      <c r="P213" s="57" t="n">
        <f aca="false">IF(M213="Yes",K213+ROW()/10^9,-1)</f>
        <v>2.13E-007</v>
      </c>
    </row>
    <row r="214" customFormat="false" ht="15" hidden="false" customHeight="false" outlineLevel="0" collapsed="false">
      <c r="A214" s="52" t="s">
        <v>388</v>
      </c>
      <c r="B214" s="53" t="n">
        <f aca="false">IF(COUNTIFS(Clean_Data!$AB$2:$AB$2203,$A214&amp;"|"&amp;Inputs!$B$5)&gt;0,SUMIFS(Clean_Data!$F$2:$F$2203,Clean_Data!$AB$2:$AB$2203,$A214&amp;"|"&amp;Inputs!$B$5),"")</f>
        <v>161.93</v>
      </c>
      <c r="C214" s="53" t="n">
        <f aca="false">IF(COUNTIFS(Clean_Data!$AB$2:$AB$2203,$A214&amp;"|"&amp;Inputs!$B$6)&gt;0,SUMIFS(Clean_Data!$F$2:$F$2203,Clean_Data!$AB$2:$AB$2203,$A214&amp;"|"&amp;Inputs!$B$6),"")</f>
        <v>303.58</v>
      </c>
      <c r="D214" s="54" t="n">
        <f aca="false">IF(AND(ISNUMBER(B214),ISNUMBER(C214)),IF(AND(B214&gt;0,Inputs!$B$6&gt;Inputs!$B$5),(C214/B214)^(1/(Inputs!$B$6-Inputs!$B$5))-1,""),"")</f>
        <v>0.07232718385462</v>
      </c>
      <c r="E214" s="54" t="n">
        <f aca="false">IF(ISNUMBER(B214),SUMIFS(Clean_Data!$V$2:$V$2203,Clean_Data!$AB$2:$AB$2203,$A214&amp;"|"&amp;Inputs!$B$5),"")</f>
        <v>0.34780460692892</v>
      </c>
      <c r="F214" s="54" t="n">
        <f aca="false">IF(ISNUMBER(C214),SUMIFS(Clean_Data!$V$2:$V$2203,Clean_Data!$AB$2:$AB$2203,$A214&amp;"|"&amp;Inputs!$B$6),"")</f>
        <v>0.4228210027011</v>
      </c>
      <c r="G214" s="55" t="n">
        <f aca="false">IF(AND(ISNUMBER(E214),ISNUMBER(F214)),(F214-E214)*100,"")</f>
        <v>7.50163957721803</v>
      </c>
      <c r="H214" s="54" t="n">
        <f aca="false">IF(ISNUMBER(B214),SUMIFS(Clean_Data!$X$2:$X$2203,Clean_Data!$AB$2:$AB$2203,$A214&amp;"|"&amp;Inputs!$B$5),"")</f>
        <v>0.000802816031618601</v>
      </c>
      <c r="I214" s="54" t="n">
        <f aca="false">IF(ISNUMBER(C214),SUMIFS(Clean_Data!$X$2:$X$2203,Clean_Data!$AB$2:$AB$2203,$A214&amp;"|"&amp;Inputs!$B$6),"")</f>
        <v>0.127182291323539</v>
      </c>
      <c r="J214" s="55" t="n">
        <f aca="false">IF(AND(ISNUMBER(H214),ISNUMBER(I214)),(I214-H214)*100,"")</f>
        <v>12.6379475291921</v>
      </c>
      <c r="K214" s="54" t="n">
        <f aca="false">IF(ISNUMBER(C214),SUMIFS(Clean_Data!$Y$2:$Y$2203,Clean_Data!$AB$2:$AB$2203,$A214&amp;"|"&amp;Inputs!$B$6),"")</f>
        <v>0.503228144146518</v>
      </c>
      <c r="L214" s="56" t="n">
        <f aca="false">IF(COUNTIFS(Clean_Data!$AB$2:$AB$2203,$A214&amp;"|"&amp;Inputs!$B$6,Clean_Data!$P$2:$P$2203,"&lt;&gt;")&gt;0,SUMIFS(Clean_Data!$P$2:$P$2203,Clean_Data!$AB$2:$AB$2203,$A214&amp;"|"&amp;Inputs!$B$6),"")</f>
        <v>484.3</v>
      </c>
      <c r="M214" s="52" t="str">
        <f aca="false">IF(ISNUMBER(C214),IF(C214&gt;=Inputs!$B$7,"Yes","No"),"No")</f>
        <v>Yes</v>
      </c>
      <c r="N214" s="57" t="n">
        <f aca="false">IF(M214="Yes",F214+ROW()/10^9,-1)</f>
        <v>0.4228212167011</v>
      </c>
      <c r="O214" s="57" t="n">
        <f aca="false">IF(AND(M214="Yes",ISNUMBER(J214)),J214+ROW()/10^9,-1000)</f>
        <v>12.6379477431921</v>
      </c>
      <c r="P214" s="57" t="n">
        <f aca="false">IF(M214="Yes",K214+ROW()/10^9,-1)</f>
        <v>0.503228358146518</v>
      </c>
    </row>
    <row r="215" customFormat="false" ht="15" hidden="false" customHeight="false" outlineLevel="0" collapsed="false">
      <c r="A215" s="52" t="s">
        <v>389</v>
      </c>
      <c r="B215" s="53" t="n">
        <f aca="false">IF(COUNTIFS(Clean_Data!$AB$2:$AB$2203,$A215&amp;"|"&amp;Inputs!$B$5)&gt;0,SUMIFS(Clean_Data!$F$2:$F$2203,Clean_Data!$AB$2:$AB$2203,$A215&amp;"|"&amp;Inputs!$B$5),"")</f>
        <v>5.76</v>
      </c>
      <c r="C215" s="53" t="n">
        <f aca="false">IF(COUNTIFS(Clean_Data!$AB$2:$AB$2203,$A215&amp;"|"&amp;Inputs!$B$6)&gt;0,SUMIFS(Clean_Data!$F$2:$F$2203,Clean_Data!$AB$2:$AB$2203,$A215&amp;"|"&amp;Inputs!$B$6),"")</f>
        <v>5.25</v>
      </c>
      <c r="D215" s="54" t="n">
        <f aca="false">IF(AND(ISNUMBER(B215),ISNUMBER(C215)),IF(AND(B215&gt;0,Inputs!$B$6&gt;Inputs!$B$5),(C215/B215)^(1/(Inputs!$B$6-Inputs!$B$5))-1,""),"")</f>
        <v>-0.0102481701860304</v>
      </c>
      <c r="E215" s="54" t="n">
        <f aca="false">IF(ISNUMBER(B215),SUMIFS(Clean_Data!$V$2:$V$2203,Clean_Data!$AB$2:$AB$2203,$A215&amp;"|"&amp;Inputs!$B$5),"")</f>
        <v>0.0208333333333333</v>
      </c>
      <c r="F215" s="54" t="n">
        <f aca="false">IF(ISNUMBER(C215),SUMIFS(Clean_Data!$V$2:$V$2203,Clean_Data!$AB$2:$AB$2203,$A215&amp;"|"&amp;Inputs!$B$6),"")</f>
        <v>0.112380952380952</v>
      </c>
      <c r="G215" s="55" t="n">
        <f aca="false">IF(AND(ISNUMBER(E215),ISNUMBER(F215)),(F215-E215)*100,"")</f>
        <v>9.15476190476191</v>
      </c>
      <c r="H215" s="54" t="n">
        <f aca="false">IF(ISNUMBER(B215),SUMIFS(Clean_Data!$X$2:$X$2203,Clean_Data!$AB$2:$AB$2203,$A215&amp;"|"&amp;Inputs!$B$5),"")</f>
        <v>0.0208333333333333</v>
      </c>
      <c r="I215" s="54" t="n">
        <f aca="false">IF(ISNUMBER(C215),SUMIFS(Clean_Data!$X$2:$X$2203,Clean_Data!$AB$2:$AB$2203,$A215&amp;"|"&amp;Inputs!$B$6),"")</f>
        <v>0.112380952380952</v>
      </c>
      <c r="J215" s="55" t="n">
        <f aca="false">IF(AND(ISNUMBER(H215),ISNUMBER(I215)),(I215-H215)*100,"")</f>
        <v>9.15476190476191</v>
      </c>
      <c r="K215" s="54" t="n">
        <f aca="false">IF(ISNUMBER(C215),SUMIFS(Clean_Data!$Y$2:$Y$2203,Clean_Data!$AB$2:$AB$2203,$A215&amp;"|"&amp;Inputs!$B$6),"")</f>
        <v>0</v>
      </c>
      <c r="L215" s="56" t="n">
        <f aca="false">IF(COUNTIFS(Clean_Data!$AB$2:$AB$2203,$A215&amp;"|"&amp;Inputs!$B$6,Clean_Data!$P$2:$P$2203,"&lt;&gt;")&gt;0,SUMIFS(Clean_Data!$P$2:$P$2203,Clean_Data!$AB$2:$AB$2203,$A215&amp;"|"&amp;Inputs!$B$6),"")</f>
        <v>592.4</v>
      </c>
      <c r="M215" s="52" t="str">
        <f aca="false">IF(ISNUMBER(C215),IF(C215&gt;=Inputs!$B$7,"Yes","No"),"No")</f>
        <v>No</v>
      </c>
      <c r="N215" s="57" t="n">
        <f aca="false">IF(M215="Yes",F215+ROW()/10^9,-1)</f>
        <v>-1</v>
      </c>
      <c r="O215" s="57" t="n">
        <f aca="false">IF(AND(M215="Yes",ISNUMBER(J215)),J215+ROW()/10^9,-1000)</f>
        <v>-1000</v>
      </c>
      <c r="P215" s="57" t="n">
        <f aca="false">IF(M215="Yes",K215+ROW()/10^9,-1)</f>
        <v>-1</v>
      </c>
    </row>
    <row r="216" customFormat="false" ht="15" hidden="false" customHeight="false" outlineLevel="0" collapsed="false">
      <c r="A216" s="52" t="s">
        <v>390</v>
      </c>
      <c r="B216" s="53" t="n">
        <f aca="false">IF(COUNTIFS(Clean_Data!$AB$2:$AB$2203,$A216&amp;"|"&amp;Inputs!$B$5)&gt;0,SUMIFS(Clean_Data!$F$2:$F$2203,Clean_Data!$AB$2:$AB$2203,$A216&amp;"|"&amp;Inputs!$B$5),"")</f>
        <v>13.51</v>
      </c>
      <c r="C216" s="53" t="n">
        <f aca="false">IF(COUNTIFS(Clean_Data!$AB$2:$AB$2203,$A216&amp;"|"&amp;Inputs!$B$6)&gt;0,SUMIFS(Clean_Data!$F$2:$F$2203,Clean_Data!$AB$2:$AB$2203,$A216&amp;"|"&amp;Inputs!$B$6),"")</f>
        <v>19.72</v>
      </c>
      <c r="D216" s="54" t="n">
        <f aca="false">IF(AND(ISNUMBER(B216),ISNUMBER(C216)),IF(AND(B216&gt;0,Inputs!$B$6&gt;Inputs!$B$5),(C216/B216)^(1/(Inputs!$B$6-Inputs!$B$5))-1,""),"")</f>
        <v>0.0429180249321757</v>
      </c>
      <c r="E216" s="54" t="n">
        <f aca="false">IF(ISNUMBER(B216),SUMIFS(Clean_Data!$V$2:$V$2203,Clean_Data!$AB$2:$AB$2203,$A216&amp;"|"&amp;Inputs!$B$5),"")</f>
        <v>0.97039230199852</v>
      </c>
      <c r="F216" s="54" t="n">
        <f aca="false">IF(ISNUMBER(C216),SUMIFS(Clean_Data!$V$2:$V$2203,Clean_Data!$AB$2:$AB$2203,$A216&amp;"|"&amp;Inputs!$B$6),"")</f>
        <v>0.87474645030426</v>
      </c>
      <c r="G216" s="55" t="n">
        <f aca="false">IF(AND(ISNUMBER(E216),ISNUMBER(F216)),(F216-E216)*100,"")</f>
        <v>-9.56458516942599</v>
      </c>
      <c r="H216" s="54" t="n">
        <f aca="false">IF(ISNUMBER(B216),SUMIFS(Clean_Data!$X$2:$X$2203,Clean_Data!$AB$2:$AB$2203,$A216&amp;"|"&amp;Inputs!$B$5),"")</f>
        <v>0</v>
      </c>
      <c r="I216" s="54" t="n">
        <f aca="false">IF(ISNUMBER(C216),SUMIFS(Clean_Data!$X$2:$X$2203,Clean_Data!$AB$2:$AB$2203,$A216&amp;"|"&amp;Inputs!$B$6),"")</f>
        <v>0.00862068965517242</v>
      </c>
      <c r="J216" s="55" t="n">
        <f aca="false">IF(AND(ISNUMBER(H216),ISNUMBER(I216)),(I216-H216)*100,"")</f>
        <v>0.862068965517242</v>
      </c>
      <c r="K216" s="54" t="n">
        <f aca="false">IF(ISNUMBER(C216),SUMIFS(Clean_Data!$Y$2:$Y$2203,Clean_Data!$AB$2:$AB$2203,$A216&amp;"|"&amp;Inputs!$B$6),"")</f>
        <v>0.108012170385396</v>
      </c>
      <c r="L216" s="56" t="n">
        <f aca="false">IF(COUNTIFS(Clean_Data!$AB$2:$AB$2203,$A216&amp;"|"&amp;Inputs!$B$6,Clean_Data!$P$2:$P$2203,"&lt;&gt;")&gt;0,SUMIFS(Clean_Data!$P$2:$P$2203,Clean_Data!$AB$2:$AB$2203,$A216&amp;"|"&amp;Inputs!$B$6),"")</f>
        <v>119.7</v>
      </c>
      <c r="M216" s="52" t="str">
        <f aca="false">IF(ISNUMBER(C216),IF(C216&gt;=Inputs!$B$7,"Yes","No"),"No")</f>
        <v>No</v>
      </c>
      <c r="N216" s="57" t="n">
        <f aca="false">IF(M216="Yes",F216+ROW()/10^9,-1)</f>
        <v>-1</v>
      </c>
      <c r="O216" s="57" t="n">
        <f aca="false">IF(AND(M216="Yes",ISNUMBER(J216)),J216+ROW()/10^9,-1000)</f>
        <v>-1000</v>
      </c>
      <c r="P216" s="57" t="n">
        <f aca="false">IF(M216="Yes",K216+ROW()/10^9,-1)</f>
        <v>-1</v>
      </c>
    </row>
    <row r="217" customFormat="false" ht="15" hidden="false" customHeight="false" outlineLevel="0" collapsed="false">
      <c r="A217" s="52" t="s">
        <v>391</v>
      </c>
      <c r="B217" s="53" t="n">
        <f aca="false">IF(COUNTIFS(Clean_Data!$AB$2:$AB$2203,$A217&amp;"|"&amp;Inputs!$B$5)&gt;0,SUMIFS(Clean_Data!$F$2:$F$2203,Clean_Data!$AB$2:$AB$2203,$A217&amp;"|"&amp;Inputs!$B$5),"")</f>
        <v>9.59</v>
      </c>
      <c r="C217" s="53" t="n">
        <f aca="false">IF(COUNTIFS(Clean_Data!$AB$2:$AB$2203,$A217&amp;"|"&amp;Inputs!$B$6)&gt;0,SUMIFS(Clean_Data!$F$2:$F$2203,Clean_Data!$AB$2:$AB$2203,$A217&amp;"|"&amp;Inputs!$B$6),"")</f>
        <v>10.26</v>
      </c>
      <c r="D217" s="54" t="n">
        <f aca="false">IF(AND(ISNUMBER(B217),ISNUMBER(C217)),IF(AND(B217&gt;0,Inputs!$B$6&gt;Inputs!$B$5),(C217/B217)^(1/(Inputs!$B$6-Inputs!$B$5))-1,""),"")</f>
        <v>0.00753177227082746</v>
      </c>
      <c r="E217" s="54" t="n">
        <f aca="false">IF(ISNUMBER(B217),SUMIFS(Clean_Data!$V$2:$V$2203,Clean_Data!$AB$2:$AB$2203,$A217&amp;"|"&amp;Inputs!$B$5),"")</f>
        <v>0.525547445255475</v>
      </c>
      <c r="F217" s="54" t="n">
        <f aca="false">IF(ISNUMBER(C217),SUMIFS(Clean_Data!$V$2:$V$2203,Clean_Data!$AB$2:$AB$2203,$A217&amp;"|"&amp;Inputs!$B$6),"")</f>
        <v>0.571150097465887</v>
      </c>
      <c r="G217" s="55" t="n">
        <f aca="false">IF(AND(ISNUMBER(E217),ISNUMBER(F217)),(F217-E217)*100,"")</f>
        <v>4.56026522104125</v>
      </c>
      <c r="H217" s="54" t="n">
        <f aca="false">IF(ISNUMBER(B217),SUMIFS(Clean_Data!$X$2:$X$2203,Clean_Data!$AB$2:$AB$2203,$A217&amp;"|"&amp;Inputs!$B$5),"")</f>
        <v>0.00104275286757039</v>
      </c>
      <c r="I217" s="54" t="n">
        <f aca="false">IF(ISNUMBER(C217),SUMIFS(Clean_Data!$X$2:$X$2203,Clean_Data!$AB$2:$AB$2203,$A217&amp;"|"&amp;Inputs!$B$6),"")</f>
        <v>0.00389863547758285</v>
      </c>
      <c r="J217" s="55" t="n">
        <f aca="false">IF(AND(ISNUMBER(H217),ISNUMBER(I217)),(I217-H217)*100,"")</f>
        <v>0.285588261001246</v>
      </c>
      <c r="K217" s="54" t="n">
        <f aca="false">IF(ISNUMBER(C217),SUMIFS(Clean_Data!$Y$2:$Y$2203,Clean_Data!$AB$2:$AB$2203,$A217&amp;"|"&amp;Inputs!$B$6),"")</f>
        <v>0.428849902534113</v>
      </c>
      <c r="L217" s="56" t="n">
        <f aca="false">IF(COUNTIFS(Clean_Data!$AB$2:$AB$2203,$A217&amp;"|"&amp;Inputs!$B$6,Clean_Data!$P$2:$P$2203,"&lt;&gt;")&gt;0,SUMIFS(Clean_Data!$P$2:$P$2203,Clean_Data!$AB$2:$AB$2203,$A217&amp;"|"&amp;Inputs!$B$6),"")</f>
        <v>384</v>
      </c>
      <c r="M217" s="52" t="str">
        <f aca="false">IF(ISNUMBER(C217),IF(C217&gt;=Inputs!$B$7,"Yes","No"),"No")</f>
        <v>No</v>
      </c>
      <c r="N217" s="57" t="n">
        <f aca="false">IF(M217="Yes",F217+ROW()/10^9,-1)</f>
        <v>-1</v>
      </c>
      <c r="O217" s="57" t="n">
        <f aca="false">IF(AND(M217="Yes",ISNUMBER(J217)),J217+ROW()/10^9,-1000)</f>
        <v>-1000</v>
      </c>
      <c r="P217" s="57" t="n">
        <f aca="false">IF(M217="Yes",K217+ROW()/10^9,-1)</f>
        <v>-1</v>
      </c>
    </row>
  </sheetData>
  <autoFilter ref="A5:P217"/>
  <conditionalFormatting sqref="F6:F217">
    <cfRule type="colorScale" priority="2">
      <colorScale>
        <cfvo type="num" val="0"/>
        <cfvo type="num" val="0.5"/>
        <cfvo type="num" val="1"/>
        <color rgb="FFF8696B"/>
        <color rgb="FFFFEB84"/>
        <color rgb="FF63BE7B"/>
      </colorScale>
    </cfRule>
  </conditionalFormatting>
  <conditionalFormatting sqref="G6:G217">
    <cfRule type="cellIs" priority="3" operator="lessThan" aboveAverage="0" equalAverage="0" bottom="0" percent="0" rank="0" text="" dxfId="137">
      <formula>0</formula>
    </cfRule>
  </conditionalFormatting>
  <conditionalFormatting sqref="J6:J217">
    <cfRule type="dataBar" priority="4">
      <dataBar showValue="1" minLength="10" maxLength="90">
        <cfvo type="num" val="0"/>
        <cfvo type="max" val="0"/>
        <color rgb="FF63BE7B"/>
      </dataBar>
      <extLst>
        <ext xmlns:x14="http://schemas.microsoft.com/office/spreadsheetml/2009/9/main" uri="{B025F937-C7B1-47D3-B67F-A62EFF666E3E}">
          <x14:id>{734ECB2B-16E6-4F98-9D99-10F6C1BAA695}</x14:id>
        </ext>
      </extLst>
    </cfRule>
  </conditionalFormatting>
  <conditionalFormatting sqref="K6:K217">
    <cfRule type="dataBar" priority="5">
      <dataBar showValue="1" minLength="10" maxLength="90">
        <cfvo type="num" val="0"/>
        <cfvo type="num" val="1"/>
        <color rgb="FF7F7F7F"/>
      </dataBar>
      <extLst>
        <ext xmlns:x14="http://schemas.microsoft.com/office/spreadsheetml/2009/9/main" uri="{B025F937-C7B1-47D3-B67F-A62EFF666E3E}">
          <x14:id>{DFBD7F66-DC8A-4470-A53E-E5381222CF6F}</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734ECB2B-16E6-4F98-9D99-10F6C1BAA695}">
            <x14:dataBar minLength="10" maxLength="90" axisPosition="none" gradient="true">
              <x14:cfvo type="num">
                <xm:f>0</xm:f>
              </x14:cfvo>
              <x14:cfvo type="max"/>
              <x14:negativeFillColor rgb="FF63BE7B"/>
              <x14:axisColor rgb="FF000000"/>
            </x14:dataBar>
          </x14:cfRule>
          <xm:sqref>J6:J217</xm:sqref>
        </x14:conditionalFormatting>
        <x14:conditionalFormatting xmlns:xm="http://schemas.microsoft.com/office/excel/2006/main">
          <x14:cfRule type="dataBar" id="{DFBD7F66-DC8A-4470-A53E-E5381222CF6F}">
            <x14:dataBar minLength="10" maxLength="90" axisPosition="none" gradient="true">
              <x14:cfvo type="num">
                <xm:f>0</xm:f>
              </x14:cfvo>
              <x14:cfvo type="num">
                <xm:f>1</xm:f>
              </x14:cfvo>
              <x14:negativeFillColor rgb="FF7F7F7F"/>
              <x14:axisColor rgb="FF000000"/>
            </x14:dataBar>
          </x14:cfRule>
          <xm:sqref>K6:K217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AB2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7" min="2" style="0" width="13"/>
    <col collapsed="false" customWidth="true" hidden="false" outlineLevel="0" max="28" min="28" style="0" width="28"/>
  </cols>
  <sheetData>
    <row r="1" customFormat="false" ht="35.05" hidden="false" customHeight="false" outlineLevel="0" collapsed="false">
      <c r="A1" s="15" t="s">
        <v>127</v>
      </c>
      <c r="B1" s="15" t="s">
        <v>392</v>
      </c>
      <c r="C1" s="15" t="s">
        <v>393</v>
      </c>
      <c r="D1" s="15" t="s">
        <v>78</v>
      </c>
      <c r="E1" s="15" t="s">
        <v>394</v>
      </c>
      <c r="F1" s="15" t="s">
        <v>395</v>
      </c>
      <c r="G1" s="15" t="s">
        <v>396</v>
      </c>
      <c r="H1" s="15" t="s">
        <v>397</v>
      </c>
      <c r="I1" s="15" t="s">
        <v>398</v>
      </c>
      <c r="J1" s="15" t="s">
        <v>399</v>
      </c>
      <c r="K1" s="15" t="s">
        <v>400</v>
      </c>
      <c r="L1" s="15" t="s">
        <v>401</v>
      </c>
      <c r="M1" s="15" t="s">
        <v>402</v>
      </c>
      <c r="N1" s="15" t="s">
        <v>403</v>
      </c>
      <c r="O1" s="15" t="s">
        <v>404</v>
      </c>
      <c r="P1" s="15" t="s">
        <v>405</v>
      </c>
      <c r="Q1" s="15" t="s">
        <v>406</v>
      </c>
      <c r="R1" s="58" t="s">
        <v>407</v>
      </c>
      <c r="S1" s="58" t="s">
        <v>408</v>
      </c>
      <c r="T1" s="58" t="s">
        <v>409</v>
      </c>
      <c r="U1" s="58" t="s">
        <v>410</v>
      </c>
      <c r="V1" s="58" t="s">
        <v>411</v>
      </c>
      <c r="W1" s="58" t="s">
        <v>412</v>
      </c>
      <c r="X1" s="58" t="s">
        <v>413</v>
      </c>
      <c r="Y1" s="58" t="s">
        <v>414</v>
      </c>
      <c r="Z1" s="58" t="s">
        <v>415</v>
      </c>
      <c r="AA1" s="58" t="s">
        <v>416</v>
      </c>
      <c r="AB1" s="58" t="s">
        <v>417</v>
      </c>
    </row>
    <row r="2" customFormat="false" ht="15" hidden="false" customHeight="false" outlineLevel="0" collapsed="false">
      <c r="A2" s="0" t="s">
        <v>418</v>
      </c>
      <c r="C2" s="0" t="s">
        <v>418</v>
      </c>
      <c r="D2" s="0" t="n">
        <v>2015</v>
      </c>
      <c r="E2" s="59" t="n">
        <v>7470491876</v>
      </c>
      <c r="F2" s="60" t="n">
        <v>24002.35</v>
      </c>
      <c r="G2" s="61" t="n">
        <v>9283.61</v>
      </c>
      <c r="H2" s="61" t="n">
        <v>5539.88</v>
      </c>
      <c r="I2" s="61" t="n">
        <v>1133.29</v>
      </c>
      <c r="J2" s="61" t="n">
        <v>2532.93</v>
      </c>
      <c r="K2" s="61" t="n">
        <v>3882.13</v>
      </c>
      <c r="L2" s="61" t="n">
        <v>256.01</v>
      </c>
      <c r="M2" s="61" t="n">
        <v>829.63</v>
      </c>
      <c r="N2" s="61" t="n">
        <v>471.79</v>
      </c>
      <c r="O2" s="61" t="n">
        <v>73.08</v>
      </c>
      <c r="P2" s="62" t="n">
        <v>533.4</v>
      </c>
      <c r="Q2" s="0" t="n">
        <v>0</v>
      </c>
      <c r="R2" s="60" t="n">
        <f aca="false">G2+H2+I2</f>
        <v>15956.78</v>
      </c>
      <c r="S2" s="60" t="n">
        <f aca="false">K2+L2+M2+N2+O2</f>
        <v>5512.64</v>
      </c>
      <c r="T2" s="60" t="n">
        <f aca="false">L2+M2</f>
        <v>1085.64</v>
      </c>
      <c r="U2" s="60" t="n">
        <f aca="false">S2+J2</f>
        <v>8045.57</v>
      </c>
      <c r="V2" s="63" t="n">
        <f aca="false">IFERROR(S2/F2,0)</f>
        <v>0.229670844729787</v>
      </c>
      <c r="W2" s="63" t="n">
        <f aca="false">IFERROR(R2/F2,0)</f>
        <v>0.664800738261046</v>
      </c>
      <c r="X2" s="63" t="n">
        <f aca="false">IFERROR(T2/F2,0)</f>
        <v>0.0452305711732393</v>
      </c>
      <c r="Y2" s="63" t="n">
        <f aca="false">IFERROR(G2/F2,0)</f>
        <v>0.386779211202237</v>
      </c>
      <c r="Z2" s="59" t="n">
        <f aca="false">IF(E2&gt;0,F2*1000000000/E2,"")</f>
        <v>3212.95443438081</v>
      </c>
      <c r="AA2" s="63" t="n">
        <f aca="false">IFERROR((R2+S2+J2)/F2,0)</f>
        <v>1</v>
      </c>
      <c r="AB2" s="0" t="str">
        <f aca="false">A2&amp;"|"&amp;D2</f>
        <v>World|2015</v>
      </c>
    </row>
    <row r="3" customFormat="false" ht="15" hidden="false" customHeight="false" outlineLevel="0" collapsed="false">
      <c r="A3" s="0" t="s">
        <v>418</v>
      </c>
      <c r="C3" s="0" t="s">
        <v>418</v>
      </c>
      <c r="D3" s="0" t="n">
        <v>2016</v>
      </c>
      <c r="E3" s="59" t="n">
        <v>7558554527</v>
      </c>
      <c r="F3" s="60" t="n">
        <v>24694.51</v>
      </c>
      <c r="G3" s="61" t="n">
        <v>9327.96</v>
      </c>
      <c r="H3" s="61" t="n">
        <v>5849.92</v>
      </c>
      <c r="I3" s="61" t="n">
        <v>1085.11</v>
      </c>
      <c r="J3" s="61" t="n">
        <v>2571.05</v>
      </c>
      <c r="K3" s="61" t="n">
        <v>4014.75</v>
      </c>
      <c r="L3" s="61" t="n">
        <v>327.47</v>
      </c>
      <c r="M3" s="61" t="n">
        <v>960.3</v>
      </c>
      <c r="N3" s="61" t="n">
        <v>482.08</v>
      </c>
      <c r="O3" s="61" t="n">
        <v>75.87</v>
      </c>
      <c r="P3" s="62" t="n">
        <v>525.3</v>
      </c>
      <c r="Q3" s="0" t="n">
        <v>0</v>
      </c>
      <c r="R3" s="60" t="n">
        <f aca="false">G3+H3+I3</f>
        <v>16262.99</v>
      </c>
      <c r="S3" s="60" t="n">
        <f aca="false">K3+L3+M3+N3+O3</f>
        <v>5860.47</v>
      </c>
      <c r="T3" s="60" t="n">
        <f aca="false">L3+M3</f>
        <v>1287.77</v>
      </c>
      <c r="U3" s="60" t="n">
        <f aca="false">S3+J3</f>
        <v>8431.52</v>
      </c>
      <c r="V3" s="63" t="n">
        <f aca="false">IFERROR(S3/F3,0)</f>
        <v>0.237318740076236</v>
      </c>
      <c r="W3" s="63" t="n">
        <f aca="false">IFERROR(R3/F3,0)</f>
        <v>0.658567025626344</v>
      </c>
      <c r="X3" s="63" t="n">
        <f aca="false">IFERROR(T3/F3,0)</f>
        <v>0.0521480280434801</v>
      </c>
      <c r="Y3" s="63" t="n">
        <f aca="false">IFERROR(G3/F3,0)</f>
        <v>0.377734160345761</v>
      </c>
      <c r="Z3" s="59" t="n">
        <f aca="false">IF(E3&gt;0,F3*1000000000/E3,"")</f>
        <v>3267.09424557149</v>
      </c>
      <c r="AA3" s="63" t="n">
        <f aca="false">IFERROR((R3+S3+J3)/F3,0)</f>
        <v>1</v>
      </c>
      <c r="AB3" s="0" t="str">
        <f aca="false">A3&amp;"|"&amp;D3</f>
        <v>World|2016</v>
      </c>
    </row>
    <row r="4" customFormat="false" ht="15" hidden="false" customHeight="false" outlineLevel="0" collapsed="false">
      <c r="A4" s="0" t="s">
        <v>418</v>
      </c>
      <c r="C4" s="0" t="s">
        <v>418</v>
      </c>
      <c r="D4" s="0" t="n">
        <v>2017</v>
      </c>
      <c r="E4" s="59" t="n">
        <v>7645617952</v>
      </c>
      <c r="F4" s="60" t="n">
        <v>25441.039</v>
      </c>
      <c r="G4" s="61" t="n">
        <v>9655.05</v>
      </c>
      <c r="H4" s="61" t="n">
        <v>5973.6</v>
      </c>
      <c r="I4" s="61" t="n">
        <v>993.83</v>
      </c>
      <c r="J4" s="61" t="n">
        <v>2594.23</v>
      </c>
      <c r="K4" s="61" t="n">
        <v>4054.03</v>
      </c>
      <c r="L4" s="61" t="n">
        <v>444.65</v>
      </c>
      <c r="M4" s="61" t="n">
        <v>1139.44</v>
      </c>
      <c r="N4" s="61" t="n">
        <v>507.39</v>
      </c>
      <c r="O4" s="61" t="n">
        <v>78.82</v>
      </c>
      <c r="P4" s="62" t="n">
        <v>522</v>
      </c>
      <c r="Q4" s="0" t="n">
        <v>0</v>
      </c>
      <c r="R4" s="60" t="n">
        <f aca="false">G4+H4+I4</f>
        <v>16622.48</v>
      </c>
      <c r="S4" s="60" t="n">
        <f aca="false">K4+L4+M4+N4+O4</f>
        <v>6224.33</v>
      </c>
      <c r="T4" s="60" t="n">
        <f aca="false">L4+M4</f>
        <v>1584.09</v>
      </c>
      <c r="U4" s="60" t="n">
        <f aca="false">S4+J4</f>
        <v>8818.56</v>
      </c>
      <c r="V4" s="63" t="n">
        <f aca="false">IFERROR(S4/F4,0)</f>
        <v>0.244657067661427</v>
      </c>
      <c r="W4" s="63" t="n">
        <f aca="false">IFERROR(R4/F4,0)</f>
        <v>0.653372686547904</v>
      </c>
      <c r="X4" s="63" t="n">
        <f aca="false">IFERROR(T4/F4,0)</f>
        <v>0.0622651456962902</v>
      </c>
      <c r="Y4" s="63" t="n">
        <f aca="false">IFERROR(G4/F4,0)</f>
        <v>0.379506906144832</v>
      </c>
      <c r="Z4" s="59" t="n">
        <f aca="false">IF(E4&gt;0,F4*1000000000/E4,"")</f>
        <v>3327.53207912317</v>
      </c>
      <c r="AA4" s="63" t="n">
        <f aca="false">IFERROR((R4+S4+J4)/F4,0)</f>
        <v>1.00000003930657</v>
      </c>
      <c r="AB4" s="0" t="str">
        <f aca="false">A4&amp;"|"&amp;D4</f>
        <v>World|2017</v>
      </c>
    </row>
    <row r="5" customFormat="false" ht="15" hidden="false" customHeight="false" outlineLevel="0" collapsed="false">
      <c r="A5" s="0" t="s">
        <v>418</v>
      </c>
      <c r="C5" s="0" t="s">
        <v>418</v>
      </c>
      <c r="D5" s="0" t="n">
        <v>2018</v>
      </c>
      <c r="E5" s="59" t="n">
        <v>7729902779</v>
      </c>
      <c r="F5" s="60" t="n">
        <v>26464.49</v>
      </c>
      <c r="G5" s="61" t="n">
        <v>10033.03</v>
      </c>
      <c r="H5" s="61" t="n">
        <v>6224.56</v>
      </c>
      <c r="I5" s="61" t="n">
        <v>908.6</v>
      </c>
      <c r="J5" s="61" t="n">
        <v>2658.7</v>
      </c>
      <c r="K5" s="61" t="n">
        <v>4176.84</v>
      </c>
      <c r="L5" s="61" t="n">
        <v>575.16</v>
      </c>
      <c r="M5" s="61" t="n">
        <v>1268.14</v>
      </c>
      <c r="N5" s="61" t="n">
        <v>537.74</v>
      </c>
      <c r="O5" s="61" t="n">
        <v>81.72</v>
      </c>
      <c r="P5" s="62" t="n">
        <v>518.5</v>
      </c>
      <c r="Q5" s="0" t="n">
        <v>0</v>
      </c>
      <c r="R5" s="60" t="n">
        <f aca="false">G5+H5+I5</f>
        <v>17166.19</v>
      </c>
      <c r="S5" s="60" t="n">
        <f aca="false">K5+L5+M5+N5+O5</f>
        <v>6639.6</v>
      </c>
      <c r="T5" s="60" t="n">
        <f aca="false">L5+M5</f>
        <v>1843.3</v>
      </c>
      <c r="U5" s="60" t="n">
        <f aca="false">S5+J5</f>
        <v>9298.3</v>
      </c>
      <c r="V5" s="63" t="n">
        <f aca="false">IFERROR(S5/F5,0)</f>
        <v>0.250887132153312</v>
      </c>
      <c r="W5" s="63" t="n">
        <f aca="false">IFERROR(R5/F5,0)</f>
        <v>0.648649945644144</v>
      </c>
      <c r="X5" s="63" t="n">
        <f aca="false">IFERROR(T5/F5,0)</f>
        <v>0.0696518240102114</v>
      </c>
      <c r="Y5" s="63" t="n">
        <f aca="false">IFERROR(G5/F5,0)</f>
        <v>0.379112916969116</v>
      </c>
      <c r="Z5" s="59" t="n">
        <f aca="false">IF(E5&gt;0,F5*1000000000/E5,"")</f>
        <v>3423.65108030811</v>
      </c>
      <c r="AA5" s="63" t="n">
        <f aca="false">IFERROR((R5+S5+J5)/F5,0)</f>
        <v>1</v>
      </c>
      <c r="AB5" s="0" t="str">
        <f aca="false">A5&amp;"|"&amp;D5</f>
        <v>World|2018</v>
      </c>
    </row>
    <row r="6" customFormat="false" ht="15" hidden="false" customHeight="false" outlineLevel="0" collapsed="false">
      <c r="A6" s="0" t="s">
        <v>418</v>
      </c>
      <c r="C6" s="0" t="s">
        <v>418</v>
      </c>
      <c r="D6" s="0" t="n">
        <v>2019</v>
      </c>
      <c r="E6" s="59" t="n">
        <v>7811293699</v>
      </c>
      <c r="F6" s="60" t="n">
        <v>26832.42</v>
      </c>
      <c r="G6" s="61" t="n">
        <v>9826.39</v>
      </c>
      <c r="H6" s="61" t="n">
        <v>6401.31</v>
      </c>
      <c r="I6" s="61" t="n">
        <v>855.03</v>
      </c>
      <c r="J6" s="61" t="n">
        <v>2754.08</v>
      </c>
      <c r="K6" s="61" t="n">
        <v>4227.76</v>
      </c>
      <c r="L6" s="61" t="n">
        <v>697.94</v>
      </c>
      <c r="M6" s="61" t="n">
        <v>1420.96</v>
      </c>
      <c r="N6" s="61" t="n">
        <v>566</v>
      </c>
      <c r="O6" s="61" t="n">
        <v>82.95</v>
      </c>
      <c r="P6" s="62" t="n">
        <v>505.8</v>
      </c>
      <c r="Q6" s="0" t="n">
        <v>0</v>
      </c>
      <c r="R6" s="60" t="n">
        <f aca="false">G6+H6+I6</f>
        <v>17082.73</v>
      </c>
      <c r="S6" s="60" t="n">
        <f aca="false">K6+L6+M6+N6+O6</f>
        <v>6995.61</v>
      </c>
      <c r="T6" s="60" t="n">
        <f aca="false">L6+M6</f>
        <v>2118.9</v>
      </c>
      <c r="U6" s="60" t="n">
        <f aca="false">S6+J6</f>
        <v>9749.69</v>
      </c>
      <c r="V6" s="63" t="n">
        <f aca="false">IFERROR(S6/F6,0)</f>
        <v>0.26071483675345</v>
      </c>
      <c r="W6" s="63" t="n">
        <f aca="false">IFERROR(R6/F6,0)</f>
        <v>0.636645147921805</v>
      </c>
      <c r="X6" s="63" t="n">
        <f aca="false">IFERROR(T6/F6,0)</f>
        <v>0.0789679052429859</v>
      </c>
      <c r="Y6" s="63" t="n">
        <f aca="false">IFERROR(G6/F6,0)</f>
        <v>0.366213334466291</v>
      </c>
      <c r="Z6" s="59" t="n">
        <f aca="false">IF(E6&gt;0,F6*1000000000/E6,"")</f>
        <v>3435.08015880072</v>
      </c>
      <c r="AA6" s="63" t="n">
        <f aca="false">IFERROR((R6+S6+J6)/F6,0)</f>
        <v>1</v>
      </c>
      <c r="AB6" s="0" t="str">
        <f aca="false">A6&amp;"|"&amp;D6</f>
        <v>World|2019</v>
      </c>
    </row>
    <row r="7" customFormat="false" ht="15" hidden="false" customHeight="false" outlineLevel="0" collapsed="false">
      <c r="A7" s="0" t="s">
        <v>418</v>
      </c>
      <c r="C7" s="0" t="s">
        <v>418</v>
      </c>
      <c r="D7" s="0" t="n">
        <v>2020</v>
      </c>
      <c r="E7" s="59" t="n">
        <v>7887001289</v>
      </c>
      <c r="F7" s="60" t="n">
        <v>26723.369</v>
      </c>
      <c r="G7" s="61" t="n">
        <v>9437.05</v>
      </c>
      <c r="H7" s="61" t="n">
        <v>6382.94</v>
      </c>
      <c r="I7" s="61" t="n">
        <v>775.88</v>
      </c>
      <c r="J7" s="61" t="n">
        <v>2648.33</v>
      </c>
      <c r="K7" s="61" t="n">
        <v>4347.02</v>
      </c>
      <c r="L7" s="61" t="n">
        <v>853.39</v>
      </c>
      <c r="M7" s="61" t="n">
        <v>1591.47</v>
      </c>
      <c r="N7" s="61" t="n">
        <v>601.17</v>
      </c>
      <c r="O7" s="61" t="n">
        <v>86.12</v>
      </c>
      <c r="P7" s="62" t="n">
        <v>492.1</v>
      </c>
      <c r="Q7" s="0" t="n">
        <v>0</v>
      </c>
      <c r="R7" s="60" t="n">
        <f aca="false">G7+H7+I7</f>
        <v>16595.87</v>
      </c>
      <c r="S7" s="60" t="n">
        <f aca="false">K7+L7+M7+N7+O7</f>
        <v>7479.17</v>
      </c>
      <c r="T7" s="60" t="n">
        <f aca="false">L7+M7</f>
        <v>2444.86</v>
      </c>
      <c r="U7" s="60" t="n">
        <f aca="false">S7+J7</f>
        <v>10127.5</v>
      </c>
      <c r="V7" s="63" t="n">
        <f aca="false">IFERROR(S7/F7,0)</f>
        <v>0.279873768909901</v>
      </c>
      <c r="W7" s="63" t="n">
        <f aca="false">IFERROR(R7/F7,0)</f>
        <v>0.621024617068305</v>
      </c>
      <c r="X7" s="63" t="n">
        <f aca="false">IFERROR(T7/F7,0)</f>
        <v>0.0914877162381734</v>
      </c>
      <c r="Y7" s="63" t="n">
        <f aca="false">IFERROR(G7/F7,0)</f>
        <v>0.353138483400053</v>
      </c>
      <c r="Z7" s="59" t="n">
        <f aca="false">IF(E7&gt;0,F7*1000000000/E7,"")</f>
        <v>3388.28003455142</v>
      </c>
      <c r="AA7" s="63" t="n">
        <f aca="false">IFERROR((R7+S7+J7)/F7,0)</f>
        <v>1.00000003742043</v>
      </c>
      <c r="AB7" s="0" t="str">
        <f aca="false">A7&amp;"|"&amp;D7</f>
        <v>World|2020</v>
      </c>
    </row>
    <row r="8" customFormat="false" ht="15" hidden="false" customHeight="false" outlineLevel="0" collapsed="false">
      <c r="A8" s="0" t="s">
        <v>418</v>
      </c>
      <c r="C8" s="0" t="s">
        <v>418</v>
      </c>
      <c r="D8" s="0" t="n">
        <v>2021</v>
      </c>
      <c r="E8" s="59" t="n">
        <v>7954448387</v>
      </c>
      <c r="F8" s="60" t="n">
        <v>28259.07</v>
      </c>
      <c r="G8" s="61" t="n">
        <v>10156.49</v>
      </c>
      <c r="H8" s="61" t="n">
        <v>6556.63</v>
      </c>
      <c r="I8" s="61" t="n">
        <v>842.25</v>
      </c>
      <c r="J8" s="61" t="n">
        <v>2762.44</v>
      </c>
      <c r="K8" s="61" t="n">
        <v>4288.7</v>
      </c>
      <c r="L8" s="61" t="n">
        <v>1053.99</v>
      </c>
      <c r="M8" s="61" t="n">
        <v>1856.94</v>
      </c>
      <c r="N8" s="61" t="n">
        <v>655.3</v>
      </c>
      <c r="O8" s="61" t="n">
        <v>86.33</v>
      </c>
      <c r="P8" s="62" t="n">
        <v>494.8</v>
      </c>
      <c r="Q8" s="0" t="n">
        <v>0</v>
      </c>
      <c r="R8" s="60" t="n">
        <f aca="false">G8+H8+I8</f>
        <v>17555.37</v>
      </c>
      <c r="S8" s="60" t="n">
        <f aca="false">K8+L8+M8+N8+O8</f>
        <v>7941.26</v>
      </c>
      <c r="T8" s="60" t="n">
        <f aca="false">L8+M8</f>
        <v>2910.93</v>
      </c>
      <c r="U8" s="60" t="n">
        <f aca="false">S8+J8</f>
        <v>10703.7</v>
      </c>
      <c r="V8" s="63" t="n">
        <f aca="false">IFERROR(S8/F8,0)</f>
        <v>0.281016325024143</v>
      </c>
      <c r="W8" s="63" t="n">
        <f aca="false">IFERROR(R8/F8,0)</f>
        <v>0.621229573372372</v>
      </c>
      <c r="X8" s="63" t="n">
        <f aca="false">IFERROR(T8/F8,0)</f>
        <v>0.103008697738461</v>
      </c>
      <c r="Y8" s="63" t="n">
        <f aca="false">IFERROR(G8/F8,0)</f>
        <v>0.35940637819999</v>
      </c>
      <c r="Z8" s="59" t="n">
        <f aca="false">IF(E8&gt;0,F8*1000000000/E8,"")</f>
        <v>3552.61215173436</v>
      </c>
      <c r="AA8" s="63" t="n">
        <f aca="false">IFERROR((R8+S8+J8)/F8,0)</f>
        <v>1</v>
      </c>
      <c r="AB8" s="0" t="str">
        <f aca="false">A8&amp;"|"&amp;D8</f>
        <v>World|2021</v>
      </c>
    </row>
    <row r="9" customFormat="false" ht="15" hidden="false" customHeight="false" outlineLevel="0" collapsed="false">
      <c r="A9" s="0" t="s">
        <v>418</v>
      </c>
      <c r="C9" s="0" t="s">
        <v>418</v>
      </c>
      <c r="D9" s="0" t="n">
        <v>2022</v>
      </c>
      <c r="E9" s="59" t="n">
        <v>8021407196</v>
      </c>
      <c r="F9" s="60" t="n">
        <v>28917.76</v>
      </c>
      <c r="G9" s="61" t="n">
        <v>10240.44</v>
      </c>
      <c r="H9" s="61" t="n">
        <v>6628.27</v>
      </c>
      <c r="I9" s="61" t="n">
        <v>887.42</v>
      </c>
      <c r="J9" s="61" t="n">
        <v>2639.64</v>
      </c>
      <c r="K9" s="61" t="n">
        <v>4324.07</v>
      </c>
      <c r="L9" s="61" t="n">
        <v>1333.12</v>
      </c>
      <c r="M9" s="61" t="n">
        <v>2107.66</v>
      </c>
      <c r="N9" s="61" t="n">
        <v>669.2</v>
      </c>
      <c r="O9" s="61" t="n">
        <v>87.94</v>
      </c>
      <c r="P9" s="62" t="n">
        <v>489.5</v>
      </c>
      <c r="Q9" s="0" t="n">
        <v>0</v>
      </c>
      <c r="R9" s="60" t="n">
        <f aca="false">G9+H9+I9</f>
        <v>17756.13</v>
      </c>
      <c r="S9" s="60" t="n">
        <f aca="false">K9+L9+M9+N9+O9</f>
        <v>8521.99</v>
      </c>
      <c r="T9" s="60" t="n">
        <f aca="false">L9+M9</f>
        <v>3440.78</v>
      </c>
      <c r="U9" s="60" t="n">
        <f aca="false">S9+J9</f>
        <v>11161.63</v>
      </c>
      <c r="V9" s="63" t="n">
        <f aca="false">IFERROR(S9/F9,0)</f>
        <v>0.29469744544529</v>
      </c>
      <c r="W9" s="63" t="n">
        <f aca="false">IFERROR(R9/F9,0)</f>
        <v>0.614021625464766</v>
      </c>
      <c r="X9" s="63" t="n">
        <f aca="false">IFERROR(T9/F9,0)</f>
        <v>0.118985011287181</v>
      </c>
      <c r="Y9" s="63" t="n">
        <f aca="false">IFERROR(G9/F9,0)</f>
        <v>0.354122864288244</v>
      </c>
      <c r="Z9" s="59" t="n">
        <f aca="false">IF(E9&gt;0,F9*1000000000/E9,"")</f>
        <v>3605.07318646288</v>
      </c>
      <c r="AA9" s="63" t="n">
        <f aca="false">IFERROR((R9+S9+J9)/F9,0)</f>
        <v>1</v>
      </c>
      <c r="AB9" s="0" t="str">
        <f aca="false">A9&amp;"|"&amp;D9</f>
        <v>World|2022</v>
      </c>
    </row>
    <row r="10" customFormat="false" ht="15" hidden="false" customHeight="false" outlineLevel="0" collapsed="false">
      <c r="A10" s="0" t="s">
        <v>418</v>
      </c>
      <c r="C10" s="0" t="s">
        <v>418</v>
      </c>
      <c r="D10" s="0" t="n">
        <v>2023</v>
      </c>
      <c r="E10" s="59" t="n">
        <v>8091734933</v>
      </c>
      <c r="F10" s="60" t="n">
        <v>29665.34</v>
      </c>
      <c r="G10" s="61" t="n">
        <v>10395.94</v>
      </c>
      <c r="H10" s="61" t="n">
        <v>6699.42</v>
      </c>
      <c r="I10" s="61" t="n">
        <v>876.79</v>
      </c>
      <c r="J10" s="61" t="n">
        <v>2697.74</v>
      </c>
      <c r="K10" s="61" t="n">
        <v>4240.11</v>
      </c>
      <c r="L10" s="61" t="n">
        <v>1664.14</v>
      </c>
      <c r="M10" s="61" t="n">
        <v>2319.18</v>
      </c>
      <c r="N10" s="61" t="n">
        <v>683.62</v>
      </c>
      <c r="O10" s="61" t="n">
        <v>88.4</v>
      </c>
      <c r="P10" s="62" t="n">
        <v>483.2</v>
      </c>
      <c r="Q10" s="0" t="n">
        <v>0</v>
      </c>
      <c r="R10" s="60" t="n">
        <f aca="false">G10+H10+I10</f>
        <v>17972.15</v>
      </c>
      <c r="S10" s="60" t="n">
        <f aca="false">K10+L10+M10+N10+O10</f>
        <v>8995.45</v>
      </c>
      <c r="T10" s="60" t="n">
        <f aca="false">L10+M10</f>
        <v>3983.32</v>
      </c>
      <c r="U10" s="60" t="n">
        <f aca="false">S10+J10</f>
        <v>11693.19</v>
      </c>
      <c r="V10" s="63" t="n">
        <f aca="false">IFERROR(S10/F10,0)</f>
        <v>0.303230975947014</v>
      </c>
      <c r="W10" s="63" t="n">
        <f aca="false">IFERROR(R10/F10,0)</f>
        <v>0.605829901157378</v>
      </c>
      <c r="X10" s="63" t="n">
        <f aca="false">IFERROR(T10/F10,0)</f>
        <v>0.134275218150205</v>
      </c>
      <c r="Y10" s="63" t="n">
        <f aca="false">IFERROR(G10/F10,0)</f>
        <v>0.350440615209534</v>
      </c>
      <c r="Z10" s="59" t="n">
        <f aca="false">IF(E10&gt;0,F10*1000000000/E10,"")</f>
        <v>3666.12849353453</v>
      </c>
      <c r="AA10" s="63" t="n">
        <f aca="false">IFERROR((R10+S10+J10)/F10,0)</f>
        <v>1</v>
      </c>
      <c r="AB10" s="0" t="str">
        <f aca="false">A10&amp;"|"&amp;D10</f>
        <v>World|2023</v>
      </c>
    </row>
    <row r="11" customFormat="false" ht="15" hidden="false" customHeight="false" outlineLevel="0" collapsed="false">
      <c r="A11" s="0" t="s">
        <v>418</v>
      </c>
      <c r="C11" s="0" t="s">
        <v>418</v>
      </c>
      <c r="D11" s="0" t="n">
        <v>2024</v>
      </c>
      <c r="E11" s="59" t="n">
        <v>8161972574</v>
      </c>
      <c r="F11" s="60" t="n">
        <v>30930.23</v>
      </c>
      <c r="G11" s="61" t="n">
        <v>10538.94</v>
      </c>
      <c r="H11" s="61" t="n">
        <v>6882.73</v>
      </c>
      <c r="I11" s="61" t="n">
        <v>853.84</v>
      </c>
      <c r="J11" s="61" t="n">
        <v>2777.11</v>
      </c>
      <c r="K11" s="61" t="n">
        <v>4433.65</v>
      </c>
      <c r="L11" s="61" t="n">
        <v>2142.65</v>
      </c>
      <c r="M11" s="61" t="n">
        <v>2509.5</v>
      </c>
      <c r="N11" s="61" t="n">
        <v>703.37</v>
      </c>
      <c r="O11" s="61" t="n">
        <v>88.44</v>
      </c>
      <c r="P11" s="62" t="n">
        <v>471.1</v>
      </c>
      <c r="Q11" s="0" t="n">
        <v>0</v>
      </c>
      <c r="R11" s="60" t="n">
        <f aca="false">G11+H11+I11</f>
        <v>18275.51</v>
      </c>
      <c r="S11" s="60" t="n">
        <f aca="false">K11+L11+M11+N11+O11</f>
        <v>9877.61</v>
      </c>
      <c r="T11" s="60" t="n">
        <f aca="false">L11+M11</f>
        <v>4652.15</v>
      </c>
      <c r="U11" s="60" t="n">
        <f aca="false">S11+J11</f>
        <v>12654.72</v>
      </c>
      <c r="V11" s="63" t="n">
        <f aca="false">IFERROR(S11/F11,0)</f>
        <v>0.319351327164396</v>
      </c>
      <c r="W11" s="63" t="n">
        <f aca="false">IFERROR(R11/F11,0)</f>
        <v>0.590862402251778</v>
      </c>
      <c r="X11" s="63" t="n">
        <f aca="false">IFERROR(T11/F11,0)</f>
        <v>0.150407869582606</v>
      </c>
      <c r="Y11" s="63" t="n">
        <f aca="false">IFERROR(G11/F11,0)</f>
        <v>0.340732674797439</v>
      </c>
      <c r="Z11" s="59" t="n">
        <f aca="false">IF(E11&gt;0,F11*1000000000/E11,"")</f>
        <v>3789.55328746489</v>
      </c>
      <c r="AA11" s="63" t="n">
        <f aca="false">IFERROR((R11+S11+J11)/F11,0)</f>
        <v>1</v>
      </c>
      <c r="AB11" s="0" t="str">
        <f aca="false">A11&amp;"|"&amp;D11</f>
        <v>World|2024</v>
      </c>
    </row>
    <row r="12" customFormat="false" ht="15" hidden="false" customHeight="false" outlineLevel="0" collapsed="false">
      <c r="A12" s="0" t="s">
        <v>418</v>
      </c>
      <c r="C12" s="0" t="s">
        <v>418</v>
      </c>
      <c r="D12" s="0" t="n">
        <v>2025</v>
      </c>
      <c r="E12" s="59" t="n">
        <v>8231613067</v>
      </c>
      <c r="F12" s="60" t="n">
        <v>31772.35</v>
      </c>
      <c r="G12" s="61" t="n">
        <v>10471.53</v>
      </c>
      <c r="H12" s="61" t="n">
        <v>6921.14</v>
      </c>
      <c r="I12" s="61" t="n">
        <v>841.62</v>
      </c>
      <c r="J12" s="61" t="n">
        <v>2811.57</v>
      </c>
      <c r="K12" s="61" t="n">
        <v>4434.97</v>
      </c>
      <c r="L12" s="61" t="n">
        <v>2778.64</v>
      </c>
      <c r="M12" s="61" t="n">
        <v>2713.14</v>
      </c>
      <c r="N12" s="61" t="n">
        <v>710.41</v>
      </c>
      <c r="O12" s="61" t="n">
        <v>89.33</v>
      </c>
      <c r="P12" s="62" t="n">
        <v>458.3</v>
      </c>
      <c r="Q12" s="0" t="n">
        <v>0</v>
      </c>
      <c r="R12" s="60" t="n">
        <f aca="false">G12+H12+I12</f>
        <v>18234.29</v>
      </c>
      <c r="S12" s="60" t="n">
        <f aca="false">K12+L12+M12+N12+O12</f>
        <v>10726.49</v>
      </c>
      <c r="T12" s="60" t="n">
        <f aca="false">L12+M12</f>
        <v>5491.78</v>
      </c>
      <c r="U12" s="60" t="n">
        <f aca="false">S12+J12</f>
        <v>13538.06</v>
      </c>
      <c r="V12" s="63" t="n">
        <f aca="false">IFERROR(S12/F12,0)</f>
        <v>0.337604552385958</v>
      </c>
      <c r="W12" s="63" t="n">
        <f aca="false">IFERROR(R12/F12,0)</f>
        <v>0.573904353942973</v>
      </c>
      <c r="X12" s="63" t="n">
        <f aca="false">IFERROR(T12/F12,0)</f>
        <v>0.172847774873436</v>
      </c>
      <c r="Y12" s="63" t="n">
        <f aca="false">IFERROR(G12/F12,0)</f>
        <v>0.329579964969541</v>
      </c>
      <c r="Z12" s="59" t="n">
        <f aca="false">IF(E12&gt;0,F12*1000000000/E12,"")</f>
        <v>3859.79634142101</v>
      </c>
      <c r="AA12" s="63" t="n">
        <f aca="false">IFERROR((R12+S12+J12)/F12,0)</f>
        <v>1</v>
      </c>
      <c r="AB12" s="0" t="str">
        <f aca="false">A12&amp;"|"&amp;D12</f>
        <v>World|2025</v>
      </c>
    </row>
    <row r="13" customFormat="false" ht="15" hidden="false" customHeight="false" outlineLevel="0" collapsed="false">
      <c r="A13" s="0" t="s">
        <v>181</v>
      </c>
      <c r="B13" s="0" t="s">
        <v>419</v>
      </c>
      <c r="C13" s="0" t="s">
        <v>127</v>
      </c>
      <c r="D13" s="0" t="n">
        <v>2015</v>
      </c>
      <c r="E13" s="59" t="n">
        <v>33831767</v>
      </c>
      <c r="F13" s="60" t="n">
        <v>1.18</v>
      </c>
      <c r="G13" s="61" t="n">
        <v>0.1</v>
      </c>
      <c r="H13" s="61" t="n">
        <v>0</v>
      </c>
      <c r="I13" s="61" t="n">
        <v>0.05</v>
      </c>
      <c r="J13" s="61" t="n">
        <v>0</v>
      </c>
      <c r="K13" s="61" t="n">
        <v>1</v>
      </c>
      <c r="L13" s="61" t="n">
        <v>0.03</v>
      </c>
      <c r="M13" s="61" t="n">
        <v>0</v>
      </c>
      <c r="N13" s="61" t="n">
        <v>0</v>
      </c>
      <c r="O13" s="61" t="n">
        <v>0</v>
      </c>
      <c r="P13" s="62" t="n">
        <v>118.6</v>
      </c>
      <c r="Q13" s="0" t="n">
        <v>0</v>
      </c>
      <c r="R13" s="60" t="n">
        <f aca="false">G13+H13+I13</f>
        <v>0.15</v>
      </c>
      <c r="S13" s="60" t="n">
        <f aca="false">K13+L13+M13+N13+O13</f>
        <v>1.03</v>
      </c>
      <c r="T13" s="60" t="n">
        <f aca="false">L13+M13</f>
        <v>0.03</v>
      </c>
      <c r="U13" s="60" t="n">
        <f aca="false">S13+J13</f>
        <v>1.03</v>
      </c>
      <c r="V13" s="63" t="n">
        <f aca="false">IFERROR(S13/F13,0)</f>
        <v>0.872881355932204</v>
      </c>
      <c r="W13" s="63" t="n">
        <f aca="false">IFERROR(R13/F13,0)</f>
        <v>0.127118644067797</v>
      </c>
      <c r="X13" s="63" t="n">
        <f aca="false">IFERROR(T13/F13,0)</f>
        <v>0.0254237288135593</v>
      </c>
      <c r="Y13" s="63" t="n">
        <f aca="false">IFERROR(G13/F13,0)</f>
        <v>0.0847457627118644</v>
      </c>
      <c r="Z13" s="59" t="n">
        <f aca="false">IF(E13&gt;0,F13*1000000000/E13,"")</f>
        <v>34.8784620087978</v>
      </c>
      <c r="AA13" s="63" t="n">
        <f aca="false">IFERROR((R13+S13+J13)/F13,0)</f>
        <v>1</v>
      </c>
      <c r="AB13" s="0" t="str">
        <f aca="false">A13&amp;"|"&amp;D13</f>
        <v>Afghanistan|2015</v>
      </c>
    </row>
    <row r="14" customFormat="false" ht="15" hidden="false" customHeight="false" outlineLevel="0" collapsed="false">
      <c r="A14" s="0" t="s">
        <v>181</v>
      </c>
      <c r="B14" s="0" t="s">
        <v>419</v>
      </c>
      <c r="C14" s="0" t="s">
        <v>127</v>
      </c>
      <c r="D14" s="0" t="n">
        <v>2016</v>
      </c>
      <c r="E14" s="59" t="n">
        <v>34700613</v>
      </c>
      <c r="F14" s="60" t="n">
        <v>1.21</v>
      </c>
      <c r="G14" s="61" t="n">
        <v>0.09</v>
      </c>
      <c r="H14" s="61" t="n">
        <v>0</v>
      </c>
      <c r="I14" s="61" t="n">
        <v>0.06</v>
      </c>
      <c r="J14" s="61" t="n">
        <v>0</v>
      </c>
      <c r="K14" s="61" t="n">
        <v>1.02</v>
      </c>
      <c r="L14" s="61" t="n">
        <v>0.04</v>
      </c>
      <c r="M14" s="61" t="n">
        <v>0</v>
      </c>
      <c r="N14" s="61" t="n">
        <v>0</v>
      </c>
      <c r="O14" s="61" t="n">
        <v>0</v>
      </c>
      <c r="P14" s="62" t="n">
        <v>115.7</v>
      </c>
      <c r="Q14" s="0" t="n">
        <v>0</v>
      </c>
      <c r="R14" s="60" t="n">
        <f aca="false">G14+H14+I14</f>
        <v>0.15</v>
      </c>
      <c r="S14" s="60" t="n">
        <f aca="false">K14+L14+M14+N14+O14</f>
        <v>1.06</v>
      </c>
      <c r="T14" s="60" t="n">
        <f aca="false">L14+M14</f>
        <v>0.04</v>
      </c>
      <c r="U14" s="60" t="n">
        <f aca="false">S14+J14</f>
        <v>1.06</v>
      </c>
      <c r="V14" s="63" t="n">
        <f aca="false">IFERROR(S14/F14,0)</f>
        <v>0.87603305785124</v>
      </c>
      <c r="W14" s="63" t="n">
        <f aca="false">IFERROR(R14/F14,0)</f>
        <v>0.12396694214876</v>
      </c>
      <c r="X14" s="63" t="n">
        <f aca="false">IFERROR(T14/F14,0)</f>
        <v>0.0330578512396694</v>
      </c>
      <c r="Y14" s="63" t="n">
        <f aca="false">IFERROR(G14/F14,0)</f>
        <v>0.0743801652892562</v>
      </c>
      <c r="Z14" s="59" t="n">
        <f aca="false">IF(E14&gt;0,F14*1000000000/E14,"")</f>
        <v>34.8697010049938</v>
      </c>
      <c r="AA14" s="63" t="n">
        <f aca="false">IFERROR((R14+S14+J14)/F14,0)</f>
        <v>1</v>
      </c>
      <c r="AB14" s="0" t="str">
        <f aca="false">A14&amp;"|"&amp;D14</f>
        <v>Afghanistan|2016</v>
      </c>
    </row>
    <row r="15" customFormat="false" ht="15" hidden="false" customHeight="false" outlineLevel="0" collapsed="false">
      <c r="A15" s="0" t="s">
        <v>181</v>
      </c>
      <c r="B15" s="0" t="s">
        <v>419</v>
      </c>
      <c r="C15" s="0" t="s">
        <v>127</v>
      </c>
      <c r="D15" s="0" t="n">
        <v>2017</v>
      </c>
      <c r="E15" s="59" t="n">
        <v>35688941</v>
      </c>
      <c r="F15" s="60" t="n">
        <v>1.26</v>
      </c>
      <c r="G15" s="61" t="n">
        <v>0.11</v>
      </c>
      <c r="H15" s="61" t="n">
        <v>0</v>
      </c>
      <c r="I15" s="61" t="n">
        <v>0.06</v>
      </c>
      <c r="J15" s="61" t="n">
        <v>0</v>
      </c>
      <c r="K15" s="61" t="n">
        <v>1.05</v>
      </c>
      <c r="L15" s="61" t="n">
        <v>0.04</v>
      </c>
      <c r="M15" s="61" t="n">
        <v>0</v>
      </c>
      <c r="N15" s="61" t="n">
        <v>0</v>
      </c>
      <c r="O15" s="61" t="n">
        <v>0</v>
      </c>
      <c r="P15" s="62" t="n">
        <v>127</v>
      </c>
      <c r="Q15" s="0" t="n">
        <v>0</v>
      </c>
      <c r="R15" s="60" t="n">
        <f aca="false">G15+H15+I15</f>
        <v>0.17</v>
      </c>
      <c r="S15" s="60" t="n">
        <f aca="false">K15+L15+M15+N15+O15</f>
        <v>1.09</v>
      </c>
      <c r="T15" s="60" t="n">
        <f aca="false">L15+M15</f>
        <v>0.04</v>
      </c>
      <c r="U15" s="60" t="n">
        <f aca="false">S15+J15</f>
        <v>1.09</v>
      </c>
      <c r="V15" s="63" t="n">
        <f aca="false">IFERROR(S15/F15,0)</f>
        <v>0.865079365079365</v>
      </c>
      <c r="W15" s="63" t="n">
        <f aca="false">IFERROR(R15/F15,0)</f>
        <v>0.134920634920635</v>
      </c>
      <c r="X15" s="63" t="n">
        <f aca="false">IFERROR(T15/F15,0)</f>
        <v>0.0317460317460317</v>
      </c>
      <c r="Y15" s="63" t="n">
        <f aca="false">IFERROR(G15/F15,0)</f>
        <v>0.0873015873015873</v>
      </c>
      <c r="Z15" s="59" t="n">
        <f aca="false">IF(E15&gt;0,F15*1000000000/E15,"")</f>
        <v>35.3050543023958</v>
      </c>
      <c r="AA15" s="63" t="n">
        <f aca="false">IFERROR((R15+S15+J15)/F15,0)</f>
        <v>1</v>
      </c>
      <c r="AB15" s="0" t="str">
        <f aca="false">A15&amp;"|"&amp;D15</f>
        <v>Afghanistan|2017</v>
      </c>
    </row>
    <row r="16" customFormat="false" ht="15" hidden="false" customHeight="false" outlineLevel="0" collapsed="false">
      <c r="A16" s="0" t="s">
        <v>181</v>
      </c>
      <c r="B16" s="0" t="s">
        <v>419</v>
      </c>
      <c r="C16" s="0" t="s">
        <v>127</v>
      </c>
      <c r="D16" s="0" t="n">
        <v>2018</v>
      </c>
      <c r="E16" s="59" t="n">
        <v>36743040</v>
      </c>
      <c r="F16" s="60" t="n">
        <v>1.17</v>
      </c>
      <c r="G16" s="61" t="n">
        <v>0.12</v>
      </c>
      <c r="H16" s="61" t="n">
        <v>0</v>
      </c>
      <c r="I16" s="61" t="n">
        <v>0.08</v>
      </c>
      <c r="J16" s="61" t="n">
        <v>0</v>
      </c>
      <c r="K16" s="61" t="n">
        <v>0.93</v>
      </c>
      <c r="L16" s="61" t="n">
        <v>0.04</v>
      </c>
      <c r="M16" s="61" t="n">
        <v>0</v>
      </c>
      <c r="N16" s="61" t="n">
        <v>0</v>
      </c>
      <c r="O16" s="61" t="n">
        <v>0</v>
      </c>
      <c r="P16" s="62" t="n">
        <v>153.8</v>
      </c>
      <c r="Q16" s="0" t="n">
        <v>0</v>
      </c>
      <c r="R16" s="60" t="n">
        <f aca="false">G16+H16+I16</f>
        <v>0.2</v>
      </c>
      <c r="S16" s="60" t="n">
        <f aca="false">K16+L16+M16+N16+O16</f>
        <v>0.97</v>
      </c>
      <c r="T16" s="60" t="n">
        <f aca="false">L16+M16</f>
        <v>0.04</v>
      </c>
      <c r="U16" s="60" t="n">
        <f aca="false">S16+J16</f>
        <v>0.97</v>
      </c>
      <c r="V16" s="63" t="n">
        <f aca="false">IFERROR(S16/F16,0)</f>
        <v>0.829059829059829</v>
      </c>
      <c r="W16" s="63" t="n">
        <f aca="false">IFERROR(R16/F16,0)</f>
        <v>0.170940170940171</v>
      </c>
      <c r="X16" s="63" t="n">
        <f aca="false">IFERROR(T16/F16,0)</f>
        <v>0.0341880341880342</v>
      </c>
      <c r="Y16" s="63" t="n">
        <f aca="false">IFERROR(G16/F16,0)</f>
        <v>0.102564102564103</v>
      </c>
      <c r="Z16" s="59" t="n">
        <f aca="false">IF(E16&gt;0,F16*1000000000/E16,"")</f>
        <v>31.8427653237185</v>
      </c>
      <c r="AA16" s="63" t="n">
        <f aca="false">IFERROR((R16+S16+J16)/F16,0)</f>
        <v>1</v>
      </c>
      <c r="AB16" s="0" t="str">
        <f aca="false">A16&amp;"|"&amp;D16</f>
        <v>Afghanistan|2018</v>
      </c>
    </row>
    <row r="17" customFormat="false" ht="15" hidden="false" customHeight="false" outlineLevel="0" collapsed="false">
      <c r="A17" s="0" t="s">
        <v>181</v>
      </c>
      <c r="B17" s="0" t="s">
        <v>419</v>
      </c>
      <c r="C17" s="0" t="s">
        <v>127</v>
      </c>
      <c r="D17" s="0" t="n">
        <v>2019</v>
      </c>
      <c r="E17" s="59" t="n">
        <v>37856125</v>
      </c>
      <c r="F17" s="60" t="n">
        <v>1.46</v>
      </c>
      <c r="G17" s="61" t="n">
        <v>0.08</v>
      </c>
      <c r="H17" s="61" t="n">
        <v>0</v>
      </c>
      <c r="I17" s="61" t="n">
        <v>0.1</v>
      </c>
      <c r="J17" s="61" t="n">
        <v>0</v>
      </c>
      <c r="K17" s="61" t="n">
        <v>1.22</v>
      </c>
      <c r="L17" s="61" t="n">
        <v>0.06</v>
      </c>
      <c r="M17" s="61" t="n">
        <v>0</v>
      </c>
      <c r="N17" s="61" t="n">
        <v>0</v>
      </c>
      <c r="O17" s="61" t="n">
        <v>0</v>
      </c>
      <c r="P17" s="62" t="n">
        <v>116.4</v>
      </c>
      <c r="Q17" s="0" t="n">
        <v>0</v>
      </c>
      <c r="R17" s="60" t="n">
        <f aca="false">G17+H17+I17</f>
        <v>0.18</v>
      </c>
      <c r="S17" s="60" t="n">
        <f aca="false">K17+L17+M17+N17+O17</f>
        <v>1.28</v>
      </c>
      <c r="T17" s="60" t="n">
        <f aca="false">L17+M17</f>
        <v>0.06</v>
      </c>
      <c r="U17" s="60" t="n">
        <f aca="false">S17+J17</f>
        <v>1.28</v>
      </c>
      <c r="V17" s="63" t="n">
        <f aca="false">IFERROR(S17/F17,0)</f>
        <v>0.876712328767123</v>
      </c>
      <c r="W17" s="63" t="n">
        <f aca="false">IFERROR(R17/F17,0)</f>
        <v>0.123287671232877</v>
      </c>
      <c r="X17" s="63" t="n">
        <f aca="false">IFERROR(T17/F17,0)</f>
        <v>0.0410958904109589</v>
      </c>
      <c r="Y17" s="63" t="n">
        <f aca="false">IFERROR(G17/F17,0)</f>
        <v>0.0547945205479452</v>
      </c>
      <c r="Z17" s="59" t="n">
        <f aca="false">IF(E17&gt;0,F17*1000000000/E17,"")</f>
        <v>38.5670746807815</v>
      </c>
      <c r="AA17" s="63" t="n">
        <f aca="false">IFERROR((R17+S17+J17)/F17,0)</f>
        <v>1</v>
      </c>
      <c r="AB17" s="0" t="str">
        <f aca="false">A17&amp;"|"&amp;D17</f>
        <v>Afghanistan|2019</v>
      </c>
    </row>
    <row r="18" customFormat="false" ht="15" hidden="false" customHeight="false" outlineLevel="0" collapsed="false">
      <c r="A18" s="0" t="s">
        <v>181</v>
      </c>
      <c r="B18" s="0" t="s">
        <v>419</v>
      </c>
      <c r="C18" s="0" t="s">
        <v>127</v>
      </c>
      <c r="D18" s="0" t="n">
        <v>2020</v>
      </c>
      <c r="E18" s="59" t="n">
        <v>39068977</v>
      </c>
      <c r="F18" s="60" t="n">
        <v>1.18</v>
      </c>
      <c r="G18" s="61" t="n">
        <v>0.02</v>
      </c>
      <c r="H18" s="61" t="n">
        <v>0</v>
      </c>
      <c r="I18" s="61" t="n">
        <v>0.1</v>
      </c>
      <c r="J18" s="61" t="n">
        <v>0</v>
      </c>
      <c r="K18" s="61" t="n">
        <v>0.99</v>
      </c>
      <c r="L18" s="61" t="n">
        <v>0.07</v>
      </c>
      <c r="M18" s="61" t="n">
        <v>0</v>
      </c>
      <c r="N18" s="61" t="n">
        <v>0</v>
      </c>
      <c r="O18" s="61" t="n">
        <v>0</v>
      </c>
      <c r="P18" s="62" t="n">
        <v>93.2</v>
      </c>
      <c r="Q18" s="0" t="n">
        <v>0</v>
      </c>
      <c r="R18" s="60" t="n">
        <f aca="false">G18+H18+I18</f>
        <v>0.12</v>
      </c>
      <c r="S18" s="60" t="n">
        <f aca="false">K18+L18+M18+N18+O18</f>
        <v>1.06</v>
      </c>
      <c r="T18" s="60" t="n">
        <f aca="false">L18+M18</f>
        <v>0.07</v>
      </c>
      <c r="U18" s="60" t="n">
        <f aca="false">S18+J18</f>
        <v>1.06</v>
      </c>
      <c r="V18" s="63" t="n">
        <f aca="false">IFERROR(S18/F18,0)</f>
        <v>0.898305084745763</v>
      </c>
      <c r="W18" s="63" t="n">
        <f aca="false">IFERROR(R18/F18,0)</f>
        <v>0.101694915254237</v>
      </c>
      <c r="X18" s="63" t="n">
        <f aca="false">IFERROR(T18/F18,0)</f>
        <v>0.0593220338983051</v>
      </c>
      <c r="Y18" s="63" t="n">
        <f aca="false">IFERROR(G18/F18,0)</f>
        <v>0.0169491525423729</v>
      </c>
      <c r="Z18" s="59" t="n">
        <f aca="false">IF(E18&gt;0,F18*1000000000/E18,"")</f>
        <v>30.202992005652</v>
      </c>
      <c r="AA18" s="63" t="n">
        <f aca="false">IFERROR((R18+S18+J18)/F18,0)</f>
        <v>1</v>
      </c>
      <c r="AB18" s="0" t="str">
        <f aca="false">A18&amp;"|"&amp;D18</f>
        <v>Afghanistan|2020</v>
      </c>
    </row>
    <row r="19" customFormat="false" ht="15" hidden="false" customHeight="false" outlineLevel="0" collapsed="false">
      <c r="A19" s="0" t="s">
        <v>181</v>
      </c>
      <c r="B19" s="0" t="s">
        <v>419</v>
      </c>
      <c r="C19" s="0" t="s">
        <v>127</v>
      </c>
      <c r="D19" s="0" t="n">
        <v>2021</v>
      </c>
      <c r="E19" s="59" t="n">
        <v>40000410</v>
      </c>
      <c r="F19" s="60" t="n">
        <v>1.06</v>
      </c>
      <c r="G19" s="61" t="n">
        <v>0.03</v>
      </c>
      <c r="H19" s="61" t="n">
        <v>0</v>
      </c>
      <c r="I19" s="61" t="n">
        <v>0.1</v>
      </c>
      <c r="J19" s="61" t="n">
        <v>0</v>
      </c>
      <c r="K19" s="61" t="n">
        <v>0.85</v>
      </c>
      <c r="L19" s="61" t="n">
        <v>0.08</v>
      </c>
      <c r="M19" s="61" t="n">
        <v>0</v>
      </c>
      <c r="N19" s="61" t="n">
        <v>0</v>
      </c>
      <c r="O19" s="61" t="n">
        <v>0</v>
      </c>
      <c r="P19" s="62" t="n">
        <v>113.2</v>
      </c>
      <c r="Q19" s="0" t="n">
        <v>0</v>
      </c>
      <c r="R19" s="60" t="n">
        <f aca="false">G19+H19+I19</f>
        <v>0.13</v>
      </c>
      <c r="S19" s="60" t="n">
        <f aca="false">K19+L19+M19+N19+O19</f>
        <v>0.93</v>
      </c>
      <c r="T19" s="60" t="n">
        <f aca="false">L19+M19</f>
        <v>0.08</v>
      </c>
      <c r="U19" s="60" t="n">
        <f aca="false">S19+J19</f>
        <v>0.93</v>
      </c>
      <c r="V19" s="63" t="n">
        <f aca="false">IFERROR(S19/F19,0)</f>
        <v>0.877358490566038</v>
      </c>
      <c r="W19" s="63" t="n">
        <f aca="false">IFERROR(R19/F19,0)</f>
        <v>0.122641509433962</v>
      </c>
      <c r="X19" s="63" t="n">
        <f aca="false">IFERROR(T19/F19,0)</f>
        <v>0.0754716981132075</v>
      </c>
      <c r="Y19" s="63" t="n">
        <f aca="false">IFERROR(G19/F19,0)</f>
        <v>0.0283018867924528</v>
      </c>
      <c r="Z19" s="59" t="n">
        <f aca="false">IF(E19&gt;0,F19*1000000000/E19,"")</f>
        <v>26.4997283777841</v>
      </c>
      <c r="AA19" s="63" t="n">
        <f aca="false">IFERROR((R19+S19+J19)/F19,0)</f>
        <v>1</v>
      </c>
      <c r="AB19" s="0" t="str">
        <f aca="false">A19&amp;"|"&amp;D19</f>
        <v>Afghanistan|2021</v>
      </c>
    </row>
    <row r="20" customFormat="false" ht="15" hidden="false" customHeight="false" outlineLevel="0" collapsed="false">
      <c r="A20" s="0" t="s">
        <v>181</v>
      </c>
      <c r="B20" s="0" t="s">
        <v>419</v>
      </c>
      <c r="C20" s="0" t="s">
        <v>127</v>
      </c>
      <c r="D20" s="0" t="n">
        <v>2022</v>
      </c>
      <c r="E20" s="59" t="n">
        <v>40578847</v>
      </c>
      <c r="F20" s="60" t="n">
        <v>0.96</v>
      </c>
      <c r="G20" s="61" t="n">
        <v>0.03</v>
      </c>
      <c r="H20" s="61" t="n">
        <v>0</v>
      </c>
      <c r="I20" s="61" t="n">
        <v>0.1</v>
      </c>
      <c r="J20" s="61" t="n">
        <v>0</v>
      </c>
      <c r="K20" s="61" t="n">
        <v>0.74</v>
      </c>
      <c r="L20" s="61" t="n">
        <v>0.09</v>
      </c>
      <c r="M20" s="61" t="n">
        <v>0</v>
      </c>
      <c r="N20" s="61" t="n">
        <v>0</v>
      </c>
      <c r="O20" s="61" t="n">
        <v>0</v>
      </c>
      <c r="P20" s="62" t="n">
        <v>125</v>
      </c>
      <c r="Q20" s="0" t="n">
        <v>0</v>
      </c>
      <c r="R20" s="60" t="n">
        <f aca="false">G20+H20+I20</f>
        <v>0.13</v>
      </c>
      <c r="S20" s="60" t="n">
        <f aca="false">K20+L20+M20+N20+O20</f>
        <v>0.83</v>
      </c>
      <c r="T20" s="60" t="n">
        <f aca="false">L20+M20</f>
        <v>0.09</v>
      </c>
      <c r="U20" s="60" t="n">
        <f aca="false">S20+J20</f>
        <v>0.83</v>
      </c>
      <c r="V20" s="63" t="n">
        <f aca="false">IFERROR(S20/F20,0)</f>
        <v>0.864583333333333</v>
      </c>
      <c r="W20" s="63" t="n">
        <f aca="false">IFERROR(R20/F20,0)</f>
        <v>0.135416666666667</v>
      </c>
      <c r="X20" s="63" t="n">
        <f aca="false">IFERROR(T20/F20,0)</f>
        <v>0.09375</v>
      </c>
      <c r="Y20" s="63" t="n">
        <f aca="false">IFERROR(G20/F20,0)</f>
        <v>0.03125</v>
      </c>
      <c r="Z20" s="59" t="n">
        <f aca="false">IF(E20&gt;0,F20*1000000000/E20,"")</f>
        <v>23.6576460637238</v>
      </c>
      <c r="AA20" s="63" t="n">
        <f aca="false">IFERROR((R20+S20+J20)/F20,0)</f>
        <v>1</v>
      </c>
      <c r="AB20" s="0" t="str">
        <f aca="false">A20&amp;"|"&amp;D20</f>
        <v>Afghanistan|2022</v>
      </c>
    </row>
    <row r="21" customFormat="false" ht="15" hidden="false" customHeight="false" outlineLevel="0" collapsed="false">
      <c r="A21" s="0" t="s">
        <v>181</v>
      </c>
      <c r="B21" s="0" t="s">
        <v>419</v>
      </c>
      <c r="C21" s="0" t="s">
        <v>127</v>
      </c>
      <c r="D21" s="0" t="n">
        <v>2023</v>
      </c>
      <c r="E21" s="59" t="n">
        <v>41454762</v>
      </c>
      <c r="F21" s="60" t="n">
        <v>0.97</v>
      </c>
      <c r="G21" s="61" t="n">
        <v>0.03</v>
      </c>
      <c r="H21" s="61" t="n">
        <v>0</v>
      </c>
      <c r="I21" s="61" t="n">
        <v>0.1</v>
      </c>
      <c r="J21" s="61" t="n">
        <v>0</v>
      </c>
      <c r="K21" s="61" t="n">
        <v>0.75</v>
      </c>
      <c r="L21" s="61" t="n">
        <v>0.09</v>
      </c>
      <c r="M21" s="61" t="n">
        <v>0</v>
      </c>
      <c r="N21" s="61" t="n">
        <v>0</v>
      </c>
      <c r="O21" s="61" t="n">
        <v>0</v>
      </c>
      <c r="P21" s="62" t="n">
        <v>123.7</v>
      </c>
      <c r="Q21" s="0" t="n">
        <v>0</v>
      </c>
      <c r="R21" s="60" t="n">
        <f aca="false">G21+H21+I21</f>
        <v>0.13</v>
      </c>
      <c r="S21" s="60" t="n">
        <f aca="false">K21+L21+M21+N21+O21</f>
        <v>0.84</v>
      </c>
      <c r="T21" s="60" t="n">
        <f aca="false">L21+M21</f>
        <v>0.09</v>
      </c>
      <c r="U21" s="60" t="n">
        <f aca="false">S21+J21</f>
        <v>0.84</v>
      </c>
      <c r="V21" s="63" t="n">
        <f aca="false">IFERROR(S21/F21,0)</f>
        <v>0.865979381443299</v>
      </c>
      <c r="W21" s="63" t="n">
        <f aca="false">IFERROR(R21/F21,0)</f>
        <v>0.134020618556701</v>
      </c>
      <c r="X21" s="63" t="n">
        <f aca="false">IFERROR(T21/F21,0)</f>
        <v>0.0927835051546392</v>
      </c>
      <c r="Y21" s="63" t="n">
        <f aca="false">IFERROR(G21/F21,0)</f>
        <v>0.0309278350515464</v>
      </c>
      <c r="Z21" s="59" t="n">
        <f aca="false">IF(E21&gt;0,F21*1000000000/E21,"")</f>
        <v>23.3990005780277</v>
      </c>
      <c r="AA21" s="63" t="n">
        <f aca="false">IFERROR((R21+S21+J21)/F21,0)</f>
        <v>1</v>
      </c>
      <c r="AB21" s="0" t="str">
        <f aca="false">A21&amp;"|"&amp;D21</f>
        <v>Afghanistan|2023</v>
      </c>
    </row>
    <row r="22" customFormat="false" ht="15" hidden="false" customHeight="false" outlineLevel="0" collapsed="false">
      <c r="A22" s="0" t="s">
        <v>181</v>
      </c>
      <c r="B22" s="0" t="s">
        <v>419</v>
      </c>
      <c r="C22" s="0" t="s">
        <v>127</v>
      </c>
      <c r="D22" s="0" t="n">
        <v>2024</v>
      </c>
      <c r="E22" s="59" t="n">
        <v>42647502</v>
      </c>
      <c r="F22" s="60" t="n">
        <v>0.99</v>
      </c>
      <c r="G22" s="61" t="n">
        <v>0.03</v>
      </c>
      <c r="H22" s="61" t="n">
        <v>0</v>
      </c>
      <c r="I22" s="61" t="n">
        <v>0.1</v>
      </c>
      <c r="J22" s="61" t="n">
        <v>0</v>
      </c>
      <c r="K22" s="61" t="n">
        <v>0.75</v>
      </c>
      <c r="L22" s="61" t="n">
        <v>0.11</v>
      </c>
      <c r="M22" s="61" t="n">
        <v>0</v>
      </c>
      <c r="N22" s="61" t="n">
        <v>0</v>
      </c>
      <c r="O22" s="61" t="n">
        <v>0</v>
      </c>
      <c r="P22" s="62" t="n">
        <v>131.3</v>
      </c>
      <c r="Q22" s="0" t="n">
        <v>0</v>
      </c>
      <c r="R22" s="60" t="n">
        <f aca="false">G22+H22+I22</f>
        <v>0.13</v>
      </c>
      <c r="S22" s="60" t="n">
        <f aca="false">K22+L22+M22+N22+O22</f>
        <v>0.86</v>
      </c>
      <c r="T22" s="60" t="n">
        <f aca="false">L22+M22</f>
        <v>0.11</v>
      </c>
      <c r="U22" s="60" t="n">
        <f aca="false">S22+J22</f>
        <v>0.86</v>
      </c>
      <c r="V22" s="63" t="n">
        <f aca="false">IFERROR(S22/F22,0)</f>
        <v>0.868686868686869</v>
      </c>
      <c r="W22" s="63" t="n">
        <f aca="false">IFERROR(R22/F22,0)</f>
        <v>0.131313131313131</v>
      </c>
      <c r="X22" s="63" t="n">
        <f aca="false">IFERROR(T22/F22,0)</f>
        <v>0.111111111111111</v>
      </c>
      <c r="Y22" s="63" t="n">
        <f aca="false">IFERROR(G22/F22,0)</f>
        <v>0.0303030303030303</v>
      </c>
      <c r="Z22" s="59" t="n">
        <f aca="false">IF(E22&gt;0,F22*1000000000/E22,"")</f>
        <v>23.2135518746209</v>
      </c>
      <c r="AA22" s="63" t="n">
        <f aca="false">IFERROR((R22+S22+J22)/F22,0)</f>
        <v>1</v>
      </c>
      <c r="AB22" s="0" t="str">
        <f aca="false">A22&amp;"|"&amp;D22</f>
        <v>Afghanistan|2024</v>
      </c>
    </row>
    <row r="23" customFormat="false" ht="15" hidden="false" customHeight="false" outlineLevel="0" collapsed="false">
      <c r="A23" s="0" t="s">
        <v>182</v>
      </c>
      <c r="B23" s="0" t="s">
        <v>420</v>
      </c>
      <c r="C23" s="0" t="s">
        <v>127</v>
      </c>
      <c r="D23" s="0" t="n">
        <v>2015</v>
      </c>
      <c r="E23" s="59" t="n">
        <v>2898634</v>
      </c>
      <c r="F23" s="60" t="n">
        <v>5.89</v>
      </c>
      <c r="G23" s="61" t="n">
        <v>0</v>
      </c>
      <c r="H23" s="61" t="n">
        <v>0</v>
      </c>
      <c r="I23" s="61" t="n">
        <v>0</v>
      </c>
      <c r="J23" s="61" t="n">
        <v>0</v>
      </c>
      <c r="K23" s="61" t="n">
        <v>5.89</v>
      </c>
      <c r="L23" s="61" t="n">
        <v>0</v>
      </c>
      <c r="M23" s="61" t="n">
        <v>0</v>
      </c>
      <c r="N23" s="61" t="n">
        <v>0</v>
      </c>
      <c r="O23" s="61" t="n">
        <v>0</v>
      </c>
      <c r="P23" s="62" t="n">
        <v>23.8</v>
      </c>
      <c r="Q23" s="0" t="n">
        <v>0</v>
      </c>
      <c r="R23" s="60" t="n">
        <f aca="false">G23+H23+I23</f>
        <v>0</v>
      </c>
      <c r="S23" s="60" t="n">
        <f aca="false">K23+L23+M23+N23+O23</f>
        <v>5.89</v>
      </c>
      <c r="T23" s="60" t="n">
        <f aca="false">L23+M23</f>
        <v>0</v>
      </c>
      <c r="U23" s="60" t="n">
        <f aca="false">S23+J23</f>
        <v>5.89</v>
      </c>
      <c r="V23" s="63" t="n">
        <f aca="false">IFERROR(S23/F23,0)</f>
        <v>1</v>
      </c>
      <c r="W23" s="63" t="n">
        <f aca="false">IFERROR(R23/F23,0)</f>
        <v>0</v>
      </c>
      <c r="X23" s="63" t="n">
        <f aca="false">IFERROR(T23/F23,0)</f>
        <v>0</v>
      </c>
      <c r="Y23" s="63" t="n">
        <f aca="false">IFERROR(G23/F23,0)</f>
        <v>0</v>
      </c>
      <c r="Z23" s="59" t="n">
        <f aca="false">IF(E23&gt;0,F23*1000000000/E23,"")</f>
        <v>2031.99162088073</v>
      </c>
      <c r="AA23" s="63" t="n">
        <f aca="false">IFERROR((R23+S23+J23)/F23,0)</f>
        <v>1</v>
      </c>
      <c r="AB23" s="0" t="str">
        <f aca="false">A23&amp;"|"&amp;D23</f>
        <v>Albania|2015</v>
      </c>
    </row>
    <row r="24" customFormat="false" ht="15" hidden="false" customHeight="false" outlineLevel="0" collapsed="false">
      <c r="A24" s="0" t="s">
        <v>182</v>
      </c>
      <c r="B24" s="0" t="s">
        <v>420</v>
      </c>
      <c r="C24" s="0" t="s">
        <v>127</v>
      </c>
      <c r="D24" s="0" t="n">
        <v>2016</v>
      </c>
      <c r="E24" s="59" t="n">
        <v>2897868</v>
      </c>
      <c r="F24" s="60" t="n">
        <v>7.78</v>
      </c>
      <c r="G24" s="61" t="n">
        <v>0</v>
      </c>
      <c r="H24" s="61" t="n">
        <v>0</v>
      </c>
      <c r="I24" s="61" t="n">
        <v>0</v>
      </c>
      <c r="J24" s="61" t="n">
        <v>0</v>
      </c>
      <c r="K24" s="61" t="n">
        <v>7.78</v>
      </c>
      <c r="L24" s="61" t="n">
        <v>0</v>
      </c>
      <c r="M24" s="61" t="n">
        <v>0</v>
      </c>
      <c r="N24" s="61" t="n">
        <v>0</v>
      </c>
      <c r="O24" s="61" t="n">
        <v>0</v>
      </c>
      <c r="P24" s="62" t="n">
        <v>23.1</v>
      </c>
      <c r="Q24" s="0" t="n">
        <v>0</v>
      </c>
      <c r="R24" s="60" t="n">
        <f aca="false">G24+H24+I24</f>
        <v>0</v>
      </c>
      <c r="S24" s="60" t="n">
        <f aca="false">K24+L24+M24+N24+O24</f>
        <v>7.78</v>
      </c>
      <c r="T24" s="60" t="n">
        <f aca="false">L24+M24</f>
        <v>0</v>
      </c>
      <c r="U24" s="60" t="n">
        <f aca="false">S24+J24</f>
        <v>7.78</v>
      </c>
      <c r="V24" s="63" t="n">
        <f aca="false">IFERROR(S24/F24,0)</f>
        <v>1</v>
      </c>
      <c r="W24" s="63" t="n">
        <f aca="false">IFERROR(R24/F24,0)</f>
        <v>0</v>
      </c>
      <c r="X24" s="63" t="n">
        <f aca="false">IFERROR(T24/F24,0)</f>
        <v>0</v>
      </c>
      <c r="Y24" s="63" t="n">
        <f aca="false">IFERROR(G24/F24,0)</f>
        <v>0</v>
      </c>
      <c r="Z24" s="59" t="n">
        <f aca="false">IF(E24&gt;0,F24*1000000000/E24,"")</f>
        <v>2684.73236186051</v>
      </c>
      <c r="AA24" s="63" t="n">
        <f aca="false">IFERROR((R24+S24+J24)/F24,0)</f>
        <v>1</v>
      </c>
      <c r="AB24" s="0" t="str">
        <f aca="false">A24&amp;"|"&amp;D24</f>
        <v>Albania|2016</v>
      </c>
    </row>
    <row r="25" customFormat="false" ht="15" hidden="false" customHeight="false" outlineLevel="0" collapsed="false">
      <c r="A25" s="0" t="s">
        <v>182</v>
      </c>
      <c r="B25" s="0" t="s">
        <v>420</v>
      </c>
      <c r="C25" s="0" t="s">
        <v>127</v>
      </c>
      <c r="D25" s="0" t="n">
        <v>2017</v>
      </c>
      <c r="E25" s="59" t="n">
        <v>2898245</v>
      </c>
      <c r="F25" s="60" t="n">
        <v>4.53</v>
      </c>
      <c r="G25" s="61" t="n">
        <v>0</v>
      </c>
      <c r="H25" s="61" t="n">
        <v>0</v>
      </c>
      <c r="I25" s="61" t="n">
        <v>0</v>
      </c>
      <c r="J25" s="61" t="n">
        <v>0</v>
      </c>
      <c r="K25" s="61" t="n">
        <v>4.53</v>
      </c>
      <c r="L25" s="61" t="n">
        <v>0</v>
      </c>
      <c r="M25" s="61" t="n">
        <v>0</v>
      </c>
      <c r="N25" s="61" t="n">
        <v>0</v>
      </c>
      <c r="O25" s="61" t="n">
        <v>0</v>
      </c>
      <c r="P25" s="62" t="n">
        <v>24.3</v>
      </c>
      <c r="Q25" s="0" t="n">
        <v>0</v>
      </c>
      <c r="R25" s="60" t="n">
        <f aca="false">G25+H25+I25</f>
        <v>0</v>
      </c>
      <c r="S25" s="60" t="n">
        <f aca="false">K25+L25+M25+N25+O25</f>
        <v>4.53</v>
      </c>
      <c r="T25" s="60" t="n">
        <f aca="false">L25+M25</f>
        <v>0</v>
      </c>
      <c r="U25" s="60" t="n">
        <f aca="false">S25+J25</f>
        <v>4.53</v>
      </c>
      <c r="V25" s="63" t="n">
        <f aca="false">IFERROR(S25/F25,0)</f>
        <v>1</v>
      </c>
      <c r="W25" s="63" t="n">
        <f aca="false">IFERROR(R25/F25,0)</f>
        <v>0</v>
      </c>
      <c r="X25" s="63" t="n">
        <f aca="false">IFERROR(T25/F25,0)</f>
        <v>0</v>
      </c>
      <c r="Y25" s="63" t="n">
        <f aca="false">IFERROR(G25/F25,0)</f>
        <v>0</v>
      </c>
      <c r="Z25" s="59" t="n">
        <f aca="false">IF(E25&gt;0,F25*1000000000/E25,"")</f>
        <v>1563.01485899225</v>
      </c>
      <c r="AA25" s="63" t="n">
        <f aca="false">IFERROR((R25+S25+J25)/F25,0)</f>
        <v>1</v>
      </c>
      <c r="AB25" s="0" t="str">
        <f aca="false">A25&amp;"|"&amp;D25</f>
        <v>Albania|2017</v>
      </c>
    </row>
    <row r="26" customFormat="false" ht="15" hidden="false" customHeight="false" outlineLevel="0" collapsed="false">
      <c r="A26" s="0" t="s">
        <v>182</v>
      </c>
      <c r="B26" s="0" t="s">
        <v>420</v>
      </c>
      <c r="C26" s="0" t="s">
        <v>127</v>
      </c>
      <c r="D26" s="0" t="n">
        <v>2018</v>
      </c>
      <c r="E26" s="59" t="n">
        <v>2894229</v>
      </c>
      <c r="F26" s="60" t="n">
        <v>8.55</v>
      </c>
      <c r="G26" s="61" t="n">
        <v>0</v>
      </c>
      <c r="H26" s="61" t="n">
        <v>0</v>
      </c>
      <c r="I26" s="61" t="n">
        <v>0</v>
      </c>
      <c r="J26" s="61" t="n">
        <v>0</v>
      </c>
      <c r="K26" s="61" t="n">
        <v>8.55</v>
      </c>
      <c r="L26" s="61" t="n">
        <v>0</v>
      </c>
      <c r="M26" s="61" t="n">
        <v>0</v>
      </c>
      <c r="N26" s="61" t="n">
        <v>0</v>
      </c>
      <c r="O26" s="61" t="n">
        <v>0</v>
      </c>
      <c r="P26" s="62" t="n">
        <v>23.4</v>
      </c>
      <c r="Q26" s="0" t="n">
        <v>0</v>
      </c>
      <c r="R26" s="60" t="n">
        <f aca="false">G26+H26+I26</f>
        <v>0</v>
      </c>
      <c r="S26" s="60" t="n">
        <f aca="false">K26+L26+M26+N26+O26</f>
        <v>8.55</v>
      </c>
      <c r="T26" s="60" t="n">
        <f aca="false">L26+M26</f>
        <v>0</v>
      </c>
      <c r="U26" s="60" t="n">
        <f aca="false">S26+J26</f>
        <v>8.55</v>
      </c>
      <c r="V26" s="63" t="n">
        <f aca="false">IFERROR(S26/F26,0)</f>
        <v>1</v>
      </c>
      <c r="W26" s="63" t="n">
        <f aca="false">IFERROR(R26/F26,0)</f>
        <v>0</v>
      </c>
      <c r="X26" s="63" t="n">
        <f aca="false">IFERROR(T26/F26,0)</f>
        <v>0</v>
      </c>
      <c r="Y26" s="63" t="n">
        <f aca="false">IFERROR(G26/F26,0)</f>
        <v>0</v>
      </c>
      <c r="Z26" s="59" t="n">
        <f aca="false">IF(E26&gt;0,F26*1000000000/E26,"")</f>
        <v>2954.15462978223</v>
      </c>
      <c r="AA26" s="63" t="n">
        <f aca="false">IFERROR((R26+S26+J26)/F26,0)</f>
        <v>1</v>
      </c>
      <c r="AB26" s="0" t="str">
        <f aca="false">A26&amp;"|"&amp;D26</f>
        <v>Albania|2018</v>
      </c>
    </row>
    <row r="27" customFormat="false" ht="15" hidden="false" customHeight="false" outlineLevel="0" collapsed="false">
      <c r="A27" s="0" t="s">
        <v>182</v>
      </c>
      <c r="B27" s="0" t="s">
        <v>420</v>
      </c>
      <c r="C27" s="0" t="s">
        <v>127</v>
      </c>
      <c r="D27" s="0" t="n">
        <v>2019</v>
      </c>
      <c r="E27" s="59" t="n">
        <v>2885011</v>
      </c>
      <c r="F27" s="60" t="n">
        <v>5.2</v>
      </c>
      <c r="G27" s="61" t="n">
        <v>0</v>
      </c>
      <c r="H27" s="61" t="n">
        <v>0</v>
      </c>
      <c r="I27" s="61" t="n">
        <v>0</v>
      </c>
      <c r="J27" s="61" t="n">
        <v>0</v>
      </c>
      <c r="K27" s="61" t="n">
        <v>5.18</v>
      </c>
      <c r="L27" s="61" t="n">
        <v>0.02</v>
      </c>
      <c r="M27" s="61" t="n">
        <v>0</v>
      </c>
      <c r="N27" s="61" t="n">
        <v>0</v>
      </c>
      <c r="O27" s="61" t="n">
        <v>0</v>
      </c>
      <c r="P27" s="62" t="n">
        <v>23.1</v>
      </c>
      <c r="Q27" s="0" t="n">
        <v>0</v>
      </c>
      <c r="R27" s="60" t="n">
        <f aca="false">G27+H27+I27</f>
        <v>0</v>
      </c>
      <c r="S27" s="60" t="n">
        <f aca="false">K27+L27+M27+N27+O27</f>
        <v>5.2</v>
      </c>
      <c r="T27" s="60" t="n">
        <f aca="false">L27+M27</f>
        <v>0.02</v>
      </c>
      <c r="U27" s="60" t="n">
        <f aca="false">S27+J27</f>
        <v>5.2</v>
      </c>
      <c r="V27" s="63" t="n">
        <f aca="false">IFERROR(S27/F27,0)</f>
        <v>1</v>
      </c>
      <c r="W27" s="63" t="n">
        <f aca="false">IFERROR(R27/F27,0)</f>
        <v>0</v>
      </c>
      <c r="X27" s="63" t="n">
        <f aca="false">IFERROR(T27/F27,0)</f>
        <v>0.00384615384615385</v>
      </c>
      <c r="Y27" s="63" t="n">
        <f aca="false">IFERROR(G27/F27,0)</f>
        <v>0</v>
      </c>
      <c r="Z27" s="59" t="n">
        <f aca="false">IF(E27&gt;0,F27*1000000000/E27,"")</f>
        <v>1802.41947084431</v>
      </c>
      <c r="AA27" s="63" t="n">
        <f aca="false">IFERROR((R27+S27+J27)/F27,0)</f>
        <v>1</v>
      </c>
      <c r="AB27" s="0" t="str">
        <f aca="false">A27&amp;"|"&amp;D27</f>
        <v>Albania|2019</v>
      </c>
    </row>
    <row r="28" customFormat="false" ht="15" hidden="false" customHeight="false" outlineLevel="0" collapsed="false">
      <c r="A28" s="0" t="s">
        <v>182</v>
      </c>
      <c r="B28" s="0" t="s">
        <v>420</v>
      </c>
      <c r="C28" s="0" t="s">
        <v>127</v>
      </c>
      <c r="D28" s="0" t="n">
        <v>2020</v>
      </c>
      <c r="E28" s="59" t="n">
        <v>2871950</v>
      </c>
      <c r="F28" s="60" t="n">
        <v>5.31</v>
      </c>
      <c r="G28" s="61" t="n">
        <v>0</v>
      </c>
      <c r="H28" s="61" t="n">
        <v>0</v>
      </c>
      <c r="I28" s="61" t="n">
        <v>0</v>
      </c>
      <c r="J28" s="61" t="n">
        <v>0</v>
      </c>
      <c r="K28" s="61" t="n">
        <v>5.28</v>
      </c>
      <c r="L28" s="61" t="n">
        <v>0.03</v>
      </c>
      <c r="M28" s="61" t="n">
        <v>0</v>
      </c>
      <c r="N28" s="61" t="n">
        <v>0</v>
      </c>
      <c r="O28" s="61" t="n">
        <v>0</v>
      </c>
      <c r="P28" s="62" t="n">
        <v>24.5</v>
      </c>
      <c r="Q28" s="0" t="n">
        <v>0</v>
      </c>
      <c r="R28" s="60" t="n">
        <f aca="false">G28+H28+I28</f>
        <v>0</v>
      </c>
      <c r="S28" s="60" t="n">
        <f aca="false">K28+L28+M28+N28+O28</f>
        <v>5.31</v>
      </c>
      <c r="T28" s="60" t="n">
        <f aca="false">L28+M28</f>
        <v>0.03</v>
      </c>
      <c r="U28" s="60" t="n">
        <f aca="false">S28+J28</f>
        <v>5.31</v>
      </c>
      <c r="V28" s="63" t="n">
        <f aca="false">IFERROR(S28/F28,0)</f>
        <v>1</v>
      </c>
      <c r="W28" s="63" t="n">
        <f aca="false">IFERROR(R28/F28,0)</f>
        <v>0</v>
      </c>
      <c r="X28" s="63" t="n">
        <f aca="false">IFERROR(T28/F28,0)</f>
        <v>0.00564971751412429</v>
      </c>
      <c r="Y28" s="63" t="n">
        <f aca="false">IFERROR(G28/F28,0)</f>
        <v>0</v>
      </c>
      <c r="Z28" s="59" t="n">
        <f aca="false">IF(E28&gt;0,F28*1000000000/E28,"")</f>
        <v>1848.91798255541</v>
      </c>
      <c r="AA28" s="63" t="n">
        <f aca="false">IFERROR((R28+S28+J28)/F28,0)</f>
        <v>1</v>
      </c>
      <c r="AB28" s="0" t="str">
        <f aca="false">A28&amp;"|"&amp;D28</f>
        <v>Albania|2020</v>
      </c>
    </row>
    <row r="29" customFormat="false" ht="15" hidden="false" customHeight="false" outlineLevel="0" collapsed="false">
      <c r="A29" s="0" t="s">
        <v>182</v>
      </c>
      <c r="B29" s="0" t="s">
        <v>420</v>
      </c>
      <c r="C29" s="0" t="s">
        <v>127</v>
      </c>
      <c r="D29" s="0" t="n">
        <v>2021</v>
      </c>
      <c r="E29" s="59" t="n">
        <v>2849641</v>
      </c>
      <c r="F29" s="60" t="n">
        <v>8.94</v>
      </c>
      <c r="G29" s="61" t="n">
        <v>0</v>
      </c>
      <c r="H29" s="61" t="n">
        <v>0</v>
      </c>
      <c r="I29" s="61" t="n">
        <v>0</v>
      </c>
      <c r="J29" s="61" t="n">
        <v>0</v>
      </c>
      <c r="K29" s="61" t="n">
        <v>8.9</v>
      </c>
      <c r="L29" s="61" t="n">
        <v>0.04</v>
      </c>
      <c r="M29" s="61" t="n">
        <v>0</v>
      </c>
      <c r="N29" s="61" t="n">
        <v>0</v>
      </c>
      <c r="O29" s="61" t="n">
        <v>0</v>
      </c>
      <c r="P29" s="62" t="n">
        <v>23.5</v>
      </c>
      <c r="Q29" s="0" t="n">
        <v>0</v>
      </c>
      <c r="R29" s="60" t="n">
        <f aca="false">G29+H29+I29</f>
        <v>0</v>
      </c>
      <c r="S29" s="60" t="n">
        <f aca="false">K29+L29+M29+N29+O29</f>
        <v>8.94</v>
      </c>
      <c r="T29" s="60" t="n">
        <f aca="false">L29+M29</f>
        <v>0.04</v>
      </c>
      <c r="U29" s="60" t="n">
        <f aca="false">S29+J29</f>
        <v>8.94</v>
      </c>
      <c r="V29" s="63" t="n">
        <f aca="false">IFERROR(S29/F29,0)</f>
        <v>1</v>
      </c>
      <c r="W29" s="63" t="n">
        <f aca="false">IFERROR(R29/F29,0)</f>
        <v>0</v>
      </c>
      <c r="X29" s="63" t="n">
        <f aca="false">IFERROR(T29/F29,0)</f>
        <v>0.00447427293064877</v>
      </c>
      <c r="Y29" s="63" t="n">
        <f aca="false">IFERROR(G29/F29,0)</f>
        <v>0</v>
      </c>
      <c r="Z29" s="59" t="n">
        <f aca="false">IF(E29&gt;0,F29*1000000000/E29,"")</f>
        <v>3137.23728708283</v>
      </c>
      <c r="AA29" s="63" t="n">
        <f aca="false">IFERROR((R29+S29+J29)/F29,0)</f>
        <v>1</v>
      </c>
      <c r="AB29" s="0" t="str">
        <f aca="false">A29&amp;"|"&amp;D29</f>
        <v>Albania|2021</v>
      </c>
    </row>
    <row r="30" customFormat="false" ht="15" hidden="false" customHeight="false" outlineLevel="0" collapsed="false">
      <c r="A30" s="0" t="s">
        <v>182</v>
      </c>
      <c r="B30" s="0" t="s">
        <v>420</v>
      </c>
      <c r="C30" s="0" t="s">
        <v>127</v>
      </c>
      <c r="D30" s="0" t="n">
        <v>2022</v>
      </c>
      <c r="E30" s="59" t="n">
        <v>2827614</v>
      </c>
      <c r="F30" s="60" t="n">
        <v>6.97</v>
      </c>
      <c r="G30" s="61" t="n">
        <v>0</v>
      </c>
      <c r="H30" s="61" t="n">
        <v>0</v>
      </c>
      <c r="I30" s="61" t="n">
        <v>0</v>
      </c>
      <c r="J30" s="61" t="n">
        <v>0</v>
      </c>
      <c r="K30" s="61" t="n">
        <v>6.81</v>
      </c>
      <c r="L30" s="61" t="n">
        <v>0.16</v>
      </c>
      <c r="M30" s="61" t="n">
        <v>0</v>
      </c>
      <c r="N30" s="61" t="n">
        <v>0</v>
      </c>
      <c r="O30" s="61" t="n">
        <v>0</v>
      </c>
      <c r="P30" s="62" t="n">
        <v>24.4</v>
      </c>
      <c r="Q30" s="0" t="n">
        <v>0</v>
      </c>
      <c r="R30" s="60" t="n">
        <f aca="false">G30+H30+I30</f>
        <v>0</v>
      </c>
      <c r="S30" s="60" t="n">
        <f aca="false">K30+L30+M30+N30+O30</f>
        <v>6.97</v>
      </c>
      <c r="T30" s="60" t="n">
        <f aca="false">L30+M30</f>
        <v>0.16</v>
      </c>
      <c r="U30" s="60" t="n">
        <f aca="false">S30+J30</f>
        <v>6.97</v>
      </c>
      <c r="V30" s="63" t="n">
        <f aca="false">IFERROR(S30/F30,0)</f>
        <v>1</v>
      </c>
      <c r="W30" s="63" t="n">
        <f aca="false">IFERROR(R30/F30,0)</f>
        <v>0</v>
      </c>
      <c r="X30" s="63" t="n">
        <f aca="false">IFERROR(T30/F30,0)</f>
        <v>0.0229555236728838</v>
      </c>
      <c r="Y30" s="63" t="n">
        <f aca="false">IFERROR(G30/F30,0)</f>
        <v>0</v>
      </c>
      <c r="Z30" s="59" t="n">
        <f aca="false">IF(E30&gt;0,F30*1000000000/E30,"")</f>
        <v>2464.97577109181</v>
      </c>
      <c r="AA30" s="63" t="n">
        <f aca="false">IFERROR((R30+S30+J30)/F30,0)</f>
        <v>1</v>
      </c>
      <c r="AB30" s="0" t="str">
        <f aca="false">A30&amp;"|"&amp;D30</f>
        <v>Albania|2022</v>
      </c>
    </row>
    <row r="31" customFormat="false" ht="15" hidden="false" customHeight="false" outlineLevel="0" collapsed="false">
      <c r="A31" s="0" t="s">
        <v>182</v>
      </c>
      <c r="B31" s="0" t="s">
        <v>420</v>
      </c>
      <c r="C31" s="0" t="s">
        <v>127</v>
      </c>
      <c r="D31" s="0" t="n">
        <v>2023</v>
      </c>
      <c r="E31" s="59" t="n">
        <v>2811660</v>
      </c>
      <c r="F31" s="60" t="n">
        <v>9.01</v>
      </c>
      <c r="G31" s="61" t="n">
        <v>0</v>
      </c>
      <c r="H31" s="61" t="n">
        <v>0</v>
      </c>
      <c r="I31" s="61" t="n">
        <v>0</v>
      </c>
      <c r="J31" s="61" t="n">
        <v>0</v>
      </c>
      <c r="K31" s="61" t="n">
        <v>8.71</v>
      </c>
      <c r="L31" s="61" t="n">
        <v>0.3</v>
      </c>
      <c r="M31" s="61" t="n">
        <v>0</v>
      </c>
      <c r="N31" s="61" t="n">
        <v>0</v>
      </c>
      <c r="O31" s="61" t="n">
        <v>0</v>
      </c>
      <c r="P31" s="62" t="n">
        <v>24.4</v>
      </c>
      <c r="Q31" s="0" t="n">
        <v>0</v>
      </c>
      <c r="R31" s="60" t="n">
        <f aca="false">G31+H31+I31</f>
        <v>0</v>
      </c>
      <c r="S31" s="60" t="n">
        <f aca="false">K31+L31+M31+N31+O31</f>
        <v>9.01</v>
      </c>
      <c r="T31" s="60" t="n">
        <f aca="false">L31+M31</f>
        <v>0.3</v>
      </c>
      <c r="U31" s="60" t="n">
        <f aca="false">S31+J31</f>
        <v>9.01</v>
      </c>
      <c r="V31" s="63" t="n">
        <f aca="false">IFERROR(S31/F31,0)</f>
        <v>1</v>
      </c>
      <c r="W31" s="63" t="n">
        <f aca="false">IFERROR(R31/F31,0)</f>
        <v>0</v>
      </c>
      <c r="X31" s="63" t="n">
        <f aca="false">IFERROR(T31/F31,0)</f>
        <v>0.0332963374028857</v>
      </c>
      <c r="Y31" s="63" t="n">
        <f aca="false">IFERROR(G31/F31,0)</f>
        <v>0</v>
      </c>
      <c r="Z31" s="59" t="n">
        <f aca="false">IF(E31&gt;0,F31*1000000000/E31,"")</f>
        <v>3204.51263666304</v>
      </c>
      <c r="AA31" s="63" t="n">
        <f aca="false">IFERROR((R31+S31+J31)/F31,0)</f>
        <v>1</v>
      </c>
      <c r="AB31" s="0" t="str">
        <f aca="false">A31&amp;"|"&amp;D31</f>
        <v>Albania|2023</v>
      </c>
    </row>
    <row r="32" customFormat="false" ht="15" hidden="false" customHeight="false" outlineLevel="0" collapsed="false">
      <c r="A32" s="0" t="s">
        <v>182</v>
      </c>
      <c r="B32" s="0" t="s">
        <v>420</v>
      </c>
      <c r="C32" s="0" t="s">
        <v>127</v>
      </c>
      <c r="D32" s="0" t="n">
        <v>2024</v>
      </c>
      <c r="E32" s="59" t="n">
        <v>2791756</v>
      </c>
      <c r="F32" s="60" t="n">
        <v>8.34</v>
      </c>
      <c r="G32" s="61" t="n">
        <v>0</v>
      </c>
      <c r="H32" s="61" t="n">
        <v>0</v>
      </c>
      <c r="I32" s="61" t="n">
        <v>0</v>
      </c>
      <c r="J32" s="61" t="n">
        <v>0</v>
      </c>
      <c r="K32" s="61" t="n">
        <v>8</v>
      </c>
      <c r="L32" s="61" t="n">
        <v>0.34</v>
      </c>
      <c r="M32" s="61" t="n">
        <v>0</v>
      </c>
      <c r="N32" s="61" t="n">
        <v>0</v>
      </c>
      <c r="O32" s="61" t="n">
        <v>0</v>
      </c>
      <c r="P32" s="62" t="n">
        <v>25.2</v>
      </c>
      <c r="Q32" s="0" t="n">
        <v>0</v>
      </c>
      <c r="R32" s="60" t="n">
        <f aca="false">G32+H32+I32</f>
        <v>0</v>
      </c>
      <c r="S32" s="60" t="n">
        <f aca="false">K32+L32+M32+N32+O32</f>
        <v>8.34</v>
      </c>
      <c r="T32" s="60" t="n">
        <f aca="false">L32+M32</f>
        <v>0.34</v>
      </c>
      <c r="U32" s="60" t="n">
        <f aca="false">S32+J32</f>
        <v>8.34</v>
      </c>
      <c r="V32" s="63" t="n">
        <f aca="false">IFERROR(S32/F32,0)</f>
        <v>1</v>
      </c>
      <c r="W32" s="63" t="n">
        <f aca="false">IFERROR(R32/F32,0)</f>
        <v>0</v>
      </c>
      <c r="X32" s="63" t="n">
        <f aca="false">IFERROR(T32/F32,0)</f>
        <v>0.0407673860911271</v>
      </c>
      <c r="Y32" s="63" t="n">
        <f aca="false">IFERROR(G32/F32,0)</f>
        <v>0</v>
      </c>
      <c r="Z32" s="59" t="n">
        <f aca="false">IF(E32&gt;0,F32*1000000000/E32,"")</f>
        <v>2987.36709082026</v>
      </c>
      <c r="AA32" s="63" t="n">
        <f aca="false">IFERROR((R32+S32+J32)/F32,0)</f>
        <v>1</v>
      </c>
      <c r="AB32" s="0" t="str">
        <f aca="false">A32&amp;"|"&amp;D32</f>
        <v>Albania|2024</v>
      </c>
    </row>
    <row r="33" customFormat="false" ht="15" hidden="false" customHeight="false" outlineLevel="0" collapsed="false">
      <c r="A33" s="0" t="s">
        <v>183</v>
      </c>
      <c r="B33" s="0" t="s">
        <v>421</v>
      </c>
      <c r="C33" s="0" t="s">
        <v>127</v>
      </c>
      <c r="D33" s="0" t="n">
        <v>2015</v>
      </c>
      <c r="E33" s="59" t="n">
        <v>40019528</v>
      </c>
      <c r="F33" s="60" t="n">
        <v>68.84</v>
      </c>
      <c r="G33" s="61" t="n">
        <v>0</v>
      </c>
      <c r="H33" s="61" t="n">
        <v>67.67</v>
      </c>
      <c r="I33" s="61" t="n">
        <v>0.95</v>
      </c>
      <c r="J33" s="61" t="n">
        <v>0</v>
      </c>
      <c r="K33" s="61" t="n">
        <v>0.14</v>
      </c>
      <c r="L33" s="61" t="n">
        <v>0.06</v>
      </c>
      <c r="M33" s="61" t="n">
        <v>0.02</v>
      </c>
      <c r="N33" s="61" t="n">
        <v>0</v>
      </c>
      <c r="O33" s="61" t="n">
        <v>0</v>
      </c>
      <c r="P33" s="62" t="n">
        <v>637.4</v>
      </c>
      <c r="Q33" s="0" t="n">
        <v>0</v>
      </c>
      <c r="R33" s="60" t="n">
        <f aca="false">G33+H33+I33</f>
        <v>68.62</v>
      </c>
      <c r="S33" s="60" t="n">
        <f aca="false">K33+L33+M33+N33+O33</f>
        <v>0.22</v>
      </c>
      <c r="T33" s="60" t="n">
        <f aca="false">L33+M33</f>
        <v>0.08</v>
      </c>
      <c r="U33" s="60" t="n">
        <f aca="false">S33+J33</f>
        <v>0.22</v>
      </c>
      <c r="V33" s="63" t="n">
        <f aca="false">IFERROR(S33/F33,0)</f>
        <v>0.0031958163858222</v>
      </c>
      <c r="W33" s="63" t="n">
        <f aca="false">IFERROR(R33/F33,0)</f>
        <v>0.996804183614178</v>
      </c>
      <c r="X33" s="63" t="n">
        <f aca="false">IFERROR(T33/F33,0)</f>
        <v>0.00116211504938989</v>
      </c>
      <c r="Y33" s="63" t="n">
        <f aca="false">IFERROR(G33/F33,0)</f>
        <v>0</v>
      </c>
      <c r="Z33" s="59" t="n">
        <f aca="false">IF(E33&gt;0,F33*1000000000/E33,"")</f>
        <v>1720.16021778168</v>
      </c>
      <c r="AA33" s="63" t="n">
        <f aca="false">IFERROR((R33+S33+J33)/F33,0)</f>
        <v>1</v>
      </c>
      <c r="AB33" s="0" t="str">
        <f aca="false">A33&amp;"|"&amp;D33</f>
        <v>Algeria|2015</v>
      </c>
    </row>
    <row r="34" customFormat="false" ht="15" hidden="false" customHeight="false" outlineLevel="0" collapsed="false">
      <c r="A34" s="0" t="s">
        <v>183</v>
      </c>
      <c r="B34" s="0" t="s">
        <v>421</v>
      </c>
      <c r="C34" s="0" t="s">
        <v>127</v>
      </c>
      <c r="D34" s="0" t="n">
        <v>2016</v>
      </c>
      <c r="E34" s="59" t="n">
        <v>40850719</v>
      </c>
      <c r="F34" s="60" t="n">
        <v>71.04</v>
      </c>
      <c r="G34" s="61" t="n">
        <v>0</v>
      </c>
      <c r="H34" s="61" t="n">
        <v>69.69</v>
      </c>
      <c r="I34" s="61" t="n">
        <v>1.01</v>
      </c>
      <c r="J34" s="61" t="n">
        <v>0</v>
      </c>
      <c r="K34" s="61" t="n">
        <v>0.22</v>
      </c>
      <c r="L34" s="61" t="n">
        <v>0.09</v>
      </c>
      <c r="M34" s="61" t="n">
        <v>0.03</v>
      </c>
      <c r="N34" s="61" t="n">
        <v>0</v>
      </c>
      <c r="O34" s="61" t="n">
        <v>0</v>
      </c>
      <c r="P34" s="62" t="n">
        <v>636.4</v>
      </c>
      <c r="Q34" s="0" t="n">
        <v>0</v>
      </c>
      <c r="R34" s="60" t="n">
        <f aca="false">G34+H34+I34</f>
        <v>70.7</v>
      </c>
      <c r="S34" s="60" t="n">
        <f aca="false">K34+L34+M34+N34+O34</f>
        <v>0.34</v>
      </c>
      <c r="T34" s="60" t="n">
        <f aca="false">L34+M34</f>
        <v>0.12</v>
      </c>
      <c r="U34" s="60" t="n">
        <f aca="false">S34+J34</f>
        <v>0.34</v>
      </c>
      <c r="V34" s="63" t="n">
        <f aca="false">IFERROR(S34/F34,0)</f>
        <v>0.00478603603603604</v>
      </c>
      <c r="W34" s="63" t="n">
        <f aca="false">IFERROR(R34/F34,0)</f>
        <v>0.995213963963964</v>
      </c>
      <c r="X34" s="63" t="n">
        <f aca="false">IFERROR(T34/F34,0)</f>
        <v>0.00168918918918919</v>
      </c>
      <c r="Y34" s="63" t="n">
        <f aca="false">IFERROR(G34/F34,0)</f>
        <v>0</v>
      </c>
      <c r="Z34" s="59" t="n">
        <f aca="false">IF(E34&gt;0,F34*1000000000/E34,"")</f>
        <v>1739.01467927651</v>
      </c>
      <c r="AA34" s="63" t="n">
        <f aca="false">IFERROR((R34+S34+J34)/F34,0)</f>
        <v>1</v>
      </c>
      <c r="AB34" s="0" t="str">
        <f aca="false">A34&amp;"|"&amp;D34</f>
        <v>Algeria|2016</v>
      </c>
    </row>
    <row r="35" customFormat="false" ht="15" hidden="false" customHeight="false" outlineLevel="0" collapsed="false">
      <c r="A35" s="0" t="s">
        <v>183</v>
      </c>
      <c r="B35" s="0" t="s">
        <v>421</v>
      </c>
      <c r="C35" s="0" t="s">
        <v>127</v>
      </c>
      <c r="D35" s="0" t="n">
        <v>2017</v>
      </c>
      <c r="E35" s="59" t="n">
        <v>41689302</v>
      </c>
      <c r="F35" s="60" t="n">
        <v>76.07</v>
      </c>
      <c r="G35" s="61" t="n">
        <v>0</v>
      </c>
      <c r="H35" s="61" t="n">
        <v>75.06</v>
      </c>
      <c r="I35" s="61" t="n">
        <v>0.37</v>
      </c>
      <c r="J35" s="61" t="n">
        <v>0</v>
      </c>
      <c r="K35" s="61" t="n">
        <v>0.06</v>
      </c>
      <c r="L35" s="61" t="n">
        <v>0.57</v>
      </c>
      <c r="M35" s="61" t="n">
        <v>0.01</v>
      </c>
      <c r="N35" s="61" t="n">
        <v>0</v>
      </c>
      <c r="O35" s="61" t="n">
        <v>0</v>
      </c>
      <c r="P35" s="62" t="n">
        <v>634.1</v>
      </c>
      <c r="Q35" s="0" t="n">
        <v>0</v>
      </c>
      <c r="R35" s="60" t="n">
        <f aca="false">G35+H35+I35</f>
        <v>75.43</v>
      </c>
      <c r="S35" s="60" t="n">
        <f aca="false">K35+L35+M35+N35+O35</f>
        <v>0.64</v>
      </c>
      <c r="T35" s="60" t="n">
        <f aca="false">L35+M35</f>
        <v>0.58</v>
      </c>
      <c r="U35" s="60" t="n">
        <f aca="false">S35+J35</f>
        <v>0.64</v>
      </c>
      <c r="V35" s="63" t="n">
        <f aca="false">IFERROR(S35/F35,0)</f>
        <v>0.00841330353621664</v>
      </c>
      <c r="W35" s="63" t="n">
        <f aca="false">IFERROR(R35/F35,0)</f>
        <v>0.991586696463784</v>
      </c>
      <c r="X35" s="63" t="n">
        <f aca="false">IFERROR(T35/F35,0)</f>
        <v>0.00762455632969633</v>
      </c>
      <c r="Y35" s="63" t="n">
        <f aca="false">IFERROR(G35/F35,0)</f>
        <v>0</v>
      </c>
      <c r="Z35" s="59" t="n">
        <f aca="false">IF(E35&gt;0,F35*1000000000/E35,"")</f>
        <v>1824.68874149056</v>
      </c>
      <c r="AA35" s="63" t="n">
        <f aca="false">IFERROR((R35+S35+J35)/F35,0)</f>
        <v>1</v>
      </c>
      <c r="AB35" s="0" t="str">
        <f aca="false">A35&amp;"|"&amp;D35</f>
        <v>Algeria|2017</v>
      </c>
    </row>
    <row r="36" customFormat="false" ht="15" hidden="false" customHeight="false" outlineLevel="0" collapsed="false">
      <c r="A36" s="0" t="s">
        <v>183</v>
      </c>
      <c r="B36" s="0" t="s">
        <v>421</v>
      </c>
      <c r="C36" s="0" t="s">
        <v>127</v>
      </c>
      <c r="D36" s="0" t="n">
        <v>2018</v>
      </c>
      <c r="E36" s="59" t="n">
        <v>42505033</v>
      </c>
      <c r="F36" s="60" t="n">
        <v>76.75</v>
      </c>
      <c r="G36" s="61" t="n">
        <v>0</v>
      </c>
      <c r="H36" s="61" t="n">
        <v>75.5</v>
      </c>
      <c r="I36" s="61" t="n">
        <v>0.43</v>
      </c>
      <c r="J36" s="61" t="n">
        <v>0</v>
      </c>
      <c r="K36" s="61" t="n">
        <v>0.12</v>
      </c>
      <c r="L36" s="61" t="n">
        <v>0.69</v>
      </c>
      <c r="M36" s="61" t="n">
        <v>0.01</v>
      </c>
      <c r="N36" s="61" t="n">
        <v>0</v>
      </c>
      <c r="O36" s="61" t="n">
        <v>0</v>
      </c>
      <c r="P36" s="62" t="n">
        <v>632.7</v>
      </c>
      <c r="Q36" s="0" t="n">
        <v>0</v>
      </c>
      <c r="R36" s="60" t="n">
        <f aca="false">G36+H36+I36</f>
        <v>75.93</v>
      </c>
      <c r="S36" s="60" t="n">
        <f aca="false">K36+L36+M36+N36+O36</f>
        <v>0.82</v>
      </c>
      <c r="T36" s="60" t="n">
        <f aca="false">L36+M36</f>
        <v>0.7</v>
      </c>
      <c r="U36" s="60" t="n">
        <f aca="false">S36+J36</f>
        <v>0.82</v>
      </c>
      <c r="V36" s="63" t="n">
        <f aca="false">IFERROR(S36/F36,0)</f>
        <v>0.0106840390879479</v>
      </c>
      <c r="W36" s="63" t="n">
        <f aca="false">IFERROR(R36/F36,0)</f>
        <v>0.989315960912052</v>
      </c>
      <c r="X36" s="63" t="n">
        <f aca="false">IFERROR(T36/F36,0)</f>
        <v>0.00912052117263844</v>
      </c>
      <c r="Y36" s="63" t="n">
        <f aca="false">IFERROR(G36/F36,0)</f>
        <v>0</v>
      </c>
      <c r="Z36" s="59" t="n">
        <f aca="false">IF(E36&gt;0,F36*1000000000/E36,"")</f>
        <v>1805.66851930217</v>
      </c>
      <c r="AA36" s="63" t="n">
        <f aca="false">IFERROR((R36+S36+J36)/F36,0)</f>
        <v>1</v>
      </c>
      <c r="AB36" s="0" t="str">
        <f aca="false">A36&amp;"|"&amp;D36</f>
        <v>Algeria|2018</v>
      </c>
    </row>
    <row r="37" customFormat="false" ht="15" hidden="false" customHeight="false" outlineLevel="0" collapsed="false">
      <c r="A37" s="0" t="s">
        <v>183</v>
      </c>
      <c r="B37" s="0" t="s">
        <v>421</v>
      </c>
      <c r="C37" s="0" t="s">
        <v>127</v>
      </c>
      <c r="D37" s="0" t="n">
        <v>2019</v>
      </c>
      <c r="E37" s="59" t="n">
        <v>43294551</v>
      </c>
      <c r="F37" s="60" t="n">
        <v>81.61</v>
      </c>
      <c r="G37" s="61" t="n">
        <v>0</v>
      </c>
      <c r="H37" s="61" t="n">
        <v>80.36</v>
      </c>
      <c r="I37" s="61" t="n">
        <v>0.38</v>
      </c>
      <c r="J37" s="61" t="n">
        <v>0</v>
      </c>
      <c r="K37" s="61" t="n">
        <v>0.15</v>
      </c>
      <c r="L37" s="61" t="n">
        <v>0.71</v>
      </c>
      <c r="M37" s="61" t="n">
        <v>0.01</v>
      </c>
      <c r="N37" s="61" t="n">
        <v>0</v>
      </c>
      <c r="O37" s="61" t="n">
        <v>0</v>
      </c>
      <c r="P37" s="62" t="n">
        <v>632.8</v>
      </c>
      <c r="Q37" s="0" t="n">
        <v>0</v>
      </c>
      <c r="R37" s="60" t="n">
        <f aca="false">G37+H37+I37</f>
        <v>80.74</v>
      </c>
      <c r="S37" s="60" t="n">
        <f aca="false">K37+L37+M37+N37+O37</f>
        <v>0.87</v>
      </c>
      <c r="T37" s="60" t="n">
        <f aca="false">L37+M37</f>
        <v>0.72</v>
      </c>
      <c r="U37" s="60" t="n">
        <f aca="false">S37+J37</f>
        <v>0.87</v>
      </c>
      <c r="V37" s="63" t="n">
        <f aca="false">IFERROR(S37/F37,0)</f>
        <v>0.0106604582771719</v>
      </c>
      <c r="W37" s="63" t="n">
        <f aca="false">IFERROR(R37/F37,0)</f>
        <v>0.989339541722828</v>
      </c>
      <c r="X37" s="63" t="n">
        <f aca="false">IFERROR(T37/F37,0)</f>
        <v>0.00882244822938366</v>
      </c>
      <c r="Y37" s="63" t="n">
        <f aca="false">IFERROR(G37/F37,0)</f>
        <v>0</v>
      </c>
      <c r="Z37" s="59" t="n">
        <f aca="false">IF(E37&gt;0,F37*1000000000/E37,"")</f>
        <v>1884.99471908139</v>
      </c>
      <c r="AA37" s="63" t="n">
        <f aca="false">IFERROR((R37+S37+J37)/F37,0)</f>
        <v>1</v>
      </c>
      <c r="AB37" s="0" t="str">
        <f aca="false">A37&amp;"|"&amp;D37</f>
        <v>Algeria|2019</v>
      </c>
    </row>
    <row r="38" customFormat="false" ht="15" hidden="false" customHeight="false" outlineLevel="0" collapsed="false">
      <c r="A38" s="0" t="s">
        <v>183</v>
      </c>
      <c r="B38" s="0" t="s">
        <v>421</v>
      </c>
      <c r="C38" s="0" t="s">
        <v>127</v>
      </c>
      <c r="D38" s="0" t="n">
        <v>2020</v>
      </c>
      <c r="E38" s="59" t="n">
        <v>44042094</v>
      </c>
      <c r="F38" s="60" t="n">
        <v>79.37</v>
      </c>
      <c r="G38" s="61" t="n">
        <v>0</v>
      </c>
      <c r="H38" s="61" t="n">
        <v>78.13</v>
      </c>
      <c r="I38" s="61" t="n">
        <v>0.36</v>
      </c>
      <c r="J38" s="61" t="n">
        <v>0</v>
      </c>
      <c r="K38" s="61" t="n">
        <v>0.05</v>
      </c>
      <c r="L38" s="61" t="n">
        <v>0.82</v>
      </c>
      <c r="M38" s="61" t="n">
        <v>0.01</v>
      </c>
      <c r="N38" s="61" t="n">
        <v>0</v>
      </c>
      <c r="O38" s="61" t="n">
        <v>0</v>
      </c>
      <c r="P38" s="62" t="n">
        <v>632.6</v>
      </c>
      <c r="Q38" s="0" t="n">
        <v>0</v>
      </c>
      <c r="R38" s="60" t="n">
        <f aca="false">G38+H38+I38</f>
        <v>78.49</v>
      </c>
      <c r="S38" s="60" t="n">
        <f aca="false">K38+L38+M38+N38+O38</f>
        <v>0.88</v>
      </c>
      <c r="T38" s="60" t="n">
        <f aca="false">L38+M38</f>
        <v>0.83</v>
      </c>
      <c r="U38" s="60" t="n">
        <f aca="false">S38+J38</f>
        <v>0.88</v>
      </c>
      <c r="V38" s="63" t="n">
        <f aca="false">IFERROR(S38/F38,0)</f>
        <v>0.0110873125866196</v>
      </c>
      <c r="W38" s="63" t="n">
        <f aca="false">IFERROR(R38/F38,0)</f>
        <v>0.98891268741338</v>
      </c>
      <c r="X38" s="63" t="n">
        <f aca="false">IFERROR(T38/F38,0)</f>
        <v>0.0104573516441981</v>
      </c>
      <c r="Y38" s="63" t="n">
        <f aca="false">IFERROR(G38/F38,0)</f>
        <v>0</v>
      </c>
      <c r="Z38" s="59" t="n">
        <f aca="false">IF(E38&gt;0,F38*1000000000/E38,"")</f>
        <v>1802.13956221064</v>
      </c>
      <c r="AA38" s="63" t="n">
        <f aca="false">IFERROR((R38+S38+J38)/F38,0)</f>
        <v>1</v>
      </c>
      <c r="AB38" s="0" t="str">
        <f aca="false">A38&amp;"|"&amp;D38</f>
        <v>Algeria|2020</v>
      </c>
    </row>
    <row r="39" customFormat="false" ht="15" hidden="false" customHeight="false" outlineLevel="0" collapsed="false">
      <c r="A39" s="0" t="s">
        <v>183</v>
      </c>
      <c r="B39" s="0" t="s">
        <v>421</v>
      </c>
      <c r="C39" s="0" t="s">
        <v>127</v>
      </c>
      <c r="D39" s="0" t="n">
        <v>2021</v>
      </c>
      <c r="E39" s="59" t="n">
        <v>44761099</v>
      </c>
      <c r="F39" s="60" t="n">
        <v>85.6</v>
      </c>
      <c r="G39" s="61" t="n">
        <v>0</v>
      </c>
      <c r="H39" s="61" t="n">
        <v>84.42</v>
      </c>
      <c r="I39" s="61" t="n">
        <v>0.37</v>
      </c>
      <c r="J39" s="61" t="n">
        <v>0</v>
      </c>
      <c r="K39" s="61" t="n">
        <v>0.01</v>
      </c>
      <c r="L39" s="61" t="n">
        <v>0.79</v>
      </c>
      <c r="M39" s="61" t="n">
        <v>0.01</v>
      </c>
      <c r="N39" s="61" t="n">
        <v>0</v>
      </c>
      <c r="O39" s="61" t="n">
        <v>0</v>
      </c>
      <c r="P39" s="62" t="n">
        <v>633.5</v>
      </c>
      <c r="Q39" s="0" t="n">
        <v>0</v>
      </c>
      <c r="R39" s="60" t="n">
        <f aca="false">G39+H39+I39</f>
        <v>84.79</v>
      </c>
      <c r="S39" s="60" t="n">
        <f aca="false">K39+L39+M39+N39+O39</f>
        <v>0.81</v>
      </c>
      <c r="T39" s="60" t="n">
        <f aca="false">L39+M39</f>
        <v>0.8</v>
      </c>
      <c r="U39" s="60" t="n">
        <f aca="false">S39+J39</f>
        <v>0.81</v>
      </c>
      <c r="V39" s="63" t="n">
        <f aca="false">IFERROR(S39/F39,0)</f>
        <v>0.00946261682242991</v>
      </c>
      <c r="W39" s="63" t="n">
        <f aca="false">IFERROR(R39/F39,0)</f>
        <v>0.99053738317757</v>
      </c>
      <c r="X39" s="63" t="n">
        <f aca="false">IFERROR(T39/F39,0)</f>
        <v>0.00934579439252337</v>
      </c>
      <c r="Y39" s="63" t="n">
        <f aca="false">IFERROR(G39/F39,0)</f>
        <v>0</v>
      </c>
      <c r="Z39" s="59" t="n">
        <f aca="false">IF(E39&gt;0,F39*1000000000/E39,"")</f>
        <v>1912.37485031366</v>
      </c>
      <c r="AA39" s="63" t="n">
        <f aca="false">IFERROR((R39+S39+J39)/F39,0)</f>
        <v>1</v>
      </c>
      <c r="AB39" s="0" t="str">
        <f aca="false">A39&amp;"|"&amp;D39</f>
        <v>Algeria|2021</v>
      </c>
    </row>
    <row r="40" customFormat="false" ht="15" hidden="false" customHeight="false" outlineLevel="0" collapsed="false">
      <c r="A40" s="0" t="s">
        <v>183</v>
      </c>
      <c r="B40" s="0" t="s">
        <v>421</v>
      </c>
      <c r="C40" s="0" t="s">
        <v>127</v>
      </c>
      <c r="D40" s="0" t="n">
        <v>2022</v>
      </c>
      <c r="E40" s="59" t="n">
        <v>45477391</v>
      </c>
      <c r="F40" s="60" t="n">
        <v>91.47</v>
      </c>
      <c r="G40" s="61" t="n">
        <v>0</v>
      </c>
      <c r="H40" s="61" t="n">
        <v>90.22</v>
      </c>
      <c r="I40" s="61" t="n">
        <v>0.39</v>
      </c>
      <c r="J40" s="61" t="n">
        <v>0</v>
      </c>
      <c r="K40" s="61" t="n">
        <v>0.02</v>
      </c>
      <c r="L40" s="61" t="n">
        <v>0.83</v>
      </c>
      <c r="M40" s="61" t="n">
        <v>0.01</v>
      </c>
      <c r="N40" s="61" t="n">
        <v>0</v>
      </c>
      <c r="O40" s="61" t="n">
        <v>0</v>
      </c>
      <c r="P40" s="62" t="n">
        <v>633.6</v>
      </c>
      <c r="Q40" s="0" t="n">
        <v>0</v>
      </c>
      <c r="R40" s="60" t="n">
        <f aca="false">G40+H40+I40</f>
        <v>90.61</v>
      </c>
      <c r="S40" s="60" t="n">
        <f aca="false">K40+L40+M40+N40+O40</f>
        <v>0.86</v>
      </c>
      <c r="T40" s="60" t="n">
        <f aca="false">L40+M40</f>
        <v>0.84</v>
      </c>
      <c r="U40" s="60" t="n">
        <f aca="false">S40+J40</f>
        <v>0.86</v>
      </c>
      <c r="V40" s="63" t="n">
        <f aca="false">IFERROR(S40/F40,0)</f>
        <v>0.00940198972340658</v>
      </c>
      <c r="W40" s="63" t="n">
        <f aca="false">IFERROR(R40/F40,0)</f>
        <v>0.990598010276593</v>
      </c>
      <c r="X40" s="63" t="n">
        <f aca="false">IFERROR(T40/F40,0)</f>
        <v>0.00918333879960643</v>
      </c>
      <c r="Y40" s="63" t="n">
        <f aca="false">IFERROR(G40/F40,0)</f>
        <v>0</v>
      </c>
      <c r="Z40" s="59" t="n">
        <f aca="false">IF(E40&gt;0,F40*1000000000/E40,"")</f>
        <v>2011.32910197069</v>
      </c>
      <c r="AA40" s="63" t="n">
        <f aca="false">IFERROR((R40+S40+J40)/F40,0)</f>
        <v>1</v>
      </c>
      <c r="AB40" s="0" t="str">
        <f aca="false">A40&amp;"|"&amp;D40</f>
        <v>Algeria|2022</v>
      </c>
    </row>
    <row r="41" customFormat="false" ht="15" hidden="false" customHeight="false" outlineLevel="0" collapsed="false">
      <c r="A41" s="0" t="s">
        <v>183</v>
      </c>
      <c r="B41" s="0" t="s">
        <v>421</v>
      </c>
      <c r="C41" s="0" t="s">
        <v>127</v>
      </c>
      <c r="D41" s="0" t="n">
        <v>2023</v>
      </c>
      <c r="E41" s="59" t="n">
        <v>46164222</v>
      </c>
      <c r="F41" s="60" t="n">
        <v>95.88</v>
      </c>
      <c r="G41" s="61" t="n">
        <v>0</v>
      </c>
      <c r="H41" s="61" t="n">
        <v>94.64</v>
      </c>
      <c r="I41" s="61" t="n">
        <v>0.33</v>
      </c>
      <c r="J41" s="61" t="n">
        <v>0</v>
      </c>
      <c r="K41" s="61" t="n">
        <v>0.02</v>
      </c>
      <c r="L41" s="61" t="n">
        <v>0.87</v>
      </c>
      <c r="M41" s="61" t="n">
        <v>0.02</v>
      </c>
      <c r="N41" s="61" t="n">
        <v>0</v>
      </c>
      <c r="O41" s="61" t="n">
        <v>0</v>
      </c>
      <c r="P41" s="62" t="n">
        <v>633.6</v>
      </c>
      <c r="Q41" s="0" t="n">
        <v>0</v>
      </c>
      <c r="R41" s="60" t="n">
        <f aca="false">G41+H41+I41</f>
        <v>94.97</v>
      </c>
      <c r="S41" s="60" t="n">
        <f aca="false">K41+L41+M41+N41+O41</f>
        <v>0.91</v>
      </c>
      <c r="T41" s="60" t="n">
        <f aca="false">L41+M41</f>
        <v>0.89</v>
      </c>
      <c r="U41" s="60" t="n">
        <f aca="false">S41+J41</f>
        <v>0.91</v>
      </c>
      <c r="V41" s="63" t="n">
        <f aca="false">IFERROR(S41/F41,0)</f>
        <v>0.00949103045473509</v>
      </c>
      <c r="W41" s="63" t="n">
        <f aca="false">IFERROR(R41/F41,0)</f>
        <v>0.990508969545265</v>
      </c>
      <c r="X41" s="63" t="n">
        <f aca="false">IFERROR(T41/F41,0)</f>
        <v>0.00928243637880684</v>
      </c>
      <c r="Y41" s="63" t="n">
        <f aca="false">IFERROR(G41/F41,0)</f>
        <v>0</v>
      </c>
      <c r="Z41" s="59" t="n">
        <f aca="false">IF(E41&gt;0,F41*1000000000/E41,"")</f>
        <v>2076.93308467323</v>
      </c>
      <c r="AA41" s="63" t="n">
        <f aca="false">IFERROR((R41+S41+J41)/F41,0)</f>
        <v>1</v>
      </c>
      <c r="AB41" s="0" t="str">
        <f aca="false">A41&amp;"|"&amp;D41</f>
        <v>Algeria|2023</v>
      </c>
    </row>
    <row r="42" customFormat="false" ht="15" hidden="false" customHeight="false" outlineLevel="0" collapsed="false">
      <c r="A42" s="0" t="s">
        <v>183</v>
      </c>
      <c r="B42" s="0" t="s">
        <v>421</v>
      </c>
      <c r="C42" s="0" t="s">
        <v>127</v>
      </c>
      <c r="D42" s="0" t="n">
        <v>2024</v>
      </c>
      <c r="E42" s="59" t="n">
        <v>46814302</v>
      </c>
      <c r="F42" s="60" t="n">
        <v>96.36</v>
      </c>
      <c r="G42" s="61" t="n">
        <v>0</v>
      </c>
      <c r="H42" s="61" t="n">
        <v>95</v>
      </c>
      <c r="I42" s="61" t="n">
        <v>0.33</v>
      </c>
      <c r="J42" s="61" t="n">
        <v>0</v>
      </c>
      <c r="K42" s="61" t="n">
        <v>0.02</v>
      </c>
      <c r="L42" s="61" t="n">
        <v>0.99</v>
      </c>
      <c r="M42" s="61" t="n">
        <v>0.02</v>
      </c>
      <c r="N42" s="61" t="n">
        <v>0</v>
      </c>
      <c r="O42" s="61" t="n">
        <v>0</v>
      </c>
      <c r="P42" s="62" t="n">
        <v>632.9</v>
      </c>
      <c r="Q42" s="0" t="n">
        <v>0</v>
      </c>
      <c r="R42" s="60" t="n">
        <f aca="false">G42+H42+I42</f>
        <v>95.33</v>
      </c>
      <c r="S42" s="60" t="n">
        <f aca="false">K42+L42+M42+N42+O42</f>
        <v>1.03</v>
      </c>
      <c r="T42" s="60" t="n">
        <f aca="false">L42+M42</f>
        <v>1.01</v>
      </c>
      <c r="U42" s="60" t="n">
        <f aca="false">S42+J42</f>
        <v>1.03</v>
      </c>
      <c r="V42" s="63" t="n">
        <f aca="false">IFERROR(S42/F42,0)</f>
        <v>0.0106890826068908</v>
      </c>
      <c r="W42" s="63" t="n">
        <f aca="false">IFERROR(R42/F42,0)</f>
        <v>0.989310917393109</v>
      </c>
      <c r="X42" s="63" t="n">
        <f aca="false">IFERROR(T42/F42,0)</f>
        <v>0.0104815276048153</v>
      </c>
      <c r="Y42" s="63" t="n">
        <f aca="false">IFERROR(G42/F42,0)</f>
        <v>0</v>
      </c>
      <c r="Z42" s="59" t="n">
        <f aca="false">IF(E42&gt;0,F42*1000000000/E42,"")</f>
        <v>2058.34533215939</v>
      </c>
      <c r="AA42" s="63" t="n">
        <f aca="false">IFERROR((R42+S42+J42)/F42,0)</f>
        <v>1</v>
      </c>
      <c r="AB42" s="0" t="str">
        <f aca="false">A42&amp;"|"&amp;D42</f>
        <v>Algeria|2024</v>
      </c>
    </row>
    <row r="43" customFormat="false" ht="15" hidden="false" customHeight="false" outlineLevel="0" collapsed="false">
      <c r="A43" s="0" t="s">
        <v>184</v>
      </c>
      <c r="B43" s="0" t="s">
        <v>422</v>
      </c>
      <c r="C43" s="0" t="s">
        <v>127</v>
      </c>
      <c r="D43" s="0" t="n">
        <v>2015</v>
      </c>
      <c r="E43" s="59" t="n">
        <v>52896</v>
      </c>
      <c r="F43" s="60" t="n">
        <v>0.16</v>
      </c>
      <c r="G43" s="61" t="n">
        <v>0</v>
      </c>
      <c r="H43" s="61" t="n">
        <v>0</v>
      </c>
      <c r="I43" s="61" t="n">
        <v>0.16</v>
      </c>
      <c r="J43" s="61" t="n">
        <v>0</v>
      </c>
      <c r="K43" s="61" t="n">
        <v>0</v>
      </c>
      <c r="L43" s="61" t="n">
        <v>0</v>
      </c>
      <c r="M43" s="61" t="n">
        <v>0</v>
      </c>
      <c r="N43" s="61" t="n">
        <v>0</v>
      </c>
      <c r="O43" s="61" t="n">
        <v>0</v>
      </c>
      <c r="P43" s="62" t="n">
        <v>687.5</v>
      </c>
      <c r="Q43" s="0" t="n">
        <v>0</v>
      </c>
      <c r="R43" s="60" t="n">
        <f aca="false">G43+H43+I43</f>
        <v>0.16</v>
      </c>
      <c r="S43" s="60" t="n">
        <f aca="false">K43+L43+M43+N43+O43</f>
        <v>0</v>
      </c>
      <c r="T43" s="60" t="n">
        <f aca="false">L43+M43</f>
        <v>0</v>
      </c>
      <c r="U43" s="60" t="n">
        <f aca="false">S43+J43</f>
        <v>0</v>
      </c>
      <c r="V43" s="63" t="n">
        <f aca="false">IFERROR(S43/F43,0)</f>
        <v>0</v>
      </c>
      <c r="W43" s="63" t="n">
        <f aca="false">IFERROR(R43/F43,0)</f>
        <v>1</v>
      </c>
      <c r="X43" s="63" t="n">
        <f aca="false">IFERROR(T43/F43,0)</f>
        <v>0</v>
      </c>
      <c r="Y43" s="63" t="n">
        <f aca="false">IFERROR(G43/F43,0)</f>
        <v>0</v>
      </c>
      <c r="Z43" s="59" t="n">
        <f aca="false">IF(E43&gt;0,F43*1000000000/E43,"")</f>
        <v>3024.80338777979</v>
      </c>
      <c r="AA43" s="63" t="n">
        <f aca="false">IFERROR((R43+S43+J43)/F43,0)</f>
        <v>1</v>
      </c>
      <c r="AB43" s="0" t="str">
        <f aca="false">A43&amp;"|"&amp;D43</f>
        <v>American Samoa|2015</v>
      </c>
    </row>
    <row r="44" customFormat="false" ht="15" hidden="false" customHeight="false" outlineLevel="0" collapsed="false">
      <c r="A44" s="0" t="s">
        <v>184</v>
      </c>
      <c r="B44" s="0" t="s">
        <v>422</v>
      </c>
      <c r="C44" s="0" t="s">
        <v>127</v>
      </c>
      <c r="D44" s="0" t="n">
        <v>2016</v>
      </c>
      <c r="E44" s="59" t="n">
        <v>52260</v>
      </c>
      <c r="F44" s="60" t="n">
        <v>0.17</v>
      </c>
      <c r="G44" s="61" t="n">
        <v>0</v>
      </c>
      <c r="H44" s="61" t="n">
        <v>0</v>
      </c>
      <c r="I44" s="61" t="n">
        <v>0.17</v>
      </c>
      <c r="J44" s="61" t="n">
        <v>0</v>
      </c>
      <c r="K44" s="61" t="n">
        <v>0</v>
      </c>
      <c r="L44" s="61" t="n">
        <v>0</v>
      </c>
      <c r="M44" s="61" t="n">
        <v>0</v>
      </c>
      <c r="N44" s="61" t="n">
        <v>0</v>
      </c>
      <c r="O44" s="61" t="n">
        <v>0</v>
      </c>
      <c r="P44" s="62" t="n">
        <v>647.1</v>
      </c>
      <c r="Q44" s="0" t="n">
        <v>0</v>
      </c>
      <c r="R44" s="60" t="n">
        <f aca="false">G44+H44+I44</f>
        <v>0.17</v>
      </c>
      <c r="S44" s="60" t="n">
        <f aca="false">K44+L44+M44+N44+O44</f>
        <v>0</v>
      </c>
      <c r="T44" s="60" t="n">
        <f aca="false">L44+M44</f>
        <v>0</v>
      </c>
      <c r="U44" s="60" t="n">
        <f aca="false">S44+J44</f>
        <v>0</v>
      </c>
      <c r="V44" s="63" t="n">
        <f aca="false">IFERROR(S44/F44,0)</f>
        <v>0</v>
      </c>
      <c r="W44" s="63" t="n">
        <f aca="false">IFERROR(R44/F44,0)</f>
        <v>1</v>
      </c>
      <c r="X44" s="63" t="n">
        <f aca="false">IFERROR(T44/F44,0)</f>
        <v>0</v>
      </c>
      <c r="Y44" s="63" t="n">
        <f aca="false">IFERROR(G44/F44,0)</f>
        <v>0</v>
      </c>
      <c r="Z44" s="59" t="n">
        <f aca="false">IF(E44&gt;0,F44*1000000000/E44,"")</f>
        <v>3252.9659395331</v>
      </c>
      <c r="AA44" s="63" t="n">
        <f aca="false">IFERROR((R44+S44+J44)/F44,0)</f>
        <v>1</v>
      </c>
      <c r="AB44" s="0" t="str">
        <f aca="false">A44&amp;"|"&amp;D44</f>
        <v>American Samoa|2016</v>
      </c>
    </row>
    <row r="45" customFormat="false" ht="15" hidden="false" customHeight="false" outlineLevel="0" collapsed="false">
      <c r="A45" s="0" t="s">
        <v>184</v>
      </c>
      <c r="B45" s="0" t="s">
        <v>422</v>
      </c>
      <c r="C45" s="0" t="s">
        <v>127</v>
      </c>
      <c r="D45" s="0" t="n">
        <v>2017</v>
      </c>
      <c r="E45" s="59" t="n">
        <v>51605</v>
      </c>
      <c r="F45" s="60" t="n">
        <v>0.16</v>
      </c>
      <c r="G45" s="61" t="n">
        <v>0</v>
      </c>
      <c r="H45" s="61" t="n">
        <v>0</v>
      </c>
      <c r="I45" s="61" t="n">
        <v>0.16</v>
      </c>
      <c r="J45" s="61" t="n">
        <v>0</v>
      </c>
      <c r="K45" s="61" t="n">
        <v>0</v>
      </c>
      <c r="L45" s="61" t="n">
        <v>0</v>
      </c>
      <c r="M45" s="61" t="n">
        <v>0</v>
      </c>
      <c r="N45" s="61" t="n">
        <v>0</v>
      </c>
      <c r="O45" s="61" t="n">
        <v>0</v>
      </c>
      <c r="P45" s="62" t="n">
        <v>687.5</v>
      </c>
      <c r="Q45" s="0" t="n">
        <v>0</v>
      </c>
      <c r="R45" s="60" t="n">
        <f aca="false">G45+H45+I45</f>
        <v>0.16</v>
      </c>
      <c r="S45" s="60" t="n">
        <f aca="false">K45+L45+M45+N45+O45</f>
        <v>0</v>
      </c>
      <c r="T45" s="60" t="n">
        <f aca="false">L45+M45</f>
        <v>0</v>
      </c>
      <c r="U45" s="60" t="n">
        <f aca="false">S45+J45</f>
        <v>0</v>
      </c>
      <c r="V45" s="63" t="n">
        <f aca="false">IFERROR(S45/F45,0)</f>
        <v>0</v>
      </c>
      <c r="W45" s="63" t="n">
        <f aca="false">IFERROR(R45/F45,0)</f>
        <v>1</v>
      </c>
      <c r="X45" s="63" t="n">
        <f aca="false">IFERROR(T45/F45,0)</f>
        <v>0</v>
      </c>
      <c r="Y45" s="63" t="n">
        <f aca="false">IFERROR(G45/F45,0)</f>
        <v>0</v>
      </c>
      <c r="Z45" s="59" t="n">
        <f aca="false">IF(E45&gt;0,F45*1000000000/E45,"")</f>
        <v>3100.47476019766</v>
      </c>
      <c r="AA45" s="63" t="n">
        <f aca="false">IFERROR((R45+S45+J45)/F45,0)</f>
        <v>1</v>
      </c>
      <c r="AB45" s="0" t="str">
        <f aca="false">A45&amp;"|"&amp;D45</f>
        <v>American Samoa|2017</v>
      </c>
    </row>
    <row r="46" customFormat="false" ht="15" hidden="false" customHeight="false" outlineLevel="0" collapsed="false">
      <c r="A46" s="0" t="s">
        <v>184</v>
      </c>
      <c r="B46" s="0" t="s">
        <v>422</v>
      </c>
      <c r="C46" s="0" t="s">
        <v>127</v>
      </c>
      <c r="D46" s="0" t="n">
        <v>2018</v>
      </c>
      <c r="E46" s="59" t="n">
        <v>50927</v>
      </c>
      <c r="F46" s="60" t="n">
        <v>0.16</v>
      </c>
      <c r="G46" s="61" t="n">
        <v>0</v>
      </c>
      <c r="H46" s="61" t="n">
        <v>0</v>
      </c>
      <c r="I46" s="61" t="n">
        <v>0.16</v>
      </c>
      <c r="J46" s="61" t="n">
        <v>0</v>
      </c>
      <c r="K46" s="61" t="n">
        <v>0</v>
      </c>
      <c r="L46" s="61" t="n">
        <v>0</v>
      </c>
      <c r="M46" s="61" t="n">
        <v>0</v>
      </c>
      <c r="N46" s="61" t="n">
        <v>0</v>
      </c>
      <c r="O46" s="61" t="n">
        <v>0</v>
      </c>
      <c r="P46" s="62" t="n">
        <v>687.5</v>
      </c>
      <c r="Q46" s="0" t="n">
        <v>0</v>
      </c>
      <c r="R46" s="60" t="n">
        <f aca="false">G46+H46+I46</f>
        <v>0.16</v>
      </c>
      <c r="S46" s="60" t="n">
        <f aca="false">K46+L46+M46+N46+O46</f>
        <v>0</v>
      </c>
      <c r="T46" s="60" t="n">
        <f aca="false">L46+M46</f>
        <v>0</v>
      </c>
      <c r="U46" s="60" t="n">
        <f aca="false">S46+J46</f>
        <v>0</v>
      </c>
      <c r="V46" s="63" t="n">
        <f aca="false">IFERROR(S46/F46,0)</f>
        <v>0</v>
      </c>
      <c r="W46" s="63" t="n">
        <f aca="false">IFERROR(R46/F46,0)</f>
        <v>1</v>
      </c>
      <c r="X46" s="63" t="n">
        <f aca="false">IFERROR(T46/F46,0)</f>
        <v>0</v>
      </c>
      <c r="Y46" s="63" t="n">
        <f aca="false">IFERROR(G46/F46,0)</f>
        <v>0</v>
      </c>
      <c r="Z46" s="59" t="n">
        <f aca="false">IF(E46&gt;0,F46*1000000000/E46,"")</f>
        <v>3141.75191941406</v>
      </c>
      <c r="AA46" s="63" t="n">
        <f aca="false">IFERROR((R46+S46+J46)/F46,0)</f>
        <v>1</v>
      </c>
      <c r="AB46" s="0" t="str">
        <f aca="false">A46&amp;"|"&amp;D46</f>
        <v>American Samoa|2018</v>
      </c>
    </row>
    <row r="47" customFormat="false" ht="15" hidden="false" customHeight="false" outlineLevel="0" collapsed="false">
      <c r="A47" s="0" t="s">
        <v>184</v>
      </c>
      <c r="B47" s="0" t="s">
        <v>422</v>
      </c>
      <c r="C47" s="0" t="s">
        <v>127</v>
      </c>
      <c r="D47" s="0" t="n">
        <v>2019</v>
      </c>
      <c r="E47" s="59" t="n">
        <v>50230</v>
      </c>
      <c r="F47" s="60" t="n">
        <v>0.16</v>
      </c>
      <c r="G47" s="61" t="n">
        <v>0</v>
      </c>
      <c r="H47" s="61" t="n">
        <v>0</v>
      </c>
      <c r="I47" s="61" t="n">
        <v>0.16</v>
      </c>
      <c r="J47" s="61" t="n">
        <v>0</v>
      </c>
      <c r="K47" s="61" t="n">
        <v>0</v>
      </c>
      <c r="L47" s="61" t="n">
        <v>0</v>
      </c>
      <c r="M47" s="61" t="n">
        <v>0</v>
      </c>
      <c r="N47" s="61" t="n">
        <v>0</v>
      </c>
      <c r="O47" s="61" t="n">
        <v>0</v>
      </c>
      <c r="P47" s="62" t="n">
        <v>687.5</v>
      </c>
      <c r="Q47" s="0" t="n">
        <v>0</v>
      </c>
      <c r="R47" s="60" t="n">
        <f aca="false">G47+H47+I47</f>
        <v>0.16</v>
      </c>
      <c r="S47" s="60" t="n">
        <f aca="false">K47+L47+M47+N47+O47</f>
        <v>0</v>
      </c>
      <c r="T47" s="60" t="n">
        <f aca="false">L47+M47</f>
        <v>0</v>
      </c>
      <c r="U47" s="60" t="n">
        <f aca="false">S47+J47</f>
        <v>0</v>
      </c>
      <c r="V47" s="63" t="n">
        <f aca="false">IFERROR(S47/F47,0)</f>
        <v>0</v>
      </c>
      <c r="W47" s="63" t="n">
        <f aca="false">IFERROR(R47/F47,0)</f>
        <v>1</v>
      </c>
      <c r="X47" s="63" t="n">
        <f aca="false">IFERROR(T47/F47,0)</f>
        <v>0</v>
      </c>
      <c r="Y47" s="63" t="n">
        <f aca="false">IFERROR(G47/F47,0)</f>
        <v>0</v>
      </c>
      <c r="Z47" s="59" t="n">
        <f aca="false">IF(E47&gt;0,F47*1000000000/E47,"")</f>
        <v>3185.34740195103</v>
      </c>
      <c r="AA47" s="63" t="n">
        <f aca="false">IFERROR((R47+S47+J47)/F47,0)</f>
        <v>1</v>
      </c>
      <c r="AB47" s="0" t="str">
        <f aca="false">A47&amp;"|"&amp;D47</f>
        <v>American Samoa|2019</v>
      </c>
    </row>
    <row r="48" customFormat="false" ht="15" hidden="false" customHeight="false" outlineLevel="0" collapsed="false">
      <c r="A48" s="0" t="s">
        <v>184</v>
      </c>
      <c r="B48" s="0" t="s">
        <v>422</v>
      </c>
      <c r="C48" s="0" t="s">
        <v>127</v>
      </c>
      <c r="D48" s="0" t="n">
        <v>2020</v>
      </c>
      <c r="E48" s="59" t="n">
        <v>49779</v>
      </c>
      <c r="F48" s="60" t="n">
        <v>0.17</v>
      </c>
      <c r="G48" s="61" t="n">
        <v>0</v>
      </c>
      <c r="H48" s="61" t="n">
        <v>0</v>
      </c>
      <c r="I48" s="61" t="n">
        <v>0.17</v>
      </c>
      <c r="J48" s="61" t="n">
        <v>0</v>
      </c>
      <c r="K48" s="61" t="n">
        <v>0</v>
      </c>
      <c r="L48" s="61" t="n">
        <v>0</v>
      </c>
      <c r="M48" s="61" t="n">
        <v>0</v>
      </c>
      <c r="N48" s="61" t="n">
        <v>0</v>
      </c>
      <c r="O48" s="61" t="n">
        <v>0</v>
      </c>
      <c r="P48" s="62" t="n">
        <v>647.1</v>
      </c>
      <c r="Q48" s="0" t="n">
        <v>0</v>
      </c>
      <c r="R48" s="60" t="n">
        <f aca="false">G48+H48+I48</f>
        <v>0.17</v>
      </c>
      <c r="S48" s="60" t="n">
        <f aca="false">K48+L48+M48+N48+O48</f>
        <v>0</v>
      </c>
      <c r="T48" s="60" t="n">
        <f aca="false">L48+M48</f>
        <v>0</v>
      </c>
      <c r="U48" s="60" t="n">
        <f aca="false">S48+J48</f>
        <v>0</v>
      </c>
      <c r="V48" s="63" t="n">
        <f aca="false">IFERROR(S48/F48,0)</f>
        <v>0</v>
      </c>
      <c r="W48" s="63" t="n">
        <f aca="false">IFERROR(R48/F48,0)</f>
        <v>1</v>
      </c>
      <c r="X48" s="63" t="n">
        <f aca="false">IFERROR(T48/F48,0)</f>
        <v>0</v>
      </c>
      <c r="Y48" s="63" t="n">
        <f aca="false">IFERROR(G48/F48,0)</f>
        <v>0</v>
      </c>
      <c r="Z48" s="59" t="n">
        <f aca="false">IF(E48&gt;0,F48*1000000000/E48,"")</f>
        <v>3415.09471865646</v>
      </c>
      <c r="AA48" s="63" t="n">
        <f aca="false">IFERROR((R48+S48+J48)/F48,0)</f>
        <v>1</v>
      </c>
      <c r="AB48" s="0" t="str">
        <f aca="false">A48&amp;"|"&amp;D48</f>
        <v>American Samoa|2020</v>
      </c>
    </row>
    <row r="49" customFormat="false" ht="15" hidden="false" customHeight="false" outlineLevel="0" collapsed="false">
      <c r="A49" s="0" t="s">
        <v>184</v>
      </c>
      <c r="B49" s="0" t="s">
        <v>422</v>
      </c>
      <c r="C49" s="0" t="s">
        <v>127</v>
      </c>
      <c r="D49" s="0" t="n">
        <v>2021</v>
      </c>
      <c r="E49" s="59" t="n">
        <v>49249</v>
      </c>
      <c r="F49" s="60" t="n">
        <v>0.17</v>
      </c>
      <c r="G49" s="61" t="n">
        <v>0</v>
      </c>
      <c r="H49" s="61" t="n">
        <v>0</v>
      </c>
      <c r="I49" s="61" t="n">
        <v>0.17</v>
      </c>
      <c r="J49" s="61" t="n">
        <v>0</v>
      </c>
      <c r="K49" s="61" t="n">
        <v>0</v>
      </c>
      <c r="L49" s="61" t="n">
        <v>0</v>
      </c>
      <c r="M49" s="61" t="n">
        <v>0</v>
      </c>
      <c r="N49" s="61" t="n">
        <v>0</v>
      </c>
      <c r="O49" s="61" t="n">
        <v>0</v>
      </c>
      <c r="P49" s="62" t="n">
        <v>647.1</v>
      </c>
      <c r="Q49" s="0" t="n">
        <v>0</v>
      </c>
      <c r="R49" s="60" t="n">
        <f aca="false">G49+H49+I49</f>
        <v>0.17</v>
      </c>
      <c r="S49" s="60" t="n">
        <f aca="false">K49+L49+M49+N49+O49</f>
        <v>0</v>
      </c>
      <c r="T49" s="60" t="n">
        <f aca="false">L49+M49</f>
        <v>0</v>
      </c>
      <c r="U49" s="60" t="n">
        <f aca="false">S49+J49</f>
        <v>0</v>
      </c>
      <c r="V49" s="63" t="n">
        <f aca="false">IFERROR(S49/F49,0)</f>
        <v>0</v>
      </c>
      <c r="W49" s="63" t="n">
        <f aca="false">IFERROR(R49/F49,0)</f>
        <v>1</v>
      </c>
      <c r="X49" s="63" t="n">
        <f aca="false">IFERROR(T49/F49,0)</f>
        <v>0</v>
      </c>
      <c r="Y49" s="63" t="n">
        <f aca="false">IFERROR(G49/F49,0)</f>
        <v>0</v>
      </c>
      <c r="Z49" s="59" t="n">
        <f aca="false">IF(E49&gt;0,F49*1000000000/E49,"")</f>
        <v>3451.84673800483</v>
      </c>
      <c r="AA49" s="63" t="n">
        <f aca="false">IFERROR((R49+S49+J49)/F49,0)</f>
        <v>1</v>
      </c>
      <c r="AB49" s="0" t="str">
        <f aca="false">A49&amp;"|"&amp;D49</f>
        <v>American Samoa|2021</v>
      </c>
    </row>
    <row r="50" customFormat="false" ht="15" hidden="false" customHeight="false" outlineLevel="0" collapsed="false">
      <c r="A50" s="0" t="s">
        <v>184</v>
      </c>
      <c r="B50" s="0" t="s">
        <v>422</v>
      </c>
      <c r="C50" s="0" t="s">
        <v>127</v>
      </c>
      <c r="D50" s="0" t="n">
        <v>2022</v>
      </c>
      <c r="E50" s="59" t="n">
        <v>48365</v>
      </c>
      <c r="F50" s="60" t="n">
        <v>0.18</v>
      </c>
      <c r="G50" s="61" t="n">
        <v>0</v>
      </c>
      <c r="H50" s="61" t="n">
        <v>0</v>
      </c>
      <c r="I50" s="61" t="n">
        <v>0.17</v>
      </c>
      <c r="J50" s="61" t="n">
        <v>0</v>
      </c>
      <c r="K50" s="61" t="n">
        <v>0</v>
      </c>
      <c r="L50" s="61" t="n">
        <v>0.01</v>
      </c>
      <c r="M50" s="61" t="n">
        <v>0</v>
      </c>
      <c r="N50" s="61" t="n">
        <v>0</v>
      </c>
      <c r="O50" s="61" t="n">
        <v>0</v>
      </c>
      <c r="P50" s="62" t="n">
        <v>611.1</v>
      </c>
      <c r="Q50" s="0" t="n">
        <v>0</v>
      </c>
      <c r="R50" s="60" t="n">
        <f aca="false">G50+H50+I50</f>
        <v>0.17</v>
      </c>
      <c r="S50" s="60" t="n">
        <f aca="false">K50+L50+M50+N50+O50</f>
        <v>0.01</v>
      </c>
      <c r="T50" s="60" t="n">
        <f aca="false">L50+M50</f>
        <v>0.01</v>
      </c>
      <c r="U50" s="60" t="n">
        <f aca="false">S50+J50</f>
        <v>0.01</v>
      </c>
      <c r="V50" s="63" t="n">
        <f aca="false">IFERROR(S50/F50,0)</f>
        <v>0.0555555555555556</v>
      </c>
      <c r="W50" s="63" t="n">
        <f aca="false">IFERROR(R50/F50,0)</f>
        <v>0.944444444444445</v>
      </c>
      <c r="X50" s="63" t="n">
        <f aca="false">IFERROR(T50/F50,0)</f>
        <v>0.0555555555555556</v>
      </c>
      <c r="Y50" s="63" t="n">
        <f aca="false">IFERROR(G50/F50,0)</f>
        <v>0</v>
      </c>
      <c r="Z50" s="59" t="n">
        <f aca="false">IF(E50&gt;0,F50*1000000000/E50,"")</f>
        <v>3721.69957613977</v>
      </c>
      <c r="AA50" s="63" t="n">
        <f aca="false">IFERROR((R50+S50+J50)/F50,0)</f>
        <v>1</v>
      </c>
      <c r="AB50" s="0" t="str">
        <f aca="false">A50&amp;"|"&amp;D50</f>
        <v>American Samoa|2022</v>
      </c>
    </row>
    <row r="51" customFormat="false" ht="15" hidden="false" customHeight="false" outlineLevel="0" collapsed="false">
      <c r="A51" s="0" t="s">
        <v>184</v>
      </c>
      <c r="B51" s="0" t="s">
        <v>422</v>
      </c>
      <c r="C51" s="0" t="s">
        <v>127</v>
      </c>
      <c r="D51" s="0" t="n">
        <v>2023</v>
      </c>
      <c r="E51" s="59" t="n">
        <v>47544</v>
      </c>
      <c r="F51" s="60" t="n">
        <v>0.17</v>
      </c>
      <c r="G51" s="61" t="n">
        <v>0</v>
      </c>
      <c r="H51" s="61" t="n">
        <v>0</v>
      </c>
      <c r="I51" s="61" t="n">
        <v>0.17</v>
      </c>
      <c r="J51" s="61" t="n">
        <v>0</v>
      </c>
      <c r="K51" s="61" t="n">
        <v>0</v>
      </c>
      <c r="L51" s="61" t="n">
        <v>0</v>
      </c>
      <c r="M51" s="61" t="n">
        <v>0</v>
      </c>
      <c r="N51" s="61" t="n">
        <v>0</v>
      </c>
      <c r="O51" s="61" t="n">
        <v>0</v>
      </c>
      <c r="P51" s="62" t="n">
        <v>647.1</v>
      </c>
      <c r="Q51" s="0" t="n">
        <v>0</v>
      </c>
      <c r="R51" s="60" t="n">
        <f aca="false">G51+H51+I51</f>
        <v>0.17</v>
      </c>
      <c r="S51" s="60" t="n">
        <f aca="false">K51+L51+M51+N51+O51</f>
        <v>0</v>
      </c>
      <c r="T51" s="60" t="n">
        <f aca="false">L51+M51</f>
        <v>0</v>
      </c>
      <c r="U51" s="60" t="n">
        <f aca="false">S51+J51</f>
        <v>0</v>
      </c>
      <c r="V51" s="63" t="n">
        <f aca="false">IFERROR(S51/F51,0)</f>
        <v>0</v>
      </c>
      <c r="W51" s="63" t="n">
        <f aca="false">IFERROR(R51/F51,0)</f>
        <v>1</v>
      </c>
      <c r="X51" s="63" t="n">
        <f aca="false">IFERROR(T51/F51,0)</f>
        <v>0</v>
      </c>
      <c r="Y51" s="63" t="n">
        <f aca="false">IFERROR(G51/F51,0)</f>
        <v>0</v>
      </c>
      <c r="Z51" s="59" t="n">
        <f aca="false">IF(E51&gt;0,F51*1000000000/E51,"")</f>
        <v>3575.6352010769</v>
      </c>
      <c r="AA51" s="63" t="n">
        <f aca="false">IFERROR((R51+S51+J51)/F51,0)</f>
        <v>1</v>
      </c>
      <c r="AB51" s="0" t="str">
        <f aca="false">A51&amp;"|"&amp;D51</f>
        <v>American Samoa|2023</v>
      </c>
    </row>
    <row r="52" customFormat="false" ht="15" hidden="false" customHeight="false" outlineLevel="0" collapsed="false">
      <c r="A52" s="0" t="s">
        <v>184</v>
      </c>
      <c r="B52" s="0" t="s">
        <v>422</v>
      </c>
      <c r="C52" s="0" t="s">
        <v>127</v>
      </c>
      <c r="D52" s="0" t="n">
        <v>2024</v>
      </c>
      <c r="E52" s="59" t="n">
        <v>46792</v>
      </c>
      <c r="F52" s="60" t="n">
        <v>0.18</v>
      </c>
      <c r="G52" s="61" t="n">
        <v>0</v>
      </c>
      <c r="H52" s="61" t="n">
        <v>0</v>
      </c>
      <c r="I52" s="61" t="n">
        <v>0.17</v>
      </c>
      <c r="J52" s="61" t="n">
        <v>0</v>
      </c>
      <c r="K52" s="61" t="n">
        <v>0</v>
      </c>
      <c r="L52" s="61" t="n">
        <v>0.01</v>
      </c>
      <c r="M52" s="61" t="n">
        <v>0</v>
      </c>
      <c r="N52" s="61" t="n">
        <v>0</v>
      </c>
      <c r="O52" s="61" t="n">
        <v>0</v>
      </c>
      <c r="P52" s="62" t="n">
        <v>611.1</v>
      </c>
      <c r="Q52" s="0" t="n">
        <v>0</v>
      </c>
      <c r="R52" s="60" t="n">
        <f aca="false">G52+H52+I52</f>
        <v>0.17</v>
      </c>
      <c r="S52" s="60" t="n">
        <f aca="false">K52+L52+M52+N52+O52</f>
        <v>0.01</v>
      </c>
      <c r="T52" s="60" t="n">
        <f aca="false">L52+M52</f>
        <v>0.01</v>
      </c>
      <c r="U52" s="60" t="n">
        <f aca="false">S52+J52</f>
        <v>0.01</v>
      </c>
      <c r="V52" s="63" t="n">
        <f aca="false">IFERROR(S52/F52,0)</f>
        <v>0.0555555555555556</v>
      </c>
      <c r="W52" s="63" t="n">
        <f aca="false">IFERROR(R52/F52,0)</f>
        <v>0.944444444444445</v>
      </c>
      <c r="X52" s="63" t="n">
        <f aca="false">IFERROR(T52/F52,0)</f>
        <v>0.0555555555555556</v>
      </c>
      <c r="Y52" s="63" t="n">
        <f aca="false">IFERROR(G52/F52,0)</f>
        <v>0</v>
      </c>
      <c r="Z52" s="59" t="n">
        <f aca="false">IF(E52&gt;0,F52*1000000000/E52,"")</f>
        <v>3846.81142075568</v>
      </c>
      <c r="AA52" s="63" t="n">
        <f aca="false">IFERROR((R52+S52+J52)/F52,0)</f>
        <v>1</v>
      </c>
      <c r="AB52" s="0" t="str">
        <f aca="false">A52&amp;"|"&amp;D52</f>
        <v>American Samoa|2024</v>
      </c>
    </row>
    <row r="53" customFormat="false" ht="15" hidden="false" customHeight="false" outlineLevel="0" collapsed="false">
      <c r="A53" s="0" t="s">
        <v>185</v>
      </c>
      <c r="B53" s="0" t="s">
        <v>423</v>
      </c>
      <c r="C53" s="0" t="s">
        <v>127</v>
      </c>
      <c r="D53" s="0" t="n">
        <v>2015</v>
      </c>
      <c r="E53" s="59" t="n">
        <v>28157802</v>
      </c>
      <c r="F53" s="60" t="n">
        <v>9.78</v>
      </c>
      <c r="G53" s="61" t="n">
        <v>0</v>
      </c>
      <c r="H53" s="61" t="n">
        <v>0</v>
      </c>
      <c r="I53" s="61" t="n">
        <v>4.44</v>
      </c>
      <c r="J53" s="61" t="n">
        <v>0</v>
      </c>
      <c r="K53" s="61" t="n">
        <v>5.28</v>
      </c>
      <c r="L53" s="61" t="n">
        <v>0.02</v>
      </c>
      <c r="M53" s="61" t="n">
        <v>0</v>
      </c>
      <c r="N53" s="61" t="n">
        <v>0.04</v>
      </c>
      <c r="O53" s="61" t="n">
        <v>0</v>
      </c>
      <c r="P53" s="62" t="n">
        <v>312.9</v>
      </c>
      <c r="Q53" s="0" t="n">
        <v>0</v>
      </c>
      <c r="R53" s="60" t="n">
        <f aca="false">G53+H53+I53</f>
        <v>4.44</v>
      </c>
      <c r="S53" s="60" t="n">
        <f aca="false">K53+L53+M53+N53+O53</f>
        <v>5.34</v>
      </c>
      <c r="T53" s="60" t="n">
        <f aca="false">L53+M53</f>
        <v>0.02</v>
      </c>
      <c r="U53" s="60" t="n">
        <f aca="false">S53+J53</f>
        <v>5.34</v>
      </c>
      <c r="V53" s="63" t="n">
        <f aca="false">IFERROR(S53/F53,0)</f>
        <v>0.54601226993865</v>
      </c>
      <c r="W53" s="63" t="n">
        <f aca="false">IFERROR(R53/F53,0)</f>
        <v>0.45398773006135</v>
      </c>
      <c r="X53" s="63" t="n">
        <f aca="false">IFERROR(T53/F53,0)</f>
        <v>0.00204498977505113</v>
      </c>
      <c r="Y53" s="63" t="n">
        <f aca="false">IFERROR(G53/F53,0)</f>
        <v>0</v>
      </c>
      <c r="Z53" s="59" t="n">
        <f aca="false">IF(E53&gt;0,F53*1000000000/E53,"")</f>
        <v>347.328246714712</v>
      </c>
      <c r="AA53" s="63" t="n">
        <f aca="false">IFERROR((R53+S53+J53)/F53,0)</f>
        <v>1</v>
      </c>
      <c r="AB53" s="0" t="str">
        <f aca="false">A53&amp;"|"&amp;D53</f>
        <v>Angola|2015</v>
      </c>
    </row>
    <row r="54" customFormat="false" ht="15" hidden="false" customHeight="false" outlineLevel="0" collapsed="false">
      <c r="A54" s="0" t="s">
        <v>185</v>
      </c>
      <c r="B54" s="0" t="s">
        <v>423</v>
      </c>
      <c r="C54" s="0" t="s">
        <v>127</v>
      </c>
      <c r="D54" s="0" t="n">
        <v>2016</v>
      </c>
      <c r="E54" s="59" t="n">
        <v>29183072</v>
      </c>
      <c r="F54" s="60" t="n">
        <v>10.98</v>
      </c>
      <c r="G54" s="61" t="n">
        <v>0</v>
      </c>
      <c r="H54" s="61" t="n">
        <v>0</v>
      </c>
      <c r="I54" s="61" t="n">
        <v>4.55</v>
      </c>
      <c r="J54" s="61" t="n">
        <v>0</v>
      </c>
      <c r="K54" s="61" t="n">
        <v>6.36</v>
      </c>
      <c r="L54" s="61" t="n">
        <v>0.02</v>
      </c>
      <c r="M54" s="61" t="n">
        <v>0</v>
      </c>
      <c r="N54" s="61" t="n">
        <v>0.05</v>
      </c>
      <c r="O54" s="61" t="n">
        <v>0</v>
      </c>
      <c r="P54" s="62" t="n">
        <v>286.9</v>
      </c>
      <c r="Q54" s="0" t="n">
        <v>0</v>
      </c>
      <c r="R54" s="60" t="n">
        <f aca="false">G54+H54+I54</f>
        <v>4.55</v>
      </c>
      <c r="S54" s="60" t="n">
        <f aca="false">K54+L54+M54+N54+O54</f>
        <v>6.43</v>
      </c>
      <c r="T54" s="60" t="n">
        <f aca="false">L54+M54</f>
        <v>0.02</v>
      </c>
      <c r="U54" s="60" t="n">
        <f aca="false">S54+J54</f>
        <v>6.43</v>
      </c>
      <c r="V54" s="63" t="n">
        <f aca="false">IFERROR(S54/F54,0)</f>
        <v>0.585610200364299</v>
      </c>
      <c r="W54" s="63" t="n">
        <f aca="false">IFERROR(R54/F54,0)</f>
        <v>0.414389799635701</v>
      </c>
      <c r="X54" s="63" t="n">
        <f aca="false">IFERROR(T54/F54,0)</f>
        <v>0.00182149362477231</v>
      </c>
      <c r="Y54" s="63" t="n">
        <f aca="false">IFERROR(G54/F54,0)</f>
        <v>0</v>
      </c>
      <c r="Z54" s="59" t="n">
        <f aca="false">IF(E54&gt;0,F54*1000000000/E54,"")</f>
        <v>376.245516578926</v>
      </c>
      <c r="AA54" s="63" t="n">
        <f aca="false">IFERROR((R54+S54+J54)/F54,0)</f>
        <v>1</v>
      </c>
      <c r="AB54" s="0" t="str">
        <f aca="false">A54&amp;"|"&amp;D54</f>
        <v>Angola|2016</v>
      </c>
    </row>
    <row r="55" customFormat="false" ht="15" hidden="false" customHeight="false" outlineLevel="0" collapsed="false">
      <c r="A55" s="0" t="s">
        <v>185</v>
      </c>
      <c r="B55" s="0" t="s">
        <v>423</v>
      </c>
      <c r="C55" s="0" t="s">
        <v>127</v>
      </c>
      <c r="D55" s="0" t="n">
        <v>2017</v>
      </c>
      <c r="E55" s="59" t="n">
        <v>30234836</v>
      </c>
      <c r="F55" s="60" t="n">
        <v>10.81</v>
      </c>
      <c r="G55" s="61" t="n">
        <v>0</v>
      </c>
      <c r="H55" s="61" t="n">
        <v>0.04</v>
      </c>
      <c r="I55" s="61" t="n">
        <v>3.05</v>
      </c>
      <c r="J55" s="61" t="n">
        <v>0</v>
      </c>
      <c r="K55" s="61" t="n">
        <v>7.65</v>
      </c>
      <c r="L55" s="61" t="n">
        <v>0.02</v>
      </c>
      <c r="M55" s="61" t="n">
        <v>0</v>
      </c>
      <c r="N55" s="61" t="n">
        <v>0.05</v>
      </c>
      <c r="O55" s="61" t="n">
        <v>0</v>
      </c>
      <c r="P55" s="62" t="n">
        <v>205.4</v>
      </c>
      <c r="Q55" s="0" t="n">
        <v>0</v>
      </c>
      <c r="R55" s="60" t="n">
        <f aca="false">G55+H55+I55</f>
        <v>3.09</v>
      </c>
      <c r="S55" s="60" t="n">
        <f aca="false">K55+L55+M55+N55+O55</f>
        <v>7.72</v>
      </c>
      <c r="T55" s="60" t="n">
        <f aca="false">L55+M55</f>
        <v>0.02</v>
      </c>
      <c r="U55" s="60" t="n">
        <f aca="false">S55+J55</f>
        <v>7.72</v>
      </c>
      <c r="V55" s="63" t="n">
        <f aca="false">IFERROR(S55/F55,0)</f>
        <v>0.714153561517114</v>
      </c>
      <c r="W55" s="63" t="n">
        <f aca="false">IFERROR(R55/F55,0)</f>
        <v>0.285846438482886</v>
      </c>
      <c r="X55" s="63" t="n">
        <f aca="false">IFERROR(T55/F55,0)</f>
        <v>0.00185013876040703</v>
      </c>
      <c r="Y55" s="63" t="n">
        <f aca="false">IFERROR(G55/F55,0)</f>
        <v>0</v>
      </c>
      <c r="Z55" s="59" t="n">
        <f aca="false">IF(E55&gt;0,F55*1000000000/E55,"")</f>
        <v>357.534600154603</v>
      </c>
      <c r="AA55" s="63" t="n">
        <f aca="false">IFERROR((R55+S55+J55)/F55,0)</f>
        <v>1</v>
      </c>
      <c r="AB55" s="0" t="str">
        <f aca="false">A55&amp;"|"&amp;D55</f>
        <v>Angola|2017</v>
      </c>
    </row>
    <row r="56" customFormat="false" ht="15" hidden="false" customHeight="false" outlineLevel="0" collapsed="false">
      <c r="A56" s="0" t="s">
        <v>185</v>
      </c>
      <c r="B56" s="0" t="s">
        <v>423</v>
      </c>
      <c r="C56" s="0" t="s">
        <v>127</v>
      </c>
      <c r="D56" s="0" t="n">
        <v>2018</v>
      </c>
      <c r="E56" s="59" t="n">
        <v>31297160</v>
      </c>
      <c r="F56" s="60" t="n">
        <v>13.14</v>
      </c>
      <c r="G56" s="61" t="n">
        <v>0</v>
      </c>
      <c r="H56" s="61" t="n">
        <v>0.08</v>
      </c>
      <c r="I56" s="61" t="n">
        <v>2.62</v>
      </c>
      <c r="J56" s="61" t="n">
        <v>0</v>
      </c>
      <c r="K56" s="61" t="n">
        <v>10.37</v>
      </c>
      <c r="L56" s="61" t="n">
        <v>0.02</v>
      </c>
      <c r="M56" s="61" t="n">
        <v>0</v>
      </c>
      <c r="N56" s="61" t="n">
        <v>0.05</v>
      </c>
      <c r="O56" s="61" t="n">
        <v>0</v>
      </c>
      <c r="P56" s="62" t="n">
        <v>154.5</v>
      </c>
      <c r="Q56" s="0" t="n">
        <v>0</v>
      </c>
      <c r="R56" s="60" t="n">
        <f aca="false">G56+H56+I56</f>
        <v>2.7</v>
      </c>
      <c r="S56" s="60" t="n">
        <f aca="false">K56+L56+M56+N56+O56</f>
        <v>10.44</v>
      </c>
      <c r="T56" s="60" t="n">
        <f aca="false">L56+M56</f>
        <v>0.02</v>
      </c>
      <c r="U56" s="60" t="n">
        <f aca="false">S56+J56</f>
        <v>10.44</v>
      </c>
      <c r="V56" s="63" t="n">
        <f aca="false">IFERROR(S56/F56,0)</f>
        <v>0.794520547945205</v>
      </c>
      <c r="W56" s="63" t="n">
        <f aca="false">IFERROR(R56/F56,0)</f>
        <v>0.205479452054795</v>
      </c>
      <c r="X56" s="63" t="n">
        <f aca="false">IFERROR(T56/F56,0)</f>
        <v>0.0015220700152207</v>
      </c>
      <c r="Y56" s="63" t="n">
        <f aca="false">IFERROR(G56/F56,0)</f>
        <v>0</v>
      </c>
      <c r="Z56" s="59" t="n">
        <f aca="false">IF(E56&gt;0,F56*1000000000/E56,"")</f>
        <v>419.846401398721</v>
      </c>
      <c r="AA56" s="63" t="n">
        <f aca="false">IFERROR((R56+S56+J56)/F56,0)</f>
        <v>1</v>
      </c>
      <c r="AB56" s="0" t="str">
        <f aca="false">A56&amp;"|"&amp;D56</f>
        <v>Angola|2018</v>
      </c>
    </row>
    <row r="57" customFormat="false" ht="15" hidden="false" customHeight="false" outlineLevel="0" collapsed="false">
      <c r="A57" s="0" t="s">
        <v>185</v>
      </c>
      <c r="B57" s="0" t="s">
        <v>423</v>
      </c>
      <c r="C57" s="0" t="s">
        <v>127</v>
      </c>
      <c r="D57" s="0" t="n">
        <v>2019</v>
      </c>
      <c r="E57" s="59" t="n">
        <v>32375633</v>
      </c>
      <c r="F57" s="60" t="n">
        <v>15.82</v>
      </c>
      <c r="G57" s="61" t="n">
        <v>0</v>
      </c>
      <c r="H57" s="61" t="n">
        <v>1.64</v>
      </c>
      <c r="I57" s="61" t="n">
        <v>2.6</v>
      </c>
      <c r="J57" s="61" t="n">
        <v>0</v>
      </c>
      <c r="K57" s="61" t="n">
        <v>11.51</v>
      </c>
      <c r="L57" s="61" t="n">
        <v>0.02</v>
      </c>
      <c r="M57" s="61" t="n">
        <v>0</v>
      </c>
      <c r="N57" s="61" t="n">
        <v>0.05</v>
      </c>
      <c r="O57" s="61" t="n">
        <v>0</v>
      </c>
      <c r="P57" s="62" t="n">
        <v>186.5</v>
      </c>
      <c r="Q57" s="0" t="n">
        <v>0</v>
      </c>
      <c r="R57" s="60" t="n">
        <f aca="false">G57+H57+I57</f>
        <v>4.24</v>
      </c>
      <c r="S57" s="60" t="n">
        <f aca="false">K57+L57+M57+N57+O57</f>
        <v>11.58</v>
      </c>
      <c r="T57" s="60" t="n">
        <f aca="false">L57+M57</f>
        <v>0.02</v>
      </c>
      <c r="U57" s="60" t="n">
        <f aca="false">S57+J57</f>
        <v>11.58</v>
      </c>
      <c r="V57" s="63" t="n">
        <f aca="false">IFERROR(S57/F57,0)</f>
        <v>0.731984829329962</v>
      </c>
      <c r="W57" s="63" t="n">
        <f aca="false">IFERROR(R57/F57,0)</f>
        <v>0.268015170670038</v>
      </c>
      <c r="X57" s="63" t="n">
        <f aca="false">IFERROR(T57/F57,0)</f>
        <v>0.00126422250316056</v>
      </c>
      <c r="Y57" s="63" t="n">
        <f aca="false">IFERROR(G57/F57,0)</f>
        <v>0</v>
      </c>
      <c r="Z57" s="59" t="n">
        <f aca="false">IF(E57&gt;0,F57*1000000000/E57,"")</f>
        <v>488.639094716696</v>
      </c>
      <c r="AA57" s="63" t="n">
        <f aca="false">IFERROR((R57+S57+J57)/F57,0)</f>
        <v>1</v>
      </c>
      <c r="AB57" s="0" t="str">
        <f aca="false">A57&amp;"|"&amp;D57</f>
        <v>Angola|2019</v>
      </c>
    </row>
    <row r="58" customFormat="false" ht="15" hidden="false" customHeight="false" outlineLevel="0" collapsed="false">
      <c r="A58" s="0" t="s">
        <v>185</v>
      </c>
      <c r="B58" s="0" t="s">
        <v>423</v>
      </c>
      <c r="C58" s="0" t="s">
        <v>127</v>
      </c>
      <c r="D58" s="0" t="n">
        <v>2020</v>
      </c>
      <c r="E58" s="59" t="n">
        <v>33451139</v>
      </c>
      <c r="F58" s="60" t="n">
        <v>16.81</v>
      </c>
      <c r="G58" s="61" t="n">
        <v>0</v>
      </c>
      <c r="H58" s="61" t="n">
        <v>1.65</v>
      </c>
      <c r="I58" s="61" t="n">
        <v>2.45</v>
      </c>
      <c r="J58" s="61" t="n">
        <v>0</v>
      </c>
      <c r="K58" s="61" t="n">
        <v>12.64</v>
      </c>
      <c r="L58" s="61" t="n">
        <v>0.02</v>
      </c>
      <c r="M58" s="61" t="n">
        <v>0</v>
      </c>
      <c r="N58" s="61" t="n">
        <v>0.05</v>
      </c>
      <c r="O58" s="61" t="n">
        <v>0</v>
      </c>
      <c r="P58" s="62" t="n">
        <v>171.3</v>
      </c>
      <c r="Q58" s="0" t="n">
        <v>0</v>
      </c>
      <c r="R58" s="60" t="n">
        <f aca="false">G58+H58+I58</f>
        <v>4.1</v>
      </c>
      <c r="S58" s="60" t="n">
        <f aca="false">K58+L58+M58+N58+O58</f>
        <v>12.71</v>
      </c>
      <c r="T58" s="60" t="n">
        <f aca="false">L58+M58</f>
        <v>0.02</v>
      </c>
      <c r="U58" s="60" t="n">
        <f aca="false">S58+J58</f>
        <v>12.71</v>
      </c>
      <c r="V58" s="63" t="n">
        <f aca="false">IFERROR(S58/F58,0)</f>
        <v>0.75609756097561</v>
      </c>
      <c r="W58" s="63" t="n">
        <f aca="false">IFERROR(R58/F58,0)</f>
        <v>0.24390243902439</v>
      </c>
      <c r="X58" s="63" t="n">
        <f aca="false">IFERROR(T58/F58,0)</f>
        <v>0.00118976799524093</v>
      </c>
      <c r="Y58" s="63" t="n">
        <f aca="false">IFERROR(G58/F58,0)</f>
        <v>0</v>
      </c>
      <c r="Z58" s="59" t="n">
        <f aca="false">IF(E58&gt;0,F58*1000000000/E58,"")</f>
        <v>502.523994773392</v>
      </c>
      <c r="AA58" s="63" t="n">
        <f aca="false">IFERROR((R58+S58+J58)/F58,0)</f>
        <v>1</v>
      </c>
      <c r="AB58" s="0" t="str">
        <f aca="false">A58&amp;"|"&amp;D58</f>
        <v>Angola|2020</v>
      </c>
    </row>
    <row r="59" customFormat="false" ht="15" hidden="false" customHeight="false" outlineLevel="0" collapsed="false">
      <c r="A59" s="0" t="s">
        <v>185</v>
      </c>
      <c r="B59" s="0" t="s">
        <v>423</v>
      </c>
      <c r="C59" s="0" t="s">
        <v>127</v>
      </c>
      <c r="D59" s="0" t="n">
        <v>2021</v>
      </c>
      <c r="E59" s="59" t="n">
        <v>34532427</v>
      </c>
      <c r="F59" s="60" t="n">
        <v>16.85</v>
      </c>
      <c r="G59" s="61" t="n">
        <v>0</v>
      </c>
      <c r="H59" s="61" t="n">
        <v>1.66</v>
      </c>
      <c r="I59" s="61" t="n">
        <v>2.48</v>
      </c>
      <c r="J59" s="61" t="n">
        <v>0</v>
      </c>
      <c r="K59" s="61" t="n">
        <v>12.64</v>
      </c>
      <c r="L59" s="61" t="n">
        <v>0.02</v>
      </c>
      <c r="M59" s="61" t="n">
        <v>0</v>
      </c>
      <c r="N59" s="61" t="n">
        <v>0.05</v>
      </c>
      <c r="O59" s="61" t="n">
        <v>0</v>
      </c>
      <c r="P59" s="62" t="n">
        <v>172.7</v>
      </c>
      <c r="Q59" s="0" t="n">
        <v>0</v>
      </c>
      <c r="R59" s="60" t="n">
        <f aca="false">G59+H59+I59</f>
        <v>4.14</v>
      </c>
      <c r="S59" s="60" t="n">
        <f aca="false">K59+L59+M59+N59+O59</f>
        <v>12.71</v>
      </c>
      <c r="T59" s="60" t="n">
        <f aca="false">L59+M59</f>
        <v>0.02</v>
      </c>
      <c r="U59" s="60" t="n">
        <f aca="false">S59+J59</f>
        <v>12.71</v>
      </c>
      <c r="V59" s="63" t="n">
        <f aca="false">IFERROR(S59/F59,0)</f>
        <v>0.754302670623145</v>
      </c>
      <c r="W59" s="63" t="n">
        <f aca="false">IFERROR(R59/F59,0)</f>
        <v>0.245697329376855</v>
      </c>
      <c r="X59" s="63" t="n">
        <f aca="false">IFERROR(T59/F59,0)</f>
        <v>0.00118694362017804</v>
      </c>
      <c r="Y59" s="63" t="n">
        <f aca="false">IFERROR(G59/F59,0)</f>
        <v>0</v>
      </c>
      <c r="Z59" s="59" t="n">
        <f aca="false">IF(E59&gt;0,F59*1000000000/E59,"")</f>
        <v>487.947169192597</v>
      </c>
      <c r="AA59" s="63" t="n">
        <f aca="false">IFERROR((R59+S59+J59)/F59,0)</f>
        <v>1</v>
      </c>
      <c r="AB59" s="0" t="str">
        <f aca="false">A59&amp;"|"&amp;D59</f>
        <v>Angola|2021</v>
      </c>
    </row>
    <row r="60" customFormat="false" ht="15" hidden="false" customHeight="false" outlineLevel="0" collapsed="false">
      <c r="A60" s="0" t="s">
        <v>185</v>
      </c>
      <c r="B60" s="0" t="s">
        <v>423</v>
      </c>
      <c r="C60" s="0" t="s">
        <v>127</v>
      </c>
      <c r="D60" s="0" t="n">
        <v>2022</v>
      </c>
      <c r="E60" s="59" t="n">
        <v>35635028</v>
      </c>
      <c r="F60" s="60" t="n">
        <v>17.31</v>
      </c>
      <c r="G60" s="61" t="n">
        <v>0</v>
      </c>
      <c r="H60" s="61" t="n">
        <v>1.67</v>
      </c>
      <c r="I60" s="61" t="n">
        <v>2.56</v>
      </c>
      <c r="J60" s="61" t="n">
        <v>0</v>
      </c>
      <c r="K60" s="61" t="n">
        <v>12.64</v>
      </c>
      <c r="L60" s="61" t="n">
        <v>0.39</v>
      </c>
      <c r="M60" s="61" t="n">
        <v>0</v>
      </c>
      <c r="N60" s="61" t="n">
        <v>0.05</v>
      </c>
      <c r="O60" s="61" t="n">
        <v>0</v>
      </c>
      <c r="P60" s="62" t="n">
        <v>172.2</v>
      </c>
      <c r="Q60" s="0" t="n">
        <v>0</v>
      </c>
      <c r="R60" s="60" t="n">
        <f aca="false">G60+H60+I60</f>
        <v>4.23</v>
      </c>
      <c r="S60" s="60" t="n">
        <f aca="false">K60+L60+M60+N60+O60</f>
        <v>13.08</v>
      </c>
      <c r="T60" s="60" t="n">
        <f aca="false">L60+M60</f>
        <v>0.39</v>
      </c>
      <c r="U60" s="60" t="n">
        <f aca="false">S60+J60</f>
        <v>13.08</v>
      </c>
      <c r="V60" s="63" t="n">
        <f aca="false">IFERROR(S60/F60,0)</f>
        <v>0.755632582322357</v>
      </c>
      <c r="W60" s="63" t="n">
        <f aca="false">IFERROR(R60/F60,0)</f>
        <v>0.244367417677643</v>
      </c>
      <c r="X60" s="63" t="n">
        <f aca="false">IFERROR(T60/F60,0)</f>
        <v>0.0225303292894281</v>
      </c>
      <c r="Y60" s="63" t="n">
        <f aca="false">IFERROR(G60/F60,0)</f>
        <v>0</v>
      </c>
      <c r="Z60" s="59" t="n">
        <f aca="false">IF(E60&gt;0,F60*1000000000/E60,"")</f>
        <v>485.758001930011</v>
      </c>
      <c r="AA60" s="63" t="n">
        <f aca="false">IFERROR((R60+S60+J60)/F60,0)</f>
        <v>1</v>
      </c>
      <c r="AB60" s="0" t="str">
        <f aca="false">A60&amp;"|"&amp;D60</f>
        <v>Angola|2022</v>
      </c>
    </row>
    <row r="61" customFormat="false" ht="15" hidden="false" customHeight="false" outlineLevel="0" collapsed="false">
      <c r="A61" s="0" t="s">
        <v>185</v>
      </c>
      <c r="B61" s="0" t="s">
        <v>423</v>
      </c>
      <c r="C61" s="0" t="s">
        <v>127</v>
      </c>
      <c r="D61" s="0" t="n">
        <v>2023</v>
      </c>
      <c r="E61" s="59" t="n">
        <v>36749909</v>
      </c>
      <c r="F61" s="60" t="n">
        <v>15.75</v>
      </c>
      <c r="G61" s="61" t="n">
        <v>0</v>
      </c>
      <c r="H61" s="61" t="n">
        <v>1.39</v>
      </c>
      <c r="I61" s="61" t="n">
        <v>2.7</v>
      </c>
      <c r="J61" s="61" t="n">
        <v>0</v>
      </c>
      <c r="K61" s="61" t="n">
        <v>11.22</v>
      </c>
      <c r="L61" s="61" t="n">
        <v>0.39</v>
      </c>
      <c r="M61" s="61" t="n">
        <v>0</v>
      </c>
      <c r="N61" s="61" t="n">
        <v>0.05</v>
      </c>
      <c r="O61" s="61" t="n">
        <v>0</v>
      </c>
      <c r="P61" s="62" t="n">
        <v>183.5</v>
      </c>
      <c r="Q61" s="0" t="n">
        <v>0</v>
      </c>
      <c r="R61" s="60" t="n">
        <f aca="false">G61+H61+I61</f>
        <v>4.09</v>
      </c>
      <c r="S61" s="60" t="n">
        <f aca="false">K61+L61+M61+N61+O61</f>
        <v>11.66</v>
      </c>
      <c r="T61" s="60" t="n">
        <f aca="false">L61+M61</f>
        <v>0.39</v>
      </c>
      <c r="U61" s="60" t="n">
        <f aca="false">S61+J61</f>
        <v>11.66</v>
      </c>
      <c r="V61" s="63" t="n">
        <f aca="false">IFERROR(S61/F61,0)</f>
        <v>0.740317460317461</v>
      </c>
      <c r="W61" s="63" t="n">
        <f aca="false">IFERROR(R61/F61,0)</f>
        <v>0.25968253968254</v>
      </c>
      <c r="X61" s="63" t="n">
        <f aca="false">IFERROR(T61/F61,0)</f>
        <v>0.0247619047619048</v>
      </c>
      <c r="Y61" s="63" t="n">
        <f aca="false">IFERROR(G61/F61,0)</f>
        <v>0</v>
      </c>
      <c r="Z61" s="59" t="n">
        <f aca="false">IF(E61&gt;0,F61*1000000000/E61,"")</f>
        <v>428.572489798546</v>
      </c>
      <c r="AA61" s="63" t="n">
        <f aca="false">IFERROR((R61+S61+J61)/F61,0)</f>
        <v>1</v>
      </c>
      <c r="AB61" s="0" t="str">
        <f aca="false">A61&amp;"|"&amp;D61</f>
        <v>Angola|2023</v>
      </c>
    </row>
    <row r="62" customFormat="false" ht="15" hidden="false" customHeight="false" outlineLevel="0" collapsed="false">
      <c r="A62" s="0" t="s">
        <v>185</v>
      </c>
      <c r="B62" s="0" t="s">
        <v>423</v>
      </c>
      <c r="C62" s="0" t="s">
        <v>127</v>
      </c>
      <c r="D62" s="0" t="n">
        <v>2024</v>
      </c>
      <c r="E62" s="59" t="n">
        <v>37885854</v>
      </c>
      <c r="F62" s="60" t="n">
        <v>15.59</v>
      </c>
      <c r="G62" s="61" t="n">
        <v>0</v>
      </c>
      <c r="H62" s="61" t="n">
        <v>1.4</v>
      </c>
      <c r="I62" s="61" t="n">
        <v>2.7</v>
      </c>
      <c r="J62" s="61" t="n">
        <v>0</v>
      </c>
      <c r="K62" s="61" t="n">
        <v>11</v>
      </c>
      <c r="L62" s="61" t="n">
        <v>0.44</v>
      </c>
      <c r="M62" s="61" t="n">
        <v>0</v>
      </c>
      <c r="N62" s="61" t="n">
        <v>0.05</v>
      </c>
      <c r="O62" s="61" t="n">
        <v>0</v>
      </c>
      <c r="P62" s="62" t="n">
        <v>185.4</v>
      </c>
      <c r="Q62" s="0" t="n">
        <v>0</v>
      </c>
      <c r="R62" s="60" t="n">
        <f aca="false">G62+H62+I62</f>
        <v>4.1</v>
      </c>
      <c r="S62" s="60" t="n">
        <f aca="false">K62+L62+M62+N62+O62</f>
        <v>11.49</v>
      </c>
      <c r="T62" s="60" t="n">
        <f aca="false">L62+M62</f>
        <v>0.44</v>
      </c>
      <c r="U62" s="60" t="n">
        <f aca="false">S62+J62</f>
        <v>11.49</v>
      </c>
      <c r="V62" s="63" t="n">
        <f aca="false">IFERROR(S62/F62,0)</f>
        <v>0.737010904425914</v>
      </c>
      <c r="W62" s="63" t="n">
        <f aca="false">IFERROR(R62/F62,0)</f>
        <v>0.262989095574086</v>
      </c>
      <c r="X62" s="63" t="n">
        <f aca="false">IFERROR(T62/F62,0)</f>
        <v>0.0282232200128287</v>
      </c>
      <c r="Y62" s="63" t="n">
        <f aca="false">IFERROR(G62/F62,0)</f>
        <v>0</v>
      </c>
      <c r="Z62" s="59" t="n">
        <f aca="false">IF(E62&gt;0,F62*1000000000/E62,"")</f>
        <v>411.499236628004</v>
      </c>
      <c r="AA62" s="63" t="n">
        <f aca="false">IFERROR((R62+S62+J62)/F62,0)</f>
        <v>1</v>
      </c>
      <c r="AB62" s="0" t="str">
        <f aca="false">A62&amp;"|"&amp;D62</f>
        <v>Angola|2024</v>
      </c>
    </row>
    <row r="63" customFormat="false" ht="15" hidden="false" customHeight="false" outlineLevel="0" collapsed="false">
      <c r="A63" s="0" t="s">
        <v>186</v>
      </c>
      <c r="B63" s="0" t="s">
        <v>424</v>
      </c>
      <c r="C63" s="0" t="s">
        <v>127</v>
      </c>
      <c r="D63" s="0" t="n">
        <v>2015</v>
      </c>
      <c r="E63" s="59" t="n">
        <v>89421</v>
      </c>
      <c r="F63" s="60" t="n">
        <v>0.35</v>
      </c>
      <c r="G63" s="61" t="n">
        <v>0</v>
      </c>
      <c r="H63" s="61" t="n">
        <v>0</v>
      </c>
      <c r="I63" s="61" t="n">
        <v>0.34</v>
      </c>
      <c r="J63" s="61" t="n">
        <v>0</v>
      </c>
      <c r="K63" s="61" t="n">
        <v>0</v>
      </c>
      <c r="L63" s="61" t="n">
        <v>0.01</v>
      </c>
      <c r="M63" s="61" t="n">
        <v>0</v>
      </c>
      <c r="N63" s="61" t="n">
        <v>0</v>
      </c>
      <c r="O63" s="61" t="n">
        <v>0</v>
      </c>
      <c r="P63" s="62" t="n">
        <v>628.6</v>
      </c>
      <c r="Q63" s="0" t="n">
        <v>0</v>
      </c>
      <c r="R63" s="60" t="n">
        <f aca="false">G63+H63+I63</f>
        <v>0.34</v>
      </c>
      <c r="S63" s="60" t="n">
        <f aca="false">K63+L63+M63+N63+O63</f>
        <v>0.01</v>
      </c>
      <c r="T63" s="60" t="n">
        <f aca="false">L63+M63</f>
        <v>0.01</v>
      </c>
      <c r="U63" s="60" t="n">
        <f aca="false">S63+J63</f>
        <v>0.01</v>
      </c>
      <c r="V63" s="63" t="n">
        <f aca="false">IFERROR(S63/F63,0)</f>
        <v>0.0285714285714286</v>
      </c>
      <c r="W63" s="63" t="n">
        <f aca="false">IFERROR(R63/F63,0)</f>
        <v>0.971428571428572</v>
      </c>
      <c r="X63" s="63" t="n">
        <f aca="false">IFERROR(T63/F63,0)</f>
        <v>0.0285714285714286</v>
      </c>
      <c r="Y63" s="63" t="n">
        <f aca="false">IFERROR(G63/F63,0)</f>
        <v>0</v>
      </c>
      <c r="Z63" s="59" t="n">
        <f aca="false">IF(E63&gt;0,F63*1000000000/E63,"")</f>
        <v>3914.06940204203</v>
      </c>
      <c r="AA63" s="63" t="n">
        <f aca="false">IFERROR((R63+S63+J63)/F63,0)</f>
        <v>1</v>
      </c>
      <c r="AB63" s="0" t="str">
        <f aca="false">A63&amp;"|"&amp;D63</f>
        <v>Antigua and Barbuda|2015</v>
      </c>
    </row>
    <row r="64" customFormat="false" ht="15" hidden="false" customHeight="false" outlineLevel="0" collapsed="false">
      <c r="A64" s="0" t="s">
        <v>186</v>
      </c>
      <c r="B64" s="0" t="s">
        <v>424</v>
      </c>
      <c r="C64" s="0" t="s">
        <v>127</v>
      </c>
      <c r="D64" s="0" t="n">
        <v>2016</v>
      </c>
      <c r="E64" s="59" t="n">
        <v>89980</v>
      </c>
      <c r="F64" s="60" t="n">
        <v>0.34</v>
      </c>
      <c r="G64" s="61" t="n">
        <v>0</v>
      </c>
      <c r="H64" s="61" t="n">
        <v>0</v>
      </c>
      <c r="I64" s="61" t="n">
        <v>0.34</v>
      </c>
      <c r="J64" s="61" t="n">
        <v>0</v>
      </c>
      <c r="K64" s="61" t="n">
        <v>0</v>
      </c>
      <c r="L64" s="61" t="n">
        <v>0</v>
      </c>
      <c r="M64" s="61" t="n">
        <v>0</v>
      </c>
      <c r="N64" s="61" t="n">
        <v>0</v>
      </c>
      <c r="O64" s="61" t="n">
        <v>0</v>
      </c>
      <c r="P64" s="62" t="n">
        <v>647.1</v>
      </c>
      <c r="Q64" s="0" t="n">
        <v>0</v>
      </c>
      <c r="R64" s="60" t="n">
        <f aca="false">G64+H64+I64</f>
        <v>0.34</v>
      </c>
      <c r="S64" s="60" t="n">
        <f aca="false">K64+L64+M64+N64+O64</f>
        <v>0</v>
      </c>
      <c r="T64" s="60" t="n">
        <f aca="false">L64+M64</f>
        <v>0</v>
      </c>
      <c r="U64" s="60" t="n">
        <f aca="false">S64+J64</f>
        <v>0</v>
      </c>
      <c r="V64" s="63" t="n">
        <f aca="false">IFERROR(S64/F64,0)</f>
        <v>0</v>
      </c>
      <c r="W64" s="63" t="n">
        <f aca="false">IFERROR(R64/F64,0)</f>
        <v>1</v>
      </c>
      <c r="X64" s="63" t="n">
        <f aca="false">IFERROR(T64/F64,0)</f>
        <v>0</v>
      </c>
      <c r="Y64" s="63" t="n">
        <f aca="false">IFERROR(G64/F64,0)</f>
        <v>0</v>
      </c>
      <c r="Z64" s="59" t="n">
        <f aca="false">IF(E64&gt;0,F64*1000000000/E64,"")</f>
        <v>3778.61747054901</v>
      </c>
      <c r="AA64" s="63" t="n">
        <f aca="false">IFERROR((R64+S64+J64)/F64,0)</f>
        <v>1</v>
      </c>
      <c r="AB64" s="0" t="str">
        <f aca="false">A64&amp;"|"&amp;D64</f>
        <v>Antigua and Barbuda|2016</v>
      </c>
    </row>
    <row r="65" customFormat="false" ht="15" hidden="false" customHeight="false" outlineLevel="0" collapsed="false">
      <c r="A65" s="0" t="s">
        <v>186</v>
      </c>
      <c r="B65" s="0" t="s">
        <v>424</v>
      </c>
      <c r="C65" s="0" t="s">
        <v>127</v>
      </c>
      <c r="D65" s="0" t="n">
        <v>2017</v>
      </c>
      <c r="E65" s="59" t="n">
        <v>90483</v>
      </c>
      <c r="F65" s="60" t="n">
        <v>0.35</v>
      </c>
      <c r="G65" s="61" t="n">
        <v>0</v>
      </c>
      <c r="H65" s="61" t="n">
        <v>0</v>
      </c>
      <c r="I65" s="61" t="n">
        <v>0.34</v>
      </c>
      <c r="J65" s="61" t="n">
        <v>0</v>
      </c>
      <c r="K65" s="61" t="n">
        <v>0</v>
      </c>
      <c r="L65" s="61" t="n">
        <v>0.01</v>
      </c>
      <c r="M65" s="61" t="n">
        <v>0</v>
      </c>
      <c r="N65" s="61" t="n">
        <v>0</v>
      </c>
      <c r="O65" s="61" t="n">
        <v>0</v>
      </c>
      <c r="P65" s="62" t="n">
        <v>628.6</v>
      </c>
      <c r="Q65" s="0" t="n">
        <v>0</v>
      </c>
      <c r="R65" s="60" t="n">
        <f aca="false">G65+H65+I65</f>
        <v>0.34</v>
      </c>
      <c r="S65" s="60" t="n">
        <f aca="false">K65+L65+M65+N65+O65</f>
        <v>0.01</v>
      </c>
      <c r="T65" s="60" t="n">
        <f aca="false">L65+M65</f>
        <v>0.01</v>
      </c>
      <c r="U65" s="60" t="n">
        <f aca="false">S65+J65</f>
        <v>0.01</v>
      </c>
      <c r="V65" s="63" t="n">
        <f aca="false">IFERROR(S65/F65,0)</f>
        <v>0.0285714285714286</v>
      </c>
      <c r="W65" s="63" t="n">
        <f aca="false">IFERROR(R65/F65,0)</f>
        <v>0.971428571428572</v>
      </c>
      <c r="X65" s="63" t="n">
        <f aca="false">IFERROR(T65/F65,0)</f>
        <v>0.0285714285714286</v>
      </c>
      <c r="Y65" s="63" t="n">
        <f aca="false">IFERROR(G65/F65,0)</f>
        <v>0</v>
      </c>
      <c r="Z65" s="59" t="n">
        <f aca="false">IF(E65&gt;0,F65*1000000000/E65,"")</f>
        <v>3868.12992495828</v>
      </c>
      <c r="AA65" s="63" t="n">
        <f aca="false">IFERROR((R65+S65+J65)/F65,0)</f>
        <v>1</v>
      </c>
      <c r="AB65" s="0" t="str">
        <f aca="false">A65&amp;"|"&amp;D65</f>
        <v>Antigua and Barbuda|2017</v>
      </c>
    </row>
    <row r="66" customFormat="false" ht="15" hidden="false" customHeight="false" outlineLevel="0" collapsed="false">
      <c r="A66" s="0" t="s">
        <v>186</v>
      </c>
      <c r="B66" s="0" t="s">
        <v>424</v>
      </c>
      <c r="C66" s="0" t="s">
        <v>127</v>
      </c>
      <c r="D66" s="0" t="n">
        <v>2018</v>
      </c>
      <c r="E66" s="59" t="n">
        <v>90942</v>
      </c>
      <c r="F66" s="60" t="n">
        <v>0.36</v>
      </c>
      <c r="G66" s="61" t="n">
        <v>0</v>
      </c>
      <c r="H66" s="61" t="n">
        <v>0</v>
      </c>
      <c r="I66" s="61" t="n">
        <v>0.35</v>
      </c>
      <c r="J66" s="61" t="n">
        <v>0</v>
      </c>
      <c r="K66" s="61" t="n">
        <v>0</v>
      </c>
      <c r="L66" s="61" t="n">
        <v>0.01</v>
      </c>
      <c r="M66" s="61" t="n">
        <v>0</v>
      </c>
      <c r="N66" s="61" t="n">
        <v>0</v>
      </c>
      <c r="O66" s="61" t="n">
        <v>0</v>
      </c>
      <c r="P66" s="62" t="n">
        <v>638.9</v>
      </c>
      <c r="Q66" s="0" t="n">
        <v>0</v>
      </c>
      <c r="R66" s="60" t="n">
        <f aca="false">G66+H66+I66</f>
        <v>0.35</v>
      </c>
      <c r="S66" s="60" t="n">
        <f aca="false">K66+L66+M66+N66+O66</f>
        <v>0.01</v>
      </c>
      <c r="T66" s="60" t="n">
        <f aca="false">L66+M66</f>
        <v>0.01</v>
      </c>
      <c r="U66" s="60" t="n">
        <f aca="false">S66+J66</f>
        <v>0.01</v>
      </c>
      <c r="V66" s="63" t="n">
        <f aca="false">IFERROR(S66/F66,0)</f>
        <v>0.0277777777777778</v>
      </c>
      <c r="W66" s="63" t="n">
        <f aca="false">IFERROR(R66/F66,0)</f>
        <v>0.972222222222222</v>
      </c>
      <c r="X66" s="63" t="n">
        <f aca="false">IFERROR(T66/F66,0)</f>
        <v>0.0277777777777778</v>
      </c>
      <c r="Y66" s="63" t="n">
        <f aca="false">IFERROR(G66/F66,0)</f>
        <v>0</v>
      </c>
      <c r="Z66" s="59" t="n">
        <f aca="false">IF(E66&gt;0,F66*1000000000/E66,"")</f>
        <v>3958.56699874645</v>
      </c>
      <c r="AA66" s="63" t="n">
        <f aca="false">IFERROR((R66+S66+J66)/F66,0)</f>
        <v>1</v>
      </c>
      <c r="AB66" s="0" t="str">
        <f aca="false">A66&amp;"|"&amp;D66</f>
        <v>Antigua and Barbuda|2018</v>
      </c>
    </row>
    <row r="67" customFormat="false" ht="15" hidden="false" customHeight="false" outlineLevel="0" collapsed="false">
      <c r="A67" s="0" t="s">
        <v>186</v>
      </c>
      <c r="B67" s="0" t="s">
        <v>424</v>
      </c>
      <c r="C67" s="0" t="s">
        <v>127</v>
      </c>
      <c r="D67" s="0" t="n">
        <v>2019</v>
      </c>
      <c r="E67" s="59" t="n">
        <v>91377</v>
      </c>
      <c r="F67" s="60" t="n">
        <v>0.36</v>
      </c>
      <c r="G67" s="61" t="n">
        <v>0</v>
      </c>
      <c r="H67" s="61" t="n">
        <v>0</v>
      </c>
      <c r="I67" s="61" t="n">
        <v>0.35</v>
      </c>
      <c r="J67" s="61" t="n">
        <v>0</v>
      </c>
      <c r="K67" s="61" t="n">
        <v>0</v>
      </c>
      <c r="L67" s="61" t="n">
        <v>0.01</v>
      </c>
      <c r="M67" s="61" t="n">
        <v>0</v>
      </c>
      <c r="N67" s="61" t="n">
        <v>0</v>
      </c>
      <c r="O67" s="61" t="n">
        <v>0</v>
      </c>
      <c r="P67" s="62" t="n">
        <v>638.9</v>
      </c>
      <c r="Q67" s="0" t="n">
        <v>0</v>
      </c>
      <c r="R67" s="60" t="n">
        <f aca="false">G67+H67+I67</f>
        <v>0.35</v>
      </c>
      <c r="S67" s="60" t="n">
        <f aca="false">K67+L67+M67+N67+O67</f>
        <v>0.01</v>
      </c>
      <c r="T67" s="60" t="n">
        <f aca="false">L67+M67</f>
        <v>0.01</v>
      </c>
      <c r="U67" s="60" t="n">
        <f aca="false">S67+J67</f>
        <v>0.01</v>
      </c>
      <c r="V67" s="63" t="n">
        <f aca="false">IFERROR(S67/F67,0)</f>
        <v>0.0277777777777778</v>
      </c>
      <c r="W67" s="63" t="n">
        <f aca="false">IFERROR(R67/F67,0)</f>
        <v>0.972222222222222</v>
      </c>
      <c r="X67" s="63" t="n">
        <f aca="false">IFERROR(T67/F67,0)</f>
        <v>0.0277777777777778</v>
      </c>
      <c r="Y67" s="63" t="n">
        <f aca="false">IFERROR(G67/F67,0)</f>
        <v>0</v>
      </c>
      <c r="Z67" s="59" t="n">
        <f aca="false">IF(E67&gt;0,F67*1000000000/E67,"")</f>
        <v>3939.7222495814</v>
      </c>
      <c r="AA67" s="63" t="n">
        <f aca="false">IFERROR((R67+S67+J67)/F67,0)</f>
        <v>1</v>
      </c>
      <c r="AB67" s="0" t="str">
        <f aca="false">A67&amp;"|"&amp;D67</f>
        <v>Antigua and Barbuda|2019</v>
      </c>
    </row>
    <row r="68" customFormat="false" ht="15" hidden="false" customHeight="false" outlineLevel="0" collapsed="false">
      <c r="A68" s="0" t="s">
        <v>186</v>
      </c>
      <c r="B68" s="0" t="s">
        <v>424</v>
      </c>
      <c r="C68" s="0" t="s">
        <v>127</v>
      </c>
      <c r="D68" s="0" t="n">
        <v>2020</v>
      </c>
      <c r="E68" s="59" t="n">
        <v>91864</v>
      </c>
      <c r="F68" s="60" t="n">
        <v>0.35</v>
      </c>
      <c r="G68" s="61" t="n">
        <v>0</v>
      </c>
      <c r="H68" s="61" t="n">
        <v>0</v>
      </c>
      <c r="I68" s="61" t="n">
        <v>0.33</v>
      </c>
      <c r="J68" s="61" t="n">
        <v>0</v>
      </c>
      <c r="K68" s="61" t="n">
        <v>0</v>
      </c>
      <c r="L68" s="61" t="n">
        <v>0.02</v>
      </c>
      <c r="M68" s="61" t="n">
        <v>0</v>
      </c>
      <c r="N68" s="61" t="n">
        <v>0</v>
      </c>
      <c r="O68" s="61" t="n">
        <v>0</v>
      </c>
      <c r="P68" s="62" t="n">
        <v>628.6</v>
      </c>
      <c r="Q68" s="0" t="n">
        <v>0</v>
      </c>
      <c r="R68" s="60" t="n">
        <f aca="false">G68+H68+I68</f>
        <v>0.33</v>
      </c>
      <c r="S68" s="60" t="n">
        <f aca="false">K68+L68+M68+N68+O68</f>
        <v>0.02</v>
      </c>
      <c r="T68" s="60" t="n">
        <f aca="false">L68+M68</f>
        <v>0.02</v>
      </c>
      <c r="U68" s="60" t="n">
        <f aca="false">S68+J68</f>
        <v>0.02</v>
      </c>
      <c r="V68" s="63" t="n">
        <f aca="false">IFERROR(S68/F68,0)</f>
        <v>0.0571428571428572</v>
      </c>
      <c r="W68" s="63" t="n">
        <f aca="false">IFERROR(R68/F68,0)</f>
        <v>0.942857142857143</v>
      </c>
      <c r="X68" s="63" t="n">
        <f aca="false">IFERROR(T68/F68,0)</f>
        <v>0.0571428571428572</v>
      </c>
      <c r="Y68" s="63" t="n">
        <f aca="false">IFERROR(G68/F68,0)</f>
        <v>0</v>
      </c>
      <c r="Z68" s="59" t="n">
        <f aca="false">IF(E68&gt;0,F68*1000000000/E68,"")</f>
        <v>3809.97997039101</v>
      </c>
      <c r="AA68" s="63" t="n">
        <f aca="false">IFERROR((R68+S68+J68)/F68,0)</f>
        <v>1</v>
      </c>
      <c r="AB68" s="0" t="str">
        <f aca="false">A68&amp;"|"&amp;D68</f>
        <v>Antigua and Barbuda|2020</v>
      </c>
    </row>
    <row r="69" customFormat="false" ht="15" hidden="false" customHeight="false" outlineLevel="0" collapsed="false">
      <c r="A69" s="0" t="s">
        <v>186</v>
      </c>
      <c r="B69" s="0" t="s">
        <v>424</v>
      </c>
      <c r="C69" s="0" t="s">
        <v>127</v>
      </c>
      <c r="D69" s="0" t="n">
        <v>2021</v>
      </c>
      <c r="E69" s="59" t="n">
        <v>92358</v>
      </c>
      <c r="F69" s="60" t="n">
        <v>0.35</v>
      </c>
      <c r="G69" s="61" t="n">
        <v>0</v>
      </c>
      <c r="H69" s="61" t="n">
        <v>0</v>
      </c>
      <c r="I69" s="61" t="n">
        <v>0.33</v>
      </c>
      <c r="J69" s="61" t="n">
        <v>0</v>
      </c>
      <c r="K69" s="61" t="n">
        <v>0</v>
      </c>
      <c r="L69" s="61" t="n">
        <v>0.02</v>
      </c>
      <c r="M69" s="61" t="n">
        <v>0</v>
      </c>
      <c r="N69" s="61" t="n">
        <v>0</v>
      </c>
      <c r="O69" s="61" t="n">
        <v>0</v>
      </c>
      <c r="P69" s="62" t="n">
        <v>628.6</v>
      </c>
      <c r="Q69" s="0" t="n">
        <v>0</v>
      </c>
      <c r="R69" s="60" t="n">
        <f aca="false">G69+H69+I69</f>
        <v>0.33</v>
      </c>
      <c r="S69" s="60" t="n">
        <f aca="false">K69+L69+M69+N69+O69</f>
        <v>0.02</v>
      </c>
      <c r="T69" s="60" t="n">
        <f aca="false">L69+M69</f>
        <v>0.02</v>
      </c>
      <c r="U69" s="60" t="n">
        <f aca="false">S69+J69</f>
        <v>0.02</v>
      </c>
      <c r="V69" s="63" t="n">
        <f aca="false">IFERROR(S69/F69,0)</f>
        <v>0.0571428571428572</v>
      </c>
      <c r="W69" s="63" t="n">
        <f aca="false">IFERROR(R69/F69,0)</f>
        <v>0.942857142857143</v>
      </c>
      <c r="X69" s="63" t="n">
        <f aca="false">IFERROR(T69/F69,0)</f>
        <v>0.0571428571428572</v>
      </c>
      <c r="Y69" s="63" t="n">
        <f aca="false">IFERROR(G69/F69,0)</f>
        <v>0</v>
      </c>
      <c r="Z69" s="59" t="n">
        <f aca="false">IF(E69&gt;0,F69*1000000000/E69,"")</f>
        <v>3789.60133393967</v>
      </c>
      <c r="AA69" s="63" t="n">
        <f aca="false">IFERROR((R69+S69+J69)/F69,0)</f>
        <v>1</v>
      </c>
      <c r="AB69" s="0" t="str">
        <f aca="false">A69&amp;"|"&amp;D69</f>
        <v>Antigua and Barbuda|2021</v>
      </c>
    </row>
    <row r="70" customFormat="false" ht="15" hidden="false" customHeight="false" outlineLevel="0" collapsed="false">
      <c r="A70" s="0" t="s">
        <v>186</v>
      </c>
      <c r="B70" s="0" t="s">
        <v>424</v>
      </c>
      <c r="C70" s="0" t="s">
        <v>127</v>
      </c>
      <c r="D70" s="0" t="n">
        <v>2022</v>
      </c>
      <c r="E70" s="59" t="n">
        <v>92850</v>
      </c>
      <c r="F70" s="60" t="n">
        <v>0.36</v>
      </c>
      <c r="G70" s="61" t="n">
        <v>0</v>
      </c>
      <c r="H70" s="61" t="n">
        <v>0</v>
      </c>
      <c r="I70" s="61" t="n">
        <v>0.34</v>
      </c>
      <c r="J70" s="61" t="n">
        <v>0</v>
      </c>
      <c r="K70" s="61" t="n">
        <v>0</v>
      </c>
      <c r="L70" s="61" t="n">
        <v>0.02</v>
      </c>
      <c r="M70" s="61" t="n">
        <v>0</v>
      </c>
      <c r="N70" s="61" t="n">
        <v>0</v>
      </c>
      <c r="O70" s="61" t="n">
        <v>0</v>
      </c>
      <c r="P70" s="62" t="n">
        <v>611.1</v>
      </c>
      <c r="Q70" s="0" t="n">
        <v>0</v>
      </c>
      <c r="R70" s="60" t="n">
        <f aca="false">G70+H70+I70</f>
        <v>0.34</v>
      </c>
      <c r="S70" s="60" t="n">
        <f aca="false">K70+L70+M70+N70+O70</f>
        <v>0.02</v>
      </c>
      <c r="T70" s="60" t="n">
        <f aca="false">L70+M70</f>
        <v>0.02</v>
      </c>
      <c r="U70" s="60" t="n">
        <f aca="false">S70+J70</f>
        <v>0.02</v>
      </c>
      <c r="V70" s="63" t="n">
        <f aca="false">IFERROR(S70/F70,0)</f>
        <v>0.0555555555555556</v>
      </c>
      <c r="W70" s="63" t="n">
        <f aca="false">IFERROR(R70/F70,0)</f>
        <v>0.944444444444445</v>
      </c>
      <c r="X70" s="63" t="n">
        <f aca="false">IFERROR(T70/F70,0)</f>
        <v>0.0555555555555556</v>
      </c>
      <c r="Y70" s="63" t="n">
        <f aca="false">IFERROR(G70/F70,0)</f>
        <v>0</v>
      </c>
      <c r="Z70" s="59" t="n">
        <f aca="false">IF(E70&gt;0,F70*1000000000/E70,"")</f>
        <v>3877.22132471729</v>
      </c>
      <c r="AA70" s="63" t="n">
        <f aca="false">IFERROR((R70+S70+J70)/F70,0)</f>
        <v>1</v>
      </c>
      <c r="AB70" s="0" t="str">
        <f aca="false">A70&amp;"|"&amp;D70</f>
        <v>Antigua and Barbuda|2022</v>
      </c>
    </row>
    <row r="71" customFormat="false" ht="15" hidden="false" customHeight="false" outlineLevel="0" collapsed="false">
      <c r="A71" s="0" t="s">
        <v>186</v>
      </c>
      <c r="B71" s="0" t="s">
        <v>424</v>
      </c>
      <c r="C71" s="0" t="s">
        <v>127</v>
      </c>
      <c r="D71" s="0" t="n">
        <v>2023</v>
      </c>
      <c r="E71" s="59" t="n">
        <v>93331</v>
      </c>
      <c r="F71" s="60" t="n">
        <v>0.36</v>
      </c>
      <c r="G71" s="61" t="n">
        <v>0</v>
      </c>
      <c r="H71" s="61" t="n">
        <v>0</v>
      </c>
      <c r="I71" s="61" t="n">
        <v>0.34</v>
      </c>
      <c r="J71" s="61" t="n">
        <v>0</v>
      </c>
      <c r="K71" s="61" t="n">
        <v>0</v>
      </c>
      <c r="L71" s="61" t="n">
        <v>0.02</v>
      </c>
      <c r="M71" s="61" t="n">
        <v>0</v>
      </c>
      <c r="N71" s="61" t="n">
        <v>0</v>
      </c>
      <c r="O71" s="61" t="n">
        <v>0</v>
      </c>
      <c r="P71" s="62" t="n">
        <v>611.1</v>
      </c>
      <c r="Q71" s="0" t="n">
        <v>0</v>
      </c>
      <c r="R71" s="60" t="n">
        <f aca="false">G71+H71+I71</f>
        <v>0.34</v>
      </c>
      <c r="S71" s="60" t="n">
        <f aca="false">K71+L71+M71+N71+O71</f>
        <v>0.02</v>
      </c>
      <c r="T71" s="60" t="n">
        <f aca="false">L71+M71</f>
        <v>0.02</v>
      </c>
      <c r="U71" s="60" t="n">
        <f aca="false">S71+J71</f>
        <v>0.02</v>
      </c>
      <c r="V71" s="63" t="n">
        <f aca="false">IFERROR(S71/F71,0)</f>
        <v>0.0555555555555556</v>
      </c>
      <c r="W71" s="63" t="n">
        <f aca="false">IFERROR(R71/F71,0)</f>
        <v>0.944444444444445</v>
      </c>
      <c r="X71" s="63" t="n">
        <f aca="false">IFERROR(T71/F71,0)</f>
        <v>0.0555555555555556</v>
      </c>
      <c r="Y71" s="63" t="n">
        <f aca="false">IFERROR(G71/F71,0)</f>
        <v>0</v>
      </c>
      <c r="Z71" s="59" t="n">
        <f aca="false">IF(E71&gt;0,F71*1000000000/E71,"")</f>
        <v>3857.23928812506</v>
      </c>
      <c r="AA71" s="63" t="n">
        <f aca="false">IFERROR((R71+S71+J71)/F71,0)</f>
        <v>1</v>
      </c>
      <c r="AB71" s="0" t="str">
        <f aca="false">A71&amp;"|"&amp;D71</f>
        <v>Antigua and Barbuda|2023</v>
      </c>
    </row>
    <row r="72" customFormat="false" ht="15" hidden="false" customHeight="false" outlineLevel="0" collapsed="false">
      <c r="A72" s="0" t="s">
        <v>186</v>
      </c>
      <c r="B72" s="0" t="s">
        <v>424</v>
      </c>
      <c r="C72" s="0" t="s">
        <v>127</v>
      </c>
      <c r="D72" s="0" t="n">
        <v>2024</v>
      </c>
      <c r="E72" s="59" t="n">
        <v>93782</v>
      </c>
      <c r="F72" s="60" t="n">
        <v>0.37</v>
      </c>
      <c r="G72" s="61" t="n">
        <v>0</v>
      </c>
      <c r="H72" s="61" t="n">
        <v>0</v>
      </c>
      <c r="I72" s="61" t="n">
        <v>0.34</v>
      </c>
      <c r="J72" s="61" t="n">
        <v>0</v>
      </c>
      <c r="K72" s="61" t="n">
        <v>0</v>
      </c>
      <c r="L72" s="61" t="n">
        <v>0.03</v>
      </c>
      <c r="M72" s="61" t="n">
        <v>0</v>
      </c>
      <c r="N72" s="61" t="n">
        <v>0</v>
      </c>
      <c r="O72" s="61" t="n">
        <v>0</v>
      </c>
      <c r="P72" s="62" t="n">
        <v>594.6</v>
      </c>
      <c r="Q72" s="0" t="n">
        <v>0</v>
      </c>
      <c r="R72" s="60" t="n">
        <f aca="false">G72+H72+I72</f>
        <v>0.34</v>
      </c>
      <c r="S72" s="60" t="n">
        <f aca="false">K72+L72+M72+N72+O72</f>
        <v>0.03</v>
      </c>
      <c r="T72" s="60" t="n">
        <f aca="false">L72+M72</f>
        <v>0.03</v>
      </c>
      <c r="U72" s="60" t="n">
        <f aca="false">S72+J72</f>
        <v>0.03</v>
      </c>
      <c r="V72" s="63" t="n">
        <f aca="false">IFERROR(S72/F72,0)</f>
        <v>0.0810810810810811</v>
      </c>
      <c r="W72" s="63" t="n">
        <f aca="false">IFERROR(R72/F72,0)</f>
        <v>0.918918918918919</v>
      </c>
      <c r="X72" s="63" t="n">
        <f aca="false">IFERROR(T72/F72,0)</f>
        <v>0.0810810810810811</v>
      </c>
      <c r="Y72" s="63" t="n">
        <f aca="false">IFERROR(G72/F72,0)</f>
        <v>0</v>
      </c>
      <c r="Z72" s="59" t="n">
        <f aca="false">IF(E72&gt;0,F72*1000000000/E72,"")</f>
        <v>3945.31999744087</v>
      </c>
      <c r="AA72" s="63" t="n">
        <f aca="false">IFERROR((R72+S72+J72)/F72,0)</f>
        <v>1</v>
      </c>
      <c r="AB72" s="0" t="str">
        <f aca="false">A72&amp;"|"&amp;D72</f>
        <v>Antigua and Barbuda|2024</v>
      </c>
    </row>
    <row r="73" customFormat="false" ht="15" hidden="false" customHeight="false" outlineLevel="0" collapsed="false">
      <c r="A73" s="0" t="s">
        <v>187</v>
      </c>
      <c r="B73" s="0" t="s">
        <v>425</v>
      </c>
      <c r="C73" s="0" t="s">
        <v>127</v>
      </c>
      <c r="D73" s="0" t="n">
        <v>2015</v>
      </c>
      <c r="E73" s="59" t="n">
        <v>43477011</v>
      </c>
      <c r="F73" s="60" t="n">
        <v>145.42</v>
      </c>
      <c r="G73" s="61" t="n">
        <v>2.39</v>
      </c>
      <c r="H73" s="61" t="n">
        <v>79.11</v>
      </c>
      <c r="I73" s="61" t="n">
        <v>22.45</v>
      </c>
      <c r="J73" s="61" t="n">
        <v>7.04</v>
      </c>
      <c r="K73" s="61" t="n">
        <v>32.34</v>
      </c>
      <c r="L73" s="61" t="n">
        <v>0.01</v>
      </c>
      <c r="M73" s="61" t="n">
        <v>0.59</v>
      </c>
      <c r="N73" s="61" t="n">
        <v>1.49</v>
      </c>
      <c r="O73" s="61" t="n">
        <v>0</v>
      </c>
      <c r="P73" s="62" t="n">
        <v>426.6</v>
      </c>
      <c r="Q73" s="0" t="n">
        <v>1</v>
      </c>
      <c r="R73" s="60" t="n">
        <f aca="false">G73+H73+I73</f>
        <v>103.95</v>
      </c>
      <c r="S73" s="60" t="n">
        <f aca="false">K73+L73+M73+N73+O73</f>
        <v>34.43</v>
      </c>
      <c r="T73" s="60" t="n">
        <f aca="false">L73+M73</f>
        <v>0.6</v>
      </c>
      <c r="U73" s="60" t="n">
        <f aca="false">S73+J73</f>
        <v>41.47</v>
      </c>
      <c r="V73" s="63" t="n">
        <f aca="false">IFERROR(S73/F73,0)</f>
        <v>0.236762481089259</v>
      </c>
      <c r="W73" s="63" t="n">
        <f aca="false">IFERROR(R73/F73,0)</f>
        <v>0.71482602118003</v>
      </c>
      <c r="X73" s="63" t="n">
        <f aca="false">IFERROR(T73/F73,0)</f>
        <v>0.00412597992023106</v>
      </c>
      <c r="Y73" s="63" t="n">
        <f aca="false">IFERROR(G73/F73,0)</f>
        <v>0.0164351533489204</v>
      </c>
      <c r="Z73" s="59" t="n">
        <f aca="false">IF(E73&gt;0,F73*1000000000/E73,"")</f>
        <v>3344.75615170509</v>
      </c>
      <c r="AA73" s="63" t="n">
        <f aca="false">IFERROR((R73+S73+J73)/F73,0)</f>
        <v>1</v>
      </c>
      <c r="AB73" s="0" t="str">
        <f aca="false">A73&amp;"|"&amp;D73</f>
        <v>Argentina|2015</v>
      </c>
    </row>
    <row r="74" customFormat="false" ht="15" hidden="false" customHeight="false" outlineLevel="0" collapsed="false">
      <c r="A74" s="0" t="s">
        <v>187</v>
      </c>
      <c r="B74" s="0" t="s">
        <v>425</v>
      </c>
      <c r="C74" s="0" t="s">
        <v>127</v>
      </c>
      <c r="D74" s="0" t="n">
        <v>2016</v>
      </c>
      <c r="E74" s="59" t="n">
        <v>43900312</v>
      </c>
      <c r="F74" s="60" t="n">
        <v>147.18</v>
      </c>
      <c r="G74" s="61" t="n">
        <v>1.93</v>
      </c>
      <c r="H74" s="61" t="n">
        <v>84.28</v>
      </c>
      <c r="I74" s="61" t="n">
        <v>21.2</v>
      </c>
      <c r="J74" s="61" t="n">
        <v>8.28</v>
      </c>
      <c r="K74" s="61" t="n">
        <v>29.75</v>
      </c>
      <c r="L74" s="61" t="n">
        <v>0.01</v>
      </c>
      <c r="M74" s="61" t="n">
        <v>0.55</v>
      </c>
      <c r="N74" s="61" t="n">
        <v>1.18</v>
      </c>
      <c r="O74" s="61" t="n">
        <v>0</v>
      </c>
      <c r="P74" s="62" t="n">
        <v>431.9</v>
      </c>
      <c r="Q74" s="0" t="n">
        <v>1</v>
      </c>
      <c r="R74" s="60" t="n">
        <f aca="false">G74+H74+I74</f>
        <v>107.41</v>
      </c>
      <c r="S74" s="60" t="n">
        <f aca="false">K74+L74+M74+N74+O74</f>
        <v>31.49</v>
      </c>
      <c r="T74" s="60" t="n">
        <f aca="false">L74+M74</f>
        <v>0.56</v>
      </c>
      <c r="U74" s="60" t="n">
        <f aca="false">S74+J74</f>
        <v>39.77</v>
      </c>
      <c r="V74" s="63" t="n">
        <f aca="false">IFERROR(S74/F74,0)</f>
        <v>0.213955700502786</v>
      </c>
      <c r="W74" s="63" t="n">
        <f aca="false">IFERROR(R74/F74,0)</f>
        <v>0.729786655795624</v>
      </c>
      <c r="X74" s="63" t="n">
        <f aca="false">IFERROR(T74/F74,0)</f>
        <v>0.00380486479141188</v>
      </c>
      <c r="Y74" s="63" t="n">
        <f aca="false">IFERROR(G74/F74,0)</f>
        <v>0.0131131947275445</v>
      </c>
      <c r="Z74" s="59" t="n">
        <f aca="false">IF(E74&gt;0,F74*1000000000/E74,"")</f>
        <v>3352.59576287294</v>
      </c>
      <c r="AA74" s="63" t="n">
        <f aca="false">IFERROR((R74+S74+J74)/F74,0)</f>
        <v>1</v>
      </c>
      <c r="AB74" s="0" t="str">
        <f aca="false">A74&amp;"|"&amp;D74</f>
        <v>Argentina|2016</v>
      </c>
    </row>
    <row r="75" customFormat="false" ht="15" hidden="false" customHeight="false" outlineLevel="0" collapsed="false">
      <c r="A75" s="0" t="s">
        <v>187</v>
      </c>
      <c r="B75" s="0" t="s">
        <v>425</v>
      </c>
      <c r="C75" s="0" t="s">
        <v>127</v>
      </c>
      <c r="D75" s="0" t="n">
        <v>2017</v>
      </c>
      <c r="E75" s="59" t="n">
        <v>44288898</v>
      </c>
      <c r="F75" s="60" t="n">
        <v>145.61</v>
      </c>
      <c r="G75" s="61" t="n">
        <v>2.01</v>
      </c>
      <c r="H75" s="61" t="n">
        <v>91.21</v>
      </c>
      <c r="I75" s="61" t="n">
        <v>12.62</v>
      </c>
      <c r="J75" s="61" t="n">
        <v>6.09</v>
      </c>
      <c r="K75" s="61" t="n">
        <v>31.59</v>
      </c>
      <c r="L75" s="61" t="n">
        <v>0.02</v>
      </c>
      <c r="M75" s="61" t="n">
        <v>0.61</v>
      </c>
      <c r="N75" s="61" t="n">
        <v>1.46</v>
      </c>
      <c r="O75" s="61" t="n">
        <v>0</v>
      </c>
      <c r="P75" s="62" t="n">
        <v>425.4</v>
      </c>
      <c r="Q75" s="0" t="n">
        <v>1</v>
      </c>
      <c r="R75" s="60" t="n">
        <f aca="false">G75+H75+I75</f>
        <v>105.84</v>
      </c>
      <c r="S75" s="60" t="n">
        <f aca="false">K75+L75+M75+N75+O75</f>
        <v>33.68</v>
      </c>
      <c r="T75" s="60" t="n">
        <f aca="false">L75+M75</f>
        <v>0.63</v>
      </c>
      <c r="U75" s="60" t="n">
        <f aca="false">S75+J75</f>
        <v>39.77</v>
      </c>
      <c r="V75" s="63" t="n">
        <f aca="false">IFERROR(S75/F75,0)</f>
        <v>0.231302795137697</v>
      </c>
      <c r="W75" s="63" t="n">
        <f aca="false">IFERROR(R75/F75,0)</f>
        <v>0.726873154316324</v>
      </c>
      <c r="X75" s="63" t="n">
        <f aca="false">IFERROR(T75/F75,0)</f>
        <v>0.00432662591854955</v>
      </c>
      <c r="Y75" s="63" t="n">
        <f aca="false">IFERROR(G75/F75,0)</f>
        <v>0.0138039969782295</v>
      </c>
      <c r="Z75" s="59" t="n">
        <f aca="false">IF(E75&gt;0,F75*1000000000/E75,"")</f>
        <v>3287.7313858656</v>
      </c>
      <c r="AA75" s="63" t="n">
        <f aca="false">IFERROR((R75+S75+J75)/F75,0)</f>
        <v>1</v>
      </c>
      <c r="AB75" s="0" t="str">
        <f aca="false">A75&amp;"|"&amp;D75</f>
        <v>Argentina|2017</v>
      </c>
    </row>
    <row r="76" customFormat="false" ht="15" hidden="false" customHeight="false" outlineLevel="0" collapsed="false">
      <c r="A76" s="0" t="s">
        <v>187</v>
      </c>
      <c r="B76" s="0" t="s">
        <v>425</v>
      </c>
      <c r="C76" s="0" t="s">
        <v>127</v>
      </c>
      <c r="D76" s="0" t="n">
        <v>2018</v>
      </c>
      <c r="E76" s="59" t="n">
        <v>44654876</v>
      </c>
      <c r="F76" s="60" t="n">
        <v>146.78</v>
      </c>
      <c r="G76" s="61" t="n">
        <v>2.03</v>
      </c>
      <c r="H76" s="61" t="n">
        <v>95.35</v>
      </c>
      <c r="I76" s="61" t="n">
        <v>7.31</v>
      </c>
      <c r="J76" s="61" t="n">
        <v>6.87</v>
      </c>
      <c r="K76" s="61" t="n">
        <v>32.28</v>
      </c>
      <c r="L76" s="61" t="n">
        <v>0.11</v>
      </c>
      <c r="M76" s="61" t="n">
        <v>1.41</v>
      </c>
      <c r="N76" s="61" t="n">
        <v>1.42</v>
      </c>
      <c r="O76" s="61" t="n">
        <v>0</v>
      </c>
      <c r="P76" s="62" t="n">
        <v>414.3</v>
      </c>
      <c r="Q76" s="0" t="n">
        <v>1</v>
      </c>
      <c r="R76" s="60" t="n">
        <f aca="false">G76+H76+I76</f>
        <v>104.69</v>
      </c>
      <c r="S76" s="60" t="n">
        <f aca="false">K76+L76+M76+N76+O76</f>
        <v>35.22</v>
      </c>
      <c r="T76" s="60" t="n">
        <f aca="false">L76+M76</f>
        <v>1.52</v>
      </c>
      <c r="U76" s="60" t="n">
        <f aca="false">S76+J76</f>
        <v>42.09</v>
      </c>
      <c r="V76" s="63" t="n">
        <f aca="false">IFERROR(S76/F76,0)</f>
        <v>0.239950946995503</v>
      </c>
      <c r="W76" s="63" t="n">
        <f aca="false">IFERROR(R76/F76,0)</f>
        <v>0.713244311214062</v>
      </c>
      <c r="X76" s="63" t="n">
        <f aca="false">IFERROR(T76/F76,0)</f>
        <v>0.0103556342825998</v>
      </c>
      <c r="Y76" s="63" t="n">
        <f aca="false">IFERROR(G76/F76,0)</f>
        <v>0.0138302221011037</v>
      </c>
      <c r="Z76" s="59" t="n">
        <f aca="false">IF(E76&gt;0,F76*1000000000/E76,"")</f>
        <v>3286.98706945239</v>
      </c>
      <c r="AA76" s="63" t="n">
        <f aca="false">IFERROR((R76+S76+J76)/F76,0)</f>
        <v>1</v>
      </c>
      <c r="AB76" s="0" t="str">
        <f aca="false">A76&amp;"|"&amp;D76</f>
        <v>Argentina|2018</v>
      </c>
    </row>
    <row r="77" customFormat="false" ht="15" hidden="false" customHeight="false" outlineLevel="0" collapsed="false">
      <c r="A77" s="0" t="s">
        <v>187</v>
      </c>
      <c r="B77" s="0" t="s">
        <v>425</v>
      </c>
      <c r="C77" s="0" t="s">
        <v>127</v>
      </c>
      <c r="D77" s="0" t="n">
        <v>2019</v>
      </c>
      <c r="E77" s="59" t="n">
        <v>44973469</v>
      </c>
      <c r="F77" s="60" t="n">
        <v>139.53</v>
      </c>
      <c r="G77" s="61" t="n">
        <v>1.17</v>
      </c>
      <c r="H77" s="61" t="n">
        <v>91.31</v>
      </c>
      <c r="I77" s="61" t="n">
        <v>3.83</v>
      </c>
      <c r="J77" s="61" t="n">
        <v>8.44</v>
      </c>
      <c r="K77" s="61" t="n">
        <v>27.5</v>
      </c>
      <c r="L77" s="61" t="n">
        <v>0.8</v>
      </c>
      <c r="M77" s="61" t="n">
        <v>5</v>
      </c>
      <c r="N77" s="61" t="n">
        <v>1.48</v>
      </c>
      <c r="O77" s="61" t="n">
        <v>0</v>
      </c>
      <c r="P77" s="62" t="n">
        <v>397.6</v>
      </c>
      <c r="Q77" s="0" t="n">
        <v>1</v>
      </c>
      <c r="R77" s="60" t="n">
        <f aca="false">G77+H77+I77</f>
        <v>96.31</v>
      </c>
      <c r="S77" s="60" t="n">
        <f aca="false">K77+L77+M77+N77+O77</f>
        <v>34.78</v>
      </c>
      <c r="T77" s="60" t="n">
        <f aca="false">L77+M77</f>
        <v>5.8</v>
      </c>
      <c r="U77" s="60" t="n">
        <f aca="false">S77+J77</f>
        <v>43.22</v>
      </c>
      <c r="V77" s="63" t="n">
        <f aca="false">IFERROR(S77/F77,0)</f>
        <v>0.24926539095535</v>
      </c>
      <c r="W77" s="63" t="n">
        <f aca="false">IFERROR(R77/F77,0)</f>
        <v>0.690245825270551</v>
      </c>
      <c r="X77" s="63" t="n">
        <f aca="false">IFERROR(T77/F77,0)</f>
        <v>0.041568121550921</v>
      </c>
      <c r="Y77" s="63" t="n">
        <f aca="false">IFERROR(G77/F77,0)</f>
        <v>0.00838529348527198</v>
      </c>
      <c r="Z77" s="59" t="n">
        <f aca="false">IF(E77&gt;0,F77*1000000000/E77,"")</f>
        <v>3102.49582926325</v>
      </c>
      <c r="AA77" s="63" t="n">
        <f aca="false">IFERROR((R77+S77+J77)/F77,0)</f>
        <v>1</v>
      </c>
      <c r="AB77" s="0" t="str">
        <f aca="false">A77&amp;"|"&amp;D77</f>
        <v>Argentina|2019</v>
      </c>
    </row>
    <row r="78" customFormat="false" ht="15" hidden="false" customHeight="false" outlineLevel="0" collapsed="false">
      <c r="A78" s="0" t="s">
        <v>187</v>
      </c>
      <c r="B78" s="0" t="s">
        <v>425</v>
      </c>
      <c r="C78" s="0" t="s">
        <v>127</v>
      </c>
      <c r="D78" s="0" t="n">
        <v>2020</v>
      </c>
      <c r="E78" s="59" t="n">
        <v>45191960</v>
      </c>
      <c r="F78" s="60" t="n">
        <v>144.64</v>
      </c>
      <c r="G78" s="61" t="n">
        <v>1.64</v>
      </c>
      <c r="H78" s="61" t="n">
        <v>88.72</v>
      </c>
      <c r="I78" s="61" t="n">
        <v>7.65</v>
      </c>
      <c r="J78" s="61" t="n">
        <v>10.01</v>
      </c>
      <c r="K78" s="61" t="n">
        <v>23.67</v>
      </c>
      <c r="L78" s="61" t="n">
        <v>1.34</v>
      </c>
      <c r="M78" s="61" t="n">
        <v>9.41</v>
      </c>
      <c r="N78" s="61" t="n">
        <v>2.2</v>
      </c>
      <c r="O78" s="61" t="n">
        <v>0</v>
      </c>
      <c r="P78" s="62" t="n">
        <v>394.7</v>
      </c>
      <c r="Q78" s="0" t="n">
        <v>1</v>
      </c>
      <c r="R78" s="60" t="n">
        <f aca="false">G78+H78+I78</f>
        <v>98.01</v>
      </c>
      <c r="S78" s="60" t="n">
        <f aca="false">K78+L78+M78+N78+O78</f>
        <v>36.62</v>
      </c>
      <c r="T78" s="60" t="n">
        <f aca="false">L78+M78</f>
        <v>10.75</v>
      </c>
      <c r="U78" s="60" t="n">
        <f aca="false">S78+J78</f>
        <v>46.63</v>
      </c>
      <c r="V78" s="63" t="n">
        <f aca="false">IFERROR(S78/F78,0)</f>
        <v>0.253180309734513</v>
      </c>
      <c r="W78" s="63" t="n">
        <f aca="false">IFERROR(R78/F78,0)</f>
        <v>0.677613384955752</v>
      </c>
      <c r="X78" s="63" t="n">
        <f aca="false">IFERROR(T78/F78,0)</f>
        <v>0.0743224557522124</v>
      </c>
      <c r="Y78" s="63" t="n">
        <f aca="false">IFERROR(G78/F78,0)</f>
        <v>0.0113384955752212</v>
      </c>
      <c r="Z78" s="59" t="n">
        <f aca="false">IF(E78&gt;0,F78*1000000000/E78,"")</f>
        <v>3200.56930480555</v>
      </c>
      <c r="AA78" s="63" t="n">
        <f aca="false">IFERROR((R78+S78+J78)/F78,0)</f>
        <v>1</v>
      </c>
      <c r="AB78" s="0" t="str">
        <f aca="false">A78&amp;"|"&amp;D78</f>
        <v>Argentina|2020</v>
      </c>
    </row>
    <row r="79" customFormat="false" ht="15" hidden="false" customHeight="false" outlineLevel="0" collapsed="false">
      <c r="A79" s="0" t="s">
        <v>187</v>
      </c>
      <c r="B79" s="0" t="s">
        <v>425</v>
      </c>
      <c r="C79" s="0" t="s">
        <v>127</v>
      </c>
      <c r="D79" s="0" t="n">
        <v>2021</v>
      </c>
      <c r="E79" s="59" t="n">
        <v>45312282</v>
      </c>
      <c r="F79" s="60" t="n">
        <v>153.15</v>
      </c>
      <c r="G79" s="61" t="n">
        <v>2.38</v>
      </c>
      <c r="H79" s="61" t="n">
        <v>89.93</v>
      </c>
      <c r="I79" s="61" t="n">
        <v>13.63</v>
      </c>
      <c r="J79" s="61" t="n">
        <v>10.17</v>
      </c>
      <c r="K79" s="61" t="n">
        <v>19.65</v>
      </c>
      <c r="L79" s="61" t="n">
        <v>2.2</v>
      </c>
      <c r="M79" s="61" t="n">
        <v>12.94</v>
      </c>
      <c r="N79" s="61" t="n">
        <v>2.25</v>
      </c>
      <c r="O79" s="61" t="n">
        <v>0</v>
      </c>
      <c r="P79" s="62" t="n">
        <v>407</v>
      </c>
      <c r="Q79" s="0" t="n">
        <v>1</v>
      </c>
      <c r="R79" s="60" t="n">
        <f aca="false">G79+H79+I79</f>
        <v>105.94</v>
      </c>
      <c r="S79" s="60" t="n">
        <f aca="false">K79+L79+M79+N79+O79</f>
        <v>37.04</v>
      </c>
      <c r="T79" s="60" t="n">
        <f aca="false">L79+M79</f>
        <v>15.14</v>
      </c>
      <c r="U79" s="60" t="n">
        <f aca="false">S79+J79</f>
        <v>47.21</v>
      </c>
      <c r="V79" s="63" t="n">
        <f aca="false">IFERROR(S79/F79,0)</f>
        <v>0.241854391119817</v>
      </c>
      <c r="W79" s="63" t="n">
        <f aca="false">IFERROR(R79/F79,0)</f>
        <v>0.691740124061378</v>
      </c>
      <c r="X79" s="63" t="n">
        <f aca="false">IFERROR(T79/F79,0)</f>
        <v>0.0988573294156056</v>
      </c>
      <c r="Y79" s="63" t="n">
        <f aca="false">IFERROR(G79/F79,0)</f>
        <v>0.0155403199477636</v>
      </c>
      <c r="Z79" s="59" t="n">
        <f aca="false">IF(E79&gt;0,F79*1000000000/E79,"")</f>
        <v>3379.87832967671</v>
      </c>
      <c r="AA79" s="63" t="n">
        <f aca="false">IFERROR((R79+S79+J79)/F79,0)</f>
        <v>1</v>
      </c>
      <c r="AB79" s="0" t="str">
        <f aca="false">A79&amp;"|"&amp;D79</f>
        <v>Argentina|2021</v>
      </c>
    </row>
    <row r="80" customFormat="false" ht="15" hidden="false" customHeight="false" outlineLevel="0" collapsed="false">
      <c r="A80" s="0" t="s">
        <v>187</v>
      </c>
      <c r="B80" s="0" t="s">
        <v>425</v>
      </c>
      <c r="C80" s="0" t="s">
        <v>127</v>
      </c>
      <c r="D80" s="0" t="n">
        <v>2022</v>
      </c>
      <c r="E80" s="59" t="n">
        <v>45407904</v>
      </c>
      <c r="F80" s="60" t="n">
        <v>145.61</v>
      </c>
      <c r="G80" s="61" t="n">
        <v>2.34</v>
      </c>
      <c r="H80" s="61" t="n">
        <v>76.6</v>
      </c>
      <c r="I80" s="61" t="n">
        <v>16.93</v>
      </c>
      <c r="J80" s="61" t="n">
        <v>7.47</v>
      </c>
      <c r="K80" s="61" t="n">
        <v>22.77</v>
      </c>
      <c r="L80" s="61" t="n">
        <v>2.94</v>
      </c>
      <c r="M80" s="61" t="n">
        <v>14.16</v>
      </c>
      <c r="N80" s="61" t="n">
        <v>2.4</v>
      </c>
      <c r="O80" s="61" t="n">
        <v>0</v>
      </c>
      <c r="P80" s="62" t="n">
        <v>392.7</v>
      </c>
      <c r="Q80" s="0" t="n">
        <v>1</v>
      </c>
      <c r="R80" s="60" t="n">
        <f aca="false">G80+H80+I80</f>
        <v>95.87</v>
      </c>
      <c r="S80" s="60" t="n">
        <f aca="false">K80+L80+M80+N80+O80</f>
        <v>42.27</v>
      </c>
      <c r="T80" s="60" t="n">
        <f aca="false">L80+M80</f>
        <v>17.1</v>
      </c>
      <c r="U80" s="60" t="n">
        <f aca="false">S80+J80</f>
        <v>49.74</v>
      </c>
      <c r="V80" s="63" t="n">
        <f aca="false">IFERROR(S80/F80,0)</f>
        <v>0.29029599615411</v>
      </c>
      <c r="W80" s="63" t="n">
        <f aca="false">IFERROR(R80/F80,0)</f>
        <v>0.658402582240231</v>
      </c>
      <c r="X80" s="63" t="n">
        <f aca="false">IFERROR(T80/F80,0)</f>
        <v>0.117436989217774</v>
      </c>
      <c r="Y80" s="63" t="n">
        <f aca="false">IFERROR(G80/F80,0)</f>
        <v>0.0160703248403269</v>
      </c>
      <c r="Z80" s="59" t="n">
        <f aca="false">IF(E80&gt;0,F80*1000000000/E80,"")</f>
        <v>3206.71044406718</v>
      </c>
      <c r="AA80" s="63" t="n">
        <f aca="false">IFERROR((R80+S80+J80)/F80,0)</f>
        <v>1</v>
      </c>
      <c r="AB80" s="0" t="str">
        <f aca="false">A80&amp;"|"&amp;D80</f>
        <v>Argentina|2022</v>
      </c>
    </row>
    <row r="81" customFormat="false" ht="15" hidden="false" customHeight="false" outlineLevel="0" collapsed="false">
      <c r="A81" s="0" t="s">
        <v>187</v>
      </c>
      <c r="B81" s="0" t="s">
        <v>425</v>
      </c>
      <c r="C81" s="0" t="s">
        <v>127</v>
      </c>
      <c r="D81" s="0" t="n">
        <v>2023</v>
      </c>
      <c r="E81" s="59" t="n">
        <v>45538402</v>
      </c>
      <c r="F81" s="60" t="n">
        <v>148.56</v>
      </c>
      <c r="G81" s="61" t="n">
        <v>1.83</v>
      </c>
      <c r="H81" s="61" t="n">
        <v>76.32</v>
      </c>
      <c r="I81" s="61" t="n">
        <v>9.8</v>
      </c>
      <c r="J81" s="61" t="n">
        <v>8.96</v>
      </c>
      <c r="K81" s="61" t="n">
        <v>31.49</v>
      </c>
      <c r="L81" s="61" t="n">
        <v>3.28</v>
      </c>
      <c r="M81" s="61" t="n">
        <v>14.48</v>
      </c>
      <c r="N81" s="61" t="n">
        <v>2.4</v>
      </c>
      <c r="O81" s="61" t="n">
        <v>0</v>
      </c>
      <c r="P81" s="62" t="n">
        <v>350.9</v>
      </c>
      <c r="Q81" s="0" t="n">
        <v>1</v>
      </c>
      <c r="R81" s="60" t="n">
        <f aca="false">G81+H81+I81</f>
        <v>87.95</v>
      </c>
      <c r="S81" s="60" t="n">
        <f aca="false">K81+L81+M81+N81+O81</f>
        <v>51.65</v>
      </c>
      <c r="T81" s="60" t="n">
        <f aca="false">L81+M81</f>
        <v>17.76</v>
      </c>
      <c r="U81" s="60" t="n">
        <f aca="false">S81+J81</f>
        <v>60.61</v>
      </c>
      <c r="V81" s="63" t="n">
        <f aca="false">IFERROR(S81/F81,0)</f>
        <v>0.347670974690361</v>
      </c>
      <c r="W81" s="63" t="n">
        <f aca="false">IFERROR(R81/F81,0)</f>
        <v>0.592016693591815</v>
      </c>
      <c r="X81" s="63" t="n">
        <f aca="false">IFERROR(T81/F81,0)</f>
        <v>0.119547657512116</v>
      </c>
      <c r="Y81" s="63" t="n">
        <f aca="false">IFERROR(G81/F81,0)</f>
        <v>0.0123182552504039</v>
      </c>
      <c r="Z81" s="59" t="n">
        <f aca="false">IF(E81&gt;0,F81*1000000000/E81,"")</f>
        <v>3262.30156253616</v>
      </c>
      <c r="AA81" s="63" t="n">
        <f aca="false">IFERROR((R81+S81+J81)/F81,0)</f>
        <v>1</v>
      </c>
      <c r="AB81" s="0" t="str">
        <f aca="false">A81&amp;"|"&amp;D81</f>
        <v>Argentina|2023</v>
      </c>
    </row>
    <row r="82" customFormat="false" ht="15" hidden="false" customHeight="false" outlineLevel="0" collapsed="false">
      <c r="A82" s="0" t="s">
        <v>187</v>
      </c>
      <c r="B82" s="0" t="s">
        <v>425</v>
      </c>
      <c r="C82" s="0" t="s">
        <v>127</v>
      </c>
      <c r="D82" s="0" t="n">
        <v>2024</v>
      </c>
      <c r="E82" s="59" t="n">
        <v>45696153</v>
      </c>
      <c r="F82" s="60" t="n">
        <v>152.51</v>
      </c>
      <c r="G82" s="61" t="n">
        <v>1.31</v>
      </c>
      <c r="H82" s="61" t="n">
        <v>81.95</v>
      </c>
      <c r="I82" s="61" t="n">
        <v>6.36</v>
      </c>
      <c r="J82" s="61" t="n">
        <v>10.45</v>
      </c>
      <c r="K82" s="61" t="n">
        <v>29.67</v>
      </c>
      <c r="L82" s="61" t="n">
        <v>3.97</v>
      </c>
      <c r="M82" s="61" t="n">
        <v>16.17</v>
      </c>
      <c r="N82" s="61" t="n">
        <v>2.63</v>
      </c>
      <c r="O82" s="61" t="n">
        <v>0</v>
      </c>
      <c r="P82" s="62" t="n">
        <v>344.8</v>
      </c>
      <c r="Q82" s="0" t="n">
        <v>1</v>
      </c>
      <c r="R82" s="60" t="n">
        <f aca="false">G82+H82+I82</f>
        <v>89.62</v>
      </c>
      <c r="S82" s="60" t="n">
        <f aca="false">K82+L82+M82+N82+O82</f>
        <v>52.44</v>
      </c>
      <c r="T82" s="60" t="n">
        <f aca="false">L82+M82</f>
        <v>20.14</v>
      </c>
      <c r="U82" s="60" t="n">
        <f aca="false">S82+J82</f>
        <v>62.89</v>
      </c>
      <c r="V82" s="63" t="n">
        <f aca="false">IFERROR(S82/F82,0)</f>
        <v>0.343846305160317</v>
      </c>
      <c r="W82" s="63" t="n">
        <f aca="false">IFERROR(R82/F82,0)</f>
        <v>0.587633597796866</v>
      </c>
      <c r="X82" s="63" t="n">
        <f aca="false">IFERROR(T82/F82,0)</f>
        <v>0.132056914300702</v>
      </c>
      <c r="Y82" s="63" t="n">
        <f aca="false">IFERROR(G82/F82,0)</f>
        <v>0.0085896006819225</v>
      </c>
      <c r="Z82" s="59" t="n">
        <f aca="false">IF(E82&gt;0,F82*1000000000/E82,"")</f>
        <v>3337.48007190014</v>
      </c>
      <c r="AA82" s="63" t="n">
        <f aca="false">IFERROR((R82+S82+J82)/F82,0)</f>
        <v>1</v>
      </c>
      <c r="AB82" s="0" t="str">
        <f aca="false">A82&amp;"|"&amp;D82</f>
        <v>Argentina|2024</v>
      </c>
    </row>
    <row r="83" customFormat="false" ht="15" hidden="false" customHeight="false" outlineLevel="0" collapsed="false">
      <c r="A83" s="0" t="s">
        <v>187</v>
      </c>
      <c r="B83" s="0" t="s">
        <v>425</v>
      </c>
      <c r="C83" s="0" t="s">
        <v>127</v>
      </c>
      <c r="D83" s="0" t="n">
        <v>2025</v>
      </c>
      <c r="E83" s="59" t="n">
        <v>45851379</v>
      </c>
      <c r="F83" s="60" t="n">
        <v>153.15</v>
      </c>
      <c r="G83" s="61" t="n">
        <v>2.82</v>
      </c>
      <c r="H83" s="61" t="n">
        <v>80.69</v>
      </c>
      <c r="I83" s="61" t="n">
        <v>5.92</v>
      </c>
      <c r="J83" s="61" t="n">
        <v>10.76</v>
      </c>
      <c r="K83" s="61" t="n">
        <v>26.25</v>
      </c>
      <c r="L83" s="61" t="n">
        <v>5.14</v>
      </c>
      <c r="M83" s="61" t="n">
        <v>18.62</v>
      </c>
      <c r="N83" s="61" t="n">
        <v>2.95</v>
      </c>
      <c r="O83" s="61" t="n">
        <v>0</v>
      </c>
      <c r="P83" s="62" t="n">
        <v>346</v>
      </c>
      <c r="Q83" s="0" t="n">
        <v>1</v>
      </c>
      <c r="R83" s="60" t="n">
        <f aca="false">G83+H83+I83</f>
        <v>89.43</v>
      </c>
      <c r="S83" s="60" t="n">
        <f aca="false">K83+L83+M83+N83+O83</f>
        <v>52.96</v>
      </c>
      <c r="T83" s="60" t="n">
        <f aca="false">L83+M83</f>
        <v>23.76</v>
      </c>
      <c r="U83" s="60" t="n">
        <f aca="false">S83+J83</f>
        <v>63.72</v>
      </c>
      <c r="V83" s="63" t="n">
        <f aca="false">IFERROR(S83/F83,0)</f>
        <v>0.345804766568724</v>
      </c>
      <c r="W83" s="63" t="n">
        <f aca="false">IFERROR(R83/F83,0)</f>
        <v>0.583937316356513</v>
      </c>
      <c r="X83" s="63" t="n">
        <f aca="false">IFERROR(T83/F83,0)</f>
        <v>0.155142017629775</v>
      </c>
      <c r="Y83" s="63" t="n">
        <f aca="false">IFERROR(G83/F83,0)</f>
        <v>0.0184133202742409</v>
      </c>
      <c r="Z83" s="59" t="n">
        <f aca="false">IF(E83&gt;0,F83*1000000000/E83,"")</f>
        <v>3340.13945360291</v>
      </c>
      <c r="AA83" s="63" t="n">
        <f aca="false">IFERROR((R83+S83+J83)/F83,0)</f>
        <v>1</v>
      </c>
      <c r="AB83" s="0" t="str">
        <f aca="false">A83&amp;"|"&amp;D83</f>
        <v>Argentina|2025</v>
      </c>
    </row>
    <row r="84" customFormat="false" ht="15" hidden="false" customHeight="false" outlineLevel="0" collapsed="false">
      <c r="A84" s="0" t="s">
        <v>188</v>
      </c>
      <c r="B84" s="0" t="s">
        <v>426</v>
      </c>
      <c r="C84" s="0" t="s">
        <v>127</v>
      </c>
      <c r="D84" s="0" t="n">
        <v>2015</v>
      </c>
      <c r="E84" s="59" t="n">
        <v>2921179</v>
      </c>
      <c r="F84" s="60" t="n">
        <v>7.55</v>
      </c>
      <c r="G84" s="61" t="n">
        <v>0</v>
      </c>
      <c r="H84" s="61" t="n">
        <v>2.8</v>
      </c>
      <c r="I84" s="61" t="n">
        <v>0</v>
      </c>
      <c r="J84" s="61" t="n">
        <v>2.57</v>
      </c>
      <c r="K84" s="61" t="n">
        <v>2.18</v>
      </c>
      <c r="L84" s="61" t="n">
        <v>0</v>
      </c>
      <c r="M84" s="61" t="n">
        <v>0</v>
      </c>
      <c r="N84" s="61" t="n">
        <v>0</v>
      </c>
      <c r="O84" s="61" t="n">
        <v>0</v>
      </c>
      <c r="P84" s="62" t="n">
        <v>225.2</v>
      </c>
      <c r="Q84" s="0" t="n">
        <v>0</v>
      </c>
      <c r="R84" s="60" t="n">
        <f aca="false">G84+H84+I84</f>
        <v>2.8</v>
      </c>
      <c r="S84" s="60" t="n">
        <f aca="false">K84+L84+M84+N84+O84</f>
        <v>2.18</v>
      </c>
      <c r="T84" s="60" t="n">
        <f aca="false">L84+M84</f>
        <v>0</v>
      </c>
      <c r="U84" s="60" t="n">
        <f aca="false">S84+J84</f>
        <v>4.75</v>
      </c>
      <c r="V84" s="63" t="n">
        <f aca="false">IFERROR(S84/F84,0)</f>
        <v>0.288741721854305</v>
      </c>
      <c r="W84" s="63" t="n">
        <f aca="false">IFERROR(R84/F84,0)</f>
        <v>0.370860927152318</v>
      </c>
      <c r="X84" s="63" t="n">
        <f aca="false">IFERROR(T84/F84,0)</f>
        <v>0</v>
      </c>
      <c r="Y84" s="63" t="n">
        <f aca="false">IFERROR(G84/F84,0)</f>
        <v>0</v>
      </c>
      <c r="Z84" s="59" t="n">
        <f aca="false">IF(E84&gt;0,F84*1000000000/E84,"")</f>
        <v>2584.57287280239</v>
      </c>
      <c r="AA84" s="63" t="n">
        <f aca="false">IFERROR((R84+S84+J84)/F84,0)</f>
        <v>1</v>
      </c>
      <c r="AB84" s="0" t="str">
        <f aca="false">A84&amp;"|"&amp;D84</f>
        <v>Armenia|2015</v>
      </c>
    </row>
    <row r="85" customFormat="false" ht="15" hidden="false" customHeight="false" outlineLevel="0" collapsed="false">
      <c r="A85" s="0" t="s">
        <v>188</v>
      </c>
      <c r="B85" s="0" t="s">
        <v>426</v>
      </c>
      <c r="C85" s="0" t="s">
        <v>127</v>
      </c>
      <c r="D85" s="0" t="n">
        <v>2016</v>
      </c>
      <c r="E85" s="59" t="n">
        <v>2918796</v>
      </c>
      <c r="F85" s="60" t="n">
        <v>7.1</v>
      </c>
      <c r="G85" s="61" t="n">
        <v>0</v>
      </c>
      <c r="H85" s="61" t="n">
        <v>2.58</v>
      </c>
      <c r="I85" s="61" t="n">
        <v>0</v>
      </c>
      <c r="J85" s="61" t="n">
        <v>2.19</v>
      </c>
      <c r="K85" s="61" t="n">
        <v>2.33</v>
      </c>
      <c r="L85" s="61" t="n">
        <v>0</v>
      </c>
      <c r="M85" s="61" t="n">
        <v>0</v>
      </c>
      <c r="N85" s="61" t="n">
        <v>0</v>
      </c>
      <c r="O85" s="61" t="n">
        <v>0</v>
      </c>
      <c r="P85" s="62" t="n">
        <v>222.5</v>
      </c>
      <c r="Q85" s="0" t="n">
        <v>0</v>
      </c>
      <c r="R85" s="60" t="n">
        <f aca="false">G85+H85+I85</f>
        <v>2.58</v>
      </c>
      <c r="S85" s="60" t="n">
        <f aca="false">K85+L85+M85+N85+O85</f>
        <v>2.33</v>
      </c>
      <c r="T85" s="60" t="n">
        <f aca="false">L85+M85</f>
        <v>0</v>
      </c>
      <c r="U85" s="60" t="n">
        <f aca="false">S85+J85</f>
        <v>4.52</v>
      </c>
      <c r="V85" s="63" t="n">
        <f aca="false">IFERROR(S85/F85,0)</f>
        <v>0.328169014084507</v>
      </c>
      <c r="W85" s="63" t="n">
        <f aca="false">IFERROR(R85/F85,0)</f>
        <v>0.363380281690141</v>
      </c>
      <c r="X85" s="63" t="n">
        <f aca="false">IFERROR(T85/F85,0)</f>
        <v>0</v>
      </c>
      <c r="Y85" s="63" t="n">
        <f aca="false">IFERROR(G85/F85,0)</f>
        <v>0</v>
      </c>
      <c r="Z85" s="59" t="n">
        <f aca="false">IF(E85&gt;0,F85*1000000000/E85,"")</f>
        <v>2432.50984309969</v>
      </c>
      <c r="AA85" s="63" t="n">
        <f aca="false">IFERROR((R85+S85+J85)/F85,0)</f>
        <v>1</v>
      </c>
      <c r="AB85" s="0" t="str">
        <f aca="false">A85&amp;"|"&amp;D85</f>
        <v>Armenia|2016</v>
      </c>
    </row>
    <row r="86" customFormat="false" ht="15" hidden="false" customHeight="false" outlineLevel="0" collapsed="false">
      <c r="A86" s="0" t="s">
        <v>188</v>
      </c>
      <c r="B86" s="0" t="s">
        <v>426</v>
      </c>
      <c r="C86" s="0" t="s">
        <v>127</v>
      </c>
      <c r="D86" s="0" t="n">
        <v>2017</v>
      </c>
      <c r="E86" s="59" t="n">
        <v>2914966</v>
      </c>
      <c r="F86" s="60" t="n">
        <v>7.53</v>
      </c>
      <c r="G86" s="61" t="n">
        <v>0</v>
      </c>
      <c r="H86" s="61" t="n">
        <v>2.87</v>
      </c>
      <c r="I86" s="61" t="n">
        <v>0</v>
      </c>
      <c r="J86" s="61" t="n">
        <v>2.41</v>
      </c>
      <c r="K86" s="61" t="n">
        <v>2.25</v>
      </c>
      <c r="L86" s="61" t="n">
        <v>0</v>
      </c>
      <c r="M86" s="61" t="n">
        <v>0</v>
      </c>
      <c r="N86" s="61" t="n">
        <v>0</v>
      </c>
      <c r="O86" s="61" t="n">
        <v>0</v>
      </c>
      <c r="P86" s="62" t="n">
        <v>231.1</v>
      </c>
      <c r="Q86" s="0" t="n">
        <v>0</v>
      </c>
      <c r="R86" s="60" t="n">
        <f aca="false">G86+H86+I86</f>
        <v>2.87</v>
      </c>
      <c r="S86" s="60" t="n">
        <f aca="false">K86+L86+M86+N86+O86</f>
        <v>2.25</v>
      </c>
      <c r="T86" s="60" t="n">
        <f aca="false">L86+M86</f>
        <v>0</v>
      </c>
      <c r="U86" s="60" t="n">
        <f aca="false">S86+J86</f>
        <v>4.66</v>
      </c>
      <c r="V86" s="63" t="n">
        <f aca="false">IFERROR(S86/F86,0)</f>
        <v>0.298804780876494</v>
      </c>
      <c r="W86" s="63" t="n">
        <f aca="false">IFERROR(R86/F86,0)</f>
        <v>0.381142098273572</v>
      </c>
      <c r="X86" s="63" t="n">
        <f aca="false">IFERROR(T86/F86,0)</f>
        <v>0</v>
      </c>
      <c r="Y86" s="63" t="n">
        <f aca="false">IFERROR(G86/F86,0)</f>
        <v>0</v>
      </c>
      <c r="Z86" s="59" t="n">
        <f aca="false">IF(E86&gt;0,F86*1000000000/E86,"")</f>
        <v>2583.22052469909</v>
      </c>
      <c r="AA86" s="63" t="n">
        <f aca="false">IFERROR((R86+S86+J86)/F86,0)</f>
        <v>1</v>
      </c>
      <c r="AB86" s="0" t="str">
        <f aca="false">A86&amp;"|"&amp;D86</f>
        <v>Armenia|2017</v>
      </c>
    </row>
    <row r="87" customFormat="false" ht="15" hidden="false" customHeight="false" outlineLevel="0" collapsed="false">
      <c r="A87" s="0" t="s">
        <v>188</v>
      </c>
      <c r="B87" s="0" t="s">
        <v>426</v>
      </c>
      <c r="C87" s="0" t="s">
        <v>127</v>
      </c>
      <c r="D87" s="0" t="n">
        <v>2018</v>
      </c>
      <c r="E87" s="59" t="n">
        <v>2909971</v>
      </c>
      <c r="F87" s="60" t="n">
        <v>7.59</v>
      </c>
      <c r="G87" s="61" t="n">
        <v>0</v>
      </c>
      <c r="H87" s="61" t="n">
        <v>3.38</v>
      </c>
      <c r="I87" s="61" t="n">
        <v>0</v>
      </c>
      <c r="J87" s="61" t="n">
        <v>1.9</v>
      </c>
      <c r="K87" s="61" t="n">
        <v>2.29</v>
      </c>
      <c r="L87" s="61" t="n">
        <v>0.02</v>
      </c>
      <c r="M87" s="61" t="n">
        <v>0</v>
      </c>
      <c r="N87" s="61" t="n">
        <v>0</v>
      </c>
      <c r="O87" s="61" t="n">
        <v>0</v>
      </c>
      <c r="P87" s="62" t="n">
        <v>268.8</v>
      </c>
      <c r="Q87" s="0" t="n">
        <v>0</v>
      </c>
      <c r="R87" s="60" t="n">
        <f aca="false">G87+H87+I87</f>
        <v>3.38</v>
      </c>
      <c r="S87" s="60" t="n">
        <f aca="false">K87+L87+M87+N87+O87</f>
        <v>2.31</v>
      </c>
      <c r="T87" s="60" t="n">
        <f aca="false">L87+M87</f>
        <v>0.02</v>
      </c>
      <c r="U87" s="60" t="n">
        <f aca="false">S87+J87</f>
        <v>4.21</v>
      </c>
      <c r="V87" s="63" t="n">
        <f aca="false">IFERROR(S87/F87,0)</f>
        <v>0.304347826086957</v>
      </c>
      <c r="W87" s="63" t="n">
        <f aca="false">IFERROR(R87/F87,0)</f>
        <v>0.44532279314888</v>
      </c>
      <c r="X87" s="63" t="n">
        <f aca="false">IFERROR(T87/F87,0)</f>
        <v>0.00263504611330698</v>
      </c>
      <c r="Y87" s="63" t="n">
        <f aca="false">IFERROR(G87/F87,0)</f>
        <v>0</v>
      </c>
      <c r="Z87" s="59" t="n">
        <f aca="false">IF(E87&gt;0,F87*1000000000/E87,"")</f>
        <v>2608.27341578318</v>
      </c>
      <c r="AA87" s="63" t="n">
        <f aca="false">IFERROR((R87+S87+J87)/F87,0)</f>
        <v>1</v>
      </c>
      <c r="AB87" s="0" t="str">
        <f aca="false">A87&amp;"|"&amp;D87</f>
        <v>Armenia|2018</v>
      </c>
    </row>
    <row r="88" customFormat="false" ht="15" hidden="false" customHeight="false" outlineLevel="0" collapsed="false">
      <c r="A88" s="0" t="s">
        <v>188</v>
      </c>
      <c r="B88" s="0" t="s">
        <v>426</v>
      </c>
      <c r="C88" s="0" t="s">
        <v>127</v>
      </c>
      <c r="D88" s="0" t="n">
        <v>2019</v>
      </c>
      <c r="E88" s="59" t="n">
        <v>2903975</v>
      </c>
      <c r="F88" s="60" t="n">
        <v>7.49</v>
      </c>
      <c r="G88" s="61" t="n">
        <v>0</v>
      </c>
      <c r="H88" s="61" t="n">
        <v>3.05</v>
      </c>
      <c r="I88" s="61" t="n">
        <v>0</v>
      </c>
      <c r="J88" s="61" t="n">
        <v>2.03</v>
      </c>
      <c r="K88" s="61" t="n">
        <v>2.35</v>
      </c>
      <c r="L88" s="61" t="n">
        <v>0.06</v>
      </c>
      <c r="M88" s="61" t="n">
        <v>0</v>
      </c>
      <c r="N88" s="61" t="n">
        <v>0</v>
      </c>
      <c r="O88" s="61" t="n">
        <v>0</v>
      </c>
      <c r="P88" s="62" t="n">
        <v>248.3</v>
      </c>
      <c r="Q88" s="0" t="n">
        <v>0</v>
      </c>
      <c r="R88" s="60" t="n">
        <f aca="false">G88+H88+I88</f>
        <v>3.05</v>
      </c>
      <c r="S88" s="60" t="n">
        <f aca="false">K88+L88+M88+N88+O88</f>
        <v>2.41</v>
      </c>
      <c r="T88" s="60" t="n">
        <f aca="false">L88+M88</f>
        <v>0.06</v>
      </c>
      <c r="U88" s="60" t="n">
        <f aca="false">S88+J88</f>
        <v>4.44</v>
      </c>
      <c r="V88" s="63" t="n">
        <f aca="false">IFERROR(S88/F88,0)</f>
        <v>0.321762349799733</v>
      </c>
      <c r="W88" s="63" t="n">
        <f aca="false">IFERROR(R88/F88,0)</f>
        <v>0.407209612817089</v>
      </c>
      <c r="X88" s="63" t="n">
        <f aca="false">IFERROR(T88/F88,0)</f>
        <v>0.00801068090787717</v>
      </c>
      <c r="Y88" s="63" t="n">
        <f aca="false">IFERROR(G88/F88,0)</f>
        <v>0</v>
      </c>
      <c r="Z88" s="59" t="n">
        <f aca="false">IF(E88&gt;0,F88*1000000000/E88,"")</f>
        <v>2579.22330598576</v>
      </c>
      <c r="AA88" s="63" t="n">
        <f aca="false">IFERROR((R88+S88+J88)/F88,0)</f>
        <v>1</v>
      </c>
      <c r="AB88" s="0" t="str">
        <f aca="false">A88&amp;"|"&amp;D88</f>
        <v>Armenia|2019</v>
      </c>
    </row>
    <row r="89" customFormat="false" ht="15" hidden="false" customHeight="false" outlineLevel="0" collapsed="false">
      <c r="A89" s="0" t="s">
        <v>188</v>
      </c>
      <c r="B89" s="0" t="s">
        <v>426</v>
      </c>
      <c r="C89" s="0" t="s">
        <v>127</v>
      </c>
      <c r="D89" s="0" t="n">
        <v>2020</v>
      </c>
      <c r="E89" s="59" t="n">
        <v>2890893</v>
      </c>
      <c r="F89" s="60" t="n">
        <v>7.64</v>
      </c>
      <c r="G89" s="61" t="n">
        <v>0</v>
      </c>
      <c r="H89" s="61" t="n">
        <v>3.17</v>
      </c>
      <c r="I89" s="61" t="n">
        <v>0</v>
      </c>
      <c r="J89" s="61" t="n">
        <v>2.55</v>
      </c>
      <c r="K89" s="61" t="n">
        <v>1.78</v>
      </c>
      <c r="L89" s="61" t="n">
        <v>0.14</v>
      </c>
      <c r="M89" s="61" t="n">
        <v>0</v>
      </c>
      <c r="N89" s="61" t="n">
        <v>0</v>
      </c>
      <c r="O89" s="61" t="n">
        <v>0</v>
      </c>
      <c r="P89" s="62" t="n">
        <v>251.3</v>
      </c>
      <c r="Q89" s="0" t="n">
        <v>0</v>
      </c>
      <c r="R89" s="60" t="n">
        <f aca="false">G89+H89+I89</f>
        <v>3.17</v>
      </c>
      <c r="S89" s="60" t="n">
        <f aca="false">K89+L89+M89+N89+O89</f>
        <v>1.92</v>
      </c>
      <c r="T89" s="60" t="n">
        <f aca="false">L89+M89</f>
        <v>0.14</v>
      </c>
      <c r="U89" s="60" t="n">
        <f aca="false">S89+J89</f>
        <v>4.47</v>
      </c>
      <c r="V89" s="63" t="n">
        <f aca="false">IFERROR(S89/F89,0)</f>
        <v>0.25130890052356</v>
      </c>
      <c r="W89" s="63" t="n">
        <f aca="false">IFERROR(R89/F89,0)</f>
        <v>0.414921465968586</v>
      </c>
      <c r="X89" s="63" t="n">
        <f aca="false">IFERROR(T89/F89,0)</f>
        <v>0.0183246073298429</v>
      </c>
      <c r="Y89" s="63" t="n">
        <f aca="false">IFERROR(G89/F89,0)</f>
        <v>0</v>
      </c>
      <c r="Z89" s="59" t="n">
        <f aca="false">IF(E89&gt;0,F89*1000000000/E89,"")</f>
        <v>2642.78200542185</v>
      </c>
      <c r="AA89" s="63" t="n">
        <f aca="false">IFERROR((R89+S89+J89)/F89,0)</f>
        <v>1</v>
      </c>
      <c r="AB89" s="0" t="str">
        <f aca="false">A89&amp;"|"&amp;D89</f>
        <v>Armenia|2020</v>
      </c>
    </row>
    <row r="90" customFormat="false" ht="15" hidden="false" customHeight="false" outlineLevel="0" collapsed="false">
      <c r="A90" s="0" t="s">
        <v>188</v>
      </c>
      <c r="B90" s="0" t="s">
        <v>426</v>
      </c>
      <c r="C90" s="0" t="s">
        <v>127</v>
      </c>
      <c r="D90" s="0" t="n">
        <v>2021</v>
      </c>
      <c r="E90" s="59" t="n">
        <v>2870339</v>
      </c>
      <c r="F90" s="60" t="n">
        <v>7.72</v>
      </c>
      <c r="G90" s="61" t="n">
        <v>0</v>
      </c>
      <c r="H90" s="61" t="n">
        <v>3.38</v>
      </c>
      <c r="I90" s="61" t="n">
        <v>0</v>
      </c>
      <c r="J90" s="61" t="n">
        <v>1.85</v>
      </c>
      <c r="K90" s="61" t="n">
        <v>2.2</v>
      </c>
      <c r="L90" s="61" t="n">
        <v>0.29</v>
      </c>
      <c r="M90" s="61" t="n">
        <v>0</v>
      </c>
      <c r="N90" s="61" t="n">
        <v>0</v>
      </c>
      <c r="O90" s="61" t="n">
        <v>0</v>
      </c>
      <c r="P90" s="62" t="n">
        <v>265.5</v>
      </c>
      <c r="Q90" s="0" t="n">
        <v>0</v>
      </c>
      <c r="R90" s="60" t="n">
        <f aca="false">G90+H90+I90</f>
        <v>3.38</v>
      </c>
      <c r="S90" s="60" t="n">
        <f aca="false">K90+L90+M90+N90+O90</f>
        <v>2.49</v>
      </c>
      <c r="T90" s="60" t="n">
        <f aca="false">L90+M90</f>
        <v>0.29</v>
      </c>
      <c r="U90" s="60" t="n">
        <f aca="false">S90+J90</f>
        <v>4.34</v>
      </c>
      <c r="V90" s="63" t="n">
        <f aca="false">IFERROR(S90/F90,0)</f>
        <v>0.322538860103627</v>
      </c>
      <c r="W90" s="63" t="n">
        <f aca="false">IFERROR(R90/F90,0)</f>
        <v>0.437823834196891</v>
      </c>
      <c r="X90" s="63" t="n">
        <f aca="false">IFERROR(T90/F90,0)</f>
        <v>0.0375647668393782</v>
      </c>
      <c r="Y90" s="63" t="n">
        <f aca="false">IFERROR(G90/F90,0)</f>
        <v>0</v>
      </c>
      <c r="Z90" s="59" t="n">
        <f aca="false">IF(E90&gt;0,F90*1000000000/E90,"")</f>
        <v>2689.57778157911</v>
      </c>
      <c r="AA90" s="63" t="n">
        <f aca="false">IFERROR((R90+S90+J90)/F90,0)</f>
        <v>1</v>
      </c>
      <c r="AB90" s="0" t="str">
        <f aca="false">A90&amp;"|"&amp;D90</f>
        <v>Armenia|2021</v>
      </c>
    </row>
    <row r="91" customFormat="false" ht="15" hidden="false" customHeight="false" outlineLevel="0" collapsed="false">
      <c r="A91" s="0" t="s">
        <v>188</v>
      </c>
      <c r="B91" s="0" t="s">
        <v>426</v>
      </c>
      <c r="C91" s="0" t="s">
        <v>127</v>
      </c>
      <c r="D91" s="0" t="n">
        <v>2022</v>
      </c>
      <c r="E91" s="59" t="n">
        <v>2880880</v>
      </c>
      <c r="F91" s="60" t="n">
        <v>9.88</v>
      </c>
      <c r="G91" s="61" t="n">
        <v>0</v>
      </c>
      <c r="H91" s="61" t="n">
        <v>3.88</v>
      </c>
      <c r="I91" s="61" t="n">
        <v>0</v>
      </c>
      <c r="J91" s="61" t="n">
        <v>2.63</v>
      </c>
      <c r="K91" s="61" t="n">
        <v>2.85</v>
      </c>
      <c r="L91" s="61" t="n">
        <v>0.52</v>
      </c>
      <c r="M91" s="61" t="n">
        <v>0</v>
      </c>
      <c r="N91" s="61" t="n">
        <v>0</v>
      </c>
      <c r="O91" s="61" t="n">
        <v>0</v>
      </c>
      <c r="P91" s="62" t="n">
        <v>240.9</v>
      </c>
      <c r="Q91" s="0" t="n">
        <v>0</v>
      </c>
      <c r="R91" s="60" t="n">
        <f aca="false">G91+H91+I91</f>
        <v>3.88</v>
      </c>
      <c r="S91" s="60" t="n">
        <f aca="false">K91+L91+M91+N91+O91</f>
        <v>3.37</v>
      </c>
      <c r="T91" s="60" t="n">
        <f aca="false">L91+M91</f>
        <v>0.52</v>
      </c>
      <c r="U91" s="60" t="n">
        <f aca="false">S91+J91</f>
        <v>6</v>
      </c>
      <c r="V91" s="63" t="n">
        <f aca="false">IFERROR(S91/F91,0)</f>
        <v>0.341093117408907</v>
      </c>
      <c r="W91" s="63" t="n">
        <f aca="false">IFERROR(R91/F91,0)</f>
        <v>0.392712550607287</v>
      </c>
      <c r="X91" s="63" t="n">
        <f aca="false">IFERROR(T91/F91,0)</f>
        <v>0.0526315789473684</v>
      </c>
      <c r="Y91" s="63" t="n">
        <f aca="false">IFERROR(G91/F91,0)</f>
        <v>0</v>
      </c>
      <c r="Z91" s="59" t="n">
        <f aca="false">IF(E91&gt;0,F91*1000000000/E91,"")</f>
        <v>3429.50765044014</v>
      </c>
      <c r="AA91" s="63" t="n">
        <f aca="false">IFERROR((R91+S91+J91)/F91,0)</f>
        <v>1</v>
      </c>
      <c r="AB91" s="0" t="str">
        <f aca="false">A91&amp;"|"&amp;D91</f>
        <v>Armenia|2022</v>
      </c>
    </row>
    <row r="92" customFormat="false" ht="15" hidden="false" customHeight="false" outlineLevel="0" collapsed="false">
      <c r="A92" s="0" t="s">
        <v>188</v>
      </c>
      <c r="B92" s="0" t="s">
        <v>426</v>
      </c>
      <c r="C92" s="0" t="s">
        <v>127</v>
      </c>
      <c r="D92" s="0" t="n">
        <v>2023</v>
      </c>
      <c r="E92" s="59" t="n">
        <v>2943398</v>
      </c>
      <c r="F92" s="60" t="n">
        <v>8.65</v>
      </c>
      <c r="G92" s="61" t="n">
        <v>0</v>
      </c>
      <c r="H92" s="61" t="n">
        <v>3.72</v>
      </c>
      <c r="I92" s="61" t="n">
        <v>0</v>
      </c>
      <c r="J92" s="61" t="n">
        <v>2.51</v>
      </c>
      <c r="K92" s="61" t="n">
        <v>1.65</v>
      </c>
      <c r="L92" s="61" t="n">
        <v>0.77</v>
      </c>
      <c r="M92" s="61" t="n">
        <v>0</v>
      </c>
      <c r="N92" s="61" t="n">
        <v>0</v>
      </c>
      <c r="O92" s="61" t="n">
        <v>0</v>
      </c>
      <c r="P92" s="62" t="n">
        <v>262.4</v>
      </c>
      <c r="Q92" s="0" t="n">
        <v>0</v>
      </c>
      <c r="R92" s="60" t="n">
        <f aca="false">G92+H92+I92</f>
        <v>3.72</v>
      </c>
      <c r="S92" s="60" t="n">
        <f aca="false">K92+L92+M92+N92+O92</f>
        <v>2.42</v>
      </c>
      <c r="T92" s="60" t="n">
        <f aca="false">L92+M92</f>
        <v>0.77</v>
      </c>
      <c r="U92" s="60" t="n">
        <f aca="false">S92+J92</f>
        <v>4.93</v>
      </c>
      <c r="V92" s="63" t="n">
        <f aca="false">IFERROR(S92/F92,0)</f>
        <v>0.279768786127168</v>
      </c>
      <c r="W92" s="63" t="n">
        <f aca="false">IFERROR(R92/F92,0)</f>
        <v>0.430057803468208</v>
      </c>
      <c r="X92" s="63" t="n">
        <f aca="false">IFERROR(T92/F92,0)</f>
        <v>0.0890173410404624</v>
      </c>
      <c r="Y92" s="63" t="n">
        <f aca="false">IFERROR(G92/F92,0)</f>
        <v>0</v>
      </c>
      <c r="Z92" s="59" t="n">
        <f aca="false">IF(E92&gt;0,F92*1000000000/E92,"")</f>
        <v>2938.78028047855</v>
      </c>
      <c r="AA92" s="63" t="n">
        <f aca="false">IFERROR((R92+S92+J92)/F92,0)</f>
        <v>1</v>
      </c>
      <c r="AB92" s="0" t="str">
        <f aca="false">A92&amp;"|"&amp;D92</f>
        <v>Armenia|2023</v>
      </c>
    </row>
    <row r="93" customFormat="false" ht="15" hidden="false" customHeight="false" outlineLevel="0" collapsed="false">
      <c r="A93" s="0" t="s">
        <v>188</v>
      </c>
      <c r="B93" s="0" t="s">
        <v>426</v>
      </c>
      <c r="C93" s="0" t="s">
        <v>127</v>
      </c>
      <c r="D93" s="0" t="n">
        <v>2024</v>
      </c>
      <c r="E93" s="59" t="n">
        <v>2973843</v>
      </c>
      <c r="F93" s="60" t="n">
        <v>9.03</v>
      </c>
      <c r="G93" s="61" t="n">
        <v>0</v>
      </c>
      <c r="H93" s="61" t="n">
        <v>3.52</v>
      </c>
      <c r="I93" s="61" t="n">
        <v>0</v>
      </c>
      <c r="J93" s="61" t="n">
        <v>2.63</v>
      </c>
      <c r="K93" s="61" t="n">
        <v>2</v>
      </c>
      <c r="L93" s="61" t="n">
        <v>0.88</v>
      </c>
      <c r="M93" s="61" t="n">
        <v>0</v>
      </c>
      <c r="N93" s="61" t="n">
        <v>0</v>
      </c>
      <c r="O93" s="61" t="n">
        <v>0</v>
      </c>
      <c r="P93" s="62" t="n">
        <v>240.3</v>
      </c>
      <c r="Q93" s="0" t="n">
        <v>0</v>
      </c>
      <c r="R93" s="60" t="n">
        <f aca="false">G93+H93+I93</f>
        <v>3.52</v>
      </c>
      <c r="S93" s="60" t="n">
        <f aca="false">K93+L93+M93+N93+O93</f>
        <v>2.88</v>
      </c>
      <c r="T93" s="60" t="n">
        <f aca="false">L93+M93</f>
        <v>0.88</v>
      </c>
      <c r="U93" s="60" t="n">
        <f aca="false">S93+J93</f>
        <v>5.51</v>
      </c>
      <c r="V93" s="63" t="n">
        <f aca="false">IFERROR(S93/F93,0)</f>
        <v>0.318936877076412</v>
      </c>
      <c r="W93" s="63" t="n">
        <f aca="false">IFERROR(R93/F93,0)</f>
        <v>0.389811738648948</v>
      </c>
      <c r="X93" s="63" t="n">
        <f aca="false">IFERROR(T93/F93,0)</f>
        <v>0.097452934662237</v>
      </c>
      <c r="Y93" s="63" t="n">
        <f aca="false">IFERROR(G93/F93,0)</f>
        <v>0</v>
      </c>
      <c r="Z93" s="59" t="n">
        <f aca="false">IF(E93&gt;0,F93*1000000000/E93,"")</f>
        <v>3036.47502574951</v>
      </c>
      <c r="AA93" s="63" t="n">
        <f aca="false">IFERROR((R93+S93+J93)/F93,0)</f>
        <v>1</v>
      </c>
      <c r="AB93" s="0" t="str">
        <f aca="false">A93&amp;"|"&amp;D93</f>
        <v>Armenia|2024</v>
      </c>
    </row>
    <row r="94" customFormat="false" ht="15" hidden="false" customHeight="false" outlineLevel="0" collapsed="false">
      <c r="A94" s="0" t="s">
        <v>188</v>
      </c>
      <c r="B94" s="0" t="s">
        <v>426</v>
      </c>
      <c r="C94" s="0" t="s">
        <v>127</v>
      </c>
      <c r="D94" s="0" t="n">
        <v>2025</v>
      </c>
      <c r="E94" s="59" t="n">
        <v>2952355</v>
      </c>
      <c r="F94" s="60" t="n">
        <v>9.72</v>
      </c>
      <c r="G94" s="61" t="n">
        <v>0</v>
      </c>
      <c r="H94" s="61" t="n">
        <v>3.31</v>
      </c>
      <c r="I94" s="61" t="n">
        <v>0</v>
      </c>
      <c r="J94" s="61" t="n">
        <v>2.62</v>
      </c>
      <c r="K94" s="61" t="n">
        <v>2.72</v>
      </c>
      <c r="L94" s="61" t="n">
        <v>1.07</v>
      </c>
      <c r="M94" s="61" t="n">
        <v>0</v>
      </c>
      <c r="N94" s="61" t="n">
        <v>0</v>
      </c>
      <c r="O94" s="61" t="n">
        <v>0</v>
      </c>
      <c r="P94" s="62" t="n">
        <v>211.9</v>
      </c>
      <c r="Q94" s="0" t="n">
        <v>0</v>
      </c>
      <c r="R94" s="60" t="n">
        <f aca="false">G94+H94+I94</f>
        <v>3.31</v>
      </c>
      <c r="S94" s="60" t="n">
        <f aca="false">K94+L94+M94+N94+O94</f>
        <v>3.79</v>
      </c>
      <c r="T94" s="60" t="n">
        <f aca="false">L94+M94</f>
        <v>1.07</v>
      </c>
      <c r="U94" s="60" t="n">
        <f aca="false">S94+J94</f>
        <v>6.41</v>
      </c>
      <c r="V94" s="63" t="n">
        <f aca="false">IFERROR(S94/F94,0)</f>
        <v>0.389917695473251</v>
      </c>
      <c r="W94" s="63" t="n">
        <f aca="false">IFERROR(R94/F94,0)</f>
        <v>0.340534979423868</v>
      </c>
      <c r="X94" s="63" t="n">
        <f aca="false">IFERROR(T94/F94,0)</f>
        <v>0.110082304526749</v>
      </c>
      <c r="Y94" s="63" t="n">
        <f aca="false">IFERROR(G94/F94,0)</f>
        <v>0</v>
      </c>
      <c r="Z94" s="59" t="n">
        <f aca="false">IF(E94&gt;0,F94*1000000000/E94,"")</f>
        <v>3292.28700478093</v>
      </c>
      <c r="AA94" s="63" t="n">
        <f aca="false">IFERROR((R94+S94+J94)/F94,0)</f>
        <v>1</v>
      </c>
      <c r="AB94" s="0" t="str">
        <f aca="false">A94&amp;"|"&amp;D94</f>
        <v>Armenia|2025</v>
      </c>
    </row>
    <row r="95" customFormat="false" ht="15" hidden="false" customHeight="false" outlineLevel="0" collapsed="false">
      <c r="A95" s="0" t="s">
        <v>189</v>
      </c>
      <c r="B95" s="0" t="s">
        <v>427</v>
      </c>
      <c r="C95" s="0" t="s">
        <v>127</v>
      </c>
      <c r="D95" s="0" t="n">
        <v>2015</v>
      </c>
      <c r="E95" s="59" t="n">
        <v>104200</v>
      </c>
      <c r="F95" s="60" t="n">
        <v>0.97</v>
      </c>
      <c r="G95" s="61" t="n">
        <v>0</v>
      </c>
      <c r="H95" s="61" t="n">
        <v>0</v>
      </c>
      <c r="I95" s="61" t="n">
        <v>0.79</v>
      </c>
      <c r="J95" s="61" t="n">
        <v>0</v>
      </c>
      <c r="K95" s="61" t="n">
        <v>0</v>
      </c>
      <c r="L95" s="61" t="n">
        <v>0.01</v>
      </c>
      <c r="M95" s="61" t="n">
        <v>0.17</v>
      </c>
      <c r="N95" s="61" t="n">
        <v>0</v>
      </c>
      <c r="O95" s="61" t="n">
        <v>0</v>
      </c>
      <c r="P95" s="62" t="n">
        <v>536.1</v>
      </c>
      <c r="Q95" s="0" t="n">
        <v>0</v>
      </c>
      <c r="R95" s="60" t="n">
        <f aca="false">G95+H95+I95</f>
        <v>0.79</v>
      </c>
      <c r="S95" s="60" t="n">
        <f aca="false">K95+L95+M95+N95+O95</f>
        <v>0.18</v>
      </c>
      <c r="T95" s="60" t="n">
        <f aca="false">L95+M95</f>
        <v>0.18</v>
      </c>
      <c r="U95" s="60" t="n">
        <f aca="false">S95+J95</f>
        <v>0.18</v>
      </c>
      <c r="V95" s="63" t="n">
        <f aca="false">IFERROR(S95/F95,0)</f>
        <v>0.185567010309278</v>
      </c>
      <c r="W95" s="63" t="n">
        <f aca="false">IFERROR(R95/F95,0)</f>
        <v>0.814432989690722</v>
      </c>
      <c r="X95" s="63" t="n">
        <f aca="false">IFERROR(T95/F95,0)</f>
        <v>0.185567010309278</v>
      </c>
      <c r="Y95" s="63" t="n">
        <f aca="false">IFERROR(G95/F95,0)</f>
        <v>0</v>
      </c>
      <c r="Z95" s="59" t="n">
        <f aca="false">IF(E95&gt;0,F95*1000000000/E95,"")</f>
        <v>9309.02111324376</v>
      </c>
      <c r="AA95" s="63" t="n">
        <f aca="false">IFERROR((R95+S95+J95)/F95,0)</f>
        <v>1</v>
      </c>
      <c r="AB95" s="0" t="str">
        <f aca="false">A95&amp;"|"&amp;D95</f>
        <v>Aruba|2015</v>
      </c>
    </row>
    <row r="96" customFormat="false" ht="15" hidden="false" customHeight="false" outlineLevel="0" collapsed="false">
      <c r="A96" s="0" t="s">
        <v>189</v>
      </c>
      <c r="B96" s="0" t="s">
        <v>427</v>
      </c>
      <c r="C96" s="0" t="s">
        <v>127</v>
      </c>
      <c r="D96" s="0" t="n">
        <v>2016</v>
      </c>
      <c r="E96" s="59" t="n">
        <v>104989</v>
      </c>
      <c r="F96" s="60" t="n">
        <v>0.94</v>
      </c>
      <c r="G96" s="61" t="n">
        <v>0</v>
      </c>
      <c r="H96" s="61" t="n">
        <v>0</v>
      </c>
      <c r="I96" s="61" t="n">
        <v>0.8</v>
      </c>
      <c r="J96" s="61" t="n">
        <v>0</v>
      </c>
      <c r="K96" s="61" t="n">
        <v>0</v>
      </c>
      <c r="L96" s="61" t="n">
        <v>0.01</v>
      </c>
      <c r="M96" s="61" t="n">
        <v>0.13</v>
      </c>
      <c r="N96" s="61" t="n">
        <v>0</v>
      </c>
      <c r="O96" s="61" t="n">
        <v>0</v>
      </c>
      <c r="P96" s="62" t="n">
        <v>563.8</v>
      </c>
      <c r="Q96" s="0" t="n">
        <v>0</v>
      </c>
      <c r="R96" s="60" t="n">
        <f aca="false">G96+H96+I96</f>
        <v>0.8</v>
      </c>
      <c r="S96" s="60" t="n">
        <f aca="false">K96+L96+M96+N96+O96</f>
        <v>0.14</v>
      </c>
      <c r="T96" s="60" t="n">
        <f aca="false">L96+M96</f>
        <v>0.14</v>
      </c>
      <c r="U96" s="60" t="n">
        <f aca="false">S96+J96</f>
        <v>0.14</v>
      </c>
      <c r="V96" s="63" t="n">
        <f aca="false">IFERROR(S96/F96,0)</f>
        <v>0.148936170212766</v>
      </c>
      <c r="W96" s="63" t="n">
        <f aca="false">IFERROR(R96/F96,0)</f>
        <v>0.851063829787234</v>
      </c>
      <c r="X96" s="63" t="n">
        <f aca="false">IFERROR(T96/F96,0)</f>
        <v>0.148936170212766</v>
      </c>
      <c r="Y96" s="63" t="n">
        <f aca="false">IFERROR(G96/F96,0)</f>
        <v>0</v>
      </c>
      <c r="Z96" s="59" t="n">
        <f aca="false">IF(E96&gt;0,F96*1000000000/E96,"")</f>
        <v>8953.31891912486</v>
      </c>
      <c r="AA96" s="63" t="n">
        <f aca="false">IFERROR((R96+S96+J96)/F96,0)</f>
        <v>1</v>
      </c>
      <c r="AB96" s="0" t="str">
        <f aca="false">A96&amp;"|"&amp;D96</f>
        <v>Aruba|2016</v>
      </c>
    </row>
    <row r="97" customFormat="false" ht="15" hidden="false" customHeight="false" outlineLevel="0" collapsed="false">
      <c r="A97" s="0" t="s">
        <v>189</v>
      </c>
      <c r="B97" s="0" t="s">
        <v>427</v>
      </c>
      <c r="C97" s="0" t="s">
        <v>127</v>
      </c>
      <c r="D97" s="0" t="n">
        <v>2017</v>
      </c>
      <c r="E97" s="59" t="n">
        <v>105737</v>
      </c>
      <c r="F97" s="60" t="n">
        <v>0.97</v>
      </c>
      <c r="G97" s="61" t="n">
        <v>0</v>
      </c>
      <c r="H97" s="61" t="n">
        <v>0</v>
      </c>
      <c r="I97" s="61" t="n">
        <v>0.83</v>
      </c>
      <c r="J97" s="61" t="n">
        <v>0</v>
      </c>
      <c r="K97" s="61" t="n">
        <v>0</v>
      </c>
      <c r="L97" s="61" t="n">
        <v>0.01</v>
      </c>
      <c r="M97" s="61" t="n">
        <v>0.13</v>
      </c>
      <c r="N97" s="61" t="n">
        <v>0</v>
      </c>
      <c r="O97" s="61" t="n">
        <v>0</v>
      </c>
      <c r="P97" s="62" t="n">
        <v>567</v>
      </c>
      <c r="Q97" s="0" t="n">
        <v>0</v>
      </c>
      <c r="R97" s="60" t="n">
        <f aca="false">G97+H97+I97</f>
        <v>0.83</v>
      </c>
      <c r="S97" s="60" t="n">
        <f aca="false">K97+L97+M97+N97+O97</f>
        <v>0.14</v>
      </c>
      <c r="T97" s="60" t="n">
        <f aca="false">L97+M97</f>
        <v>0.14</v>
      </c>
      <c r="U97" s="60" t="n">
        <f aca="false">S97+J97</f>
        <v>0.14</v>
      </c>
      <c r="V97" s="63" t="n">
        <f aca="false">IFERROR(S97/F97,0)</f>
        <v>0.144329896907217</v>
      </c>
      <c r="W97" s="63" t="n">
        <f aca="false">IFERROR(R97/F97,0)</f>
        <v>0.855670103092784</v>
      </c>
      <c r="X97" s="63" t="n">
        <f aca="false">IFERROR(T97/F97,0)</f>
        <v>0.144329896907217</v>
      </c>
      <c r="Y97" s="63" t="n">
        <f aca="false">IFERROR(G97/F97,0)</f>
        <v>0</v>
      </c>
      <c r="Z97" s="59" t="n">
        <f aca="false">IF(E97&gt;0,F97*1000000000/E97,"")</f>
        <v>9173.70456888317</v>
      </c>
      <c r="AA97" s="63" t="n">
        <f aca="false">IFERROR((R97+S97+J97)/F97,0)</f>
        <v>1</v>
      </c>
      <c r="AB97" s="0" t="str">
        <f aca="false">A97&amp;"|"&amp;D97</f>
        <v>Aruba|2017</v>
      </c>
    </row>
    <row r="98" customFormat="false" ht="15" hidden="false" customHeight="false" outlineLevel="0" collapsed="false">
      <c r="A98" s="0" t="s">
        <v>189</v>
      </c>
      <c r="B98" s="0" t="s">
        <v>427</v>
      </c>
      <c r="C98" s="0" t="s">
        <v>127</v>
      </c>
      <c r="D98" s="0" t="n">
        <v>2018</v>
      </c>
      <c r="E98" s="59" t="n">
        <v>106447</v>
      </c>
      <c r="F98" s="60" t="n">
        <v>0.97</v>
      </c>
      <c r="G98" s="61" t="n">
        <v>0</v>
      </c>
      <c r="H98" s="61" t="n">
        <v>0</v>
      </c>
      <c r="I98" s="61" t="n">
        <v>0.81</v>
      </c>
      <c r="J98" s="61" t="n">
        <v>0</v>
      </c>
      <c r="K98" s="61" t="n">
        <v>0</v>
      </c>
      <c r="L98" s="61" t="n">
        <v>0.02</v>
      </c>
      <c r="M98" s="61" t="n">
        <v>0.14</v>
      </c>
      <c r="N98" s="61" t="n">
        <v>0</v>
      </c>
      <c r="O98" s="61" t="n">
        <v>0</v>
      </c>
      <c r="P98" s="62" t="n">
        <v>546.4</v>
      </c>
      <c r="Q98" s="0" t="n">
        <v>0</v>
      </c>
      <c r="R98" s="60" t="n">
        <f aca="false">G98+H98+I98</f>
        <v>0.81</v>
      </c>
      <c r="S98" s="60" t="n">
        <f aca="false">K98+L98+M98+N98+O98</f>
        <v>0.16</v>
      </c>
      <c r="T98" s="60" t="n">
        <f aca="false">L98+M98</f>
        <v>0.16</v>
      </c>
      <c r="U98" s="60" t="n">
        <f aca="false">S98+J98</f>
        <v>0.16</v>
      </c>
      <c r="V98" s="63" t="n">
        <f aca="false">IFERROR(S98/F98,0)</f>
        <v>0.164948453608247</v>
      </c>
      <c r="W98" s="63" t="n">
        <f aca="false">IFERROR(R98/F98,0)</f>
        <v>0.835051546391753</v>
      </c>
      <c r="X98" s="63" t="n">
        <f aca="false">IFERROR(T98/F98,0)</f>
        <v>0.164948453608247</v>
      </c>
      <c r="Y98" s="63" t="n">
        <f aca="false">IFERROR(G98/F98,0)</f>
        <v>0</v>
      </c>
      <c r="Z98" s="59" t="n">
        <f aca="false">IF(E98&gt;0,F98*1000000000/E98,"")</f>
        <v>9112.51608781835</v>
      </c>
      <c r="AA98" s="63" t="n">
        <f aca="false">IFERROR((R98+S98+J98)/F98,0)</f>
        <v>1</v>
      </c>
      <c r="AB98" s="0" t="str">
        <f aca="false">A98&amp;"|"&amp;D98</f>
        <v>Aruba|2018</v>
      </c>
    </row>
    <row r="99" customFormat="false" ht="15" hidden="false" customHeight="false" outlineLevel="0" collapsed="false">
      <c r="A99" s="0" t="s">
        <v>189</v>
      </c>
      <c r="B99" s="0" t="s">
        <v>427</v>
      </c>
      <c r="C99" s="0" t="s">
        <v>127</v>
      </c>
      <c r="D99" s="0" t="n">
        <v>2019</v>
      </c>
      <c r="E99" s="59" t="n">
        <v>107089</v>
      </c>
      <c r="F99" s="60" t="n">
        <v>0.99</v>
      </c>
      <c r="G99" s="61" t="n">
        <v>0</v>
      </c>
      <c r="H99" s="61" t="n">
        <v>0</v>
      </c>
      <c r="I99" s="61" t="n">
        <v>0.82</v>
      </c>
      <c r="J99" s="61" t="n">
        <v>0</v>
      </c>
      <c r="K99" s="61" t="n">
        <v>0</v>
      </c>
      <c r="L99" s="61" t="n">
        <v>0.03</v>
      </c>
      <c r="M99" s="61" t="n">
        <v>0.14</v>
      </c>
      <c r="N99" s="61" t="n">
        <v>0</v>
      </c>
      <c r="O99" s="61" t="n">
        <v>0</v>
      </c>
      <c r="P99" s="62" t="n">
        <v>545.5</v>
      </c>
      <c r="Q99" s="0" t="n">
        <v>0</v>
      </c>
      <c r="R99" s="60" t="n">
        <f aca="false">G99+H99+I99</f>
        <v>0.82</v>
      </c>
      <c r="S99" s="60" t="n">
        <f aca="false">K99+L99+M99+N99+O99</f>
        <v>0.17</v>
      </c>
      <c r="T99" s="60" t="n">
        <f aca="false">L99+M99</f>
        <v>0.17</v>
      </c>
      <c r="U99" s="60" t="n">
        <f aca="false">S99+J99</f>
        <v>0.17</v>
      </c>
      <c r="V99" s="63" t="n">
        <f aca="false">IFERROR(S99/F99,0)</f>
        <v>0.171717171717172</v>
      </c>
      <c r="W99" s="63" t="n">
        <f aca="false">IFERROR(R99/F99,0)</f>
        <v>0.828282828282828</v>
      </c>
      <c r="X99" s="63" t="n">
        <f aca="false">IFERROR(T99/F99,0)</f>
        <v>0.171717171717172</v>
      </c>
      <c r="Y99" s="63" t="n">
        <f aca="false">IFERROR(G99/F99,0)</f>
        <v>0</v>
      </c>
      <c r="Z99" s="59" t="n">
        <f aca="false">IF(E99&gt;0,F99*1000000000/E99,"")</f>
        <v>9244.64697587988</v>
      </c>
      <c r="AA99" s="63" t="n">
        <f aca="false">IFERROR((R99+S99+J99)/F99,0)</f>
        <v>1</v>
      </c>
      <c r="AB99" s="0" t="str">
        <f aca="false">A99&amp;"|"&amp;D99</f>
        <v>Aruba|2019</v>
      </c>
    </row>
    <row r="100" customFormat="false" ht="15" hidden="false" customHeight="false" outlineLevel="0" collapsed="false">
      <c r="A100" s="0" t="s">
        <v>189</v>
      </c>
      <c r="B100" s="0" t="s">
        <v>427</v>
      </c>
      <c r="C100" s="0" t="s">
        <v>127</v>
      </c>
      <c r="D100" s="0" t="n">
        <v>2020</v>
      </c>
      <c r="E100" s="59" t="n">
        <v>107411</v>
      </c>
      <c r="F100" s="60" t="n">
        <v>0.99</v>
      </c>
      <c r="G100" s="61" t="n">
        <v>0</v>
      </c>
      <c r="H100" s="61" t="n">
        <v>0</v>
      </c>
      <c r="I100" s="61" t="n">
        <v>0.82</v>
      </c>
      <c r="J100" s="61" t="n">
        <v>0</v>
      </c>
      <c r="K100" s="61" t="n">
        <v>0</v>
      </c>
      <c r="L100" s="61" t="n">
        <v>0.03</v>
      </c>
      <c r="M100" s="61" t="n">
        <v>0.14</v>
      </c>
      <c r="N100" s="61" t="n">
        <v>0</v>
      </c>
      <c r="O100" s="61" t="n">
        <v>0</v>
      </c>
      <c r="P100" s="62" t="n">
        <v>545.5</v>
      </c>
      <c r="Q100" s="0" t="n">
        <v>0</v>
      </c>
      <c r="R100" s="60" t="n">
        <f aca="false">G100+H100+I100</f>
        <v>0.82</v>
      </c>
      <c r="S100" s="60" t="n">
        <f aca="false">K100+L100+M100+N100+O100</f>
        <v>0.17</v>
      </c>
      <c r="T100" s="60" t="n">
        <f aca="false">L100+M100</f>
        <v>0.17</v>
      </c>
      <c r="U100" s="60" t="n">
        <f aca="false">S100+J100</f>
        <v>0.17</v>
      </c>
      <c r="V100" s="63" t="n">
        <f aca="false">IFERROR(S100/F100,0)</f>
        <v>0.171717171717172</v>
      </c>
      <c r="W100" s="63" t="n">
        <f aca="false">IFERROR(R100/F100,0)</f>
        <v>0.828282828282828</v>
      </c>
      <c r="X100" s="63" t="n">
        <f aca="false">IFERROR(T100/F100,0)</f>
        <v>0.171717171717172</v>
      </c>
      <c r="Y100" s="63" t="n">
        <f aca="false">IFERROR(G100/F100,0)</f>
        <v>0</v>
      </c>
      <c r="Z100" s="59" t="n">
        <f aca="false">IF(E100&gt;0,F100*1000000000/E100,"")</f>
        <v>9216.93308878979</v>
      </c>
      <c r="AA100" s="63" t="n">
        <f aca="false">IFERROR((R100+S100+J100)/F100,0)</f>
        <v>1</v>
      </c>
      <c r="AB100" s="0" t="str">
        <f aca="false">A100&amp;"|"&amp;D100</f>
        <v>Aruba|2020</v>
      </c>
    </row>
    <row r="101" customFormat="false" ht="15" hidden="false" customHeight="false" outlineLevel="0" collapsed="false">
      <c r="A101" s="0" t="s">
        <v>189</v>
      </c>
      <c r="B101" s="0" t="s">
        <v>427</v>
      </c>
      <c r="C101" s="0" t="s">
        <v>127</v>
      </c>
      <c r="D101" s="0" t="n">
        <v>2021</v>
      </c>
      <c r="E101" s="59" t="n">
        <v>107565</v>
      </c>
      <c r="F101" s="60" t="n">
        <v>1</v>
      </c>
      <c r="G101" s="61" t="n">
        <v>0</v>
      </c>
      <c r="H101" s="61" t="n">
        <v>0</v>
      </c>
      <c r="I101" s="61" t="n">
        <v>0.83</v>
      </c>
      <c r="J101" s="61" t="n">
        <v>0</v>
      </c>
      <c r="K101" s="61" t="n">
        <v>0</v>
      </c>
      <c r="L101" s="61" t="n">
        <v>0.03</v>
      </c>
      <c r="M101" s="61" t="n">
        <v>0.14</v>
      </c>
      <c r="N101" s="61" t="n">
        <v>0</v>
      </c>
      <c r="O101" s="61" t="n">
        <v>0</v>
      </c>
      <c r="P101" s="62" t="n">
        <v>550</v>
      </c>
      <c r="Q101" s="0" t="n">
        <v>0</v>
      </c>
      <c r="R101" s="60" t="n">
        <f aca="false">G101+H101+I101</f>
        <v>0.83</v>
      </c>
      <c r="S101" s="60" t="n">
        <f aca="false">K101+L101+M101+N101+O101</f>
        <v>0.17</v>
      </c>
      <c r="T101" s="60" t="n">
        <f aca="false">L101+M101</f>
        <v>0.17</v>
      </c>
      <c r="U101" s="60" t="n">
        <f aca="false">S101+J101</f>
        <v>0.17</v>
      </c>
      <c r="V101" s="63" t="n">
        <f aca="false">IFERROR(S101/F101,0)</f>
        <v>0.17</v>
      </c>
      <c r="W101" s="63" t="n">
        <f aca="false">IFERROR(R101/F101,0)</f>
        <v>0.83</v>
      </c>
      <c r="X101" s="63" t="n">
        <f aca="false">IFERROR(T101/F101,0)</f>
        <v>0.17</v>
      </c>
      <c r="Y101" s="63" t="n">
        <f aca="false">IFERROR(G101/F101,0)</f>
        <v>0</v>
      </c>
      <c r="Z101" s="59" t="n">
        <f aca="false">IF(E101&gt;0,F101*1000000000/E101,"")</f>
        <v>9296.70431831916</v>
      </c>
      <c r="AA101" s="63" t="n">
        <f aca="false">IFERROR((R101+S101+J101)/F101,0)</f>
        <v>1</v>
      </c>
      <c r="AB101" s="0" t="str">
        <f aca="false">A101&amp;"|"&amp;D101</f>
        <v>Aruba|2021</v>
      </c>
    </row>
    <row r="102" customFormat="false" ht="15" hidden="false" customHeight="false" outlineLevel="0" collapsed="false">
      <c r="A102" s="0" t="s">
        <v>189</v>
      </c>
      <c r="B102" s="0" t="s">
        <v>427</v>
      </c>
      <c r="C102" s="0" t="s">
        <v>127</v>
      </c>
      <c r="D102" s="0" t="n">
        <v>2022</v>
      </c>
      <c r="E102" s="59" t="n">
        <v>107792</v>
      </c>
      <c r="F102" s="60" t="n">
        <v>1</v>
      </c>
      <c r="G102" s="61" t="n">
        <v>0</v>
      </c>
      <c r="H102" s="61" t="n">
        <v>0</v>
      </c>
      <c r="I102" s="61" t="n">
        <v>0.83</v>
      </c>
      <c r="J102" s="61" t="n">
        <v>0</v>
      </c>
      <c r="K102" s="61" t="n">
        <v>0</v>
      </c>
      <c r="L102" s="61" t="n">
        <v>0.03</v>
      </c>
      <c r="M102" s="61" t="n">
        <v>0.14</v>
      </c>
      <c r="N102" s="61" t="n">
        <v>0</v>
      </c>
      <c r="O102" s="61" t="n">
        <v>0</v>
      </c>
      <c r="P102" s="62" t="n">
        <v>550</v>
      </c>
      <c r="Q102" s="0" t="n">
        <v>0</v>
      </c>
      <c r="R102" s="60" t="n">
        <f aca="false">G102+H102+I102</f>
        <v>0.83</v>
      </c>
      <c r="S102" s="60" t="n">
        <f aca="false">K102+L102+M102+N102+O102</f>
        <v>0.17</v>
      </c>
      <c r="T102" s="60" t="n">
        <f aca="false">L102+M102</f>
        <v>0.17</v>
      </c>
      <c r="U102" s="60" t="n">
        <f aca="false">S102+J102</f>
        <v>0.17</v>
      </c>
      <c r="V102" s="63" t="n">
        <f aca="false">IFERROR(S102/F102,0)</f>
        <v>0.17</v>
      </c>
      <c r="W102" s="63" t="n">
        <f aca="false">IFERROR(R102/F102,0)</f>
        <v>0.83</v>
      </c>
      <c r="X102" s="63" t="n">
        <f aca="false">IFERROR(T102/F102,0)</f>
        <v>0.17</v>
      </c>
      <c r="Y102" s="63" t="n">
        <f aca="false">IFERROR(G102/F102,0)</f>
        <v>0</v>
      </c>
      <c r="Z102" s="59" t="n">
        <f aca="false">IF(E102&gt;0,F102*1000000000/E102,"")</f>
        <v>9277.12631735194</v>
      </c>
      <c r="AA102" s="63" t="n">
        <f aca="false">IFERROR((R102+S102+J102)/F102,0)</f>
        <v>1</v>
      </c>
      <c r="AB102" s="0" t="str">
        <f aca="false">A102&amp;"|"&amp;D102</f>
        <v>Aruba|2022</v>
      </c>
    </row>
    <row r="103" customFormat="false" ht="15" hidden="false" customHeight="false" outlineLevel="0" collapsed="false">
      <c r="A103" s="0" t="s">
        <v>189</v>
      </c>
      <c r="B103" s="0" t="s">
        <v>427</v>
      </c>
      <c r="C103" s="0" t="s">
        <v>127</v>
      </c>
      <c r="D103" s="0" t="n">
        <v>2023</v>
      </c>
      <c r="E103" s="59" t="n">
        <v>107946</v>
      </c>
      <c r="F103" s="60" t="n">
        <v>1</v>
      </c>
      <c r="G103" s="61" t="n">
        <v>0</v>
      </c>
      <c r="H103" s="61" t="n">
        <v>0</v>
      </c>
      <c r="I103" s="61" t="n">
        <v>0.83</v>
      </c>
      <c r="J103" s="61" t="n">
        <v>0</v>
      </c>
      <c r="K103" s="61" t="n">
        <v>0</v>
      </c>
      <c r="L103" s="61" t="n">
        <v>0.03</v>
      </c>
      <c r="M103" s="61" t="n">
        <v>0.14</v>
      </c>
      <c r="N103" s="61" t="n">
        <v>0</v>
      </c>
      <c r="O103" s="61" t="n">
        <v>0</v>
      </c>
      <c r="P103" s="62" t="n">
        <v>550</v>
      </c>
      <c r="Q103" s="0" t="n">
        <v>0</v>
      </c>
      <c r="R103" s="60" t="n">
        <f aca="false">G103+H103+I103</f>
        <v>0.83</v>
      </c>
      <c r="S103" s="60" t="n">
        <f aca="false">K103+L103+M103+N103+O103</f>
        <v>0.17</v>
      </c>
      <c r="T103" s="60" t="n">
        <f aca="false">L103+M103</f>
        <v>0.17</v>
      </c>
      <c r="U103" s="60" t="n">
        <f aca="false">S103+J103</f>
        <v>0.17</v>
      </c>
      <c r="V103" s="63" t="n">
        <f aca="false">IFERROR(S103/F103,0)</f>
        <v>0.17</v>
      </c>
      <c r="W103" s="63" t="n">
        <f aca="false">IFERROR(R103/F103,0)</f>
        <v>0.83</v>
      </c>
      <c r="X103" s="63" t="n">
        <f aca="false">IFERROR(T103/F103,0)</f>
        <v>0.17</v>
      </c>
      <c r="Y103" s="63" t="n">
        <f aca="false">IFERROR(G103/F103,0)</f>
        <v>0</v>
      </c>
      <c r="Z103" s="59" t="n">
        <f aca="false">IF(E103&gt;0,F103*1000000000/E103,"")</f>
        <v>9263.89120486169</v>
      </c>
      <c r="AA103" s="63" t="n">
        <f aca="false">IFERROR((R103+S103+J103)/F103,0)</f>
        <v>1</v>
      </c>
      <c r="AB103" s="0" t="str">
        <f aca="false">A103&amp;"|"&amp;D103</f>
        <v>Aruba|2023</v>
      </c>
    </row>
    <row r="104" customFormat="false" ht="15" hidden="false" customHeight="false" outlineLevel="0" collapsed="false">
      <c r="A104" s="0" t="s">
        <v>189</v>
      </c>
      <c r="B104" s="0" t="s">
        <v>427</v>
      </c>
      <c r="C104" s="0" t="s">
        <v>127</v>
      </c>
      <c r="D104" s="0" t="n">
        <v>2024</v>
      </c>
      <c r="E104" s="59" t="n">
        <v>108076</v>
      </c>
      <c r="F104" s="60" t="n">
        <v>1</v>
      </c>
      <c r="G104" s="61" t="n">
        <v>0</v>
      </c>
      <c r="H104" s="61" t="n">
        <v>0</v>
      </c>
      <c r="I104" s="61" t="n">
        <v>0.83</v>
      </c>
      <c r="J104" s="61" t="n">
        <v>0</v>
      </c>
      <c r="K104" s="61" t="n">
        <v>0</v>
      </c>
      <c r="L104" s="61" t="n">
        <v>0.03</v>
      </c>
      <c r="M104" s="61" t="n">
        <v>0.14</v>
      </c>
      <c r="N104" s="61" t="n">
        <v>0</v>
      </c>
      <c r="O104" s="61" t="n">
        <v>0</v>
      </c>
      <c r="P104" s="62" t="n">
        <v>550</v>
      </c>
      <c r="Q104" s="0" t="n">
        <v>0</v>
      </c>
      <c r="R104" s="60" t="n">
        <f aca="false">G104+H104+I104</f>
        <v>0.83</v>
      </c>
      <c r="S104" s="60" t="n">
        <f aca="false">K104+L104+M104+N104+O104</f>
        <v>0.17</v>
      </c>
      <c r="T104" s="60" t="n">
        <f aca="false">L104+M104</f>
        <v>0.17</v>
      </c>
      <c r="U104" s="60" t="n">
        <f aca="false">S104+J104</f>
        <v>0.17</v>
      </c>
      <c r="V104" s="63" t="n">
        <f aca="false">IFERROR(S104/F104,0)</f>
        <v>0.17</v>
      </c>
      <c r="W104" s="63" t="n">
        <f aca="false">IFERROR(R104/F104,0)</f>
        <v>0.83</v>
      </c>
      <c r="X104" s="63" t="n">
        <f aca="false">IFERROR(T104/F104,0)</f>
        <v>0.17</v>
      </c>
      <c r="Y104" s="63" t="n">
        <f aca="false">IFERROR(G104/F104,0)</f>
        <v>0</v>
      </c>
      <c r="Z104" s="59" t="n">
        <f aca="false">IF(E104&gt;0,F104*1000000000/E104,"")</f>
        <v>9252.74806617565</v>
      </c>
      <c r="AA104" s="63" t="n">
        <f aca="false">IFERROR((R104+S104+J104)/F104,0)</f>
        <v>1</v>
      </c>
      <c r="AB104" s="0" t="str">
        <f aca="false">A104&amp;"|"&amp;D104</f>
        <v>Aruba|2024</v>
      </c>
    </row>
    <row r="105" customFormat="false" ht="15" hidden="false" customHeight="false" outlineLevel="0" collapsed="false">
      <c r="A105" s="0" t="s">
        <v>190</v>
      </c>
      <c r="B105" s="0" t="s">
        <v>428</v>
      </c>
      <c r="C105" s="0" t="s">
        <v>127</v>
      </c>
      <c r="D105" s="0" t="n">
        <v>2015</v>
      </c>
      <c r="E105" s="59" t="n">
        <v>23947997</v>
      </c>
      <c r="F105" s="60" t="n">
        <v>253.99</v>
      </c>
      <c r="G105" s="61" t="n">
        <v>162.2</v>
      </c>
      <c r="H105" s="61" t="n">
        <v>49.71</v>
      </c>
      <c r="I105" s="61" t="n">
        <v>6.28</v>
      </c>
      <c r="J105" s="61" t="n">
        <v>0</v>
      </c>
      <c r="K105" s="61" t="n">
        <v>14.09</v>
      </c>
      <c r="L105" s="61" t="n">
        <v>6.2</v>
      </c>
      <c r="M105" s="61" t="n">
        <v>11.83</v>
      </c>
      <c r="N105" s="61" t="n">
        <v>3.68</v>
      </c>
      <c r="O105" s="61" t="n">
        <v>0</v>
      </c>
      <c r="P105" s="62" t="n">
        <v>729.7</v>
      </c>
      <c r="Q105" s="0" t="n">
        <v>1</v>
      </c>
      <c r="R105" s="60" t="n">
        <f aca="false">G105+H105+I105</f>
        <v>218.19</v>
      </c>
      <c r="S105" s="60" t="n">
        <f aca="false">K105+L105+M105+N105+O105</f>
        <v>35.8</v>
      </c>
      <c r="T105" s="60" t="n">
        <f aca="false">L105+M105</f>
        <v>18.03</v>
      </c>
      <c r="U105" s="60" t="n">
        <f aca="false">S105+J105</f>
        <v>35.8</v>
      </c>
      <c r="V105" s="63" t="n">
        <f aca="false">IFERROR(S105/F105,0)</f>
        <v>0.140950431119335</v>
      </c>
      <c r="W105" s="63" t="n">
        <f aca="false">IFERROR(R105/F105,0)</f>
        <v>0.859049568880665</v>
      </c>
      <c r="X105" s="63" t="n">
        <f aca="false">IFERROR(T105/F105,0)</f>
        <v>0.0709870467341234</v>
      </c>
      <c r="Y105" s="63" t="n">
        <f aca="false">IFERROR(G105/F105,0)</f>
        <v>0.638607819205481</v>
      </c>
      <c r="Z105" s="59" t="n">
        <f aca="false">IF(E105&gt;0,F105*1000000000/E105,"")</f>
        <v>10605.8974368504</v>
      </c>
      <c r="AA105" s="63" t="n">
        <f aca="false">IFERROR((R105+S105+J105)/F105,0)</f>
        <v>1</v>
      </c>
      <c r="AB105" s="0" t="str">
        <f aca="false">A105&amp;"|"&amp;D105</f>
        <v>Australia|2015</v>
      </c>
    </row>
    <row r="106" customFormat="false" ht="15" hidden="false" customHeight="false" outlineLevel="0" collapsed="false">
      <c r="A106" s="0" t="s">
        <v>190</v>
      </c>
      <c r="B106" s="0" t="s">
        <v>428</v>
      </c>
      <c r="C106" s="0" t="s">
        <v>127</v>
      </c>
      <c r="D106" s="0" t="n">
        <v>2016</v>
      </c>
      <c r="E106" s="59" t="n">
        <v>24329963</v>
      </c>
      <c r="F106" s="60" t="n">
        <v>258.23</v>
      </c>
      <c r="G106" s="61" t="n">
        <v>162.36</v>
      </c>
      <c r="H106" s="61" t="n">
        <v>48.11</v>
      </c>
      <c r="I106" s="61" t="n">
        <v>6.02</v>
      </c>
      <c r="J106" s="61" t="n">
        <v>0</v>
      </c>
      <c r="K106" s="61" t="n">
        <v>17.63</v>
      </c>
      <c r="L106" s="61" t="n">
        <v>7.44</v>
      </c>
      <c r="M106" s="61" t="n">
        <v>13.04</v>
      </c>
      <c r="N106" s="61" t="n">
        <v>3.63</v>
      </c>
      <c r="O106" s="61" t="n">
        <v>0</v>
      </c>
      <c r="P106" s="62" t="n">
        <v>713.5</v>
      </c>
      <c r="Q106" s="0" t="n">
        <v>1</v>
      </c>
      <c r="R106" s="60" t="n">
        <f aca="false">G106+H106+I106</f>
        <v>216.49</v>
      </c>
      <c r="S106" s="60" t="n">
        <f aca="false">K106+L106+M106+N106+O106</f>
        <v>41.74</v>
      </c>
      <c r="T106" s="60" t="n">
        <f aca="false">L106+M106</f>
        <v>20.48</v>
      </c>
      <c r="U106" s="60" t="n">
        <f aca="false">S106+J106</f>
        <v>41.74</v>
      </c>
      <c r="V106" s="63" t="n">
        <f aca="false">IFERROR(S106/F106,0)</f>
        <v>0.161638849088022</v>
      </c>
      <c r="W106" s="63" t="n">
        <f aca="false">IFERROR(R106/F106,0)</f>
        <v>0.838361150911978</v>
      </c>
      <c r="X106" s="63" t="n">
        <f aca="false">IFERROR(T106/F106,0)</f>
        <v>0.0793091430120435</v>
      </c>
      <c r="Y106" s="63" t="n">
        <f aca="false">IFERROR(G106/F106,0)</f>
        <v>0.628741819308369</v>
      </c>
      <c r="Z106" s="59" t="n">
        <f aca="false">IF(E106&gt;0,F106*1000000000/E106,"")</f>
        <v>10613.6618456839</v>
      </c>
      <c r="AA106" s="63" t="n">
        <f aca="false">IFERROR((R106+S106+J106)/F106,0)</f>
        <v>1</v>
      </c>
      <c r="AB106" s="0" t="str">
        <f aca="false">A106&amp;"|"&amp;D106</f>
        <v>Australia|2016</v>
      </c>
    </row>
    <row r="107" customFormat="false" ht="15" hidden="false" customHeight="false" outlineLevel="0" collapsed="false">
      <c r="A107" s="0" t="s">
        <v>190</v>
      </c>
      <c r="B107" s="0" t="s">
        <v>428</v>
      </c>
      <c r="C107" s="0" t="s">
        <v>127</v>
      </c>
      <c r="D107" s="0" t="n">
        <v>2017</v>
      </c>
      <c r="E107" s="59" t="n">
        <v>24731044</v>
      </c>
      <c r="F107" s="60" t="n">
        <v>258.97</v>
      </c>
      <c r="G107" s="61" t="n">
        <v>159.17</v>
      </c>
      <c r="H107" s="61" t="n">
        <v>55.09</v>
      </c>
      <c r="I107" s="61" t="n">
        <v>5.52</v>
      </c>
      <c r="J107" s="61" t="n">
        <v>0</v>
      </c>
      <c r="K107" s="61" t="n">
        <v>13.5</v>
      </c>
      <c r="L107" s="61" t="n">
        <v>8.92</v>
      </c>
      <c r="M107" s="61" t="n">
        <v>13.21</v>
      </c>
      <c r="N107" s="61" t="n">
        <v>3.56</v>
      </c>
      <c r="O107" s="61" t="n">
        <v>0</v>
      </c>
      <c r="P107" s="62" t="n">
        <v>718.1</v>
      </c>
      <c r="Q107" s="0" t="n">
        <v>1</v>
      </c>
      <c r="R107" s="60" t="n">
        <f aca="false">G107+H107+I107</f>
        <v>219.78</v>
      </c>
      <c r="S107" s="60" t="n">
        <f aca="false">K107+L107+M107+N107+O107</f>
        <v>39.19</v>
      </c>
      <c r="T107" s="60" t="n">
        <f aca="false">L107+M107</f>
        <v>22.13</v>
      </c>
      <c r="U107" s="60" t="n">
        <f aca="false">S107+J107</f>
        <v>39.19</v>
      </c>
      <c r="V107" s="63" t="n">
        <f aca="false">IFERROR(S107/F107,0)</f>
        <v>0.151330269915434</v>
      </c>
      <c r="W107" s="63" t="n">
        <f aca="false">IFERROR(R107/F107,0)</f>
        <v>0.848669730084566</v>
      </c>
      <c r="X107" s="63" t="n">
        <f aca="false">IFERROR(T107/F107,0)</f>
        <v>0.0854539135807236</v>
      </c>
      <c r="Y107" s="63" t="n">
        <f aca="false">IFERROR(G107/F107,0)</f>
        <v>0.614627176893076</v>
      </c>
      <c r="Z107" s="59" t="n">
        <f aca="false">IF(E107&gt;0,F107*1000000000/E107,"")</f>
        <v>10471.4544197972</v>
      </c>
      <c r="AA107" s="63" t="n">
        <f aca="false">IFERROR((R107+S107+J107)/F107,0)</f>
        <v>1</v>
      </c>
      <c r="AB107" s="0" t="str">
        <f aca="false">A107&amp;"|"&amp;D107</f>
        <v>Australia|2017</v>
      </c>
    </row>
    <row r="108" customFormat="false" ht="15" hidden="false" customHeight="false" outlineLevel="0" collapsed="false">
      <c r="A108" s="0" t="s">
        <v>190</v>
      </c>
      <c r="B108" s="0" t="s">
        <v>428</v>
      </c>
      <c r="C108" s="0" t="s">
        <v>127</v>
      </c>
      <c r="D108" s="0" t="n">
        <v>2018</v>
      </c>
      <c r="E108" s="59" t="n">
        <v>25119700</v>
      </c>
      <c r="F108" s="60" t="n">
        <v>262.63</v>
      </c>
      <c r="G108" s="61" t="n">
        <v>156.56</v>
      </c>
      <c r="H108" s="61" t="n">
        <v>51.46</v>
      </c>
      <c r="I108" s="61" t="n">
        <v>5.12</v>
      </c>
      <c r="J108" s="61" t="n">
        <v>0</v>
      </c>
      <c r="K108" s="61" t="n">
        <v>17.31</v>
      </c>
      <c r="L108" s="61" t="n">
        <v>12.33</v>
      </c>
      <c r="M108" s="61" t="n">
        <v>16.26</v>
      </c>
      <c r="N108" s="61" t="n">
        <v>3.59</v>
      </c>
      <c r="O108" s="61" t="n">
        <v>0</v>
      </c>
      <c r="P108" s="62" t="n">
        <v>688.4</v>
      </c>
      <c r="Q108" s="0" t="n">
        <v>1</v>
      </c>
      <c r="R108" s="60" t="n">
        <f aca="false">G108+H108+I108</f>
        <v>213.14</v>
      </c>
      <c r="S108" s="60" t="n">
        <f aca="false">K108+L108+M108+N108+O108</f>
        <v>49.49</v>
      </c>
      <c r="T108" s="60" t="n">
        <f aca="false">L108+M108</f>
        <v>28.59</v>
      </c>
      <c r="U108" s="60" t="n">
        <f aca="false">S108+J108</f>
        <v>49.49</v>
      </c>
      <c r="V108" s="63" t="n">
        <f aca="false">IFERROR(S108/F108,0)</f>
        <v>0.188440010661387</v>
      </c>
      <c r="W108" s="63" t="n">
        <f aca="false">IFERROR(R108/F108,0)</f>
        <v>0.811559989338613</v>
      </c>
      <c r="X108" s="63" t="n">
        <f aca="false">IFERROR(T108/F108,0)</f>
        <v>0.108860373910064</v>
      </c>
      <c r="Y108" s="63" t="n">
        <f aca="false">IFERROR(G108/F108,0)</f>
        <v>0.59612382439173</v>
      </c>
      <c r="Z108" s="59" t="n">
        <f aca="false">IF(E108&gt;0,F108*1000000000/E108,"")</f>
        <v>10455.140785917</v>
      </c>
      <c r="AA108" s="63" t="n">
        <f aca="false">IFERROR((R108+S108+J108)/F108,0)</f>
        <v>1</v>
      </c>
      <c r="AB108" s="0" t="str">
        <f aca="false">A108&amp;"|"&amp;D108</f>
        <v>Australia|2018</v>
      </c>
    </row>
    <row r="109" customFormat="false" ht="15" hidden="false" customHeight="false" outlineLevel="0" collapsed="false">
      <c r="A109" s="0" t="s">
        <v>190</v>
      </c>
      <c r="B109" s="0" t="s">
        <v>428</v>
      </c>
      <c r="C109" s="0" t="s">
        <v>127</v>
      </c>
      <c r="D109" s="0" t="n">
        <v>2019</v>
      </c>
      <c r="E109" s="59" t="n">
        <v>25482714</v>
      </c>
      <c r="F109" s="60" t="n">
        <v>265.9</v>
      </c>
      <c r="G109" s="61" t="n">
        <v>149.84</v>
      </c>
      <c r="H109" s="61" t="n">
        <v>55.71</v>
      </c>
      <c r="I109" s="61" t="n">
        <v>5.09</v>
      </c>
      <c r="J109" s="61" t="n">
        <v>0</v>
      </c>
      <c r="K109" s="61" t="n">
        <v>14.02</v>
      </c>
      <c r="L109" s="61" t="n">
        <v>18.3</v>
      </c>
      <c r="M109" s="61" t="n">
        <v>19.47</v>
      </c>
      <c r="N109" s="61" t="n">
        <v>3.47</v>
      </c>
      <c r="O109" s="61" t="n">
        <v>0</v>
      </c>
      <c r="P109" s="62" t="n">
        <v>670.1</v>
      </c>
      <c r="Q109" s="0" t="n">
        <v>1</v>
      </c>
      <c r="R109" s="60" t="n">
        <f aca="false">G109+H109+I109</f>
        <v>210.64</v>
      </c>
      <c r="S109" s="60" t="n">
        <f aca="false">K109+L109+M109+N109+O109</f>
        <v>55.26</v>
      </c>
      <c r="T109" s="60" t="n">
        <f aca="false">L109+M109</f>
        <v>37.77</v>
      </c>
      <c r="U109" s="60" t="n">
        <f aca="false">S109+J109</f>
        <v>55.26</v>
      </c>
      <c r="V109" s="63" t="n">
        <f aca="false">IFERROR(S109/F109,0)</f>
        <v>0.207822489657766</v>
      </c>
      <c r="W109" s="63" t="n">
        <f aca="false">IFERROR(R109/F109,0)</f>
        <v>0.792177510342234</v>
      </c>
      <c r="X109" s="63" t="n">
        <f aca="false">IFERROR(T109/F109,0)</f>
        <v>0.142045881910493</v>
      </c>
      <c r="Y109" s="63" t="n">
        <f aca="false">IFERROR(G109/F109,0)</f>
        <v>0.563520120345995</v>
      </c>
      <c r="Z109" s="59" t="n">
        <f aca="false">IF(E109&gt;0,F109*1000000000/E109,"")</f>
        <v>10434.5243603174</v>
      </c>
      <c r="AA109" s="63" t="n">
        <f aca="false">IFERROR((R109+S109+J109)/F109,0)</f>
        <v>1</v>
      </c>
      <c r="AB109" s="0" t="str">
        <f aca="false">A109&amp;"|"&amp;D109</f>
        <v>Australia|2019</v>
      </c>
    </row>
    <row r="110" customFormat="false" ht="15" hidden="false" customHeight="false" outlineLevel="0" collapsed="false">
      <c r="A110" s="0" t="s">
        <v>190</v>
      </c>
      <c r="B110" s="0" t="s">
        <v>428</v>
      </c>
      <c r="C110" s="0" t="s">
        <v>127</v>
      </c>
      <c r="D110" s="0" t="n">
        <v>2020</v>
      </c>
      <c r="E110" s="59" t="n">
        <v>25743787</v>
      </c>
      <c r="F110" s="60" t="n">
        <v>265.15</v>
      </c>
      <c r="G110" s="61" t="n">
        <v>142.93</v>
      </c>
      <c r="H110" s="61" t="n">
        <v>53.05</v>
      </c>
      <c r="I110" s="61" t="n">
        <v>4.89</v>
      </c>
      <c r="J110" s="61" t="n">
        <v>0</v>
      </c>
      <c r="K110" s="61" t="n">
        <v>14.42</v>
      </c>
      <c r="L110" s="61" t="n">
        <v>23.84</v>
      </c>
      <c r="M110" s="61" t="n">
        <v>22.61</v>
      </c>
      <c r="N110" s="61" t="n">
        <v>3.41</v>
      </c>
      <c r="O110" s="61" t="n">
        <v>0</v>
      </c>
      <c r="P110" s="62" t="n">
        <v>642.3</v>
      </c>
      <c r="Q110" s="0" t="n">
        <v>1</v>
      </c>
      <c r="R110" s="60" t="n">
        <f aca="false">G110+H110+I110</f>
        <v>200.87</v>
      </c>
      <c r="S110" s="60" t="n">
        <f aca="false">K110+L110+M110+N110+O110</f>
        <v>64.28</v>
      </c>
      <c r="T110" s="60" t="n">
        <f aca="false">L110+M110</f>
        <v>46.45</v>
      </c>
      <c r="U110" s="60" t="n">
        <f aca="false">S110+J110</f>
        <v>64.28</v>
      </c>
      <c r="V110" s="63" t="n">
        <f aca="false">IFERROR(S110/F110,0)</f>
        <v>0.242428813878936</v>
      </c>
      <c r="W110" s="63" t="n">
        <f aca="false">IFERROR(R110/F110,0)</f>
        <v>0.757571186121064</v>
      </c>
      <c r="X110" s="63" t="n">
        <f aca="false">IFERROR(T110/F110,0)</f>
        <v>0.175183858193475</v>
      </c>
      <c r="Y110" s="63" t="n">
        <f aca="false">IFERROR(G110/F110,0)</f>
        <v>0.539053366019235</v>
      </c>
      <c r="Z110" s="59" t="n">
        <f aca="false">IF(E110&gt;0,F110*1000000000/E110,"")</f>
        <v>10299.572475487</v>
      </c>
      <c r="AA110" s="63" t="n">
        <f aca="false">IFERROR((R110+S110+J110)/F110,0)</f>
        <v>1</v>
      </c>
      <c r="AB110" s="0" t="str">
        <f aca="false">A110&amp;"|"&amp;D110</f>
        <v>Australia|2020</v>
      </c>
    </row>
    <row r="111" customFormat="false" ht="15" hidden="false" customHeight="false" outlineLevel="0" collapsed="false">
      <c r="A111" s="0" t="s">
        <v>190</v>
      </c>
      <c r="B111" s="0" t="s">
        <v>428</v>
      </c>
      <c r="C111" s="0" t="s">
        <v>127</v>
      </c>
      <c r="D111" s="0" t="n">
        <v>2021</v>
      </c>
      <c r="E111" s="59" t="n">
        <v>25956417</v>
      </c>
      <c r="F111" s="60" t="n">
        <v>267.45</v>
      </c>
      <c r="G111" s="61" t="n">
        <v>137.4</v>
      </c>
      <c r="H111" s="61" t="n">
        <v>47.63</v>
      </c>
      <c r="I111" s="61" t="n">
        <v>5.15</v>
      </c>
      <c r="J111" s="61" t="n">
        <v>0</v>
      </c>
      <c r="K111" s="61" t="n">
        <v>15.94</v>
      </c>
      <c r="L111" s="61" t="n">
        <v>31.19</v>
      </c>
      <c r="M111" s="61" t="n">
        <v>26.8</v>
      </c>
      <c r="N111" s="61" t="n">
        <v>3.34</v>
      </c>
      <c r="O111" s="61" t="n">
        <v>0</v>
      </c>
      <c r="P111" s="62" t="n">
        <v>605.9</v>
      </c>
      <c r="Q111" s="0" t="n">
        <v>1</v>
      </c>
      <c r="R111" s="60" t="n">
        <f aca="false">G111+H111+I111</f>
        <v>190.18</v>
      </c>
      <c r="S111" s="60" t="n">
        <f aca="false">K111+L111+M111+N111+O111</f>
        <v>77.27</v>
      </c>
      <c r="T111" s="60" t="n">
        <f aca="false">L111+M111</f>
        <v>57.99</v>
      </c>
      <c r="U111" s="60" t="n">
        <f aca="false">S111+J111</f>
        <v>77.27</v>
      </c>
      <c r="V111" s="63" t="n">
        <f aca="false">IFERROR(S111/F111,0)</f>
        <v>0.28891381566648</v>
      </c>
      <c r="W111" s="63" t="n">
        <f aca="false">IFERROR(R111/F111,0)</f>
        <v>0.71108618433352</v>
      </c>
      <c r="X111" s="63" t="n">
        <f aca="false">IFERROR(T111/F111,0)</f>
        <v>0.216825574873808</v>
      </c>
      <c r="Y111" s="63" t="n">
        <f aca="false">IFERROR(G111/F111,0)</f>
        <v>0.513740886146943</v>
      </c>
      <c r="Z111" s="59" t="n">
        <f aca="false">IF(E111&gt;0,F111*1000000000/E111,"")</f>
        <v>10303.8104219084</v>
      </c>
      <c r="AA111" s="63" t="n">
        <f aca="false">IFERROR((R111+S111+J111)/F111,0)</f>
        <v>1</v>
      </c>
      <c r="AB111" s="0" t="str">
        <f aca="false">A111&amp;"|"&amp;D111</f>
        <v>Australia|2021</v>
      </c>
    </row>
    <row r="112" customFormat="false" ht="15" hidden="false" customHeight="false" outlineLevel="0" collapsed="false">
      <c r="A112" s="0" t="s">
        <v>190</v>
      </c>
      <c r="B112" s="0" t="s">
        <v>428</v>
      </c>
      <c r="C112" s="0" t="s">
        <v>127</v>
      </c>
      <c r="D112" s="0" t="n">
        <v>2022</v>
      </c>
      <c r="E112" s="59" t="n">
        <v>26200987</v>
      </c>
      <c r="F112" s="60" t="n">
        <v>272.92</v>
      </c>
      <c r="G112" s="61" t="n">
        <v>129.21</v>
      </c>
      <c r="H112" s="61" t="n">
        <v>50.82</v>
      </c>
      <c r="I112" s="61" t="n">
        <v>5.45</v>
      </c>
      <c r="J112" s="61" t="n">
        <v>0</v>
      </c>
      <c r="K112" s="61" t="n">
        <v>16.66</v>
      </c>
      <c r="L112" s="61" t="n">
        <v>37.54</v>
      </c>
      <c r="M112" s="61" t="n">
        <v>30.05</v>
      </c>
      <c r="N112" s="61" t="n">
        <v>3.19</v>
      </c>
      <c r="O112" s="61" t="n">
        <v>0</v>
      </c>
      <c r="P112" s="62" t="n">
        <v>577.9</v>
      </c>
      <c r="Q112" s="0" t="n">
        <v>1</v>
      </c>
      <c r="R112" s="60" t="n">
        <f aca="false">G112+H112+I112</f>
        <v>185.48</v>
      </c>
      <c r="S112" s="60" t="n">
        <f aca="false">K112+L112+M112+N112+O112</f>
        <v>87.44</v>
      </c>
      <c r="T112" s="60" t="n">
        <f aca="false">L112+M112</f>
        <v>67.59</v>
      </c>
      <c r="U112" s="60" t="n">
        <f aca="false">S112+J112</f>
        <v>87.44</v>
      </c>
      <c r="V112" s="63" t="n">
        <f aca="false">IFERROR(S112/F112,0)</f>
        <v>0.320386926571889</v>
      </c>
      <c r="W112" s="63" t="n">
        <f aca="false">IFERROR(R112/F112,0)</f>
        <v>0.679613073428111</v>
      </c>
      <c r="X112" s="63" t="n">
        <f aca="false">IFERROR(T112/F112,0)</f>
        <v>0.247654990473399</v>
      </c>
      <c r="Y112" s="63" t="n">
        <f aca="false">IFERROR(G112/F112,0)</f>
        <v>0.473435438956471</v>
      </c>
      <c r="Z112" s="59" t="n">
        <f aca="false">IF(E112&gt;0,F112*1000000000/E112,"")</f>
        <v>10416.4014889973</v>
      </c>
      <c r="AA112" s="63" t="n">
        <f aca="false">IFERROR((R112+S112+J112)/F112,0)</f>
        <v>1</v>
      </c>
      <c r="AB112" s="0" t="str">
        <f aca="false">A112&amp;"|"&amp;D112</f>
        <v>Australia|2022</v>
      </c>
    </row>
    <row r="113" customFormat="false" ht="15" hidden="false" customHeight="false" outlineLevel="0" collapsed="false">
      <c r="A113" s="0" t="s">
        <v>190</v>
      </c>
      <c r="B113" s="0" t="s">
        <v>428</v>
      </c>
      <c r="C113" s="0" t="s">
        <v>127</v>
      </c>
      <c r="D113" s="0" t="n">
        <v>2023</v>
      </c>
      <c r="E113" s="59" t="n">
        <v>26451126</v>
      </c>
      <c r="F113" s="60" t="n">
        <v>273.11</v>
      </c>
      <c r="G113" s="61" t="n">
        <v>125.61</v>
      </c>
      <c r="H113" s="61" t="n">
        <v>46.67</v>
      </c>
      <c r="I113" s="61" t="n">
        <v>5.76</v>
      </c>
      <c r="J113" s="61" t="n">
        <v>0</v>
      </c>
      <c r="K113" s="61" t="n">
        <v>15.08</v>
      </c>
      <c r="L113" s="61" t="n">
        <v>44.99</v>
      </c>
      <c r="M113" s="61" t="n">
        <v>31.87</v>
      </c>
      <c r="N113" s="61" t="n">
        <v>3.13</v>
      </c>
      <c r="O113" s="61" t="n">
        <v>0</v>
      </c>
      <c r="P113" s="62" t="n">
        <v>556.7</v>
      </c>
      <c r="Q113" s="0" t="n">
        <v>1</v>
      </c>
      <c r="R113" s="60" t="n">
        <f aca="false">G113+H113+I113</f>
        <v>178.04</v>
      </c>
      <c r="S113" s="60" t="n">
        <f aca="false">K113+L113+M113+N113+O113</f>
        <v>95.07</v>
      </c>
      <c r="T113" s="60" t="n">
        <f aca="false">L113+M113</f>
        <v>76.86</v>
      </c>
      <c r="U113" s="60" t="n">
        <f aca="false">S113+J113</f>
        <v>95.07</v>
      </c>
      <c r="V113" s="63" t="n">
        <f aca="false">IFERROR(S113/F113,0)</f>
        <v>0.348101497565084</v>
      </c>
      <c r="W113" s="63" t="n">
        <f aca="false">IFERROR(R113/F113,0)</f>
        <v>0.651898502434916</v>
      </c>
      <c r="X113" s="63" t="n">
        <f aca="false">IFERROR(T113/F113,0)</f>
        <v>0.281425066822892</v>
      </c>
      <c r="Y113" s="63" t="n">
        <f aca="false">IFERROR(G113/F113,0)</f>
        <v>0.459924572516568</v>
      </c>
      <c r="Z113" s="59" t="n">
        <f aca="false">IF(E113&gt;0,F113*1000000000/E113,"")</f>
        <v>10325.0803009293</v>
      </c>
      <c r="AA113" s="63" t="n">
        <f aca="false">IFERROR((R113+S113+J113)/F113,0)</f>
        <v>1</v>
      </c>
      <c r="AB113" s="0" t="str">
        <f aca="false">A113&amp;"|"&amp;D113</f>
        <v>Australia|2023</v>
      </c>
    </row>
    <row r="114" customFormat="false" ht="15" hidden="false" customHeight="false" outlineLevel="0" collapsed="false">
      <c r="A114" s="0" t="s">
        <v>190</v>
      </c>
      <c r="B114" s="0" t="s">
        <v>428</v>
      </c>
      <c r="C114" s="0" t="s">
        <v>127</v>
      </c>
      <c r="D114" s="0" t="n">
        <v>2024</v>
      </c>
      <c r="E114" s="59" t="n">
        <v>26713206</v>
      </c>
      <c r="F114" s="60" t="n">
        <v>281.64</v>
      </c>
      <c r="G114" s="61" t="n">
        <v>127.33</v>
      </c>
      <c r="H114" s="61" t="n">
        <v>49.1</v>
      </c>
      <c r="I114" s="61" t="n">
        <v>6.42</v>
      </c>
      <c r="J114" s="61" t="n">
        <v>0</v>
      </c>
      <c r="K114" s="61" t="n">
        <v>12.85</v>
      </c>
      <c r="L114" s="61" t="n">
        <v>50.21</v>
      </c>
      <c r="M114" s="61" t="n">
        <v>32.74</v>
      </c>
      <c r="N114" s="61" t="n">
        <v>2.99</v>
      </c>
      <c r="O114" s="61" t="n">
        <v>0</v>
      </c>
      <c r="P114" s="62" t="n">
        <v>553.8</v>
      </c>
      <c r="Q114" s="0" t="n">
        <v>1</v>
      </c>
      <c r="R114" s="60" t="n">
        <f aca="false">G114+H114+I114</f>
        <v>182.85</v>
      </c>
      <c r="S114" s="60" t="n">
        <f aca="false">K114+L114+M114+N114+O114</f>
        <v>98.79</v>
      </c>
      <c r="T114" s="60" t="n">
        <f aca="false">L114+M114</f>
        <v>82.95</v>
      </c>
      <c r="U114" s="60" t="n">
        <f aca="false">S114+J114</f>
        <v>98.79</v>
      </c>
      <c r="V114" s="63" t="n">
        <f aca="false">IFERROR(S114/F114,0)</f>
        <v>0.3507669365147</v>
      </c>
      <c r="W114" s="63" t="n">
        <f aca="false">IFERROR(R114/F114,0)</f>
        <v>0.6492330634853</v>
      </c>
      <c r="X114" s="63" t="n">
        <f aca="false">IFERROR(T114/F114,0)</f>
        <v>0.294524925436728</v>
      </c>
      <c r="Y114" s="63" t="n">
        <f aca="false">IFERROR(G114/F114,0)</f>
        <v>0.452101974151399</v>
      </c>
      <c r="Z114" s="59" t="n">
        <f aca="false">IF(E114&gt;0,F114*1000000000/E114,"")</f>
        <v>10543.0999184448</v>
      </c>
      <c r="AA114" s="63" t="n">
        <f aca="false">IFERROR((R114+S114+J114)/F114,0)</f>
        <v>1</v>
      </c>
      <c r="AB114" s="0" t="str">
        <f aca="false">A114&amp;"|"&amp;D114</f>
        <v>Australia|2024</v>
      </c>
    </row>
    <row r="115" customFormat="false" ht="15" hidden="false" customHeight="false" outlineLevel="0" collapsed="false">
      <c r="A115" s="0" t="s">
        <v>190</v>
      </c>
      <c r="B115" s="0" t="s">
        <v>428</v>
      </c>
      <c r="C115" s="0" t="s">
        <v>127</v>
      </c>
      <c r="D115" s="0" t="n">
        <v>2025</v>
      </c>
      <c r="E115" s="59" t="n">
        <v>26974024</v>
      </c>
      <c r="F115" s="60" t="n">
        <v>286.34</v>
      </c>
      <c r="G115" s="61" t="n">
        <v>122.35</v>
      </c>
      <c r="H115" s="61" t="n">
        <v>47.05</v>
      </c>
      <c r="I115" s="61" t="n">
        <v>6.36</v>
      </c>
      <c r="J115" s="61" t="n">
        <v>0</v>
      </c>
      <c r="K115" s="61" t="n">
        <v>12.22</v>
      </c>
      <c r="L115" s="61" t="n">
        <v>56.09</v>
      </c>
      <c r="M115" s="61" t="n">
        <v>39.23</v>
      </c>
      <c r="N115" s="61" t="n">
        <v>3.04</v>
      </c>
      <c r="O115" s="61" t="n">
        <v>0</v>
      </c>
      <c r="P115" s="62" t="n">
        <v>525.2</v>
      </c>
      <c r="Q115" s="0" t="n">
        <v>2</v>
      </c>
      <c r="R115" s="60" t="n">
        <f aca="false">G115+H115+I115</f>
        <v>175.76</v>
      </c>
      <c r="S115" s="60" t="n">
        <f aca="false">K115+L115+M115+N115+O115</f>
        <v>110.58</v>
      </c>
      <c r="T115" s="60" t="n">
        <f aca="false">L115+M115</f>
        <v>95.32</v>
      </c>
      <c r="U115" s="60" t="n">
        <f aca="false">S115+J115</f>
        <v>110.58</v>
      </c>
      <c r="V115" s="63" t="n">
        <f aca="false">IFERROR(S115/F115,0)</f>
        <v>0.386184256478313</v>
      </c>
      <c r="W115" s="63" t="n">
        <f aca="false">IFERROR(R115/F115,0)</f>
        <v>0.613815743521688</v>
      </c>
      <c r="X115" s="63" t="n">
        <f aca="false">IFERROR(T115/F115,0)</f>
        <v>0.332890968778375</v>
      </c>
      <c r="Y115" s="63" t="n">
        <f aca="false">IFERROR(G115/F115,0)</f>
        <v>0.427289236571908</v>
      </c>
      <c r="Z115" s="59" t="n">
        <f aca="false">IF(E115&gt;0,F115*1000000000/E115,"")</f>
        <v>10615.3979843719</v>
      </c>
      <c r="AA115" s="63" t="n">
        <f aca="false">IFERROR((R115+S115+J115)/F115,0)</f>
        <v>1</v>
      </c>
      <c r="AB115" s="0" t="str">
        <f aca="false">A115&amp;"|"&amp;D115</f>
        <v>Australia|2025</v>
      </c>
    </row>
    <row r="116" customFormat="false" ht="15" hidden="false" customHeight="false" outlineLevel="0" collapsed="false">
      <c r="A116" s="0" t="s">
        <v>191</v>
      </c>
      <c r="B116" s="0" t="s">
        <v>429</v>
      </c>
      <c r="C116" s="0" t="s">
        <v>127</v>
      </c>
      <c r="D116" s="0" t="n">
        <v>2015</v>
      </c>
      <c r="E116" s="59" t="n">
        <v>8644037</v>
      </c>
      <c r="F116" s="60" t="n">
        <v>61.78</v>
      </c>
      <c r="G116" s="61" t="n">
        <v>2.95</v>
      </c>
      <c r="H116" s="61" t="n">
        <v>7.66</v>
      </c>
      <c r="I116" s="61" t="n">
        <v>3.58</v>
      </c>
      <c r="J116" s="61" t="n">
        <v>0</v>
      </c>
      <c r="K116" s="61" t="n">
        <v>37.16</v>
      </c>
      <c r="L116" s="61" t="n">
        <v>0.94</v>
      </c>
      <c r="M116" s="61" t="n">
        <v>4.84</v>
      </c>
      <c r="N116" s="61" t="n">
        <v>4.65</v>
      </c>
      <c r="O116" s="61" t="n">
        <v>0</v>
      </c>
      <c r="P116" s="62" t="n">
        <v>172.1</v>
      </c>
      <c r="Q116" s="0" t="n">
        <v>0</v>
      </c>
      <c r="R116" s="60" t="n">
        <f aca="false">G116+H116+I116</f>
        <v>14.19</v>
      </c>
      <c r="S116" s="60" t="n">
        <f aca="false">K116+L116+M116+N116+O116</f>
        <v>47.59</v>
      </c>
      <c r="T116" s="60" t="n">
        <f aca="false">L116+M116</f>
        <v>5.78</v>
      </c>
      <c r="U116" s="60" t="n">
        <f aca="false">S116+J116</f>
        <v>47.59</v>
      </c>
      <c r="V116" s="63" t="n">
        <f aca="false">IFERROR(S116/F116,0)</f>
        <v>0.770314017481386</v>
      </c>
      <c r="W116" s="63" t="n">
        <f aca="false">IFERROR(R116/F116,0)</f>
        <v>0.229685982518614</v>
      </c>
      <c r="X116" s="63" t="n">
        <f aca="false">IFERROR(T116/F116,0)</f>
        <v>0.0935577856911622</v>
      </c>
      <c r="Y116" s="63" t="n">
        <f aca="false">IFERROR(G116/F116,0)</f>
        <v>0.0477500809323406</v>
      </c>
      <c r="Z116" s="59" t="n">
        <f aca="false">IF(E116&gt;0,F116*1000000000/E116,"")</f>
        <v>7147.12350259491</v>
      </c>
      <c r="AA116" s="63" t="n">
        <f aca="false">IFERROR((R116+S116+J116)/F116,0)</f>
        <v>1</v>
      </c>
      <c r="AB116" s="0" t="str">
        <f aca="false">A116&amp;"|"&amp;D116</f>
        <v>Austria|2015</v>
      </c>
    </row>
    <row r="117" customFormat="false" ht="15" hidden="false" customHeight="false" outlineLevel="0" collapsed="false">
      <c r="A117" s="0" t="s">
        <v>191</v>
      </c>
      <c r="B117" s="0" t="s">
        <v>429</v>
      </c>
      <c r="C117" s="0" t="s">
        <v>127</v>
      </c>
      <c r="D117" s="0" t="n">
        <v>2016</v>
      </c>
      <c r="E117" s="59" t="n">
        <v>8737920</v>
      </c>
      <c r="F117" s="60" t="n">
        <v>64.87</v>
      </c>
      <c r="G117" s="61" t="n">
        <v>2.04</v>
      </c>
      <c r="H117" s="61" t="n">
        <v>8.49</v>
      </c>
      <c r="I117" s="61" t="n">
        <v>3.26</v>
      </c>
      <c r="J117" s="61" t="n">
        <v>0</v>
      </c>
      <c r="K117" s="61" t="n">
        <v>39.97</v>
      </c>
      <c r="L117" s="61" t="n">
        <v>1.1</v>
      </c>
      <c r="M117" s="61" t="n">
        <v>5.23</v>
      </c>
      <c r="N117" s="61" t="n">
        <v>4.78</v>
      </c>
      <c r="O117" s="61" t="n">
        <v>0</v>
      </c>
      <c r="P117" s="62" t="n">
        <v>154.6</v>
      </c>
      <c r="Q117" s="0" t="n">
        <v>0</v>
      </c>
      <c r="R117" s="60" t="n">
        <f aca="false">G117+H117+I117</f>
        <v>13.79</v>
      </c>
      <c r="S117" s="60" t="n">
        <f aca="false">K117+L117+M117+N117+O117</f>
        <v>51.08</v>
      </c>
      <c r="T117" s="60" t="n">
        <f aca="false">L117+M117</f>
        <v>6.33</v>
      </c>
      <c r="U117" s="60" t="n">
        <f aca="false">S117+J117</f>
        <v>51.08</v>
      </c>
      <c r="V117" s="63" t="n">
        <f aca="false">IFERROR(S117/F117,0)</f>
        <v>0.787420995837829</v>
      </c>
      <c r="W117" s="63" t="n">
        <f aca="false">IFERROR(R117/F117,0)</f>
        <v>0.212579004162171</v>
      </c>
      <c r="X117" s="63" t="n">
        <f aca="false">IFERROR(T117/F117,0)</f>
        <v>0.0975797749344844</v>
      </c>
      <c r="Y117" s="63" t="n">
        <f aca="false">IFERROR(G117/F117,0)</f>
        <v>0.0314475104054262</v>
      </c>
      <c r="Z117" s="59" t="n">
        <f aca="false">IF(E117&gt;0,F117*1000000000/E117,"")</f>
        <v>7423.96359774409</v>
      </c>
      <c r="AA117" s="63" t="n">
        <f aca="false">IFERROR((R117+S117+J117)/F117,0)</f>
        <v>1</v>
      </c>
      <c r="AB117" s="0" t="str">
        <f aca="false">A117&amp;"|"&amp;D117</f>
        <v>Austria|2016</v>
      </c>
    </row>
    <row r="118" customFormat="false" ht="15" hidden="false" customHeight="false" outlineLevel="0" collapsed="false">
      <c r="A118" s="0" t="s">
        <v>191</v>
      </c>
      <c r="B118" s="0" t="s">
        <v>429</v>
      </c>
      <c r="C118" s="0" t="s">
        <v>127</v>
      </c>
      <c r="D118" s="0" t="n">
        <v>2017</v>
      </c>
      <c r="E118" s="59" t="n">
        <v>8798779</v>
      </c>
      <c r="F118" s="60" t="n">
        <v>67.09</v>
      </c>
      <c r="G118" s="61" t="n">
        <v>1.76</v>
      </c>
      <c r="H118" s="61" t="n">
        <v>10.91</v>
      </c>
      <c r="I118" s="61" t="n">
        <v>3.37</v>
      </c>
      <c r="J118" s="61" t="n">
        <v>0</v>
      </c>
      <c r="K118" s="61" t="n">
        <v>38.29</v>
      </c>
      <c r="L118" s="61" t="n">
        <v>1.27</v>
      </c>
      <c r="M118" s="61" t="n">
        <v>6.57</v>
      </c>
      <c r="N118" s="61" t="n">
        <v>4.92</v>
      </c>
      <c r="O118" s="61" t="n">
        <v>0</v>
      </c>
      <c r="P118" s="62" t="n">
        <v>162.9</v>
      </c>
      <c r="Q118" s="0" t="n">
        <v>0</v>
      </c>
      <c r="R118" s="60" t="n">
        <f aca="false">G118+H118+I118</f>
        <v>16.04</v>
      </c>
      <c r="S118" s="60" t="n">
        <f aca="false">K118+L118+M118+N118+O118</f>
        <v>51.05</v>
      </c>
      <c r="T118" s="60" t="n">
        <f aca="false">L118+M118</f>
        <v>7.84</v>
      </c>
      <c r="U118" s="60" t="n">
        <f aca="false">S118+J118</f>
        <v>51.05</v>
      </c>
      <c r="V118" s="63" t="n">
        <f aca="false">IFERROR(S118/F118,0)</f>
        <v>0.760918169622895</v>
      </c>
      <c r="W118" s="63" t="n">
        <f aca="false">IFERROR(R118/F118,0)</f>
        <v>0.239081830377105</v>
      </c>
      <c r="X118" s="63" t="n">
        <f aca="false">IFERROR(T118/F118,0)</f>
        <v>0.11685795200477</v>
      </c>
      <c r="Y118" s="63" t="n">
        <f aca="false">IFERROR(G118/F118,0)</f>
        <v>0.0262334177969891</v>
      </c>
      <c r="Z118" s="59" t="n">
        <f aca="false">IF(E118&gt;0,F118*1000000000/E118,"")</f>
        <v>7624.92159423484</v>
      </c>
      <c r="AA118" s="63" t="n">
        <f aca="false">IFERROR((R118+S118+J118)/F118,0)</f>
        <v>1</v>
      </c>
      <c r="AB118" s="0" t="str">
        <f aca="false">A118&amp;"|"&amp;D118</f>
        <v>Austria|2017</v>
      </c>
    </row>
    <row r="119" customFormat="false" ht="15" hidden="false" customHeight="false" outlineLevel="0" collapsed="false">
      <c r="A119" s="0" t="s">
        <v>191</v>
      </c>
      <c r="B119" s="0" t="s">
        <v>429</v>
      </c>
      <c r="C119" s="0" t="s">
        <v>127</v>
      </c>
      <c r="D119" s="0" t="n">
        <v>2018</v>
      </c>
      <c r="E119" s="59" t="n">
        <v>8841653</v>
      </c>
      <c r="F119" s="60" t="n">
        <v>64.67</v>
      </c>
      <c r="G119" s="61" t="n">
        <v>1.81</v>
      </c>
      <c r="H119" s="61" t="n">
        <v>9.92</v>
      </c>
      <c r="I119" s="61" t="n">
        <v>2.88</v>
      </c>
      <c r="J119" s="61" t="n">
        <v>0</v>
      </c>
      <c r="K119" s="61" t="n">
        <v>37.64</v>
      </c>
      <c r="L119" s="61" t="n">
        <v>1.46</v>
      </c>
      <c r="M119" s="61" t="n">
        <v>6.03</v>
      </c>
      <c r="N119" s="61" t="n">
        <v>4.93</v>
      </c>
      <c r="O119" s="61" t="n">
        <v>0</v>
      </c>
      <c r="P119" s="62" t="n">
        <v>157.9</v>
      </c>
      <c r="Q119" s="0" t="n">
        <v>0</v>
      </c>
      <c r="R119" s="60" t="n">
        <f aca="false">G119+H119+I119</f>
        <v>14.61</v>
      </c>
      <c r="S119" s="60" t="n">
        <f aca="false">K119+L119+M119+N119+O119</f>
        <v>50.06</v>
      </c>
      <c r="T119" s="60" t="n">
        <f aca="false">L119+M119</f>
        <v>7.49</v>
      </c>
      <c r="U119" s="60" t="n">
        <f aca="false">S119+J119</f>
        <v>50.06</v>
      </c>
      <c r="V119" s="63" t="n">
        <f aca="false">IFERROR(S119/F119,0)</f>
        <v>0.774083810112881</v>
      </c>
      <c r="W119" s="63" t="n">
        <f aca="false">IFERROR(R119/F119,0)</f>
        <v>0.225916189887119</v>
      </c>
      <c r="X119" s="63" t="n">
        <f aca="false">IFERROR(T119/F119,0)</f>
        <v>0.115818772228236</v>
      </c>
      <c r="Y119" s="63" t="n">
        <f aca="false">IFERROR(G119/F119,0)</f>
        <v>0.0279882480284521</v>
      </c>
      <c r="Z119" s="59" t="n">
        <f aca="false">IF(E119&gt;0,F119*1000000000/E119,"")</f>
        <v>7314.24316244938</v>
      </c>
      <c r="AA119" s="63" t="n">
        <f aca="false">IFERROR((R119+S119+J119)/F119,0)</f>
        <v>1</v>
      </c>
      <c r="AB119" s="0" t="str">
        <f aca="false">A119&amp;"|"&amp;D119</f>
        <v>Austria|2018</v>
      </c>
    </row>
    <row r="120" customFormat="false" ht="15" hidden="false" customHeight="false" outlineLevel="0" collapsed="false">
      <c r="A120" s="0" t="s">
        <v>191</v>
      </c>
      <c r="B120" s="0" t="s">
        <v>429</v>
      </c>
      <c r="C120" s="0" t="s">
        <v>127</v>
      </c>
      <c r="D120" s="0" t="n">
        <v>2019</v>
      </c>
      <c r="E120" s="59" t="n">
        <v>8880876</v>
      </c>
      <c r="F120" s="60" t="n">
        <v>70.69</v>
      </c>
      <c r="G120" s="61" t="n">
        <v>1.5</v>
      </c>
      <c r="H120" s="61" t="n">
        <v>11.32</v>
      </c>
      <c r="I120" s="61" t="n">
        <v>3.23</v>
      </c>
      <c r="J120" s="61" t="n">
        <v>0</v>
      </c>
      <c r="K120" s="61" t="n">
        <v>40.83</v>
      </c>
      <c r="L120" s="61" t="n">
        <v>1.7</v>
      </c>
      <c r="M120" s="61" t="n">
        <v>7.45</v>
      </c>
      <c r="N120" s="61" t="n">
        <v>4.66</v>
      </c>
      <c r="O120" s="61" t="n">
        <v>0</v>
      </c>
      <c r="P120" s="62" t="n">
        <v>152.8</v>
      </c>
      <c r="Q120" s="0" t="n">
        <v>0</v>
      </c>
      <c r="R120" s="60" t="n">
        <f aca="false">G120+H120+I120</f>
        <v>16.05</v>
      </c>
      <c r="S120" s="60" t="n">
        <f aca="false">K120+L120+M120+N120+O120</f>
        <v>54.64</v>
      </c>
      <c r="T120" s="60" t="n">
        <f aca="false">L120+M120</f>
        <v>9.15</v>
      </c>
      <c r="U120" s="60" t="n">
        <f aca="false">S120+J120</f>
        <v>54.64</v>
      </c>
      <c r="V120" s="63" t="n">
        <f aca="false">IFERROR(S120/F120,0)</f>
        <v>0.772952327061819</v>
      </c>
      <c r="W120" s="63" t="n">
        <f aca="false">IFERROR(R120/F120,0)</f>
        <v>0.227047672938181</v>
      </c>
      <c r="X120" s="63" t="n">
        <f aca="false">IFERROR(T120/F120,0)</f>
        <v>0.129438392983449</v>
      </c>
      <c r="Y120" s="63" t="n">
        <f aca="false">IFERROR(G120/F120,0)</f>
        <v>0.0212194086858113</v>
      </c>
      <c r="Z120" s="59" t="n">
        <f aca="false">IF(E120&gt;0,F120*1000000000/E120,"")</f>
        <v>7959.80036203636</v>
      </c>
      <c r="AA120" s="63" t="n">
        <f aca="false">IFERROR((R120+S120+J120)/F120,0)</f>
        <v>1</v>
      </c>
      <c r="AB120" s="0" t="str">
        <f aca="false">A120&amp;"|"&amp;D120</f>
        <v>Austria|2019</v>
      </c>
    </row>
    <row r="121" customFormat="false" ht="15" hidden="false" customHeight="false" outlineLevel="0" collapsed="false">
      <c r="A121" s="0" t="s">
        <v>191</v>
      </c>
      <c r="B121" s="0" t="s">
        <v>429</v>
      </c>
      <c r="C121" s="0" t="s">
        <v>127</v>
      </c>
      <c r="D121" s="0" t="n">
        <v>2020</v>
      </c>
      <c r="E121" s="59" t="n">
        <v>8921402</v>
      </c>
      <c r="F121" s="60" t="n">
        <v>69.03</v>
      </c>
      <c r="G121" s="61" t="n">
        <v>0.56</v>
      </c>
      <c r="H121" s="61" t="n">
        <v>9.95</v>
      </c>
      <c r="I121" s="61" t="n">
        <v>3.1</v>
      </c>
      <c r="J121" s="61" t="n">
        <v>0</v>
      </c>
      <c r="K121" s="61" t="n">
        <v>42</v>
      </c>
      <c r="L121" s="61" t="n">
        <v>2.04</v>
      </c>
      <c r="M121" s="61" t="n">
        <v>6.79</v>
      </c>
      <c r="N121" s="61" t="n">
        <v>4.59</v>
      </c>
      <c r="O121" s="61" t="n">
        <v>0</v>
      </c>
      <c r="P121" s="62" t="n">
        <v>133.3</v>
      </c>
      <c r="Q121" s="0" t="n">
        <v>0</v>
      </c>
      <c r="R121" s="60" t="n">
        <f aca="false">G121+H121+I121</f>
        <v>13.61</v>
      </c>
      <c r="S121" s="60" t="n">
        <f aca="false">K121+L121+M121+N121+O121</f>
        <v>55.42</v>
      </c>
      <c r="T121" s="60" t="n">
        <f aca="false">L121+M121</f>
        <v>8.83</v>
      </c>
      <c r="U121" s="60" t="n">
        <f aca="false">S121+J121</f>
        <v>55.42</v>
      </c>
      <c r="V121" s="63" t="n">
        <f aca="false">IFERROR(S121/F121,0)</f>
        <v>0.802839345212227</v>
      </c>
      <c r="W121" s="63" t="n">
        <f aca="false">IFERROR(R121/F121,0)</f>
        <v>0.197160654787773</v>
      </c>
      <c r="X121" s="63" t="n">
        <f aca="false">IFERROR(T121/F121,0)</f>
        <v>0.12791539910184</v>
      </c>
      <c r="Y121" s="63" t="n">
        <f aca="false">IFERROR(G121/F121,0)</f>
        <v>0.00811241489207591</v>
      </c>
      <c r="Z121" s="59" t="n">
        <f aca="false">IF(E121&gt;0,F121*1000000000/E121,"")</f>
        <v>7737.57308548589</v>
      </c>
      <c r="AA121" s="63" t="n">
        <f aca="false">IFERROR((R121+S121+J121)/F121,0)</f>
        <v>1</v>
      </c>
      <c r="AB121" s="0" t="str">
        <f aca="false">A121&amp;"|"&amp;D121</f>
        <v>Austria|2020</v>
      </c>
    </row>
    <row r="122" customFormat="false" ht="15" hidden="false" customHeight="false" outlineLevel="0" collapsed="false">
      <c r="A122" s="0" t="s">
        <v>191</v>
      </c>
      <c r="B122" s="0" t="s">
        <v>429</v>
      </c>
      <c r="C122" s="0" t="s">
        <v>127</v>
      </c>
      <c r="D122" s="0" t="n">
        <v>2021</v>
      </c>
      <c r="E122" s="59" t="n">
        <v>8967053</v>
      </c>
      <c r="F122" s="60" t="n">
        <v>66.67</v>
      </c>
      <c r="G122" s="61" t="n">
        <v>0</v>
      </c>
      <c r="H122" s="61" t="n">
        <v>10.62</v>
      </c>
      <c r="I122" s="61" t="n">
        <v>3.3</v>
      </c>
      <c r="J122" s="61" t="n">
        <v>0</v>
      </c>
      <c r="K122" s="61" t="n">
        <v>38.75</v>
      </c>
      <c r="L122" s="61" t="n">
        <v>2.78</v>
      </c>
      <c r="M122" s="61" t="n">
        <v>6.74</v>
      </c>
      <c r="N122" s="61" t="n">
        <v>4.48</v>
      </c>
      <c r="O122" s="61" t="n">
        <v>0</v>
      </c>
      <c r="P122" s="62" t="n">
        <v>135.3</v>
      </c>
      <c r="Q122" s="0" t="n">
        <v>0</v>
      </c>
      <c r="R122" s="60" t="n">
        <f aca="false">G122+H122+I122</f>
        <v>13.92</v>
      </c>
      <c r="S122" s="60" t="n">
        <f aca="false">K122+L122+M122+N122+O122</f>
        <v>52.75</v>
      </c>
      <c r="T122" s="60" t="n">
        <f aca="false">L122+M122</f>
        <v>9.52</v>
      </c>
      <c r="U122" s="60" t="n">
        <f aca="false">S122+J122</f>
        <v>52.75</v>
      </c>
      <c r="V122" s="63" t="n">
        <f aca="false">IFERROR(S122/F122,0)</f>
        <v>0.791210439478026</v>
      </c>
      <c r="W122" s="63" t="n">
        <f aca="false">IFERROR(R122/F122,0)</f>
        <v>0.208789560521974</v>
      </c>
      <c r="X122" s="63" t="n">
        <f aca="false">IFERROR(T122/F122,0)</f>
        <v>0.142792860356982</v>
      </c>
      <c r="Y122" s="63" t="n">
        <f aca="false">IFERROR(G122/F122,0)</f>
        <v>0</v>
      </c>
      <c r="Z122" s="59" t="n">
        <f aca="false">IF(E122&gt;0,F122*1000000000/E122,"")</f>
        <v>7434.99564461145</v>
      </c>
      <c r="AA122" s="63" t="n">
        <f aca="false">IFERROR((R122+S122+J122)/F122,0)</f>
        <v>1</v>
      </c>
      <c r="AB122" s="0" t="str">
        <f aca="false">A122&amp;"|"&amp;D122</f>
        <v>Austria|2021</v>
      </c>
    </row>
    <row r="123" customFormat="false" ht="15" hidden="false" customHeight="false" outlineLevel="0" collapsed="false">
      <c r="A123" s="0" t="s">
        <v>191</v>
      </c>
      <c r="B123" s="0" t="s">
        <v>429</v>
      </c>
      <c r="C123" s="0" t="s">
        <v>127</v>
      </c>
      <c r="D123" s="0" t="n">
        <v>2022</v>
      </c>
      <c r="E123" s="59" t="n">
        <v>9064678</v>
      </c>
      <c r="F123" s="60" t="n">
        <v>64.47</v>
      </c>
      <c r="G123" s="61" t="n">
        <v>0</v>
      </c>
      <c r="H123" s="61" t="n">
        <v>10.85</v>
      </c>
      <c r="I123" s="61" t="n">
        <v>3.21</v>
      </c>
      <c r="J123" s="61" t="n">
        <v>0</v>
      </c>
      <c r="K123" s="61" t="n">
        <v>34.63</v>
      </c>
      <c r="L123" s="61" t="n">
        <v>3.79</v>
      </c>
      <c r="M123" s="61" t="n">
        <v>7.24</v>
      </c>
      <c r="N123" s="61" t="n">
        <v>4.75</v>
      </c>
      <c r="O123" s="61" t="n">
        <v>0</v>
      </c>
      <c r="P123" s="62" t="n">
        <v>140.8</v>
      </c>
      <c r="Q123" s="0" t="n">
        <v>0</v>
      </c>
      <c r="R123" s="60" t="n">
        <f aca="false">G123+H123+I123</f>
        <v>14.06</v>
      </c>
      <c r="S123" s="60" t="n">
        <f aca="false">K123+L123+M123+N123+O123</f>
        <v>50.41</v>
      </c>
      <c r="T123" s="60" t="n">
        <f aca="false">L123+M123</f>
        <v>11.03</v>
      </c>
      <c r="U123" s="60" t="n">
        <f aca="false">S123+J123</f>
        <v>50.41</v>
      </c>
      <c r="V123" s="63" t="n">
        <f aca="false">IFERROR(S123/F123,0)</f>
        <v>0.78191406855902</v>
      </c>
      <c r="W123" s="63" t="n">
        <f aca="false">IFERROR(R123/F123,0)</f>
        <v>0.21808593144098</v>
      </c>
      <c r="X123" s="63" t="n">
        <f aca="false">IFERROR(T123/F123,0)</f>
        <v>0.171087327439119</v>
      </c>
      <c r="Y123" s="63" t="n">
        <f aca="false">IFERROR(G123/F123,0)</f>
        <v>0</v>
      </c>
      <c r="Z123" s="59" t="n">
        <f aca="false">IF(E123&gt;0,F123*1000000000/E123,"")</f>
        <v>7112.22174687286</v>
      </c>
      <c r="AA123" s="63" t="n">
        <f aca="false">IFERROR((R123+S123+J123)/F123,0)</f>
        <v>1</v>
      </c>
      <c r="AB123" s="0" t="str">
        <f aca="false">A123&amp;"|"&amp;D123</f>
        <v>Austria|2022</v>
      </c>
    </row>
    <row r="124" customFormat="false" ht="15" hidden="false" customHeight="false" outlineLevel="0" collapsed="false">
      <c r="A124" s="0" t="s">
        <v>191</v>
      </c>
      <c r="B124" s="0" t="s">
        <v>429</v>
      </c>
      <c r="C124" s="0" t="s">
        <v>127</v>
      </c>
      <c r="D124" s="0" t="n">
        <v>2023</v>
      </c>
      <c r="E124" s="59" t="n">
        <v>9130434</v>
      </c>
      <c r="F124" s="60" t="n">
        <v>70.98</v>
      </c>
      <c r="G124" s="61" t="n">
        <v>0</v>
      </c>
      <c r="H124" s="61" t="n">
        <v>7.5</v>
      </c>
      <c r="I124" s="61" t="n">
        <v>3.32</v>
      </c>
      <c r="J124" s="61" t="n">
        <v>0</v>
      </c>
      <c r="K124" s="61" t="n">
        <v>40.67</v>
      </c>
      <c r="L124" s="61" t="n">
        <v>6.89</v>
      </c>
      <c r="M124" s="61" t="n">
        <v>8.04</v>
      </c>
      <c r="N124" s="61" t="n">
        <v>4.56</v>
      </c>
      <c r="O124" s="61" t="n">
        <v>0</v>
      </c>
      <c r="P124" s="62" t="n">
        <v>111.7</v>
      </c>
      <c r="Q124" s="0" t="n">
        <v>0</v>
      </c>
      <c r="R124" s="60" t="n">
        <f aca="false">G124+H124+I124</f>
        <v>10.82</v>
      </c>
      <c r="S124" s="60" t="n">
        <f aca="false">K124+L124+M124+N124+O124</f>
        <v>60.16</v>
      </c>
      <c r="T124" s="60" t="n">
        <f aca="false">L124+M124</f>
        <v>14.93</v>
      </c>
      <c r="U124" s="60" t="n">
        <f aca="false">S124+J124</f>
        <v>60.16</v>
      </c>
      <c r="V124" s="63" t="n">
        <f aca="false">IFERROR(S124/F124,0)</f>
        <v>0.84756269371654</v>
      </c>
      <c r="W124" s="63" t="n">
        <f aca="false">IFERROR(R124/F124,0)</f>
        <v>0.15243730628346</v>
      </c>
      <c r="X124" s="63" t="n">
        <f aca="false">IFERROR(T124/F124,0)</f>
        <v>0.210340941110172</v>
      </c>
      <c r="Y124" s="63" t="n">
        <f aca="false">IFERROR(G124/F124,0)</f>
        <v>0</v>
      </c>
      <c r="Z124" s="59" t="n">
        <f aca="false">IF(E124&gt;0,F124*1000000000/E124,"")</f>
        <v>7774.00066634291</v>
      </c>
      <c r="AA124" s="63" t="n">
        <f aca="false">IFERROR((R124+S124+J124)/F124,0)</f>
        <v>1</v>
      </c>
      <c r="AB124" s="0" t="str">
        <f aca="false">A124&amp;"|"&amp;D124</f>
        <v>Austria|2023</v>
      </c>
    </row>
    <row r="125" customFormat="false" ht="15" hidden="false" customHeight="false" outlineLevel="0" collapsed="false">
      <c r="A125" s="0" t="s">
        <v>191</v>
      </c>
      <c r="B125" s="0" t="s">
        <v>429</v>
      </c>
      <c r="C125" s="0" t="s">
        <v>127</v>
      </c>
      <c r="D125" s="0" t="n">
        <v>2024</v>
      </c>
      <c r="E125" s="59" t="n">
        <v>9120815</v>
      </c>
      <c r="F125" s="60" t="n">
        <v>78.47</v>
      </c>
      <c r="G125" s="61" t="n">
        <v>0</v>
      </c>
      <c r="H125" s="61" t="n">
        <v>7.54</v>
      </c>
      <c r="I125" s="61" t="n">
        <v>3.27</v>
      </c>
      <c r="J125" s="61" t="n">
        <v>0</v>
      </c>
      <c r="K125" s="61" t="n">
        <v>45.71</v>
      </c>
      <c r="L125" s="61" t="n">
        <v>8.14</v>
      </c>
      <c r="M125" s="61" t="n">
        <v>9.14</v>
      </c>
      <c r="N125" s="61" t="n">
        <v>4.67</v>
      </c>
      <c r="O125" s="61" t="n">
        <v>0</v>
      </c>
      <c r="P125" s="62" t="n">
        <v>103.5</v>
      </c>
      <c r="Q125" s="0" t="n">
        <v>0</v>
      </c>
      <c r="R125" s="60" t="n">
        <f aca="false">G125+H125+I125</f>
        <v>10.81</v>
      </c>
      <c r="S125" s="60" t="n">
        <f aca="false">K125+L125+M125+N125+O125</f>
        <v>67.66</v>
      </c>
      <c r="T125" s="60" t="n">
        <f aca="false">L125+M125</f>
        <v>17.28</v>
      </c>
      <c r="U125" s="60" t="n">
        <f aca="false">S125+J125</f>
        <v>67.66</v>
      </c>
      <c r="V125" s="63" t="n">
        <f aca="false">IFERROR(S125/F125,0)</f>
        <v>0.862240346629285</v>
      </c>
      <c r="W125" s="63" t="n">
        <f aca="false">IFERROR(R125/F125,0)</f>
        <v>0.137759653370715</v>
      </c>
      <c r="X125" s="63" t="n">
        <f aca="false">IFERROR(T125/F125,0)</f>
        <v>0.220211545813687</v>
      </c>
      <c r="Y125" s="63" t="n">
        <f aca="false">IFERROR(G125/F125,0)</f>
        <v>0</v>
      </c>
      <c r="Z125" s="59" t="n">
        <f aca="false">IF(E125&gt;0,F125*1000000000/E125,"")</f>
        <v>8603.39783232091</v>
      </c>
      <c r="AA125" s="63" t="n">
        <f aca="false">IFERROR((R125+S125+J125)/F125,0)</f>
        <v>1</v>
      </c>
      <c r="AB125" s="0" t="str">
        <f aca="false">A125&amp;"|"&amp;D125</f>
        <v>Austria|2024</v>
      </c>
    </row>
    <row r="126" customFormat="false" ht="15" hidden="false" customHeight="false" outlineLevel="0" collapsed="false">
      <c r="A126" s="0" t="s">
        <v>191</v>
      </c>
      <c r="B126" s="0" t="s">
        <v>429</v>
      </c>
      <c r="C126" s="0" t="s">
        <v>127</v>
      </c>
      <c r="D126" s="0" t="n">
        <v>2025</v>
      </c>
      <c r="E126" s="59" t="n">
        <v>9113578</v>
      </c>
      <c r="F126" s="60" t="n">
        <v>73.22</v>
      </c>
      <c r="G126" s="61" t="n">
        <v>0</v>
      </c>
      <c r="H126" s="61" t="n">
        <v>8.74</v>
      </c>
      <c r="I126" s="61" t="n">
        <v>3.27</v>
      </c>
      <c r="J126" s="61" t="n">
        <v>0</v>
      </c>
      <c r="K126" s="61" t="n">
        <v>37.93</v>
      </c>
      <c r="L126" s="61" t="n">
        <v>10.31</v>
      </c>
      <c r="M126" s="61" t="n">
        <v>8.31</v>
      </c>
      <c r="N126" s="61" t="n">
        <v>4.66</v>
      </c>
      <c r="O126" s="61" t="n">
        <v>0</v>
      </c>
      <c r="P126" s="62" t="n">
        <v>116.9</v>
      </c>
      <c r="Q126" s="0" t="n">
        <v>0</v>
      </c>
      <c r="R126" s="60" t="n">
        <f aca="false">G126+H126+I126</f>
        <v>12.01</v>
      </c>
      <c r="S126" s="60" t="n">
        <f aca="false">K126+L126+M126+N126+O126</f>
        <v>61.21</v>
      </c>
      <c r="T126" s="60" t="n">
        <f aca="false">L126+M126</f>
        <v>18.62</v>
      </c>
      <c r="U126" s="60" t="n">
        <f aca="false">S126+J126</f>
        <v>61.21</v>
      </c>
      <c r="V126" s="63" t="n">
        <f aca="false">IFERROR(S126/F126,0)</f>
        <v>0.835973777656378</v>
      </c>
      <c r="W126" s="63" t="n">
        <f aca="false">IFERROR(R126/F126,0)</f>
        <v>0.164026222343622</v>
      </c>
      <c r="X126" s="63" t="n">
        <f aca="false">IFERROR(T126/F126,0)</f>
        <v>0.254302103250478</v>
      </c>
      <c r="Y126" s="63" t="n">
        <f aca="false">IFERROR(G126/F126,0)</f>
        <v>0</v>
      </c>
      <c r="Z126" s="59" t="n">
        <f aca="false">IF(E126&gt;0,F126*1000000000/E126,"")</f>
        <v>8034.16616393693</v>
      </c>
      <c r="AA126" s="63" t="n">
        <f aca="false">IFERROR((R126+S126+J126)/F126,0)</f>
        <v>1</v>
      </c>
      <c r="AB126" s="0" t="str">
        <f aca="false">A126&amp;"|"&amp;D126</f>
        <v>Austria|2025</v>
      </c>
    </row>
    <row r="127" customFormat="false" ht="15" hidden="false" customHeight="false" outlineLevel="0" collapsed="false">
      <c r="A127" s="0" t="s">
        <v>192</v>
      </c>
      <c r="B127" s="0" t="s">
        <v>430</v>
      </c>
      <c r="C127" s="0" t="s">
        <v>127</v>
      </c>
      <c r="D127" s="0" t="n">
        <v>2015</v>
      </c>
      <c r="E127" s="59" t="n">
        <v>9752859</v>
      </c>
      <c r="F127" s="60" t="n">
        <v>24.57</v>
      </c>
      <c r="G127" s="61" t="n">
        <v>0</v>
      </c>
      <c r="H127" s="61" t="n">
        <v>21.25</v>
      </c>
      <c r="I127" s="61" t="n">
        <v>1.61</v>
      </c>
      <c r="J127" s="61" t="n">
        <v>0</v>
      </c>
      <c r="K127" s="61" t="n">
        <v>1.62</v>
      </c>
      <c r="L127" s="61" t="n">
        <v>0</v>
      </c>
      <c r="M127" s="61" t="n">
        <v>0</v>
      </c>
      <c r="N127" s="61" t="n">
        <v>0.09</v>
      </c>
      <c r="O127" s="61" t="n">
        <v>0</v>
      </c>
      <c r="P127" s="62" t="n">
        <v>663.8</v>
      </c>
      <c r="Q127" s="0" t="n">
        <v>0</v>
      </c>
      <c r="R127" s="60" t="n">
        <f aca="false">G127+H127+I127</f>
        <v>22.86</v>
      </c>
      <c r="S127" s="60" t="n">
        <f aca="false">K127+L127+M127+N127+O127</f>
        <v>1.71</v>
      </c>
      <c r="T127" s="60" t="n">
        <f aca="false">L127+M127</f>
        <v>0</v>
      </c>
      <c r="U127" s="60" t="n">
        <f aca="false">S127+J127</f>
        <v>1.71</v>
      </c>
      <c r="V127" s="63" t="n">
        <f aca="false">IFERROR(S127/F127,0)</f>
        <v>0.0695970695970696</v>
      </c>
      <c r="W127" s="63" t="n">
        <f aca="false">IFERROR(R127/F127,0)</f>
        <v>0.93040293040293</v>
      </c>
      <c r="X127" s="63" t="n">
        <f aca="false">IFERROR(T127/F127,0)</f>
        <v>0</v>
      </c>
      <c r="Y127" s="63" t="n">
        <f aca="false">IFERROR(G127/F127,0)</f>
        <v>0</v>
      </c>
      <c r="Z127" s="59" t="n">
        <f aca="false">IF(E127&gt;0,F127*1000000000/E127,"")</f>
        <v>2519.26127507842</v>
      </c>
      <c r="AA127" s="63" t="n">
        <f aca="false">IFERROR((R127+S127+J127)/F127,0)</f>
        <v>1</v>
      </c>
      <c r="AB127" s="0" t="str">
        <f aca="false">A127&amp;"|"&amp;D127</f>
        <v>Azerbaijan|2015</v>
      </c>
    </row>
    <row r="128" customFormat="false" ht="15" hidden="false" customHeight="false" outlineLevel="0" collapsed="false">
      <c r="A128" s="0" t="s">
        <v>192</v>
      </c>
      <c r="B128" s="0" t="s">
        <v>430</v>
      </c>
      <c r="C128" s="0" t="s">
        <v>127</v>
      </c>
      <c r="D128" s="0" t="n">
        <v>2016</v>
      </c>
      <c r="E128" s="59" t="n">
        <v>9868434</v>
      </c>
      <c r="F128" s="60" t="n">
        <v>24.85</v>
      </c>
      <c r="G128" s="61" t="n">
        <v>0</v>
      </c>
      <c r="H128" s="61" t="n">
        <v>20.17</v>
      </c>
      <c r="I128" s="61" t="n">
        <v>2.59</v>
      </c>
      <c r="J128" s="61" t="n">
        <v>0</v>
      </c>
      <c r="K128" s="61" t="n">
        <v>1.94</v>
      </c>
      <c r="L128" s="61" t="n">
        <v>0.04</v>
      </c>
      <c r="M128" s="61" t="n">
        <v>0.02</v>
      </c>
      <c r="N128" s="61" t="n">
        <v>0.09</v>
      </c>
      <c r="O128" s="61" t="n">
        <v>0</v>
      </c>
      <c r="P128" s="62" t="n">
        <v>651.5</v>
      </c>
      <c r="Q128" s="0" t="n">
        <v>0</v>
      </c>
      <c r="R128" s="60" t="n">
        <f aca="false">G128+H128+I128</f>
        <v>22.76</v>
      </c>
      <c r="S128" s="60" t="n">
        <f aca="false">K128+L128+M128+N128+O128</f>
        <v>2.09</v>
      </c>
      <c r="T128" s="60" t="n">
        <f aca="false">L128+M128</f>
        <v>0.06</v>
      </c>
      <c r="U128" s="60" t="n">
        <f aca="false">S128+J128</f>
        <v>2.09</v>
      </c>
      <c r="V128" s="63" t="n">
        <f aca="false">IFERROR(S128/F128,0)</f>
        <v>0.0841046277665996</v>
      </c>
      <c r="W128" s="63" t="n">
        <f aca="false">IFERROR(R128/F128,0)</f>
        <v>0.915895372233401</v>
      </c>
      <c r="X128" s="63" t="n">
        <f aca="false">IFERROR(T128/F128,0)</f>
        <v>0.00241448692152918</v>
      </c>
      <c r="Y128" s="63" t="n">
        <f aca="false">IFERROR(G128/F128,0)</f>
        <v>0</v>
      </c>
      <c r="Z128" s="59" t="n">
        <f aca="false">IF(E128&gt;0,F128*1000000000/E128,"")</f>
        <v>2518.13002954673</v>
      </c>
      <c r="AA128" s="63" t="n">
        <f aca="false">IFERROR((R128+S128+J128)/F128,0)</f>
        <v>1</v>
      </c>
      <c r="AB128" s="0" t="str">
        <f aca="false">A128&amp;"|"&amp;D128</f>
        <v>Azerbaijan|2016</v>
      </c>
    </row>
    <row r="129" customFormat="false" ht="15" hidden="false" customHeight="false" outlineLevel="0" collapsed="false">
      <c r="A129" s="0" t="s">
        <v>192</v>
      </c>
      <c r="B129" s="0" t="s">
        <v>430</v>
      </c>
      <c r="C129" s="0" t="s">
        <v>127</v>
      </c>
      <c r="D129" s="0" t="n">
        <v>2017</v>
      </c>
      <c r="E129" s="59" t="n">
        <v>9968510</v>
      </c>
      <c r="F129" s="60" t="n">
        <v>24.22</v>
      </c>
      <c r="G129" s="61" t="n">
        <v>0</v>
      </c>
      <c r="H129" s="61" t="n">
        <v>21.02</v>
      </c>
      <c r="I129" s="61" t="n">
        <v>1.32</v>
      </c>
      <c r="J129" s="61" t="n">
        <v>0</v>
      </c>
      <c r="K129" s="61" t="n">
        <v>1.73</v>
      </c>
      <c r="L129" s="61" t="n">
        <v>0.04</v>
      </c>
      <c r="M129" s="61" t="n">
        <v>0.02</v>
      </c>
      <c r="N129" s="61" t="n">
        <v>0.09</v>
      </c>
      <c r="O129" s="61" t="n">
        <v>0</v>
      </c>
      <c r="P129" s="62" t="n">
        <v>659</v>
      </c>
      <c r="Q129" s="0" t="n">
        <v>0</v>
      </c>
      <c r="R129" s="60" t="n">
        <f aca="false">G129+H129+I129</f>
        <v>22.34</v>
      </c>
      <c r="S129" s="60" t="n">
        <f aca="false">K129+L129+M129+N129+O129</f>
        <v>1.88</v>
      </c>
      <c r="T129" s="60" t="n">
        <f aca="false">L129+M129</f>
        <v>0.06</v>
      </c>
      <c r="U129" s="60" t="n">
        <f aca="false">S129+J129</f>
        <v>1.88</v>
      </c>
      <c r="V129" s="63" t="n">
        <f aca="false">IFERROR(S129/F129,0)</f>
        <v>0.0776218001651528</v>
      </c>
      <c r="W129" s="63" t="n">
        <f aca="false">IFERROR(R129/F129,0)</f>
        <v>0.922378199834847</v>
      </c>
      <c r="X129" s="63" t="n">
        <f aca="false">IFERROR(T129/F129,0)</f>
        <v>0.00247729149463254</v>
      </c>
      <c r="Y129" s="63" t="n">
        <f aca="false">IFERROR(G129/F129,0)</f>
        <v>0</v>
      </c>
      <c r="Z129" s="59" t="n">
        <f aca="false">IF(E129&gt;0,F129*1000000000/E129,"")</f>
        <v>2429.65097090739</v>
      </c>
      <c r="AA129" s="63" t="n">
        <f aca="false">IFERROR((R129+S129+J129)/F129,0)</f>
        <v>1</v>
      </c>
      <c r="AB129" s="0" t="str">
        <f aca="false">A129&amp;"|"&amp;D129</f>
        <v>Azerbaijan|2017</v>
      </c>
    </row>
    <row r="130" customFormat="false" ht="15" hidden="false" customHeight="false" outlineLevel="0" collapsed="false">
      <c r="A130" s="0" t="s">
        <v>192</v>
      </c>
      <c r="B130" s="0" t="s">
        <v>430</v>
      </c>
      <c r="C130" s="0" t="s">
        <v>127</v>
      </c>
      <c r="D130" s="0" t="n">
        <v>2018</v>
      </c>
      <c r="E130" s="59" t="n">
        <v>10039782</v>
      </c>
      <c r="F130" s="60" t="n">
        <v>25.13</v>
      </c>
      <c r="G130" s="61" t="n">
        <v>0</v>
      </c>
      <c r="H130" s="61" t="n">
        <v>23.13</v>
      </c>
      <c r="I130" s="61" t="n">
        <v>0.05</v>
      </c>
      <c r="J130" s="61" t="n">
        <v>0</v>
      </c>
      <c r="K130" s="61" t="n">
        <v>1.75</v>
      </c>
      <c r="L130" s="61" t="n">
        <v>0.04</v>
      </c>
      <c r="M130" s="61" t="n">
        <v>0.08</v>
      </c>
      <c r="N130" s="61" t="n">
        <v>0.08</v>
      </c>
      <c r="O130" s="61" t="n">
        <v>0</v>
      </c>
      <c r="P130" s="62" t="n">
        <v>661.8</v>
      </c>
      <c r="Q130" s="0" t="n">
        <v>0</v>
      </c>
      <c r="R130" s="60" t="n">
        <f aca="false">G130+H130+I130</f>
        <v>23.18</v>
      </c>
      <c r="S130" s="60" t="n">
        <f aca="false">K130+L130+M130+N130+O130</f>
        <v>1.95</v>
      </c>
      <c r="T130" s="60" t="n">
        <f aca="false">L130+M130</f>
        <v>0.12</v>
      </c>
      <c r="U130" s="60" t="n">
        <f aca="false">S130+J130</f>
        <v>1.95</v>
      </c>
      <c r="V130" s="63" t="n">
        <f aca="false">IFERROR(S130/F130,0)</f>
        <v>0.0775964982093116</v>
      </c>
      <c r="W130" s="63" t="n">
        <f aca="false">IFERROR(R130/F130,0)</f>
        <v>0.922403501790688</v>
      </c>
      <c r="X130" s="63" t="n">
        <f aca="false">IFERROR(T130/F130,0)</f>
        <v>0.00477516912057302</v>
      </c>
      <c r="Y130" s="63" t="n">
        <f aca="false">IFERROR(G130/F130,0)</f>
        <v>0</v>
      </c>
      <c r="Z130" s="59" t="n">
        <f aca="false">IF(E130&gt;0,F130*1000000000/E130,"")</f>
        <v>2503.0423967373</v>
      </c>
      <c r="AA130" s="63" t="n">
        <f aca="false">IFERROR((R130+S130+J130)/F130,0)</f>
        <v>1</v>
      </c>
      <c r="AB130" s="0" t="str">
        <f aca="false">A130&amp;"|"&amp;D130</f>
        <v>Azerbaijan|2018</v>
      </c>
    </row>
    <row r="131" customFormat="false" ht="15" hidden="false" customHeight="false" outlineLevel="0" collapsed="false">
      <c r="A131" s="0" t="s">
        <v>192</v>
      </c>
      <c r="B131" s="0" t="s">
        <v>430</v>
      </c>
      <c r="C131" s="0" t="s">
        <v>127</v>
      </c>
      <c r="D131" s="0" t="n">
        <v>2019</v>
      </c>
      <c r="E131" s="59" t="n">
        <v>10110483</v>
      </c>
      <c r="F131" s="60" t="n">
        <v>25.95</v>
      </c>
      <c r="G131" s="61" t="n">
        <v>0</v>
      </c>
      <c r="H131" s="61" t="n">
        <v>24.11</v>
      </c>
      <c r="I131" s="61" t="n">
        <v>0.05</v>
      </c>
      <c r="J131" s="61" t="n">
        <v>0</v>
      </c>
      <c r="K131" s="61" t="n">
        <v>1.55</v>
      </c>
      <c r="L131" s="61" t="n">
        <v>0.04</v>
      </c>
      <c r="M131" s="61" t="n">
        <v>0.1</v>
      </c>
      <c r="N131" s="61" t="n">
        <v>0.1</v>
      </c>
      <c r="O131" s="61" t="n">
        <v>0</v>
      </c>
      <c r="P131" s="62" t="n">
        <v>667.8</v>
      </c>
      <c r="Q131" s="0" t="n">
        <v>0</v>
      </c>
      <c r="R131" s="60" t="n">
        <f aca="false">G131+H131+I131</f>
        <v>24.16</v>
      </c>
      <c r="S131" s="60" t="n">
        <f aca="false">K131+L131+M131+N131+O131</f>
        <v>1.79</v>
      </c>
      <c r="T131" s="60" t="n">
        <f aca="false">L131+M131</f>
        <v>0.14</v>
      </c>
      <c r="U131" s="60" t="n">
        <f aca="false">S131+J131</f>
        <v>1.79</v>
      </c>
      <c r="V131" s="63" t="n">
        <f aca="false">IFERROR(S131/F131,0)</f>
        <v>0.0689788053949904</v>
      </c>
      <c r="W131" s="63" t="n">
        <f aca="false">IFERROR(R131/F131,0)</f>
        <v>0.93102119460501</v>
      </c>
      <c r="X131" s="63" t="n">
        <f aca="false">IFERROR(T131/F131,0)</f>
        <v>0.00539499036608863</v>
      </c>
      <c r="Y131" s="63" t="n">
        <f aca="false">IFERROR(G131/F131,0)</f>
        <v>0</v>
      </c>
      <c r="Z131" s="59" t="n">
        <f aca="false">IF(E131&gt;0,F131*1000000000/E131,"")</f>
        <v>2566.64295860049</v>
      </c>
      <c r="AA131" s="63" t="n">
        <f aca="false">IFERROR((R131+S131+J131)/F131,0)</f>
        <v>1</v>
      </c>
      <c r="AB131" s="0" t="str">
        <f aca="false">A131&amp;"|"&amp;D131</f>
        <v>Azerbaijan|2019</v>
      </c>
    </row>
    <row r="132" customFormat="false" ht="15" hidden="false" customHeight="false" outlineLevel="0" collapsed="false">
      <c r="A132" s="0" t="s">
        <v>192</v>
      </c>
      <c r="B132" s="0" t="s">
        <v>430</v>
      </c>
      <c r="C132" s="0" t="s">
        <v>127</v>
      </c>
      <c r="D132" s="0" t="n">
        <v>2020</v>
      </c>
      <c r="E132" s="59" t="n">
        <v>10181736</v>
      </c>
      <c r="F132" s="60" t="n">
        <v>25.75</v>
      </c>
      <c r="G132" s="61" t="n">
        <v>0</v>
      </c>
      <c r="H132" s="61" t="n">
        <v>24.38</v>
      </c>
      <c r="I132" s="61" t="n">
        <v>0.05</v>
      </c>
      <c r="J132" s="61" t="n">
        <v>0</v>
      </c>
      <c r="K132" s="61" t="n">
        <v>1.07</v>
      </c>
      <c r="L132" s="61" t="n">
        <v>0.05</v>
      </c>
      <c r="M132" s="61" t="n">
        <v>0.1</v>
      </c>
      <c r="N132" s="61" t="n">
        <v>0.1</v>
      </c>
      <c r="O132" s="61" t="n">
        <v>0</v>
      </c>
      <c r="P132" s="62" t="n">
        <v>680</v>
      </c>
      <c r="Q132" s="0" t="n">
        <v>0</v>
      </c>
      <c r="R132" s="60" t="n">
        <f aca="false">G132+H132+I132</f>
        <v>24.43</v>
      </c>
      <c r="S132" s="60" t="n">
        <f aca="false">K132+L132+M132+N132+O132</f>
        <v>1.32</v>
      </c>
      <c r="T132" s="60" t="n">
        <f aca="false">L132+M132</f>
        <v>0.15</v>
      </c>
      <c r="U132" s="60" t="n">
        <f aca="false">S132+J132</f>
        <v>1.32</v>
      </c>
      <c r="V132" s="63" t="n">
        <f aca="false">IFERROR(S132/F132,0)</f>
        <v>0.0512621359223301</v>
      </c>
      <c r="W132" s="63" t="n">
        <f aca="false">IFERROR(R132/F132,0)</f>
        <v>0.94873786407767</v>
      </c>
      <c r="X132" s="63" t="n">
        <f aca="false">IFERROR(T132/F132,0)</f>
        <v>0.0058252427184466</v>
      </c>
      <c r="Y132" s="63" t="n">
        <f aca="false">IFERROR(G132/F132,0)</f>
        <v>0</v>
      </c>
      <c r="Z132" s="59" t="n">
        <f aca="false">IF(E132&gt;0,F132*1000000000/E132,"")</f>
        <v>2529.03827009461</v>
      </c>
      <c r="AA132" s="63" t="n">
        <f aca="false">IFERROR((R132+S132+J132)/F132,0)</f>
        <v>1</v>
      </c>
      <c r="AB132" s="0" t="str">
        <f aca="false">A132&amp;"|"&amp;D132</f>
        <v>Azerbaijan|2020</v>
      </c>
    </row>
    <row r="133" customFormat="false" ht="15" hidden="false" customHeight="false" outlineLevel="0" collapsed="false">
      <c r="A133" s="0" t="s">
        <v>192</v>
      </c>
      <c r="B133" s="0" t="s">
        <v>430</v>
      </c>
      <c r="C133" s="0" t="s">
        <v>127</v>
      </c>
      <c r="D133" s="0" t="n">
        <v>2021</v>
      </c>
      <c r="E133" s="59" t="n">
        <v>10234372</v>
      </c>
      <c r="F133" s="60" t="n">
        <v>27.79</v>
      </c>
      <c r="G133" s="61" t="n">
        <v>0</v>
      </c>
      <c r="H133" s="61" t="n">
        <v>25.64</v>
      </c>
      <c r="I133" s="61" t="n">
        <v>0.63</v>
      </c>
      <c r="J133" s="61" t="n">
        <v>0</v>
      </c>
      <c r="K133" s="61" t="n">
        <v>1.28</v>
      </c>
      <c r="L133" s="61" t="n">
        <v>0.05</v>
      </c>
      <c r="M133" s="61" t="n">
        <v>0.09</v>
      </c>
      <c r="N133" s="61" t="n">
        <v>0.1</v>
      </c>
      <c r="O133" s="61" t="n">
        <v>0</v>
      </c>
      <c r="P133" s="62" t="n">
        <v>676.1</v>
      </c>
      <c r="Q133" s="0" t="n">
        <v>0</v>
      </c>
      <c r="R133" s="60" t="n">
        <f aca="false">G133+H133+I133</f>
        <v>26.27</v>
      </c>
      <c r="S133" s="60" t="n">
        <f aca="false">K133+L133+M133+N133+O133</f>
        <v>1.52</v>
      </c>
      <c r="T133" s="60" t="n">
        <f aca="false">L133+M133</f>
        <v>0.14</v>
      </c>
      <c r="U133" s="60" t="n">
        <f aca="false">S133+J133</f>
        <v>1.52</v>
      </c>
      <c r="V133" s="63" t="n">
        <f aca="false">IFERROR(S133/F133,0)</f>
        <v>0.0546959337891328</v>
      </c>
      <c r="W133" s="63" t="n">
        <f aca="false">IFERROR(R133/F133,0)</f>
        <v>0.945304066210867</v>
      </c>
      <c r="X133" s="63" t="n">
        <f aca="false">IFERROR(T133/F133,0)</f>
        <v>0.00503778337531486</v>
      </c>
      <c r="Y133" s="63" t="n">
        <f aca="false">IFERROR(G133/F133,0)</f>
        <v>0</v>
      </c>
      <c r="Z133" s="59" t="n">
        <f aca="false">IF(E133&gt;0,F133*1000000000/E133,"")</f>
        <v>2715.35957457868</v>
      </c>
      <c r="AA133" s="63" t="n">
        <f aca="false">IFERROR((R133+S133+J133)/F133,0)</f>
        <v>1</v>
      </c>
      <c r="AB133" s="0" t="str">
        <f aca="false">A133&amp;"|"&amp;D133</f>
        <v>Azerbaijan|2021</v>
      </c>
    </row>
    <row r="134" customFormat="false" ht="15" hidden="false" customHeight="false" outlineLevel="0" collapsed="false">
      <c r="A134" s="0" t="s">
        <v>192</v>
      </c>
      <c r="B134" s="0" t="s">
        <v>430</v>
      </c>
      <c r="C134" s="0" t="s">
        <v>127</v>
      </c>
      <c r="D134" s="0" t="n">
        <v>2022</v>
      </c>
      <c r="E134" s="59" t="n">
        <v>10295307</v>
      </c>
      <c r="F134" s="60" t="n">
        <v>28.94</v>
      </c>
      <c r="G134" s="61" t="n">
        <v>0</v>
      </c>
      <c r="H134" s="61" t="n">
        <v>27.01</v>
      </c>
      <c r="I134" s="61" t="n">
        <v>0.09</v>
      </c>
      <c r="J134" s="61" t="n">
        <v>0</v>
      </c>
      <c r="K134" s="61" t="n">
        <v>1.6</v>
      </c>
      <c r="L134" s="61" t="n">
        <v>0.06</v>
      </c>
      <c r="M134" s="61" t="n">
        <v>0.08</v>
      </c>
      <c r="N134" s="61" t="n">
        <v>0.1</v>
      </c>
      <c r="O134" s="61" t="n">
        <v>0</v>
      </c>
      <c r="P134" s="62" t="n">
        <v>671.4</v>
      </c>
      <c r="Q134" s="0" t="n">
        <v>0</v>
      </c>
      <c r="R134" s="60" t="n">
        <f aca="false">G134+H134+I134</f>
        <v>27.1</v>
      </c>
      <c r="S134" s="60" t="n">
        <f aca="false">K134+L134+M134+N134+O134</f>
        <v>1.84</v>
      </c>
      <c r="T134" s="60" t="n">
        <f aca="false">L134+M134</f>
        <v>0.14</v>
      </c>
      <c r="U134" s="60" t="n">
        <f aca="false">S134+J134</f>
        <v>1.84</v>
      </c>
      <c r="V134" s="63" t="n">
        <f aca="false">IFERROR(S134/F134,0)</f>
        <v>0.0635798203178991</v>
      </c>
      <c r="W134" s="63" t="n">
        <f aca="false">IFERROR(R134/F134,0)</f>
        <v>0.936420179682101</v>
      </c>
      <c r="X134" s="63" t="n">
        <f aca="false">IFERROR(T134/F134,0)</f>
        <v>0.00483759502418798</v>
      </c>
      <c r="Y134" s="63" t="n">
        <f aca="false">IFERROR(G134/F134,0)</f>
        <v>0</v>
      </c>
      <c r="Z134" s="59" t="n">
        <f aca="false">IF(E134&gt;0,F134*1000000000/E134,"")</f>
        <v>2810.98951201747</v>
      </c>
      <c r="AA134" s="63" t="n">
        <f aca="false">IFERROR((R134+S134+J134)/F134,0)</f>
        <v>1</v>
      </c>
      <c r="AB134" s="0" t="str">
        <f aca="false">A134&amp;"|"&amp;D134</f>
        <v>Azerbaijan|2022</v>
      </c>
    </row>
    <row r="135" customFormat="false" ht="15" hidden="false" customHeight="false" outlineLevel="0" collapsed="false">
      <c r="A135" s="0" t="s">
        <v>192</v>
      </c>
      <c r="B135" s="0" t="s">
        <v>430</v>
      </c>
      <c r="C135" s="0" t="s">
        <v>127</v>
      </c>
      <c r="D135" s="0" t="n">
        <v>2023</v>
      </c>
      <c r="E135" s="59" t="n">
        <v>10318209</v>
      </c>
      <c r="F135" s="60" t="n">
        <v>29.09</v>
      </c>
      <c r="G135" s="61" t="n">
        <v>0</v>
      </c>
      <c r="H135" s="61" t="n">
        <v>27.08</v>
      </c>
      <c r="I135" s="61" t="n">
        <v>0.11</v>
      </c>
      <c r="J135" s="61" t="n">
        <v>0</v>
      </c>
      <c r="K135" s="61" t="n">
        <v>1.64</v>
      </c>
      <c r="L135" s="61" t="n">
        <v>0.07</v>
      </c>
      <c r="M135" s="61" t="n">
        <v>0.08</v>
      </c>
      <c r="N135" s="61" t="n">
        <v>0.11</v>
      </c>
      <c r="O135" s="61" t="n">
        <v>0</v>
      </c>
      <c r="P135" s="62" t="n">
        <v>670</v>
      </c>
      <c r="Q135" s="0" t="n">
        <v>0</v>
      </c>
      <c r="R135" s="60" t="n">
        <f aca="false">G135+H135+I135</f>
        <v>27.19</v>
      </c>
      <c r="S135" s="60" t="n">
        <f aca="false">K135+L135+M135+N135+O135</f>
        <v>1.9</v>
      </c>
      <c r="T135" s="60" t="n">
        <f aca="false">L135+M135</f>
        <v>0.15</v>
      </c>
      <c r="U135" s="60" t="n">
        <f aca="false">S135+J135</f>
        <v>1.9</v>
      </c>
      <c r="V135" s="63" t="n">
        <f aca="false">IFERROR(S135/F135,0)</f>
        <v>0.0653145410794087</v>
      </c>
      <c r="W135" s="63" t="n">
        <f aca="false">IFERROR(R135/F135,0)</f>
        <v>0.934685458920591</v>
      </c>
      <c r="X135" s="63" t="n">
        <f aca="false">IFERROR(T135/F135,0)</f>
        <v>0.00515641113784806</v>
      </c>
      <c r="Y135" s="63" t="n">
        <f aca="false">IFERROR(G135/F135,0)</f>
        <v>0</v>
      </c>
      <c r="Z135" s="59" t="n">
        <f aca="false">IF(E135&gt;0,F135*1000000000/E135,"")</f>
        <v>2819.28772716273</v>
      </c>
      <c r="AA135" s="63" t="n">
        <f aca="false">IFERROR((R135+S135+J135)/F135,0)</f>
        <v>1</v>
      </c>
      <c r="AB135" s="0" t="str">
        <f aca="false">A135&amp;"|"&amp;D135</f>
        <v>Azerbaijan|2023</v>
      </c>
    </row>
    <row r="136" customFormat="false" ht="15" hidden="false" customHeight="false" outlineLevel="0" collapsed="false">
      <c r="A136" s="0" t="s">
        <v>192</v>
      </c>
      <c r="B136" s="0" t="s">
        <v>430</v>
      </c>
      <c r="C136" s="0" t="s">
        <v>127</v>
      </c>
      <c r="D136" s="0" t="n">
        <v>2024</v>
      </c>
      <c r="E136" s="59" t="n">
        <v>10336577</v>
      </c>
      <c r="F136" s="60" t="n">
        <v>27.84</v>
      </c>
      <c r="G136" s="61" t="n">
        <v>0</v>
      </c>
      <c r="H136" s="61" t="n">
        <v>24.5</v>
      </c>
      <c r="I136" s="61" t="n">
        <v>0.07</v>
      </c>
      <c r="J136" s="61" t="n">
        <v>0</v>
      </c>
      <c r="K136" s="61" t="n">
        <v>3</v>
      </c>
      <c r="L136" s="61" t="n">
        <v>0.08</v>
      </c>
      <c r="M136" s="61" t="n">
        <v>0.09</v>
      </c>
      <c r="N136" s="61" t="n">
        <v>0.1</v>
      </c>
      <c r="O136" s="61" t="n">
        <v>0</v>
      </c>
      <c r="P136" s="62" t="n">
        <v>634.3</v>
      </c>
      <c r="Q136" s="0" t="n">
        <v>0</v>
      </c>
      <c r="R136" s="60" t="n">
        <f aca="false">G136+H136+I136</f>
        <v>24.57</v>
      </c>
      <c r="S136" s="60" t="n">
        <f aca="false">K136+L136+M136+N136+O136</f>
        <v>3.27</v>
      </c>
      <c r="T136" s="60" t="n">
        <f aca="false">L136+M136</f>
        <v>0.17</v>
      </c>
      <c r="U136" s="60" t="n">
        <f aca="false">S136+J136</f>
        <v>3.27</v>
      </c>
      <c r="V136" s="63" t="n">
        <f aca="false">IFERROR(S136/F136,0)</f>
        <v>0.117456896551724</v>
      </c>
      <c r="W136" s="63" t="n">
        <f aca="false">IFERROR(R136/F136,0)</f>
        <v>0.882543103448276</v>
      </c>
      <c r="X136" s="63" t="n">
        <f aca="false">IFERROR(T136/F136,0)</f>
        <v>0.00610632183908046</v>
      </c>
      <c r="Y136" s="63" t="n">
        <f aca="false">IFERROR(G136/F136,0)</f>
        <v>0</v>
      </c>
      <c r="Z136" s="59" t="n">
        <f aca="false">IF(E136&gt;0,F136*1000000000/E136,"")</f>
        <v>2693.348097731</v>
      </c>
      <c r="AA136" s="63" t="n">
        <f aca="false">IFERROR((R136+S136+J136)/F136,0)</f>
        <v>1</v>
      </c>
      <c r="AB136" s="0" t="str">
        <f aca="false">A136&amp;"|"&amp;D136</f>
        <v>Azerbaijan|2024</v>
      </c>
    </row>
    <row r="137" customFormat="false" ht="15" hidden="false" customHeight="false" outlineLevel="0" collapsed="false">
      <c r="A137" s="0" t="s">
        <v>192</v>
      </c>
      <c r="B137" s="0" t="s">
        <v>430</v>
      </c>
      <c r="C137" s="0" t="s">
        <v>127</v>
      </c>
      <c r="D137" s="0" t="n">
        <v>2025</v>
      </c>
      <c r="E137" s="59" t="n">
        <v>10397712</v>
      </c>
      <c r="F137" s="60" t="n">
        <v>28.09</v>
      </c>
      <c r="G137" s="61" t="n">
        <v>0</v>
      </c>
      <c r="H137" s="61" t="n">
        <v>24.61</v>
      </c>
      <c r="I137" s="61" t="n">
        <v>0.07</v>
      </c>
      <c r="J137" s="61" t="n">
        <v>0</v>
      </c>
      <c r="K137" s="61" t="n">
        <v>3.22</v>
      </c>
      <c r="L137" s="61" t="n">
        <v>0</v>
      </c>
      <c r="M137" s="61" t="n">
        <v>0.09</v>
      </c>
      <c r="N137" s="61" t="n">
        <v>0.1</v>
      </c>
      <c r="O137" s="61" t="n">
        <v>0</v>
      </c>
      <c r="P137" s="62" t="n">
        <v>631.9</v>
      </c>
      <c r="Q137" s="0" t="n">
        <v>0</v>
      </c>
      <c r="R137" s="60" t="n">
        <f aca="false">G137+H137+I137</f>
        <v>24.68</v>
      </c>
      <c r="S137" s="60" t="n">
        <f aca="false">K137+L137+M137+N137+O137</f>
        <v>3.41</v>
      </c>
      <c r="T137" s="60" t="n">
        <f aca="false">L137+M137</f>
        <v>0.09</v>
      </c>
      <c r="U137" s="60" t="n">
        <f aca="false">S137+J137</f>
        <v>3.41</v>
      </c>
      <c r="V137" s="63" t="n">
        <f aca="false">IFERROR(S137/F137,0)</f>
        <v>0.121395514417942</v>
      </c>
      <c r="W137" s="63" t="n">
        <f aca="false">IFERROR(R137/F137,0)</f>
        <v>0.878604485582058</v>
      </c>
      <c r="X137" s="63" t="n">
        <f aca="false">IFERROR(T137/F137,0)</f>
        <v>0.00320398718405126</v>
      </c>
      <c r="Y137" s="63" t="n">
        <f aca="false">IFERROR(G137/F137,0)</f>
        <v>0</v>
      </c>
      <c r="Z137" s="59" t="n">
        <f aca="false">IF(E137&gt;0,F137*1000000000/E137,"")</f>
        <v>2701.5558807553</v>
      </c>
      <c r="AA137" s="63" t="n">
        <f aca="false">IFERROR((R137+S137+J137)/F137,0)</f>
        <v>1</v>
      </c>
      <c r="AB137" s="0" t="str">
        <f aca="false">A137&amp;"|"&amp;D137</f>
        <v>Azerbaijan|2025</v>
      </c>
    </row>
    <row r="138" customFormat="false" ht="15" hidden="false" customHeight="false" outlineLevel="0" collapsed="false">
      <c r="A138" s="0" t="s">
        <v>193</v>
      </c>
      <c r="B138" s="0" t="s">
        <v>431</v>
      </c>
      <c r="C138" s="0" t="s">
        <v>127</v>
      </c>
      <c r="D138" s="0" t="n">
        <v>2015</v>
      </c>
      <c r="E138" s="59" t="n">
        <v>385355</v>
      </c>
      <c r="F138" s="60" t="n">
        <v>2</v>
      </c>
      <c r="G138" s="61" t="n">
        <v>0</v>
      </c>
      <c r="H138" s="61" t="n">
        <v>0</v>
      </c>
      <c r="I138" s="61" t="n">
        <v>2</v>
      </c>
      <c r="J138" s="61" t="n">
        <v>0</v>
      </c>
      <c r="K138" s="61" t="n">
        <v>0</v>
      </c>
      <c r="L138" s="61" t="n">
        <v>0</v>
      </c>
      <c r="M138" s="61" t="n">
        <v>0</v>
      </c>
      <c r="N138" s="61" t="n">
        <v>0</v>
      </c>
      <c r="O138" s="61" t="n">
        <v>0</v>
      </c>
      <c r="P138" s="62" t="n">
        <v>660</v>
      </c>
      <c r="Q138" s="0" t="n">
        <v>0</v>
      </c>
      <c r="R138" s="60" t="n">
        <f aca="false">G138+H138+I138</f>
        <v>2</v>
      </c>
      <c r="S138" s="60" t="n">
        <f aca="false">K138+L138+M138+N138+O138</f>
        <v>0</v>
      </c>
      <c r="T138" s="60" t="n">
        <f aca="false">L138+M138</f>
        <v>0</v>
      </c>
      <c r="U138" s="60" t="n">
        <f aca="false">S138+J138</f>
        <v>0</v>
      </c>
      <c r="V138" s="63" t="n">
        <f aca="false">IFERROR(S138/F138,0)</f>
        <v>0</v>
      </c>
      <c r="W138" s="63" t="n">
        <f aca="false">IFERROR(R138/F138,0)</f>
        <v>1</v>
      </c>
      <c r="X138" s="63" t="n">
        <f aca="false">IFERROR(T138/F138,0)</f>
        <v>0</v>
      </c>
      <c r="Y138" s="63" t="n">
        <f aca="false">IFERROR(G138/F138,0)</f>
        <v>0</v>
      </c>
      <c r="Z138" s="59" t="n">
        <f aca="false">IF(E138&gt;0,F138*1000000000/E138,"")</f>
        <v>5190.01959232396</v>
      </c>
      <c r="AA138" s="63" t="n">
        <f aca="false">IFERROR((R138+S138+J138)/F138,0)</f>
        <v>1</v>
      </c>
      <c r="AB138" s="0" t="str">
        <f aca="false">A138&amp;"|"&amp;D138</f>
        <v>Bahamas|2015</v>
      </c>
    </row>
    <row r="139" customFormat="false" ht="15" hidden="false" customHeight="false" outlineLevel="0" collapsed="false">
      <c r="A139" s="0" t="s">
        <v>193</v>
      </c>
      <c r="B139" s="0" t="s">
        <v>431</v>
      </c>
      <c r="C139" s="0" t="s">
        <v>127</v>
      </c>
      <c r="D139" s="0" t="n">
        <v>2016</v>
      </c>
      <c r="E139" s="59" t="n">
        <v>388060</v>
      </c>
      <c r="F139" s="60" t="n">
        <v>1.97</v>
      </c>
      <c r="G139" s="61" t="n">
        <v>0</v>
      </c>
      <c r="H139" s="61" t="n">
        <v>0</v>
      </c>
      <c r="I139" s="61" t="n">
        <v>1.97</v>
      </c>
      <c r="J139" s="61" t="n">
        <v>0</v>
      </c>
      <c r="K139" s="61" t="n">
        <v>0</v>
      </c>
      <c r="L139" s="61" t="n">
        <v>0</v>
      </c>
      <c r="M139" s="61" t="n">
        <v>0</v>
      </c>
      <c r="N139" s="61" t="n">
        <v>0</v>
      </c>
      <c r="O139" s="61" t="n">
        <v>0</v>
      </c>
      <c r="P139" s="62" t="n">
        <v>659.9</v>
      </c>
      <c r="Q139" s="0" t="n">
        <v>0</v>
      </c>
      <c r="R139" s="60" t="n">
        <f aca="false">G139+H139+I139</f>
        <v>1.97</v>
      </c>
      <c r="S139" s="60" t="n">
        <f aca="false">K139+L139+M139+N139+O139</f>
        <v>0</v>
      </c>
      <c r="T139" s="60" t="n">
        <f aca="false">L139+M139</f>
        <v>0</v>
      </c>
      <c r="U139" s="60" t="n">
        <f aca="false">S139+J139</f>
        <v>0</v>
      </c>
      <c r="V139" s="63" t="n">
        <f aca="false">IFERROR(S139/F139,0)</f>
        <v>0</v>
      </c>
      <c r="W139" s="63" t="n">
        <f aca="false">IFERROR(R139/F139,0)</f>
        <v>1</v>
      </c>
      <c r="X139" s="63" t="n">
        <f aca="false">IFERROR(T139/F139,0)</f>
        <v>0</v>
      </c>
      <c r="Y139" s="63" t="n">
        <f aca="false">IFERROR(G139/F139,0)</f>
        <v>0</v>
      </c>
      <c r="Z139" s="59" t="n">
        <f aca="false">IF(E139&gt;0,F139*1000000000/E139,"")</f>
        <v>5076.53455651188</v>
      </c>
      <c r="AA139" s="63" t="n">
        <f aca="false">IFERROR((R139+S139+J139)/F139,0)</f>
        <v>1</v>
      </c>
      <c r="AB139" s="0" t="str">
        <f aca="false">A139&amp;"|"&amp;D139</f>
        <v>Bahamas|2016</v>
      </c>
    </row>
    <row r="140" customFormat="false" ht="15" hidden="false" customHeight="false" outlineLevel="0" collapsed="false">
      <c r="A140" s="0" t="s">
        <v>193</v>
      </c>
      <c r="B140" s="0" t="s">
        <v>431</v>
      </c>
      <c r="C140" s="0" t="s">
        <v>127</v>
      </c>
      <c r="D140" s="0" t="n">
        <v>2017</v>
      </c>
      <c r="E140" s="59" t="n">
        <v>390496</v>
      </c>
      <c r="F140" s="60" t="n">
        <v>1.99</v>
      </c>
      <c r="G140" s="61" t="n">
        <v>0</v>
      </c>
      <c r="H140" s="61" t="n">
        <v>0</v>
      </c>
      <c r="I140" s="61" t="n">
        <v>1.99</v>
      </c>
      <c r="J140" s="61" t="n">
        <v>0</v>
      </c>
      <c r="K140" s="61" t="n">
        <v>0</v>
      </c>
      <c r="L140" s="61" t="n">
        <v>0</v>
      </c>
      <c r="M140" s="61" t="n">
        <v>0</v>
      </c>
      <c r="N140" s="61" t="n">
        <v>0</v>
      </c>
      <c r="O140" s="61" t="n">
        <v>0</v>
      </c>
      <c r="P140" s="62" t="n">
        <v>658.3</v>
      </c>
      <c r="Q140" s="0" t="n">
        <v>0</v>
      </c>
      <c r="R140" s="60" t="n">
        <f aca="false">G140+H140+I140</f>
        <v>1.99</v>
      </c>
      <c r="S140" s="60" t="n">
        <f aca="false">K140+L140+M140+N140+O140</f>
        <v>0</v>
      </c>
      <c r="T140" s="60" t="n">
        <f aca="false">L140+M140</f>
        <v>0</v>
      </c>
      <c r="U140" s="60" t="n">
        <f aca="false">S140+J140</f>
        <v>0</v>
      </c>
      <c r="V140" s="63" t="n">
        <f aca="false">IFERROR(S140/F140,0)</f>
        <v>0</v>
      </c>
      <c r="W140" s="63" t="n">
        <f aca="false">IFERROR(R140/F140,0)</f>
        <v>1</v>
      </c>
      <c r="X140" s="63" t="n">
        <f aca="false">IFERROR(T140/F140,0)</f>
        <v>0</v>
      </c>
      <c r="Y140" s="63" t="n">
        <f aca="false">IFERROR(G140/F140,0)</f>
        <v>0</v>
      </c>
      <c r="Z140" s="59" t="n">
        <f aca="false">IF(E140&gt;0,F140*1000000000/E140,"")</f>
        <v>5096.08293042695</v>
      </c>
      <c r="AA140" s="63" t="n">
        <f aca="false">IFERROR((R140+S140+J140)/F140,0)</f>
        <v>1</v>
      </c>
      <c r="AB140" s="0" t="str">
        <f aca="false">A140&amp;"|"&amp;D140</f>
        <v>Bahamas|2017</v>
      </c>
    </row>
    <row r="141" customFormat="false" ht="15" hidden="false" customHeight="false" outlineLevel="0" collapsed="false">
      <c r="A141" s="0" t="s">
        <v>193</v>
      </c>
      <c r="B141" s="0" t="s">
        <v>431</v>
      </c>
      <c r="C141" s="0" t="s">
        <v>127</v>
      </c>
      <c r="D141" s="0" t="n">
        <v>2018</v>
      </c>
      <c r="E141" s="59" t="n">
        <v>392718</v>
      </c>
      <c r="F141" s="60" t="n">
        <v>2</v>
      </c>
      <c r="G141" s="61" t="n">
        <v>0</v>
      </c>
      <c r="H141" s="61" t="n">
        <v>0</v>
      </c>
      <c r="I141" s="61" t="n">
        <v>2</v>
      </c>
      <c r="J141" s="61" t="n">
        <v>0</v>
      </c>
      <c r="K141" s="61" t="n">
        <v>0</v>
      </c>
      <c r="L141" s="61" t="n">
        <v>0</v>
      </c>
      <c r="M141" s="61" t="n">
        <v>0</v>
      </c>
      <c r="N141" s="61" t="n">
        <v>0</v>
      </c>
      <c r="O141" s="61" t="n">
        <v>0</v>
      </c>
      <c r="P141" s="62" t="n">
        <v>660</v>
      </c>
      <c r="Q141" s="0" t="n">
        <v>0</v>
      </c>
      <c r="R141" s="60" t="n">
        <f aca="false">G141+H141+I141</f>
        <v>2</v>
      </c>
      <c r="S141" s="60" t="n">
        <f aca="false">K141+L141+M141+N141+O141</f>
        <v>0</v>
      </c>
      <c r="T141" s="60" t="n">
        <f aca="false">L141+M141</f>
        <v>0</v>
      </c>
      <c r="U141" s="60" t="n">
        <f aca="false">S141+J141</f>
        <v>0</v>
      </c>
      <c r="V141" s="63" t="n">
        <f aca="false">IFERROR(S141/F141,0)</f>
        <v>0</v>
      </c>
      <c r="W141" s="63" t="n">
        <f aca="false">IFERROR(R141/F141,0)</f>
        <v>1</v>
      </c>
      <c r="X141" s="63" t="n">
        <f aca="false">IFERROR(T141/F141,0)</f>
        <v>0</v>
      </c>
      <c r="Y141" s="63" t="n">
        <f aca="false">IFERROR(G141/F141,0)</f>
        <v>0</v>
      </c>
      <c r="Z141" s="59" t="n">
        <f aca="false">IF(E141&gt;0,F141*1000000000/E141,"")</f>
        <v>5092.71283720125</v>
      </c>
      <c r="AA141" s="63" t="n">
        <f aca="false">IFERROR((R141+S141+J141)/F141,0)</f>
        <v>1</v>
      </c>
      <c r="AB141" s="0" t="str">
        <f aca="false">A141&amp;"|"&amp;D141</f>
        <v>Bahamas|2018</v>
      </c>
    </row>
    <row r="142" customFormat="false" ht="15" hidden="false" customHeight="false" outlineLevel="0" collapsed="false">
      <c r="A142" s="0" t="s">
        <v>193</v>
      </c>
      <c r="B142" s="0" t="s">
        <v>431</v>
      </c>
      <c r="C142" s="0" t="s">
        <v>127</v>
      </c>
      <c r="D142" s="0" t="n">
        <v>2019</v>
      </c>
      <c r="E142" s="59" t="n">
        <v>394684</v>
      </c>
      <c r="F142" s="60" t="n">
        <v>2.01</v>
      </c>
      <c r="G142" s="61" t="n">
        <v>0</v>
      </c>
      <c r="H142" s="61" t="n">
        <v>0</v>
      </c>
      <c r="I142" s="61" t="n">
        <v>2.01</v>
      </c>
      <c r="J142" s="61" t="n">
        <v>0</v>
      </c>
      <c r="K142" s="61" t="n">
        <v>0</v>
      </c>
      <c r="L142" s="61" t="n">
        <v>0</v>
      </c>
      <c r="M142" s="61" t="n">
        <v>0</v>
      </c>
      <c r="N142" s="61" t="n">
        <v>0</v>
      </c>
      <c r="O142" s="61" t="n">
        <v>0</v>
      </c>
      <c r="P142" s="62" t="n">
        <v>656.7</v>
      </c>
      <c r="Q142" s="0" t="n">
        <v>0</v>
      </c>
      <c r="R142" s="60" t="n">
        <f aca="false">G142+H142+I142</f>
        <v>2.01</v>
      </c>
      <c r="S142" s="60" t="n">
        <f aca="false">K142+L142+M142+N142+O142</f>
        <v>0</v>
      </c>
      <c r="T142" s="60" t="n">
        <f aca="false">L142+M142</f>
        <v>0</v>
      </c>
      <c r="U142" s="60" t="n">
        <f aca="false">S142+J142</f>
        <v>0</v>
      </c>
      <c r="V142" s="63" t="n">
        <f aca="false">IFERROR(S142/F142,0)</f>
        <v>0</v>
      </c>
      <c r="W142" s="63" t="n">
        <f aca="false">IFERROR(R142/F142,0)</f>
        <v>1</v>
      </c>
      <c r="X142" s="63" t="n">
        <f aca="false">IFERROR(T142/F142,0)</f>
        <v>0</v>
      </c>
      <c r="Y142" s="63" t="n">
        <f aca="false">IFERROR(G142/F142,0)</f>
        <v>0</v>
      </c>
      <c r="Z142" s="59" t="n">
        <f aca="false">IF(E142&gt;0,F142*1000000000/E142,"")</f>
        <v>5092.68174032897</v>
      </c>
      <c r="AA142" s="63" t="n">
        <f aca="false">IFERROR((R142+S142+J142)/F142,0)</f>
        <v>1</v>
      </c>
      <c r="AB142" s="0" t="str">
        <f aca="false">A142&amp;"|"&amp;D142</f>
        <v>Bahamas|2019</v>
      </c>
    </row>
    <row r="143" customFormat="false" ht="15" hidden="false" customHeight="false" outlineLevel="0" collapsed="false">
      <c r="A143" s="0" t="s">
        <v>193</v>
      </c>
      <c r="B143" s="0" t="s">
        <v>431</v>
      </c>
      <c r="C143" s="0" t="s">
        <v>127</v>
      </c>
      <c r="D143" s="0" t="n">
        <v>2020</v>
      </c>
      <c r="E143" s="59" t="n">
        <v>395874</v>
      </c>
      <c r="F143" s="60" t="n">
        <v>2.03</v>
      </c>
      <c r="G143" s="61" t="n">
        <v>0</v>
      </c>
      <c r="H143" s="61" t="n">
        <v>0</v>
      </c>
      <c r="I143" s="61" t="n">
        <v>2.02</v>
      </c>
      <c r="J143" s="61" t="n">
        <v>0</v>
      </c>
      <c r="K143" s="61" t="n">
        <v>0</v>
      </c>
      <c r="L143" s="61" t="n">
        <v>0.01</v>
      </c>
      <c r="M143" s="61" t="n">
        <v>0</v>
      </c>
      <c r="N143" s="61" t="n">
        <v>0</v>
      </c>
      <c r="O143" s="61" t="n">
        <v>0</v>
      </c>
      <c r="P143" s="62" t="n">
        <v>655.2</v>
      </c>
      <c r="Q143" s="0" t="n">
        <v>0</v>
      </c>
      <c r="R143" s="60" t="n">
        <f aca="false">G143+H143+I143</f>
        <v>2.02</v>
      </c>
      <c r="S143" s="60" t="n">
        <f aca="false">K143+L143+M143+N143+O143</f>
        <v>0.01</v>
      </c>
      <c r="T143" s="60" t="n">
        <f aca="false">L143+M143</f>
        <v>0.01</v>
      </c>
      <c r="U143" s="60" t="n">
        <f aca="false">S143+J143</f>
        <v>0.01</v>
      </c>
      <c r="V143" s="63" t="n">
        <f aca="false">IFERROR(S143/F143,0)</f>
        <v>0.00492610837438424</v>
      </c>
      <c r="W143" s="63" t="n">
        <f aca="false">IFERROR(R143/F143,0)</f>
        <v>0.995073891625616</v>
      </c>
      <c r="X143" s="63" t="n">
        <f aca="false">IFERROR(T143/F143,0)</f>
        <v>0.00492610837438424</v>
      </c>
      <c r="Y143" s="63" t="n">
        <f aca="false">IFERROR(G143/F143,0)</f>
        <v>0</v>
      </c>
      <c r="Z143" s="59" t="n">
        <f aca="false">IF(E143&gt;0,F143*1000000000/E143,"")</f>
        <v>5127.89422897184</v>
      </c>
      <c r="AA143" s="63" t="n">
        <f aca="false">IFERROR((R143+S143+J143)/F143,0)</f>
        <v>1</v>
      </c>
      <c r="AB143" s="0" t="str">
        <f aca="false">A143&amp;"|"&amp;D143</f>
        <v>Bahamas|2020</v>
      </c>
    </row>
    <row r="144" customFormat="false" ht="15" hidden="false" customHeight="false" outlineLevel="0" collapsed="false">
      <c r="A144" s="0" t="s">
        <v>193</v>
      </c>
      <c r="B144" s="0" t="s">
        <v>431</v>
      </c>
      <c r="C144" s="0" t="s">
        <v>127</v>
      </c>
      <c r="D144" s="0" t="n">
        <v>2021</v>
      </c>
      <c r="E144" s="59" t="n">
        <v>396381</v>
      </c>
      <c r="F144" s="60" t="n">
        <v>2.04</v>
      </c>
      <c r="G144" s="61" t="n">
        <v>0</v>
      </c>
      <c r="H144" s="61" t="n">
        <v>0</v>
      </c>
      <c r="I144" s="61" t="n">
        <v>2.03</v>
      </c>
      <c r="J144" s="61" t="n">
        <v>0</v>
      </c>
      <c r="K144" s="61" t="n">
        <v>0</v>
      </c>
      <c r="L144" s="61" t="n">
        <v>0.01</v>
      </c>
      <c r="M144" s="61" t="n">
        <v>0</v>
      </c>
      <c r="N144" s="61" t="n">
        <v>0</v>
      </c>
      <c r="O144" s="61" t="n">
        <v>0</v>
      </c>
      <c r="P144" s="62" t="n">
        <v>656.9</v>
      </c>
      <c r="Q144" s="0" t="n">
        <v>0</v>
      </c>
      <c r="R144" s="60" t="n">
        <f aca="false">G144+H144+I144</f>
        <v>2.03</v>
      </c>
      <c r="S144" s="60" t="n">
        <f aca="false">K144+L144+M144+N144+O144</f>
        <v>0.01</v>
      </c>
      <c r="T144" s="60" t="n">
        <f aca="false">L144+M144</f>
        <v>0.01</v>
      </c>
      <c r="U144" s="60" t="n">
        <f aca="false">S144+J144</f>
        <v>0.01</v>
      </c>
      <c r="V144" s="63" t="n">
        <f aca="false">IFERROR(S144/F144,0)</f>
        <v>0.00490196078431373</v>
      </c>
      <c r="W144" s="63" t="n">
        <f aca="false">IFERROR(R144/F144,0)</f>
        <v>0.995098039215686</v>
      </c>
      <c r="X144" s="63" t="n">
        <f aca="false">IFERROR(T144/F144,0)</f>
        <v>0.00490196078431373</v>
      </c>
      <c r="Y144" s="63" t="n">
        <f aca="false">IFERROR(G144/F144,0)</f>
        <v>0</v>
      </c>
      <c r="Z144" s="59" t="n">
        <f aca="false">IF(E144&gt;0,F144*1000000000/E144,"")</f>
        <v>5146.56353356997</v>
      </c>
      <c r="AA144" s="63" t="n">
        <f aca="false">IFERROR((R144+S144+J144)/F144,0)</f>
        <v>1</v>
      </c>
      <c r="AB144" s="0" t="str">
        <f aca="false">A144&amp;"|"&amp;D144</f>
        <v>Bahamas|2021</v>
      </c>
    </row>
    <row r="145" customFormat="false" ht="15" hidden="false" customHeight="false" outlineLevel="0" collapsed="false">
      <c r="A145" s="0" t="s">
        <v>193</v>
      </c>
      <c r="B145" s="0" t="s">
        <v>431</v>
      </c>
      <c r="C145" s="0" t="s">
        <v>127</v>
      </c>
      <c r="D145" s="0" t="n">
        <v>2022</v>
      </c>
      <c r="E145" s="59" t="n">
        <v>397542</v>
      </c>
      <c r="F145" s="60" t="n">
        <v>2.05</v>
      </c>
      <c r="G145" s="61" t="n">
        <v>0</v>
      </c>
      <c r="H145" s="61" t="n">
        <v>0</v>
      </c>
      <c r="I145" s="61" t="n">
        <v>2.03</v>
      </c>
      <c r="J145" s="61" t="n">
        <v>0</v>
      </c>
      <c r="K145" s="61" t="n">
        <v>0</v>
      </c>
      <c r="L145" s="61" t="n">
        <v>0.02</v>
      </c>
      <c r="M145" s="61" t="n">
        <v>0</v>
      </c>
      <c r="N145" s="61" t="n">
        <v>0</v>
      </c>
      <c r="O145" s="61" t="n">
        <v>0</v>
      </c>
      <c r="P145" s="62" t="n">
        <v>653.7</v>
      </c>
      <c r="Q145" s="0" t="n">
        <v>0</v>
      </c>
      <c r="R145" s="60" t="n">
        <f aca="false">G145+H145+I145</f>
        <v>2.03</v>
      </c>
      <c r="S145" s="60" t="n">
        <f aca="false">K145+L145+M145+N145+O145</f>
        <v>0.02</v>
      </c>
      <c r="T145" s="60" t="n">
        <f aca="false">L145+M145</f>
        <v>0.02</v>
      </c>
      <c r="U145" s="60" t="n">
        <f aca="false">S145+J145</f>
        <v>0.02</v>
      </c>
      <c r="V145" s="63" t="n">
        <f aca="false">IFERROR(S145/F145,0)</f>
        <v>0.00975609756097561</v>
      </c>
      <c r="W145" s="63" t="n">
        <f aca="false">IFERROR(R145/F145,0)</f>
        <v>0.990243902439024</v>
      </c>
      <c r="X145" s="63" t="n">
        <f aca="false">IFERROR(T145/F145,0)</f>
        <v>0.00975609756097561</v>
      </c>
      <c r="Y145" s="63" t="n">
        <f aca="false">IFERROR(G145/F145,0)</f>
        <v>0</v>
      </c>
      <c r="Z145" s="59" t="n">
        <f aca="false">IF(E145&gt;0,F145*1000000000/E145,"")</f>
        <v>5156.6878468187</v>
      </c>
      <c r="AA145" s="63" t="n">
        <f aca="false">IFERROR((R145+S145+J145)/F145,0)</f>
        <v>1</v>
      </c>
      <c r="AB145" s="0" t="str">
        <f aca="false">A145&amp;"|"&amp;D145</f>
        <v>Bahamas|2022</v>
      </c>
    </row>
    <row r="146" customFormat="false" ht="15" hidden="false" customHeight="false" outlineLevel="0" collapsed="false">
      <c r="A146" s="0" t="s">
        <v>193</v>
      </c>
      <c r="B146" s="0" t="s">
        <v>431</v>
      </c>
      <c r="C146" s="0" t="s">
        <v>127</v>
      </c>
      <c r="D146" s="0" t="n">
        <v>2023</v>
      </c>
      <c r="E146" s="59" t="n">
        <v>399452</v>
      </c>
      <c r="F146" s="60" t="n">
        <v>2.21</v>
      </c>
      <c r="G146" s="61" t="n">
        <v>0</v>
      </c>
      <c r="H146" s="61" t="n">
        <v>0</v>
      </c>
      <c r="I146" s="61" t="n">
        <v>2.19</v>
      </c>
      <c r="J146" s="61" t="n">
        <v>0</v>
      </c>
      <c r="K146" s="61" t="n">
        <v>0</v>
      </c>
      <c r="L146" s="61" t="n">
        <v>0.02</v>
      </c>
      <c r="M146" s="61" t="n">
        <v>0</v>
      </c>
      <c r="N146" s="61" t="n">
        <v>0</v>
      </c>
      <c r="O146" s="61" t="n">
        <v>0</v>
      </c>
      <c r="P146" s="62" t="n">
        <v>651.6</v>
      </c>
      <c r="Q146" s="0" t="n">
        <v>0</v>
      </c>
      <c r="R146" s="60" t="n">
        <f aca="false">G146+H146+I146</f>
        <v>2.19</v>
      </c>
      <c r="S146" s="60" t="n">
        <f aca="false">K146+L146+M146+N146+O146</f>
        <v>0.02</v>
      </c>
      <c r="T146" s="60" t="n">
        <f aca="false">L146+M146</f>
        <v>0.02</v>
      </c>
      <c r="U146" s="60" t="n">
        <f aca="false">S146+J146</f>
        <v>0.02</v>
      </c>
      <c r="V146" s="63" t="n">
        <f aca="false">IFERROR(S146/F146,0)</f>
        <v>0.00904977375565611</v>
      </c>
      <c r="W146" s="63" t="n">
        <f aca="false">IFERROR(R146/F146,0)</f>
        <v>0.990950226244344</v>
      </c>
      <c r="X146" s="63" t="n">
        <f aca="false">IFERROR(T146/F146,0)</f>
        <v>0.00904977375565611</v>
      </c>
      <c r="Y146" s="63" t="n">
        <f aca="false">IFERROR(G146/F146,0)</f>
        <v>0</v>
      </c>
      <c r="Z146" s="59" t="n">
        <f aca="false">IF(E146&gt;0,F146*1000000000/E146,"")</f>
        <v>5532.57963409872</v>
      </c>
      <c r="AA146" s="63" t="n">
        <f aca="false">IFERROR((R146+S146+J146)/F146,0)</f>
        <v>1</v>
      </c>
      <c r="AB146" s="0" t="str">
        <f aca="false">A146&amp;"|"&amp;D146</f>
        <v>Bahamas|2023</v>
      </c>
    </row>
    <row r="147" customFormat="false" ht="15" hidden="false" customHeight="false" outlineLevel="0" collapsed="false">
      <c r="A147" s="0" t="s">
        <v>193</v>
      </c>
      <c r="B147" s="0" t="s">
        <v>431</v>
      </c>
      <c r="C147" s="0" t="s">
        <v>127</v>
      </c>
      <c r="D147" s="0" t="n">
        <v>2024</v>
      </c>
      <c r="E147" s="59" t="n">
        <v>401282</v>
      </c>
      <c r="F147" s="60" t="n">
        <v>2.25</v>
      </c>
      <c r="G147" s="61" t="n">
        <v>0</v>
      </c>
      <c r="H147" s="61" t="n">
        <v>0</v>
      </c>
      <c r="I147" s="61" t="n">
        <v>2.23</v>
      </c>
      <c r="J147" s="61" t="n">
        <v>0</v>
      </c>
      <c r="K147" s="61" t="n">
        <v>0</v>
      </c>
      <c r="L147" s="61" t="n">
        <v>0.02</v>
      </c>
      <c r="M147" s="61" t="n">
        <v>0</v>
      </c>
      <c r="N147" s="61" t="n">
        <v>0</v>
      </c>
      <c r="O147" s="61" t="n">
        <v>0</v>
      </c>
      <c r="P147" s="62" t="n">
        <v>653.3</v>
      </c>
      <c r="Q147" s="0" t="n">
        <v>0</v>
      </c>
      <c r="R147" s="60" t="n">
        <f aca="false">G147+H147+I147</f>
        <v>2.23</v>
      </c>
      <c r="S147" s="60" t="n">
        <f aca="false">K147+L147+M147+N147+O147</f>
        <v>0.02</v>
      </c>
      <c r="T147" s="60" t="n">
        <f aca="false">L147+M147</f>
        <v>0.02</v>
      </c>
      <c r="U147" s="60" t="n">
        <f aca="false">S147+J147</f>
        <v>0.02</v>
      </c>
      <c r="V147" s="63" t="n">
        <f aca="false">IFERROR(S147/F147,0)</f>
        <v>0.00888888888888889</v>
      </c>
      <c r="W147" s="63" t="n">
        <f aca="false">IFERROR(R147/F147,0)</f>
        <v>0.991111111111111</v>
      </c>
      <c r="X147" s="63" t="n">
        <f aca="false">IFERROR(T147/F147,0)</f>
        <v>0.00888888888888889</v>
      </c>
      <c r="Y147" s="63" t="n">
        <f aca="false">IFERROR(G147/F147,0)</f>
        <v>0</v>
      </c>
      <c r="Z147" s="59" t="n">
        <f aca="false">IF(E147&gt;0,F147*1000000000/E147,"")</f>
        <v>5607.0294705469</v>
      </c>
      <c r="AA147" s="63" t="n">
        <f aca="false">IFERROR((R147+S147+J147)/F147,0)</f>
        <v>1</v>
      </c>
      <c r="AB147" s="0" t="str">
        <f aca="false">A147&amp;"|"&amp;D147</f>
        <v>Bahamas|2024</v>
      </c>
    </row>
    <row r="148" customFormat="false" ht="15" hidden="false" customHeight="false" outlineLevel="0" collapsed="false">
      <c r="A148" s="0" t="s">
        <v>194</v>
      </c>
      <c r="B148" s="0" t="s">
        <v>432</v>
      </c>
      <c r="C148" s="0" t="s">
        <v>127</v>
      </c>
      <c r="D148" s="0" t="n">
        <v>2015</v>
      </c>
      <c r="E148" s="59" t="n">
        <v>1369656</v>
      </c>
      <c r="F148" s="60" t="n">
        <v>28.49</v>
      </c>
      <c r="G148" s="61" t="n">
        <v>0</v>
      </c>
      <c r="H148" s="61" t="n">
        <v>28.48</v>
      </c>
      <c r="I148" s="61" t="n">
        <v>0</v>
      </c>
      <c r="J148" s="61" t="n">
        <v>0</v>
      </c>
      <c r="K148" s="61" t="n">
        <v>0</v>
      </c>
      <c r="L148" s="61" t="n">
        <v>0.01</v>
      </c>
      <c r="M148" s="61" t="n">
        <v>0</v>
      </c>
      <c r="N148" s="61" t="n">
        <v>0</v>
      </c>
      <c r="O148" s="61" t="n">
        <v>0</v>
      </c>
      <c r="P148" s="62" t="n">
        <v>904.5</v>
      </c>
      <c r="Q148" s="0" t="n">
        <v>0</v>
      </c>
      <c r="R148" s="60" t="n">
        <f aca="false">G148+H148+I148</f>
        <v>28.48</v>
      </c>
      <c r="S148" s="60" t="n">
        <f aca="false">K148+L148+M148+N148+O148</f>
        <v>0.01</v>
      </c>
      <c r="T148" s="60" t="n">
        <f aca="false">L148+M148</f>
        <v>0.01</v>
      </c>
      <c r="U148" s="60" t="n">
        <f aca="false">S148+J148</f>
        <v>0.01</v>
      </c>
      <c r="V148" s="63" t="n">
        <f aca="false">IFERROR(S148/F148,0)</f>
        <v>0.000351000351000351</v>
      </c>
      <c r="W148" s="63" t="n">
        <f aca="false">IFERROR(R148/F148,0)</f>
        <v>0.999648999649</v>
      </c>
      <c r="X148" s="63" t="n">
        <f aca="false">IFERROR(T148/F148,0)</f>
        <v>0.000351000351000351</v>
      </c>
      <c r="Y148" s="63" t="n">
        <f aca="false">IFERROR(G148/F148,0)</f>
        <v>0</v>
      </c>
      <c r="Z148" s="59" t="n">
        <f aca="false">IF(E148&gt;0,F148*1000000000/E148,"")</f>
        <v>20800.8434234582</v>
      </c>
      <c r="AA148" s="63" t="n">
        <f aca="false">IFERROR((R148+S148+J148)/F148,0)</f>
        <v>1</v>
      </c>
      <c r="AB148" s="0" t="str">
        <f aca="false">A148&amp;"|"&amp;D148</f>
        <v>Bahrain|2015</v>
      </c>
    </row>
    <row r="149" customFormat="false" ht="15" hidden="false" customHeight="false" outlineLevel="0" collapsed="false">
      <c r="A149" s="0" t="s">
        <v>194</v>
      </c>
      <c r="B149" s="0" t="s">
        <v>432</v>
      </c>
      <c r="C149" s="0" t="s">
        <v>127</v>
      </c>
      <c r="D149" s="0" t="n">
        <v>2016</v>
      </c>
      <c r="E149" s="59" t="n">
        <v>1429609</v>
      </c>
      <c r="F149" s="60" t="n">
        <v>28.52</v>
      </c>
      <c r="G149" s="61" t="n">
        <v>0</v>
      </c>
      <c r="H149" s="61" t="n">
        <v>28.51</v>
      </c>
      <c r="I149" s="61" t="n">
        <v>0</v>
      </c>
      <c r="J149" s="61" t="n">
        <v>0</v>
      </c>
      <c r="K149" s="61" t="n">
        <v>0</v>
      </c>
      <c r="L149" s="61" t="n">
        <v>0.01</v>
      </c>
      <c r="M149" s="61" t="n">
        <v>0</v>
      </c>
      <c r="N149" s="61" t="n">
        <v>0</v>
      </c>
      <c r="O149" s="61" t="n">
        <v>0</v>
      </c>
      <c r="P149" s="62" t="n">
        <v>904.3</v>
      </c>
      <c r="Q149" s="0" t="n">
        <v>0</v>
      </c>
      <c r="R149" s="60" t="n">
        <f aca="false">G149+H149+I149</f>
        <v>28.51</v>
      </c>
      <c r="S149" s="60" t="n">
        <f aca="false">K149+L149+M149+N149+O149</f>
        <v>0.01</v>
      </c>
      <c r="T149" s="60" t="n">
        <f aca="false">L149+M149</f>
        <v>0.01</v>
      </c>
      <c r="U149" s="60" t="n">
        <f aca="false">S149+J149</f>
        <v>0.01</v>
      </c>
      <c r="V149" s="63" t="n">
        <f aca="false">IFERROR(S149/F149,0)</f>
        <v>0.000350631136044881</v>
      </c>
      <c r="W149" s="63" t="n">
        <f aca="false">IFERROR(R149/F149,0)</f>
        <v>0.999649368863955</v>
      </c>
      <c r="X149" s="63" t="n">
        <f aca="false">IFERROR(T149/F149,0)</f>
        <v>0.000350631136044881</v>
      </c>
      <c r="Y149" s="63" t="n">
        <f aca="false">IFERROR(G149/F149,0)</f>
        <v>0</v>
      </c>
      <c r="Z149" s="59" t="n">
        <f aca="false">IF(E149&gt;0,F149*1000000000/E149,"")</f>
        <v>19949.5106704001</v>
      </c>
      <c r="AA149" s="63" t="n">
        <f aca="false">IFERROR((R149+S149+J149)/F149,0)</f>
        <v>1</v>
      </c>
      <c r="AB149" s="0" t="str">
        <f aca="false">A149&amp;"|"&amp;D149</f>
        <v>Bahrain|2016</v>
      </c>
    </row>
    <row r="150" customFormat="false" ht="15" hidden="false" customHeight="false" outlineLevel="0" collapsed="false">
      <c r="A150" s="0" t="s">
        <v>194</v>
      </c>
      <c r="B150" s="0" t="s">
        <v>432</v>
      </c>
      <c r="C150" s="0" t="s">
        <v>127</v>
      </c>
      <c r="D150" s="0" t="n">
        <v>2017</v>
      </c>
      <c r="E150" s="59" t="n">
        <v>1482003</v>
      </c>
      <c r="F150" s="60" t="n">
        <v>29.23</v>
      </c>
      <c r="G150" s="61" t="n">
        <v>0</v>
      </c>
      <c r="H150" s="61" t="n">
        <v>29.22</v>
      </c>
      <c r="I150" s="61" t="n">
        <v>0</v>
      </c>
      <c r="J150" s="61" t="n">
        <v>0</v>
      </c>
      <c r="K150" s="61" t="n">
        <v>0</v>
      </c>
      <c r="L150" s="61" t="n">
        <v>0.01</v>
      </c>
      <c r="M150" s="61" t="n">
        <v>0</v>
      </c>
      <c r="N150" s="61" t="n">
        <v>0</v>
      </c>
      <c r="O150" s="61" t="n">
        <v>0</v>
      </c>
      <c r="P150" s="62" t="n">
        <v>904.5</v>
      </c>
      <c r="Q150" s="0" t="n">
        <v>0</v>
      </c>
      <c r="R150" s="60" t="n">
        <f aca="false">G150+H150+I150</f>
        <v>29.22</v>
      </c>
      <c r="S150" s="60" t="n">
        <f aca="false">K150+L150+M150+N150+O150</f>
        <v>0.01</v>
      </c>
      <c r="T150" s="60" t="n">
        <f aca="false">L150+M150</f>
        <v>0.01</v>
      </c>
      <c r="U150" s="60" t="n">
        <f aca="false">S150+J150</f>
        <v>0.01</v>
      </c>
      <c r="V150" s="63" t="n">
        <f aca="false">IFERROR(S150/F150,0)</f>
        <v>0.000342114266164899</v>
      </c>
      <c r="W150" s="63" t="n">
        <f aca="false">IFERROR(R150/F150,0)</f>
        <v>0.999657885733835</v>
      </c>
      <c r="X150" s="63" t="n">
        <f aca="false">IFERROR(T150/F150,0)</f>
        <v>0.000342114266164899</v>
      </c>
      <c r="Y150" s="63" t="n">
        <f aca="false">IFERROR(G150/F150,0)</f>
        <v>0</v>
      </c>
      <c r="Z150" s="59" t="n">
        <f aca="false">IF(E150&gt;0,F150*1000000000/E150,"")</f>
        <v>19723.3069028875</v>
      </c>
      <c r="AA150" s="63" t="n">
        <f aca="false">IFERROR((R150+S150+J150)/F150,0)</f>
        <v>1</v>
      </c>
      <c r="AB150" s="0" t="str">
        <f aca="false">A150&amp;"|"&amp;D150</f>
        <v>Bahrain|2017</v>
      </c>
    </row>
    <row r="151" customFormat="false" ht="15" hidden="false" customHeight="false" outlineLevel="0" collapsed="false">
      <c r="A151" s="0" t="s">
        <v>194</v>
      </c>
      <c r="B151" s="0" t="s">
        <v>432</v>
      </c>
      <c r="C151" s="0" t="s">
        <v>127</v>
      </c>
      <c r="D151" s="0" t="n">
        <v>2018</v>
      </c>
      <c r="E151" s="59" t="n">
        <v>1497634</v>
      </c>
      <c r="F151" s="60" t="n">
        <v>29.55</v>
      </c>
      <c r="G151" s="61" t="n">
        <v>0</v>
      </c>
      <c r="H151" s="61" t="n">
        <v>29.54</v>
      </c>
      <c r="I151" s="61" t="n">
        <v>0</v>
      </c>
      <c r="J151" s="61" t="n">
        <v>0</v>
      </c>
      <c r="K151" s="61" t="n">
        <v>0</v>
      </c>
      <c r="L151" s="61" t="n">
        <v>0.01</v>
      </c>
      <c r="M151" s="61" t="n">
        <v>0</v>
      </c>
      <c r="N151" s="61" t="n">
        <v>0</v>
      </c>
      <c r="O151" s="61" t="n">
        <v>0</v>
      </c>
      <c r="P151" s="62" t="n">
        <v>904.6</v>
      </c>
      <c r="Q151" s="0" t="n">
        <v>0</v>
      </c>
      <c r="R151" s="60" t="n">
        <f aca="false">G151+H151+I151</f>
        <v>29.54</v>
      </c>
      <c r="S151" s="60" t="n">
        <f aca="false">K151+L151+M151+N151+O151</f>
        <v>0.01</v>
      </c>
      <c r="T151" s="60" t="n">
        <f aca="false">L151+M151</f>
        <v>0.01</v>
      </c>
      <c r="U151" s="60" t="n">
        <f aca="false">S151+J151</f>
        <v>0.01</v>
      </c>
      <c r="V151" s="63" t="n">
        <f aca="false">IFERROR(S151/F151,0)</f>
        <v>0.000338409475465313</v>
      </c>
      <c r="W151" s="63" t="n">
        <f aca="false">IFERROR(R151/F151,0)</f>
        <v>0.999661590524535</v>
      </c>
      <c r="X151" s="63" t="n">
        <f aca="false">IFERROR(T151/F151,0)</f>
        <v>0.000338409475465313</v>
      </c>
      <c r="Y151" s="63" t="n">
        <f aca="false">IFERROR(G151/F151,0)</f>
        <v>0</v>
      </c>
      <c r="Z151" s="59" t="n">
        <f aca="false">IF(E151&gt;0,F151*1000000000/E151,"")</f>
        <v>19731.1225573137</v>
      </c>
      <c r="AA151" s="63" t="n">
        <f aca="false">IFERROR((R151+S151+J151)/F151,0)</f>
        <v>1</v>
      </c>
      <c r="AB151" s="0" t="str">
        <f aca="false">A151&amp;"|"&amp;D151</f>
        <v>Bahrain|2018</v>
      </c>
    </row>
    <row r="152" customFormat="false" ht="15" hidden="false" customHeight="false" outlineLevel="0" collapsed="false">
      <c r="A152" s="0" t="s">
        <v>194</v>
      </c>
      <c r="B152" s="0" t="s">
        <v>432</v>
      </c>
      <c r="C152" s="0" t="s">
        <v>127</v>
      </c>
      <c r="D152" s="0" t="n">
        <v>2019</v>
      </c>
      <c r="E152" s="59" t="n">
        <v>1485675</v>
      </c>
      <c r="F152" s="60" t="n">
        <v>33.11</v>
      </c>
      <c r="G152" s="61" t="n">
        <v>0</v>
      </c>
      <c r="H152" s="61" t="n">
        <v>33.09</v>
      </c>
      <c r="I152" s="61" t="n">
        <v>0</v>
      </c>
      <c r="J152" s="61" t="n">
        <v>0</v>
      </c>
      <c r="K152" s="61" t="n">
        <v>0</v>
      </c>
      <c r="L152" s="61" t="n">
        <v>0.02</v>
      </c>
      <c r="M152" s="61" t="n">
        <v>0</v>
      </c>
      <c r="N152" s="61" t="n">
        <v>0</v>
      </c>
      <c r="O152" s="61" t="n">
        <v>0</v>
      </c>
      <c r="P152" s="62" t="n">
        <v>904.3</v>
      </c>
      <c r="Q152" s="0" t="n">
        <v>0</v>
      </c>
      <c r="R152" s="60" t="n">
        <f aca="false">G152+H152+I152</f>
        <v>33.09</v>
      </c>
      <c r="S152" s="60" t="n">
        <f aca="false">K152+L152+M152+N152+O152</f>
        <v>0.02</v>
      </c>
      <c r="T152" s="60" t="n">
        <f aca="false">L152+M152</f>
        <v>0.02</v>
      </c>
      <c r="U152" s="60" t="n">
        <f aca="false">S152+J152</f>
        <v>0.02</v>
      </c>
      <c r="V152" s="63" t="n">
        <f aca="false">IFERROR(S152/F152,0)</f>
        <v>0.000604047115675023</v>
      </c>
      <c r="W152" s="63" t="n">
        <f aca="false">IFERROR(R152/F152,0)</f>
        <v>0.999395952884325</v>
      </c>
      <c r="X152" s="63" t="n">
        <f aca="false">IFERROR(T152/F152,0)</f>
        <v>0.000604047115675023</v>
      </c>
      <c r="Y152" s="63" t="n">
        <f aca="false">IFERROR(G152/F152,0)</f>
        <v>0</v>
      </c>
      <c r="Z152" s="59" t="n">
        <f aca="false">IF(E152&gt;0,F152*1000000000/E152,"")</f>
        <v>22286.1662207414</v>
      </c>
      <c r="AA152" s="63" t="n">
        <f aca="false">IFERROR((R152+S152+J152)/F152,0)</f>
        <v>1</v>
      </c>
      <c r="AB152" s="0" t="str">
        <f aca="false">A152&amp;"|"&amp;D152</f>
        <v>Bahrain|2019</v>
      </c>
    </row>
    <row r="153" customFormat="false" ht="15" hidden="false" customHeight="false" outlineLevel="0" collapsed="false">
      <c r="A153" s="0" t="s">
        <v>194</v>
      </c>
      <c r="B153" s="0" t="s">
        <v>432</v>
      </c>
      <c r="C153" s="0" t="s">
        <v>127</v>
      </c>
      <c r="D153" s="0" t="n">
        <v>2020</v>
      </c>
      <c r="E153" s="59" t="n">
        <v>1483081</v>
      </c>
      <c r="F153" s="60" t="n">
        <v>33.38</v>
      </c>
      <c r="G153" s="61" t="n">
        <v>0</v>
      </c>
      <c r="H153" s="61" t="n">
        <v>33.36</v>
      </c>
      <c r="I153" s="61" t="n">
        <v>0</v>
      </c>
      <c r="J153" s="61" t="n">
        <v>0</v>
      </c>
      <c r="K153" s="61" t="n">
        <v>0</v>
      </c>
      <c r="L153" s="61" t="n">
        <v>0.02</v>
      </c>
      <c r="M153" s="61" t="n">
        <v>0</v>
      </c>
      <c r="N153" s="61" t="n">
        <v>0</v>
      </c>
      <c r="O153" s="61" t="n">
        <v>0</v>
      </c>
      <c r="P153" s="62" t="n">
        <v>904.1</v>
      </c>
      <c r="Q153" s="0" t="n">
        <v>0</v>
      </c>
      <c r="R153" s="60" t="n">
        <f aca="false">G153+H153+I153</f>
        <v>33.36</v>
      </c>
      <c r="S153" s="60" t="n">
        <f aca="false">K153+L153+M153+N153+O153</f>
        <v>0.02</v>
      </c>
      <c r="T153" s="60" t="n">
        <f aca="false">L153+M153</f>
        <v>0.02</v>
      </c>
      <c r="U153" s="60" t="n">
        <f aca="false">S153+J153</f>
        <v>0.02</v>
      </c>
      <c r="V153" s="63" t="n">
        <f aca="false">IFERROR(S153/F153,0)</f>
        <v>0.000599161174355902</v>
      </c>
      <c r="W153" s="63" t="n">
        <f aca="false">IFERROR(R153/F153,0)</f>
        <v>0.999400838825644</v>
      </c>
      <c r="X153" s="63" t="n">
        <f aca="false">IFERROR(T153/F153,0)</f>
        <v>0.000599161174355902</v>
      </c>
      <c r="Y153" s="63" t="n">
        <f aca="false">IFERROR(G153/F153,0)</f>
        <v>0</v>
      </c>
      <c r="Z153" s="59" t="n">
        <f aca="false">IF(E153&gt;0,F153*1000000000/E153,"")</f>
        <v>22507.1995393374</v>
      </c>
      <c r="AA153" s="63" t="n">
        <f aca="false">IFERROR((R153+S153+J153)/F153,0)</f>
        <v>1</v>
      </c>
      <c r="AB153" s="0" t="str">
        <f aca="false">A153&amp;"|"&amp;D153</f>
        <v>Bahrain|2020</v>
      </c>
    </row>
    <row r="154" customFormat="false" ht="15" hidden="false" customHeight="false" outlineLevel="0" collapsed="false">
      <c r="A154" s="0" t="s">
        <v>194</v>
      </c>
      <c r="B154" s="0" t="s">
        <v>432</v>
      </c>
      <c r="C154" s="0" t="s">
        <v>127</v>
      </c>
      <c r="D154" s="0" t="n">
        <v>2021</v>
      </c>
      <c r="E154" s="59" t="n">
        <v>1501762</v>
      </c>
      <c r="F154" s="60" t="n">
        <v>33.91</v>
      </c>
      <c r="G154" s="61" t="n">
        <v>0</v>
      </c>
      <c r="H154" s="61" t="n">
        <v>33.87</v>
      </c>
      <c r="I154" s="61" t="n">
        <v>0</v>
      </c>
      <c r="J154" s="61" t="n">
        <v>0</v>
      </c>
      <c r="K154" s="61" t="n">
        <v>0</v>
      </c>
      <c r="L154" s="61" t="n">
        <v>0.04</v>
      </c>
      <c r="M154" s="61" t="n">
        <v>0</v>
      </c>
      <c r="N154" s="61" t="n">
        <v>0</v>
      </c>
      <c r="O154" s="61" t="n">
        <v>0</v>
      </c>
      <c r="P154" s="62" t="n">
        <v>903.6</v>
      </c>
      <c r="Q154" s="0" t="n">
        <v>0</v>
      </c>
      <c r="R154" s="60" t="n">
        <f aca="false">G154+H154+I154</f>
        <v>33.87</v>
      </c>
      <c r="S154" s="60" t="n">
        <f aca="false">K154+L154+M154+N154+O154</f>
        <v>0.04</v>
      </c>
      <c r="T154" s="60" t="n">
        <f aca="false">L154+M154</f>
        <v>0.04</v>
      </c>
      <c r="U154" s="60" t="n">
        <f aca="false">S154+J154</f>
        <v>0.04</v>
      </c>
      <c r="V154" s="63" t="n">
        <f aca="false">IFERROR(S154/F154,0)</f>
        <v>0.00117959304040106</v>
      </c>
      <c r="W154" s="63" t="n">
        <f aca="false">IFERROR(R154/F154,0)</f>
        <v>0.998820406959599</v>
      </c>
      <c r="X154" s="63" t="n">
        <f aca="false">IFERROR(T154/F154,0)</f>
        <v>0.00117959304040106</v>
      </c>
      <c r="Y154" s="63" t="n">
        <f aca="false">IFERROR(G154/F154,0)</f>
        <v>0</v>
      </c>
      <c r="Z154" s="59" t="n">
        <f aca="false">IF(E154&gt;0,F154*1000000000/E154,"")</f>
        <v>22580.1425259129</v>
      </c>
      <c r="AA154" s="63" t="n">
        <f aca="false">IFERROR((R154+S154+J154)/F154,0)</f>
        <v>1</v>
      </c>
      <c r="AB154" s="0" t="str">
        <f aca="false">A154&amp;"|"&amp;D154</f>
        <v>Bahrain|2021</v>
      </c>
    </row>
    <row r="155" customFormat="false" ht="15" hidden="false" customHeight="false" outlineLevel="0" collapsed="false">
      <c r="A155" s="0" t="s">
        <v>194</v>
      </c>
      <c r="B155" s="0" t="s">
        <v>432</v>
      </c>
      <c r="C155" s="0" t="s">
        <v>127</v>
      </c>
      <c r="D155" s="0" t="n">
        <v>2022</v>
      </c>
      <c r="E155" s="59" t="n">
        <v>1533460</v>
      </c>
      <c r="F155" s="60" t="n">
        <v>35.68</v>
      </c>
      <c r="G155" s="61" t="n">
        <v>0</v>
      </c>
      <c r="H155" s="61" t="n">
        <v>35.6</v>
      </c>
      <c r="I155" s="61" t="n">
        <v>0</v>
      </c>
      <c r="J155" s="61" t="n">
        <v>0</v>
      </c>
      <c r="K155" s="61" t="n">
        <v>0</v>
      </c>
      <c r="L155" s="61" t="n">
        <v>0.08</v>
      </c>
      <c r="M155" s="61" t="n">
        <v>0</v>
      </c>
      <c r="N155" s="61" t="n">
        <v>0</v>
      </c>
      <c r="O155" s="61" t="n">
        <v>0</v>
      </c>
      <c r="P155" s="62" t="n">
        <v>902.8</v>
      </c>
      <c r="Q155" s="0" t="n">
        <v>0</v>
      </c>
      <c r="R155" s="60" t="n">
        <f aca="false">G155+H155+I155</f>
        <v>35.6</v>
      </c>
      <c r="S155" s="60" t="n">
        <f aca="false">K155+L155+M155+N155+O155</f>
        <v>0.08</v>
      </c>
      <c r="T155" s="60" t="n">
        <f aca="false">L155+M155</f>
        <v>0.08</v>
      </c>
      <c r="U155" s="60" t="n">
        <f aca="false">S155+J155</f>
        <v>0.08</v>
      </c>
      <c r="V155" s="63" t="n">
        <f aca="false">IFERROR(S155/F155,0)</f>
        <v>0.00224215246636771</v>
      </c>
      <c r="W155" s="63" t="n">
        <f aca="false">IFERROR(R155/F155,0)</f>
        <v>0.997757847533632</v>
      </c>
      <c r="X155" s="63" t="n">
        <f aca="false">IFERROR(T155/F155,0)</f>
        <v>0.00224215246636771</v>
      </c>
      <c r="Y155" s="63" t="n">
        <f aca="false">IFERROR(G155/F155,0)</f>
        <v>0</v>
      </c>
      <c r="Z155" s="59" t="n">
        <f aca="false">IF(E155&gt;0,F155*1000000000/E155,"")</f>
        <v>23267.6431077433</v>
      </c>
      <c r="AA155" s="63" t="n">
        <f aca="false">IFERROR((R155+S155+J155)/F155,0)</f>
        <v>1</v>
      </c>
      <c r="AB155" s="0" t="str">
        <f aca="false">A155&amp;"|"&amp;D155</f>
        <v>Bahrain|2022</v>
      </c>
    </row>
    <row r="156" customFormat="false" ht="15" hidden="false" customHeight="false" outlineLevel="0" collapsed="false">
      <c r="A156" s="0" t="s">
        <v>194</v>
      </c>
      <c r="B156" s="0" t="s">
        <v>432</v>
      </c>
      <c r="C156" s="0" t="s">
        <v>127</v>
      </c>
      <c r="D156" s="0" t="n">
        <v>2023</v>
      </c>
      <c r="E156" s="59" t="n">
        <v>1569674</v>
      </c>
      <c r="F156" s="60" t="n">
        <v>37.47</v>
      </c>
      <c r="G156" s="61" t="n">
        <v>0</v>
      </c>
      <c r="H156" s="61" t="n">
        <v>37.38</v>
      </c>
      <c r="I156" s="61" t="n">
        <v>0</v>
      </c>
      <c r="J156" s="61" t="n">
        <v>0</v>
      </c>
      <c r="K156" s="61" t="n">
        <v>0</v>
      </c>
      <c r="L156" s="61" t="n">
        <v>0.09</v>
      </c>
      <c r="M156" s="61" t="n">
        <v>0</v>
      </c>
      <c r="N156" s="61" t="n">
        <v>0</v>
      </c>
      <c r="O156" s="61" t="n">
        <v>0</v>
      </c>
      <c r="P156" s="62" t="n">
        <v>902.6</v>
      </c>
      <c r="Q156" s="0" t="n">
        <v>0</v>
      </c>
      <c r="R156" s="60" t="n">
        <f aca="false">G156+H156+I156</f>
        <v>37.38</v>
      </c>
      <c r="S156" s="60" t="n">
        <f aca="false">K156+L156+M156+N156+O156</f>
        <v>0.09</v>
      </c>
      <c r="T156" s="60" t="n">
        <f aca="false">L156+M156</f>
        <v>0.09</v>
      </c>
      <c r="U156" s="60" t="n">
        <f aca="false">S156+J156</f>
        <v>0.09</v>
      </c>
      <c r="V156" s="63" t="n">
        <f aca="false">IFERROR(S156/F156,0)</f>
        <v>0.00240192153722978</v>
      </c>
      <c r="W156" s="63" t="n">
        <f aca="false">IFERROR(R156/F156,0)</f>
        <v>0.99759807846277</v>
      </c>
      <c r="X156" s="63" t="n">
        <f aca="false">IFERROR(T156/F156,0)</f>
        <v>0.00240192153722978</v>
      </c>
      <c r="Y156" s="63" t="n">
        <f aca="false">IFERROR(G156/F156,0)</f>
        <v>0</v>
      </c>
      <c r="Z156" s="59" t="n">
        <f aca="false">IF(E156&gt;0,F156*1000000000/E156,"")</f>
        <v>23871.1987329853</v>
      </c>
      <c r="AA156" s="63" t="n">
        <f aca="false">IFERROR((R156+S156+J156)/F156,0)</f>
        <v>1</v>
      </c>
      <c r="AB156" s="0" t="str">
        <f aca="false">A156&amp;"|"&amp;D156</f>
        <v>Bahrain|2023</v>
      </c>
    </row>
    <row r="157" customFormat="false" ht="15" hidden="false" customHeight="false" outlineLevel="0" collapsed="false">
      <c r="A157" s="0" t="s">
        <v>194</v>
      </c>
      <c r="B157" s="0" t="s">
        <v>432</v>
      </c>
      <c r="C157" s="0" t="s">
        <v>127</v>
      </c>
      <c r="D157" s="0" t="n">
        <v>2024</v>
      </c>
      <c r="E157" s="59" t="n">
        <v>1607059</v>
      </c>
      <c r="F157" s="60" t="n">
        <v>37.95</v>
      </c>
      <c r="G157" s="61" t="n">
        <v>0</v>
      </c>
      <c r="H157" s="61" t="n">
        <v>37.85</v>
      </c>
      <c r="I157" s="61" t="n">
        <v>0</v>
      </c>
      <c r="J157" s="61" t="n">
        <v>0</v>
      </c>
      <c r="K157" s="61" t="n">
        <v>0</v>
      </c>
      <c r="L157" s="61" t="n">
        <v>0.1</v>
      </c>
      <c r="M157" s="61" t="n">
        <v>0</v>
      </c>
      <c r="N157" s="61" t="n">
        <v>0</v>
      </c>
      <c r="O157" s="61" t="n">
        <v>0</v>
      </c>
      <c r="P157" s="62" t="n">
        <v>902.2</v>
      </c>
      <c r="Q157" s="0" t="n">
        <v>0</v>
      </c>
      <c r="R157" s="60" t="n">
        <f aca="false">G157+H157+I157</f>
        <v>37.85</v>
      </c>
      <c r="S157" s="60" t="n">
        <f aca="false">K157+L157+M157+N157+O157</f>
        <v>0.1</v>
      </c>
      <c r="T157" s="60" t="n">
        <f aca="false">L157+M157</f>
        <v>0.1</v>
      </c>
      <c r="U157" s="60" t="n">
        <f aca="false">S157+J157</f>
        <v>0.1</v>
      </c>
      <c r="V157" s="63" t="n">
        <f aca="false">IFERROR(S157/F157,0)</f>
        <v>0.00263504611330698</v>
      </c>
      <c r="W157" s="63" t="n">
        <f aca="false">IFERROR(R157/F157,0)</f>
        <v>0.997364953886693</v>
      </c>
      <c r="X157" s="63" t="n">
        <f aca="false">IFERROR(T157/F157,0)</f>
        <v>0.00263504611330698</v>
      </c>
      <c r="Y157" s="63" t="n">
        <f aca="false">IFERROR(G157/F157,0)</f>
        <v>0</v>
      </c>
      <c r="Z157" s="59" t="n">
        <f aca="false">IF(E157&gt;0,F157*1000000000/E157,"")</f>
        <v>23614.5654888837</v>
      </c>
      <c r="AA157" s="63" t="n">
        <f aca="false">IFERROR((R157+S157+J157)/F157,0)</f>
        <v>1</v>
      </c>
      <c r="AB157" s="0" t="str">
        <f aca="false">A157&amp;"|"&amp;D157</f>
        <v>Bahrain|2024</v>
      </c>
    </row>
    <row r="158" customFormat="false" ht="15" hidden="false" customHeight="false" outlineLevel="0" collapsed="false">
      <c r="A158" s="0" t="s">
        <v>195</v>
      </c>
      <c r="B158" s="0" t="s">
        <v>433</v>
      </c>
      <c r="C158" s="0" t="s">
        <v>127</v>
      </c>
      <c r="D158" s="0" t="n">
        <v>2015</v>
      </c>
      <c r="E158" s="59" t="n">
        <v>159383179</v>
      </c>
      <c r="F158" s="60" t="n">
        <v>59.29</v>
      </c>
      <c r="G158" s="61" t="n">
        <v>1</v>
      </c>
      <c r="H158" s="61" t="n">
        <v>47.82</v>
      </c>
      <c r="I158" s="61" t="n">
        <v>9.67</v>
      </c>
      <c r="J158" s="61" t="n">
        <v>0</v>
      </c>
      <c r="K158" s="61" t="n">
        <v>0.59</v>
      </c>
      <c r="L158" s="61" t="n">
        <v>0.2</v>
      </c>
      <c r="M158" s="61" t="n">
        <v>0.01</v>
      </c>
      <c r="N158" s="61" t="n">
        <v>0</v>
      </c>
      <c r="O158" s="61" t="n">
        <v>0</v>
      </c>
      <c r="P158" s="62" t="n">
        <v>675.8</v>
      </c>
      <c r="Q158" s="0" t="n">
        <v>0</v>
      </c>
      <c r="R158" s="60" t="n">
        <f aca="false">G158+H158+I158</f>
        <v>58.49</v>
      </c>
      <c r="S158" s="60" t="n">
        <f aca="false">K158+L158+M158+N158+O158</f>
        <v>0.8</v>
      </c>
      <c r="T158" s="60" t="n">
        <f aca="false">L158+M158</f>
        <v>0.21</v>
      </c>
      <c r="U158" s="60" t="n">
        <f aca="false">S158+J158</f>
        <v>0.8</v>
      </c>
      <c r="V158" s="63" t="n">
        <f aca="false">IFERROR(S158/F158,0)</f>
        <v>0.0134930005059875</v>
      </c>
      <c r="W158" s="63" t="n">
        <f aca="false">IFERROR(R158/F158,0)</f>
        <v>0.986506999494013</v>
      </c>
      <c r="X158" s="63" t="n">
        <f aca="false">IFERROR(T158/F158,0)</f>
        <v>0.00354191263282172</v>
      </c>
      <c r="Y158" s="63" t="n">
        <f aca="false">IFERROR(G158/F158,0)</f>
        <v>0.0168662506324844</v>
      </c>
      <c r="Z158" s="59" t="n">
        <f aca="false">IF(E158&gt;0,F158*1000000000/E158,"")</f>
        <v>371.996595700981</v>
      </c>
      <c r="AA158" s="63" t="n">
        <f aca="false">IFERROR((R158+S158+J158)/F158,0)</f>
        <v>1</v>
      </c>
      <c r="AB158" s="0" t="str">
        <f aca="false">A158&amp;"|"&amp;D158</f>
        <v>Bangladesh|2015</v>
      </c>
    </row>
    <row r="159" customFormat="false" ht="15" hidden="false" customHeight="false" outlineLevel="0" collapsed="false">
      <c r="A159" s="0" t="s">
        <v>195</v>
      </c>
      <c r="B159" s="0" t="s">
        <v>433</v>
      </c>
      <c r="C159" s="0" t="s">
        <v>127</v>
      </c>
      <c r="D159" s="0" t="n">
        <v>2016</v>
      </c>
      <c r="E159" s="59" t="n">
        <v>160811934</v>
      </c>
      <c r="F159" s="60" t="n">
        <v>69.09</v>
      </c>
      <c r="G159" s="61" t="n">
        <v>1.03</v>
      </c>
      <c r="H159" s="61" t="n">
        <v>55.44</v>
      </c>
      <c r="I159" s="61" t="n">
        <v>11.38</v>
      </c>
      <c r="J159" s="61" t="n">
        <v>0</v>
      </c>
      <c r="K159" s="61" t="n">
        <v>1.01</v>
      </c>
      <c r="L159" s="61" t="n">
        <v>0.22</v>
      </c>
      <c r="M159" s="61" t="n">
        <v>0.01</v>
      </c>
      <c r="N159" s="61" t="n">
        <v>0</v>
      </c>
      <c r="O159" s="61" t="n">
        <v>0</v>
      </c>
      <c r="P159" s="62" t="n">
        <v>672.6</v>
      </c>
      <c r="Q159" s="0" t="n">
        <v>0</v>
      </c>
      <c r="R159" s="60" t="n">
        <f aca="false">G159+H159+I159</f>
        <v>67.85</v>
      </c>
      <c r="S159" s="60" t="n">
        <f aca="false">K159+L159+M159+N159+O159</f>
        <v>1.24</v>
      </c>
      <c r="T159" s="60" t="n">
        <f aca="false">L159+M159</f>
        <v>0.23</v>
      </c>
      <c r="U159" s="60" t="n">
        <f aca="false">S159+J159</f>
        <v>1.24</v>
      </c>
      <c r="V159" s="63" t="n">
        <f aca="false">IFERROR(S159/F159,0)</f>
        <v>0.0179476045737444</v>
      </c>
      <c r="W159" s="63" t="n">
        <f aca="false">IFERROR(R159/F159,0)</f>
        <v>0.982052395426255</v>
      </c>
      <c r="X159" s="63" t="n">
        <f aca="false">IFERROR(T159/F159,0)</f>
        <v>0.00332899117093646</v>
      </c>
      <c r="Y159" s="63" t="n">
        <f aca="false">IFERROR(G159/F159,0)</f>
        <v>0.0149080908959328</v>
      </c>
      <c r="Z159" s="59" t="n">
        <f aca="false">IF(E159&gt;0,F159*1000000000/E159,"")</f>
        <v>429.632293334648</v>
      </c>
      <c r="AA159" s="63" t="n">
        <f aca="false">IFERROR((R159+S159+J159)/F159,0)</f>
        <v>1</v>
      </c>
      <c r="AB159" s="0" t="str">
        <f aca="false">A159&amp;"|"&amp;D159</f>
        <v>Bangladesh|2016</v>
      </c>
    </row>
    <row r="160" customFormat="false" ht="15" hidden="false" customHeight="false" outlineLevel="0" collapsed="false">
      <c r="A160" s="0" t="s">
        <v>195</v>
      </c>
      <c r="B160" s="0" t="s">
        <v>433</v>
      </c>
      <c r="C160" s="0" t="s">
        <v>127</v>
      </c>
      <c r="D160" s="0" t="n">
        <v>2017</v>
      </c>
      <c r="E160" s="59" t="n">
        <v>162186146</v>
      </c>
      <c r="F160" s="60" t="n">
        <v>73.45</v>
      </c>
      <c r="G160" s="61" t="n">
        <v>1.03</v>
      </c>
      <c r="H160" s="61" t="n">
        <v>57.8</v>
      </c>
      <c r="I160" s="61" t="n">
        <v>13.33</v>
      </c>
      <c r="J160" s="61" t="n">
        <v>0</v>
      </c>
      <c r="K160" s="61" t="n">
        <v>1.03</v>
      </c>
      <c r="L160" s="61" t="n">
        <v>0.25</v>
      </c>
      <c r="M160" s="61" t="n">
        <v>0.01</v>
      </c>
      <c r="N160" s="61" t="n">
        <v>0</v>
      </c>
      <c r="O160" s="61" t="n">
        <v>0</v>
      </c>
      <c r="P160" s="62" t="n">
        <v>672.2</v>
      </c>
      <c r="Q160" s="0" t="n">
        <v>0</v>
      </c>
      <c r="R160" s="60" t="n">
        <f aca="false">G160+H160+I160</f>
        <v>72.16</v>
      </c>
      <c r="S160" s="60" t="n">
        <f aca="false">K160+L160+M160+N160+O160</f>
        <v>1.29</v>
      </c>
      <c r="T160" s="60" t="n">
        <f aca="false">L160+M160</f>
        <v>0.26</v>
      </c>
      <c r="U160" s="60" t="n">
        <f aca="false">S160+J160</f>
        <v>1.29</v>
      </c>
      <c r="V160" s="63" t="n">
        <f aca="false">IFERROR(S160/F160,0)</f>
        <v>0.0175629680054459</v>
      </c>
      <c r="W160" s="63" t="n">
        <f aca="false">IFERROR(R160/F160,0)</f>
        <v>0.982437031994554</v>
      </c>
      <c r="X160" s="63" t="n">
        <f aca="false">IFERROR(T160/F160,0)</f>
        <v>0.00353982300884956</v>
      </c>
      <c r="Y160" s="63" t="n">
        <f aca="false">IFERROR(G160/F160,0)</f>
        <v>0.0140231449965963</v>
      </c>
      <c r="Z160" s="59" t="n">
        <f aca="false">IF(E160&gt;0,F160*1000000000/E160,"")</f>
        <v>452.874686349597</v>
      </c>
      <c r="AA160" s="63" t="n">
        <f aca="false">IFERROR((R160+S160+J160)/F160,0)</f>
        <v>1</v>
      </c>
      <c r="AB160" s="0" t="str">
        <f aca="false">A160&amp;"|"&amp;D160</f>
        <v>Bangladesh|2017</v>
      </c>
    </row>
    <row r="161" customFormat="false" ht="15" hidden="false" customHeight="false" outlineLevel="0" collapsed="false">
      <c r="A161" s="0" t="s">
        <v>195</v>
      </c>
      <c r="B161" s="0" t="s">
        <v>433</v>
      </c>
      <c r="C161" s="0" t="s">
        <v>127</v>
      </c>
      <c r="D161" s="0" t="n">
        <v>2018</v>
      </c>
      <c r="E161" s="59" t="n">
        <v>163523109</v>
      </c>
      <c r="F161" s="60" t="n">
        <v>79.15</v>
      </c>
      <c r="G161" s="61" t="n">
        <v>1.79</v>
      </c>
      <c r="H161" s="61" t="n">
        <v>59.67</v>
      </c>
      <c r="I161" s="61" t="n">
        <v>16.29</v>
      </c>
      <c r="J161" s="61" t="n">
        <v>0</v>
      </c>
      <c r="K161" s="61" t="n">
        <v>1.08</v>
      </c>
      <c r="L161" s="61" t="n">
        <v>0.31</v>
      </c>
      <c r="M161" s="61" t="n">
        <v>0.01</v>
      </c>
      <c r="N161" s="61" t="n">
        <v>0</v>
      </c>
      <c r="O161" s="61" t="n">
        <v>0</v>
      </c>
      <c r="P161" s="62" t="n">
        <v>673</v>
      </c>
      <c r="Q161" s="0" t="n">
        <v>0</v>
      </c>
      <c r="R161" s="60" t="n">
        <f aca="false">G161+H161+I161</f>
        <v>77.75</v>
      </c>
      <c r="S161" s="60" t="n">
        <f aca="false">K161+L161+M161+N161+O161</f>
        <v>1.4</v>
      </c>
      <c r="T161" s="60" t="n">
        <f aca="false">L161+M161</f>
        <v>0.32</v>
      </c>
      <c r="U161" s="60" t="n">
        <f aca="false">S161+J161</f>
        <v>1.4</v>
      </c>
      <c r="V161" s="63" t="n">
        <f aca="false">IFERROR(S161/F161,0)</f>
        <v>0.0176879343019583</v>
      </c>
      <c r="W161" s="63" t="n">
        <f aca="false">IFERROR(R161/F161,0)</f>
        <v>0.982312065698042</v>
      </c>
      <c r="X161" s="63" t="n">
        <f aca="false">IFERROR(T161/F161,0)</f>
        <v>0.00404295641187618</v>
      </c>
      <c r="Y161" s="63" t="n">
        <f aca="false">IFERROR(G161/F161,0)</f>
        <v>0.0226152874289324</v>
      </c>
      <c r="Z161" s="59" t="n">
        <f aca="false">IF(E161&gt;0,F161*1000000000/E161,"")</f>
        <v>484.029446871635</v>
      </c>
      <c r="AA161" s="63" t="n">
        <f aca="false">IFERROR((R161+S161+J161)/F161,0)</f>
        <v>1</v>
      </c>
      <c r="AB161" s="0" t="str">
        <f aca="false">A161&amp;"|"&amp;D161</f>
        <v>Bangladesh|2018</v>
      </c>
    </row>
    <row r="162" customFormat="false" ht="15" hidden="false" customHeight="false" outlineLevel="0" collapsed="false">
      <c r="A162" s="0" t="s">
        <v>195</v>
      </c>
      <c r="B162" s="0" t="s">
        <v>433</v>
      </c>
      <c r="C162" s="0" t="s">
        <v>127</v>
      </c>
      <c r="D162" s="0" t="n">
        <v>2019</v>
      </c>
      <c r="E162" s="59" t="n">
        <v>164913060</v>
      </c>
      <c r="F162" s="60" t="n">
        <v>85.11</v>
      </c>
      <c r="G162" s="61" t="n">
        <v>1.3</v>
      </c>
      <c r="H162" s="61" t="n">
        <v>68.36</v>
      </c>
      <c r="I162" s="61" t="n">
        <v>14.26</v>
      </c>
      <c r="J162" s="61" t="n">
        <v>0</v>
      </c>
      <c r="K162" s="61" t="n">
        <v>0.81</v>
      </c>
      <c r="L162" s="61" t="n">
        <v>0.37</v>
      </c>
      <c r="M162" s="61" t="n">
        <v>0.01</v>
      </c>
      <c r="N162" s="61" t="n">
        <v>0</v>
      </c>
      <c r="O162" s="61" t="n">
        <v>0</v>
      </c>
      <c r="P162" s="62" t="n">
        <v>675.2</v>
      </c>
      <c r="Q162" s="0" t="n">
        <v>0</v>
      </c>
      <c r="R162" s="60" t="n">
        <f aca="false">G162+H162+I162</f>
        <v>83.92</v>
      </c>
      <c r="S162" s="60" t="n">
        <f aca="false">K162+L162+M162+N162+O162</f>
        <v>1.19</v>
      </c>
      <c r="T162" s="60" t="n">
        <f aca="false">L162+M162</f>
        <v>0.38</v>
      </c>
      <c r="U162" s="60" t="n">
        <f aca="false">S162+J162</f>
        <v>1.19</v>
      </c>
      <c r="V162" s="63" t="n">
        <f aca="false">IFERROR(S162/F162,0)</f>
        <v>0.0139819057690048</v>
      </c>
      <c r="W162" s="63" t="n">
        <f aca="false">IFERROR(R162/F162,0)</f>
        <v>0.986018094230995</v>
      </c>
      <c r="X162" s="63" t="n">
        <f aca="false">IFERROR(T162/F162,0)</f>
        <v>0.00446481024556456</v>
      </c>
      <c r="Y162" s="63" t="n">
        <f aca="false">IFERROR(G162/F162,0)</f>
        <v>0.0152743508400893</v>
      </c>
      <c r="Z162" s="59" t="n">
        <f aca="false">IF(E162&gt;0,F162*1000000000/E162,"")</f>
        <v>516.090114391183</v>
      </c>
      <c r="AA162" s="63" t="n">
        <f aca="false">IFERROR((R162+S162+J162)/F162,0)</f>
        <v>1</v>
      </c>
      <c r="AB162" s="0" t="str">
        <f aca="false">A162&amp;"|"&amp;D162</f>
        <v>Bangladesh|2019</v>
      </c>
    </row>
    <row r="163" customFormat="false" ht="15" hidden="false" customHeight="false" outlineLevel="0" collapsed="false">
      <c r="A163" s="0" t="s">
        <v>195</v>
      </c>
      <c r="B163" s="0" t="s">
        <v>433</v>
      </c>
      <c r="C163" s="0" t="s">
        <v>127</v>
      </c>
      <c r="D163" s="0" t="n">
        <v>2020</v>
      </c>
      <c r="E163" s="59" t="n">
        <v>166298024</v>
      </c>
      <c r="F163" s="60" t="n">
        <v>85.46</v>
      </c>
      <c r="G163" s="61" t="n">
        <v>3.15</v>
      </c>
      <c r="H163" s="61" t="n">
        <v>70.88</v>
      </c>
      <c r="I163" s="61" t="n">
        <v>10.18</v>
      </c>
      <c r="J163" s="61" t="n">
        <v>0</v>
      </c>
      <c r="K163" s="61" t="n">
        <v>0.78</v>
      </c>
      <c r="L163" s="61" t="n">
        <v>0.46</v>
      </c>
      <c r="M163" s="61" t="n">
        <v>0.01</v>
      </c>
      <c r="N163" s="61" t="n">
        <v>0</v>
      </c>
      <c r="O163" s="61" t="n">
        <v>0</v>
      </c>
      <c r="P163" s="62" t="n">
        <v>678.9</v>
      </c>
      <c r="Q163" s="0" t="n">
        <v>0</v>
      </c>
      <c r="R163" s="60" t="n">
        <f aca="false">G163+H163+I163</f>
        <v>84.21</v>
      </c>
      <c r="S163" s="60" t="n">
        <f aca="false">K163+L163+M163+N163+O163</f>
        <v>1.25</v>
      </c>
      <c r="T163" s="60" t="n">
        <f aca="false">L163+M163</f>
        <v>0.47</v>
      </c>
      <c r="U163" s="60" t="n">
        <f aca="false">S163+J163</f>
        <v>1.25</v>
      </c>
      <c r="V163" s="63" t="n">
        <f aca="false">IFERROR(S163/F163,0)</f>
        <v>0.0146267259536625</v>
      </c>
      <c r="W163" s="63" t="n">
        <f aca="false">IFERROR(R163/F163,0)</f>
        <v>0.985373274046338</v>
      </c>
      <c r="X163" s="63" t="n">
        <f aca="false">IFERROR(T163/F163,0)</f>
        <v>0.00549964895857711</v>
      </c>
      <c r="Y163" s="63" t="n">
        <f aca="false">IFERROR(G163/F163,0)</f>
        <v>0.0368593494032296</v>
      </c>
      <c r="Z163" s="59" t="n">
        <f aca="false">IF(E163&gt;0,F163*1000000000/E163,"")</f>
        <v>513.896665422795</v>
      </c>
      <c r="AA163" s="63" t="n">
        <f aca="false">IFERROR((R163+S163+J163)/F163,0)</f>
        <v>1</v>
      </c>
      <c r="AB163" s="0" t="str">
        <f aca="false">A163&amp;"|"&amp;D163</f>
        <v>Bangladesh|2020</v>
      </c>
    </row>
    <row r="164" customFormat="false" ht="15" hidden="false" customHeight="false" outlineLevel="0" collapsed="false">
      <c r="A164" s="0" t="s">
        <v>195</v>
      </c>
      <c r="B164" s="0" t="s">
        <v>433</v>
      </c>
      <c r="C164" s="0" t="s">
        <v>127</v>
      </c>
      <c r="D164" s="0" t="n">
        <v>2021</v>
      </c>
      <c r="E164" s="59" t="n">
        <v>167658855</v>
      </c>
      <c r="F164" s="60" t="n">
        <v>95.65</v>
      </c>
      <c r="G164" s="61" t="n">
        <v>5.3</v>
      </c>
      <c r="H164" s="61" t="n">
        <v>69.81</v>
      </c>
      <c r="I164" s="61" t="n">
        <v>19.19</v>
      </c>
      <c r="J164" s="61" t="n">
        <v>0</v>
      </c>
      <c r="K164" s="61" t="n">
        <v>0.73</v>
      </c>
      <c r="L164" s="61" t="n">
        <v>0.61</v>
      </c>
      <c r="M164" s="61" t="n">
        <v>0.01</v>
      </c>
      <c r="N164" s="61" t="n">
        <v>0</v>
      </c>
      <c r="O164" s="61" t="n">
        <v>0</v>
      </c>
      <c r="P164" s="62" t="n">
        <v>679</v>
      </c>
      <c r="Q164" s="0" t="n">
        <v>0</v>
      </c>
      <c r="R164" s="60" t="n">
        <f aca="false">G164+H164+I164</f>
        <v>94.3</v>
      </c>
      <c r="S164" s="60" t="n">
        <f aca="false">K164+L164+M164+N164+O164</f>
        <v>1.35</v>
      </c>
      <c r="T164" s="60" t="n">
        <f aca="false">L164+M164</f>
        <v>0.62</v>
      </c>
      <c r="U164" s="60" t="n">
        <f aca="false">S164+J164</f>
        <v>1.35</v>
      </c>
      <c r="V164" s="63" t="n">
        <f aca="false">IFERROR(S164/F164,0)</f>
        <v>0.0141139571353894</v>
      </c>
      <c r="W164" s="63" t="n">
        <f aca="false">IFERROR(R164/F164,0)</f>
        <v>0.985886042864611</v>
      </c>
      <c r="X164" s="63" t="n">
        <f aca="false">IFERROR(T164/F164,0)</f>
        <v>0.00648196549921589</v>
      </c>
      <c r="Y164" s="63" t="n">
        <f aca="false">IFERROR(G164/F164,0)</f>
        <v>0.0554103502352326</v>
      </c>
      <c r="Z164" s="59" t="n">
        <f aca="false">IF(E164&gt;0,F164*1000000000/E164,"")</f>
        <v>570.50371720599</v>
      </c>
      <c r="AA164" s="63" t="n">
        <f aca="false">IFERROR((R164+S164+J164)/F164,0)</f>
        <v>1</v>
      </c>
      <c r="AB164" s="0" t="str">
        <f aca="false">A164&amp;"|"&amp;D164</f>
        <v>Bangladesh|2021</v>
      </c>
    </row>
    <row r="165" customFormat="false" ht="15" hidden="false" customHeight="false" outlineLevel="0" collapsed="false">
      <c r="A165" s="0" t="s">
        <v>195</v>
      </c>
      <c r="B165" s="0" t="s">
        <v>433</v>
      </c>
      <c r="C165" s="0" t="s">
        <v>127</v>
      </c>
      <c r="D165" s="0" t="n">
        <v>2022</v>
      </c>
      <c r="E165" s="59" t="n">
        <v>169384891</v>
      </c>
      <c r="F165" s="60" t="n">
        <v>102.25</v>
      </c>
      <c r="G165" s="61" t="n">
        <v>5.66</v>
      </c>
      <c r="H165" s="61" t="n">
        <v>69.19</v>
      </c>
      <c r="I165" s="61" t="n">
        <v>25.81</v>
      </c>
      <c r="J165" s="61" t="n">
        <v>0</v>
      </c>
      <c r="K165" s="61" t="n">
        <v>0.71</v>
      </c>
      <c r="L165" s="61" t="n">
        <v>0.87</v>
      </c>
      <c r="M165" s="61" t="n">
        <v>0.01</v>
      </c>
      <c r="N165" s="61" t="n">
        <v>0</v>
      </c>
      <c r="O165" s="61" t="n">
        <v>0</v>
      </c>
      <c r="P165" s="62" t="n">
        <v>676.5</v>
      </c>
      <c r="Q165" s="0" t="n">
        <v>0</v>
      </c>
      <c r="R165" s="60" t="n">
        <f aca="false">G165+H165+I165</f>
        <v>100.66</v>
      </c>
      <c r="S165" s="60" t="n">
        <f aca="false">K165+L165+M165+N165+O165</f>
        <v>1.59</v>
      </c>
      <c r="T165" s="60" t="n">
        <f aca="false">L165+M165</f>
        <v>0.88</v>
      </c>
      <c r="U165" s="60" t="n">
        <f aca="false">S165+J165</f>
        <v>1.59</v>
      </c>
      <c r="V165" s="63" t="n">
        <f aca="false">IFERROR(S165/F165,0)</f>
        <v>0.0155501222493888</v>
      </c>
      <c r="W165" s="63" t="n">
        <f aca="false">IFERROR(R165/F165,0)</f>
        <v>0.984449877750611</v>
      </c>
      <c r="X165" s="63" t="n">
        <f aca="false">IFERROR(T165/F165,0)</f>
        <v>0.00860635696821516</v>
      </c>
      <c r="Y165" s="63" t="n">
        <f aca="false">IFERROR(G165/F165,0)</f>
        <v>0.0553545232273839</v>
      </c>
      <c r="Z165" s="59" t="n">
        <f aca="false">IF(E165&gt;0,F165*1000000000/E165,"")</f>
        <v>603.654785242918</v>
      </c>
      <c r="AA165" s="63" t="n">
        <f aca="false">IFERROR((R165+S165+J165)/F165,0)</f>
        <v>1</v>
      </c>
      <c r="AB165" s="0" t="str">
        <f aca="false">A165&amp;"|"&amp;D165</f>
        <v>Bangladesh|2022</v>
      </c>
    </row>
    <row r="166" customFormat="false" ht="15" hidden="false" customHeight="false" outlineLevel="0" collapsed="false">
      <c r="A166" s="0" t="s">
        <v>195</v>
      </c>
      <c r="B166" s="0" t="s">
        <v>433</v>
      </c>
      <c r="C166" s="0" t="s">
        <v>127</v>
      </c>
      <c r="D166" s="0" t="n">
        <v>2023</v>
      </c>
      <c r="E166" s="59" t="n">
        <v>171466986</v>
      </c>
      <c r="F166" s="60" t="n">
        <v>100.73</v>
      </c>
      <c r="G166" s="61" t="n">
        <v>10.69</v>
      </c>
      <c r="H166" s="61" t="n">
        <v>66.43</v>
      </c>
      <c r="I166" s="61" t="n">
        <v>21.89</v>
      </c>
      <c r="J166" s="61" t="n">
        <v>0</v>
      </c>
      <c r="K166" s="61" t="n">
        <v>0.65</v>
      </c>
      <c r="L166" s="61" t="n">
        <v>1.07</v>
      </c>
      <c r="M166" s="61" t="n">
        <v>0</v>
      </c>
      <c r="N166" s="61" t="n">
        <v>0</v>
      </c>
      <c r="O166" s="61" t="n">
        <v>0</v>
      </c>
      <c r="P166" s="62" t="n">
        <v>682.7</v>
      </c>
      <c r="Q166" s="0" t="n">
        <v>0</v>
      </c>
      <c r="R166" s="60" t="n">
        <f aca="false">G166+H166+I166</f>
        <v>99.01</v>
      </c>
      <c r="S166" s="60" t="n">
        <f aca="false">K166+L166+M166+N166+O166</f>
        <v>1.72</v>
      </c>
      <c r="T166" s="60" t="n">
        <f aca="false">L166+M166</f>
        <v>1.07</v>
      </c>
      <c r="U166" s="60" t="n">
        <f aca="false">S166+J166</f>
        <v>1.72</v>
      </c>
      <c r="V166" s="63" t="n">
        <f aca="false">IFERROR(S166/F166,0)</f>
        <v>0.0170753499453986</v>
      </c>
      <c r="W166" s="63" t="n">
        <f aca="false">IFERROR(R166/F166,0)</f>
        <v>0.982924650054601</v>
      </c>
      <c r="X166" s="63" t="n">
        <f aca="false">IFERROR(T166/F166,0)</f>
        <v>0.010622456070684</v>
      </c>
      <c r="Y166" s="63" t="n">
        <f aca="false">IFERROR(G166/F166,0)</f>
        <v>0.10612528541646</v>
      </c>
      <c r="Z166" s="59" t="n">
        <f aca="false">IF(E166&gt;0,F166*1000000000/E166,"")</f>
        <v>587.460025686811</v>
      </c>
      <c r="AA166" s="63" t="n">
        <f aca="false">IFERROR((R166+S166+J166)/F166,0)</f>
        <v>1</v>
      </c>
      <c r="AB166" s="0" t="str">
        <f aca="false">A166&amp;"|"&amp;D166</f>
        <v>Bangladesh|2023</v>
      </c>
    </row>
    <row r="167" customFormat="false" ht="15" hidden="false" customHeight="false" outlineLevel="0" collapsed="false">
      <c r="A167" s="0" t="s">
        <v>195</v>
      </c>
      <c r="B167" s="0" t="s">
        <v>433</v>
      </c>
      <c r="C167" s="0" t="s">
        <v>127</v>
      </c>
      <c r="D167" s="0" t="n">
        <v>2024</v>
      </c>
      <c r="E167" s="59" t="n">
        <v>173562366</v>
      </c>
      <c r="F167" s="60" t="n">
        <v>101.74</v>
      </c>
      <c r="G167" s="61" t="n">
        <v>20.29</v>
      </c>
      <c r="H167" s="61" t="n">
        <v>67.03</v>
      </c>
      <c r="I167" s="61" t="n">
        <v>12.5</v>
      </c>
      <c r="J167" s="61" t="n">
        <v>0</v>
      </c>
      <c r="K167" s="61" t="n">
        <v>0.7</v>
      </c>
      <c r="L167" s="61" t="n">
        <v>1.22</v>
      </c>
      <c r="M167" s="61" t="n">
        <v>0</v>
      </c>
      <c r="N167" s="61" t="n">
        <v>0</v>
      </c>
      <c r="O167" s="61" t="n">
        <v>0</v>
      </c>
      <c r="P167" s="62" t="n">
        <v>695.7</v>
      </c>
      <c r="Q167" s="0" t="n">
        <v>0</v>
      </c>
      <c r="R167" s="60" t="n">
        <f aca="false">G167+H167+I167</f>
        <v>99.82</v>
      </c>
      <c r="S167" s="60" t="n">
        <f aca="false">K167+L167+M167+N167+O167</f>
        <v>1.92</v>
      </c>
      <c r="T167" s="60" t="n">
        <f aca="false">L167+M167</f>
        <v>1.22</v>
      </c>
      <c r="U167" s="60" t="n">
        <f aca="false">S167+J167</f>
        <v>1.92</v>
      </c>
      <c r="V167" s="63" t="n">
        <f aca="false">IFERROR(S167/F167,0)</f>
        <v>0.0188716335757814</v>
      </c>
      <c r="W167" s="63" t="n">
        <f aca="false">IFERROR(R167/F167,0)</f>
        <v>0.981128366424219</v>
      </c>
      <c r="X167" s="63" t="n">
        <f aca="false">IFERROR(T167/F167,0)</f>
        <v>0.0119913505012778</v>
      </c>
      <c r="Y167" s="63" t="n">
        <f aca="false">IFERROR(G167/F167,0)</f>
        <v>0.199429919402398</v>
      </c>
      <c r="Z167" s="59" t="n">
        <f aca="false">IF(E167&gt;0,F167*1000000000/E167,"")</f>
        <v>586.186984798306</v>
      </c>
      <c r="AA167" s="63" t="n">
        <f aca="false">IFERROR((R167+S167+J167)/F167,0)</f>
        <v>1</v>
      </c>
      <c r="AB167" s="0" t="str">
        <f aca="false">A167&amp;"|"&amp;D167</f>
        <v>Bangladesh|2024</v>
      </c>
    </row>
    <row r="168" customFormat="false" ht="15" hidden="false" customHeight="false" outlineLevel="0" collapsed="false">
      <c r="A168" s="0" t="s">
        <v>195</v>
      </c>
      <c r="B168" s="0" t="s">
        <v>433</v>
      </c>
      <c r="C168" s="0" t="s">
        <v>127</v>
      </c>
      <c r="D168" s="0" t="n">
        <v>2025</v>
      </c>
      <c r="E168" s="59" t="n">
        <v>175686904</v>
      </c>
      <c r="F168" s="60" t="n">
        <v>103.4</v>
      </c>
      <c r="G168" s="61" t="n">
        <v>22.24</v>
      </c>
      <c r="H168" s="61" t="n">
        <v>66.48</v>
      </c>
      <c r="I168" s="61" t="n">
        <v>12.47</v>
      </c>
      <c r="J168" s="61" t="n">
        <v>0</v>
      </c>
      <c r="K168" s="61" t="n">
        <v>0.65</v>
      </c>
      <c r="L168" s="61" t="n">
        <v>1.56</v>
      </c>
      <c r="M168" s="61" t="n">
        <v>0</v>
      </c>
      <c r="N168" s="61" t="n">
        <v>0</v>
      </c>
      <c r="O168" s="61" t="n">
        <v>0</v>
      </c>
      <c r="P168" s="62" t="n">
        <v>696.1</v>
      </c>
      <c r="Q168" s="0" t="n">
        <v>0</v>
      </c>
      <c r="R168" s="60" t="n">
        <f aca="false">G168+H168+I168</f>
        <v>101.19</v>
      </c>
      <c r="S168" s="60" t="n">
        <f aca="false">K168+L168+M168+N168+O168</f>
        <v>2.21</v>
      </c>
      <c r="T168" s="60" t="n">
        <f aca="false">L168+M168</f>
        <v>1.56</v>
      </c>
      <c r="U168" s="60" t="n">
        <f aca="false">S168+J168</f>
        <v>2.21</v>
      </c>
      <c r="V168" s="63" t="n">
        <f aca="false">IFERROR(S168/F168,0)</f>
        <v>0.0213733075435203</v>
      </c>
      <c r="W168" s="63" t="n">
        <f aca="false">IFERROR(R168/F168,0)</f>
        <v>0.97862669245648</v>
      </c>
      <c r="X168" s="63" t="n">
        <f aca="false">IFERROR(T168/F168,0)</f>
        <v>0.0150870406189555</v>
      </c>
      <c r="Y168" s="63" t="n">
        <f aca="false">IFERROR(G168/F168,0)</f>
        <v>0.215087040618955</v>
      </c>
      <c r="Z168" s="59" t="n">
        <f aca="false">IF(E168&gt;0,F168*1000000000/E168,"")</f>
        <v>588.546998357943</v>
      </c>
      <c r="AA168" s="63" t="n">
        <f aca="false">IFERROR((R168+S168+J168)/F168,0)</f>
        <v>1</v>
      </c>
      <c r="AB168" s="0" t="str">
        <f aca="false">A168&amp;"|"&amp;D168</f>
        <v>Bangladesh|2025</v>
      </c>
    </row>
    <row r="169" customFormat="false" ht="15" hidden="false" customHeight="false" outlineLevel="0" collapsed="false">
      <c r="A169" s="0" t="s">
        <v>196</v>
      </c>
      <c r="B169" s="0" t="s">
        <v>434</v>
      </c>
      <c r="C169" s="0" t="s">
        <v>127</v>
      </c>
      <c r="D169" s="0" t="n">
        <v>2015</v>
      </c>
      <c r="E169" s="59" t="n">
        <v>278999</v>
      </c>
      <c r="F169" s="60" t="n">
        <v>1.04</v>
      </c>
      <c r="G169" s="61" t="n">
        <v>0</v>
      </c>
      <c r="H169" s="61" t="n">
        <v>0.02</v>
      </c>
      <c r="I169" s="61" t="n">
        <v>1.01</v>
      </c>
      <c r="J169" s="61" t="n">
        <v>0</v>
      </c>
      <c r="K169" s="61" t="n">
        <v>0</v>
      </c>
      <c r="L169" s="61" t="n">
        <v>0.01</v>
      </c>
      <c r="M169" s="61" t="n">
        <v>0</v>
      </c>
      <c r="N169" s="61" t="n">
        <v>0</v>
      </c>
      <c r="O169" s="61" t="n">
        <v>0</v>
      </c>
      <c r="P169" s="62" t="n">
        <v>644.2</v>
      </c>
      <c r="Q169" s="0" t="n">
        <v>0</v>
      </c>
      <c r="R169" s="60" t="n">
        <f aca="false">G169+H169+I169</f>
        <v>1.03</v>
      </c>
      <c r="S169" s="60" t="n">
        <f aca="false">K169+L169+M169+N169+O169</f>
        <v>0.01</v>
      </c>
      <c r="T169" s="60" t="n">
        <f aca="false">L169+M169</f>
        <v>0.01</v>
      </c>
      <c r="U169" s="60" t="n">
        <f aca="false">S169+J169</f>
        <v>0.01</v>
      </c>
      <c r="V169" s="63" t="n">
        <f aca="false">IFERROR(S169/F169,0)</f>
        <v>0.00961538461538462</v>
      </c>
      <c r="W169" s="63" t="n">
        <f aca="false">IFERROR(R169/F169,0)</f>
        <v>0.990384615384615</v>
      </c>
      <c r="X169" s="63" t="n">
        <f aca="false">IFERROR(T169/F169,0)</f>
        <v>0.00961538461538462</v>
      </c>
      <c r="Y169" s="63" t="n">
        <f aca="false">IFERROR(G169/F169,0)</f>
        <v>0</v>
      </c>
      <c r="Z169" s="59" t="n">
        <f aca="false">IF(E169&gt;0,F169*1000000000/E169,"")</f>
        <v>3727.61192692447</v>
      </c>
      <c r="AA169" s="63" t="n">
        <f aca="false">IFERROR((R169+S169+J169)/F169,0)</f>
        <v>1</v>
      </c>
      <c r="AB169" s="0" t="str">
        <f aca="false">A169&amp;"|"&amp;D169</f>
        <v>Barbados|2015</v>
      </c>
    </row>
    <row r="170" customFormat="false" ht="15" hidden="false" customHeight="false" outlineLevel="0" collapsed="false">
      <c r="A170" s="0" t="s">
        <v>196</v>
      </c>
      <c r="B170" s="0" t="s">
        <v>434</v>
      </c>
      <c r="C170" s="0" t="s">
        <v>127</v>
      </c>
      <c r="D170" s="0" t="n">
        <v>2016</v>
      </c>
      <c r="E170" s="59" t="n">
        <v>279604</v>
      </c>
      <c r="F170" s="60" t="n">
        <v>1.05</v>
      </c>
      <c r="G170" s="61" t="n">
        <v>0</v>
      </c>
      <c r="H170" s="61" t="n">
        <v>0.02</v>
      </c>
      <c r="I170" s="61" t="n">
        <v>1.01</v>
      </c>
      <c r="J170" s="61" t="n">
        <v>0</v>
      </c>
      <c r="K170" s="61" t="n">
        <v>0</v>
      </c>
      <c r="L170" s="61" t="n">
        <v>0.02</v>
      </c>
      <c r="M170" s="61" t="n">
        <v>0</v>
      </c>
      <c r="N170" s="61" t="n">
        <v>0</v>
      </c>
      <c r="O170" s="61" t="n">
        <v>0</v>
      </c>
      <c r="P170" s="62" t="n">
        <v>638.1</v>
      </c>
      <c r="Q170" s="0" t="n">
        <v>0</v>
      </c>
      <c r="R170" s="60" t="n">
        <f aca="false">G170+H170+I170</f>
        <v>1.03</v>
      </c>
      <c r="S170" s="60" t="n">
        <f aca="false">K170+L170+M170+N170+O170</f>
        <v>0.02</v>
      </c>
      <c r="T170" s="60" t="n">
        <f aca="false">L170+M170</f>
        <v>0.02</v>
      </c>
      <c r="U170" s="60" t="n">
        <f aca="false">S170+J170</f>
        <v>0.02</v>
      </c>
      <c r="V170" s="63" t="n">
        <f aca="false">IFERROR(S170/F170,0)</f>
        <v>0.019047619047619</v>
      </c>
      <c r="W170" s="63" t="n">
        <f aca="false">IFERROR(R170/F170,0)</f>
        <v>0.980952380952381</v>
      </c>
      <c r="X170" s="63" t="n">
        <f aca="false">IFERROR(T170/F170,0)</f>
        <v>0.019047619047619</v>
      </c>
      <c r="Y170" s="63" t="n">
        <f aca="false">IFERROR(G170/F170,0)</f>
        <v>0</v>
      </c>
      <c r="Z170" s="59" t="n">
        <f aca="false">IF(E170&gt;0,F170*1000000000/E170,"")</f>
        <v>3755.31108281713</v>
      </c>
      <c r="AA170" s="63" t="n">
        <f aca="false">IFERROR((R170+S170+J170)/F170,0)</f>
        <v>1</v>
      </c>
      <c r="AB170" s="0" t="str">
        <f aca="false">A170&amp;"|"&amp;D170</f>
        <v>Barbados|2016</v>
      </c>
    </row>
    <row r="171" customFormat="false" ht="15" hidden="false" customHeight="false" outlineLevel="0" collapsed="false">
      <c r="A171" s="0" t="s">
        <v>196</v>
      </c>
      <c r="B171" s="0" t="s">
        <v>434</v>
      </c>
      <c r="C171" s="0" t="s">
        <v>127</v>
      </c>
      <c r="D171" s="0" t="n">
        <v>2017</v>
      </c>
      <c r="E171" s="59" t="n">
        <v>280177</v>
      </c>
      <c r="F171" s="60" t="n">
        <v>1.04</v>
      </c>
      <c r="G171" s="61" t="n">
        <v>0</v>
      </c>
      <c r="H171" s="61" t="n">
        <v>0.03</v>
      </c>
      <c r="I171" s="61" t="n">
        <v>0.98</v>
      </c>
      <c r="J171" s="61" t="n">
        <v>0</v>
      </c>
      <c r="K171" s="61" t="n">
        <v>0</v>
      </c>
      <c r="L171" s="61" t="n">
        <v>0.03</v>
      </c>
      <c r="M171" s="61" t="n">
        <v>0</v>
      </c>
      <c r="N171" s="61" t="n">
        <v>0</v>
      </c>
      <c r="O171" s="61" t="n">
        <v>0</v>
      </c>
      <c r="P171" s="62" t="n">
        <v>634.6</v>
      </c>
      <c r="Q171" s="0" t="n">
        <v>0</v>
      </c>
      <c r="R171" s="60" t="n">
        <f aca="false">G171+H171+I171</f>
        <v>1.01</v>
      </c>
      <c r="S171" s="60" t="n">
        <f aca="false">K171+L171+M171+N171+O171</f>
        <v>0.03</v>
      </c>
      <c r="T171" s="60" t="n">
        <f aca="false">L171+M171</f>
        <v>0.03</v>
      </c>
      <c r="U171" s="60" t="n">
        <f aca="false">S171+J171</f>
        <v>0.03</v>
      </c>
      <c r="V171" s="63" t="n">
        <f aca="false">IFERROR(S171/F171,0)</f>
        <v>0.0288461538461538</v>
      </c>
      <c r="W171" s="63" t="n">
        <f aca="false">IFERROR(R171/F171,0)</f>
        <v>0.971153846153846</v>
      </c>
      <c r="X171" s="63" t="n">
        <f aca="false">IFERROR(T171/F171,0)</f>
        <v>0.0288461538461538</v>
      </c>
      <c r="Y171" s="63" t="n">
        <f aca="false">IFERROR(G171/F171,0)</f>
        <v>0</v>
      </c>
      <c r="Z171" s="59" t="n">
        <f aca="false">IF(E171&gt;0,F171*1000000000/E171,"")</f>
        <v>3711.93923841001</v>
      </c>
      <c r="AA171" s="63" t="n">
        <f aca="false">IFERROR((R171+S171+J171)/F171,0)</f>
        <v>1</v>
      </c>
      <c r="AB171" s="0" t="str">
        <f aca="false">A171&amp;"|"&amp;D171</f>
        <v>Barbados|2017</v>
      </c>
    </row>
    <row r="172" customFormat="false" ht="15" hidden="false" customHeight="false" outlineLevel="0" collapsed="false">
      <c r="A172" s="0" t="s">
        <v>196</v>
      </c>
      <c r="B172" s="0" t="s">
        <v>434</v>
      </c>
      <c r="C172" s="0" t="s">
        <v>127</v>
      </c>
      <c r="D172" s="0" t="n">
        <v>2018</v>
      </c>
      <c r="E172" s="59" t="n">
        <v>280719</v>
      </c>
      <c r="F172" s="60" t="n">
        <v>1.04</v>
      </c>
      <c r="G172" s="61" t="n">
        <v>0</v>
      </c>
      <c r="H172" s="61" t="n">
        <v>0.03</v>
      </c>
      <c r="I172" s="61" t="n">
        <v>0.98</v>
      </c>
      <c r="J172" s="61" t="n">
        <v>0</v>
      </c>
      <c r="K172" s="61" t="n">
        <v>0</v>
      </c>
      <c r="L172" s="61" t="n">
        <v>0.03</v>
      </c>
      <c r="M172" s="61" t="n">
        <v>0</v>
      </c>
      <c r="N172" s="61" t="n">
        <v>0</v>
      </c>
      <c r="O172" s="61" t="n">
        <v>0</v>
      </c>
      <c r="P172" s="62" t="n">
        <v>634.6</v>
      </c>
      <c r="Q172" s="0" t="n">
        <v>0</v>
      </c>
      <c r="R172" s="60" t="n">
        <f aca="false">G172+H172+I172</f>
        <v>1.01</v>
      </c>
      <c r="S172" s="60" t="n">
        <f aca="false">K172+L172+M172+N172+O172</f>
        <v>0.03</v>
      </c>
      <c r="T172" s="60" t="n">
        <f aca="false">L172+M172</f>
        <v>0.03</v>
      </c>
      <c r="U172" s="60" t="n">
        <f aca="false">S172+J172</f>
        <v>0.03</v>
      </c>
      <c r="V172" s="63" t="n">
        <f aca="false">IFERROR(S172/F172,0)</f>
        <v>0.0288461538461538</v>
      </c>
      <c r="W172" s="63" t="n">
        <f aca="false">IFERROR(R172/F172,0)</f>
        <v>0.971153846153846</v>
      </c>
      <c r="X172" s="63" t="n">
        <f aca="false">IFERROR(T172/F172,0)</f>
        <v>0.0288461538461538</v>
      </c>
      <c r="Y172" s="63" t="n">
        <f aca="false">IFERROR(G172/F172,0)</f>
        <v>0</v>
      </c>
      <c r="Z172" s="59" t="n">
        <f aca="false">IF(E172&gt;0,F172*1000000000/E172,"")</f>
        <v>3704.77238804641</v>
      </c>
      <c r="AA172" s="63" t="n">
        <f aca="false">IFERROR((R172+S172+J172)/F172,0)</f>
        <v>1</v>
      </c>
      <c r="AB172" s="0" t="str">
        <f aca="false">A172&amp;"|"&amp;D172</f>
        <v>Barbados|2018</v>
      </c>
    </row>
    <row r="173" customFormat="false" ht="15" hidden="false" customHeight="false" outlineLevel="0" collapsed="false">
      <c r="A173" s="0" t="s">
        <v>196</v>
      </c>
      <c r="B173" s="0" t="s">
        <v>434</v>
      </c>
      <c r="C173" s="0" t="s">
        <v>127</v>
      </c>
      <c r="D173" s="0" t="n">
        <v>2019</v>
      </c>
      <c r="E173" s="59" t="n">
        <v>281216</v>
      </c>
      <c r="F173" s="60" t="n">
        <v>1.06</v>
      </c>
      <c r="G173" s="61" t="n">
        <v>0</v>
      </c>
      <c r="H173" s="61" t="n">
        <v>0.03</v>
      </c>
      <c r="I173" s="61" t="n">
        <v>0.99</v>
      </c>
      <c r="J173" s="61" t="n">
        <v>0</v>
      </c>
      <c r="K173" s="61" t="n">
        <v>0</v>
      </c>
      <c r="L173" s="61" t="n">
        <v>0.04</v>
      </c>
      <c r="M173" s="61" t="n">
        <v>0</v>
      </c>
      <c r="N173" s="61" t="n">
        <v>0</v>
      </c>
      <c r="O173" s="61" t="n">
        <v>0</v>
      </c>
      <c r="P173" s="62" t="n">
        <v>632.1</v>
      </c>
      <c r="Q173" s="0" t="n">
        <v>0</v>
      </c>
      <c r="R173" s="60" t="n">
        <f aca="false">G173+H173+I173</f>
        <v>1.02</v>
      </c>
      <c r="S173" s="60" t="n">
        <f aca="false">K173+L173+M173+N173+O173</f>
        <v>0.04</v>
      </c>
      <c r="T173" s="60" t="n">
        <f aca="false">L173+M173</f>
        <v>0.04</v>
      </c>
      <c r="U173" s="60" t="n">
        <f aca="false">S173+J173</f>
        <v>0.04</v>
      </c>
      <c r="V173" s="63" t="n">
        <f aca="false">IFERROR(S173/F173,0)</f>
        <v>0.0377358490566038</v>
      </c>
      <c r="W173" s="63" t="n">
        <f aca="false">IFERROR(R173/F173,0)</f>
        <v>0.962264150943396</v>
      </c>
      <c r="X173" s="63" t="n">
        <f aca="false">IFERROR(T173/F173,0)</f>
        <v>0.0377358490566038</v>
      </c>
      <c r="Y173" s="63" t="n">
        <f aca="false">IFERROR(G173/F173,0)</f>
        <v>0</v>
      </c>
      <c r="Z173" s="59" t="n">
        <f aca="false">IF(E173&gt;0,F173*1000000000/E173,"")</f>
        <v>3769.34456076468</v>
      </c>
      <c r="AA173" s="63" t="n">
        <f aca="false">IFERROR((R173+S173+J173)/F173,0)</f>
        <v>1</v>
      </c>
      <c r="AB173" s="0" t="str">
        <f aca="false">A173&amp;"|"&amp;D173</f>
        <v>Barbados|2019</v>
      </c>
    </row>
    <row r="174" customFormat="false" ht="15" hidden="false" customHeight="false" outlineLevel="0" collapsed="false">
      <c r="A174" s="0" t="s">
        <v>196</v>
      </c>
      <c r="B174" s="0" t="s">
        <v>434</v>
      </c>
      <c r="C174" s="0" t="s">
        <v>127</v>
      </c>
      <c r="D174" s="0" t="n">
        <v>2020</v>
      </c>
      <c r="E174" s="59" t="n">
        <v>281706</v>
      </c>
      <c r="F174" s="60" t="n">
        <v>1.06</v>
      </c>
      <c r="G174" s="61" t="n">
        <v>0</v>
      </c>
      <c r="H174" s="61" t="n">
        <v>0.02</v>
      </c>
      <c r="I174" s="61" t="n">
        <v>0.97</v>
      </c>
      <c r="J174" s="61" t="n">
        <v>0</v>
      </c>
      <c r="K174" s="61" t="n">
        <v>0</v>
      </c>
      <c r="L174" s="61" t="n">
        <v>0.07</v>
      </c>
      <c r="M174" s="61" t="n">
        <v>0</v>
      </c>
      <c r="N174" s="61" t="n">
        <v>0</v>
      </c>
      <c r="O174" s="61" t="n">
        <v>0</v>
      </c>
      <c r="P174" s="62" t="n">
        <v>613.2</v>
      </c>
      <c r="Q174" s="0" t="n">
        <v>0</v>
      </c>
      <c r="R174" s="60" t="n">
        <f aca="false">G174+H174+I174</f>
        <v>0.99</v>
      </c>
      <c r="S174" s="60" t="n">
        <f aca="false">K174+L174+M174+N174+O174</f>
        <v>0.07</v>
      </c>
      <c r="T174" s="60" t="n">
        <f aca="false">L174+M174</f>
        <v>0.07</v>
      </c>
      <c r="U174" s="60" t="n">
        <f aca="false">S174+J174</f>
        <v>0.07</v>
      </c>
      <c r="V174" s="63" t="n">
        <f aca="false">IFERROR(S174/F174,0)</f>
        <v>0.0660377358490566</v>
      </c>
      <c r="W174" s="63" t="n">
        <f aca="false">IFERROR(R174/F174,0)</f>
        <v>0.933962264150943</v>
      </c>
      <c r="X174" s="63" t="n">
        <f aca="false">IFERROR(T174/F174,0)</f>
        <v>0.0660377358490566</v>
      </c>
      <c r="Y174" s="63" t="n">
        <f aca="false">IFERROR(G174/F174,0)</f>
        <v>0</v>
      </c>
      <c r="Z174" s="59" t="n">
        <f aca="false">IF(E174&gt;0,F174*1000000000/E174,"")</f>
        <v>3762.78815502687</v>
      </c>
      <c r="AA174" s="63" t="n">
        <f aca="false">IFERROR((R174+S174+J174)/F174,0)</f>
        <v>1</v>
      </c>
      <c r="AB174" s="0" t="str">
        <f aca="false">A174&amp;"|"&amp;D174</f>
        <v>Barbados|2020</v>
      </c>
    </row>
    <row r="175" customFormat="false" ht="15" hidden="false" customHeight="false" outlineLevel="0" collapsed="false">
      <c r="A175" s="0" t="s">
        <v>196</v>
      </c>
      <c r="B175" s="0" t="s">
        <v>434</v>
      </c>
      <c r="C175" s="0" t="s">
        <v>127</v>
      </c>
      <c r="D175" s="0" t="n">
        <v>2021</v>
      </c>
      <c r="E175" s="59" t="n">
        <v>282157</v>
      </c>
      <c r="F175" s="60" t="n">
        <v>1.06</v>
      </c>
      <c r="G175" s="61" t="n">
        <v>0</v>
      </c>
      <c r="H175" s="61" t="n">
        <v>0.02</v>
      </c>
      <c r="I175" s="61" t="n">
        <v>0.96</v>
      </c>
      <c r="J175" s="61" t="n">
        <v>0</v>
      </c>
      <c r="K175" s="61" t="n">
        <v>0</v>
      </c>
      <c r="L175" s="61" t="n">
        <v>0.08</v>
      </c>
      <c r="M175" s="61" t="n">
        <v>0</v>
      </c>
      <c r="N175" s="61" t="n">
        <v>0</v>
      </c>
      <c r="O175" s="61" t="n">
        <v>0</v>
      </c>
      <c r="P175" s="62" t="n">
        <v>603.8</v>
      </c>
      <c r="Q175" s="0" t="n">
        <v>0</v>
      </c>
      <c r="R175" s="60" t="n">
        <f aca="false">G175+H175+I175</f>
        <v>0.98</v>
      </c>
      <c r="S175" s="60" t="n">
        <f aca="false">K175+L175+M175+N175+O175</f>
        <v>0.08</v>
      </c>
      <c r="T175" s="60" t="n">
        <f aca="false">L175+M175</f>
        <v>0.08</v>
      </c>
      <c r="U175" s="60" t="n">
        <f aca="false">S175+J175</f>
        <v>0.08</v>
      </c>
      <c r="V175" s="63" t="n">
        <f aca="false">IFERROR(S175/F175,0)</f>
        <v>0.0754716981132075</v>
      </c>
      <c r="W175" s="63" t="n">
        <f aca="false">IFERROR(R175/F175,0)</f>
        <v>0.924528301886792</v>
      </c>
      <c r="X175" s="63" t="n">
        <f aca="false">IFERROR(T175/F175,0)</f>
        <v>0.0754716981132075</v>
      </c>
      <c r="Y175" s="63" t="n">
        <f aca="false">IFERROR(G175/F175,0)</f>
        <v>0</v>
      </c>
      <c r="Z175" s="59" t="n">
        <f aca="false">IF(E175&gt;0,F175*1000000000/E175,"")</f>
        <v>3756.77371108993</v>
      </c>
      <c r="AA175" s="63" t="n">
        <f aca="false">IFERROR((R175+S175+J175)/F175,0)</f>
        <v>1</v>
      </c>
      <c r="AB175" s="0" t="str">
        <f aca="false">A175&amp;"|"&amp;D175</f>
        <v>Barbados|2021</v>
      </c>
    </row>
    <row r="176" customFormat="false" ht="15" hidden="false" customHeight="false" outlineLevel="0" collapsed="false">
      <c r="A176" s="0" t="s">
        <v>196</v>
      </c>
      <c r="B176" s="0" t="s">
        <v>434</v>
      </c>
      <c r="C176" s="0" t="s">
        <v>127</v>
      </c>
      <c r="D176" s="0" t="n">
        <v>2022</v>
      </c>
      <c r="E176" s="59" t="n">
        <v>282324</v>
      </c>
      <c r="F176" s="60" t="n">
        <v>1.09</v>
      </c>
      <c r="G176" s="61" t="n">
        <v>0</v>
      </c>
      <c r="H176" s="61" t="n">
        <v>0.03</v>
      </c>
      <c r="I176" s="61" t="n">
        <v>0.98</v>
      </c>
      <c r="J176" s="61" t="n">
        <v>0</v>
      </c>
      <c r="K176" s="61" t="n">
        <v>0</v>
      </c>
      <c r="L176" s="61" t="n">
        <v>0.08</v>
      </c>
      <c r="M176" s="61" t="n">
        <v>0</v>
      </c>
      <c r="N176" s="61" t="n">
        <v>0</v>
      </c>
      <c r="O176" s="61" t="n">
        <v>0</v>
      </c>
      <c r="P176" s="62" t="n">
        <v>605.5</v>
      </c>
      <c r="Q176" s="0" t="n">
        <v>0</v>
      </c>
      <c r="R176" s="60" t="n">
        <f aca="false">G176+H176+I176</f>
        <v>1.01</v>
      </c>
      <c r="S176" s="60" t="n">
        <f aca="false">K176+L176+M176+N176+O176</f>
        <v>0.08</v>
      </c>
      <c r="T176" s="60" t="n">
        <f aca="false">L176+M176</f>
        <v>0.08</v>
      </c>
      <c r="U176" s="60" t="n">
        <f aca="false">S176+J176</f>
        <v>0.08</v>
      </c>
      <c r="V176" s="63" t="n">
        <f aca="false">IFERROR(S176/F176,0)</f>
        <v>0.073394495412844</v>
      </c>
      <c r="W176" s="63" t="n">
        <f aca="false">IFERROR(R176/F176,0)</f>
        <v>0.926605504587156</v>
      </c>
      <c r="X176" s="63" t="n">
        <f aca="false">IFERROR(T176/F176,0)</f>
        <v>0.073394495412844</v>
      </c>
      <c r="Y176" s="63" t="n">
        <f aca="false">IFERROR(G176/F176,0)</f>
        <v>0</v>
      </c>
      <c r="Z176" s="59" t="n">
        <f aca="false">IF(E176&gt;0,F176*1000000000/E176,"")</f>
        <v>3860.81239993766</v>
      </c>
      <c r="AA176" s="63" t="n">
        <f aca="false">IFERROR((R176+S176+J176)/F176,0)</f>
        <v>1</v>
      </c>
      <c r="AB176" s="0" t="str">
        <f aca="false">A176&amp;"|"&amp;D176</f>
        <v>Barbados|2022</v>
      </c>
    </row>
    <row r="177" customFormat="false" ht="15" hidden="false" customHeight="false" outlineLevel="0" collapsed="false">
      <c r="A177" s="0" t="s">
        <v>196</v>
      </c>
      <c r="B177" s="0" t="s">
        <v>434</v>
      </c>
      <c r="C177" s="0" t="s">
        <v>127</v>
      </c>
      <c r="D177" s="0" t="n">
        <v>2023</v>
      </c>
      <c r="E177" s="59" t="n">
        <v>282347</v>
      </c>
      <c r="F177" s="60" t="n">
        <v>1.1</v>
      </c>
      <c r="G177" s="61" t="n">
        <v>0</v>
      </c>
      <c r="H177" s="61" t="n">
        <v>0.03</v>
      </c>
      <c r="I177" s="61" t="n">
        <v>0.98</v>
      </c>
      <c r="J177" s="61" t="n">
        <v>0</v>
      </c>
      <c r="K177" s="61" t="n">
        <v>0</v>
      </c>
      <c r="L177" s="61" t="n">
        <v>0.09</v>
      </c>
      <c r="M177" s="61" t="n">
        <v>0</v>
      </c>
      <c r="N177" s="61" t="n">
        <v>0</v>
      </c>
      <c r="O177" s="61" t="n">
        <v>0</v>
      </c>
      <c r="P177" s="62" t="n">
        <v>600</v>
      </c>
      <c r="Q177" s="0" t="n">
        <v>0</v>
      </c>
      <c r="R177" s="60" t="n">
        <f aca="false">G177+H177+I177</f>
        <v>1.01</v>
      </c>
      <c r="S177" s="60" t="n">
        <f aca="false">K177+L177+M177+N177+O177</f>
        <v>0.09</v>
      </c>
      <c r="T177" s="60" t="n">
        <f aca="false">L177+M177</f>
        <v>0.09</v>
      </c>
      <c r="U177" s="60" t="n">
        <f aca="false">S177+J177</f>
        <v>0.09</v>
      </c>
      <c r="V177" s="63" t="n">
        <f aca="false">IFERROR(S177/F177,0)</f>
        <v>0.0818181818181818</v>
      </c>
      <c r="W177" s="63" t="n">
        <f aca="false">IFERROR(R177/F177,0)</f>
        <v>0.918181818181818</v>
      </c>
      <c r="X177" s="63" t="n">
        <f aca="false">IFERROR(T177/F177,0)</f>
        <v>0.0818181818181818</v>
      </c>
      <c r="Y177" s="63" t="n">
        <f aca="false">IFERROR(G177/F177,0)</f>
        <v>0</v>
      </c>
      <c r="Z177" s="59" t="n">
        <f aca="false">IF(E177&gt;0,F177*1000000000/E177,"")</f>
        <v>3895.91530988465</v>
      </c>
      <c r="AA177" s="63" t="n">
        <f aca="false">IFERROR((R177+S177+J177)/F177,0)</f>
        <v>1</v>
      </c>
      <c r="AB177" s="0" t="str">
        <f aca="false">A177&amp;"|"&amp;D177</f>
        <v>Barbados|2023</v>
      </c>
    </row>
    <row r="178" customFormat="false" ht="15" hidden="false" customHeight="false" outlineLevel="0" collapsed="false">
      <c r="A178" s="0" t="s">
        <v>196</v>
      </c>
      <c r="B178" s="0" t="s">
        <v>434</v>
      </c>
      <c r="C178" s="0" t="s">
        <v>127</v>
      </c>
      <c r="D178" s="0" t="n">
        <v>2024</v>
      </c>
      <c r="E178" s="59" t="n">
        <v>282476</v>
      </c>
      <c r="F178" s="60" t="n">
        <v>1.11</v>
      </c>
      <c r="G178" s="61" t="n">
        <v>0</v>
      </c>
      <c r="H178" s="61" t="n">
        <v>0.03</v>
      </c>
      <c r="I178" s="61" t="n">
        <v>0.98</v>
      </c>
      <c r="J178" s="61" t="n">
        <v>0</v>
      </c>
      <c r="K178" s="61" t="n">
        <v>0</v>
      </c>
      <c r="L178" s="61" t="n">
        <v>0.1</v>
      </c>
      <c r="M178" s="61" t="n">
        <v>0</v>
      </c>
      <c r="N178" s="61" t="n">
        <v>0</v>
      </c>
      <c r="O178" s="61" t="n">
        <v>0</v>
      </c>
      <c r="P178" s="62" t="n">
        <v>594.6</v>
      </c>
      <c r="Q178" s="0" t="n">
        <v>0</v>
      </c>
      <c r="R178" s="60" t="n">
        <f aca="false">G178+H178+I178</f>
        <v>1.01</v>
      </c>
      <c r="S178" s="60" t="n">
        <f aca="false">K178+L178+M178+N178+O178</f>
        <v>0.1</v>
      </c>
      <c r="T178" s="60" t="n">
        <f aca="false">L178+M178</f>
        <v>0.1</v>
      </c>
      <c r="U178" s="60" t="n">
        <f aca="false">S178+J178</f>
        <v>0.1</v>
      </c>
      <c r="V178" s="63" t="n">
        <f aca="false">IFERROR(S178/F178,0)</f>
        <v>0.0900900900900901</v>
      </c>
      <c r="W178" s="63" t="n">
        <f aca="false">IFERROR(R178/F178,0)</f>
        <v>0.90990990990991</v>
      </c>
      <c r="X178" s="63" t="n">
        <f aca="false">IFERROR(T178/F178,0)</f>
        <v>0.0900900900900901</v>
      </c>
      <c r="Y178" s="63" t="n">
        <f aca="false">IFERROR(G178/F178,0)</f>
        <v>0</v>
      </c>
      <c r="Z178" s="59" t="n">
        <f aca="false">IF(E178&gt;0,F178*1000000000/E178,"")</f>
        <v>3929.53737662669</v>
      </c>
      <c r="AA178" s="63" t="n">
        <f aca="false">IFERROR((R178+S178+J178)/F178,0)</f>
        <v>1</v>
      </c>
      <c r="AB178" s="0" t="str">
        <f aca="false">A178&amp;"|"&amp;D178</f>
        <v>Barbados|2024</v>
      </c>
    </row>
    <row r="179" customFormat="false" ht="15" hidden="false" customHeight="false" outlineLevel="0" collapsed="false">
      <c r="A179" s="0" t="s">
        <v>197</v>
      </c>
      <c r="B179" s="0" t="s">
        <v>435</v>
      </c>
      <c r="C179" s="0" t="s">
        <v>127</v>
      </c>
      <c r="D179" s="0" t="n">
        <v>2015</v>
      </c>
      <c r="E179" s="59" t="n">
        <v>9487289</v>
      </c>
      <c r="F179" s="60" t="n">
        <v>34.09</v>
      </c>
      <c r="G179" s="61" t="n">
        <v>0.04</v>
      </c>
      <c r="H179" s="61" t="n">
        <v>33.35</v>
      </c>
      <c r="I179" s="61" t="n">
        <v>0.36</v>
      </c>
      <c r="J179" s="61" t="n">
        <v>0</v>
      </c>
      <c r="K179" s="61" t="n">
        <v>0.11</v>
      </c>
      <c r="L179" s="61" t="n">
        <v>0.01</v>
      </c>
      <c r="M179" s="61" t="n">
        <v>0.03</v>
      </c>
      <c r="N179" s="61" t="n">
        <v>0.19</v>
      </c>
      <c r="O179" s="61" t="n">
        <v>0</v>
      </c>
      <c r="P179" s="62" t="n">
        <v>506.9</v>
      </c>
      <c r="Q179" s="0" t="n">
        <v>0</v>
      </c>
      <c r="R179" s="60" t="n">
        <f aca="false">G179+H179+I179</f>
        <v>33.75</v>
      </c>
      <c r="S179" s="60" t="n">
        <f aca="false">K179+L179+M179+N179+O179</f>
        <v>0.34</v>
      </c>
      <c r="T179" s="60" t="n">
        <f aca="false">L179+M179</f>
        <v>0.04</v>
      </c>
      <c r="U179" s="60" t="n">
        <f aca="false">S179+J179</f>
        <v>0.34</v>
      </c>
      <c r="V179" s="63" t="n">
        <f aca="false">IFERROR(S179/F179,0)</f>
        <v>0.00997359929598122</v>
      </c>
      <c r="W179" s="63" t="n">
        <f aca="false">IFERROR(R179/F179,0)</f>
        <v>0.990026400704019</v>
      </c>
      <c r="X179" s="63" t="n">
        <f aca="false">IFERROR(T179/F179,0)</f>
        <v>0.00117336462305661</v>
      </c>
      <c r="Y179" s="63" t="n">
        <f aca="false">IFERROR(G179/F179,0)</f>
        <v>0.00117336462305661</v>
      </c>
      <c r="Z179" s="59" t="n">
        <f aca="false">IF(E179&gt;0,F179*1000000000/E179,"")</f>
        <v>3593.22879275629</v>
      </c>
      <c r="AA179" s="63" t="n">
        <f aca="false">IFERROR((R179+S179+J179)/F179,0)</f>
        <v>1</v>
      </c>
      <c r="AB179" s="0" t="str">
        <f aca="false">A179&amp;"|"&amp;D179</f>
        <v>Belarus|2015</v>
      </c>
    </row>
    <row r="180" customFormat="false" ht="15" hidden="false" customHeight="false" outlineLevel="0" collapsed="false">
      <c r="A180" s="0" t="s">
        <v>197</v>
      </c>
      <c r="B180" s="0" t="s">
        <v>435</v>
      </c>
      <c r="C180" s="0" t="s">
        <v>127</v>
      </c>
      <c r="D180" s="0" t="n">
        <v>2016</v>
      </c>
      <c r="E180" s="59" t="n">
        <v>9499066</v>
      </c>
      <c r="F180" s="60" t="n">
        <v>33.57</v>
      </c>
      <c r="G180" s="61" t="n">
        <v>0.03</v>
      </c>
      <c r="H180" s="61" t="n">
        <v>32.53</v>
      </c>
      <c r="I180" s="61" t="n">
        <v>0.58</v>
      </c>
      <c r="J180" s="61" t="n">
        <v>0</v>
      </c>
      <c r="K180" s="61" t="n">
        <v>0.14</v>
      </c>
      <c r="L180" s="61" t="n">
        <v>0.03</v>
      </c>
      <c r="M180" s="61" t="n">
        <v>0.08</v>
      </c>
      <c r="N180" s="61" t="n">
        <v>0.18</v>
      </c>
      <c r="O180" s="61" t="n">
        <v>0</v>
      </c>
      <c r="P180" s="62" t="n">
        <v>506.1</v>
      </c>
      <c r="Q180" s="0" t="n">
        <v>0</v>
      </c>
      <c r="R180" s="60" t="n">
        <f aca="false">G180+H180+I180</f>
        <v>33.14</v>
      </c>
      <c r="S180" s="60" t="n">
        <f aca="false">K180+L180+M180+N180+O180</f>
        <v>0.43</v>
      </c>
      <c r="T180" s="60" t="n">
        <f aca="false">L180+M180</f>
        <v>0.11</v>
      </c>
      <c r="U180" s="60" t="n">
        <f aca="false">S180+J180</f>
        <v>0.43</v>
      </c>
      <c r="V180" s="63" t="n">
        <f aca="false">IFERROR(S180/F180,0)</f>
        <v>0.0128090557044981</v>
      </c>
      <c r="W180" s="63" t="n">
        <f aca="false">IFERROR(R180/F180,0)</f>
        <v>0.987190944295502</v>
      </c>
      <c r="X180" s="63" t="n">
        <f aca="false">IFERROR(T180/F180,0)</f>
        <v>0.00327673518022043</v>
      </c>
      <c r="Y180" s="63" t="n">
        <f aca="false">IFERROR(G180/F180,0)</f>
        <v>0.000893655049151028</v>
      </c>
      <c r="Z180" s="59" t="n">
        <f aca="false">IF(E180&gt;0,F180*1000000000/E180,"")</f>
        <v>3534.03166163915</v>
      </c>
      <c r="AA180" s="63" t="n">
        <f aca="false">IFERROR((R180+S180+J180)/F180,0)</f>
        <v>1</v>
      </c>
      <c r="AB180" s="0" t="str">
        <f aca="false">A180&amp;"|"&amp;D180</f>
        <v>Belarus|2016</v>
      </c>
    </row>
    <row r="181" customFormat="false" ht="15" hidden="false" customHeight="false" outlineLevel="0" collapsed="false">
      <c r="A181" s="0" t="s">
        <v>197</v>
      </c>
      <c r="B181" s="0" t="s">
        <v>435</v>
      </c>
      <c r="C181" s="0" t="s">
        <v>127</v>
      </c>
      <c r="D181" s="0" t="n">
        <v>2017</v>
      </c>
      <c r="E181" s="59" t="n">
        <v>9495793</v>
      </c>
      <c r="F181" s="60" t="n">
        <v>34.51</v>
      </c>
      <c r="G181" s="61" t="n">
        <v>0.03</v>
      </c>
      <c r="H181" s="61" t="n">
        <v>33.51</v>
      </c>
      <c r="I181" s="61" t="n">
        <v>0.19</v>
      </c>
      <c r="J181" s="61" t="n">
        <v>0</v>
      </c>
      <c r="K181" s="61" t="n">
        <v>0.4</v>
      </c>
      <c r="L181" s="61" t="n">
        <v>0.09</v>
      </c>
      <c r="M181" s="61" t="n">
        <v>0.1</v>
      </c>
      <c r="N181" s="61" t="n">
        <v>0.19</v>
      </c>
      <c r="O181" s="61" t="n">
        <v>0</v>
      </c>
      <c r="P181" s="62" t="n">
        <v>499.9</v>
      </c>
      <c r="Q181" s="0" t="n">
        <v>0</v>
      </c>
      <c r="R181" s="60" t="n">
        <f aca="false">G181+H181+I181</f>
        <v>33.73</v>
      </c>
      <c r="S181" s="60" t="n">
        <f aca="false">K181+L181+M181+N181+O181</f>
        <v>0.78</v>
      </c>
      <c r="T181" s="60" t="n">
        <f aca="false">L181+M181</f>
        <v>0.19</v>
      </c>
      <c r="U181" s="60" t="n">
        <f aca="false">S181+J181</f>
        <v>0.78</v>
      </c>
      <c r="V181" s="63" t="n">
        <f aca="false">IFERROR(S181/F181,0)</f>
        <v>0.0226021443059983</v>
      </c>
      <c r="W181" s="63" t="n">
        <f aca="false">IFERROR(R181/F181,0)</f>
        <v>0.977397855694002</v>
      </c>
      <c r="X181" s="63" t="n">
        <f aca="false">IFERROR(T181/F181,0)</f>
        <v>0.0055056505360765</v>
      </c>
      <c r="Y181" s="63" t="n">
        <f aca="false">IFERROR(G181/F181,0)</f>
        <v>0.000869313242538395</v>
      </c>
      <c r="Z181" s="59" t="n">
        <f aca="false">IF(E181&gt;0,F181*1000000000/E181,"")</f>
        <v>3634.24097387127</v>
      </c>
      <c r="AA181" s="63" t="n">
        <f aca="false">IFERROR((R181+S181+J181)/F181,0)</f>
        <v>1</v>
      </c>
      <c r="AB181" s="0" t="str">
        <f aca="false">A181&amp;"|"&amp;D181</f>
        <v>Belarus|2017</v>
      </c>
    </row>
    <row r="182" customFormat="false" ht="15" hidden="false" customHeight="false" outlineLevel="0" collapsed="false">
      <c r="A182" s="0" t="s">
        <v>197</v>
      </c>
      <c r="B182" s="0" t="s">
        <v>435</v>
      </c>
      <c r="C182" s="0" t="s">
        <v>127</v>
      </c>
      <c r="D182" s="0" t="n">
        <v>2018</v>
      </c>
      <c r="E182" s="59" t="n">
        <v>9480031</v>
      </c>
      <c r="F182" s="60" t="n">
        <v>38.99</v>
      </c>
      <c r="G182" s="61" t="n">
        <v>0.03</v>
      </c>
      <c r="H182" s="61" t="n">
        <v>37.89</v>
      </c>
      <c r="I182" s="61" t="n">
        <v>0.26</v>
      </c>
      <c r="J182" s="61" t="n">
        <v>0</v>
      </c>
      <c r="K182" s="61" t="n">
        <v>0.32</v>
      </c>
      <c r="L182" s="61" t="n">
        <v>0.18</v>
      </c>
      <c r="M182" s="61" t="n">
        <v>0.1</v>
      </c>
      <c r="N182" s="61" t="n">
        <v>0.21</v>
      </c>
      <c r="O182" s="61" t="n">
        <v>0</v>
      </c>
      <c r="P182" s="62" t="n">
        <v>501.1</v>
      </c>
      <c r="Q182" s="0" t="n">
        <v>0</v>
      </c>
      <c r="R182" s="60" t="n">
        <f aca="false">G182+H182+I182</f>
        <v>38.18</v>
      </c>
      <c r="S182" s="60" t="n">
        <f aca="false">K182+L182+M182+N182+O182</f>
        <v>0.81</v>
      </c>
      <c r="T182" s="60" t="n">
        <f aca="false">L182+M182</f>
        <v>0.28</v>
      </c>
      <c r="U182" s="60" t="n">
        <f aca="false">S182+J182</f>
        <v>0.81</v>
      </c>
      <c r="V182" s="63" t="n">
        <f aca="false">IFERROR(S182/F182,0)</f>
        <v>0.0207745575788664</v>
      </c>
      <c r="W182" s="63" t="n">
        <f aca="false">IFERROR(R182/F182,0)</f>
        <v>0.979225442421134</v>
      </c>
      <c r="X182" s="63" t="n">
        <f aca="false">IFERROR(T182/F182,0)</f>
        <v>0.00718132854578097</v>
      </c>
      <c r="Y182" s="63" t="n">
        <f aca="false">IFERROR(G182/F182,0)</f>
        <v>0.000769428058476532</v>
      </c>
      <c r="Z182" s="59" t="n">
        <f aca="false">IF(E182&gt;0,F182*1000000000/E182,"")</f>
        <v>4112.8557491004</v>
      </c>
      <c r="AA182" s="63" t="n">
        <f aca="false">IFERROR((R182+S182+J182)/F182,0)</f>
        <v>1</v>
      </c>
      <c r="AB182" s="0" t="str">
        <f aca="false">A182&amp;"|"&amp;D182</f>
        <v>Belarus|2018</v>
      </c>
    </row>
    <row r="183" customFormat="false" ht="15" hidden="false" customHeight="false" outlineLevel="0" collapsed="false">
      <c r="A183" s="0" t="s">
        <v>197</v>
      </c>
      <c r="B183" s="0" t="s">
        <v>435</v>
      </c>
      <c r="C183" s="0" t="s">
        <v>127</v>
      </c>
      <c r="D183" s="0" t="n">
        <v>2019</v>
      </c>
      <c r="E183" s="59" t="n">
        <v>9435415</v>
      </c>
      <c r="F183" s="60" t="n">
        <v>40.46</v>
      </c>
      <c r="G183" s="61" t="n">
        <v>0.03</v>
      </c>
      <c r="H183" s="61" t="n">
        <v>39.19</v>
      </c>
      <c r="I183" s="61" t="n">
        <v>0.2</v>
      </c>
      <c r="J183" s="61" t="n">
        <v>0</v>
      </c>
      <c r="K183" s="61" t="n">
        <v>0.34</v>
      </c>
      <c r="L183" s="61" t="n">
        <v>0.18</v>
      </c>
      <c r="M183" s="61" t="n">
        <v>0.18</v>
      </c>
      <c r="N183" s="61" t="n">
        <v>0.34</v>
      </c>
      <c r="O183" s="61" t="n">
        <v>0</v>
      </c>
      <c r="P183" s="62" t="n">
        <v>498.8</v>
      </c>
      <c r="Q183" s="0" t="n">
        <v>0</v>
      </c>
      <c r="R183" s="60" t="n">
        <f aca="false">G183+H183+I183</f>
        <v>39.42</v>
      </c>
      <c r="S183" s="60" t="n">
        <f aca="false">K183+L183+M183+N183+O183</f>
        <v>1.04</v>
      </c>
      <c r="T183" s="60" t="n">
        <f aca="false">L183+M183</f>
        <v>0.36</v>
      </c>
      <c r="U183" s="60" t="n">
        <f aca="false">S183+J183</f>
        <v>1.04</v>
      </c>
      <c r="V183" s="63" t="n">
        <f aca="false">IFERROR(S183/F183,0)</f>
        <v>0.0257043994068216</v>
      </c>
      <c r="W183" s="63" t="n">
        <f aca="false">IFERROR(R183/F183,0)</f>
        <v>0.974295600593178</v>
      </c>
      <c r="X183" s="63" t="n">
        <f aca="false">IFERROR(T183/F183,0)</f>
        <v>0.00889767671774592</v>
      </c>
      <c r="Y183" s="63" t="n">
        <f aca="false">IFERROR(G183/F183,0)</f>
        <v>0.00074147305981216</v>
      </c>
      <c r="Z183" s="59" t="n">
        <f aca="false">IF(E183&gt;0,F183*1000000000/E183,"")</f>
        <v>4288.09967553097</v>
      </c>
      <c r="AA183" s="63" t="n">
        <f aca="false">IFERROR((R183+S183+J183)/F183,0)</f>
        <v>1</v>
      </c>
      <c r="AB183" s="0" t="str">
        <f aca="false">A183&amp;"|"&amp;D183</f>
        <v>Belarus|2019</v>
      </c>
    </row>
    <row r="184" customFormat="false" ht="15" hidden="false" customHeight="false" outlineLevel="0" collapsed="false">
      <c r="A184" s="0" t="s">
        <v>197</v>
      </c>
      <c r="B184" s="0" t="s">
        <v>435</v>
      </c>
      <c r="C184" s="0" t="s">
        <v>127</v>
      </c>
      <c r="D184" s="0" t="n">
        <v>2020</v>
      </c>
      <c r="E184" s="59" t="n">
        <v>9350943</v>
      </c>
      <c r="F184" s="60" t="n">
        <v>38.54</v>
      </c>
      <c r="G184" s="61" t="n">
        <v>0.03</v>
      </c>
      <c r="H184" s="61" t="n">
        <v>34.69</v>
      </c>
      <c r="I184" s="61" t="n">
        <v>2.13</v>
      </c>
      <c r="J184" s="61" t="n">
        <v>0.34</v>
      </c>
      <c r="K184" s="61" t="n">
        <v>0.39</v>
      </c>
      <c r="L184" s="61" t="n">
        <v>0.18</v>
      </c>
      <c r="M184" s="61" t="n">
        <v>0.19</v>
      </c>
      <c r="N184" s="61" t="n">
        <v>0.59</v>
      </c>
      <c r="O184" s="61" t="n">
        <v>0</v>
      </c>
      <c r="P184" s="62" t="n">
        <v>498.7</v>
      </c>
      <c r="Q184" s="0" t="n">
        <v>0</v>
      </c>
      <c r="R184" s="60" t="n">
        <f aca="false">G184+H184+I184</f>
        <v>36.85</v>
      </c>
      <c r="S184" s="60" t="n">
        <f aca="false">K184+L184+M184+N184+O184</f>
        <v>1.35</v>
      </c>
      <c r="T184" s="60" t="n">
        <f aca="false">L184+M184</f>
        <v>0.37</v>
      </c>
      <c r="U184" s="60" t="n">
        <f aca="false">S184+J184</f>
        <v>1.69</v>
      </c>
      <c r="V184" s="63" t="n">
        <f aca="false">IFERROR(S184/F184,0)</f>
        <v>0.0350285417747795</v>
      </c>
      <c r="W184" s="63" t="n">
        <f aca="false">IFERROR(R184/F184,0)</f>
        <v>0.956149455111573</v>
      </c>
      <c r="X184" s="63" t="n">
        <f aca="false">IFERROR(T184/F184,0)</f>
        <v>0.0096004151530877</v>
      </c>
      <c r="Y184" s="63" t="n">
        <f aca="false">IFERROR(G184/F184,0)</f>
        <v>0.000778412039439543</v>
      </c>
      <c r="Z184" s="59" t="n">
        <f aca="false">IF(E184&gt;0,F184*1000000000/E184,"")</f>
        <v>4121.509456319</v>
      </c>
      <c r="AA184" s="63" t="n">
        <f aca="false">IFERROR((R184+S184+J184)/F184,0)</f>
        <v>1</v>
      </c>
      <c r="AB184" s="0" t="str">
        <f aca="false">A184&amp;"|"&amp;D184</f>
        <v>Belarus|2020</v>
      </c>
    </row>
    <row r="185" customFormat="false" ht="15" hidden="false" customHeight="false" outlineLevel="0" collapsed="false">
      <c r="A185" s="0" t="s">
        <v>197</v>
      </c>
      <c r="B185" s="0" t="s">
        <v>435</v>
      </c>
      <c r="C185" s="0" t="s">
        <v>127</v>
      </c>
      <c r="D185" s="0" t="n">
        <v>2021</v>
      </c>
      <c r="E185" s="59" t="n">
        <v>9251368</v>
      </c>
      <c r="F185" s="60" t="n">
        <v>41.25</v>
      </c>
      <c r="G185" s="61" t="n">
        <v>0.03</v>
      </c>
      <c r="H185" s="61" t="n">
        <v>32.19</v>
      </c>
      <c r="I185" s="61" t="n">
        <v>1.98</v>
      </c>
      <c r="J185" s="61" t="n">
        <v>5.78</v>
      </c>
      <c r="K185" s="61" t="n">
        <v>0.37</v>
      </c>
      <c r="L185" s="61" t="n">
        <v>0.18</v>
      </c>
      <c r="M185" s="61" t="n">
        <v>0.17</v>
      </c>
      <c r="N185" s="61" t="n">
        <v>0.55</v>
      </c>
      <c r="O185" s="61" t="n">
        <v>0</v>
      </c>
      <c r="P185" s="62" t="n">
        <v>433.2</v>
      </c>
      <c r="Q185" s="0" t="n">
        <v>0</v>
      </c>
      <c r="R185" s="60" t="n">
        <f aca="false">G185+H185+I185</f>
        <v>34.2</v>
      </c>
      <c r="S185" s="60" t="n">
        <f aca="false">K185+L185+M185+N185+O185</f>
        <v>1.27</v>
      </c>
      <c r="T185" s="60" t="n">
        <f aca="false">L185+M185</f>
        <v>0.35</v>
      </c>
      <c r="U185" s="60" t="n">
        <f aca="false">S185+J185</f>
        <v>7.05</v>
      </c>
      <c r="V185" s="63" t="n">
        <f aca="false">IFERROR(S185/F185,0)</f>
        <v>0.0307878787878788</v>
      </c>
      <c r="W185" s="63" t="n">
        <f aca="false">IFERROR(R185/F185,0)</f>
        <v>0.829090909090909</v>
      </c>
      <c r="X185" s="63" t="n">
        <f aca="false">IFERROR(T185/F185,0)</f>
        <v>0.00848484848484848</v>
      </c>
      <c r="Y185" s="63" t="n">
        <f aca="false">IFERROR(G185/F185,0)</f>
        <v>0.000727272727272727</v>
      </c>
      <c r="Z185" s="59" t="n">
        <f aca="false">IF(E185&gt;0,F185*1000000000/E185,"")</f>
        <v>4458.80003908611</v>
      </c>
      <c r="AA185" s="63" t="n">
        <f aca="false">IFERROR((R185+S185+J185)/F185,0)</f>
        <v>1</v>
      </c>
      <c r="AB185" s="0" t="str">
        <f aca="false">A185&amp;"|"&amp;D185</f>
        <v>Belarus|2021</v>
      </c>
    </row>
    <row r="186" customFormat="false" ht="15" hidden="false" customHeight="false" outlineLevel="0" collapsed="false">
      <c r="A186" s="0" t="s">
        <v>197</v>
      </c>
      <c r="B186" s="0" t="s">
        <v>435</v>
      </c>
      <c r="C186" s="0" t="s">
        <v>127</v>
      </c>
      <c r="D186" s="0" t="n">
        <v>2022</v>
      </c>
      <c r="E186" s="59" t="n">
        <v>9173240</v>
      </c>
      <c r="F186" s="60" t="n">
        <v>37.18</v>
      </c>
      <c r="G186" s="61" t="n">
        <v>0.03</v>
      </c>
      <c r="H186" s="61" t="n">
        <v>29.4</v>
      </c>
      <c r="I186" s="61" t="n">
        <v>1.81</v>
      </c>
      <c r="J186" s="61" t="n">
        <v>4.68</v>
      </c>
      <c r="K186" s="61" t="n">
        <v>0.37</v>
      </c>
      <c r="L186" s="61" t="n">
        <v>0.21</v>
      </c>
      <c r="M186" s="61" t="n">
        <v>0.18</v>
      </c>
      <c r="N186" s="61" t="n">
        <v>0.5</v>
      </c>
      <c r="O186" s="61" t="n">
        <v>0</v>
      </c>
      <c r="P186" s="62" t="n">
        <v>439.2</v>
      </c>
      <c r="Q186" s="0" t="n">
        <v>0</v>
      </c>
      <c r="R186" s="60" t="n">
        <f aca="false">G186+H186+I186</f>
        <v>31.24</v>
      </c>
      <c r="S186" s="60" t="n">
        <f aca="false">K186+L186+M186+N186+O186</f>
        <v>1.26</v>
      </c>
      <c r="T186" s="60" t="n">
        <f aca="false">L186+M186</f>
        <v>0.39</v>
      </c>
      <c r="U186" s="60" t="n">
        <f aca="false">S186+J186</f>
        <v>5.94</v>
      </c>
      <c r="V186" s="63" t="n">
        <f aca="false">IFERROR(S186/F186,0)</f>
        <v>0.0338891877353416</v>
      </c>
      <c r="W186" s="63" t="n">
        <f aca="false">IFERROR(R186/F186,0)</f>
        <v>0.840236686390533</v>
      </c>
      <c r="X186" s="63" t="n">
        <f aca="false">IFERROR(T186/F186,0)</f>
        <v>0.0104895104895105</v>
      </c>
      <c r="Y186" s="63" t="n">
        <f aca="false">IFERROR(G186/F186,0)</f>
        <v>0.000806885422270038</v>
      </c>
      <c r="Z186" s="59" t="n">
        <f aca="false">IF(E186&gt;0,F186*1000000000/E186,"")</f>
        <v>4053.09356345195</v>
      </c>
      <c r="AA186" s="63" t="n">
        <f aca="false">IFERROR((R186+S186+J186)/F186,0)</f>
        <v>1</v>
      </c>
      <c r="AB186" s="0" t="str">
        <f aca="false">A186&amp;"|"&amp;D186</f>
        <v>Belarus|2022</v>
      </c>
    </row>
    <row r="187" customFormat="false" ht="15" hidden="false" customHeight="false" outlineLevel="0" collapsed="false">
      <c r="A187" s="0" t="s">
        <v>197</v>
      </c>
      <c r="B187" s="0" t="s">
        <v>435</v>
      </c>
      <c r="C187" s="0" t="s">
        <v>127</v>
      </c>
      <c r="D187" s="0" t="n">
        <v>2023</v>
      </c>
      <c r="E187" s="59" t="n">
        <v>9115679</v>
      </c>
      <c r="F187" s="60" t="n">
        <v>41.74</v>
      </c>
      <c r="G187" s="61" t="n">
        <v>0.02</v>
      </c>
      <c r="H187" s="61" t="n">
        <v>26.99</v>
      </c>
      <c r="I187" s="61" t="n">
        <v>1.66</v>
      </c>
      <c r="J187" s="61" t="n">
        <v>11.73</v>
      </c>
      <c r="K187" s="61" t="n">
        <v>0.39</v>
      </c>
      <c r="L187" s="61" t="n">
        <v>0.23</v>
      </c>
      <c r="M187" s="61" t="n">
        <v>0.19</v>
      </c>
      <c r="N187" s="61" t="n">
        <v>0.53</v>
      </c>
      <c r="O187" s="61" t="n">
        <v>0</v>
      </c>
      <c r="P187" s="62" t="n">
        <v>359.9</v>
      </c>
      <c r="Q187" s="0" t="n">
        <v>0</v>
      </c>
      <c r="R187" s="60" t="n">
        <f aca="false">G187+H187+I187</f>
        <v>28.67</v>
      </c>
      <c r="S187" s="60" t="n">
        <f aca="false">K187+L187+M187+N187+O187</f>
        <v>1.34</v>
      </c>
      <c r="T187" s="60" t="n">
        <f aca="false">L187+M187</f>
        <v>0.42</v>
      </c>
      <c r="U187" s="60" t="n">
        <f aca="false">S187+J187</f>
        <v>13.07</v>
      </c>
      <c r="V187" s="63" t="n">
        <f aca="false">IFERROR(S187/F187,0)</f>
        <v>0.0321034978437949</v>
      </c>
      <c r="W187" s="63" t="n">
        <f aca="false">IFERROR(R187/F187,0)</f>
        <v>0.686871106851941</v>
      </c>
      <c r="X187" s="63" t="n">
        <f aca="false">IFERROR(T187/F187,0)</f>
        <v>0.0100622903689506</v>
      </c>
      <c r="Y187" s="63" t="n">
        <f aca="false">IFERROR(G187/F187,0)</f>
        <v>0.000479156684235745</v>
      </c>
      <c r="Z187" s="59" t="n">
        <f aca="false">IF(E187&gt;0,F187*1000000000/E187,"")</f>
        <v>4578.92385196978</v>
      </c>
      <c r="AA187" s="63" t="n">
        <f aca="false">IFERROR((R187+S187+J187)/F187,0)</f>
        <v>1</v>
      </c>
      <c r="AB187" s="0" t="str">
        <f aca="false">A187&amp;"|"&amp;D187</f>
        <v>Belarus|2023</v>
      </c>
    </row>
    <row r="188" customFormat="false" ht="15" hidden="false" customHeight="false" outlineLevel="0" collapsed="false">
      <c r="A188" s="0" t="s">
        <v>197</v>
      </c>
      <c r="B188" s="0" t="s">
        <v>435</v>
      </c>
      <c r="C188" s="0" t="s">
        <v>127</v>
      </c>
      <c r="D188" s="0" t="n">
        <v>2024</v>
      </c>
      <c r="E188" s="59" t="n">
        <v>9056696</v>
      </c>
      <c r="F188" s="60" t="n">
        <v>45.82</v>
      </c>
      <c r="G188" s="61" t="n">
        <v>0.02</v>
      </c>
      <c r="H188" s="61" t="n">
        <v>27</v>
      </c>
      <c r="I188" s="61" t="n">
        <v>1.7</v>
      </c>
      <c r="J188" s="61" t="n">
        <v>15.69</v>
      </c>
      <c r="K188" s="61" t="n">
        <v>0.4</v>
      </c>
      <c r="L188" s="61" t="n">
        <v>0.26</v>
      </c>
      <c r="M188" s="61" t="n">
        <v>0.2</v>
      </c>
      <c r="N188" s="61" t="n">
        <v>0.55</v>
      </c>
      <c r="O188" s="61" t="n">
        <v>0</v>
      </c>
      <c r="P188" s="62" t="n">
        <v>329.6</v>
      </c>
      <c r="Q188" s="0" t="n">
        <v>0</v>
      </c>
      <c r="R188" s="60" t="n">
        <f aca="false">G188+H188+I188</f>
        <v>28.72</v>
      </c>
      <c r="S188" s="60" t="n">
        <f aca="false">K188+L188+M188+N188+O188</f>
        <v>1.41</v>
      </c>
      <c r="T188" s="60" t="n">
        <f aca="false">L188+M188</f>
        <v>0.46</v>
      </c>
      <c r="U188" s="60" t="n">
        <f aca="false">S188+J188</f>
        <v>17.1</v>
      </c>
      <c r="V188" s="63" t="n">
        <f aca="false">IFERROR(S188/F188,0)</f>
        <v>0.0307725883893496</v>
      </c>
      <c r="W188" s="63" t="n">
        <f aca="false">IFERROR(R188/F188,0)</f>
        <v>0.626800523788739</v>
      </c>
      <c r="X188" s="63" t="n">
        <f aca="false">IFERROR(T188/F188,0)</f>
        <v>0.0100392841553907</v>
      </c>
      <c r="Y188" s="63" t="n">
        <f aca="false">IFERROR(G188/F188,0)</f>
        <v>0.000436490615451768</v>
      </c>
      <c r="Z188" s="59" t="n">
        <f aca="false">IF(E188&gt;0,F188*1000000000/E188,"")</f>
        <v>5059.24014673784</v>
      </c>
      <c r="AA188" s="63" t="n">
        <f aca="false">IFERROR((R188+S188+J188)/F188,0)</f>
        <v>1</v>
      </c>
      <c r="AB188" s="0" t="str">
        <f aca="false">A188&amp;"|"&amp;D188</f>
        <v>Belarus|2024</v>
      </c>
    </row>
    <row r="189" customFormat="false" ht="15" hidden="false" customHeight="false" outlineLevel="0" collapsed="false">
      <c r="A189" s="0" t="s">
        <v>197</v>
      </c>
      <c r="B189" s="0" t="s">
        <v>435</v>
      </c>
      <c r="C189" s="0" t="s">
        <v>127</v>
      </c>
      <c r="D189" s="0" t="n">
        <v>2025</v>
      </c>
      <c r="E189" s="59" t="n">
        <v>8997601</v>
      </c>
      <c r="F189" s="60" t="n">
        <v>46.37</v>
      </c>
      <c r="G189" s="61" t="n">
        <v>0.02</v>
      </c>
      <c r="H189" s="61" t="n">
        <v>25.27</v>
      </c>
      <c r="I189" s="61" t="n">
        <v>1.87</v>
      </c>
      <c r="J189" s="61" t="n">
        <v>16.97</v>
      </c>
      <c r="K189" s="61" t="n">
        <v>0.93</v>
      </c>
      <c r="L189" s="61" t="n">
        <v>0.37</v>
      </c>
      <c r="M189" s="61" t="n">
        <v>0.48</v>
      </c>
      <c r="N189" s="61" t="n">
        <v>0.46</v>
      </c>
      <c r="O189" s="61" t="n">
        <v>0</v>
      </c>
      <c r="P189" s="62" t="n">
        <v>309.2</v>
      </c>
      <c r="Q189" s="0" t="n">
        <v>0</v>
      </c>
      <c r="R189" s="60" t="n">
        <f aca="false">G189+H189+I189</f>
        <v>27.16</v>
      </c>
      <c r="S189" s="60" t="n">
        <f aca="false">K189+L189+M189+N189+O189</f>
        <v>2.24</v>
      </c>
      <c r="T189" s="60" t="n">
        <f aca="false">L189+M189</f>
        <v>0.85</v>
      </c>
      <c r="U189" s="60" t="n">
        <f aca="false">S189+J189</f>
        <v>19.21</v>
      </c>
      <c r="V189" s="63" t="n">
        <f aca="false">IFERROR(S189/F189,0)</f>
        <v>0.0483070951045935</v>
      </c>
      <c r="W189" s="63" t="n">
        <f aca="false">IFERROR(R189/F189,0)</f>
        <v>0.585723528143196</v>
      </c>
      <c r="X189" s="63" t="n">
        <f aca="false">IFERROR(T189/F189,0)</f>
        <v>0.0183308173387966</v>
      </c>
      <c r="Y189" s="63" t="n">
        <f aca="false">IFERROR(G189/F189,0)</f>
        <v>0.000431313349148156</v>
      </c>
      <c r="Z189" s="59" t="n">
        <f aca="false">IF(E189&gt;0,F189*1000000000/E189,"")</f>
        <v>5153.59594185161</v>
      </c>
      <c r="AA189" s="63" t="n">
        <f aca="false">IFERROR((R189+S189+J189)/F189,0)</f>
        <v>1</v>
      </c>
      <c r="AB189" s="0" t="str">
        <f aca="false">A189&amp;"|"&amp;D189</f>
        <v>Belarus|2025</v>
      </c>
    </row>
    <row r="190" customFormat="false" ht="15" hidden="false" customHeight="false" outlineLevel="0" collapsed="false">
      <c r="A190" s="0" t="s">
        <v>198</v>
      </c>
      <c r="B190" s="0" t="s">
        <v>436</v>
      </c>
      <c r="C190" s="0" t="s">
        <v>127</v>
      </c>
      <c r="D190" s="0" t="n">
        <v>2015</v>
      </c>
      <c r="E190" s="59" t="n">
        <v>11275332</v>
      </c>
      <c r="F190" s="60" t="n">
        <v>68.43</v>
      </c>
      <c r="G190" s="61" t="n">
        <v>2.07</v>
      </c>
      <c r="H190" s="61" t="n">
        <v>22.02</v>
      </c>
      <c r="I190" s="61" t="n">
        <v>3.8</v>
      </c>
      <c r="J190" s="61" t="n">
        <v>26.1</v>
      </c>
      <c r="K190" s="61" t="n">
        <v>0.32</v>
      </c>
      <c r="L190" s="61" t="n">
        <v>3.06</v>
      </c>
      <c r="M190" s="61" t="n">
        <v>5.57</v>
      </c>
      <c r="N190" s="61" t="n">
        <v>5.49</v>
      </c>
      <c r="O190" s="61" t="n">
        <v>0</v>
      </c>
      <c r="P190" s="62" t="n">
        <v>215.6</v>
      </c>
      <c r="Q190" s="0" t="n">
        <v>0</v>
      </c>
      <c r="R190" s="60" t="n">
        <f aca="false">G190+H190+I190</f>
        <v>27.89</v>
      </c>
      <c r="S190" s="60" t="n">
        <f aca="false">K190+L190+M190+N190+O190</f>
        <v>14.44</v>
      </c>
      <c r="T190" s="60" t="n">
        <f aca="false">L190+M190</f>
        <v>8.63</v>
      </c>
      <c r="U190" s="60" t="n">
        <f aca="false">S190+J190</f>
        <v>40.54</v>
      </c>
      <c r="V190" s="63" t="n">
        <f aca="false">IFERROR(S190/F190,0)</f>
        <v>0.211018559111501</v>
      </c>
      <c r="W190" s="63" t="n">
        <f aca="false">IFERROR(R190/F190,0)</f>
        <v>0.407569779336548</v>
      </c>
      <c r="X190" s="63" t="n">
        <f aca="false">IFERROR(T190/F190,0)</f>
        <v>0.126114277363729</v>
      </c>
      <c r="Y190" s="63" t="n">
        <f aca="false">IFERROR(G190/F190,0)</f>
        <v>0.0302498903989478</v>
      </c>
      <c r="Z190" s="59" t="n">
        <f aca="false">IF(E190&gt;0,F190*1000000000/E190,"")</f>
        <v>6069.00089505125</v>
      </c>
      <c r="AA190" s="63" t="n">
        <f aca="false">IFERROR((R190+S190+J190)/F190,0)</f>
        <v>1</v>
      </c>
      <c r="AB190" s="0" t="str">
        <f aca="false">A190&amp;"|"&amp;D190</f>
        <v>Belgium|2015</v>
      </c>
    </row>
    <row r="191" customFormat="false" ht="15" hidden="false" customHeight="false" outlineLevel="0" collapsed="false">
      <c r="A191" s="0" t="s">
        <v>198</v>
      </c>
      <c r="B191" s="0" t="s">
        <v>436</v>
      </c>
      <c r="C191" s="0" t="s">
        <v>127</v>
      </c>
      <c r="D191" s="0" t="n">
        <v>2016</v>
      </c>
      <c r="E191" s="59" t="n">
        <v>11332707</v>
      </c>
      <c r="F191" s="60" t="n">
        <v>84.31</v>
      </c>
      <c r="G191" s="61" t="n">
        <v>0.39</v>
      </c>
      <c r="H191" s="61" t="n">
        <v>22.07</v>
      </c>
      <c r="I191" s="61" t="n">
        <v>4.08</v>
      </c>
      <c r="J191" s="61" t="n">
        <v>43.52</v>
      </c>
      <c r="K191" s="61" t="n">
        <v>0.37</v>
      </c>
      <c r="L191" s="61" t="n">
        <v>3.1</v>
      </c>
      <c r="M191" s="61" t="n">
        <v>5.42</v>
      </c>
      <c r="N191" s="61" t="n">
        <v>5.36</v>
      </c>
      <c r="O191" s="61" t="n">
        <v>0</v>
      </c>
      <c r="P191" s="62" t="n">
        <v>158.7</v>
      </c>
      <c r="Q191" s="0" t="n">
        <v>0</v>
      </c>
      <c r="R191" s="60" t="n">
        <f aca="false">G191+H191+I191</f>
        <v>26.54</v>
      </c>
      <c r="S191" s="60" t="n">
        <f aca="false">K191+L191+M191+N191+O191</f>
        <v>14.25</v>
      </c>
      <c r="T191" s="60" t="n">
        <f aca="false">L191+M191</f>
        <v>8.52</v>
      </c>
      <c r="U191" s="60" t="n">
        <f aca="false">S191+J191</f>
        <v>57.77</v>
      </c>
      <c r="V191" s="63" t="n">
        <f aca="false">IFERROR(S191/F191,0)</f>
        <v>0.169019096192622</v>
      </c>
      <c r="W191" s="63" t="n">
        <f aca="false">IFERROR(R191/F191,0)</f>
        <v>0.314790653540505</v>
      </c>
      <c r="X191" s="63" t="n">
        <f aca="false">IFERROR(T191/F191,0)</f>
        <v>0.101055628039378</v>
      </c>
      <c r="Y191" s="63" t="n">
        <f aca="false">IFERROR(G191/F191,0)</f>
        <v>0.00462578579053493</v>
      </c>
      <c r="Z191" s="59" t="n">
        <f aca="false">IF(E191&gt;0,F191*1000000000/E191,"")</f>
        <v>7439.52879042933</v>
      </c>
      <c r="AA191" s="63" t="n">
        <f aca="false">IFERROR((R191+S191+J191)/F191,0)</f>
        <v>1</v>
      </c>
      <c r="AB191" s="0" t="str">
        <f aca="false">A191&amp;"|"&amp;D191</f>
        <v>Belgium|2016</v>
      </c>
    </row>
    <row r="192" customFormat="false" ht="15" hidden="false" customHeight="false" outlineLevel="0" collapsed="false">
      <c r="A192" s="0" t="s">
        <v>198</v>
      </c>
      <c r="B192" s="0" t="s">
        <v>436</v>
      </c>
      <c r="C192" s="0" t="s">
        <v>127</v>
      </c>
      <c r="D192" s="0" t="n">
        <v>2017</v>
      </c>
      <c r="E192" s="59" t="n">
        <v>11376583</v>
      </c>
      <c r="F192" s="60" t="n">
        <v>85.34</v>
      </c>
      <c r="G192" s="61" t="n">
        <v>0</v>
      </c>
      <c r="H192" s="61" t="n">
        <v>23.02</v>
      </c>
      <c r="I192" s="61" t="n">
        <v>4.29</v>
      </c>
      <c r="J192" s="61" t="n">
        <v>42.23</v>
      </c>
      <c r="K192" s="61" t="n">
        <v>0.27</v>
      </c>
      <c r="L192" s="61" t="n">
        <v>3.31</v>
      </c>
      <c r="M192" s="61" t="n">
        <v>6.52</v>
      </c>
      <c r="N192" s="61" t="n">
        <v>5.7</v>
      </c>
      <c r="O192" s="61" t="n">
        <v>0</v>
      </c>
      <c r="P192" s="62" t="n">
        <v>159.5</v>
      </c>
      <c r="Q192" s="0" t="n">
        <v>0</v>
      </c>
      <c r="R192" s="60" t="n">
        <f aca="false">G192+H192+I192</f>
        <v>27.31</v>
      </c>
      <c r="S192" s="60" t="n">
        <f aca="false">K192+L192+M192+N192+O192</f>
        <v>15.8</v>
      </c>
      <c r="T192" s="60" t="n">
        <f aca="false">L192+M192</f>
        <v>9.83</v>
      </c>
      <c r="U192" s="60" t="n">
        <f aca="false">S192+J192</f>
        <v>58.03</v>
      </c>
      <c r="V192" s="63" t="n">
        <f aca="false">IFERROR(S192/F192,0)</f>
        <v>0.185141785797985</v>
      </c>
      <c r="W192" s="63" t="n">
        <f aca="false">IFERROR(R192/F192,0)</f>
        <v>0.320014061401453</v>
      </c>
      <c r="X192" s="63" t="n">
        <f aca="false">IFERROR(T192/F192,0)</f>
        <v>0.115186313569252</v>
      </c>
      <c r="Y192" s="63" t="n">
        <f aca="false">IFERROR(G192/F192,0)</f>
        <v>0</v>
      </c>
      <c r="Z192" s="59" t="n">
        <f aca="false">IF(E192&gt;0,F192*1000000000/E192,"")</f>
        <v>7501.37365498938</v>
      </c>
      <c r="AA192" s="63" t="n">
        <f aca="false">IFERROR((R192+S192+J192)/F192,0)</f>
        <v>1</v>
      </c>
      <c r="AB192" s="0" t="str">
        <f aca="false">A192&amp;"|"&amp;D192</f>
        <v>Belgium|2017</v>
      </c>
    </row>
    <row r="193" customFormat="false" ht="15" hidden="false" customHeight="false" outlineLevel="0" collapsed="false">
      <c r="A193" s="0" t="s">
        <v>198</v>
      </c>
      <c r="B193" s="0" t="s">
        <v>436</v>
      </c>
      <c r="C193" s="0" t="s">
        <v>127</v>
      </c>
      <c r="D193" s="0" t="n">
        <v>2018</v>
      </c>
      <c r="E193" s="59" t="n">
        <v>11428608</v>
      </c>
      <c r="F193" s="60" t="n">
        <v>73.87</v>
      </c>
      <c r="G193" s="61" t="n">
        <v>0</v>
      </c>
      <c r="H193" s="61" t="n">
        <v>23.99</v>
      </c>
      <c r="I193" s="61" t="n">
        <v>4.12</v>
      </c>
      <c r="J193" s="61" t="n">
        <v>28.6</v>
      </c>
      <c r="K193" s="61" t="n">
        <v>0.29</v>
      </c>
      <c r="L193" s="61" t="n">
        <v>3.9</v>
      </c>
      <c r="M193" s="61" t="n">
        <v>7.57</v>
      </c>
      <c r="N193" s="61" t="n">
        <v>5.4</v>
      </c>
      <c r="O193" s="61" t="n">
        <v>0</v>
      </c>
      <c r="P193" s="62" t="n">
        <v>186.9</v>
      </c>
      <c r="Q193" s="0" t="n">
        <v>0</v>
      </c>
      <c r="R193" s="60" t="n">
        <f aca="false">G193+H193+I193</f>
        <v>28.11</v>
      </c>
      <c r="S193" s="60" t="n">
        <f aca="false">K193+L193+M193+N193+O193</f>
        <v>17.16</v>
      </c>
      <c r="T193" s="60" t="n">
        <f aca="false">L193+M193</f>
        <v>11.47</v>
      </c>
      <c r="U193" s="60" t="n">
        <f aca="false">S193+J193</f>
        <v>45.76</v>
      </c>
      <c r="V193" s="63" t="n">
        <f aca="false">IFERROR(S193/F193,0)</f>
        <v>0.232299986462705</v>
      </c>
      <c r="W193" s="63" t="n">
        <f aca="false">IFERROR(R193/F193,0)</f>
        <v>0.380533369432787</v>
      </c>
      <c r="X193" s="63" t="n">
        <f aca="false">IFERROR(T193/F193,0)</f>
        <v>0.155272776499255</v>
      </c>
      <c r="Y193" s="63" t="n">
        <f aca="false">IFERROR(G193/F193,0)</f>
        <v>0</v>
      </c>
      <c r="Z193" s="59" t="n">
        <f aca="false">IF(E193&gt;0,F193*1000000000/E193,"")</f>
        <v>6463.60431646619</v>
      </c>
      <c r="AA193" s="63" t="n">
        <f aca="false">IFERROR((R193+S193+J193)/F193,0)</f>
        <v>1</v>
      </c>
      <c r="AB193" s="0" t="str">
        <f aca="false">A193&amp;"|"&amp;D193</f>
        <v>Belgium|2018</v>
      </c>
    </row>
    <row r="194" customFormat="false" ht="15" hidden="false" customHeight="false" outlineLevel="0" collapsed="false">
      <c r="A194" s="0" t="s">
        <v>198</v>
      </c>
      <c r="B194" s="0" t="s">
        <v>436</v>
      </c>
      <c r="C194" s="0" t="s">
        <v>127</v>
      </c>
      <c r="D194" s="0" t="n">
        <v>2019</v>
      </c>
      <c r="E194" s="59" t="n">
        <v>11490623</v>
      </c>
      <c r="F194" s="60" t="n">
        <v>92.69</v>
      </c>
      <c r="G194" s="61" t="n">
        <v>0</v>
      </c>
      <c r="H194" s="61" t="n">
        <v>25.54</v>
      </c>
      <c r="I194" s="61" t="n">
        <v>4.18</v>
      </c>
      <c r="J194" s="61" t="n">
        <v>43.52</v>
      </c>
      <c r="K194" s="61" t="n">
        <v>0.3</v>
      </c>
      <c r="L194" s="61" t="n">
        <v>4.25</v>
      </c>
      <c r="M194" s="61" t="n">
        <v>9.75</v>
      </c>
      <c r="N194" s="61" t="n">
        <v>5.15</v>
      </c>
      <c r="O194" s="61" t="n">
        <v>0</v>
      </c>
      <c r="P194" s="62" t="n">
        <v>156.5</v>
      </c>
      <c r="Q194" s="0" t="n">
        <v>0</v>
      </c>
      <c r="R194" s="60" t="n">
        <f aca="false">G194+H194+I194</f>
        <v>29.72</v>
      </c>
      <c r="S194" s="60" t="n">
        <f aca="false">K194+L194+M194+N194+O194</f>
        <v>19.45</v>
      </c>
      <c r="T194" s="60" t="n">
        <f aca="false">L194+M194</f>
        <v>14</v>
      </c>
      <c r="U194" s="60" t="n">
        <f aca="false">S194+J194</f>
        <v>62.97</v>
      </c>
      <c r="V194" s="63" t="n">
        <f aca="false">IFERROR(S194/F194,0)</f>
        <v>0.209839249109936</v>
      </c>
      <c r="W194" s="63" t="n">
        <f aca="false">IFERROR(R194/F194,0)</f>
        <v>0.320638688100119</v>
      </c>
      <c r="X194" s="63" t="n">
        <f aca="false">IFERROR(T194/F194,0)</f>
        <v>0.151041104757795</v>
      </c>
      <c r="Y194" s="63" t="n">
        <f aca="false">IFERROR(G194/F194,0)</f>
        <v>0</v>
      </c>
      <c r="Z194" s="59" t="n">
        <f aca="false">IF(E194&gt;0,F194*1000000000/E194,"")</f>
        <v>8066.57741708174</v>
      </c>
      <c r="AA194" s="63" t="n">
        <f aca="false">IFERROR((R194+S194+J194)/F194,0)</f>
        <v>1</v>
      </c>
      <c r="AB194" s="0" t="str">
        <f aca="false">A194&amp;"|"&amp;D194</f>
        <v>Belgium|2019</v>
      </c>
    </row>
    <row r="195" customFormat="false" ht="15" hidden="false" customHeight="false" outlineLevel="0" collapsed="false">
      <c r="A195" s="0" t="s">
        <v>198</v>
      </c>
      <c r="B195" s="0" t="s">
        <v>436</v>
      </c>
      <c r="C195" s="0" t="s">
        <v>127</v>
      </c>
      <c r="D195" s="0" t="n">
        <v>2020</v>
      </c>
      <c r="E195" s="59" t="n">
        <v>11540102</v>
      </c>
      <c r="F195" s="60" t="n">
        <v>88.29</v>
      </c>
      <c r="G195" s="61" t="n">
        <v>0</v>
      </c>
      <c r="H195" s="61" t="n">
        <v>26.78</v>
      </c>
      <c r="I195" s="61" t="n">
        <v>3.63</v>
      </c>
      <c r="J195" s="61" t="n">
        <v>34.43</v>
      </c>
      <c r="K195" s="61" t="n">
        <v>0.27</v>
      </c>
      <c r="L195" s="61" t="n">
        <v>5.11</v>
      </c>
      <c r="M195" s="61" t="n">
        <v>12.81</v>
      </c>
      <c r="N195" s="61" t="n">
        <v>5.26</v>
      </c>
      <c r="O195" s="61" t="n">
        <v>0</v>
      </c>
      <c r="P195" s="62" t="n">
        <v>166.6</v>
      </c>
      <c r="Q195" s="0" t="n">
        <v>0</v>
      </c>
      <c r="R195" s="60" t="n">
        <f aca="false">G195+H195+I195</f>
        <v>30.41</v>
      </c>
      <c r="S195" s="60" t="n">
        <f aca="false">K195+L195+M195+N195+O195</f>
        <v>23.45</v>
      </c>
      <c r="T195" s="60" t="n">
        <f aca="false">L195+M195</f>
        <v>17.92</v>
      </c>
      <c r="U195" s="60" t="n">
        <f aca="false">S195+J195</f>
        <v>57.88</v>
      </c>
      <c r="V195" s="63" t="n">
        <f aca="false">IFERROR(S195/F195,0)</f>
        <v>0.26560199343074</v>
      </c>
      <c r="W195" s="63" t="n">
        <f aca="false">IFERROR(R195/F195,0)</f>
        <v>0.344433118133424</v>
      </c>
      <c r="X195" s="63" t="n">
        <f aca="false">IFERROR(T195/F195,0)</f>
        <v>0.202967493487371</v>
      </c>
      <c r="Y195" s="63" t="n">
        <f aca="false">IFERROR(G195/F195,0)</f>
        <v>0</v>
      </c>
      <c r="Z195" s="59" t="n">
        <f aca="false">IF(E195&gt;0,F195*1000000000/E195,"")</f>
        <v>7650.71227273381</v>
      </c>
      <c r="AA195" s="63" t="n">
        <f aca="false">IFERROR((R195+S195+J195)/F195,0)</f>
        <v>1</v>
      </c>
      <c r="AB195" s="0" t="str">
        <f aca="false">A195&amp;"|"&amp;D195</f>
        <v>Belgium|2020</v>
      </c>
    </row>
    <row r="196" customFormat="false" ht="15" hidden="false" customHeight="false" outlineLevel="0" collapsed="false">
      <c r="A196" s="0" t="s">
        <v>198</v>
      </c>
      <c r="B196" s="0" t="s">
        <v>436</v>
      </c>
      <c r="C196" s="0" t="s">
        <v>127</v>
      </c>
      <c r="D196" s="0" t="n">
        <v>2021</v>
      </c>
      <c r="E196" s="59" t="n">
        <v>11570843</v>
      </c>
      <c r="F196" s="60" t="n">
        <v>99.4</v>
      </c>
      <c r="G196" s="61" t="n">
        <v>0</v>
      </c>
      <c r="H196" s="61" t="n">
        <v>22.52</v>
      </c>
      <c r="I196" s="61" t="n">
        <v>3.8</v>
      </c>
      <c r="J196" s="61" t="n">
        <v>50.33</v>
      </c>
      <c r="K196" s="61" t="n">
        <v>0.42</v>
      </c>
      <c r="L196" s="61" t="n">
        <v>5.62</v>
      </c>
      <c r="M196" s="61" t="n">
        <v>12</v>
      </c>
      <c r="N196" s="61" t="n">
        <v>4.71</v>
      </c>
      <c r="O196" s="61" t="n">
        <v>0</v>
      </c>
      <c r="P196" s="62" t="n">
        <v>131.8</v>
      </c>
      <c r="Q196" s="0" t="n">
        <v>0</v>
      </c>
      <c r="R196" s="60" t="n">
        <f aca="false">G196+H196+I196</f>
        <v>26.32</v>
      </c>
      <c r="S196" s="60" t="n">
        <f aca="false">K196+L196+M196+N196+O196</f>
        <v>22.75</v>
      </c>
      <c r="T196" s="60" t="n">
        <f aca="false">L196+M196</f>
        <v>17.62</v>
      </c>
      <c r="U196" s="60" t="n">
        <f aca="false">S196+J196</f>
        <v>73.08</v>
      </c>
      <c r="V196" s="63" t="n">
        <f aca="false">IFERROR(S196/F196,0)</f>
        <v>0.22887323943662</v>
      </c>
      <c r="W196" s="63" t="n">
        <f aca="false">IFERROR(R196/F196,0)</f>
        <v>0.264788732394366</v>
      </c>
      <c r="X196" s="63" t="n">
        <f aca="false">IFERROR(T196/F196,0)</f>
        <v>0.177263581488934</v>
      </c>
      <c r="Y196" s="63" t="n">
        <f aca="false">IFERROR(G196/F196,0)</f>
        <v>0</v>
      </c>
      <c r="Z196" s="59" t="n">
        <f aca="false">IF(E196&gt;0,F196*1000000000/E196,"")</f>
        <v>8590.55818145661</v>
      </c>
      <c r="AA196" s="63" t="n">
        <f aca="false">IFERROR((R196+S196+J196)/F196,0)</f>
        <v>1</v>
      </c>
      <c r="AB196" s="0" t="str">
        <f aca="false">A196&amp;"|"&amp;D196</f>
        <v>Belgium|2021</v>
      </c>
    </row>
    <row r="197" customFormat="false" ht="15" hidden="false" customHeight="false" outlineLevel="0" collapsed="false">
      <c r="A197" s="0" t="s">
        <v>198</v>
      </c>
      <c r="B197" s="0" t="s">
        <v>436</v>
      </c>
      <c r="C197" s="0" t="s">
        <v>127</v>
      </c>
      <c r="D197" s="0" t="n">
        <v>2022</v>
      </c>
      <c r="E197" s="59" t="n">
        <v>11641814</v>
      </c>
      <c r="F197" s="60" t="n">
        <v>94.33</v>
      </c>
      <c r="G197" s="61" t="n">
        <v>0</v>
      </c>
      <c r="H197" s="61" t="n">
        <v>21.95</v>
      </c>
      <c r="I197" s="61" t="n">
        <v>4.07</v>
      </c>
      <c r="J197" s="61" t="n">
        <v>43.88</v>
      </c>
      <c r="K197" s="61" t="n">
        <v>0.27</v>
      </c>
      <c r="L197" s="61" t="n">
        <v>6.88</v>
      </c>
      <c r="M197" s="61" t="n">
        <v>12.35</v>
      </c>
      <c r="N197" s="61" t="n">
        <v>4.93</v>
      </c>
      <c r="O197" s="61" t="n">
        <v>0</v>
      </c>
      <c r="P197" s="62" t="n">
        <v>139.4</v>
      </c>
      <c r="Q197" s="0" t="n">
        <v>0</v>
      </c>
      <c r="R197" s="60" t="n">
        <f aca="false">G197+H197+I197</f>
        <v>26.02</v>
      </c>
      <c r="S197" s="60" t="n">
        <f aca="false">K197+L197+M197+N197+O197</f>
        <v>24.43</v>
      </c>
      <c r="T197" s="60" t="n">
        <f aca="false">L197+M197</f>
        <v>19.23</v>
      </c>
      <c r="U197" s="60" t="n">
        <f aca="false">S197+J197</f>
        <v>68.31</v>
      </c>
      <c r="V197" s="63" t="n">
        <f aca="false">IFERROR(S197/F197,0)</f>
        <v>0.258984416410474</v>
      </c>
      <c r="W197" s="63" t="n">
        <f aca="false">IFERROR(R197/F197,0)</f>
        <v>0.275840135693841</v>
      </c>
      <c r="X197" s="63" t="n">
        <f aca="false">IFERROR(T197/F197,0)</f>
        <v>0.203858793596947</v>
      </c>
      <c r="Y197" s="63" t="n">
        <f aca="false">IFERROR(G197/F197,0)</f>
        <v>0</v>
      </c>
      <c r="Z197" s="59" t="n">
        <f aca="false">IF(E197&gt;0,F197*1000000000/E197,"")</f>
        <v>8102.68915136421</v>
      </c>
      <c r="AA197" s="63" t="n">
        <f aca="false">IFERROR((R197+S197+J197)/F197,0)</f>
        <v>1</v>
      </c>
      <c r="AB197" s="0" t="str">
        <f aca="false">A197&amp;"|"&amp;D197</f>
        <v>Belgium|2022</v>
      </c>
    </row>
    <row r="198" customFormat="false" ht="15" hidden="false" customHeight="false" outlineLevel="0" collapsed="false">
      <c r="A198" s="0" t="s">
        <v>198</v>
      </c>
      <c r="B198" s="0" t="s">
        <v>436</v>
      </c>
      <c r="C198" s="0" t="s">
        <v>127</v>
      </c>
      <c r="D198" s="0" t="n">
        <v>2023</v>
      </c>
      <c r="E198" s="59" t="n">
        <v>11712891</v>
      </c>
      <c r="F198" s="60" t="n">
        <v>82.13</v>
      </c>
      <c r="G198" s="61" t="n">
        <v>0</v>
      </c>
      <c r="H198" s="61" t="n">
        <v>18.3</v>
      </c>
      <c r="I198" s="61" t="n">
        <v>3.44</v>
      </c>
      <c r="J198" s="61" t="n">
        <v>32.93</v>
      </c>
      <c r="K198" s="61" t="n">
        <v>0.4</v>
      </c>
      <c r="L198" s="61" t="n">
        <v>7.83</v>
      </c>
      <c r="M198" s="61" t="n">
        <v>15.44</v>
      </c>
      <c r="N198" s="61" t="n">
        <v>3.79</v>
      </c>
      <c r="O198" s="61" t="n">
        <v>0</v>
      </c>
      <c r="P198" s="62" t="n">
        <v>134.7</v>
      </c>
      <c r="Q198" s="0" t="n">
        <v>0</v>
      </c>
      <c r="R198" s="60" t="n">
        <f aca="false">G198+H198+I198</f>
        <v>21.74</v>
      </c>
      <c r="S198" s="60" t="n">
        <f aca="false">K198+L198+M198+N198+O198</f>
        <v>27.46</v>
      </c>
      <c r="T198" s="60" t="n">
        <f aca="false">L198+M198</f>
        <v>23.27</v>
      </c>
      <c r="U198" s="60" t="n">
        <f aca="false">S198+J198</f>
        <v>60.39</v>
      </c>
      <c r="V198" s="63" t="n">
        <f aca="false">IFERROR(S198/F198,0)</f>
        <v>0.334347984901985</v>
      </c>
      <c r="W198" s="63" t="n">
        <f aca="false">IFERROR(R198/F198,0)</f>
        <v>0.264702301229758</v>
      </c>
      <c r="X198" s="63" t="n">
        <f aca="false">IFERROR(T198/F198,0)</f>
        <v>0.283331304030196</v>
      </c>
      <c r="Y198" s="63" t="n">
        <f aca="false">IFERROR(G198/F198,0)</f>
        <v>0</v>
      </c>
      <c r="Z198" s="59" t="n">
        <f aca="false">IF(E198&gt;0,F198*1000000000/E198,"")</f>
        <v>7011.93240848907</v>
      </c>
      <c r="AA198" s="63" t="n">
        <f aca="false">IFERROR((R198+S198+J198)/F198,0)</f>
        <v>1</v>
      </c>
      <c r="AB198" s="0" t="str">
        <f aca="false">A198&amp;"|"&amp;D198</f>
        <v>Belgium|2023</v>
      </c>
    </row>
    <row r="199" customFormat="false" ht="15" hidden="false" customHeight="false" outlineLevel="0" collapsed="false">
      <c r="A199" s="0" t="s">
        <v>198</v>
      </c>
      <c r="B199" s="0" t="s">
        <v>436</v>
      </c>
      <c r="C199" s="0" t="s">
        <v>127</v>
      </c>
      <c r="D199" s="0" t="n">
        <v>2024</v>
      </c>
      <c r="E199" s="59" t="n">
        <v>11738761</v>
      </c>
      <c r="F199" s="60" t="n">
        <v>76.01</v>
      </c>
      <c r="G199" s="61" t="n">
        <v>0</v>
      </c>
      <c r="H199" s="61" t="n">
        <v>14.17</v>
      </c>
      <c r="I199" s="61" t="n">
        <v>3.81</v>
      </c>
      <c r="J199" s="61" t="n">
        <v>31.25</v>
      </c>
      <c r="K199" s="61" t="n">
        <v>0.55</v>
      </c>
      <c r="L199" s="61" t="n">
        <v>8.56</v>
      </c>
      <c r="M199" s="61" t="n">
        <v>14.06</v>
      </c>
      <c r="N199" s="61" t="n">
        <v>3.61</v>
      </c>
      <c r="O199" s="61" t="n">
        <v>0</v>
      </c>
      <c r="P199" s="62" t="n">
        <v>127</v>
      </c>
      <c r="Q199" s="0" t="n">
        <v>0</v>
      </c>
      <c r="R199" s="60" t="n">
        <f aca="false">G199+H199+I199</f>
        <v>17.98</v>
      </c>
      <c r="S199" s="60" t="n">
        <f aca="false">K199+L199+M199+N199+O199</f>
        <v>26.78</v>
      </c>
      <c r="T199" s="60" t="n">
        <f aca="false">L199+M199</f>
        <v>22.62</v>
      </c>
      <c r="U199" s="60" t="n">
        <f aca="false">S199+J199</f>
        <v>58.03</v>
      </c>
      <c r="V199" s="63" t="n">
        <f aca="false">IFERROR(S199/F199,0)</f>
        <v>0.352322062886462</v>
      </c>
      <c r="W199" s="63" t="n">
        <f aca="false">IFERROR(R199/F199,0)</f>
        <v>0.236547822654914</v>
      </c>
      <c r="X199" s="63" t="n">
        <f aca="false">IFERROR(T199/F199,0)</f>
        <v>0.29759242204973</v>
      </c>
      <c r="Y199" s="63" t="n">
        <f aca="false">IFERROR(G199/F199,0)</f>
        <v>0</v>
      </c>
      <c r="Z199" s="59" t="n">
        <f aca="false">IF(E199&gt;0,F199*1000000000/E199,"")</f>
        <v>6475.1297006558</v>
      </c>
      <c r="AA199" s="63" t="n">
        <f aca="false">IFERROR((R199+S199+J199)/F199,0)</f>
        <v>1</v>
      </c>
      <c r="AB199" s="0" t="str">
        <f aca="false">A199&amp;"|"&amp;D199</f>
        <v>Belgium|2024</v>
      </c>
    </row>
    <row r="200" customFormat="false" ht="15" hidden="false" customHeight="false" outlineLevel="0" collapsed="false">
      <c r="A200" s="0" t="s">
        <v>198</v>
      </c>
      <c r="B200" s="0" t="s">
        <v>436</v>
      </c>
      <c r="C200" s="0" t="s">
        <v>127</v>
      </c>
      <c r="D200" s="0" t="n">
        <v>2025</v>
      </c>
      <c r="E200" s="59" t="n">
        <v>11758601</v>
      </c>
      <c r="F200" s="60" t="n">
        <v>72.89</v>
      </c>
      <c r="G200" s="61" t="n">
        <v>0</v>
      </c>
      <c r="H200" s="61" t="n">
        <v>15.7</v>
      </c>
      <c r="I200" s="61" t="n">
        <v>4.7</v>
      </c>
      <c r="J200" s="61" t="n">
        <v>24.11</v>
      </c>
      <c r="K200" s="61" t="n">
        <v>0.44</v>
      </c>
      <c r="L200" s="61" t="n">
        <v>10.45</v>
      </c>
      <c r="M200" s="61" t="n">
        <v>13.72</v>
      </c>
      <c r="N200" s="61" t="n">
        <v>3.77</v>
      </c>
      <c r="O200" s="61" t="n">
        <v>0</v>
      </c>
      <c r="P200" s="62" t="n">
        <v>149.8</v>
      </c>
      <c r="Q200" s="0" t="n">
        <v>0</v>
      </c>
      <c r="R200" s="60" t="n">
        <f aca="false">G200+H200+I200</f>
        <v>20.4</v>
      </c>
      <c r="S200" s="60" t="n">
        <f aca="false">K200+L200+M200+N200+O200</f>
        <v>28.38</v>
      </c>
      <c r="T200" s="60" t="n">
        <f aca="false">L200+M200</f>
        <v>24.17</v>
      </c>
      <c r="U200" s="60" t="n">
        <f aca="false">S200+J200</f>
        <v>52.49</v>
      </c>
      <c r="V200" s="63" t="n">
        <f aca="false">IFERROR(S200/F200,0)</f>
        <v>0.389353820825902</v>
      </c>
      <c r="W200" s="63" t="n">
        <f aca="false">IFERROR(R200/F200,0)</f>
        <v>0.279873782411853</v>
      </c>
      <c r="X200" s="63" t="n">
        <f aca="false">IFERROR(T200/F200,0)</f>
        <v>0.331595554945809</v>
      </c>
      <c r="Y200" s="63" t="n">
        <f aca="false">IFERROR(G200/F200,0)</f>
        <v>0</v>
      </c>
      <c r="Z200" s="59" t="n">
        <f aca="false">IF(E200&gt;0,F200*1000000000/E200,"")</f>
        <v>6198.8666849058</v>
      </c>
      <c r="AA200" s="63" t="n">
        <f aca="false">IFERROR((R200+S200+J200)/F200,0)</f>
        <v>1</v>
      </c>
      <c r="AB200" s="0" t="str">
        <f aca="false">A200&amp;"|"&amp;D200</f>
        <v>Belgium|2025</v>
      </c>
    </row>
    <row r="201" customFormat="false" ht="15" hidden="false" customHeight="false" outlineLevel="0" collapsed="false">
      <c r="A201" s="0" t="s">
        <v>199</v>
      </c>
      <c r="B201" s="0" t="s">
        <v>437</v>
      </c>
      <c r="C201" s="0" t="s">
        <v>127</v>
      </c>
      <c r="D201" s="0" t="n">
        <v>2015</v>
      </c>
      <c r="E201" s="59" t="n">
        <v>356341</v>
      </c>
      <c r="F201" s="60" t="n">
        <v>0.36</v>
      </c>
      <c r="G201" s="61" t="n">
        <v>0</v>
      </c>
      <c r="H201" s="61" t="n">
        <v>0.01</v>
      </c>
      <c r="I201" s="61" t="n">
        <v>0.02</v>
      </c>
      <c r="J201" s="61" t="n">
        <v>0</v>
      </c>
      <c r="K201" s="61" t="n">
        <v>0.24</v>
      </c>
      <c r="L201" s="61" t="n">
        <v>0</v>
      </c>
      <c r="M201" s="61" t="n">
        <v>0</v>
      </c>
      <c r="N201" s="61" t="n">
        <v>0.09</v>
      </c>
      <c r="O201" s="61" t="n">
        <v>0</v>
      </c>
      <c r="P201" s="62" t="n">
        <v>138.9</v>
      </c>
      <c r="Q201" s="0" t="n">
        <v>0</v>
      </c>
      <c r="R201" s="60" t="n">
        <f aca="false">G201+H201+I201</f>
        <v>0.03</v>
      </c>
      <c r="S201" s="60" t="n">
        <f aca="false">K201+L201+M201+N201+O201</f>
        <v>0.33</v>
      </c>
      <c r="T201" s="60" t="n">
        <f aca="false">L201+M201</f>
        <v>0</v>
      </c>
      <c r="U201" s="60" t="n">
        <f aca="false">S201+J201</f>
        <v>0.33</v>
      </c>
      <c r="V201" s="63" t="n">
        <f aca="false">IFERROR(S201/F201,0)</f>
        <v>0.916666666666667</v>
      </c>
      <c r="W201" s="63" t="n">
        <f aca="false">IFERROR(R201/F201,0)</f>
        <v>0.0833333333333333</v>
      </c>
      <c r="X201" s="63" t="n">
        <f aca="false">IFERROR(T201/F201,0)</f>
        <v>0</v>
      </c>
      <c r="Y201" s="63" t="n">
        <f aca="false">IFERROR(G201/F201,0)</f>
        <v>0</v>
      </c>
      <c r="Z201" s="59" t="n">
        <f aca="false">IF(E201&gt;0,F201*1000000000/E201,"")</f>
        <v>1010.26825428452</v>
      </c>
      <c r="AA201" s="63" t="n">
        <f aca="false">IFERROR((R201+S201+J201)/F201,0)</f>
        <v>1</v>
      </c>
      <c r="AB201" s="0" t="str">
        <f aca="false">A201&amp;"|"&amp;D201</f>
        <v>Belize|2015</v>
      </c>
    </row>
    <row r="202" customFormat="false" ht="15" hidden="false" customHeight="false" outlineLevel="0" collapsed="false">
      <c r="A202" s="0" t="s">
        <v>199</v>
      </c>
      <c r="B202" s="0" t="s">
        <v>437</v>
      </c>
      <c r="C202" s="0" t="s">
        <v>127</v>
      </c>
      <c r="D202" s="0" t="n">
        <v>2016</v>
      </c>
      <c r="E202" s="59" t="n">
        <v>364717</v>
      </c>
      <c r="F202" s="60" t="n">
        <v>0.38</v>
      </c>
      <c r="G202" s="61" t="n">
        <v>0</v>
      </c>
      <c r="H202" s="61" t="n">
        <v>0</v>
      </c>
      <c r="I202" s="61" t="n">
        <v>0.02</v>
      </c>
      <c r="J202" s="61" t="n">
        <v>0</v>
      </c>
      <c r="K202" s="61" t="n">
        <v>0.26</v>
      </c>
      <c r="L202" s="61" t="n">
        <v>0</v>
      </c>
      <c r="M202" s="61" t="n">
        <v>0</v>
      </c>
      <c r="N202" s="61" t="n">
        <v>0.1</v>
      </c>
      <c r="O202" s="61" t="n">
        <v>0</v>
      </c>
      <c r="P202" s="62" t="n">
        <v>105.3</v>
      </c>
      <c r="Q202" s="0" t="n">
        <v>0</v>
      </c>
      <c r="R202" s="60" t="n">
        <f aca="false">G202+H202+I202</f>
        <v>0.02</v>
      </c>
      <c r="S202" s="60" t="n">
        <f aca="false">K202+L202+M202+N202+O202</f>
        <v>0.36</v>
      </c>
      <c r="T202" s="60" t="n">
        <f aca="false">L202+M202</f>
        <v>0</v>
      </c>
      <c r="U202" s="60" t="n">
        <f aca="false">S202+J202</f>
        <v>0.36</v>
      </c>
      <c r="V202" s="63" t="n">
        <f aca="false">IFERROR(S202/F202,0)</f>
        <v>0.947368421052632</v>
      </c>
      <c r="W202" s="63" t="n">
        <f aca="false">IFERROR(R202/F202,0)</f>
        <v>0.0526315789473684</v>
      </c>
      <c r="X202" s="63" t="n">
        <f aca="false">IFERROR(T202/F202,0)</f>
        <v>0</v>
      </c>
      <c r="Y202" s="63" t="n">
        <f aca="false">IFERROR(G202/F202,0)</f>
        <v>0</v>
      </c>
      <c r="Z202" s="59" t="n">
        <f aca="false">IF(E202&gt;0,F202*1000000000/E202,"")</f>
        <v>1041.90372261233</v>
      </c>
      <c r="AA202" s="63" t="n">
        <f aca="false">IFERROR((R202+S202+J202)/F202,0)</f>
        <v>1</v>
      </c>
      <c r="AB202" s="0" t="str">
        <f aca="false">A202&amp;"|"&amp;D202</f>
        <v>Belize|2016</v>
      </c>
    </row>
    <row r="203" customFormat="false" ht="15" hidden="false" customHeight="false" outlineLevel="0" collapsed="false">
      <c r="A203" s="0" t="s">
        <v>199</v>
      </c>
      <c r="B203" s="0" t="s">
        <v>437</v>
      </c>
      <c r="C203" s="0" t="s">
        <v>127</v>
      </c>
      <c r="D203" s="0" t="n">
        <v>2017</v>
      </c>
      <c r="E203" s="59" t="n">
        <v>373215</v>
      </c>
      <c r="F203" s="60" t="n">
        <v>0.4</v>
      </c>
      <c r="G203" s="61" t="n">
        <v>0</v>
      </c>
      <c r="H203" s="61" t="n">
        <v>0</v>
      </c>
      <c r="I203" s="61" t="n">
        <v>0.02</v>
      </c>
      <c r="J203" s="61" t="n">
        <v>0</v>
      </c>
      <c r="K203" s="61" t="n">
        <v>0.27</v>
      </c>
      <c r="L203" s="61" t="n">
        <v>0</v>
      </c>
      <c r="M203" s="61" t="n">
        <v>0</v>
      </c>
      <c r="N203" s="61" t="n">
        <v>0.11</v>
      </c>
      <c r="O203" s="61" t="n">
        <v>0</v>
      </c>
      <c r="P203" s="62" t="n">
        <v>100</v>
      </c>
      <c r="Q203" s="0" t="n">
        <v>0</v>
      </c>
      <c r="R203" s="60" t="n">
        <f aca="false">G203+H203+I203</f>
        <v>0.02</v>
      </c>
      <c r="S203" s="60" t="n">
        <f aca="false">K203+L203+M203+N203+O203</f>
        <v>0.38</v>
      </c>
      <c r="T203" s="60" t="n">
        <f aca="false">L203+M203</f>
        <v>0</v>
      </c>
      <c r="U203" s="60" t="n">
        <f aca="false">S203+J203</f>
        <v>0.38</v>
      </c>
      <c r="V203" s="63" t="n">
        <f aca="false">IFERROR(S203/F203,0)</f>
        <v>0.95</v>
      </c>
      <c r="W203" s="63" t="n">
        <f aca="false">IFERROR(R203/F203,0)</f>
        <v>0.05</v>
      </c>
      <c r="X203" s="63" t="n">
        <f aca="false">IFERROR(T203/F203,0)</f>
        <v>0</v>
      </c>
      <c r="Y203" s="63" t="n">
        <f aca="false">IFERROR(G203/F203,0)</f>
        <v>0</v>
      </c>
      <c r="Z203" s="59" t="n">
        <f aca="false">IF(E203&gt;0,F203*1000000000/E203,"")</f>
        <v>1071.76828369706</v>
      </c>
      <c r="AA203" s="63" t="n">
        <f aca="false">IFERROR((R203+S203+J203)/F203,0)</f>
        <v>1</v>
      </c>
      <c r="AB203" s="0" t="str">
        <f aca="false">A203&amp;"|"&amp;D203</f>
        <v>Belize|2017</v>
      </c>
    </row>
    <row r="204" customFormat="false" ht="15" hidden="false" customHeight="false" outlineLevel="0" collapsed="false">
      <c r="A204" s="0" t="s">
        <v>199</v>
      </c>
      <c r="B204" s="0" t="s">
        <v>437</v>
      </c>
      <c r="C204" s="0" t="s">
        <v>127</v>
      </c>
      <c r="D204" s="0" t="n">
        <v>2018</v>
      </c>
      <c r="E204" s="59" t="n">
        <v>380232</v>
      </c>
      <c r="F204" s="60" t="n">
        <v>0.41</v>
      </c>
      <c r="G204" s="61" t="n">
        <v>0</v>
      </c>
      <c r="H204" s="61" t="n">
        <v>0</v>
      </c>
      <c r="I204" s="61" t="n">
        <v>0.03</v>
      </c>
      <c r="J204" s="61" t="n">
        <v>0</v>
      </c>
      <c r="K204" s="61" t="n">
        <v>0.25</v>
      </c>
      <c r="L204" s="61" t="n">
        <v>0</v>
      </c>
      <c r="M204" s="61" t="n">
        <v>0</v>
      </c>
      <c r="N204" s="61" t="n">
        <v>0.13</v>
      </c>
      <c r="O204" s="61" t="n">
        <v>0</v>
      </c>
      <c r="P204" s="62" t="n">
        <v>146.3</v>
      </c>
      <c r="Q204" s="0" t="n">
        <v>0</v>
      </c>
      <c r="R204" s="60" t="n">
        <f aca="false">G204+H204+I204</f>
        <v>0.03</v>
      </c>
      <c r="S204" s="60" t="n">
        <f aca="false">K204+L204+M204+N204+O204</f>
        <v>0.38</v>
      </c>
      <c r="T204" s="60" t="n">
        <f aca="false">L204+M204</f>
        <v>0</v>
      </c>
      <c r="U204" s="60" t="n">
        <f aca="false">S204+J204</f>
        <v>0.38</v>
      </c>
      <c r="V204" s="63" t="n">
        <f aca="false">IFERROR(S204/F204,0)</f>
        <v>0.926829268292683</v>
      </c>
      <c r="W204" s="63" t="n">
        <f aca="false">IFERROR(R204/F204,0)</f>
        <v>0.0731707317073171</v>
      </c>
      <c r="X204" s="63" t="n">
        <f aca="false">IFERROR(T204/F204,0)</f>
        <v>0</v>
      </c>
      <c r="Y204" s="63" t="n">
        <f aca="false">IFERROR(G204/F204,0)</f>
        <v>0</v>
      </c>
      <c r="Z204" s="59" t="n">
        <f aca="false">IF(E204&gt;0,F204*1000000000/E204,"")</f>
        <v>1078.28904458331</v>
      </c>
      <c r="AA204" s="63" t="n">
        <f aca="false">IFERROR((R204+S204+J204)/F204,0)</f>
        <v>1</v>
      </c>
      <c r="AB204" s="0" t="str">
        <f aca="false">A204&amp;"|"&amp;D204</f>
        <v>Belize|2018</v>
      </c>
    </row>
    <row r="205" customFormat="false" ht="15" hidden="false" customHeight="false" outlineLevel="0" collapsed="false">
      <c r="A205" s="0" t="s">
        <v>199</v>
      </c>
      <c r="B205" s="0" t="s">
        <v>437</v>
      </c>
      <c r="C205" s="0" t="s">
        <v>127</v>
      </c>
      <c r="D205" s="0" t="n">
        <v>2019</v>
      </c>
      <c r="E205" s="59" t="n">
        <v>385833</v>
      </c>
      <c r="F205" s="60" t="n">
        <v>0.52</v>
      </c>
      <c r="G205" s="61" t="n">
        <v>0</v>
      </c>
      <c r="H205" s="61" t="n">
        <v>0</v>
      </c>
      <c r="I205" s="61" t="n">
        <v>0.07</v>
      </c>
      <c r="J205" s="61" t="n">
        <v>0</v>
      </c>
      <c r="K205" s="61" t="n">
        <v>0.29</v>
      </c>
      <c r="L205" s="61" t="n">
        <v>0.01</v>
      </c>
      <c r="M205" s="61" t="n">
        <v>0</v>
      </c>
      <c r="N205" s="61" t="n">
        <v>0.15</v>
      </c>
      <c r="O205" s="61" t="n">
        <v>0</v>
      </c>
      <c r="P205" s="62" t="n">
        <v>173.1</v>
      </c>
      <c r="Q205" s="0" t="n">
        <v>0</v>
      </c>
      <c r="R205" s="60" t="n">
        <f aca="false">G205+H205+I205</f>
        <v>0.07</v>
      </c>
      <c r="S205" s="60" t="n">
        <f aca="false">K205+L205+M205+N205+O205</f>
        <v>0.45</v>
      </c>
      <c r="T205" s="60" t="n">
        <f aca="false">L205+M205</f>
        <v>0.01</v>
      </c>
      <c r="U205" s="60" t="n">
        <f aca="false">S205+J205</f>
        <v>0.45</v>
      </c>
      <c r="V205" s="63" t="n">
        <f aca="false">IFERROR(S205/F205,0)</f>
        <v>0.865384615384615</v>
      </c>
      <c r="W205" s="63" t="n">
        <f aca="false">IFERROR(R205/F205,0)</f>
        <v>0.134615384615385</v>
      </c>
      <c r="X205" s="63" t="n">
        <f aca="false">IFERROR(T205/F205,0)</f>
        <v>0.0192307692307692</v>
      </c>
      <c r="Y205" s="63" t="n">
        <f aca="false">IFERROR(G205/F205,0)</f>
        <v>0</v>
      </c>
      <c r="Z205" s="59" t="n">
        <f aca="false">IF(E205&gt;0,F205*1000000000/E205,"")</f>
        <v>1347.73334577395</v>
      </c>
      <c r="AA205" s="63" t="n">
        <f aca="false">IFERROR((R205+S205+J205)/F205,0)</f>
        <v>1</v>
      </c>
      <c r="AB205" s="0" t="str">
        <f aca="false">A205&amp;"|"&amp;D205</f>
        <v>Belize|2019</v>
      </c>
    </row>
    <row r="206" customFormat="false" ht="15" hidden="false" customHeight="false" outlineLevel="0" collapsed="false">
      <c r="A206" s="0" t="s">
        <v>199</v>
      </c>
      <c r="B206" s="0" t="s">
        <v>437</v>
      </c>
      <c r="C206" s="0" t="s">
        <v>127</v>
      </c>
      <c r="D206" s="0" t="n">
        <v>2020</v>
      </c>
      <c r="E206" s="59" t="n">
        <v>390819</v>
      </c>
      <c r="F206" s="60" t="n">
        <v>0.44</v>
      </c>
      <c r="G206" s="61" t="n">
        <v>0</v>
      </c>
      <c r="H206" s="61" t="n">
        <v>0</v>
      </c>
      <c r="I206" s="61" t="n">
        <v>0.05</v>
      </c>
      <c r="J206" s="61" t="n">
        <v>0</v>
      </c>
      <c r="K206" s="61" t="n">
        <v>0.24</v>
      </c>
      <c r="L206" s="61" t="n">
        <v>0.01</v>
      </c>
      <c r="M206" s="61" t="n">
        <v>0</v>
      </c>
      <c r="N206" s="61" t="n">
        <v>0.14</v>
      </c>
      <c r="O206" s="61" t="n">
        <v>0</v>
      </c>
      <c r="P206" s="62" t="n">
        <v>159.1</v>
      </c>
      <c r="Q206" s="0" t="n">
        <v>0</v>
      </c>
      <c r="R206" s="60" t="n">
        <f aca="false">G206+H206+I206</f>
        <v>0.05</v>
      </c>
      <c r="S206" s="60" t="n">
        <f aca="false">K206+L206+M206+N206+O206</f>
        <v>0.39</v>
      </c>
      <c r="T206" s="60" t="n">
        <f aca="false">L206+M206</f>
        <v>0.01</v>
      </c>
      <c r="U206" s="60" t="n">
        <f aca="false">S206+J206</f>
        <v>0.39</v>
      </c>
      <c r="V206" s="63" t="n">
        <f aca="false">IFERROR(S206/F206,0)</f>
        <v>0.886363636363636</v>
      </c>
      <c r="W206" s="63" t="n">
        <f aca="false">IFERROR(R206/F206,0)</f>
        <v>0.113636363636364</v>
      </c>
      <c r="X206" s="63" t="n">
        <f aca="false">IFERROR(T206/F206,0)</f>
        <v>0.0227272727272727</v>
      </c>
      <c r="Y206" s="63" t="n">
        <f aca="false">IFERROR(G206/F206,0)</f>
        <v>0</v>
      </c>
      <c r="Z206" s="59" t="n">
        <f aca="false">IF(E206&gt;0,F206*1000000000/E206,"")</f>
        <v>1125.8408623941</v>
      </c>
      <c r="AA206" s="63" t="n">
        <f aca="false">IFERROR((R206+S206+J206)/F206,0)</f>
        <v>1</v>
      </c>
      <c r="AB206" s="0" t="str">
        <f aca="false">A206&amp;"|"&amp;D206</f>
        <v>Belize|2020</v>
      </c>
    </row>
    <row r="207" customFormat="false" ht="15" hidden="false" customHeight="false" outlineLevel="0" collapsed="false">
      <c r="A207" s="0" t="s">
        <v>199</v>
      </c>
      <c r="B207" s="0" t="s">
        <v>437</v>
      </c>
      <c r="C207" s="0" t="s">
        <v>127</v>
      </c>
      <c r="D207" s="0" t="n">
        <v>2021</v>
      </c>
      <c r="E207" s="59" t="n">
        <v>395355</v>
      </c>
      <c r="F207" s="60" t="n">
        <v>0.36</v>
      </c>
      <c r="G207" s="61" t="n">
        <v>0</v>
      </c>
      <c r="H207" s="61" t="n">
        <v>0</v>
      </c>
      <c r="I207" s="61" t="n">
        <v>0.05</v>
      </c>
      <c r="J207" s="61" t="n">
        <v>0</v>
      </c>
      <c r="K207" s="61" t="n">
        <v>0.16</v>
      </c>
      <c r="L207" s="61" t="n">
        <v>0.01</v>
      </c>
      <c r="M207" s="61" t="n">
        <v>0</v>
      </c>
      <c r="N207" s="61" t="n">
        <v>0.14</v>
      </c>
      <c r="O207" s="61" t="n">
        <v>0</v>
      </c>
      <c r="P207" s="62" t="n">
        <v>166.7</v>
      </c>
      <c r="Q207" s="0" t="n">
        <v>0</v>
      </c>
      <c r="R207" s="60" t="n">
        <f aca="false">G207+H207+I207</f>
        <v>0.05</v>
      </c>
      <c r="S207" s="60" t="n">
        <f aca="false">K207+L207+M207+N207+O207</f>
        <v>0.31</v>
      </c>
      <c r="T207" s="60" t="n">
        <f aca="false">L207+M207</f>
        <v>0.01</v>
      </c>
      <c r="U207" s="60" t="n">
        <f aca="false">S207+J207</f>
        <v>0.31</v>
      </c>
      <c r="V207" s="63" t="n">
        <f aca="false">IFERROR(S207/F207,0)</f>
        <v>0.861111111111111</v>
      </c>
      <c r="W207" s="63" t="n">
        <f aca="false">IFERROR(R207/F207,0)</f>
        <v>0.138888888888889</v>
      </c>
      <c r="X207" s="63" t="n">
        <f aca="false">IFERROR(T207/F207,0)</f>
        <v>0.0277777777777778</v>
      </c>
      <c r="Y207" s="63" t="n">
        <f aca="false">IFERROR(G207/F207,0)</f>
        <v>0</v>
      </c>
      <c r="Z207" s="59" t="n">
        <f aca="false">IF(E207&gt;0,F207*1000000000/E207,"")</f>
        <v>910.574041051713</v>
      </c>
      <c r="AA207" s="63" t="n">
        <f aca="false">IFERROR((R207+S207+J207)/F207,0)</f>
        <v>1</v>
      </c>
      <c r="AB207" s="0" t="str">
        <f aca="false">A207&amp;"|"&amp;D207</f>
        <v>Belize|2021</v>
      </c>
    </row>
    <row r="208" customFormat="false" ht="15" hidden="false" customHeight="false" outlineLevel="0" collapsed="false">
      <c r="A208" s="0" t="s">
        <v>199</v>
      </c>
      <c r="B208" s="0" t="s">
        <v>437</v>
      </c>
      <c r="C208" s="0" t="s">
        <v>127</v>
      </c>
      <c r="D208" s="0" t="n">
        <v>2022</v>
      </c>
      <c r="E208" s="59" t="n">
        <v>402741</v>
      </c>
      <c r="F208" s="60" t="n">
        <v>0.47</v>
      </c>
      <c r="G208" s="61" t="n">
        <v>0</v>
      </c>
      <c r="H208" s="61" t="n">
        <v>0</v>
      </c>
      <c r="I208" s="61" t="n">
        <v>0.06</v>
      </c>
      <c r="J208" s="61" t="n">
        <v>0</v>
      </c>
      <c r="K208" s="61" t="n">
        <v>0.24</v>
      </c>
      <c r="L208" s="61" t="n">
        <v>0.01</v>
      </c>
      <c r="M208" s="61" t="n">
        <v>0</v>
      </c>
      <c r="N208" s="61" t="n">
        <v>0.16</v>
      </c>
      <c r="O208" s="61" t="n">
        <v>0</v>
      </c>
      <c r="P208" s="62" t="n">
        <v>170.2</v>
      </c>
      <c r="Q208" s="0" t="n">
        <v>0</v>
      </c>
      <c r="R208" s="60" t="n">
        <f aca="false">G208+H208+I208</f>
        <v>0.06</v>
      </c>
      <c r="S208" s="60" t="n">
        <f aca="false">K208+L208+M208+N208+O208</f>
        <v>0.41</v>
      </c>
      <c r="T208" s="60" t="n">
        <f aca="false">L208+M208</f>
        <v>0.01</v>
      </c>
      <c r="U208" s="60" t="n">
        <f aca="false">S208+J208</f>
        <v>0.41</v>
      </c>
      <c r="V208" s="63" t="n">
        <f aca="false">IFERROR(S208/F208,0)</f>
        <v>0.872340425531915</v>
      </c>
      <c r="W208" s="63" t="n">
        <f aca="false">IFERROR(R208/F208,0)</f>
        <v>0.127659574468085</v>
      </c>
      <c r="X208" s="63" t="n">
        <f aca="false">IFERROR(T208/F208,0)</f>
        <v>0.0212765957446809</v>
      </c>
      <c r="Y208" s="63" t="n">
        <f aca="false">IFERROR(G208/F208,0)</f>
        <v>0</v>
      </c>
      <c r="Z208" s="59" t="n">
        <f aca="false">IF(E208&gt;0,F208*1000000000/E208,"")</f>
        <v>1167.00311118063</v>
      </c>
      <c r="AA208" s="63" t="n">
        <f aca="false">IFERROR((R208+S208+J208)/F208,0)</f>
        <v>1</v>
      </c>
      <c r="AB208" s="0" t="str">
        <f aca="false">A208&amp;"|"&amp;D208</f>
        <v>Belize|2022</v>
      </c>
    </row>
    <row r="209" customFormat="false" ht="15" hidden="false" customHeight="false" outlineLevel="0" collapsed="false">
      <c r="A209" s="0" t="s">
        <v>199</v>
      </c>
      <c r="B209" s="0" t="s">
        <v>437</v>
      </c>
      <c r="C209" s="0" t="s">
        <v>127</v>
      </c>
      <c r="D209" s="0" t="n">
        <v>2023</v>
      </c>
      <c r="E209" s="59" t="n">
        <v>411112</v>
      </c>
      <c r="F209" s="60" t="n">
        <v>0.45</v>
      </c>
      <c r="G209" s="61" t="n">
        <v>0</v>
      </c>
      <c r="H209" s="61" t="n">
        <v>0</v>
      </c>
      <c r="I209" s="61" t="n">
        <v>0.05</v>
      </c>
      <c r="J209" s="61" t="n">
        <v>0</v>
      </c>
      <c r="K209" s="61" t="n">
        <v>0.24</v>
      </c>
      <c r="L209" s="61" t="n">
        <v>0.01</v>
      </c>
      <c r="M209" s="61" t="n">
        <v>0</v>
      </c>
      <c r="N209" s="61" t="n">
        <v>0.15</v>
      </c>
      <c r="O209" s="61" t="n">
        <v>0</v>
      </c>
      <c r="P209" s="62" t="n">
        <v>155.6</v>
      </c>
      <c r="Q209" s="0" t="n">
        <v>0</v>
      </c>
      <c r="R209" s="60" t="n">
        <f aca="false">G209+H209+I209</f>
        <v>0.05</v>
      </c>
      <c r="S209" s="60" t="n">
        <f aca="false">K209+L209+M209+N209+O209</f>
        <v>0.4</v>
      </c>
      <c r="T209" s="60" t="n">
        <f aca="false">L209+M209</f>
        <v>0.01</v>
      </c>
      <c r="U209" s="60" t="n">
        <f aca="false">S209+J209</f>
        <v>0.4</v>
      </c>
      <c r="V209" s="63" t="n">
        <f aca="false">IFERROR(S209/F209,0)</f>
        <v>0.888888888888889</v>
      </c>
      <c r="W209" s="63" t="n">
        <f aca="false">IFERROR(R209/F209,0)</f>
        <v>0.111111111111111</v>
      </c>
      <c r="X209" s="63" t="n">
        <f aca="false">IFERROR(T209/F209,0)</f>
        <v>0.0222222222222222</v>
      </c>
      <c r="Y209" s="63" t="n">
        <f aca="false">IFERROR(G209/F209,0)</f>
        <v>0</v>
      </c>
      <c r="Z209" s="59" t="n">
        <f aca="false">IF(E209&gt;0,F209*1000000000/E209,"")</f>
        <v>1094.5922279087</v>
      </c>
      <c r="AA209" s="63" t="n">
        <f aca="false">IFERROR((R209+S209+J209)/F209,0)</f>
        <v>1</v>
      </c>
      <c r="AB209" s="0" t="str">
        <f aca="false">A209&amp;"|"&amp;D209</f>
        <v>Belize|2023</v>
      </c>
    </row>
    <row r="210" customFormat="false" ht="15" hidden="false" customHeight="false" outlineLevel="0" collapsed="false">
      <c r="A210" s="0" t="s">
        <v>199</v>
      </c>
      <c r="B210" s="0" t="s">
        <v>437</v>
      </c>
      <c r="C210" s="0" t="s">
        <v>127</v>
      </c>
      <c r="D210" s="0" t="n">
        <v>2024</v>
      </c>
      <c r="E210" s="59" t="n">
        <v>417077</v>
      </c>
      <c r="F210" s="60" t="n">
        <v>0.47</v>
      </c>
      <c r="G210" s="61" t="n">
        <v>0</v>
      </c>
      <c r="H210" s="61" t="n">
        <v>0</v>
      </c>
      <c r="I210" s="61" t="n">
        <v>0.06</v>
      </c>
      <c r="J210" s="61" t="n">
        <v>0</v>
      </c>
      <c r="K210" s="61" t="n">
        <v>0.24</v>
      </c>
      <c r="L210" s="61" t="n">
        <v>0.01</v>
      </c>
      <c r="M210" s="61" t="n">
        <v>0</v>
      </c>
      <c r="N210" s="61" t="n">
        <v>0.16</v>
      </c>
      <c r="O210" s="61" t="n">
        <v>0</v>
      </c>
      <c r="P210" s="62" t="n">
        <v>170.2</v>
      </c>
      <c r="Q210" s="0" t="n">
        <v>0</v>
      </c>
      <c r="R210" s="60" t="n">
        <f aca="false">G210+H210+I210</f>
        <v>0.06</v>
      </c>
      <c r="S210" s="60" t="n">
        <f aca="false">K210+L210+M210+N210+O210</f>
        <v>0.41</v>
      </c>
      <c r="T210" s="60" t="n">
        <f aca="false">L210+M210</f>
        <v>0.01</v>
      </c>
      <c r="U210" s="60" t="n">
        <f aca="false">S210+J210</f>
        <v>0.41</v>
      </c>
      <c r="V210" s="63" t="n">
        <f aca="false">IFERROR(S210/F210,0)</f>
        <v>0.872340425531915</v>
      </c>
      <c r="W210" s="63" t="n">
        <f aca="false">IFERROR(R210/F210,0)</f>
        <v>0.127659574468085</v>
      </c>
      <c r="X210" s="63" t="n">
        <f aca="false">IFERROR(T210/F210,0)</f>
        <v>0.0212765957446809</v>
      </c>
      <c r="Y210" s="63" t="n">
        <f aca="false">IFERROR(G210/F210,0)</f>
        <v>0</v>
      </c>
      <c r="Z210" s="59" t="n">
        <f aca="false">IF(E210&gt;0,F210*1000000000/E210,"")</f>
        <v>1126.89023849313</v>
      </c>
      <c r="AA210" s="63" t="n">
        <f aca="false">IFERROR((R210+S210+J210)/F210,0)</f>
        <v>1</v>
      </c>
      <c r="AB210" s="0" t="str">
        <f aca="false">A210&amp;"|"&amp;D210</f>
        <v>Belize|2024</v>
      </c>
    </row>
    <row r="211" customFormat="false" ht="15" hidden="false" customHeight="false" outlineLevel="0" collapsed="false">
      <c r="A211" s="0" t="s">
        <v>200</v>
      </c>
      <c r="B211" s="0" t="s">
        <v>438</v>
      </c>
      <c r="C211" s="0" t="s">
        <v>127</v>
      </c>
      <c r="D211" s="0" t="n">
        <v>2015</v>
      </c>
      <c r="E211" s="59" t="n">
        <v>11360681</v>
      </c>
      <c r="F211" s="60" t="n">
        <v>0.32</v>
      </c>
      <c r="G211" s="61" t="n">
        <v>0</v>
      </c>
      <c r="H211" s="61" t="n">
        <v>0.11</v>
      </c>
      <c r="I211" s="61" t="n">
        <v>0.21</v>
      </c>
      <c r="J211" s="61" t="n">
        <v>0</v>
      </c>
      <c r="K211" s="61" t="n">
        <v>0</v>
      </c>
      <c r="L211" s="61" t="n">
        <v>0</v>
      </c>
      <c r="M211" s="61" t="n">
        <v>0</v>
      </c>
      <c r="N211" s="61" t="n">
        <v>0</v>
      </c>
      <c r="O211" s="61" t="n">
        <v>0</v>
      </c>
      <c r="P211" s="62" t="n">
        <v>625</v>
      </c>
      <c r="Q211" s="0" t="n">
        <v>0</v>
      </c>
      <c r="R211" s="60" t="n">
        <f aca="false">G211+H211+I211</f>
        <v>0.32</v>
      </c>
      <c r="S211" s="60" t="n">
        <f aca="false">K211+L211+M211+N211+O211</f>
        <v>0</v>
      </c>
      <c r="T211" s="60" t="n">
        <f aca="false">L211+M211</f>
        <v>0</v>
      </c>
      <c r="U211" s="60" t="n">
        <f aca="false">S211+J211</f>
        <v>0</v>
      </c>
      <c r="V211" s="63" t="n">
        <f aca="false">IFERROR(S211/F211,0)</f>
        <v>0</v>
      </c>
      <c r="W211" s="63" t="n">
        <f aca="false">IFERROR(R211/F211,0)</f>
        <v>1</v>
      </c>
      <c r="X211" s="63" t="n">
        <f aca="false">IFERROR(T211/F211,0)</f>
        <v>0</v>
      </c>
      <c r="Y211" s="63" t="n">
        <f aca="false">IFERROR(G211/F211,0)</f>
        <v>0</v>
      </c>
      <c r="Z211" s="59" t="n">
        <f aca="false">IF(E211&gt;0,F211*1000000000/E211,"")</f>
        <v>28.1673255326859</v>
      </c>
      <c r="AA211" s="63" t="n">
        <f aca="false">IFERROR((R211+S211+J211)/F211,0)</f>
        <v>1</v>
      </c>
      <c r="AB211" s="0" t="str">
        <f aca="false">A211&amp;"|"&amp;D211</f>
        <v>Benin|2015</v>
      </c>
    </row>
    <row r="212" customFormat="false" ht="15" hidden="false" customHeight="false" outlineLevel="0" collapsed="false">
      <c r="A212" s="0" t="s">
        <v>200</v>
      </c>
      <c r="B212" s="0" t="s">
        <v>438</v>
      </c>
      <c r="C212" s="0" t="s">
        <v>127</v>
      </c>
      <c r="D212" s="0" t="n">
        <v>2016</v>
      </c>
      <c r="E212" s="59" t="n">
        <v>11697845</v>
      </c>
      <c r="F212" s="60" t="n">
        <v>0.27</v>
      </c>
      <c r="G212" s="61" t="n">
        <v>0</v>
      </c>
      <c r="H212" s="61" t="n">
        <v>0.01</v>
      </c>
      <c r="I212" s="61" t="n">
        <v>0.26</v>
      </c>
      <c r="J212" s="61" t="n">
        <v>0</v>
      </c>
      <c r="K212" s="61" t="n">
        <v>0</v>
      </c>
      <c r="L212" s="61" t="n">
        <v>0</v>
      </c>
      <c r="M212" s="61" t="n">
        <v>0</v>
      </c>
      <c r="N212" s="61" t="n">
        <v>0</v>
      </c>
      <c r="O212" s="61" t="n">
        <v>0</v>
      </c>
      <c r="P212" s="62" t="n">
        <v>666.7</v>
      </c>
      <c r="Q212" s="0" t="n">
        <v>0</v>
      </c>
      <c r="R212" s="60" t="n">
        <f aca="false">G212+H212+I212</f>
        <v>0.27</v>
      </c>
      <c r="S212" s="60" t="n">
        <f aca="false">K212+L212+M212+N212+O212</f>
        <v>0</v>
      </c>
      <c r="T212" s="60" t="n">
        <f aca="false">L212+M212</f>
        <v>0</v>
      </c>
      <c r="U212" s="60" t="n">
        <f aca="false">S212+J212</f>
        <v>0</v>
      </c>
      <c r="V212" s="63" t="n">
        <f aca="false">IFERROR(S212/F212,0)</f>
        <v>0</v>
      </c>
      <c r="W212" s="63" t="n">
        <f aca="false">IFERROR(R212/F212,0)</f>
        <v>1</v>
      </c>
      <c r="X212" s="63" t="n">
        <f aca="false">IFERROR(T212/F212,0)</f>
        <v>0</v>
      </c>
      <c r="Y212" s="63" t="n">
        <f aca="false">IFERROR(G212/F212,0)</f>
        <v>0</v>
      </c>
      <c r="Z212" s="59" t="n">
        <f aca="false">IF(E212&gt;0,F212*1000000000/E212,"")</f>
        <v>23.0811743530539</v>
      </c>
      <c r="AA212" s="63" t="n">
        <f aca="false">IFERROR((R212+S212+J212)/F212,0)</f>
        <v>1</v>
      </c>
      <c r="AB212" s="0" t="str">
        <f aca="false">A212&amp;"|"&amp;D212</f>
        <v>Benin|2016</v>
      </c>
    </row>
    <row r="213" customFormat="false" ht="15" hidden="false" customHeight="false" outlineLevel="0" collapsed="false">
      <c r="A213" s="0" t="s">
        <v>200</v>
      </c>
      <c r="B213" s="0" t="s">
        <v>438</v>
      </c>
      <c r="C213" s="0" t="s">
        <v>127</v>
      </c>
      <c r="D213" s="0" t="n">
        <v>2017</v>
      </c>
      <c r="E213" s="59" t="n">
        <v>12039777</v>
      </c>
      <c r="F213" s="60" t="n">
        <v>0.32</v>
      </c>
      <c r="G213" s="61" t="n">
        <v>0</v>
      </c>
      <c r="H213" s="61" t="n">
        <v>0.14</v>
      </c>
      <c r="I213" s="61" t="n">
        <v>0.18</v>
      </c>
      <c r="J213" s="61" t="n">
        <v>0</v>
      </c>
      <c r="K213" s="61" t="n">
        <v>0</v>
      </c>
      <c r="L213" s="61" t="n">
        <v>0</v>
      </c>
      <c r="M213" s="61" t="n">
        <v>0</v>
      </c>
      <c r="N213" s="61" t="n">
        <v>0</v>
      </c>
      <c r="O213" s="61" t="n">
        <v>0</v>
      </c>
      <c r="P213" s="62" t="n">
        <v>625</v>
      </c>
      <c r="Q213" s="0" t="n">
        <v>0</v>
      </c>
      <c r="R213" s="60" t="n">
        <f aca="false">G213+H213+I213</f>
        <v>0.32</v>
      </c>
      <c r="S213" s="60" t="n">
        <f aca="false">K213+L213+M213+N213+O213</f>
        <v>0</v>
      </c>
      <c r="T213" s="60" t="n">
        <f aca="false">L213+M213</f>
        <v>0</v>
      </c>
      <c r="U213" s="60" t="n">
        <f aca="false">S213+J213</f>
        <v>0</v>
      </c>
      <c r="V213" s="63" t="n">
        <f aca="false">IFERROR(S213/F213,0)</f>
        <v>0</v>
      </c>
      <c r="W213" s="63" t="n">
        <f aca="false">IFERROR(R213/F213,0)</f>
        <v>1</v>
      </c>
      <c r="X213" s="63" t="n">
        <f aca="false">IFERROR(T213/F213,0)</f>
        <v>0</v>
      </c>
      <c r="Y213" s="63" t="n">
        <f aca="false">IFERROR(G213/F213,0)</f>
        <v>0</v>
      </c>
      <c r="Z213" s="59" t="n">
        <f aca="false">IF(E213&gt;0,F213*1000000000/E213,"")</f>
        <v>26.578565367116</v>
      </c>
      <c r="AA213" s="63" t="n">
        <f aca="false">IFERROR((R213+S213+J213)/F213,0)</f>
        <v>1</v>
      </c>
      <c r="AB213" s="0" t="str">
        <f aca="false">A213&amp;"|"&amp;D213</f>
        <v>Benin|2017</v>
      </c>
    </row>
    <row r="214" customFormat="false" ht="15" hidden="false" customHeight="false" outlineLevel="0" collapsed="false">
      <c r="A214" s="0" t="s">
        <v>200</v>
      </c>
      <c r="B214" s="0" t="s">
        <v>438</v>
      </c>
      <c r="C214" s="0" t="s">
        <v>127</v>
      </c>
      <c r="D214" s="0" t="n">
        <v>2018</v>
      </c>
      <c r="E214" s="59" t="n">
        <v>12383349</v>
      </c>
      <c r="F214" s="60" t="n">
        <v>0.19</v>
      </c>
      <c r="G214" s="61" t="n">
        <v>0</v>
      </c>
      <c r="H214" s="61" t="n">
        <v>0.06</v>
      </c>
      <c r="I214" s="61" t="n">
        <v>0.13</v>
      </c>
      <c r="J214" s="61" t="n">
        <v>0</v>
      </c>
      <c r="K214" s="61" t="n">
        <v>0</v>
      </c>
      <c r="L214" s="61" t="n">
        <v>0</v>
      </c>
      <c r="M214" s="61" t="n">
        <v>0</v>
      </c>
      <c r="N214" s="61" t="n">
        <v>0</v>
      </c>
      <c r="O214" s="61" t="n">
        <v>0</v>
      </c>
      <c r="P214" s="62" t="n">
        <v>631.6</v>
      </c>
      <c r="Q214" s="0" t="n">
        <v>0</v>
      </c>
      <c r="R214" s="60" t="n">
        <f aca="false">G214+H214+I214</f>
        <v>0.19</v>
      </c>
      <c r="S214" s="60" t="n">
        <f aca="false">K214+L214+M214+N214+O214</f>
        <v>0</v>
      </c>
      <c r="T214" s="60" t="n">
        <f aca="false">L214+M214</f>
        <v>0</v>
      </c>
      <c r="U214" s="60" t="n">
        <f aca="false">S214+J214</f>
        <v>0</v>
      </c>
      <c r="V214" s="63" t="n">
        <f aca="false">IFERROR(S214/F214,0)</f>
        <v>0</v>
      </c>
      <c r="W214" s="63" t="n">
        <f aca="false">IFERROR(R214/F214,0)</f>
        <v>1</v>
      </c>
      <c r="X214" s="63" t="n">
        <f aca="false">IFERROR(T214/F214,0)</f>
        <v>0</v>
      </c>
      <c r="Y214" s="63" t="n">
        <f aca="false">IFERROR(G214/F214,0)</f>
        <v>0</v>
      </c>
      <c r="Z214" s="59" t="n">
        <f aca="false">IF(E214&gt;0,F214*1000000000/E214,"")</f>
        <v>15.3431838188522</v>
      </c>
      <c r="AA214" s="63" t="n">
        <f aca="false">IFERROR((R214+S214+J214)/F214,0)</f>
        <v>1</v>
      </c>
      <c r="AB214" s="0" t="str">
        <f aca="false">A214&amp;"|"&amp;D214</f>
        <v>Benin|2018</v>
      </c>
    </row>
    <row r="215" customFormat="false" ht="15" hidden="false" customHeight="false" outlineLevel="0" collapsed="false">
      <c r="A215" s="0" t="s">
        <v>200</v>
      </c>
      <c r="B215" s="0" t="s">
        <v>438</v>
      </c>
      <c r="C215" s="0" t="s">
        <v>127</v>
      </c>
      <c r="D215" s="0" t="n">
        <v>2019</v>
      </c>
      <c r="E215" s="59" t="n">
        <v>12726760</v>
      </c>
      <c r="F215" s="60" t="n">
        <v>0.54</v>
      </c>
      <c r="G215" s="61" t="n">
        <v>0</v>
      </c>
      <c r="H215" s="61" t="n">
        <v>0.32</v>
      </c>
      <c r="I215" s="61" t="n">
        <v>0.21</v>
      </c>
      <c r="J215" s="61" t="n">
        <v>0</v>
      </c>
      <c r="K215" s="61" t="n">
        <v>0</v>
      </c>
      <c r="L215" s="61" t="n">
        <v>0.01</v>
      </c>
      <c r="M215" s="61" t="n">
        <v>0</v>
      </c>
      <c r="N215" s="61" t="n">
        <v>0</v>
      </c>
      <c r="O215" s="61" t="n">
        <v>0</v>
      </c>
      <c r="P215" s="62" t="n">
        <v>611.1</v>
      </c>
      <c r="Q215" s="0" t="n">
        <v>0</v>
      </c>
      <c r="R215" s="60" t="n">
        <f aca="false">G215+H215+I215</f>
        <v>0.53</v>
      </c>
      <c r="S215" s="60" t="n">
        <f aca="false">K215+L215+M215+N215+O215</f>
        <v>0.01</v>
      </c>
      <c r="T215" s="60" t="n">
        <f aca="false">L215+M215</f>
        <v>0.01</v>
      </c>
      <c r="U215" s="60" t="n">
        <f aca="false">S215+J215</f>
        <v>0.01</v>
      </c>
      <c r="V215" s="63" t="n">
        <f aca="false">IFERROR(S215/F215,0)</f>
        <v>0.0185185185185185</v>
      </c>
      <c r="W215" s="63" t="n">
        <f aca="false">IFERROR(R215/F215,0)</f>
        <v>0.981481481481482</v>
      </c>
      <c r="X215" s="63" t="n">
        <f aca="false">IFERROR(T215/F215,0)</f>
        <v>0.0185185185185185</v>
      </c>
      <c r="Y215" s="63" t="n">
        <f aca="false">IFERROR(G215/F215,0)</f>
        <v>0</v>
      </c>
      <c r="Z215" s="59" t="n">
        <f aca="false">IF(E215&gt;0,F215*1000000000/E215,"")</f>
        <v>42.4302807627393</v>
      </c>
      <c r="AA215" s="63" t="n">
        <f aca="false">IFERROR((R215+S215+J215)/F215,0)</f>
        <v>1</v>
      </c>
      <c r="AB215" s="0" t="str">
        <f aca="false">A215&amp;"|"&amp;D215</f>
        <v>Benin|2019</v>
      </c>
    </row>
    <row r="216" customFormat="false" ht="15" hidden="false" customHeight="false" outlineLevel="0" collapsed="false">
      <c r="A216" s="0" t="s">
        <v>200</v>
      </c>
      <c r="B216" s="0" t="s">
        <v>438</v>
      </c>
      <c r="C216" s="0" t="s">
        <v>127</v>
      </c>
      <c r="D216" s="0" t="n">
        <v>2020</v>
      </c>
      <c r="E216" s="59" t="n">
        <v>13070169</v>
      </c>
      <c r="F216" s="60" t="n">
        <v>0.99</v>
      </c>
      <c r="G216" s="61" t="n">
        <v>0</v>
      </c>
      <c r="H216" s="61" t="n">
        <v>0.75</v>
      </c>
      <c r="I216" s="61" t="n">
        <v>0.23</v>
      </c>
      <c r="J216" s="61" t="n">
        <v>0</v>
      </c>
      <c r="K216" s="61" t="n">
        <v>0</v>
      </c>
      <c r="L216" s="61" t="n">
        <v>0.01</v>
      </c>
      <c r="M216" s="61" t="n">
        <v>0</v>
      </c>
      <c r="N216" s="61" t="n">
        <v>0</v>
      </c>
      <c r="O216" s="61" t="n">
        <v>0</v>
      </c>
      <c r="P216" s="62" t="n">
        <v>596</v>
      </c>
      <c r="Q216" s="0" t="n">
        <v>0</v>
      </c>
      <c r="R216" s="60" t="n">
        <f aca="false">G216+H216+I216</f>
        <v>0.98</v>
      </c>
      <c r="S216" s="60" t="n">
        <f aca="false">K216+L216+M216+N216+O216</f>
        <v>0.01</v>
      </c>
      <c r="T216" s="60" t="n">
        <f aca="false">L216+M216</f>
        <v>0.01</v>
      </c>
      <c r="U216" s="60" t="n">
        <f aca="false">S216+J216</f>
        <v>0.01</v>
      </c>
      <c r="V216" s="63" t="n">
        <f aca="false">IFERROR(S216/F216,0)</f>
        <v>0.0101010101010101</v>
      </c>
      <c r="W216" s="63" t="n">
        <f aca="false">IFERROR(R216/F216,0)</f>
        <v>0.98989898989899</v>
      </c>
      <c r="X216" s="63" t="n">
        <f aca="false">IFERROR(T216/F216,0)</f>
        <v>0.0101010101010101</v>
      </c>
      <c r="Y216" s="63" t="n">
        <f aca="false">IFERROR(G216/F216,0)</f>
        <v>0</v>
      </c>
      <c r="Z216" s="59" t="n">
        <f aca="false">IF(E216&gt;0,F216*1000000000/E216,"")</f>
        <v>75.7450037562636</v>
      </c>
      <c r="AA216" s="63" t="n">
        <f aca="false">IFERROR((R216+S216+J216)/F216,0)</f>
        <v>1</v>
      </c>
      <c r="AB216" s="0" t="str">
        <f aca="false">A216&amp;"|"&amp;D216</f>
        <v>Benin|2020</v>
      </c>
    </row>
    <row r="217" customFormat="false" ht="15" hidden="false" customHeight="false" outlineLevel="0" collapsed="false">
      <c r="A217" s="0" t="s">
        <v>200</v>
      </c>
      <c r="B217" s="0" t="s">
        <v>438</v>
      </c>
      <c r="C217" s="0" t="s">
        <v>127</v>
      </c>
      <c r="D217" s="0" t="n">
        <v>2021</v>
      </c>
      <c r="E217" s="59" t="n">
        <v>13413423</v>
      </c>
      <c r="F217" s="60" t="n">
        <v>1.13</v>
      </c>
      <c r="G217" s="61" t="n">
        <v>0</v>
      </c>
      <c r="H217" s="61" t="n">
        <v>0.89</v>
      </c>
      <c r="I217" s="61" t="n">
        <v>0.22</v>
      </c>
      <c r="J217" s="61" t="n">
        <v>0</v>
      </c>
      <c r="K217" s="61" t="n">
        <v>0</v>
      </c>
      <c r="L217" s="61" t="n">
        <v>0.02</v>
      </c>
      <c r="M217" s="61" t="n">
        <v>0</v>
      </c>
      <c r="N217" s="61" t="n">
        <v>0</v>
      </c>
      <c r="O217" s="61" t="n">
        <v>0</v>
      </c>
      <c r="P217" s="62" t="n">
        <v>584.1</v>
      </c>
      <c r="Q217" s="0" t="n">
        <v>0</v>
      </c>
      <c r="R217" s="60" t="n">
        <f aca="false">G217+H217+I217</f>
        <v>1.11</v>
      </c>
      <c r="S217" s="60" t="n">
        <f aca="false">K217+L217+M217+N217+O217</f>
        <v>0.02</v>
      </c>
      <c r="T217" s="60" t="n">
        <f aca="false">L217+M217</f>
        <v>0.02</v>
      </c>
      <c r="U217" s="60" t="n">
        <f aca="false">S217+J217</f>
        <v>0.02</v>
      </c>
      <c r="V217" s="63" t="n">
        <f aca="false">IFERROR(S217/F217,0)</f>
        <v>0.0176991150442478</v>
      </c>
      <c r="W217" s="63" t="n">
        <f aca="false">IFERROR(R217/F217,0)</f>
        <v>0.982300884955752</v>
      </c>
      <c r="X217" s="63" t="n">
        <f aca="false">IFERROR(T217/F217,0)</f>
        <v>0.0176991150442478</v>
      </c>
      <c r="Y217" s="63" t="n">
        <f aca="false">IFERROR(G217/F217,0)</f>
        <v>0</v>
      </c>
      <c r="Z217" s="59" t="n">
        <f aca="false">IF(E217&gt;0,F217*1000000000/E217,"")</f>
        <v>84.2439696414554</v>
      </c>
      <c r="AA217" s="63" t="n">
        <f aca="false">IFERROR((R217+S217+J217)/F217,0)</f>
        <v>1</v>
      </c>
      <c r="AB217" s="0" t="str">
        <f aca="false">A217&amp;"|"&amp;D217</f>
        <v>Benin|2021</v>
      </c>
    </row>
    <row r="218" customFormat="false" ht="15" hidden="false" customHeight="false" outlineLevel="0" collapsed="false">
      <c r="A218" s="0" t="s">
        <v>200</v>
      </c>
      <c r="B218" s="0" t="s">
        <v>438</v>
      </c>
      <c r="C218" s="0" t="s">
        <v>127</v>
      </c>
      <c r="D218" s="0" t="n">
        <v>2022</v>
      </c>
      <c r="E218" s="59" t="n">
        <v>13759507</v>
      </c>
      <c r="F218" s="60" t="n">
        <v>0.99</v>
      </c>
      <c r="G218" s="61" t="n">
        <v>0</v>
      </c>
      <c r="H218" s="61" t="n">
        <v>0.73</v>
      </c>
      <c r="I218" s="61" t="n">
        <v>0.24</v>
      </c>
      <c r="J218" s="61" t="n">
        <v>0</v>
      </c>
      <c r="K218" s="61" t="n">
        <v>0</v>
      </c>
      <c r="L218" s="61" t="n">
        <v>0.02</v>
      </c>
      <c r="M218" s="61" t="n">
        <v>0</v>
      </c>
      <c r="N218" s="61" t="n">
        <v>0</v>
      </c>
      <c r="O218" s="61" t="n">
        <v>0</v>
      </c>
      <c r="P218" s="62" t="n">
        <v>596</v>
      </c>
      <c r="Q218" s="0" t="n">
        <v>0</v>
      </c>
      <c r="R218" s="60" t="n">
        <f aca="false">G218+H218+I218</f>
        <v>0.97</v>
      </c>
      <c r="S218" s="60" t="n">
        <f aca="false">K218+L218+M218+N218+O218</f>
        <v>0.02</v>
      </c>
      <c r="T218" s="60" t="n">
        <f aca="false">L218+M218</f>
        <v>0.02</v>
      </c>
      <c r="U218" s="60" t="n">
        <f aca="false">S218+J218</f>
        <v>0.02</v>
      </c>
      <c r="V218" s="63" t="n">
        <f aca="false">IFERROR(S218/F218,0)</f>
        <v>0.0202020202020202</v>
      </c>
      <c r="W218" s="63" t="n">
        <f aca="false">IFERROR(R218/F218,0)</f>
        <v>0.97979797979798</v>
      </c>
      <c r="X218" s="63" t="n">
        <f aca="false">IFERROR(T218/F218,0)</f>
        <v>0.0202020202020202</v>
      </c>
      <c r="Y218" s="63" t="n">
        <f aca="false">IFERROR(G218/F218,0)</f>
        <v>0</v>
      </c>
      <c r="Z218" s="59" t="n">
        <f aca="false">IF(E218&gt;0,F218*1000000000/E218,"")</f>
        <v>71.9502522873821</v>
      </c>
      <c r="AA218" s="63" t="n">
        <f aca="false">IFERROR((R218+S218+J218)/F218,0)</f>
        <v>1</v>
      </c>
      <c r="AB218" s="0" t="str">
        <f aca="false">A218&amp;"|"&amp;D218</f>
        <v>Benin|2022</v>
      </c>
    </row>
    <row r="219" customFormat="false" ht="15" hidden="false" customHeight="false" outlineLevel="0" collapsed="false">
      <c r="A219" s="0" t="s">
        <v>200</v>
      </c>
      <c r="B219" s="0" t="s">
        <v>438</v>
      </c>
      <c r="C219" s="0" t="s">
        <v>127</v>
      </c>
      <c r="D219" s="0" t="n">
        <v>2023</v>
      </c>
      <c r="E219" s="59" t="n">
        <v>14111035</v>
      </c>
      <c r="F219" s="60" t="n">
        <v>1</v>
      </c>
      <c r="G219" s="61" t="n">
        <v>0</v>
      </c>
      <c r="H219" s="61" t="n">
        <v>0.73</v>
      </c>
      <c r="I219" s="61" t="n">
        <v>0.24</v>
      </c>
      <c r="J219" s="61" t="n">
        <v>0</v>
      </c>
      <c r="K219" s="61" t="n">
        <v>0</v>
      </c>
      <c r="L219" s="61" t="n">
        <v>0.03</v>
      </c>
      <c r="M219" s="61" t="n">
        <v>0</v>
      </c>
      <c r="N219" s="61" t="n">
        <v>0</v>
      </c>
      <c r="O219" s="61" t="n">
        <v>0</v>
      </c>
      <c r="P219" s="62" t="n">
        <v>590</v>
      </c>
      <c r="Q219" s="0" t="n">
        <v>0</v>
      </c>
      <c r="R219" s="60" t="n">
        <f aca="false">G219+H219+I219</f>
        <v>0.97</v>
      </c>
      <c r="S219" s="60" t="n">
        <f aca="false">K219+L219+M219+N219+O219</f>
        <v>0.03</v>
      </c>
      <c r="T219" s="60" t="n">
        <f aca="false">L219+M219</f>
        <v>0.03</v>
      </c>
      <c r="U219" s="60" t="n">
        <f aca="false">S219+J219</f>
        <v>0.03</v>
      </c>
      <c r="V219" s="63" t="n">
        <f aca="false">IFERROR(S219/F219,0)</f>
        <v>0.03</v>
      </c>
      <c r="W219" s="63" t="n">
        <f aca="false">IFERROR(R219/F219,0)</f>
        <v>0.97</v>
      </c>
      <c r="X219" s="63" t="n">
        <f aca="false">IFERROR(T219/F219,0)</f>
        <v>0.03</v>
      </c>
      <c r="Y219" s="63" t="n">
        <f aca="false">IFERROR(G219/F219,0)</f>
        <v>0</v>
      </c>
      <c r="Z219" s="59" t="n">
        <f aca="false">IF(E219&gt;0,F219*1000000000/E219,"")</f>
        <v>70.8665239651096</v>
      </c>
      <c r="AA219" s="63" t="n">
        <f aca="false">IFERROR((R219+S219+J219)/F219,0)</f>
        <v>1</v>
      </c>
      <c r="AB219" s="0" t="str">
        <f aca="false">A219&amp;"|"&amp;D219</f>
        <v>Benin|2023</v>
      </c>
    </row>
    <row r="220" customFormat="false" ht="15" hidden="false" customHeight="false" outlineLevel="0" collapsed="false">
      <c r="A220" s="0" t="s">
        <v>200</v>
      </c>
      <c r="B220" s="0" t="s">
        <v>438</v>
      </c>
      <c r="C220" s="0" t="s">
        <v>127</v>
      </c>
      <c r="D220" s="0" t="n">
        <v>2024</v>
      </c>
      <c r="E220" s="59" t="n">
        <v>14462721</v>
      </c>
      <c r="F220" s="60" t="n">
        <v>1.01</v>
      </c>
      <c r="G220" s="61" t="n">
        <v>0</v>
      </c>
      <c r="H220" s="61" t="n">
        <v>0.73</v>
      </c>
      <c r="I220" s="61" t="n">
        <v>0.24</v>
      </c>
      <c r="J220" s="61" t="n">
        <v>0</v>
      </c>
      <c r="K220" s="61" t="n">
        <v>0</v>
      </c>
      <c r="L220" s="61" t="n">
        <v>0.04</v>
      </c>
      <c r="M220" s="61" t="n">
        <v>0</v>
      </c>
      <c r="N220" s="61" t="n">
        <v>0</v>
      </c>
      <c r="O220" s="61" t="n">
        <v>0</v>
      </c>
      <c r="P220" s="62" t="n">
        <v>584.2</v>
      </c>
      <c r="Q220" s="0" t="n">
        <v>0</v>
      </c>
      <c r="R220" s="60" t="n">
        <f aca="false">G220+H220+I220</f>
        <v>0.97</v>
      </c>
      <c r="S220" s="60" t="n">
        <f aca="false">K220+L220+M220+N220+O220</f>
        <v>0.04</v>
      </c>
      <c r="T220" s="60" t="n">
        <f aca="false">L220+M220</f>
        <v>0.04</v>
      </c>
      <c r="U220" s="60" t="n">
        <f aca="false">S220+J220</f>
        <v>0.04</v>
      </c>
      <c r="V220" s="63" t="n">
        <f aca="false">IFERROR(S220/F220,0)</f>
        <v>0.0396039603960396</v>
      </c>
      <c r="W220" s="63" t="n">
        <f aca="false">IFERROR(R220/F220,0)</f>
        <v>0.96039603960396</v>
      </c>
      <c r="X220" s="63" t="n">
        <f aca="false">IFERROR(T220/F220,0)</f>
        <v>0.0396039603960396</v>
      </c>
      <c r="Y220" s="63" t="n">
        <f aca="false">IFERROR(G220/F220,0)</f>
        <v>0</v>
      </c>
      <c r="Z220" s="59" t="n">
        <f aca="false">IF(E220&gt;0,F220*1000000000/E220,"")</f>
        <v>69.8347150581139</v>
      </c>
      <c r="AA220" s="63" t="n">
        <f aca="false">IFERROR((R220+S220+J220)/F220,0)</f>
        <v>1</v>
      </c>
      <c r="AB220" s="0" t="str">
        <f aca="false">A220&amp;"|"&amp;D220</f>
        <v>Benin|2024</v>
      </c>
    </row>
    <row r="221" customFormat="false" ht="15" hidden="false" customHeight="false" outlineLevel="0" collapsed="false">
      <c r="A221" s="0" t="s">
        <v>201</v>
      </c>
      <c r="B221" s="0" t="s">
        <v>439</v>
      </c>
      <c r="C221" s="0" t="s">
        <v>127</v>
      </c>
      <c r="D221" s="0" t="n">
        <v>2015</v>
      </c>
      <c r="E221" s="59" t="n">
        <v>63482</v>
      </c>
      <c r="F221" s="60" t="n">
        <v>0.67</v>
      </c>
      <c r="G221" s="61" t="n">
        <v>0</v>
      </c>
      <c r="H221" s="61" t="n">
        <v>0</v>
      </c>
      <c r="I221" s="61" t="n">
        <v>0.66</v>
      </c>
      <c r="J221" s="61" t="n">
        <v>0</v>
      </c>
      <c r="K221" s="61" t="n">
        <v>0</v>
      </c>
      <c r="L221" s="61" t="n">
        <v>0</v>
      </c>
      <c r="M221" s="61" t="n">
        <v>0</v>
      </c>
      <c r="N221" s="61" t="n">
        <v>0.01</v>
      </c>
      <c r="O221" s="61" t="n">
        <v>0</v>
      </c>
      <c r="P221" s="62" t="n">
        <v>641.8</v>
      </c>
      <c r="Q221" s="0" t="n">
        <v>0</v>
      </c>
      <c r="R221" s="60" t="n">
        <f aca="false">G221+H221+I221</f>
        <v>0.66</v>
      </c>
      <c r="S221" s="60" t="n">
        <f aca="false">K221+L221+M221+N221+O221</f>
        <v>0.01</v>
      </c>
      <c r="T221" s="60" t="n">
        <f aca="false">L221+M221</f>
        <v>0</v>
      </c>
      <c r="U221" s="60" t="n">
        <f aca="false">S221+J221</f>
        <v>0.01</v>
      </c>
      <c r="V221" s="63" t="n">
        <f aca="false">IFERROR(S221/F221,0)</f>
        <v>0.0149253731343284</v>
      </c>
      <c r="W221" s="63" t="n">
        <f aca="false">IFERROR(R221/F221,0)</f>
        <v>0.985074626865672</v>
      </c>
      <c r="X221" s="63" t="n">
        <f aca="false">IFERROR(T221/F221,0)</f>
        <v>0</v>
      </c>
      <c r="Y221" s="63" t="n">
        <f aca="false">IFERROR(G221/F221,0)</f>
        <v>0</v>
      </c>
      <c r="Z221" s="59" t="n">
        <f aca="false">IF(E221&gt;0,F221*1000000000/E221,"")</f>
        <v>10554.1728363946</v>
      </c>
      <c r="AA221" s="63" t="n">
        <f aca="false">IFERROR((R221+S221+J221)/F221,0)</f>
        <v>1</v>
      </c>
      <c r="AB221" s="0" t="str">
        <f aca="false">A221&amp;"|"&amp;D221</f>
        <v>Bermuda|2015</v>
      </c>
    </row>
    <row r="222" customFormat="false" ht="15" hidden="false" customHeight="false" outlineLevel="0" collapsed="false">
      <c r="A222" s="0" t="s">
        <v>201</v>
      </c>
      <c r="B222" s="0" t="s">
        <v>439</v>
      </c>
      <c r="C222" s="0" t="s">
        <v>127</v>
      </c>
      <c r="D222" s="0" t="n">
        <v>2016</v>
      </c>
      <c r="E222" s="59" t="n">
        <v>63466</v>
      </c>
      <c r="F222" s="60" t="n">
        <v>0.66</v>
      </c>
      <c r="G222" s="61" t="n">
        <v>0</v>
      </c>
      <c r="H222" s="61" t="n">
        <v>0</v>
      </c>
      <c r="I222" s="61" t="n">
        <v>0.65</v>
      </c>
      <c r="J222" s="61" t="n">
        <v>0</v>
      </c>
      <c r="K222" s="61" t="n">
        <v>0</v>
      </c>
      <c r="L222" s="61" t="n">
        <v>0</v>
      </c>
      <c r="M222" s="61" t="n">
        <v>0</v>
      </c>
      <c r="N222" s="61" t="n">
        <v>0.01</v>
      </c>
      <c r="O222" s="61" t="n">
        <v>0</v>
      </c>
      <c r="P222" s="62" t="n">
        <v>651.5</v>
      </c>
      <c r="Q222" s="0" t="n">
        <v>0</v>
      </c>
      <c r="R222" s="60" t="n">
        <f aca="false">G222+H222+I222</f>
        <v>0.65</v>
      </c>
      <c r="S222" s="60" t="n">
        <f aca="false">K222+L222+M222+N222+O222</f>
        <v>0.01</v>
      </c>
      <c r="T222" s="60" t="n">
        <f aca="false">L222+M222</f>
        <v>0</v>
      </c>
      <c r="U222" s="60" t="n">
        <f aca="false">S222+J222</f>
        <v>0.01</v>
      </c>
      <c r="V222" s="63" t="n">
        <f aca="false">IFERROR(S222/F222,0)</f>
        <v>0.0151515151515152</v>
      </c>
      <c r="W222" s="63" t="n">
        <f aca="false">IFERROR(R222/F222,0)</f>
        <v>0.984848484848485</v>
      </c>
      <c r="X222" s="63" t="n">
        <f aca="false">IFERROR(T222/F222,0)</f>
        <v>0</v>
      </c>
      <c r="Y222" s="63" t="n">
        <f aca="false">IFERROR(G222/F222,0)</f>
        <v>0</v>
      </c>
      <c r="Z222" s="59" t="n">
        <f aca="false">IF(E222&gt;0,F222*1000000000/E222,"")</f>
        <v>10399.2688998834</v>
      </c>
      <c r="AA222" s="63" t="n">
        <f aca="false">IFERROR((R222+S222+J222)/F222,0)</f>
        <v>1</v>
      </c>
      <c r="AB222" s="0" t="str">
        <f aca="false">A222&amp;"|"&amp;D222</f>
        <v>Bermuda|2016</v>
      </c>
    </row>
    <row r="223" customFormat="false" ht="15" hidden="false" customHeight="false" outlineLevel="0" collapsed="false">
      <c r="A223" s="0" t="s">
        <v>201</v>
      </c>
      <c r="B223" s="0" t="s">
        <v>439</v>
      </c>
      <c r="C223" s="0" t="s">
        <v>127</v>
      </c>
      <c r="D223" s="0" t="n">
        <v>2017</v>
      </c>
      <c r="E223" s="59" t="n">
        <v>63603</v>
      </c>
      <c r="F223" s="60" t="n">
        <v>0.67</v>
      </c>
      <c r="G223" s="61" t="n">
        <v>0</v>
      </c>
      <c r="H223" s="61" t="n">
        <v>0</v>
      </c>
      <c r="I223" s="61" t="n">
        <v>0.66</v>
      </c>
      <c r="J223" s="61" t="n">
        <v>0</v>
      </c>
      <c r="K223" s="61" t="n">
        <v>0</v>
      </c>
      <c r="L223" s="61" t="n">
        <v>0</v>
      </c>
      <c r="M223" s="61" t="n">
        <v>0</v>
      </c>
      <c r="N223" s="61" t="n">
        <v>0.01</v>
      </c>
      <c r="O223" s="61" t="n">
        <v>0</v>
      </c>
      <c r="P223" s="62" t="n">
        <v>641.8</v>
      </c>
      <c r="Q223" s="0" t="n">
        <v>0</v>
      </c>
      <c r="R223" s="60" t="n">
        <f aca="false">G223+H223+I223</f>
        <v>0.66</v>
      </c>
      <c r="S223" s="60" t="n">
        <f aca="false">K223+L223+M223+N223+O223</f>
        <v>0.01</v>
      </c>
      <c r="T223" s="60" t="n">
        <f aca="false">L223+M223</f>
        <v>0</v>
      </c>
      <c r="U223" s="60" t="n">
        <f aca="false">S223+J223</f>
        <v>0.01</v>
      </c>
      <c r="V223" s="63" t="n">
        <f aca="false">IFERROR(S223/F223,0)</f>
        <v>0.0149253731343284</v>
      </c>
      <c r="W223" s="63" t="n">
        <f aca="false">IFERROR(R223/F223,0)</f>
        <v>0.985074626865672</v>
      </c>
      <c r="X223" s="63" t="n">
        <f aca="false">IFERROR(T223/F223,0)</f>
        <v>0</v>
      </c>
      <c r="Y223" s="63" t="n">
        <f aca="false">IFERROR(G223/F223,0)</f>
        <v>0</v>
      </c>
      <c r="Z223" s="59" t="n">
        <f aca="false">IF(E223&gt;0,F223*1000000000/E223,"")</f>
        <v>10534.0943037278</v>
      </c>
      <c r="AA223" s="63" t="n">
        <f aca="false">IFERROR((R223+S223+J223)/F223,0)</f>
        <v>1</v>
      </c>
      <c r="AB223" s="0" t="str">
        <f aca="false">A223&amp;"|"&amp;D223</f>
        <v>Bermuda|2017</v>
      </c>
    </row>
    <row r="224" customFormat="false" ht="15" hidden="false" customHeight="false" outlineLevel="0" collapsed="false">
      <c r="A224" s="0" t="s">
        <v>201</v>
      </c>
      <c r="B224" s="0" t="s">
        <v>439</v>
      </c>
      <c r="C224" s="0" t="s">
        <v>127</v>
      </c>
      <c r="D224" s="0" t="n">
        <v>2018</v>
      </c>
      <c r="E224" s="59" t="n">
        <v>63852</v>
      </c>
      <c r="F224" s="60" t="n">
        <v>0.64</v>
      </c>
      <c r="G224" s="61" t="n">
        <v>0</v>
      </c>
      <c r="H224" s="61" t="n">
        <v>0</v>
      </c>
      <c r="I224" s="61" t="n">
        <v>0.63</v>
      </c>
      <c r="J224" s="61" t="n">
        <v>0</v>
      </c>
      <c r="K224" s="61" t="n">
        <v>0</v>
      </c>
      <c r="L224" s="61" t="n">
        <v>0</v>
      </c>
      <c r="M224" s="61" t="n">
        <v>0</v>
      </c>
      <c r="N224" s="61" t="n">
        <v>0.01</v>
      </c>
      <c r="O224" s="61" t="n">
        <v>0</v>
      </c>
      <c r="P224" s="62" t="n">
        <v>640.6</v>
      </c>
      <c r="Q224" s="0" t="n">
        <v>0</v>
      </c>
      <c r="R224" s="60" t="n">
        <f aca="false">G224+H224+I224</f>
        <v>0.63</v>
      </c>
      <c r="S224" s="60" t="n">
        <f aca="false">K224+L224+M224+N224+O224</f>
        <v>0.01</v>
      </c>
      <c r="T224" s="60" t="n">
        <f aca="false">L224+M224</f>
        <v>0</v>
      </c>
      <c r="U224" s="60" t="n">
        <f aca="false">S224+J224</f>
        <v>0.01</v>
      </c>
      <c r="V224" s="63" t="n">
        <f aca="false">IFERROR(S224/F224,0)</f>
        <v>0.015625</v>
      </c>
      <c r="W224" s="63" t="n">
        <f aca="false">IFERROR(R224/F224,0)</f>
        <v>0.984375</v>
      </c>
      <c r="X224" s="63" t="n">
        <f aca="false">IFERROR(T224/F224,0)</f>
        <v>0</v>
      </c>
      <c r="Y224" s="63" t="n">
        <f aca="false">IFERROR(G224/F224,0)</f>
        <v>0</v>
      </c>
      <c r="Z224" s="59" t="n">
        <f aca="false">IF(E224&gt;0,F224*1000000000/E224,"")</f>
        <v>10023.1786005137</v>
      </c>
      <c r="AA224" s="63" t="n">
        <f aca="false">IFERROR((R224+S224+J224)/F224,0)</f>
        <v>1</v>
      </c>
      <c r="AB224" s="0" t="str">
        <f aca="false">A224&amp;"|"&amp;D224</f>
        <v>Bermuda|2018</v>
      </c>
    </row>
    <row r="225" customFormat="false" ht="15" hidden="false" customHeight="false" outlineLevel="0" collapsed="false">
      <c r="A225" s="0" t="s">
        <v>201</v>
      </c>
      <c r="B225" s="0" t="s">
        <v>439</v>
      </c>
      <c r="C225" s="0" t="s">
        <v>127</v>
      </c>
      <c r="D225" s="0" t="n">
        <v>2019</v>
      </c>
      <c r="E225" s="59" t="n">
        <v>64130</v>
      </c>
      <c r="F225" s="60" t="n">
        <v>0.61</v>
      </c>
      <c r="G225" s="61" t="n">
        <v>0</v>
      </c>
      <c r="H225" s="61" t="n">
        <v>0</v>
      </c>
      <c r="I225" s="61" t="n">
        <v>0.6</v>
      </c>
      <c r="J225" s="61" t="n">
        <v>0</v>
      </c>
      <c r="K225" s="61" t="n">
        <v>0</v>
      </c>
      <c r="L225" s="61" t="n">
        <v>0</v>
      </c>
      <c r="M225" s="61" t="n">
        <v>0</v>
      </c>
      <c r="N225" s="61" t="n">
        <v>0.01</v>
      </c>
      <c r="O225" s="61" t="n">
        <v>0</v>
      </c>
      <c r="P225" s="62" t="n">
        <v>639.3</v>
      </c>
      <c r="Q225" s="0" t="n">
        <v>0</v>
      </c>
      <c r="R225" s="60" t="n">
        <f aca="false">G225+H225+I225</f>
        <v>0.6</v>
      </c>
      <c r="S225" s="60" t="n">
        <f aca="false">K225+L225+M225+N225+O225</f>
        <v>0.01</v>
      </c>
      <c r="T225" s="60" t="n">
        <f aca="false">L225+M225</f>
        <v>0</v>
      </c>
      <c r="U225" s="60" t="n">
        <f aca="false">S225+J225</f>
        <v>0.01</v>
      </c>
      <c r="V225" s="63" t="n">
        <f aca="false">IFERROR(S225/F225,0)</f>
        <v>0.0163934426229508</v>
      </c>
      <c r="W225" s="63" t="n">
        <f aca="false">IFERROR(R225/F225,0)</f>
        <v>0.983606557377049</v>
      </c>
      <c r="X225" s="63" t="n">
        <f aca="false">IFERROR(T225/F225,0)</f>
        <v>0</v>
      </c>
      <c r="Y225" s="63" t="n">
        <f aca="false">IFERROR(G225/F225,0)</f>
        <v>0</v>
      </c>
      <c r="Z225" s="59" t="n">
        <f aca="false">IF(E225&gt;0,F225*1000000000/E225,"")</f>
        <v>9511.92889443318</v>
      </c>
      <c r="AA225" s="63" t="n">
        <f aca="false">IFERROR((R225+S225+J225)/F225,0)</f>
        <v>1</v>
      </c>
      <c r="AB225" s="0" t="str">
        <f aca="false">A225&amp;"|"&amp;D225</f>
        <v>Bermuda|2019</v>
      </c>
    </row>
    <row r="226" customFormat="false" ht="15" hidden="false" customHeight="false" outlineLevel="0" collapsed="false">
      <c r="A226" s="0" t="s">
        <v>201</v>
      </c>
      <c r="B226" s="0" t="s">
        <v>439</v>
      </c>
      <c r="C226" s="0" t="s">
        <v>127</v>
      </c>
      <c r="D226" s="0" t="n">
        <v>2020</v>
      </c>
      <c r="E226" s="59" t="n">
        <v>64404</v>
      </c>
      <c r="F226" s="60" t="n">
        <v>0.59</v>
      </c>
      <c r="G226" s="61" t="n">
        <v>0</v>
      </c>
      <c r="H226" s="61" t="n">
        <v>0</v>
      </c>
      <c r="I226" s="61" t="n">
        <v>0.58</v>
      </c>
      <c r="J226" s="61" t="n">
        <v>0</v>
      </c>
      <c r="K226" s="61" t="n">
        <v>0</v>
      </c>
      <c r="L226" s="61" t="n">
        <v>0</v>
      </c>
      <c r="M226" s="61" t="n">
        <v>0</v>
      </c>
      <c r="N226" s="61" t="n">
        <v>0.01</v>
      </c>
      <c r="O226" s="61" t="n">
        <v>0</v>
      </c>
      <c r="P226" s="62" t="n">
        <v>644.1</v>
      </c>
      <c r="Q226" s="0" t="n">
        <v>0</v>
      </c>
      <c r="R226" s="60" t="n">
        <f aca="false">G226+H226+I226</f>
        <v>0.58</v>
      </c>
      <c r="S226" s="60" t="n">
        <f aca="false">K226+L226+M226+N226+O226</f>
        <v>0.01</v>
      </c>
      <c r="T226" s="60" t="n">
        <f aca="false">L226+M226</f>
        <v>0</v>
      </c>
      <c r="U226" s="60" t="n">
        <f aca="false">S226+J226</f>
        <v>0.01</v>
      </c>
      <c r="V226" s="63" t="n">
        <f aca="false">IFERROR(S226/F226,0)</f>
        <v>0.0169491525423729</v>
      </c>
      <c r="W226" s="63" t="n">
        <f aca="false">IFERROR(R226/F226,0)</f>
        <v>0.983050847457627</v>
      </c>
      <c r="X226" s="63" t="n">
        <f aca="false">IFERROR(T226/F226,0)</f>
        <v>0</v>
      </c>
      <c r="Y226" s="63" t="n">
        <f aca="false">IFERROR(G226/F226,0)</f>
        <v>0</v>
      </c>
      <c r="Z226" s="59" t="n">
        <f aca="false">IF(E226&gt;0,F226*1000000000/E226,"")</f>
        <v>9160.92168188311</v>
      </c>
      <c r="AA226" s="63" t="n">
        <f aca="false">IFERROR((R226+S226+J226)/F226,0)</f>
        <v>1</v>
      </c>
      <c r="AB226" s="0" t="str">
        <f aca="false">A226&amp;"|"&amp;D226</f>
        <v>Bermuda|2020</v>
      </c>
    </row>
    <row r="227" customFormat="false" ht="15" hidden="false" customHeight="false" outlineLevel="0" collapsed="false">
      <c r="A227" s="0" t="s">
        <v>201</v>
      </c>
      <c r="B227" s="0" t="s">
        <v>439</v>
      </c>
      <c r="C227" s="0" t="s">
        <v>127</v>
      </c>
      <c r="D227" s="0" t="n">
        <v>2021</v>
      </c>
      <c r="E227" s="59" t="n">
        <v>64672</v>
      </c>
      <c r="F227" s="60" t="n">
        <v>0.59</v>
      </c>
      <c r="G227" s="61" t="n">
        <v>0</v>
      </c>
      <c r="H227" s="61" t="n">
        <v>0</v>
      </c>
      <c r="I227" s="61" t="n">
        <v>0.58</v>
      </c>
      <c r="J227" s="61" t="n">
        <v>0</v>
      </c>
      <c r="K227" s="61" t="n">
        <v>0</v>
      </c>
      <c r="L227" s="61" t="n">
        <v>0</v>
      </c>
      <c r="M227" s="61" t="n">
        <v>0</v>
      </c>
      <c r="N227" s="61" t="n">
        <v>0.01</v>
      </c>
      <c r="O227" s="61" t="n">
        <v>0</v>
      </c>
      <c r="P227" s="62" t="n">
        <v>644.1</v>
      </c>
      <c r="Q227" s="0" t="n">
        <v>0</v>
      </c>
      <c r="R227" s="60" t="n">
        <f aca="false">G227+H227+I227</f>
        <v>0.58</v>
      </c>
      <c r="S227" s="60" t="n">
        <f aca="false">K227+L227+M227+N227+O227</f>
        <v>0.01</v>
      </c>
      <c r="T227" s="60" t="n">
        <f aca="false">L227+M227</f>
        <v>0</v>
      </c>
      <c r="U227" s="60" t="n">
        <f aca="false">S227+J227</f>
        <v>0.01</v>
      </c>
      <c r="V227" s="63" t="n">
        <f aca="false">IFERROR(S227/F227,0)</f>
        <v>0.0169491525423729</v>
      </c>
      <c r="W227" s="63" t="n">
        <f aca="false">IFERROR(R227/F227,0)</f>
        <v>0.983050847457627</v>
      </c>
      <c r="X227" s="63" t="n">
        <f aca="false">IFERROR(T227/F227,0)</f>
        <v>0</v>
      </c>
      <c r="Y227" s="63" t="n">
        <f aca="false">IFERROR(G227/F227,0)</f>
        <v>0</v>
      </c>
      <c r="Z227" s="59" t="n">
        <f aca="false">IF(E227&gt;0,F227*1000000000/E227,"")</f>
        <v>9122.95893122217</v>
      </c>
      <c r="AA227" s="63" t="n">
        <f aca="false">IFERROR((R227+S227+J227)/F227,0)</f>
        <v>1</v>
      </c>
      <c r="AB227" s="0" t="str">
        <f aca="false">A227&amp;"|"&amp;D227</f>
        <v>Bermuda|2021</v>
      </c>
    </row>
    <row r="228" customFormat="false" ht="15" hidden="false" customHeight="false" outlineLevel="0" collapsed="false">
      <c r="A228" s="0" t="s">
        <v>201</v>
      </c>
      <c r="B228" s="0" t="s">
        <v>439</v>
      </c>
      <c r="C228" s="0" t="s">
        <v>127</v>
      </c>
      <c r="D228" s="0" t="n">
        <v>2022</v>
      </c>
      <c r="E228" s="59" t="n">
        <v>64772</v>
      </c>
      <c r="F228" s="60" t="n">
        <v>0.63</v>
      </c>
      <c r="G228" s="61" t="n">
        <v>0</v>
      </c>
      <c r="H228" s="61" t="n">
        <v>0</v>
      </c>
      <c r="I228" s="61" t="n">
        <v>0.62</v>
      </c>
      <c r="J228" s="61" t="n">
        <v>0</v>
      </c>
      <c r="K228" s="61" t="n">
        <v>0</v>
      </c>
      <c r="L228" s="61" t="n">
        <v>0</v>
      </c>
      <c r="M228" s="61" t="n">
        <v>0</v>
      </c>
      <c r="N228" s="61" t="n">
        <v>0.01</v>
      </c>
      <c r="O228" s="61" t="n">
        <v>0</v>
      </c>
      <c r="P228" s="62" t="n">
        <v>650.8</v>
      </c>
      <c r="Q228" s="0" t="n">
        <v>0</v>
      </c>
      <c r="R228" s="60" t="n">
        <f aca="false">G228+H228+I228</f>
        <v>0.62</v>
      </c>
      <c r="S228" s="60" t="n">
        <f aca="false">K228+L228+M228+N228+O228</f>
        <v>0.01</v>
      </c>
      <c r="T228" s="60" t="n">
        <f aca="false">L228+M228</f>
        <v>0</v>
      </c>
      <c r="U228" s="60" t="n">
        <f aca="false">S228+J228</f>
        <v>0.01</v>
      </c>
      <c r="V228" s="63" t="n">
        <f aca="false">IFERROR(S228/F228,0)</f>
        <v>0.0158730158730159</v>
      </c>
      <c r="W228" s="63" t="n">
        <f aca="false">IFERROR(R228/F228,0)</f>
        <v>0.984126984126984</v>
      </c>
      <c r="X228" s="63" t="n">
        <f aca="false">IFERROR(T228/F228,0)</f>
        <v>0</v>
      </c>
      <c r="Y228" s="63" t="n">
        <f aca="false">IFERROR(G228/F228,0)</f>
        <v>0</v>
      </c>
      <c r="Z228" s="59" t="n">
        <f aca="false">IF(E228&gt;0,F228*1000000000/E228,"")</f>
        <v>9726.42499845612</v>
      </c>
      <c r="AA228" s="63" t="n">
        <f aca="false">IFERROR((R228+S228+J228)/F228,0)</f>
        <v>1</v>
      </c>
      <c r="AB228" s="0" t="str">
        <f aca="false">A228&amp;"|"&amp;D228</f>
        <v>Bermuda|2022</v>
      </c>
    </row>
    <row r="229" customFormat="false" ht="15" hidden="false" customHeight="false" outlineLevel="0" collapsed="false">
      <c r="A229" s="0" t="s">
        <v>201</v>
      </c>
      <c r="B229" s="0" t="s">
        <v>439</v>
      </c>
      <c r="C229" s="0" t="s">
        <v>127</v>
      </c>
      <c r="D229" s="0" t="n">
        <v>2023</v>
      </c>
      <c r="E229" s="59" t="n">
        <v>64721</v>
      </c>
      <c r="F229" s="60" t="n">
        <v>0.64</v>
      </c>
      <c r="G229" s="61" t="n">
        <v>0</v>
      </c>
      <c r="H229" s="61" t="n">
        <v>0</v>
      </c>
      <c r="I229" s="61" t="n">
        <v>0.63</v>
      </c>
      <c r="J229" s="61" t="n">
        <v>0</v>
      </c>
      <c r="K229" s="61" t="n">
        <v>0</v>
      </c>
      <c r="L229" s="61" t="n">
        <v>0</v>
      </c>
      <c r="M229" s="61" t="n">
        <v>0</v>
      </c>
      <c r="N229" s="61" t="n">
        <v>0.01</v>
      </c>
      <c r="O229" s="61" t="n">
        <v>0</v>
      </c>
      <c r="P229" s="62" t="n">
        <v>640.6</v>
      </c>
      <c r="Q229" s="0" t="n">
        <v>0</v>
      </c>
      <c r="R229" s="60" t="n">
        <f aca="false">G229+H229+I229</f>
        <v>0.63</v>
      </c>
      <c r="S229" s="60" t="n">
        <f aca="false">K229+L229+M229+N229+O229</f>
        <v>0.01</v>
      </c>
      <c r="T229" s="60" t="n">
        <f aca="false">L229+M229</f>
        <v>0</v>
      </c>
      <c r="U229" s="60" t="n">
        <f aca="false">S229+J229</f>
        <v>0.01</v>
      </c>
      <c r="V229" s="63" t="n">
        <f aca="false">IFERROR(S229/F229,0)</f>
        <v>0.015625</v>
      </c>
      <c r="W229" s="63" t="n">
        <f aca="false">IFERROR(R229/F229,0)</f>
        <v>0.984375</v>
      </c>
      <c r="X229" s="63" t="n">
        <f aca="false">IFERROR(T229/F229,0)</f>
        <v>0</v>
      </c>
      <c r="Y229" s="63" t="n">
        <f aca="false">IFERROR(G229/F229,0)</f>
        <v>0</v>
      </c>
      <c r="Z229" s="59" t="n">
        <f aca="false">IF(E229&gt;0,F229*1000000000/E229,"")</f>
        <v>9888.5987546546</v>
      </c>
      <c r="AA229" s="63" t="n">
        <f aca="false">IFERROR((R229+S229+J229)/F229,0)</f>
        <v>1</v>
      </c>
      <c r="AB229" s="0" t="str">
        <f aca="false">A229&amp;"|"&amp;D229</f>
        <v>Bermuda|2023</v>
      </c>
    </row>
    <row r="230" customFormat="false" ht="15" hidden="false" customHeight="false" outlineLevel="0" collapsed="false">
      <c r="A230" s="0" t="s">
        <v>201</v>
      </c>
      <c r="B230" s="0" t="s">
        <v>439</v>
      </c>
      <c r="C230" s="0" t="s">
        <v>127</v>
      </c>
      <c r="D230" s="0" t="n">
        <v>2024</v>
      </c>
      <c r="E230" s="59" t="n">
        <v>64660</v>
      </c>
      <c r="F230" s="60" t="n">
        <v>0.61</v>
      </c>
      <c r="G230" s="61" t="n">
        <v>0</v>
      </c>
      <c r="H230" s="61" t="n">
        <v>0</v>
      </c>
      <c r="I230" s="61" t="n">
        <v>0.6</v>
      </c>
      <c r="J230" s="61" t="n">
        <v>0</v>
      </c>
      <c r="K230" s="61" t="n">
        <v>0</v>
      </c>
      <c r="L230" s="61" t="n">
        <v>0</v>
      </c>
      <c r="M230" s="61" t="n">
        <v>0</v>
      </c>
      <c r="N230" s="61" t="n">
        <v>0.01</v>
      </c>
      <c r="O230" s="61" t="n">
        <v>0</v>
      </c>
      <c r="P230" s="62" t="n">
        <v>639.3</v>
      </c>
      <c r="Q230" s="0" t="n">
        <v>0</v>
      </c>
      <c r="R230" s="60" t="n">
        <f aca="false">G230+H230+I230</f>
        <v>0.6</v>
      </c>
      <c r="S230" s="60" t="n">
        <f aca="false">K230+L230+M230+N230+O230</f>
        <v>0.01</v>
      </c>
      <c r="T230" s="60" t="n">
        <f aca="false">L230+M230</f>
        <v>0</v>
      </c>
      <c r="U230" s="60" t="n">
        <f aca="false">S230+J230</f>
        <v>0.01</v>
      </c>
      <c r="V230" s="63" t="n">
        <f aca="false">IFERROR(S230/F230,0)</f>
        <v>0.0163934426229508</v>
      </c>
      <c r="W230" s="63" t="n">
        <f aca="false">IFERROR(R230/F230,0)</f>
        <v>0.983606557377049</v>
      </c>
      <c r="X230" s="63" t="n">
        <f aca="false">IFERROR(T230/F230,0)</f>
        <v>0</v>
      </c>
      <c r="Y230" s="63" t="n">
        <f aca="false">IFERROR(G230/F230,0)</f>
        <v>0</v>
      </c>
      <c r="Z230" s="59" t="n">
        <f aca="false">IF(E230&gt;0,F230*1000000000/E230,"")</f>
        <v>9433.96226415094</v>
      </c>
      <c r="AA230" s="63" t="n">
        <f aca="false">IFERROR((R230+S230+J230)/F230,0)</f>
        <v>1</v>
      </c>
      <c r="AB230" s="0" t="str">
        <f aca="false">A230&amp;"|"&amp;D230</f>
        <v>Bermuda|2024</v>
      </c>
    </row>
    <row r="231" customFormat="false" ht="15" hidden="false" customHeight="false" outlineLevel="0" collapsed="false">
      <c r="A231" s="0" t="s">
        <v>202</v>
      </c>
      <c r="B231" s="0" t="s">
        <v>440</v>
      </c>
      <c r="C231" s="0" t="s">
        <v>127</v>
      </c>
      <c r="D231" s="0" t="n">
        <v>2015</v>
      </c>
      <c r="E231" s="59" t="n">
        <v>740623</v>
      </c>
      <c r="F231" s="60" t="n">
        <v>7.73</v>
      </c>
      <c r="G231" s="61" t="n">
        <v>0</v>
      </c>
      <c r="H231" s="61" t="n">
        <v>0</v>
      </c>
      <c r="I231" s="61" t="n">
        <v>0</v>
      </c>
      <c r="J231" s="61" t="n">
        <v>0</v>
      </c>
      <c r="K231" s="61" t="n">
        <v>7.73</v>
      </c>
      <c r="L231" s="61" t="n">
        <v>0</v>
      </c>
      <c r="M231" s="61" t="n">
        <v>0</v>
      </c>
      <c r="N231" s="61" t="n">
        <v>0</v>
      </c>
      <c r="O231" s="61" t="n">
        <v>0</v>
      </c>
      <c r="P231" s="62" t="n">
        <v>23.3</v>
      </c>
      <c r="Q231" s="0" t="n">
        <v>0</v>
      </c>
      <c r="R231" s="60" t="n">
        <f aca="false">G231+H231+I231</f>
        <v>0</v>
      </c>
      <c r="S231" s="60" t="n">
        <f aca="false">K231+L231+M231+N231+O231</f>
        <v>7.73</v>
      </c>
      <c r="T231" s="60" t="n">
        <f aca="false">L231+M231</f>
        <v>0</v>
      </c>
      <c r="U231" s="60" t="n">
        <f aca="false">S231+J231</f>
        <v>7.73</v>
      </c>
      <c r="V231" s="63" t="n">
        <f aca="false">IFERROR(S231/F231,0)</f>
        <v>1</v>
      </c>
      <c r="W231" s="63" t="n">
        <f aca="false">IFERROR(R231/F231,0)</f>
        <v>0</v>
      </c>
      <c r="X231" s="63" t="n">
        <f aca="false">IFERROR(T231/F231,0)</f>
        <v>0</v>
      </c>
      <c r="Y231" s="63" t="n">
        <f aca="false">IFERROR(G231/F231,0)</f>
        <v>0</v>
      </c>
      <c r="Z231" s="59" t="n">
        <f aca="false">IF(E231&gt;0,F231*1000000000/E231,"")</f>
        <v>10437.1589864209</v>
      </c>
      <c r="AA231" s="63" t="n">
        <f aca="false">IFERROR((R231+S231+J231)/F231,0)</f>
        <v>1</v>
      </c>
      <c r="AB231" s="0" t="str">
        <f aca="false">A231&amp;"|"&amp;D231</f>
        <v>Bhutan|2015</v>
      </c>
    </row>
    <row r="232" customFormat="false" ht="15" hidden="false" customHeight="false" outlineLevel="0" collapsed="false">
      <c r="A232" s="0" t="s">
        <v>202</v>
      </c>
      <c r="B232" s="0" t="s">
        <v>440</v>
      </c>
      <c r="C232" s="0" t="s">
        <v>127</v>
      </c>
      <c r="D232" s="0" t="n">
        <v>2016</v>
      </c>
      <c r="E232" s="59" t="n">
        <v>747878</v>
      </c>
      <c r="F232" s="60" t="n">
        <v>7.88</v>
      </c>
      <c r="G232" s="61" t="n">
        <v>0</v>
      </c>
      <c r="H232" s="61" t="n">
        <v>0</v>
      </c>
      <c r="I232" s="61" t="n">
        <v>0</v>
      </c>
      <c r="J232" s="61" t="n">
        <v>0</v>
      </c>
      <c r="K232" s="61" t="n">
        <v>7.88</v>
      </c>
      <c r="L232" s="61" t="n">
        <v>0</v>
      </c>
      <c r="M232" s="61" t="n">
        <v>0</v>
      </c>
      <c r="N232" s="61" t="n">
        <v>0</v>
      </c>
      <c r="O232" s="61" t="n">
        <v>0</v>
      </c>
      <c r="P232" s="62" t="n">
        <v>24.1</v>
      </c>
      <c r="Q232" s="0" t="n">
        <v>0</v>
      </c>
      <c r="R232" s="60" t="n">
        <f aca="false">G232+H232+I232</f>
        <v>0</v>
      </c>
      <c r="S232" s="60" t="n">
        <f aca="false">K232+L232+M232+N232+O232</f>
        <v>7.88</v>
      </c>
      <c r="T232" s="60" t="n">
        <f aca="false">L232+M232</f>
        <v>0</v>
      </c>
      <c r="U232" s="60" t="n">
        <f aca="false">S232+J232</f>
        <v>7.88</v>
      </c>
      <c r="V232" s="63" t="n">
        <f aca="false">IFERROR(S232/F232,0)</f>
        <v>1</v>
      </c>
      <c r="W232" s="63" t="n">
        <f aca="false">IFERROR(R232/F232,0)</f>
        <v>0</v>
      </c>
      <c r="X232" s="63" t="n">
        <f aca="false">IFERROR(T232/F232,0)</f>
        <v>0</v>
      </c>
      <c r="Y232" s="63" t="n">
        <f aca="false">IFERROR(G232/F232,0)</f>
        <v>0</v>
      </c>
      <c r="Z232" s="59" t="n">
        <f aca="false">IF(E232&gt;0,F232*1000000000/E232,"")</f>
        <v>10536.4778747336</v>
      </c>
      <c r="AA232" s="63" t="n">
        <f aca="false">IFERROR((R232+S232+J232)/F232,0)</f>
        <v>1</v>
      </c>
      <c r="AB232" s="0" t="str">
        <f aca="false">A232&amp;"|"&amp;D232</f>
        <v>Bhutan|2016</v>
      </c>
    </row>
    <row r="233" customFormat="false" ht="15" hidden="false" customHeight="false" outlineLevel="0" collapsed="false">
      <c r="A233" s="0" t="s">
        <v>202</v>
      </c>
      <c r="B233" s="0" t="s">
        <v>440</v>
      </c>
      <c r="C233" s="0" t="s">
        <v>127</v>
      </c>
      <c r="D233" s="0" t="n">
        <v>2017</v>
      </c>
      <c r="E233" s="59" t="n">
        <v>754343</v>
      </c>
      <c r="F233" s="60" t="n">
        <v>7.65</v>
      </c>
      <c r="G233" s="61" t="n">
        <v>0</v>
      </c>
      <c r="H233" s="61" t="n">
        <v>0</v>
      </c>
      <c r="I233" s="61" t="n">
        <v>0</v>
      </c>
      <c r="J233" s="61" t="n">
        <v>0</v>
      </c>
      <c r="K233" s="61" t="n">
        <v>7.65</v>
      </c>
      <c r="L233" s="61" t="n">
        <v>0</v>
      </c>
      <c r="M233" s="61" t="n">
        <v>0</v>
      </c>
      <c r="N233" s="61" t="n">
        <v>0</v>
      </c>
      <c r="O233" s="61" t="n">
        <v>0</v>
      </c>
      <c r="P233" s="62" t="n">
        <v>23.5</v>
      </c>
      <c r="Q233" s="0" t="n">
        <v>0</v>
      </c>
      <c r="R233" s="60" t="n">
        <f aca="false">G233+H233+I233</f>
        <v>0</v>
      </c>
      <c r="S233" s="60" t="n">
        <f aca="false">K233+L233+M233+N233+O233</f>
        <v>7.65</v>
      </c>
      <c r="T233" s="60" t="n">
        <f aca="false">L233+M233</f>
        <v>0</v>
      </c>
      <c r="U233" s="60" t="n">
        <f aca="false">S233+J233</f>
        <v>7.65</v>
      </c>
      <c r="V233" s="63" t="n">
        <f aca="false">IFERROR(S233/F233,0)</f>
        <v>1</v>
      </c>
      <c r="W233" s="63" t="n">
        <f aca="false">IFERROR(R233/F233,0)</f>
        <v>0</v>
      </c>
      <c r="X233" s="63" t="n">
        <f aca="false">IFERROR(T233/F233,0)</f>
        <v>0</v>
      </c>
      <c r="Y233" s="63" t="n">
        <f aca="false">IFERROR(G233/F233,0)</f>
        <v>0</v>
      </c>
      <c r="Z233" s="59" t="n">
        <f aca="false">IF(E233&gt;0,F233*1000000000/E233,"")</f>
        <v>10141.2752554209</v>
      </c>
      <c r="AA233" s="63" t="n">
        <f aca="false">IFERROR((R233+S233+J233)/F233,0)</f>
        <v>1</v>
      </c>
      <c r="AB233" s="0" t="str">
        <f aca="false">A233&amp;"|"&amp;D233</f>
        <v>Bhutan|2017</v>
      </c>
    </row>
    <row r="234" customFormat="false" ht="15" hidden="false" customHeight="false" outlineLevel="0" collapsed="false">
      <c r="A234" s="0" t="s">
        <v>202</v>
      </c>
      <c r="B234" s="0" t="s">
        <v>440</v>
      </c>
      <c r="C234" s="0" t="s">
        <v>127</v>
      </c>
      <c r="D234" s="0" t="n">
        <v>2018</v>
      </c>
      <c r="E234" s="59" t="n">
        <v>759766</v>
      </c>
      <c r="F234" s="60" t="n">
        <v>6.89</v>
      </c>
      <c r="G234" s="61" t="n">
        <v>0</v>
      </c>
      <c r="H234" s="61" t="n">
        <v>0</v>
      </c>
      <c r="I234" s="61" t="n">
        <v>0</v>
      </c>
      <c r="J234" s="61" t="n">
        <v>0</v>
      </c>
      <c r="K234" s="61" t="n">
        <v>6.89</v>
      </c>
      <c r="L234" s="61" t="n">
        <v>0</v>
      </c>
      <c r="M234" s="61" t="n">
        <v>0</v>
      </c>
      <c r="N234" s="61" t="n">
        <v>0</v>
      </c>
      <c r="O234" s="61" t="n">
        <v>0</v>
      </c>
      <c r="P234" s="62" t="n">
        <v>23.2</v>
      </c>
      <c r="Q234" s="0" t="n">
        <v>0</v>
      </c>
      <c r="R234" s="60" t="n">
        <f aca="false">G234+H234+I234</f>
        <v>0</v>
      </c>
      <c r="S234" s="60" t="n">
        <f aca="false">K234+L234+M234+N234+O234</f>
        <v>6.89</v>
      </c>
      <c r="T234" s="60" t="n">
        <f aca="false">L234+M234</f>
        <v>0</v>
      </c>
      <c r="U234" s="60" t="n">
        <f aca="false">S234+J234</f>
        <v>6.89</v>
      </c>
      <c r="V234" s="63" t="n">
        <f aca="false">IFERROR(S234/F234,0)</f>
        <v>1</v>
      </c>
      <c r="W234" s="63" t="n">
        <f aca="false">IFERROR(R234/F234,0)</f>
        <v>0</v>
      </c>
      <c r="X234" s="63" t="n">
        <f aca="false">IFERROR(T234/F234,0)</f>
        <v>0</v>
      </c>
      <c r="Y234" s="63" t="n">
        <f aca="false">IFERROR(G234/F234,0)</f>
        <v>0</v>
      </c>
      <c r="Z234" s="59" t="n">
        <f aca="false">IF(E234&gt;0,F234*1000000000/E234,"")</f>
        <v>9068.58164224248</v>
      </c>
      <c r="AA234" s="63" t="n">
        <f aca="false">IFERROR((R234+S234+J234)/F234,0)</f>
        <v>1</v>
      </c>
      <c r="AB234" s="0" t="str">
        <f aca="false">A234&amp;"|"&amp;D234</f>
        <v>Bhutan|2018</v>
      </c>
    </row>
    <row r="235" customFormat="false" ht="15" hidden="false" customHeight="false" outlineLevel="0" collapsed="false">
      <c r="A235" s="0" t="s">
        <v>202</v>
      </c>
      <c r="B235" s="0" t="s">
        <v>440</v>
      </c>
      <c r="C235" s="0" t="s">
        <v>127</v>
      </c>
      <c r="D235" s="0" t="n">
        <v>2019</v>
      </c>
      <c r="E235" s="59" t="n">
        <v>764830</v>
      </c>
      <c r="F235" s="60" t="n">
        <v>8.65</v>
      </c>
      <c r="G235" s="61" t="n">
        <v>0</v>
      </c>
      <c r="H235" s="61" t="n">
        <v>0</v>
      </c>
      <c r="I235" s="61" t="n">
        <v>0</v>
      </c>
      <c r="J235" s="61" t="n">
        <v>0</v>
      </c>
      <c r="K235" s="61" t="n">
        <v>8.65</v>
      </c>
      <c r="L235" s="61" t="n">
        <v>0</v>
      </c>
      <c r="M235" s="61" t="n">
        <v>0</v>
      </c>
      <c r="N235" s="61" t="n">
        <v>0</v>
      </c>
      <c r="O235" s="61" t="n">
        <v>0</v>
      </c>
      <c r="P235" s="62" t="n">
        <v>24.3</v>
      </c>
      <c r="Q235" s="0" t="n">
        <v>0</v>
      </c>
      <c r="R235" s="60" t="n">
        <f aca="false">G235+H235+I235</f>
        <v>0</v>
      </c>
      <c r="S235" s="60" t="n">
        <f aca="false">K235+L235+M235+N235+O235</f>
        <v>8.65</v>
      </c>
      <c r="T235" s="60" t="n">
        <f aca="false">L235+M235</f>
        <v>0</v>
      </c>
      <c r="U235" s="60" t="n">
        <f aca="false">S235+J235</f>
        <v>8.65</v>
      </c>
      <c r="V235" s="63" t="n">
        <f aca="false">IFERROR(S235/F235,0)</f>
        <v>1</v>
      </c>
      <c r="W235" s="63" t="n">
        <f aca="false">IFERROR(R235/F235,0)</f>
        <v>0</v>
      </c>
      <c r="X235" s="63" t="n">
        <f aca="false">IFERROR(T235/F235,0)</f>
        <v>0</v>
      </c>
      <c r="Y235" s="63" t="n">
        <f aca="false">IFERROR(G235/F235,0)</f>
        <v>0</v>
      </c>
      <c r="Z235" s="59" t="n">
        <f aca="false">IF(E235&gt;0,F235*1000000000/E235,"")</f>
        <v>11309.7028097747</v>
      </c>
      <c r="AA235" s="63" t="n">
        <f aca="false">IFERROR((R235+S235+J235)/F235,0)</f>
        <v>1</v>
      </c>
      <c r="AB235" s="0" t="str">
        <f aca="false">A235&amp;"|"&amp;D235</f>
        <v>Bhutan|2019</v>
      </c>
    </row>
    <row r="236" customFormat="false" ht="15" hidden="false" customHeight="false" outlineLevel="0" collapsed="false">
      <c r="A236" s="0" t="s">
        <v>202</v>
      </c>
      <c r="B236" s="0" t="s">
        <v>440</v>
      </c>
      <c r="C236" s="0" t="s">
        <v>127</v>
      </c>
      <c r="D236" s="0" t="n">
        <v>2020</v>
      </c>
      <c r="E236" s="59" t="n">
        <v>770013</v>
      </c>
      <c r="F236" s="60" t="n">
        <v>11.37</v>
      </c>
      <c r="G236" s="61" t="n">
        <v>0</v>
      </c>
      <c r="H236" s="61" t="n">
        <v>0</v>
      </c>
      <c r="I236" s="61" t="n">
        <v>0</v>
      </c>
      <c r="J236" s="61" t="n">
        <v>0</v>
      </c>
      <c r="K236" s="61" t="n">
        <v>11.37</v>
      </c>
      <c r="L236" s="61" t="n">
        <v>0</v>
      </c>
      <c r="M236" s="61" t="n">
        <v>0</v>
      </c>
      <c r="N236" s="61" t="n">
        <v>0</v>
      </c>
      <c r="O236" s="61" t="n">
        <v>0</v>
      </c>
      <c r="P236" s="62" t="n">
        <v>23.8</v>
      </c>
      <c r="Q236" s="0" t="n">
        <v>0</v>
      </c>
      <c r="R236" s="60" t="n">
        <f aca="false">G236+H236+I236</f>
        <v>0</v>
      </c>
      <c r="S236" s="60" t="n">
        <f aca="false">K236+L236+M236+N236+O236</f>
        <v>11.37</v>
      </c>
      <c r="T236" s="60" t="n">
        <f aca="false">L236+M236</f>
        <v>0</v>
      </c>
      <c r="U236" s="60" t="n">
        <f aca="false">S236+J236</f>
        <v>11.37</v>
      </c>
      <c r="V236" s="63" t="n">
        <f aca="false">IFERROR(S236/F236,0)</f>
        <v>1</v>
      </c>
      <c r="W236" s="63" t="n">
        <f aca="false">IFERROR(R236/F236,0)</f>
        <v>0</v>
      </c>
      <c r="X236" s="63" t="n">
        <f aca="false">IFERROR(T236/F236,0)</f>
        <v>0</v>
      </c>
      <c r="Y236" s="63" t="n">
        <f aca="false">IFERROR(G236/F236,0)</f>
        <v>0</v>
      </c>
      <c r="Z236" s="59" t="n">
        <f aca="false">IF(E236&gt;0,F236*1000000000/E236,"")</f>
        <v>14765.9844703921</v>
      </c>
      <c r="AA236" s="63" t="n">
        <f aca="false">IFERROR((R236+S236+J236)/F236,0)</f>
        <v>1</v>
      </c>
      <c r="AB236" s="0" t="str">
        <f aca="false">A236&amp;"|"&amp;D236</f>
        <v>Bhutan|2020</v>
      </c>
    </row>
    <row r="237" customFormat="false" ht="15" hidden="false" customHeight="false" outlineLevel="0" collapsed="false">
      <c r="A237" s="0" t="s">
        <v>202</v>
      </c>
      <c r="B237" s="0" t="s">
        <v>440</v>
      </c>
      <c r="C237" s="0" t="s">
        <v>127</v>
      </c>
      <c r="D237" s="0" t="n">
        <v>2021</v>
      </c>
      <c r="E237" s="59" t="n">
        <v>775450</v>
      </c>
      <c r="F237" s="60" t="n">
        <v>10.82</v>
      </c>
      <c r="G237" s="61" t="n">
        <v>0</v>
      </c>
      <c r="H237" s="61" t="n">
        <v>0</v>
      </c>
      <c r="I237" s="61" t="n">
        <v>0</v>
      </c>
      <c r="J237" s="61" t="n">
        <v>0</v>
      </c>
      <c r="K237" s="61" t="n">
        <v>10.82</v>
      </c>
      <c r="L237" s="61" t="n">
        <v>0</v>
      </c>
      <c r="M237" s="61" t="n">
        <v>0</v>
      </c>
      <c r="N237" s="61" t="n">
        <v>0</v>
      </c>
      <c r="O237" s="61" t="n">
        <v>0</v>
      </c>
      <c r="P237" s="62" t="n">
        <v>24</v>
      </c>
      <c r="Q237" s="0" t="n">
        <v>0</v>
      </c>
      <c r="R237" s="60" t="n">
        <f aca="false">G237+H237+I237</f>
        <v>0</v>
      </c>
      <c r="S237" s="60" t="n">
        <f aca="false">K237+L237+M237+N237+O237</f>
        <v>10.82</v>
      </c>
      <c r="T237" s="60" t="n">
        <f aca="false">L237+M237</f>
        <v>0</v>
      </c>
      <c r="U237" s="60" t="n">
        <f aca="false">S237+J237</f>
        <v>10.82</v>
      </c>
      <c r="V237" s="63" t="n">
        <f aca="false">IFERROR(S237/F237,0)</f>
        <v>1</v>
      </c>
      <c r="W237" s="63" t="n">
        <f aca="false">IFERROR(R237/F237,0)</f>
        <v>0</v>
      </c>
      <c r="X237" s="63" t="n">
        <f aca="false">IFERROR(T237/F237,0)</f>
        <v>0</v>
      </c>
      <c r="Y237" s="63" t="n">
        <f aca="false">IFERROR(G237/F237,0)</f>
        <v>0</v>
      </c>
      <c r="Z237" s="59" t="n">
        <f aca="false">IF(E237&gt;0,F237*1000000000/E237,"")</f>
        <v>13953.1884712103</v>
      </c>
      <c r="AA237" s="63" t="n">
        <f aca="false">IFERROR((R237+S237+J237)/F237,0)</f>
        <v>1</v>
      </c>
      <c r="AB237" s="0" t="str">
        <f aca="false">A237&amp;"|"&amp;D237</f>
        <v>Bhutan|2021</v>
      </c>
    </row>
    <row r="238" customFormat="false" ht="15" hidden="false" customHeight="false" outlineLevel="0" collapsed="false">
      <c r="A238" s="0" t="s">
        <v>202</v>
      </c>
      <c r="B238" s="0" t="s">
        <v>440</v>
      </c>
      <c r="C238" s="0" t="s">
        <v>127</v>
      </c>
      <c r="D238" s="0" t="n">
        <v>2022</v>
      </c>
      <c r="E238" s="59" t="n">
        <v>780921</v>
      </c>
      <c r="F238" s="60" t="n">
        <v>10.77</v>
      </c>
      <c r="G238" s="61" t="n">
        <v>0</v>
      </c>
      <c r="H238" s="61" t="n">
        <v>0</v>
      </c>
      <c r="I238" s="61" t="n">
        <v>0</v>
      </c>
      <c r="J238" s="61" t="n">
        <v>0</v>
      </c>
      <c r="K238" s="61" t="n">
        <v>10.77</v>
      </c>
      <c r="L238" s="61" t="n">
        <v>0</v>
      </c>
      <c r="M238" s="61" t="n">
        <v>0</v>
      </c>
      <c r="N238" s="61" t="n">
        <v>0</v>
      </c>
      <c r="O238" s="61" t="n">
        <v>0</v>
      </c>
      <c r="P238" s="62" t="n">
        <v>24.1</v>
      </c>
      <c r="Q238" s="0" t="n">
        <v>0</v>
      </c>
      <c r="R238" s="60" t="n">
        <f aca="false">G238+H238+I238</f>
        <v>0</v>
      </c>
      <c r="S238" s="60" t="n">
        <f aca="false">K238+L238+M238+N238+O238</f>
        <v>10.77</v>
      </c>
      <c r="T238" s="60" t="n">
        <f aca="false">L238+M238</f>
        <v>0</v>
      </c>
      <c r="U238" s="60" t="n">
        <f aca="false">S238+J238</f>
        <v>10.77</v>
      </c>
      <c r="V238" s="63" t="n">
        <f aca="false">IFERROR(S238/F238,0)</f>
        <v>1</v>
      </c>
      <c r="W238" s="63" t="n">
        <f aca="false">IFERROR(R238/F238,0)</f>
        <v>0</v>
      </c>
      <c r="X238" s="63" t="n">
        <f aca="false">IFERROR(T238/F238,0)</f>
        <v>0</v>
      </c>
      <c r="Y238" s="63" t="n">
        <f aca="false">IFERROR(G238/F238,0)</f>
        <v>0</v>
      </c>
      <c r="Z238" s="59" t="n">
        <f aca="false">IF(E238&gt;0,F238*1000000000/E238,"")</f>
        <v>13791.4078376686</v>
      </c>
      <c r="AA238" s="63" t="n">
        <f aca="false">IFERROR((R238+S238+J238)/F238,0)</f>
        <v>1</v>
      </c>
      <c r="AB238" s="0" t="str">
        <f aca="false">A238&amp;"|"&amp;D238</f>
        <v>Bhutan|2022</v>
      </c>
    </row>
    <row r="239" customFormat="false" ht="15" hidden="false" customHeight="false" outlineLevel="0" collapsed="false">
      <c r="A239" s="0" t="s">
        <v>202</v>
      </c>
      <c r="B239" s="0" t="s">
        <v>440</v>
      </c>
      <c r="C239" s="0" t="s">
        <v>127</v>
      </c>
      <c r="D239" s="0" t="n">
        <v>2023</v>
      </c>
      <c r="E239" s="59" t="n">
        <v>786386</v>
      </c>
      <c r="F239" s="60" t="n">
        <v>11.16</v>
      </c>
      <c r="G239" s="61" t="n">
        <v>0</v>
      </c>
      <c r="H239" s="61" t="n">
        <v>0</v>
      </c>
      <c r="I239" s="61" t="n">
        <v>0</v>
      </c>
      <c r="J239" s="61" t="n">
        <v>0</v>
      </c>
      <c r="K239" s="61" t="n">
        <v>11.16</v>
      </c>
      <c r="L239" s="61" t="n">
        <v>0</v>
      </c>
      <c r="M239" s="61" t="n">
        <v>0</v>
      </c>
      <c r="N239" s="61" t="n">
        <v>0</v>
      </c>
      <c r="O239" s="61" t="n">
        <v>0</v>
      </c>
      <c r="P239" s="62" t="n">
        <v>24.2</v>
      </c>
      <c r="Q239" s="0" t="n">
        <v>0</v>
      </c>
      <c r="R239" s="60" t="n">
        <f aca="false">G239+H239+I239</f>
        <v>0</v>
      </c>
      <c r="S239" s="60" t="n">
        <f aca="false">K239+L239+M239+N239+O239</f>
        <v>11.16</v>
      </c>
      <c r="T239" s="60" t="n">
        <f aca="false">L239+M239</f>
        <v>0</v>
      </c>
      <c r="U239" s="60" t="n">
        <f aca="false">S239+J239</f>
        <v>11.16</v>
      </c>
      <c r="V239" s="63" t="n">
        <f aca="false">IFERROR(S239/F239,0)</f>
        <v>1</v>
      </c>
      <c r="W239" s="63" t="n">
        <f aca="false">IFERROR(R239/F239,0)</f>
        <v>0</v>
      </c>
      <c r="X239" s="63" t="n">
        <f aca="false">IFERROR(T239/F239,0)</f>
        <v>0</v>
      </c>
      <c r="Y239" s="63" t="n">
        <f aca="false">IFERROR(G239/F239,0)</f>
        <v>0</v>
      </c>
      <c r="Z239" s="59" t="n">
        <f aca="false">IF(E239&gt;0,F239*1000000000/E239,"")</f>
        <v>14191.5039179233</v>
      </c>
      <c r="AA239" s="63" t="n">
        <f aca="false">IFERROR((R239+S239+J239)/F239,0)</f>
        <v>1</v>
      </c>
      <c r="AB239" s="0" t="str">
        <f aca="false">A239&amp;"|"&amp;D239</f>
        <v>Bhutan|2023</v>
      </c>
    </row>
    <row r="240" customFormat="false" ht="15" hidden="false" customHeight="false" outlineLevel="0" collapsed="false">
      <c r="A240" s="0" t="s">
        <v>202</v>
      </c>
      <c r="B240" s="0" t="s">
        <v>440</v>
      </c>
      <c r="C240" s="0" t="s">
        <v>127</v>
      </c>
      <c r="D240" s="0" t="n">
        <v>2024</v>
      </c>
      <c r="E240" s="59" t="n">
        <v>791530</v>
      </c>
      <c r="F240" s="60" t="n">
        <v>11</v>
      </c>
      <c r="G240" s="61" t="n">
        <v>0</v>
      </c>
      <c r="H240" s="61" t="n">
        <v>0</v>
      </c>
      <c r="I240" s="61" t="n">
        <v>0</v>
      </c>
      <c r="J240" s="61" t="n">
        <v>0</v>
      </c>
      <c r="K240" s="61" t="n">
        <v>11</v>
      </c>
      <c r="L240" s="61" t="n">
        <v>0</v>
      </c>
      <c r="M240" s="61" t="n">
        <v>0</v>
      </c>
      <c r="N240" s="61" t="n">
        <v>0</v>
      </c>
      <c r="O240" s="61" t="n">
        <v>0</v>
      </c>
      <c r="P240" s="62" t="n">
        <v>23.6</v>
      </c>
      <c r="Q240" s="0" t="n">
        <v>0</v>
      </c>
      <c r="R240" s="60" t="n">
        <f aca="false">G240+H240+I240</f>
        <v>0</v>
      </c>
      <c r="S240" s="60" t="n">
        <f aca="false">K240+L240+M240+N240+O240</f>
        <v>11</v>
      </c>
      <c r="T240" s="60" t="n">
        <f aca="false">L240+M240</f>
        <v>0</v>
      </c>
      <c r="U240" s="60" t="n">
        <f aca="false">S240+J240</f>
        <v>11</v>
      </c>
      <c r="V240" s="63" t="n">
        <f aca="false">IFERROR(S240/F240,0)</f>
        <v>1</v>
      </c>
      <c r="W240" s="63" t="n">
        <f aca="false">IFERROR(R240/F240,0)</f>
        <v>0</v>
      </c>
      <c r="X240" s="63" t="n">
        <f aca="false">IFERROR(T240/F240,0)</f>
        <v>0</v>
      </c>
      <c r="Y240" s="63" t="n">
        <f aca="false">IFERROR(G240/F240,0)</f>
        <v>0</v>
      </c>
      <c r="Z240" s="59" t="n">
        <f aca="false">IF(E240&gt;0,F240*1000000000/E240,"")</f>
        <v>13897.1359266231</v>
      </c>
      <c r="AA240" s="63" t="n">
        <f aca="false">IFERROR((R240+S240+J240)/F240,0)</f>
        <v>1</v>
      </c>
      <c r="AB240" s="0" t="str">
        <f aca="false">A240&amp;"|"&amp;D240</f>
        <v>Bhutan|2024</v>
      </c>
    </row>
    <row r="241" customFormat="false" ht="15" hidden="false" customHeight="false" outlineLevel="0" collapsed="false">
      <c r="A241" s="0" t="s">
        <v>203</v>
      </c>
      <c r="B241" s="0" t="s">
        <v>441</v>
      </c>
      <c r="C241" s="0" t="s">
        <v>127</v>
      </c>
      <c r="D241" s="0" t="n">
        <v>2015</v>
      </c>
      <c r="E241" s="59" t="n">
        <v>11014707</v>
      </c>
      <c r="F241" s="60" t="n">
        <v>9</v>
      </c>
      <c r="G241" s="61" t="n">
        <v>0</v>
      </c>
      <c r="H241" s="61" t="n">
        <v>6.26</v>
      </c>
      <c r="I241" s="61" t="n">
        <v>0.09</v>
      </c>
      <c r="J241" s="61" t="n">
        <v>0</v>
      </c>
      <c r="K241" s="61" t="n">
        <v>2.44</v>
      </c>
      <c r="L241" s="61" t="n">
        <v>0</v>
      </c>
      <c r="M241" s="61" t="n">
        <v>0.01</v>
      </c>
      <c r="N241" s="61" t="n">
        <v>0.2</v>
      </c>
      <c r="O241" s="61" t="n">
        <v>0</v>
      </c>
      <c r="P241" s="62" t="n">
        <v>526.7</v>
      </c>
      <c r="Q241" s="0" t="n">
        <v>0</v>
      </c>
      <c r="R241" s="60" t="n">
        <f aca="false">G241+H241+I241</f>
        <v>6.35</v>
      </c>
      <c r="S241" s="60" t="n">
        <f aca="false">K241+L241+M241+N241+O241</f>
        <v>2.65</v>
      </c>
      <c r="T241" s="60" t="n">
        <f aca="false">L241+M241</f>
        <v>0.01</v>
      </c>
      <c r="U241" s="60" t="n">
        <f aca="false">S241+J241</f>
        <v>2.65</v>
      </c>
      <c r="V241" s="63" t="n">
        <f aca="false">IFERROR(S241/F241,0)</f>
        <v>0.294444444444444</v>
      </c>
      <c r="W241" s="63" t="n">
        <f aca="false">IFERROR(R241/F241,0)</f>
        <v>0.705555555555556</v>
      </c>
      <c r="X241" s="63" t="n">
        <f aca="false">IFERROR(T241/F241,0)</f>
        <v>0.00111111111111111</v>
      </c>
      <c r="Y241" s="63" t="n">
        <f aca="false">IFERROR(G241/F241,0)</f>
        <v>0</v>
      </c>
      <c r="Z241" s="59" t="n">
        <f aca="false">IF(E241&gt;0,F241*1000000000/E241,"")</f>
        <v>817.089369694537</v>
      </c>
      <c r="AA241" s="63" t="n">
        <f aca="false">IFERROR((R241+S241+J241)/F241,0)</f>
        <v>1</v>
      </c>
      <c r="AB241" s="0" t="str">
        <f aca="false">A241&amp;"|"&amp;D241</f>
        <v>Bolivia|2015</v>
      </c>
    </row>
    <row r="242" customFormat="false" ht="15" hidden="false" customHeight="false" outlineLevel="0" collapsed="false">
      <c r="A242" s="0" t="s">
        <v>203</v>
      </c>
      <c r="B242" s="0" t="s">
        <v>441</v>
      </c>
      <c r="C242" s="0" t="s">
        <v>127</v>
      </c>
      <c r="D242" s="0" t="n">
        <v>2016</v>
      </c>
      <c r="E242" s="59" t="n">
        <v>11180020</v>
      </c>
      <c r="F242" s="60" t="n">
        <v>9.3</v>
      </c>
      <c r="G242" s="61" t="n">
        <v>0</v>
      </c>
      <c r="H242" s="61" t="n">
        <v>7.27</v>
      </c>
      <c r="I242" s="61" t="n">
        <v>0.1</v>
      </c>
      <c r="J242" s="61" t="n">
        <v>0</v>
      </c>
      <c r="K242" s="61" t="n">
        <v>1.7</v>
      </c>
      <c r="L242" s="61" t="n">
        <v>0.01</v>
      </c>
      <c r="M242" s="61" t="n">
        <v>0.04</v>
      </c>
      <c r="N242" s="61" t="n">
        <v>0.18</v>
      </c>
      <c r="O242" s="61" t="n">
        <v>0</v>
      </c>
      <c r="P242" s="62" t="n">
        <v>588.2</v>
      </c>
      <c r="Q242" s="0" t="n">
        <v>0</v>
      </c>
      <c r="R242" s="60" t="n">
        <f aca="false">G242+H242+I242</f>
        <v>7.37</v>
      </c>
      <c r="S242" s="60" t="n">
        <f aca="false">K242+L242+M242+N242+O242</f>
        <v>1.93</v>
      </c>
      <c r="T242" s="60" t="n">
        <f aca="false">L242+M242</f>
        <v>0.05</v>
      </c>
      <c r="U242" s="60" t="n">
        <f aca="false">S242+J242</f>
        <v>1.93</v>
      </c>
      <c r="V242" s="63" t="n">
        <f aca="false">IFERROR(S242/F242,0)</f>
        <v>0.20752688172043</v>
      </c>
      <c r="W242" s="63" t="n">
        <f aca="false">IFERROR(R242/F242,0)</f>
        <v>0.79247311827957</v>
      </c>
      <c r="X242" s="63" t="n">
        <f aca="false">IFERROR(T242/F242,0)</f>
        <v>0.00537634408602151</v>
      </c>
      <c r="Y242" s="63" t="n">
        <f aca="false">IFERROR(G242/F242,0)</f>
        <v>0</v>
      </c>
      <c r="Z242" s="59" t="n">
        <f aca="false">IF(E242&gt;0,F242*1000000000/E242,"")</f>
        <v>831.841087940809</v>
      </c>
      <c r="AA242" s="63" t="n">
        <f aca="false">IFERROR((R242+S242+J242)/F242,0)</f>
        <v>1</v>
      </c>
      <c r="AB242" s="0" t="str">
        <f aca="false">A242&amp;"|"&amp;D242</f>
        <v>Bolivia|2016</v>
      </c>
    </row>
    <row r="243" customFormat="false" ht="15" hidden="false" customHeight="false" outlineLevel="0" collapsed="false">
      <c r="A243" s="0" t="s">
        <v>203</v>
      </c>
      <c r="B243" s="0" t="s">
        <v>441</v>
      </c>
      <c r="C243" s="0" t="s">
        <v>127</v>
      </c>
      <c r="D243" s="0" t="n">
        <v>2017</v>
      </c>
      <c r="E243" s="59" t="n">
        <v>11344591</v>
      </c>
      <c r="F243" s="60" t="n">
        <v>9.59</v>
      </c>
      <c r="G243" s="61" t="n">
        <v>0</v>
      </c>
      <c r="H243" s="61" t="n">
        <v>7.09</v>
      </c>
      <c r="I243" s="61" t="n">
        <v>0.09</v>
      </c>
      <c r="J243" s="61" t="n">
        <v>0</v>
      </c>
      <c r="K243" s="61" t="n">
        <v>2.21</v>
      </c>
      <c r="L243" s="61" t="n">
        <v>0.01</v>
      </c>
      <c r="M243" s="61" t="n">
        <v>0.06</v>
      </c>
      <c r="N243" s="61" t="n">
        <v>0.13</v>
      </c>
      <c r="O243" s="61" t="n">
        <v>0</v>
      </c>
      <c r="P243" s="62" t="n">
        <v>554.8</v>
      </c>
      <c r="Q243" s="0" t="n">
        <v>0</v>
      </c>
      <c r="R243" s="60" t="n">
        <f aca="false">G243+H243+I243</f>
        <v>7.18</v>
      </c>
      <c r="S243" s="60" t="n">
        <f aca="false">K243+L243+M243+N243+O243</f>
        <v>2.41</v>
      </c>
      <c r="T243" s="60" t="n">
        <f aca="false">L243+M243</f>
        <v>0.07</v>
      </c>
      <c r="U243" s="60" t="n">
        <f aca="false">S243+J243</f>
        <v>2.41</v>
      </c>
      <c r="V243" s="63" t="n">
        <f aca="false">IFERROR(S243/F243,0)</f>
        <v>0.251303441084463</v>
      </c>
      <c r="W243" s="63" t="n">
        <f aca="false">IFERROR(R243/F243,0)</f>
        <v>0.748696558915537</v>
      </c>
      <c r="X243" s="63" t="n">
        <f aca="false">IFERROR(T243/F243,0)</f>
        <v>0.0072992700729927</v>
      </c>
      <c r="Y243" s="63" t="n">
        <f aca="false">IFERROR(G243/F243,0)</f>
        <v>0</v>
      </c>
      <c r="Z243" s="59" t="n">
        <f aca="false">IF(E243&gt;0,F243*1000000000/E243,"")</f>
        <v>845.336777676692</v>
      </c>
      <c r="AA243" s="63" t="n">
        <f aca="false">IFERROR((R243+S243+J243)/F243,0)</f>
        <v>1</v>
      </c>
      <c r="AB243" s="0" t="str">
        <f aca="false">A243&amp;"|"&amp;D243</f>
        <v>Bolivia|2017</v>
      </c>
    </row>
    <row r="244" customFormat="false" ht="15" hidden="false" customHeight="false" outlineLevel="0" collapsed="false">
      <c r="A244" s="0" t="s">
        <v>203</v>
      </c>
      <c r="B244" s="0" t="s">
        <v>441</v>
      </c>
      <c r="C244" s="0" t="s">
        <v>127</v>
      </c>
      <c r="D244" s="0" t="n">
        <v>2018</v>
      </c>
      <c r="E244" s="59" t="n">
        <v>11508370</v>
      </c>
      <c r="F244" s="60" t="n">
        <v>10.04</v>
      </c>
      <c r="G244" s="61" t="n">
        <v>0</v>
      </c>
      <c r="H244" s="61" t="n">
        <v>6.79</v>
      </c>
      <c r="I244" s="61" t="n">
        <v>0.28</v>
      </c>
      <c r="J244" s="61" t="n">
        <v>0</v>
      </c>
      <c r="K244" s="61" t="n">
        <v>2.61</v>
      </c>
      <c r="L244" s="61" t="n">
        <v>0.13</v>
      </c>
      <c r="M244" s="61" t="n">
        <v>0.06</v>
      </c>
      <c r="N244" s="61" t="n">
        <v>0.17</v>
      </c>
      <c r="O244" s="61" t="n">
        <v>0</v>
      </c>
      <c r="P244" s="62" t="n">
        <v>523.9</v>
      </c>
      <c r="Q244" s="0" t="n">
        <v>0</v>
      </c>
      <c r="R244" s="60" t="n">
        <f aca="false">G244+H244+I244</f>
        <v>7.07</v>
      </c>
      <c r="S244" s="60" t="n">
        <f aca="false">K244+L244+M244+N244+O244</f>
        <v>2.97</v>
      </c>
      <c r="T244" s="60" t="n">
        <f aca="false">L244+M244</f>
        <v>0.19</v>
      </c>
      <c r="U244" s="60" t="n">
        <f aca="false">S244+J244</f>
        <v>2.97</v>
      </c>
      <c r="V244" s="63" t="n">
        <f aca="false">IFERROR(S244/F244,0)</f>
        <v>0.295816733067729</v>
      </c>
      <c r="W244" s="63" t="n">
        <f aca="false">IFERROR(R244/F244,0)</f>
        <v>0.704183266932271</v>
      </c>
      <c r="X244" s="63" t="n">
        <f aca="false">IFERROR(T244/F244,0)</f>
        <v>0.0189243027888446</v>
      </c>
      <c r="Y244" s="63" t="n">
        <f aca="false">IFERROR(G244/F244,0)</f>
        <v>0</v>
      </c>
      <c r="Z244" s="59" t="n">
        <f aca="false">IF(E244&gt;0,F244*1000000000/E244,"")</f>
        <v>872.408516584017</v>
      </c>
      <c r="AA244" s="63" t="n">
        <f aca="false">IFERROR((R244+S244+J244)/F244,0)</f>
        <v>1</v>
      </c>
      <c r="AB244" s="0" t="str">
        <f aca="false">A244&amp;"|"&amp;D244</f>
        <v>Bolivia|2018</v>
      </c>
    </row>
    <row r="245" customFormat="false" ht="15" hidden="false" customHeight="false" outlineLevel="0" collapsed="false">
      <c r="A245" s="0" t="s">
        <v>203</v>
      </c>
      <c r="B245" s="0" t="s">
        <v>441</v>
      </c>
      <c r="C245" s="0" t="s">
        <v>127</v>
      </c>
      <c r="D245" s="0" t="n">
        <v>2019</v>
      </c>
      <c r="E245" s="59" t="n">
        <v>11671386</v>
      </c>
      <c r="F245" s="60" t="n">
        <v>10.37</v>
      </c>
      <c r="G245" s="61" t="n">
        <v>0</v>
      </c>
      <c r="H245" s="61" t="n">
        <v>6.33</v>
      </c>
      <c r="I245" s="61" t="n">
        <v>0.29</v>
      </c>
      <c r="J245" s="61" t="n">
        <v>0</v>
      </c>
      <c r="K245" s="61" t="n">
        <v>3.25</v>
      </c>
      <c r="L245" s="61" t="n">
        <v>0.19</v>
      </c>
      <c r="M245" s="61" t="n">
        <v>0.07</v>
      </c>
      <c r="N245" s="61" t="n">
        <v>0.24</v>
      </c>
      <c r="O245" s="61" t="n">
        <v>0</v>
      </c>
      <c r="P245" s="62" t="n">
        <v>478.3</v>
      </c>
      <c r="Q245" s="0" t="n">
        <v>0</v>
      </c>
      <c r="R245" s="60" t="n">
        <f aca="false">G245+H245+I245</f>
        <v>6.62</v>
      </c>
      <c r="S245" s="60" t="n">
        <f aca="false">K245+L245+M245+N245+O245</f>
        <v>3.75</v>
      </c>
      <c r="T245" s="60" t="n">
        <f aca="false">L245+M245</f>
        <v>0.26</v>
      </c>
      <c r="U245" s="60" t="n">
        <f aca="false">S245+J245</f>
        <v>3.75</v>
      </c>
      <c r="V245" s="63" t="n">
        <f aca="false">IFERROR(S245/F245,0)</f>
        <v>0.361620057859209</v>
      </c>
      <c r="W245" s="63" t="n">
        <f aca="false">IFERROR(R245/F245,0)</f>
        <v>0.638379942140791</v>
      </c>
      <c r="X245" s="63" t="n">
        <f aca="false">IFERROR(T245/F245,0)</f>
        <v>0.0250723240115718</v>
      </c>
      <c r="Y245" s="63" t="n">
        <f aca="false">IFERROR(G245/F245,0)</f>
        <v>0</v>
      </c>
      <c r="Z245" s="59" t="n">
        <f aca="false">IF(E245&gt;0,F245*1000000000/E245,"")</f>
        <v>888.497732831388</v>
      </c>
      <c r="AA245" s="63" t="n">
        <f aca="false">IFERROR((R245+S245+J245)/F245,0)</f>
        <v>1</v>
      </c>
      <c r="AB245" s="0" t="str">
        <f aca="false">A245&amp;"|"&amp;D245</f>
        <v>Bolivia|2019</v>
      </c>
    </row>
    <row r="246" customFormat="false" ht="15" hidden="false" customHeight="false" outlineLevel="0" collapsed="false">
      <c r="A246" s="0" t="s">
        <v>203</v>
      </c>
      <c r="B246" s="0" t="s">
        <v>441</v>
      </c>
      <c r="C246" s="0" t="s">
        <v>127</v>
      </c>
      <c r="D246" s="0" t="n">
        <v>2020</v>
      </c>
      <c r="E246" s="59" t="n">
        <v>11816301</v>
      </c>
      <c r="F246" s="60" t="n">
        <v>10.27</v>
      </c>
      <c r="G246" s="61" t="n">
        <v>0</v>
      </c>
      <c r="H246" s="61" t="n">
        <v>6.33</v>
      </c>
      <c r="I246" s="61" t="n">
        <v>0.28</v>
      </c>
      <c r="J246" s="61" t="n">
        <v>0</v>
      </c>
      <c r="K246" s="61" t="n">
        <v>2.94</v>
      </c>
      <c r="L246" s="61" t="n">
        <v>0.33</v>
      </c>
      <c r="M246" s="61" t="n">
        <v>0.06</v>
      </c>
      <c r="N246" s="61" t="n">
        <v>0.33</v>
      </c>
      <c r="O246" s="61" t="n">
        <v>0</v>
      </c>
      <c r="P246" s="62" t="n">
        <v>483.9</v>
      </c>
      <c r="Q246" s="0" t="n">
        <v>0</v>
      </c>
      <c r="R246" s="60" t="n">
        <f aca="false">G246+H246+I246</f>
        <v>6.61</v>
      </c>
      <c r="S246" s="60" t="n">
        <f aca="false">K246+L246+M246+N246+O246</f>
        <v>3.66</v>
      </c>
      <c r="T246" s="60" t="n">
        <f aca="false">L246+M246</f>
        <v>0.39</v>
      </c>
      <c r="U246" s="60" t="n">
        <f aca="false">S246+J246</f>
        <v>3.66</v>
      </c>
      <c r="V246" s="63" t="n">
        <f aca="false">IFERROR(S246/F246,0)</f>
        <v>0.356377799415774</v>
      </c>
      <c r="W246" s="63" t="n">
        <f aca="false">IFERROR(R246/F246,0)</f>
        <v>0.643622200584226</v>
      </c>
      <c r="X246" s="63" t="n">
        <f aca="false">IFERROR(T246/F246,0)</f>
        <v>0.0379746835443038</v>
      </c>
      <c r="Y246" s="63" t="n">
        <f aca="false">IFERROR(G246/F246,0)</f>
        <v>0</v>
      </c>
      <c r="Z246" s="59" t="n">
        <f aca="false">IF(E246&gt;0,F246*1000000000/E246,"")</f>
        <v>869.138320020792</v>
      </c>
      <c r="AA246" s="63" t="n">
        <f aca="false">IFERROR((R246+S246+J246)/F246,0)</f>
        <v>1</v>
      </c>
      <c r="AB246" s="0" t="str">
        <f aca="false">A246&amp;"|"&amp;D246</f>
        <v>Bolivia|2020</v>
      </c>
    </row>
    <row r="247" customFormat="false" ht="15" hidden="false" customHeight="false" outlineLevel="0" collapsed="false">
      <c r="A247" s="0" t="s">
        <v>203</v>
      </c>
      <c r="B247" s="0" t="s">
        <v>441</v>
      </c>
      <c r="C247" s="0" t="s">
        <v>127</v>
      </c>
      <c r="D247" s="0" t="n">
        <v>2021</v>
      </c>
      <c r="E247" s="59" t="n">
        <v>11937369</v>
      </c>
      <c r="F247" s="60" t="n">
        <v>10.87</v>
      </c>
      <c r="G247" s="61" t="n">
        <v>0</v>
      </c>
      <c r="H247" s="61" t="n">
        <v>6.45</v>
      </c>
      <c r="I247" s="61" t="n">
        <v>0.24</v>
      </c>
      <c r="J247" s="61" t="n">
        <v>0</v>
      </c>
      <c r="K247" s="61" t="n">
        <v>3.24</v>
      </c>
      <c r="L247" s="61" t="n">
        <v>0.35</v>
      </c>
      <c r="M247" s="61" t="n">
        <v>0.13</v>
      </c>
      <c r="N247" s="61" t="n">
        <v>0.46</v>
      </c>
      <c r="O247" s="61" t="n">
        <v>0</v>
      </c>
      <c r="P247" s="62" t="n">
        <v>467.3</v>
      </c>
      <c r="Q247" s="0" t="n">
        <v>0</v>
      </c>
      <c r="R247" s="60" t="n">
        <f aca="false">G247+H247+I247</f>
        <v>6.69</v>
      </c>
      <c r="S247" s="60" t="n">
        <f aca="false">K247+L247+M247+N247+O247</f>
        <v>4.18</v>
      </c>
      <c r="T247" s="60" t="n">
        <f aca="false">L247+M247</f>
        <v>0.48</v>
      </c>
      <c r="U247" s="60" t="n">
        <f aca="false">S247+J247</f>
        <v>4.18</v>
      </c>
      <c r="V247" s="63" t="n">
        <f aca="false">IFERROR(S247/F247,0)</f>
        <v>0.384544618215271</v>
      </c>
      <c r="W247" s="63" t="n">
        <f aca="false">IFERROR(R247/F247,0)</f>
        <v>0.615455381784729</v>
      </c>
      <c r="X247" s="63" t="n">
        <f aca="false">IFERROR(T247/F247,0)</f>
        <v>0.0441582336706532</v>
      </c>
      <c r="Y247" s="63" t="n">
        <f aca="false">IFERROR(G247/F247,0)</f>
        <v>0</v>
      </c>
      <c r="Z247" s="59" t="n">
        <f aca="false">IF(E247&gt;0,F247*1000000000/E247,"")</f>
        <v>910.585908838036</v>
      </c>
      <c r="AA247" s="63" t="n">
        <f aca="false">IFERROR((R247+S247+J247)/F247,0)</f>
        <v>1</v>
      </c>
      <c r="AB247" s="0" t="str">
        <f aca="false">A247&amp;"|"&amp;D247</f>
        <v>Bolivia|2021</v>
      </c>
    </row>
    <row r="248" customFormat="false" ht="15" hidden="false" customHeight="false" outlineLevel="0" collapsed="false">
      <c r="A248" s="0" t="s">
        <v>203</v>
      </c>
      <c r="B248" s="0" t="s">
        <v>441</v>
      </c>
      <c r="C248" s="0" t="s">
        <v>127</v>
      </c>
      <c r="D248" s="0" t="n">
        <v>2022</v>
      </c>
      <c r="E248" s="59" t="n">
        <v>12077156</v>
      </c>
      <c r="F248" s="60" t="n">
        <v>11.67</v>
      </c>
      <c r="G248" s="61" t="n">
        <v>0</v>
      </c>
      <c r="H248" s="61" t="n">
        <v>7.27</v>
      </c>
      <c r="I248" s="61" t="n">
        <v>0.23</v>
      </c>
      <c r="J248" s="61" t="n">
        <v>0</v>
      </c>
      <c r="K248" s="61" t="n">
        <v>2.85</v>
      </c>
      <c r="L248" s="61" t="n">
        <v>0.35</v>
      </c>
      <c r="M248" s="61" t="n">
        <v>0.44</v>
      </c>
      <c r="N248" s="61" t="n">
        <v>0.53</v>
      </c>
      <c r="O248" s="61" t="n">
        <v>0</v>
      </c>
      <c r="P248" s="62" t="n">
        <v>485.9</v>
      </c>
      <c r="Q248" s="0" t="n">
        <v>0</v>
      </c>
      <c r="R248" s="60" t="n">
        <f aca="false">G248+H248+I248</f>
        <v>7.5</v>
      </c>
      <c r="S248" s="60" t="n">
        <f aca="false">K248+L248+M248+N248+O248</f>
        <v>4.17</v>
      </c>
      <c r="T248" s="60" t="n">
        <f aca="false">L248+M248</f>
        <v>0.79</v>
      </c>
      <c r="U248" s="60" t="n">
        <f aca="false">S248+J248</f>
        <v>4.17</v>
      </c>
      <c r="V248" s="63" t="n">
        <f aca="false">IFERROR(S248/F248,0)</f>
        <v>0.3573264781491</v>
      </c>
      <c r="W248" s="63" t="n">
        <f aca="false">IFERROR(R248/F248,0)</f>
        <v>0.6426735218509</v>
      </c>
      <c r="X248" s="63" t="n">
        <f aca="false">IFERROR(T248/F248,0)</f>
        <v>0.0676949443016281</v>
      </c>
      <c r="Y248" s="63" t="n">
        <f aca="false">IFERROR(G248/F248,0)</f>
        <v>0</v>
      </c>
      <c r="Z248" s="59" t="n">
        <f aca="false">IF(E248&gt;0,F248*1000000000/E248,"")</f>
        <v>966.287096067982</v>
      </c>
      <c r="AA248" s="63" t="n">
        <f aca="false">IFERROR((R248+S248+J248)/F248,0)</f>
        <v>1</v>
      </c>
      <c r="AB248" s="0" t="str">
        <f aca="false">A248&amp;"|"&amp;D248</f>
        <v>Bolivia|2022</v>
      </c>
    </row>
    <row r="249" customFormat="false" ht="15" hidden="false" customHeight="false" outlineLevel="0" collapsed="false">
      <c r="A249" s="0" t="s">
        <v>203</v>
      </c>
      <c r="B249" s="0" t="s">
        <v>441</v>
      </c>
      <c r="C249" s="0" t="s">
        <v>127</v>
      </c>
      <c r="D249" s="0" t="n">
        <v>2023</v>
      </c>
      <c r="E249" s="59" t="n">
        <v>12244161</v>
      </c>
      <c r="F249" s="60" t="n">
        <v>12.55</v>
      </c>
      <c r="G249" s="61" t="n">
        <v>0</v>
      </c>
      <c r="H249" s="61" t="n">
        <v>8.18</v>
      </c>
      <c r="I249" s="61" t="n">
        <v>0.19</v>
      </c>
      <c r="J249" s="61" t="n">
        <v>0</v>
      </c>
      <c r="K249" s="61" t="n">
        <v>2.97</v>
      </c>
      <c r="L249" s="61" t="n">
        <v>0.35</v>
      </c>
      <c r="M249" s="61" t="n">
        <v>0.44</v>
      </c>
      <c r="N249" s="61" t="n">
        <v>0.42</v>
      </c>
      <c r="O249" s="61" t="n">
        <v>0</v>
      </c>
      <c r="P249" s="62" t="n">
        <v>501.2</v>
      </c>
      <c r="Q249" s="0" t="n">
        <v>0</v>
      </c>
      <c r="R249" s="60" t="n">
        <f aca="false">G249+H249+I249</f>
        <v>8.37</v>
      </c>
      <c r="S249" s="60" t="n">
        <f aca="false">K249+L249+M249+N249+O249</f>
        <v>4.18</v>
      </c>
      <c r="T249" s="60" t="n">
        <f aca="false">L249+M249</f>
        <v>0.79</v>
      </c>
      <c r="U249" s="60" t="n">
        <f aca="false">S249+J249</f>
        <v>4.18</v>
      </c>
      <c r="V249" s="63" t="n">
        <f aca="false">IFERROR(S249/F249,0)</f>
        <v>0.333067729083665</v>
      </c>
      <c r="W249" s="63" t="n">
        <f aca="false">IFERROR(R249/F249,0)</f>
        <v>0.666932270916335</v>
      </c>
      <c r="X249" s="63" t="n">
        <f aca="false">IFERROR(T249/F249,0)</f>
        <v>0.0629482071713148</v>
      </c>
      <c r="Y249" s="63" t="n">
        <f aca="false">IFERROR(G249/F249,0)</f>
        <v>0</v>
      </c>
      <c r="Z249" s="59" t="n">
        <f aca="false">IF(E249&gt;0,F249*1000000000/E249,"")</f>
        <v>1024.97835498896</v>
      </c>
      <c r="AA249" s="63" t="n">
        <f aca="false">IFERROR((R249+S249+J249)/F249,0)</f>
        <v>1</v>
      </c>
      <c r="AB249" s="0" t="str">
        <f aca="false">A249&amp;"|"&amp;D249</f>
        <v>Bolivia|2023</v>
      </c>
    </row>
    <row r="250" customFormat="false" ht="15" hidden="false" customHeight="false" outlineLevel="0" collapsed="false">
      <c r="A250" s="0" t="s">
        <v>203</v>
      </c>
      <c r="B250" s="0" t="s">
        <v>441</v>
      </c>
      <c r="C250" s="0" t="s">
        <v>127</v>
      </c>
      <c r="D250" s="0" t="n">
        <v>2024</v>
      </c>
      <c r="E250" s="59" t="n">
        <v>12413318</v>
      </c>
      <c r="F250" s="60" t="n">
        <v>13.53</v>
      </c>
      <c r="G250" s="61" t="n">
        <v>0</v>
      </c>
      <c r="H250" s="61" t="n">
        <v>8.73</v>
      </c>
      <c r="I250" s="61" t="n">
        <v>0.2</v>
      </c>
      <c r="J250" s="61" t="n">
        <v>0</v>
      </c>
      <c r="K250" s="61" t="n">
        <v>3.3</v>
      </c>
      <c r="L250" s="61" t="n">
        <v>0.4</v>
      </c>
      <c r="M250" s="61" t="n">
        <v>0.48</v>
      </c>
      <c r="N250" s="61" t="n">
        <v>0.42</v>
      </c>
      <c r="O250" s="61" t="n">
        <v>0</v>
      </c>
      <c r="P250" s="62" t="n">
        <v>495.2</v>
      </c>
      <c r="Q250" s="0" t="n">
        <v>0</v>
      </c>
      <c r="R250" s="60" t="n">
        <f aca="false">G250+H250+I250</f>
        <v>8.93</v>
      </c>
      <c r="S250" s="60" t="n">
        <f aca="false">K250+L250+M250+N250+O250</f>
        <v>4.6</v>
      </c>
      <c r="T250" s="60" t="n">
        <f aca="false">L250+M250</f>
        <v>0.88</v>
      </c>
      <c r="U250" s="60" t="n">
        <f aca="false">S250+J250</f>
        <v>4.6</v>
      </c>
      <c r="V250" s="63" t="n">
        <f aca="false">IFERROR(S250/F250,0)</f>
        <v>0.339985218033999</v>
      </c>
      <c r="W250" s="63" t="n">
        <f aca="false">IFERROR(R250/F250,0)</f>
        <v>0.660014781966002</v>
      </c>
      <c r="X250" s="63" t="n">
        <f aca="false">IFERROR(T250/F250,0)</f>
        <v>0.0650406504065041</v>
      </c>
      <c r="Y250" s="63" t="n">
        <f aca="false">IFERROR(G250/F250,0)</f>
        <v>0</v>
      </c>
      <c r="Z250" s="59" t="n">
        <f aca="false">IF(E250&gt;0,F250*1000000000/E250,"")</f>
        <v>1089.95838179607</v>
      </c>
      <c r="AA250" s="63" t="n">
        <f aca="false">IFERROR((R250+S250+J250)/F250,0)</f>
        <v>1</v>
      </c>
      <c r="AB250" s="0" t="str">
        <f aca="false">A250&amp;"|"&amp;D250</f>
        <v>Bolivia|2024</v>
      </c>
    </row>
    <row r="251" customFormat="false" ht="15" hidden="false" customHeight="false" outlineLevel="0" collapsed="false">
      <c r="A251" s="0" t="s">
        <v>203</v>
      </c>
      <c r="B251" s="0" t="s">
        <v>441</v>
      </c>
      <c r="C251" s="0" t="s">
        <v>127</v>
      </c>
      <c r="D251" s="0" t="n">
        <v>2025</v>
      </c>
      <c r="E251" s="59" t="n">
        <v>12581847</v>
      </c>
      <c r="F251" s="60" t="n">
        <v>13.63</v>
      </c>
      <c r="G251" s="61" t="n">
        <v>0</v>
      </c>
      <c r="H251" s="61" t="n">
        <v>8.51</v>
      </c>
      <c r="I251" s="61" t="n">
        <v>0.2</v>
      </c>
      <c r="J251" s="61" t="n">
        <v>0</v>
      </c>
      <c r="K251" s="61" t="n">
        <v>3.8</v>
      </c>
      <c r="L251" s="61" t="n">
        <v>0.4</v>
      </c>
      <c r="M251" s="61" t="n">
        <v>0.28</v>
      </c>
      <c r="N251" s="61" t="n">
        <v>0.44</v>
      </c>
      <c r="O251" s="61" t="n">
        <v>0</v>
      </c>
      <c r="P251" s="62" t="n">
        <v>481.3</v>
      </c>
      <c r="Q251" s="0" t="n">
        <v>0</v>
      </c>
      <c r="R251" s="60" t="n">
        <f aca="false">G251+H251+I251</f>
        <v>8.71</v>
      </c>
      <c r="S251" s="60" t="n">
        <f aca="false">K251+L251+M251+N251+O251</f>
        <v>4.92</v>
      </c>
      <c r="T251" s="60" t="n">
        <f aca="false">L251+M251</f>
        <v>0.68</v>
      </c>
      <c r="U251" s="60" t="n">
        <f aca="false">S251+J251</f>
        <v>4.92</v>
      </c>
      <c r="V251" s="63" t="n">
        <f aca="false">IFERROR(S251/F251,0)</f>
        <v>0.360968451944241</v>
      </c>
      <c r="W251" s="63" t="n">
        <f aca="false">IFERROR(R251/F251,0)</f>
        <v>0.639031548055759</v>
      </c>
      <c r="X251" s="63" t="n">
        <f aca="false">IFERROR(T251/F251,0)</f>
        <v>0.0498899486426999</v>
      </c>
      <c r="Y251" s="63" t="n">
        <f aca="false">IFERROR(G251/F251,0)</f>
        <v>0</v>
      </c>
      <c r="Z251" s="59" t="n">
        <f aca="false">IF(E251&gt;0,F251*1000000000/E251,"")</f>
        <v>1083.30676728147</v>
      </c>
      <c r="AA251" s="63" t="n">
        <f aca="false">IFERROR((R251+S251+J251)/F251,0)</f>
        <v>1</v>
      </c>
      <c r="AB251" s="0" t="str">
        <f aca="false">A251&amp;"|"&amp;D251</f>
        <v>Bolivia|2025</v>
      </c>
    </row>
    <row r="252" customFormat="false" ht="15" hidden="false" customHeight="false" outlineLevel="0" collapsed="false">
      <c r="A252" s="0" t="s">
        <v>204</v>
      </c>
      <c r="B252" s="0" t="s">
        <v>442</v>
      </c>
      <c r="C252" s="0" t="s">
        <v>127</v>
      </c>
      <c r="D252" s="0" t="n">
        <v>2015</v>
      </c>
      <c r="E252" s="59" t="n">
        <v>3518541</v>
      </c>
      <c r="F252" s="60" t="n">
        <v>16.43</v>
      </c>
      <c r="G252" s="61" t="n">
        <v>10.8</v>
      </c>
      <c r="H252" s="61" t="n">
        <v>0.03</v>
      </c>
      <c r="I252" s="61" t="n">
        <v>0.05</v>
      </c>
      <c r="J252" s="61" t="n">
        <v>0</v>
      </c>
      <c r="K252" s="61" t="n">
        <v>5.54</v>
      </c>
      <c r="L252" s="61" t="n">
        <v>0.01</v>
      </c>
      <c r="M252" s="61" t="n">
        <v>0</v>
      </c>
      <c r="N252" s="61" t="n">
        <v>0</v>
      </c>
      <c r="O252" s="61" t="n">
        <v>0</v>
      </c>
      <c r="P252" s="62" t="n">
        <v>664</v>
      </c>
      <c r="Q252" s="0" t="n">
        <v>0</v>
      </c>
      <c r="R252" s="60" t="n">
        <f aca="false">G252+H252+I252</f>
        <v>10.88</v>
      </c>
      <c r="S252" s="60" t="n">
        <f aca="false">K252+L252+M252+N252+O252</f>
        <v>5.55</v>
      </c>
      <c r="T252" s="60" t="n">
        <f aca="false">L252+M252</f>
        <v>0.01</v>
      </c>
      <c r="U252" s="60" t="n">
        <f aca="false">S252+J252</f>
        <v>5.55</v>
      </c>
      <c r="V252" s="63" t="n">
        <f aca="false">IFERROR(S252/F252,0)</f>
        <v>0.337796713329276</v>
      </c>
      <c r="W252" s="63" t="n">
        <f aca="false">IFERROR(R252/F252,0)</f>
        <v>0.662203286670724</v>
      </c>
      <c r="X252" s="63" t="n">
        <f aca="false">IFERROR(T252/F252,0)</f>
        <v>0.000608642726719416</v>
      </c>
      <c r="Y252" s="63" t="n">
        <f aca="false">IFERROR(G252/F252,0)</f>
        <v>0.657334144856969</v>
      </c>
      <c r="Z252" s="59" t="n">
        <f aca="false">IF(E252&gt;0,F252*1000000000/E252,"")</f>
        <v>4669.54911140726</v>
      </c>
      <c r="AA252" s="63" t="n">
        <f aca="false">IFERROR((R252+S252+J252)/F252,0)</f>
        <v>1</v>
      </c>
      <c r="AB252" s="0" t="str">
        <f aca="false">A252&amp;"|"&amp;D252</f>
        <v>Bosnia and Herzegovina|2015</v>
      </c>
    </row>
    <row r="253" customFormat="false" ht="15" hidden="false" customHeight="false" outlineLevel="0" collapsed="false">
      <c r="A253" s="0" t="s">
        <v>204</v>
      </c>
      <c r="B253" s="0" t="s">
        <v>442</v>
      </c>
      <c r="C253" s="0" t="s">
        <v>127</v>
      </c>
      <c r="D253" s="0" t="n">
        <v>2016</v>
      </c>
      <c r="E253" s="59" t="n">
        <v>3472997</v>
      </c>
      <c r="F253" s="60" t="n">
        <v>17.71</v>
      </c>
      <c r="G253" s="61" t="n">
        <v>12.02</v>
      </c>
      <c r="H253" s="61" t="n">
        <v>0.02</v>
      </c>
      <c r="I253" s="61" t="n">
        <v>0.06</v>
      </c>
      <c r="J253" s="61" t="n">
        <v>0</v>
      </c>
      <c r="K253" s="61" t="n">
        <v>5.59</v>
      </c>
      <c r="L253" s="61" t="n">
        <v>0.02</v>
      </c>
      <c r="M253" s="61" t="n">
        <v>0</v>
      </c>
      <c r="N253" s="61" t="n">
        <v>0</v>
      </c>
      <c r="O253" s="61" t="n">
        <v>0</v>
      </c>
      <c r="P253" s="62" t="n">
        <v>685.5</v>
      </c>
      <c r="Q253" s="0" t="n">
        <v>0</v>
      </c>
      <c r="R253" s="60" t="n">
        <f aca="false">G253+H253+I253</f>
        <v>12.1</v>
      </c>
      <c r="S253" s="60" t="n">
        <f aca="false">K253+L253+M253+N253+O253</f>
        <v>5.61</v>
      </c>
      <c r="T253" s="60" t="n">
        <f aca="false">L253+M253</f>
        <v>0.02</v>
      </c>
      <c r="U253" s="60" t="n">
        <f aca="false">S253+J253</f>
        <v>5.61</v>
      </c>
      <c r="V253" s="63" t="n">
        <f aca="false">IFERROR(S253/F253,0)</f>
        <v>0.316770186335404</v>
      </c>
      <c r="W253" s="63" t="n">
        <f aca="false">IFERROR(R253/F253,0)</f>
        <v>0.683229813664596</v>
      </c>
      <c r="X253" s="63" t="n">
        <f aca="false">IFERROR(T253/F253,0)</f>
        <v>0.00112930547713156</v>
      </c>
      <c r="Y253" s="63" t="n">
        <f aca="false">IFERROR(G253/F253,0)</f>
        <v>0.67871259175607</v>
      </c>
      <c r="Z253" s="59" t="n">
        <f aca="false">IF(E253&gt;0,F253*1000000000/E253,"")</f>
        <v>5099.34215318931</v>
      </c>
      <c r="AA253" s="63" t="n">
        <f aca="false">IFERROR((R253+S253+J253)/F253,0)</f>
        <v>1</v>
      </c>
      <c r="AB253" s="0" t="str">
        <f aca="false">A253&amp;"|"&amp;D253</f>
        <v>Bosnia and Herzegovina|2016</v>
      </c>
    </row>
    <row r="254" customFormat="false" ht="15" hidden="false" customHeight="false" outlineLevel="0" collapsed="false">
      <c r="A254" s="0" t="s">
        <v>204</v>
      </c>
      <c r="B254" s="0" t="s">
        <v>442</v>
      </c>
      <c r="C254" s="0" t="s">
        <v>127</v>
      </c>
      <c r="D254" s="0" t="n">
        <v>2017</v>
      </c>
      <c r="E254" s="59" t="n">
        <v>3428684</v>
      </c>
      <c r="F254" s="60" t="n">
        <v>16.24</v>
      </c>
      <c r="G254" s="61" t="n">
        <v>12.34</v>
      </c>
      <c r="H254" s="61" t="n">
        <v>0.02</v>
      </c>
      <c r="I254" s="61" t="n">
        <v>0.06</v>
      </c>
      <c r="J254" s="61" t="n">
        <v>0</v>
      </c>
      <c r="K254" s="61" t="n">
        <v>3.79</v>
      </c>
      <c r="L254" s="61" t="n">
        <v>0.02</v>
      </c>
      <c r="M254" s="61" t="n">
        <v>0</v>
      </c>
      <c r="N254" s="61" t="n">
        <v>0.01</v>
      </c>
      <c r="O254" s="61" t="n">
        <v>0</v>
      </c>
      <c r="P254" s="62" t="n">
        <v>766</v>
      </c>
      <c r="Q254" s="0" t="n">
        <v>0</v>
      </c>
      <c r="R254" s="60" t="n">
        <f aca="false">G254+H254+I254</f>
        <v>12.42</v>
      </c>
      <c r="S254" s="60" t="n">
        <f aca="false">K254+L254+M254+N254+O254</f>
        <v>3.82</v>
      </c>
      <c r="T254" s="60" t="n">
        <f aca="false">L254+M254</f>
        <v>0.02</v>
      </c>
      <c r="U254" s="60" t="n">
        <f aca="false">S254+J254</f>
        <v>3.82</v>
      </c>
      <c r="V254" s="63" t="n">
        <f aca="false">IFERROR(S254/F254,0)</f>
        <v>0.235221674876847</v>
      </c>
      <c r="W254" s="63" t="n">
        <f aca="false">IFERROR(R254/F254,0)</f>
        <v>0.764778325123153</v>
      </c>
      <c r="X254" s="63" t="n">
        <f aca="false">IFERROR(T254/F254,0)</f>
        <v>0.00123152709359606</v>
      </c>
      <c r="Y254" s="63" t="n">
        <f aca="false">IFERROR(G254/F254,0)</f>
        <v>0.759852216748769</v>
      </c>
      <c r="Z254" s="59" t="n">
        <f aca="false">IF(E254&gt;0,F254*1000000000/E254,"")</f>
        <v>4736.5111512172</v>
      </c>
      <c r="AA254" s="63" t="n">
        <f aca="false">IFERROR((R254+S254+J254)/F254,0)</f>
        <v>1</v>
      </c>
      <c r="AB254" s="0" t="str">
        <f aca="false">A254&amp;"|"&amp;D254</f>
        <v>Bosnia and Herzegovina|2017</v>
      </c>
    </row>
    <row r="255" customFormat="false" ht="15" hidden="false" customHeight="false" outlineLevel="0" collapsed="false">
      <c r="A255" s="0" t="s">
        <v>204</v>
      </c>
      <c r="B255" s="0" t="s">
        <v>442</v>
      </c>
      <c r="C255" s="0" t="s">
        <v>127</v>
      </c>
      <c r="D255" s="0" t="n">
        <v>2018</v>
      </c>
      <c r="E255" s="59" t="n">
        <v>3386999</v>
      </c>
      <c r="F255" s="60" t="n">
        <v>19.07</v>
      </c>
      <c r="G255" s="61" t="n">
        <v>12.44</v>
      </c>
      <c r="H255" s="61" t="n">
        <v>0.03</v>
      </c>
      <c r="I255" s="61" t="n">
        <v>0.05</v>
      </c>
      <c r="J255" s="61" t="n">
        <v>0</v>
      </c>
      <c r="K255" s="61" t="n">
        <v>6.42</v>
      </c>
      <c r="L255" s="61" t="n">
        <v>0.02</v>
      </c>
      <c r="M255" s="61" t="n">
        <v>0.1</v>
      </c>
      <c r="N255" s="61" t="n">
        <v>0.01</v>
      </c>
      <c r="O255" s="61" t="n">
        <v>0</v>
      </c>
      <c r="P255" s="62" t="n">
        <v>660.7</v>
      </c>
      <c r="Q255" s="0" t="n">
        <v>0</v>
      </c>
      <c r="R255" s="60" t="n">
        <f aca="false">G255+H255+I255</f>
        <v>12.52</v>
      </c>
      <c r="S255" s="60" t="n">
        <f aca="false">K255+L255+M255+N255+O255</f>
        <v>6.55</v>
      </c>
      <c r="T255" s="60" t="n">
        <f aca="false">L255+M255</f>
        <v>0.12</v>
      </c>
      <c r="U255" s="60" t="n">
        <f aca="false">S255+J255</f>
        <v>6.55</v>
      </c>
      <c r="V255" s="63" t="n">
        <f aca="false">IFERROR(S255/F255,0)</f>
        <v>0.343471421080231</v>
      </c>
      <c r="W255" s="63" t="n">
        <f aca="false">IFERROR(R255/F255,0)</f>
        <v>0.656528578919769</v>
      </c>
      <c r="X255" s="63" t="n">
        <f aca="false">IFERROR(T255/F255,0)</f>
        <v>0.00629260618772942</v>
      </c>
      <c r="Y255" s="63" t="n">
        <f aca="false">IFERROR(G255/F255,0)</f>
        <v>0.65233350812795</v>
      </c>
      <c r="Z255" s="59" t="n">
        <f aca="false">IF(E255&gt;0,F255*1000000000/E255,"")</f>
        <v>5630.35300571391</v>
      </c>
      <c r="AA255" s="63" t="n">
        <f aca="false">IFERROR((R255+S255+J255)/F255,0)</f>
        <v>1</v>
      </c>
      <c r="AB255" s="0" t="str">
        <f aca="false">A255&amp;"|"&amp;D255</f>
        <v>Bosnia and Herzegovina|2018</v>
      </c>
    </row>
    <row r="256" customFormat="false" ht="15" hidden="false" customHeight="false" outlineLevel="0" collapsed="false">
      <c r="A256" s="0" t="s">
        <v>204</v>
      </c>
      <c r="B256" s="0" t="s">
        <v>442</v>
      </c>
      <c r="C256" s="0" t="s">
        <v>127</v>
      </c>
      <c r="D256" s="0" t="n">
        <v>2019</v>
      </c>
      <c r="E256" s="59" t="n">
        <v>3345532</v>
      </c>
      <c r="F256" s="60" t="n">
        <v>17.42</v>
      </c>
      <c r="G256" s="61" t="n">
        <v>10.96</v>
      </c>
      <c r="H256" s="61" t="n">
        <v>0.02</v>
      </c>
      <c r="I256" s="61" t="n">
        <v>0.05</v>
      </c>
      <c r="J256" s="61" t="n">
        <v>0</v>
      </c>
      <c r="K256" s="61" t="n">
        <v>6.1</v>
      </c>
      <c r="L256" s="61" t="n">
        <v>0.03</v>
      </c>
      <c r="M256" s="61" t="n">
        <v>0.25</v>
      </c>
      <c r="N256" s="61" t="n">
        <v>0.01</v>
      </c>
      <c r="O256" s="61" t="n">
        <v>0</v>
      </c>
      <c r="P256" s="62" t="n">
        <v>637.2</v>
      </c>
      <c r="Q256" s="0" t="n">
        <v>0</v>
      </c>
      <c r="R256" s="60" t="n">
        <f aca="false">G256+H256+I256</f>
        <v>11.03</v>
      </c>
      <c r="S256" s="60" t="n">
        <f aca="false">K256+L256+M256+N256+O256</f>
        <v>6.39</v>
      </c>
      <c r="T256" s="60" t="n">
        <f aca="false">L256+M256</f>
        <v>0.28</v>
      </c>
      <c r="U256" s="60" t="n">
        <f aca="false">S256+J256</f>
        <v>6.39</v>
      </c>
      <c r="V256" s="63" t="n">
        <f aca="false">IFERROR(S256/F256,0)</f>
        <v>0.366819747416762</v>
      </c>
      <c r="W256" s="63" t="n">
        <f aca="false">IFERROR(R256/F256,0)</f>
        <v>0.633180252583238</v>
      </c>
      <c r="X256" s="63" t="n">
        <f aca="false">IFERROR(T256/F256,0)</f>
        <v>0.0160734787600459</v>
      </c>
      <c r="Y256" s="63" t="n">
        <f aca="false">IFERROR(G256/F256,0)</f>
        <v>0.629161882893226</v>
      </c>
      <c r="Z256" s="59" t="n">
        <f aca="false">IF(E256&gt;0,F256*1000000000/E256,"")</f>
        <v>5206.94466530286</v>
      </c>
      <c r="AA256" s="63" t="n">
        <f aca="false">IFERROR((R256+S256+J256)/F256,0)</f>
        <v>1</v>
      </c>
      <c r="AB256" s="0" t="str">
        <f aca="false">A256&amp;"|"&amp;D256</f>
        <v>Bosnia and Herzegovina|2019</v>
      </c>
    </row>
    <row r="257" customFormat="false" ht="15" hidden="false" customHeight="false" outlineLevel="0" collapsed="false">
      <c r="A257" s="0" t="s">
        <v>204</v>
      </c>
      <c r="B257" s="0" t="s">
        <v>442</v>
      </c>
      <c r="C257" s="0" t="s">
        <v>127</v>
      </c>
      <c r="D257" s="0" t="n">
        <v>2020</v>
      </c>
      <c r="E257" s="59" t="n">
        <v>3299352</v>
      </c>
      <c r="F257" s="60" t="n">
        <v>16.79</v>
      </c>
      <c r="G257" s="61" t="n">
        <v>11.85</v>
      </c>
      <c r="H257" s="61" t="n">
        <v>0</v>
      </c>
      <c r="I257" s="61" t="n">
        <v>0.04</v>
      </c>
      <c r="J257" s="61" t="n">
        <v>0</v>
      </c>
      <c r="K257" s="61" t="n">
        <v>4.58</v>
      </c>
      <c r="L257" s="61" t="n">
        <v>0.05</v>
      </c>
      <c r="M257" s="61" t="n">
        <v>0.26</v>
      </c>
      <c r="N257" s="61" t="n">
        <v>0.01</v>
      </c>
      <c r="O257" s="61" t="n">
        <v>0</v>
      </c>
      <c r="P257" s="62" t="n">
        <v>711.1</v>
      </c>
      <c r="Q257" s="0" t="n">
        <v>0</v>
      </c>
      <c r="R257" s="60" t="n">
        <f aca="false">G257+H257+I257</f>
        <v>11.89</v>
      </c>
      <c r="S257" s="60" t="n">
        <f aca="false">K257+L257+M257+N257+O257</f>
        <v>4.9</v>
      </c>
      <c r="T257" s="60" t="n">
        <f aca="false">L257+M257</f>
        <v>0.31</v>
      </c>
      <c r="U257" s="60" t="n">
        <f aca="false">S257+J257</f>
        <v>4.9</v>
      </c>
      <c r="V257" s="63" t="n">
        <f aca="false">IFERROR(S257/F257,0)</f>
        <v>0.291840381179273</v>
      </c>
      <c r="W257" s="63" t="n">
        <f aca="false">IFERROR(R257/F257,0)</f>
        <v>0.708159618820727</v>
      </c>
      <c r="X257" s="63" t="n">
        <f aca="false">IFERROR(T257/F257,0)</f>
        <v>0.0184633710541989</v>
      </c>
      <c r="Y257" s="63" t="n">
        <f aca="false">IFERROR(G257/F257,0)</f>
        <v>0.70577724836212</v>
      </c>
      <c r="Z257" s="59" t="n">
        <f aca="false">IF(E257&gt;0,F257*1000000000/E257,"")</f>
        <v>5088.87805847936</v>
      </c>
      <c r="AA257" s="63" t="n">
        <f aca="false">IFERROR((R257+S257+J257)/F257,0)</f>
        <v>1</v>
      </c>
      <c r="AB257" s="0" t="str">
        <f aca="false">A257&amp;"|"&amp;D257</f>
        <v>Bosnia and Herzegovina|2020</v>
      </c>
    </row>
    <row r="258" customFormat="false" ht="15" hidden="false" customHeight="false" outlineLevel="0" collapsed="false">
      <c r="A258" s="0" t="s">
        <v>204</v>
      </c>
      <c r="B258" s="0" t="s">
        <v>442</v>
      </c>
      <c r="C258" s="0" t="s">
        <v>127</v>
      </c>
      <c r="D258" s="0" t="n">
        <v>2021</v>
      </c>
      <c r="E258" s="59" t="n">
        <v>3244912</v>
      </c>
      <c r="F258" s="60" t="n">
        <v>18.41</v>
      </c>
      <c r="G258" s="61" t="n">
        <v>11.2</v>
      </c>
      <c r="H258" s="61" t="n">
        <v>0</v>
      </c>
      <c r="I258" s="61" t="n">
        <v>0.03</v>
      </c>
      <c r="J258" s="61" t="n">
        <v>0</v>
      </c>
      <c r="K258" s="61" t="n">
        <v>6.69</v>
      </c>
      <c r="L258" s="61" t="n">
        <v>0.07</v>
      </c>
      <c r="M258" s="61" t="n">
        <v>0.38</v>
      </c>
      <c r="N258" s="61" t="n">
        <v>0.04</v>
      </c>
      <c r="O258" s="61" t="n">
        <v>0</v>
      </c>
      <c r="P258" s="62" t="n">
        <v>616</v>
      </c>
      <c r="Q258" s="0" t="n">
        <v>0</v>
      </c>
      <c r="R258" s="60" t="n">
        <f aca="false">G258+H258+I258</f>
        <v>11.23</v>
      </c>
      <c r="S258" s="60" t="n">
        <f aca="false">K258+L258+M258+N258+O258</f>
        <v>7.18</v>
      </c>
      <c r="T258" s="60" t="n">
        <f aca="false">L258+M258</f>
        <v>0.45</v>
      </c>
      <c r="U258" s="60" t="n">
        <f aca="false">S258+J258</f>
        <v>7.18</v>
      </c>
      <c r="V258" s="63" t="n">
        <f aca="false">IFERROR(S258/F258,0)</f>
        <v>0.390005431830527</v>
      </c>
      <c r="W258" s="63" t="n">
        <f aca="false">IFERROR(R258/F258,0)</f>
        <v>0.609994568169473</v>
      </c>
      <c r="X258" s="63" t="n">
        <f aca="false">IFERROR(T258/F258,0)</f>
        <v>0.024443237370994</v>
      </c>
      <c r="Y258" s="63" t="n">
        <f aca="false">IFERROR(G258/F258,0)</f>
        <v>0.608365019011407</v>
      </c>
      <c r="Z258" s="59" t="n">
        <f aca="false">IF(E258&gt;0,F258*1000000000/E258,"")</f>
        <v>5673.49746310532</v>
      </c>
      <c r="AA258" s="63" t="n">
        <f aca="false">IFERROR((R258+S258+J258)/F258,0)</f>
        <v>1</v>
      </c>
      <c r="AB258" s="0" t="str">
        <f aca="false">A258&amp;"|"&amp;D258</f>
        <v>Bosnia and Herzegovina|2021</v>
      </c>
    </row>
    <row r="259" customFormat="false" ht="15" hidden="false" customHeight="false" outlineLevel="0" collapsed="false">
      <c r="A259" s="0" t="s">
        <v>204</v>
      </c>
      <c r="B259" s="0" t="s">
        <v>442</v>
      </c>
      <c r="C259" s="0" t="s">
        <v>127</v>
      </c>
      <c r="D259" s="0" t="n">
        <v>2022</v>
      </c>
      <c r="E259" s="59" t="n">
        <v>3204802</v>
      </c>
      <c r="F259" s="60" t="n">
        <v>16.35</v>
      </c>
      <c r="G259" s="61" t="n">
        <v>11.05</v>
      </c>
      <c r="H259" s="61" t="n">
        <v>0.01</v>
      </c>
      <c r="I259" s="61" t="n">
        <v>0.05</v>
      </c>
      <c r="J259" s="61" t="n">
        <v>0</v>
      </c>
      <c r="K259" s="61" t="n">
        <v>4.71</v>
      </c>
      <c r="L259" s="61" t="n">
        <v>0.11</v>
      </c>
      <c r="M259" s="61" t="n">
        <v>0.39</v>
      </c>
      <c r="N259" s="61" t="n">
        <v>0.03</v>
      </c>
      <c r="O259" s="61" t="n">
        <v>0</v>
      </c>
      <c r="P259" s="62" t="n">
        <v>683.2</v>
      </c>
      <c r="Q259" s="0" t="n">
        <v>0</v>
      </c>
      <c r="R259" s="60" t="n">
        <f aca="false">G259+H259+I259</f>
        <v>11.11</v>
      </c>
      <c r="S259" s="60" t="n">
        <f aca="false">K259+L259+M259+N259+O259</f>
        <v>5.24</v>
      </c>
      <c r="T259" s="60" t="n">
        <f aca="false">L259+M259</f>
        <v>0.5</v>
      </c>
      <c r="U259" s="60" t="n">
        <f aca="false">S259+J259</f>
        <v>5.24</v>
      </c>
      <c r="V259" s="63" t="n">
        <f aca="false">IFERROR(S259/F259,0)</f>
        <v>0.320489296636086</v>
      </c>
      <c r="W259" s="63" t="n">
        <f aca="false">IFERROR(R259/F259,0)</f>
        <v>0.679510703363914</v>
      </c>
      <c r="X259" s="63" t="n">
        <f aca="false">IFERROR(T259/F259,0)</f>
        <v>0.0305810397553517</v>
      </c>
      <c r="Y259" s="63" t="n">
        <f aca="false">IFERROR(G259/F259,0)</f>
        <v>0.675840978593272</v>
      </c>
      <c r="Z259" s="59" t="n">
        <f aca="false">IF(E259&gt;0,F259*1000000000/E259,"")</f>
        <v>5101.71923257662</v>
      </c>
      <c r="AA259" s="63" t="n">
        <f aca="false">IFERROR((R259+S259+J259)/F259,0)</f>
        <v>1</v>
      </c>
      <c r="AB259" s="0" t="str">
        <f aca="false">A259&amp;"|"&amp;D259</f>
        <v>Bosnia and Herzegovina|2022</v>
      </c>
    </row>
    <row r="260" customFormat="false" ht="15" hidden="false" customHeight="false" outlineLevel="0" collapsed="false">
      <c r="A260" s="0" t="s">
        <v>204</v>
      </c>
      <c r="B260" s="0" t="s">
        <v>442</v>
      </c>
      <c r="C260" s="0" t="s">
        <v>127</v>
      </c>
      <c r="D260" s="0" t="n">
        <v>2023</v>
      </c>
      <c r="E260" s="59" t="n">
        <v>3185072</v>
      </c>
      <c r="F260" s="60" t="n">
        <v>17.18</v>
      </c>
      <c r="G260" s="61" t="n">
        <v>9.7</v>
      </c>
      <c r="H260" s="61" t="n">
        <v>0.01</v>
      </c>
      <c r="I260" s="61" t="n">
        <v>0.07</v>
      </c>
      <c r="J260" s="61" t="n">
        <v>0</v>
      </c>
      <c r="K260" s="61" t="n">
        <v>6.75</v>
      </c>
      <c r="L260" s="61" t="n">
        <v>0.25</v>
      </c>
      <c r="M260" s="61" t="n">
        <v>0.36</v>
      </c>
      <c r="N260" s="61" t="n">
        <v>0.04</v>
      </c>
      <c r="O260" s="61" t="n">
        <v>0</v>
      </c>
      <c r="P260" s="62" t="n">
        <v>576.2</v>
      </c>
      <c r="Q260" s="0" t="n">
        <v>0</v>
      </c>
      <c r="R260" s="60" t="n">
        <f aca="false">G260+H260+I260</f>
        <v>9.78</v>
      </c>
      <c r="S260" s="60" t="n">
        <f aca="false">K260+L260+M260+N260+O260</f>
        <v>7.4</v>
      </c>
      <c r="T260" s="60" t="n">
        <f aca="false">L260+M260</f>
        <v>0.61</v>
      </c>
      <c r="U260" s="60" t="n">
        <f aca="false">S260+J260</f>
        <v>7.4</v>
      </c>
      <c r="V260" s="63" t="n">
        <f aca="false">IFERROR(S260/F260,0)</f>
        <v>0.430733410942957</v>
      </c>
      <c r="W260" s="63" t="n">
        <f aca="false">IFERROR(R260/F260,0)</f>
        <v>0.569266589057043</v>
      </c>
      <c r="X260" s="63" t="n">
        <f aca="false">IFERROR(T260/F260,0)</f>
        <v>0.0355064027939465</v>
      </c>
      <c r="Y260" s="63" t="n">
        <f aca="false">IFERROR(G260/F260,0)</f>
        <v>0.564610011641444</v>
      </c>
      <c r="Z260" s="59" t="n">
        <f aca="false">IF(E260&gt;0,F260*1000000000/E260,"")</f>
        <v>5393.91260228968</v>
      </c>
      <c r="AA260" s="63" t="n">
        <f aca="false">IFERROR((R260+S260+J260)/F260,0)</f>
        <v>1</v>
      </c>
      <c r="AB260" s="0" t="str">
        <f aca="false">A260&amp;"|"&amp;D260</f>
        <v>Bosnia and Herzegovina|2023</v>
      </c>
    </row>
    <row r="261" customFormat="false" ht="15" hidden="false" customHeight="false" outlineLevel="0" collapsed="false">
      <c r="A261" s="0" t="s">
        <v>204</v>
      </c>
      <c r="B261" s="0" t="s">
        <v>442</v>
      </c>
      <c r="C261" s="0" t="s">
        <v>127</v>
      </c>
      <c r="D261" s="0" t="n">
        <v>2024</v>
      </c>
      <c r="E261" s="59" t="n">
        <v>3164256</v>
      </c>
      <c r="F261" s="60" t="n">
        <v>15.49</v>
      </c>
      <c r="G261" s="61" t="n">
        <v>9.09</v>
      </c>
      <c r="H261" s="61" t="n">
        <v>0</v>
      </c>
      <c r="I261" s="61" t="n">
        <v>0.15</v>
      </c>
      <c r="J261" s="61" t="n">
        <v>0</v>
      </c>
      <c r="K261" s="61" t="n">
        <v>5.45</v>
      </c>
      <c r="L261" s="61" t="n">
        <v>0.39</v>
      </c>
      <c r="M261" s="61" t="n">
        <v>0.37</v>
      </c>
      <c r="N261" s="61" t="n">
        <v>0.04</v>
      </c>
      <c r="O261" s="61" t="n">
        <v>0</v>
      </c>
      <c r="P261" s="62" t="n">
        <v>601</v>
      </c>
      <c r="Q261" s="0" t="n">
        <v>0</v>
      </c>
      <c r="R261" s="60" t="n">
        <f aca="false">G261+H261+I261</f>
        <v>9.24</v>
      </c>
      <c r="S261" s="60" t="n">
        <f aca="false">K261+L261+M261+N261+O261</f>
        <v>6.25</v>
      </c>
      <c r="T261" s="60" t="n">
        <f aca="false">L261+M261</f>
        <v>0.76</v>
      </c>
      <c r="U261" s="60" t="n">
        <f aca="false">S261+J261</f>
        <v>6.25</v>
      </c>
      <c r="V261" s="63" t="n">
        <f aca="false">IFERROR(S261/F261,0)</f>
        <v>0.403486120077469</v>
      </c>
      <c r="W261" s="63" t="n">
        <f aca="false">IFERROR(R261/F261,0)</f>
        <v>0.596513879922531</v>
      </c>
      <c r="X261" s="63" t="n">
        <f aca="false">IFERROR(T261/F261,0)</f>
        <v>0.0490639122014203</v>
      </c>
      <c r="Y261" s="63" t="n">
        <f aca="false">IFERROR(G261/F261,0)</f>
        <v>0.586830213040671</v>
      </c>
      <c r="Z261" s="59" t="n">
        <f aca="false">IF(E261&gt;0,F261*1000000000/E261,"")</f>
        <v>4895.30556314028</v>
      </c>
      <c r="AA261" s="63" t="n">
        <f aca="false">IFERROR((R261+S261+J261)/F261,0)</f>
        <v>1</v>
      </c>
      <c r="AB261" s="0" t="str">
        <f aca="false">A261&amp;"|"&amp;D261</f>
        <v>Bosnia and Herzegovina|2024</v>
      </c>
    </row>
    <row r="262" customFormat="false" ht="15" hidden="false" customHeight="false" outlineLevel="0" collapsed="false">
      <c r="A262" s="0" t="s">
        <v>204</v>
      </c>
      <c r="B262" s="0" t="s">
        <v>442</v>
      </c>
      <c r="C262" s="0" t="s">
        <v>127</v>
      </c>
      <c r="D262" s="0" t="n">
        <v>2025</v>
      </c>
      <c r="E262" s="59" t="n">
        <v>3140098</v>
      </c>
      <c r="F262" s="60" t="n">
        <v>14.44</v>
      </c>
      <c r="G262" s="61" t="n">
        <v>8</v>
      </c>
      <c r="H262" s="61" t="n">
        <v>0</v>
      </c>
      <c r="I262" s="61" t="n">
        <v>0.15</v>
      </c>
      <c r="J262" s="61" t="n">
        <v>0</v>
      </c>
      <c r="K262" s="61" t="n">
        <v>5.29</v>
      </c>
      <c r="L262" s="61" t="n">
        <v>0.59</v>
      </c>
      <c r="M262" s="61" t="n">
        <v>0.37</v>
      </c>
      <c r="N262" s="61" t="n">
        <v>0.04</v>
      </c>
      <c r="O262" s="61" t="n">
        <v>0</v>
      </c>
      <c r="P262" s="62" t="n">
        <v>570.6</v>
      </c>
      <c r="Q262" s="0" t="n">
        <v>0</v>
      </c>
      <c r="R262" s="60" t="n">
        <f aca="false">G262+H262+I262</f>
        <v>8.15</v>
      </c>
      <c r="S262" s="60" t="n">
        <f aca="false">K262+L262+M262+N262+O262</f>
        <v>6.29</v>
      </c>
      <c r="T262" s="60" t="n">
        <f aca="false">L262+M262</f>
        <v>0.96</v>
      </c>
      <c r="U262" s="60" t="n">
        <f aca="false">S262+J262</f>
        <v>6.29</v>
      </c>
      <c r="V262" s="63" t="n">
        <f aca="false">IFERROR(S262/F262,0)</f>
        <v>0.435595567867036</v>
      </c>
      <c r="W262" s="63" t="n">
        <f aca="false">IFERROR(R262/F262,0)</f>
        <v>0.564404432132964</v>
      </c>
      <c r="X262" s="63" t="n">
        <f aca="false">IFERROR(T262/F262,0)</f>
        <v>0.0664819944598338</v>
      </c>
      <c r="Y262" s="63" t="n">
        <f aca="false">IFERROR(G262/F262,0)</f>
        <v>0.554016620498615</v>
      </c>
      <c r="Z262" s="59" t="n">
        <f aca="false">IF(E262&gt;0,F262*1000000000/E262,"")</f>
        <v>4598.58259200828</v>
      </c>
      <c r="AA262" s="63" t="n">
        <f aca="false">IFERROR((R262+S262+J262)/F262,0)</f>
        <v>1</v>
      </c>
      <c r="AB262" s="0" t="str">
        <f aca="false">A262&amp;"|"&amp;D262</f>
        <v>Bosnia and Herzegovina|2025</v>
      </c>
    </row>
    <row r="263" customFormat="false" ht="15" hidden="false" customHeight="false" outlineLevel="0" collapsed="false">
      <c r="A263" s="0" t="s">
        <v>205</v>
      </c>
      <c r="B263" s="0" t="s">
        <v>443</v>
      </c>
      <c r="C263" s="0" t="s">
        <v>127</v>
      </c>
      <c r="D263" s="0" t="n">
        <v>2015</v>
      </c>
      <c r="E263" s="59" t="n">
        <v>2203276</v>
      </c>
      <c r="F263" s="60" t="n">
        <v>2.97</v>
      </c>
      <c r="G263" s="61" t="n">
        <v>2.86</v>
      </c>
      <c r="H263" s="61" t="n">
        <v>0</v>
      </c>
      <c r="I263" s="61" t="n">
        <v>0.11</v>
      </c>
      <c r="J263" s="61" t="n">
        <v>0</v>
      </c>
      <c r="K263" s="61" t="n">
        <v>0</v>
      </c>
      <c r="L263" s="61" t="n">
        <v>0</v>
      </c>
      <c r="M263" s="61" t="n">
        <v>0</v>
      </c>
      <c r="N263" s="61" t="n">
        <v>0</v>
      </c>
      <c r="O263" s="61" t="n">
        <v>0</v>
      </c>
      <c r="P263" s="62" t="n">
        <v>848.5</v>
      </c>
      <c r="Q263" s="0" t="n">
        <v>0</v>
      </c>
      <c r="R263" s="60" t="n">
        <f aca="false">G263+H263+I263</f>
        <v>2.97</v>
      </c>
      <c r="S263" s="60" t="n">
        <f aca="false">K263+L263+M263+N263+O263</f>
        <v>0</v>
      </c>
      <c r="T263" s="60" t="n">
        <f aca="false">L263+M263</f>
        <v>0</v>
      </c>
      <c r="U263" s="60" t="n">
        <f aca="false">S263+J263</f>
        <v>0</v>
      </c>
      <c r="V263" s="63" t="n">
        <f aca="false">IFERROR(S263/F263,0)</f>
        <v>0</v>
      </c>
      <c r="W263" s="63" t="n">
        <f aca="false">IFERROR(R263/F263,0)</f>
        <v>1</v>
      </c>
      <c r="X263" s="63" t="n">
        <f aca="false">IFERROR(T263/F263,0)</f>
        <v>0</v>
      </c>
      <c r="Y263" s="63" t="n">
        <f aca="false">IFERROR(G263/F263,0)</f>
        <v>0.962962962962963</v>
      </c>
      <c r="Z263" s="59" t="n">
        <f aca="false">IF(E263&gt;0,F263*1000000000/E263,"")</f>
        <v>1347.99271630064</v>
      </c>
      <c r="AA263" s="63" t="n">
        <f aca="false">IFERROR((R263+S263+J263)/F263,0)</f>
        <v>1</v>
      </c>
      <c r="AB263" s="0" t="str">
        <f aca="false">A263&amp;"|"&amp;D263</f>
        <v>Botswana|2015</v>
      </c>
    </row>
    <row r="264" customFormat="false" ht="15" hidden="false" customHeight="false" outlineLevel="0" collapsed="false">
      <c r="A264" s="0" t="s">
        <v>205</v>
      </c>
      <c r="B264" s="0" t="s">
        <v>443</v>
      </c>
      <c r="C264" s="0" t="s">
        <v>127</v>
      </c>
      <c r="D264" s="0" t="n">
        <v>2016</v>
      </c>
      <c r="E264" s="59" t="n">
        <v>2234784</v>
      </c>
      <c r="F264" s="60" t="n">
        <v>2.69</v>
      </c>
      <c r="G264" s="61" t="n">
        <v>2.68</v>
      </c>
      <c r="H264" s="61" t="n">
        <v>0</v>
      </c>
      <c r="I264" s="61" t="n">
        <v>0.01</v>
      </c>
      <c r="J264" s="61" t="n">
        <v>0</v>
      </c>
      <c r="K264" s="61" t="n">
        <v>0</v>
      </c>
      <c r="L264" s="61" t="n">
        <v>0</v>
      </c>
      <c r="M264" s="61" t="n">
        <v>0</v>
      </c>
      <c r="N264" s="61" t="n">
        <v>0</v>
      </c>
      <c r="O264" s="61" t="n">
        <v>0</v>
      </c>
      <c r="P264" s="62" t="n">
        <v>858.7</v>
      </c>
      <c r="Q264" s="0" t="n">
        <v>0</v>
      </c>
      <c r="R264" s="60" t="n">
        <f aca="false">G264+H264+I264</f>
        <v>2.69</v>
      </c>
      <c r="S264" s="60" t="n">
        <f aca="false">K264+L264+M264+N264+O264</f>
        <v>0</v>
      </c>
      <c r="T264" s="60" t="n">
        <f aca="false">L264+M264</f>
        <v>0</v>
      </c>
      <c r="U264" s="60" t="n">
        <f aca="false">S264+J264</f>
        <v>0</v>
      </c>
      <c r="V264" s="63" t="n">
        <f aca="false">IFERROR(S264/F264,0)</f>
        <v>0</v>
      </c>
      <c r="W264" s="63" t="n">
        <f aca="false">IFERROR(R264/F264,0)</f>
        <v>1</v>
      </c>
      <c r="X264" s="63" t="n">
        <f aca="false">IFERROR(T264/F264,0)</f>
        <v>0</v>
      </c>
      <c r="Y264" s="63" t="n">
        <f aca="false">IFERROR(G264/F264,0)</f>
        <v>0.996282527881041</v>
      </c>
      <c r="Z264" s="59" t="n">
        <f aca="false">IF(E264&gt;0,F264*1000000000/E264,"")</f>
        <v>1203.69574867191</v>
      </c>
      <c r="AA264" s="63" t="n">
        <f aca="false">IFERROR((R264+S264+J264)/F264,0)</f>
        <v>1</v>
      </c>
      <c r="AB264" s="0" t="str">
        <f aca="false">A264&amp;"|"&amp;D264</f>
        <v>Botswana|2016</v>
      </c>
    </row>
    <row r="265" customFormat="false" ht="15" hidden="false" customHeight="false" outlineLevel="0" collapsed="false">
      <c r="A265" s="0" t="s">
        <v>205</v>
      </c>
      <c r="B265" s="0" t="s">
        <v>443</v>
      </c>
      <c r="C265" s="0" t="s">
        <v>127</v>
      </c>
      <c r="D265" s="0" t="n">
        <v>2017</v>
      </c>
      <c r="E265" s="59" t="n">
        <v>2266749</v>
      </c>
      <c r="F265" s="60" t="n">
        <v>3.02</v>
      </c>
      <c r="G265" s="61" t="n">
        <v>3.01</v>
      </c>
      <c r="H265" s="61" t="n">
        <v>0</v>
      </c>
      <c r="I265" s="61" t="n">
        <v>0.01</v>
      </c>
      <c r="J265" s="61" t="n">
        <v>0</v>
      </c>
      <c r="K265" s="61" t="n">
        <v>0</v>
      </c>
      <c r="L265" s="61" t="n">
        <v>0</v>
      </c>
      <c r="M265" s="61" t="n">
        <v>0</v>
      </c>
      <c r="N265" s="61" t="n">
        <v>0</v>
      </c>
      <c r="O265" s="61" t="n">
        <v>0</v>
      </c>
      <c r="P265" s="62" t="n">
        <v>857.6</v>
      </c>
      <c r="Q265" s="0" t="n">
        <v>0</v>
      </c>
      <c r="R265" s="60" t="n">
        <f aca="false">G265+H265+I265</f>
        <v>3.02</v>
      </c>
      <c r="S265" s="60" t="n">
        <f aca="false">K265+L265+M265+N265+O265</f>
        <v>0</v>
      </c>
      <c r="T265" s="60" t="n">
        <f aca="false">L265+M265</f>
        <v>0</v>
      </c>
      <c r="U265" s="60" t="n">
        <f aca="false">S265+J265</f>
        <v>0</v>
      </c>
      <c r="V265" s="63" t="n">
        <f aca="false">IFERROR(S265/F265,0)</f>
        <v>0</v>
      </c>
      <c r="W265" s="63" t="n">
        <f aca="false">IFERROR(R265/F265,0)</f>
        <v>1</v>
      </c>
      <c r="X265" s="63" t="n">
        <f aca="false">IFERROR(T265/F265,0)</f>
        <v>0</v>
      </c>
      <c r="Y265" s="63" t="n">
        <f aca="false">IFERROR(G265/F265,0)</f>
        <v>0.996688741721854</v>
      </c>
      <c r="Z265" s="59" t="n">
        <f aca="false">IF(E265&gt;0,F265*1000000000/E265,"")</f>
        <v>1332.30454717307</v>
      </c>
      <c r="AA265" s="63" t="n">
        <f aca="false">IFERROR((R265+S265+J265)/F265,0)</f>
        <v>1</v>
      </c>
      <c r="AB265" s="0" t="str">
        <f aca="false">A265&amp;"|"&amp;D265</f>
        <v>Botswana|2017</v>
      </c>
    </row>
    <row r="266" customFormat="false" ht="15" hidden="false" customHeight="false" outlineLevel="0" collapsed="false">
      <c r="A266" s="0" t="s">
        <v>205</v>
      </c>
      <c r="B266" s="0" t="s">
        <v>443</v>
      </c>
      <c r="C266" s="0" t="s">
        <v>127</v>
      </c>
      <c r="D266" s="0" t="n">
        <v>2018</v>
      </c>
      <c r="E266" s="59" t="n">
        <v>2299149</v>
      </c>
      <c r="F266" s="60" t="n">
        <v>3.11</v>
      </c>
      <c r="G266" s="61" t="n">
        <v>3.09</v>
      </c>
      <c r="H266" s="61" t="n">
        <v>0</v>
      </c>
      <c r="I266" s="61" t="n">
        <v>0.01</v>
      </c>
      <c r="J266" s="61" t="n">
        <v>0</v>
      </c>
      <c r="K266" s="61" t="n">
        <v>0</v>
      </c>
      <c r="L266" s="61" t="n">
        <v>0.01</v>
      </c>
      <c r="M266" s="61" t="n">
        <v>0</v>
      </c>
      <c r="N266" s="61" t="n">
        <v>0</v>
      </c>
      <c r="O266" s="61" t="n">
        <v>0</v>
      </c>
      <c r="P266" s="62" t="n">
        <v>855.3</v>
      </c>
      <c r="Q266" s="0" t="n">
        <v>0</v>
      </c>
      <c r="R266" s="60" t="n">
        <f aca="false">G266+H266+I266</f>
        <v>3.1</v>
      </c>
      <c r="S266" s="60" t="n">
        <f aca="false">K266+L266+M266+N266+O266</f>
        <v>0.01</v>
      </c>
      <c r="T266" s="60" t="n">
        <f aca="false">L266+M266</f>
        <v>0.01</v>
      </c>
      <c r="U266" s="60" t="n">
        <f aca="false">S266+J266</f>
        <v>0.01</v>
      </c>
      <c r="V266" s="63" t="n">
        <f aca="false">IFERROR(S266/F266,0)</f>
        <v>0.00321543408360129</v>
      </c>
      <c r="W266" s="63" t="n">
        <f aca="false">IFERROR(R266/F266,0)</f>
        <v>0.996784565916399</v>
      </c>
      <c r="X266" s="63" t="n">
        <f aca="false">IFERROR(T266/F266,0)</f>
        <v>0.00321543408360129</v>
      </c>
      <c r="Y266" s="63" t="n">
        <f aca="false">IFERROR(G266/F266,0)</f>
        <v>0.993569131832797</v>
      </c>
      <c r="Z266" s="59" t="n">
        <f aca="false">IF(E266&gt;0,F266*1000000000/E266,"")</f>
        <v>1352.67440257243</v>
      </c>
      <c r="AA266" s="63" t="n">
        <f aca="false">IFERROR((R266+S266+J266)/F266,0)</f>
        <v>1</v>
      </c>
      <c r="AB266" s="0" t="str">
        <f aca="false">A266&amp;"|"&amp;D266</f>
        <v>Botswana|2018</v>
      </c>
    </row>
    <row r="267" customFormat="false" ht="15" hidden="false" customHeight="false" outlineLevel="0" collapsed="false">
      <c r="A267" s="0" t="s">
        <v>205</v>
      </c>
      <c r="B267" s="0" t="s">
        <v>443</v>
      </c>
      <c r="C267" s="0" t="s">
        <v>127</v>
      </c>
      <c r="D267" s="0" t="n">
        <v>2019</v>
      </c>
      <c r="E267" s="59" t="n">
        <v>2332082</v>
      </c>
      <c r="F267" s="60" t="n">
        <v>2.51</v>
      </c>
      <c r="G267" s="61" t="n">
        <v>2.5</v>
      </c>
      <c r="H267" s="61" t="n">
        <v>0</v>
      </c>
      <c r="I267" s="61" t="n">
        <v>0</v>
      </c>
      <c r="J267" s="61" t="n">
        <v>0</v>
      </c>
      <c r="K267" s="61" t="n">
        <v>0</v>
      </c>
      <c r="L267" s="61" t="n">
        <v>0.01</v>
      </c>
      <c r="M267" s="61" t="n">
        <v>0</v>
      </c>
      <c r="N267" s="61" t="n">
        <v>0</v>
      </c>
      <c r="O267" s="61" t="n">
        <v>0</v>
      </c>
      <c r="P267" s="62" t="n">
        <v>852.6</v>
      </c>
      <c r="Q267" s="0" t="n">
        <v>0</v>
      </c>
      <c r="R267" s="60" t="n">
        <f aca="false">G267+H267+I267</f>
        <v>2.5</v>
      </c>
      <c r="S267" s="60" t="n">
        <f aca="false">K267+L267+M267+N267+O267</f>
        <v>0.01</v>
      </c>
      <c r="T267" s="60" t="n">
        <f aca="false">L267+M267</f>
        <v>0.01</v>
      </c>
      <c r="U267" s="60" t="n">
        <f aca="false">S267+J267</f>
        <v>0.01</v>
      </c>
      <c r="V267" s="63" t="n">
        <f aca="false">IFERROR(S267/F267,0)</f>
        <v>0.00398406374501992</v>
      </c>
      <c r="W267" s="63" t="n">
        <f aca="false">IFERROR(R267/F267,0)</f>
        <v>0.99601593625498</v>
      </c>
      <c r="X267" s="63" t="n">
        <f aca="false">IFERROR(T267/F267,0)</f>
        <v>0.00398406374501992</v>
      </c>
      <c r="Y267" s="63" t="n">
        <f aca="false">IFERROR(G267/F267,0)</f>
        <v>0.99601593625498</v>
      </c>
      <c r="Z267" s="59" t="n">
        <f aca="false">IF(E267&gt;0,F267*1000000000/E267,"")</f>
        <v>1076.29148546235</v>
      </c>
      <c r="AA267" s="63" t="n">
        <f aca="false">IFERROR((R267+S267+J267)/F267,0)</f>
        <v>1</v>
      </c>
      <c r="AB267" s="0" t="str">
        <f aca="false">A267&amp;"|"&amp;D267</f>
        <v>Botswana|2019</v>
      </c>
    </row>
    <row r="268" customFormat="false" ht="15" hidden="false" customHeight="false" outlineLevel="0" collapsed="false">
      <c r="A268" s="0" t="s">
        <v>205</v>
      </c>
      <c r="B268" s="0" t="s">
        <v>443</v>
      </c>
      <c r="C268" s="0" t="s">
        <v>127</v>
      </c>
      <c r="D268" s="0" t="n">
        <v>2020</v>
      </c>
      <c r="E268" s="59" t="n">
        <v>2365895</v>
      </c>
      <c r="F268" s="60" t="n">
        <v>2.18</v>
      </c>
      <c r="G268" s="61" t="n">
        <v>2.12</v>
      </c>
      <c r="H268" s="61" t="n">
        <v>0</v>
      </c>
      <c r="I268" s="61" t="n">
        <v>0.05</v>
      </c>
      <c r="J268" s="61" t="n">
        <v>0</v>
      </c>
      <c r="K268" s="61" t="n">
        <v>0</v>
      </c>
      <c r="L268" s="61" t="n">
        <v>0.01</v>
      </c>
      <c r="M268" s="61" t="n">
        <v>0</v>
      </c>
      <c r="N268" s="61" t="n">
        <v>0</v>
      </c>
      <c r="O268" s="61" t="n">
        <v>0</v>
      </c>
      <c r="P268" s="62" t="n">
        <v>848.6</v>
      </c>
      <c r="Q268" s="0" t="n">
        <v>0</v>
      </c>
      <c r="R268" s="60" t="n">
        <f aca="false">G268+H268+I268</f>
        <v>2.17</v>
      </c>
      <c r="S268" s="60" t="n">
        <f aca="false">K268+L268+M268+N268+O268</f>
        <v>0.01</v>
      </c>
      <c r="T268" s="60" t="n">
        <f aca="false">L268+M268</f>
        <v>0.01</v>
      </c>
      <c r="U268" s="60" t="n">
        <f aca="false">S268+J268</f>
        <v>0.01</v>
      </c>
      <c r="V268" s="63" t="n">
        <f aca="false">IFERROR(S268/F268,0)</f>
        <v>0.00458715596330275</v>
      </c>
      <c r="W268" s="63" t="n">
        <f aca="false">IFERROR(R268/F268,0)</f>
        <v>0.995412844036697</v>
      </c>
      <c r="X268" s="63" t="n">
        <f aca="false">IFERROR(T268/F268,0)</f>
        <v>0.00458715596330275</v>
      </c>
      <c r="Y268" s="63" t="n">
        <f aca="false">IFERROR(G268/F268,0)</f>
        <v>0.972477064220183</v>
      </c>
      <c r="Z268" s="59" t="n">
        <f aca="false">IF(E268&gt;0,F268*1000000000/E268,"")</f>
        <v>921.427197741235</v>
      </c>
      <c r="AA268" s="63" t="n">
        <f aca="false">IFERROR((R268+S268+J268)/F268,0)</f>
        <v>1</v>
      </c>
      <c r="AB268" s="0" t="str">
        <f aca="false">A268&amp;"|"&amp;D268</f>
        <v>Botswana|2020</v>
      </c>
    </row>
    <row r="269" customFormat="false" ht="15" hidden="false" customHeight="false" outlineLevel="0" collapsed="false">
      <c r="A269" s="0" t="s">
        <v>205</v>
      </c>
      <c r="B269" s="0" t="s">
        <v>443</v>
      </c>
      <c r="C269" s="0" t="s">
        <v>127</v>
      </c>
      <c r="D269" s="0" t="n">
        <v>2021</v>
      </c>
      <c r="E269" s="59" t="n">
        <v>2401448</v>
      </c>
      <c r="F269" s="60" t="n">
        <v>2.49</v>
      </c>
      <c r="G269" s="61" t="n">
        <v>2.39</v>
      </c>
      <c r="H269" s="61" t="n">
        <v>0</v>
      </c>
      <c r="I269" s="61" t="n">
        <v>0.09</v>
      </c>
      <c r="J269" s="61" t="n">
        <v>0</v>
      </c>
      <c r="K269" s="61" t="n">
        <v>0</v>
      </c>
      <c r="L269" s="61" t="n">
        <v>0.01</v>
      </c>
      <c r="M269" s="61" t="n">
        <v>0</v>
      </c>
      <c r="N269" s="61" t="n">
        <v>0</v>
      </c>
      <c r="O269" s="61" t="n">
        <v>0</v>
      </c>
      <c r="P269" s="62" t="n">
        <v>847.4</v>
      </c>
      <c r="Q269" s="0" t="n">
        <v>0</v>
      </c>
      <c r="R269" s="60" t="n">
        <f aca="false">G269+H269+I269</f>
        <v>2.48</v>
      </c>
      <c r="S269" s="60" t="n">
        <f aca="false">K269+L269+M269+N269+O269</f>
        <v>0.01</v>
      </c>
      <c r="T269" s="60" t="n">
        <f aca="false">L269+M269</f>
        <v>0.01</v>
      </c>
      <c r="U269" s="60" t="n">
        <f aca="false">S269+J269</f>
        <v>0.01</v>
      </c>
      <c r="V269" s="63" t="n">
        <f aca="false">IFERROR(S269/F269,0)</f>
        <v>0.00401606425702811</v>
      </c>
      <c r="W269" s="63" t="n">
        <f aca="false">IFERROR(R269/F269,0)</f>
        <v>0.995983935742972</v>
      </c>
      <c r="X269" s="63" t="n">
        <f aca="false">IFERROR(T269/F269,0)</f>
        <v>0.00401606425702811</v>
      </c>
      <c r="Y269" s="63" t="n">
        <f aca="false">IFERROR(G269/F269,0)</f>
        <v>0.959839357429719</v>
      </c>
      <c r="Z269" s="59" t="n">
        <f aca="false">IF(E269&gt;0,F269*1000000000/E269,"")</f>
        <v>1036.87441910048</v>
      </c>
      <c r="AA269" s="63" t="n">
        <f aca="false">IFERROR((R269+S269+J269)/F269,0)</f>
        <v>1</v>
      </c>
      <c r="AB269" s="0" t="str">
        <f aca="false">A269&amp;"|"&amp;D269</f>
        <v>Botswana|2021</v>
      </c>
    </row>
    <row r="270" customFormat="false" ht="15" hidden="false" customHeight="false" outlineLevel="0" collapsed="false">
      <c r="A270" s="0" t="s">
        <v>205</v>
      </c>
      <c r="B270" s="0" t="s">
        <v>443</v>
      </c>
      <c r="C270" s="0" t="s">
        <v>127</v>
      </c>
      <c r="D270" s="0" t="n">
        <v>2022</v>
      </c>
      <c r="E270" s="59" t="n">
        <v>2439895</v>
      </c>
      <c r="F270" s="60" t="n">
        <v>2.56</v>
      </c>
      <c r="G270" s="61" t="n">
        <v>2.45</v>
      </c>
      <c r="H270" s="61" t="n">
        <v>0</v>
      </c>
      <c r="I270" s="61" t="n">
        <v>0.1</v>
      </c>
      <c r="J270" s="61" t="n">
        <v>0</v>
      </c>
      <c r="K270" s="61" t="n">
        <v>0</v>
      </c>
      <c r="L270" s="61" t="n">
        <v>0.01</v>
      </c>
      <c r="M270" s="61" t="n">
        <v>0</v>
      </c>
      <c r="N270" s="61" t="n">
        <v>0</v>
      </c>
      <c r="O270" s="61" t="n">
        <v>0</v>
      </c>
      <c r="P270" s="62" t="n">
        <v>847.7</v>
      </c>
      <c r="Q270" s="0" t="n">
        <v>0</v>
      </c>
      <c r="R270" s="60" t="n">
        <f aca="false">G270+H270+I270</f>
        <v>2.55</v>
      </c>
      <c r="S270" s="60" t="n">
        <f aca="false">K270+L270+M270+N270+O270</f>
        <v>0.01</v>
      </c>
      <c r="T270" s="60" t="n">
        <f aca="false">L270+M270</f>
        <v>0.01</v>
      </c>
      <c r="U270" s="60" t="n">
        <f aca="false">S270+J270</f>
        <v>0.01</v>
      </c>
      <c r="V270" s="63" t="n">
        <f aca="false">IFERROR(S270/F270,0)</f>
        <v>0.00390625</v>
      </c>
      <c r="W270" s="63" t="n">
        <f aca="false">IFERROR(R270/F270,0)</f>
        <v>0.99609375</v>
      </c>
      <c r="X270" s="63" t="n">
        <f aca="false">IFERROR(T270/F270,0)</f>
        <v>0.00390625</v>
      </c>
      <c r="Y270" s="63" t="n">
        <f aca="false">IFERROR(G270/F270,0)</f>
        <v>0.95703125</v>
      </c>
      <c r="Z270" s="59" t="n">
        <f aca="false">IF(E270&gt;0,F270*1000000000/E270,"")</f>
        <v>1049.22547896528</v>
      </c>
      <c r="AA270" s="63" t="n">
        <f aca="false">IFERROR((R270+S270+J270)/F270,0)</f>
        <v>1</v>
      </c>
      <c r="AB270" s="0" t="str">
        <f aca="false">A270&amp;"|"&amp;D270</f>
        <v>Botswana|2022</v>
      </c>
    </row>
    <row r="271" customFormat="false" ht="15" hidden="false" customHeight="false" outlineLevel="0" collapsed="false">
      <c r="A271" s="0" t="s">
        <v>205</v>
      </c>
      <c r="B271" s="0" t="s">
        <v>443</v>
      </c>
      <c r="C271" s="0" t="s">
        <v>127</v>
      </c>
      <c r="D271" s="0" t="n">
        <v>2023</v>
      </c>
      <c r="E271" s="59" t="n">
        <v>2480242</v>
      </c>
      <c r="F271" s="60" t="n">
        <v>3.23</v>
      </c>
      <c r="G271" s="61" t="n">
        <v>3.19</v>
      </c>
      <c r="H271" s="61" t="n">
        <v>0</v>
      </c>
      <c r="I271" s="61" t="n">
        <v>0.03</v>
      </c>
      <c r="J271" s="61" t="n">
        <v>0</v>
      </c>
      <c r="K271" s="61" t="n">
        <v>0</v>
      </c>
      <c r="L271" s="61" t="n">
        <v>0.01</v>
      </c>
      <c r="M271" s="61" t="n">
        <v>0</v>
      </c>
      <c r="N271" s="61" t="n">
        <v>0</v>
      </c>
      <c r="O271" s="61" t="n">
        <v>0</v>
      </c>
      <c r="P271" s="62" t="n">
        <v>854.5</v>
      </c>
      <c r="Q271" s="0" t="n">
        <v>0</v>
      </c>
      <c r="R271" s="60" t="n">
        <f aca="false">G271+H271+I271</f>
        <v>3.22</v>
      </c>
      <c r="S271" s="60" t="n">
        <f aca="false">K271+L271+M271+N271+O271</f>
        <v>0.01</v>
      </c>
      <c r="T271" s="60" t="n">
        <f aca="false">L271+M271</f>
        <v>0.01</v>
      </c>
      <c r="U271" s="60" t="n">
        <f aca="false">S271+J271</f>
        <v>0.01</v>
      </c>
      <c r="V271" s="63" t="n">
        <f aca="false">IFERROR(S271/F271,0)</f>
        <v>0.00309597523219814</v>
      </c>
      <c r="W271" s="63" t="n">
        <f aca="false">IFERROR(R271/F271,0)</f>
        <v>0.996904024767802</v>
      </c>
      <c r="X271" s="63" t="n">
        <f aca="false">IFERROR(T271/F271,0)</f>
        <v>0.00309597523219814</v>
      </c>
      <c r="Y271" s="63" t="n">
        <f aca="false">IFERROR(G271/F271,0)</f>
        <v>0.987616099071207</v>
      </c>
      <c r="Z271" s="59" t="n">
        <f aca="false">IF(E271&gt;0,F271*1000000000/E271,"")</f>
        <v>1302.2922763182</v>
      </c>
      <c r="AA271" s="63" t="n">
        <f aca="false">IFERROR((R271+S271+J271)/F271,0)</f>
        <v>1</v>
      </c>
      <c r="AB271" s="0" t="str">
        <f aca="false">A271&amp;"|"&amp;D271</f>
        <v>Botswana|2023</v>
      </c>
    </row>
    <row r="272" customFormat="false" ht="15" hidden="false" customHeight="false" outlineLevel="0" collapsed="false">
      <c r="A272" s="0" t="s">
        <v>205</v>
      </c>
      <c r="B272" s="0" t="s">
        <v>443</v>
      </c>
      <c r="C272" s="0" t="s">
        <v>127</v>
      </c>
      <c r="D272" s="0" t="n">
        <v>2024</v>
      </c>
      <c r="E272" s="59" t="n">
        <v>2521145</v>
      </c>
      <c r="F272" s="60" t="n">
        <v>3.43</v>
      </c>
      <c r="G272" s="61" t="n">
        <v>3.37</v>
      </c>
      <c r="H272" s="61" t="n">
        <v>0</v>
      </c>
      <c r="I272" s="61" t="n">
        <v>0.05</v>
      </c>
      <c r="J272" s="61" t="n">
        <v>0</v>
      </c>
      <c r="K272" s="61" t="n">
        <v>0</v>
      </c>
      <c r="L272" s="61" t="n">
        <v>0.01</v>
      </c>
      <c r="M272" s="61" t="n">
        <v>0</v>
      </c>
      <c r="N272" s="61" t="n">
        <v>0</v>
      </c>
      <c r="O272" s="61" t="n">
        <v>0</v>
      </c>
      <c r="P272" s="62" t="n">
        <v>851.3</v>
      </c>
      <c r="Q272" s="0" t="n">
        <v>0</v>
      </c>
      <c r="R272" s="60" t="n">
        <f aca="false">G272+H272+I272</f>
        <v>3.42</v>
      </c>
      <c r="S272" s="60" t="n">
        <f aca="false">K272+L272+M272+N272+O272</f>
        <v>0.01</v>
      </c>
      <c r="T272" s="60" t="n">
        <f aca="false">L272+M272</f>
        <v>0.01</v>
      </c>
      <c r="U272" s="60" t="n">
        <f aca="false">S272+J272</f>
        <v>0.01</v>
      </c>
      <c r="V272" s="63" t="n">
        <f aca="false">IFERROR(S272/F272,0)</f>
        <v>0.00291545189504373</v>
      </c>
      <c r="W272" s="63" t="n">
        <f aca="false">IFERROR(R272/F272,0)</f>
        <v>0.997084548104956</v>
      </c>
      <c r="X272" s="63" t="n">
        <f aca="false">IFERROR(T272/F272,0)</f>
        <v>0.00291545189504373</v>
      </c>
      <c r="Y272" s="63" t="n">
        <f aca="false">IFERROR(G272/F272,0)</f>
        <v>0.982507288629738</v>
      </c>
      <c r="Z272" s="59" t="n">
        <f aca="false">IF(E272&gt;0,F272*1000000000/E272,"")</f>
        <v>1360.49295062363</v>
      </c>
      <c r="AA272" s="63" t="n">
        <f aca="false">IFERROR((R272+S272+J272)/F272,0)</f>
        <v>1</v>
      </c>
      <c r="AB272" s="0" t="str">
        <f aca="false">A272&amp;"|"&amp;D272</f>
        <v>Botswana|2024</v>
      </c>
    </row>
    <row r="273" customFormat="false" ht="15" hidden="false" customHeight="false" outlineLevel="0" collapsed="false">
      <c r="A273" s="0" t="s">
        <v>206</v>
      </c>
      <c r="B273" s="0" t="s">
        <v>444</v>
      </c>
      <c r="C273" s="0" t="s">
        <v>127</v>
      </c>
      <c r="D273" s="0" t="n">
        <v>2015</v>
      </c>
      <c r="E273" s="59" t="n">
        <v>201675534</v>
      </c>
      <c r="F273" s="60" t="n">
        <v>581.22</v>
      </c>
      <c r="G273" s="61" t="n">
        <v>26.98</v>
      </c>
      <c r="H273" s="61" t="n">
        <v>79.49</v>
      </c>
      <c r="I273" s="61" t="n">
        <v>28.71</v>
      </c>
      <c r="J273" s="61" t="n">
        <v>14.73</v>
      </c>
      <c r="K273" s="61" t="n">
        <v>359.74</v>
      </c>
      <c r="L273" s="61" t="n">
        <v>0.06</v>
      </c>
      <c r="M273" s="61" t="n">
        <v>21.63</v>
      </c>
      <c r="N273" s="61" t="n">
        <v>49.88</v>
      </c>
      <c r="O273" s="61" t="n">
        <v>0</v>
      </c>
      <c r="P273" s="62" t="n">
        <v>188.6</v>
      </c>
      <c r="Q273" s="0" t="n">
        <v>1</v>
      </c>
      <c r="R273" s="60" t="n">
        <f aca="false">G273+H273+I273</f>
        <v>135.18</v>
      </c>
      <c r="S273" s="60" t="n">
        <f aca="false">K273+L273+M273+N273+O273</f>
        <v>431.31</v>
      </c>
      <c r="T273" s="60" t="n">
        <f aca="false">L273+M273</f>
        <v>21.69</v>
      </c>
      <c r="U273" s="60" t="n">
        <f aca="false">S273+J273</f>
        <v>446.04</v>
      </c>
      <c r="V273" s="63" t="n">
        <f aca="false">IFERROR(S273/F273,0)</f>
        <v>0.742077010426345</v>
      </c>
      <c r="W273" s="63" t="n">
        <f aca="false">IFERROR(R273/F273,0)</f>
        <v>0.232579746051409</v>
      </c>
      <c r="X273" s="63" t="n">
        <f aca="false">IFERROR(T273/F273,0)</f>
        <v>0.0373180551254258</v>
      </c>
      <c r="Y273" s="63" t="n">
        <f aca="false">IFERROR(G273/F273,0)</f>
        <v>0.0464196001514057</v>
      </c>
      <c r="Z273" s="59" t="n">
        <f aca="false">IF(E273&gt;0,F273*1000000000/E273,"")</f>
        <v>2881.95592431157</v>
      </c>
      <c r="AA273" s="63" t="n">
        <f aca="false">IFERROR((R273+S273+J273)/F273,0)</f>
        <v>1</v>
      </c>
      <c r="AB273" s="0" t="str">
        <f aca="false">A273&amp;"|"&amp;D273</f>
        <v>Brazil|2015</v>
      </c>
    </row>
    <row r="274" customFormat="false" ht="15" hidden="false" customHeight="false" outlineLevel="0" collapsed="false">
      <c r="A274" s="0" t="s">
        <v>206</v>
      </c>
      <c r="B274" s="0" t="s">
        <v>444</v>
      </c>
      <c r="C274" s="0" t="s">
        <v>127</v>
      </c>
      <c r="D274" s="0" t="n">
        <v>2016</v>
      </c>
      <c r="E274" s="59" t="n">
        <v>203218108</v>
      </c>
      <c r="F274" s="60" t="n">
        <v>578.89</v>
      </c>
      <c r="G274" s="61" t="n">
        <v>25.67</v>
      </c>
      <c r="H274" s="61" t="n">
        <v>56.48</v>
      </c>
      <c r="I274" s="61" t="n">
        <v>15.06</v>
      </c>
      <c r="J274" s="61" t="n">
        <v>15.86</v>
      </c>
      <c r="K274" s="61" t="n">
        <v>380.91</v>
      </c>
      <c r="L274" s="61" t="n">
        <v>0.09</v>
      </c>
      <c r="M274" s="61" t="n">
        <v>33.49</v>
      </c>
      <c r="N274" s="61" t="n">
        <v>51.33</v>
      </c>
      <c r="O274" s="61" t="n">
        <v>0</v>
      </c>
      <c r="P274" s="62" t="n">
        <v>149.7</v>
      </c>
      <c r="Q274" s="0" t="n">
        <v>1</v>
      </c>
      <c r="R274" s="60" t="n">
        <f aca="false">G274+H274+I274</f>
        <v>97.21</v>
      </c>
      <c r="S274" s="60" t="n">
        <f aca="false">K274+L274+M274+N274+O274</f>
        <v>465.82</v>
      </c>
      <c r="T274" s="60" t="n">
        <f aca="false">L274+M274</f>
        <v>33.58</v>
      </c>
      <c r="U274" s="60" t="n">
        <f aca="false">S274+J274</f>
        <v>481.68</v>
      </c>
      <c r="V274" s="63" t="n">
        <f aca="false">IFERROR(S274/F274,0)</f>
        <v>0.80467791808461</v>
      </c>
      <c r="W274" s="63" t="n">
        <f aca="false">IFERROR(R274/F274,0)</f>
        <v>0.167924821641417</v>
      </c>
      <c r="X274" s="63" t="n">
        <f aca="false">IFERROR(T274/F274,0)</f>
        <v>0.0580075662042875</v>
      </c>
      <c r="Y274" s="63" t="n">
        <f aca="false">IFERROR(G274/F274,0)</f>
        <v>0.0443434849453264</v>
      </c>
      <c r="Z274" s="59" t="n">
        <f aca="false">IF(E274&gt;0,F274*1000000000/E274,"")</f>
        <v>2848.61425833174</v>
      </c>
      <c r="AA274" s="63" t="n">
        <f aca="false">IFERROR((R274+S274+J274)/F274,0)</f>
        <v>1</v>
      </c>
      <c r="AB274" s="0" t="str">
        <f aca="false">A274&amp;"|"&amp;D274</f>
        <v>Brazil|2016</v>
      </c>
    </row>
    <row r="275" customFormat="false" ht="15" hidden="false" customHeight="false" outlineLevel="0" collapsed="false">
      <c r="A275" s="0" t="s">
        <v>206</v>
      </c>
      <c r="B275" s="0" t="s">
        <v>444</v>
      </c>
      <c r="C275" s="0" t="s">
        <v>127</v>
      </c>
      <c r="D275" s="0" t="n">
        <v>2017</v>
      </c>
      <c r="E275" s="59" t="n">
        <v>204703440</v>
      </c>
      <c r="F275" s="60" t="n">
        <v>589.32</v>
      </c>
      <c r="G275" s="61" t="n">
        <v>22.85</v>
      </c>
      <c r="H275" s="61" t="n">
        <v>65.59</v>
      </c>
      <c r="I275" s="61" t="n">
        <v>18.12</v>
      </c>
      <c r="J275" s="61" t="n">
        <v>15.74</v>
      </c>
      <c r="K275" s="61" t="n">
        <v>370.91</v>
      </c>
      <c r="L275" s="61" t="n">
        <v>0.83</v>
      </c>
      <c r="M275" s="61" t="n">
        <v>42.37</v>
      </c>
      <c r="N275" s="61" t="n">
        <v>52.91</v>
      </c>
      <c r="O275" s="61" t="n">
        <v>0</v>
      </c>
      <c r="P275" s="62" t="n">
        <v>155.9</v>
      </c>
      <c r="Q275" s="0" t="n">
        <v>1</v>
      </c>
      <c r="R275" s="60" t="n">
        <f aca="false">G275+H275+I275</f>
        <v>106.56</v>
      </c>
      <c r="S275" s="60" t="n">
        <f aca="false">K275+L275+M275+N275+O275</f>
        <v>467.02</v>
      </c>
      <c r="T275" s="60" t="n">
        <f aca="false">L275+M275</f>
        <v>43.2</v>
      </c>
      <c r="U275" s="60" t="n">
        <f aca="false">S275+J275</f>
        <v>482.76</v>
      </c>
      <c r="V275" s="63" t="n">
        <f aca="false">IFERROR(S275/F275,0)</f>
        <v>0.792472680377384</v>
      </c>
      <c r="W275" s="63" t="n">
        <f aca="false">IFERROR(R275/F275,0)</f>
        <v>0.180818570555895</v>
      </c>
      <c r="X275" s="63" t="n">
        <f aca="false">IFERROR(T275/F275,0)</f>
        <v>0.0733048259010385</v>
      </c>
      <c r="Y275" s="63" t="n">
        <f aca="false">IFERROR(G275/F275,0)</f>
        <v>0.0387735016629336</v>
      </c>
      <c r="Z275" s="59" t="n">
        <f aca="false">IF(E275&gt;0,F275*1000000000/E275,"")</f>
        <v>2878.89641717794</v>
      </c>
      <c r="AA275" s="63" t="n">
        <f aca="false">IFERROR((R275+S275+J275)/F275,0)</f>
        <v>1</v>
      </c>
      <c r="AB275" s="0" t="str">
        <f aca="false">A275&amp;"|"&amp;D275</f>
        <v>Brazil|2017</v>
      </c>
    </row>
    <row r="276" customFormat="false" ht="15" hidden="false" customHeight="false" outlineLevel="0" collapsed="false">
      <c r="A276" s="0" t="s">
        <v>206</v>
      </c>
      <c r="B276" s="0" t="s">
        <v>444</v>
      </c>
      <c r="C276" s="0" t="s">
        <v>127</v>
      </c>
      <c r="D276" s="0" t="n">
        <v>2018</v>
      </c>
      <c r="E276" s="59" t="n">
        <v>206107265</v>
      </c>
      <c r="F276" s="60" t="n">
        <v>601.39</v>
      </c>
      <c r="G276" s="61" t="n">
        <v>20.8</v>
      </c>
      <c r="H276" s="61" t="n">
        <v>54.62</v>
      </c>
      <c r="I276" s="61" t="n">
        <v>15.01</v>
      </c>
      <c r="J276" s="61" t="n">
        <v>15.67</v>
      </c>
      <c r="K276" s="61" t="n">
        <v>388.97</v>
      </c>
      <c r="L276" s="61" t="n">
        <v>3.46</v>
      </c>
      <c r="M276" s="61" t="n">
        <v>48.48</v>
      </c>
      <c r="N276" s="61" t="n">
        <v>54.38</v>
      </c>
      <c r="O276" s="61" t="n">
        <v>0</v>
      </c>
      <c r="P276" s="62" t="n">
        <v>136.9</v>
      </c>
      <c r="Q276" s="0" t="n">
        <v>1</v>
      </c>
      <c r="R276" s="60" t="n">
        <f aca="false">G276+H276+I276</f>
        <v>90.43</v>
      </c>
      <c r="S276" s="60" t="n">
        <f aca="false">K276+L276+M276+N276+O276</f>
        <v>495.29</v>
      </c>
      <c r="T276" s="60" t="n">
        <f aca="false">L276+M276</f>
        <v>51.94</v>
      </c>
      <c r="U276" s="60" t="n">
        <f aca="false">S276+J276</f>
        <v>510.96</v>
      </c>
      <c r="V276" s="63" t="n">
        <f aca="false">IFERROR(S276/F276,0)</f>
        <v>0.823575383694441</v>
      </c>
      <c r="W276" s="63" t="n">
        <f aca="false">IFERROR(R276/F276,0)</f>
        <v>0.150368313407273</v>
      </c>
      <c r="X276" s="63" t="n">
        <f aca="false">IFERROR(T276/F276,0)</f>
        <v>0.0863665840802142</v>
      </c>
      <c r="Y276" s="63" t="n">
        <f aca="false">IFERROR(G276/F276,0)</f>
        <v>0.0345865411796006</v>
      </c>
      <c r="Z276" s="59" t="n">
        <f aca="false">IF(E276&gt;0,F276*1000000000/E276,"")</f>
        <v>2917.84959642252</v>
      </c>
      <c r="AA276" s="63" t="n">
        <f aca="false">IFERROR((R276+S276+J276)/F276,0)</f>
        <v>1</v>
      </c>
      <c r="AB276" s="0" t="str">
        <f aca="false">A276&amp;"|"&amp;D276</f>
        <v>Brazil|2018</v>
      </c>
    </row>
    <row r="277" customFormat="false" ht="15" hidden="false" customHeight="false" outlineLevel="0" collapsed="false">
      <c r="A277" s="0" t="s">
        <v>206</v>
      </c>
      <c r="B277" s="0" t="s">
        <v>444</v>
      </c>
      <c r="C277" s="0" t="s">
        <v>127</v>
      </c>
      <c r="D277" s="0" t="n">
        <v>2019</v>
      </c>
      <c r="E277" s="59" t="n">
        <v>207455459</v>
      </c>
      <c r="F277" s="60" t="n">
        <v>633.33</v>
      </c>
      <c r="G277" s="61" t="n">
        <v>21.68</v>
      </c>
      <c r="H277" s="61" t="n">
        <v>65.96</v>
      </c>
      <c r="I277" s="61" t="n">
        <v>14.12</v>
      </c>
      <c r="J277" s="61" t="n">
        <v>16.13</v>
      </c>
      <c r="K277" s="61" t="n">
        <v>397.88</v>
      </c>
      <c r="L277" s="61" t="n">
        <v>6.65</v>
      </c>
      <c r="M277" s="61" t="n">
        <v>55.99</v>
      </c>
      <c r="N277" s="61" t="n">
        <v>54.92</v>
      </c>
      <c r="O277" s="61" t="n">
        <v>0</v>
      </c>
      <c r="P277" s="62" t="n">
        <v>141.9</v>
      </c>
      <c r="Q277" s="0" t="n">
        <v>1</v>
      </c>
      <c r="R277" s="60" t="n">
        <f aca="false">G277+H277+I277</f>
        <v>101.76</v>
      </c>
      <c r="S277" s="60" t="n">
        <f aca="false">K277+L277+M277+N277+O277</f>
        <v>515.44</v>
      </c>
      <c r="T277" s="60" t="n">
        <f aca="false">L277+M277</f>
        <v>62.64</v>
      </c>
      <c r="U277" s="60" t="n">
        <f aca="false">S277+J277</f>
        <v>531.57</v>
      </c>
      <c r="V277" s="63" t="n">
        <f aca="false">IFERROR(S277/F277,0)</f>
        <v>0.813856915036395</v>
      </c>
      <c r="W277" s="63" t="n">
        <f aca="false">IFERROR(R277/F277,0)</f>
        <v>0.160674529865947</v>
      </c>
      <c r="X277" s="63" t="n">
        <f aca="false">IFERROR(T277/F277,0)</f>
        <v>0.0989057837146511</v>
      </c>
      <c r="Y277" s="63" t="n">
        <f aca="false">IFERROR(G277/F277,0)</f>
        <v>0.0342317591145217</v>
      </c>
      <c r="Z277" s="59" t="n">
        <f aca="false">IF(E277&gt;0,F277*1000000000/E277,"")</f>
        <v>3052.84808147661</v>
      </c>
      <c r="AA277" s="63" t="n">
        <f aca="false">IFERROR((R277+S277+J277)/F277,0)</f>
        <v>1</v>
      </c>
      <c r="AB277" s="0" t="str">
        <f aca="false">A277&amp;"|"&amp;D277</f>
        <v>Brazil|2019</v>
      </c>
    </row>
    <row r="278" customFormat="false" ht="15" hidden="false" customHeight="false" outlineLevel="0" collapsed="false">
      <c r="A278" s="0" t="s">
        <v>206</v>
      </c>
      <c r="B278" s="0" t="s">
        <v>444</v>
      </c>
      <c r="C278" s="0" t="s">
        <v>127</v>
      </c>
      <c r="D278" s="0" t="n">
        <v>2020</v>
      </c>
      <c r="E278" s="59" t="n">
        <v>208660845</v>
      </c>
      <c r="F278" s="60" t="n">
        <v>628.76</v>
      </c>
      <c r="G278" s="61" t="n">
        <v>17.75</v>
      </c>
      <c r="H278" s="61" t="n">
        <v>59.48</v>
      </c>
      <c r="I278" s="61" t="n">
        <v>14.56</v>
      </c>
      <c r="J278" s="61" t="n">
        <v>14.05</v>
      </c>
      <c r="K278" s="61" t="n">
        <v>396.38</v>
      </c>
      <c r="L278" s="61" t="n">
        <v>10.75</v>
      </c>
      <c r="M278" s="61" t="n">
        <v>57.05</v>
      </c>
      <c r="N278" s="61" t="n">
        <v>58.74</v>
      </c>
      <c r="O278" s="61" t="n">
        <v>0</v>
      </c>
      <c r="P278" s="62" t="n">
        <v>133.4</v>
      </c>
      <c r="Q278" s="0" t="n">
        <v>1</v>
      </c>
      <c r="R278" s="60" t="n">
        <f aca="false">G278+H278+I278</f>
        <v>91.79</v>
      </c>
      <c r="S278" s="60" t="n">
        <f aca="false">K278+L278+M278+N278+O278</f>
        <v>522.92</v>
      </c>
      <c r="T278" s="60" t="n">
        <f aca="false">L278+M278</f>
        <v>67.8</v>
      </c>
      <c r="U278" s="60" t="n">
        <f aca="false">S278+J278</f>
        <v>536.97</v>
      </c>
      <c r="V278" s="63" t="n">
        <f aca="false">IFERROR(S278/F278,0)</f>
        <v>0.831668681213818</v>
      </c>
      <c r="W278" s="63" t="n">
        <f aca="false">IFERROR(R278/F278,0)</f>
        <v>0.145985749729627</v>
      </c>
      <c r="X278" s="63" t="n">
        <f aca="false">IFERROR(T278/F278,0)</f>
        <v>0.107831286977543</v>
      </c>
      <c r="Y278" s="63" t="n">
        <f aca="false">IFERROR(G278/F278,0)</f>
        <v>0.0282301673134423</v>
      </c>
      <c r="Z278" s="59" t="n">
        <f aca="false">IF(E278&gt;0,F278*1000000000/E278,"")</f>
        <v>3013.31090650956</v>
      </c>
      <c r="AA278" s="63" t="n">
        <f aca="false">IFERROR((R278+S278+J278)/F278,0)</f>
        <v>1</v>
      </c>
      <c r="AB278" s="0" t="str">
        <f aca="false">A278&amp;"|"&amp;D278</f>
        <v>Brazil|2020</v>
      </c>
    </row>
    <row r="279" customFormat="false" ht="15" hidden="false" customHeight="false" outlineLevel="0" collapsed="false">
      <c r="A279" s="0" t="s">
        <v>206</v>
      </c>
      <c r="B279" s="0" t="s">
        <v>444</v>
      </c>
      <c r="C279" s="0" t="s">
        <v>127</v>
      </c>
      <c r="D279" s="0" t="n">
        <v>2021</v>
      </c>
      <c r="E279" s="59" t="n">
        <v>209550291</v>
      </c>
      <c r="F279" s="60" t="n">
        <v>656.4</v>
      </c>
      <c r="G279" s="61" t="n">
        <v>24.24</v>
      </c>
      <c r="H279" s="61" t="n">
        <v>86.96</v>
      </c>
      <c r="I279" s="61" t="n">
        <v>22.63</v>
      </c>
      <c r="J279" s="61" t="n">
        <v>14.7</v>
      </c>
      <c r="K279" s="61" t="n">
        <v>362.82</v>
      </c>
      <c r="L279" s="61" t="n">
        <v>16.75</v>
      </c>
      <c r="M279" s="61" t="n">
        <v>72.29</v>
      </c>
      <c r="N279" s="61" t="n">
        <v>56.01</v>
      </c>
      <c r="O279" s="61" t="n">
        <v>0</v>
      </c>
      <c r="P279" s="62" t="n">
        <v>168.1</v>
      </c>
      <c r="Q279" s="0" t="n">
        <v>1</v>
      </c>
      <c r="R279" s="60" t="n">
        <f aca="false">G279+H279+I279</f>
        <v>133.83</v>
      </c>
      <c r="S279" s="60" t="n">
        <f aca="false">K279+L279+M279+N279+O279</f>
        <v>507.87</v>
      </c>
      <c r="T279" s="60" t="n">
        <f aca="false">L279+M279</f>
        <v>89.04</v>
      </c>
      <c r="U279" s="60" t="n">
        <f aca="false">S279+J279</f>
        <v>522.57</v>
      </c>
      <c r="V279" s="63" t="n">
        <f aca="false">IFERROR(S279/F279,0)</f>
        <v>0.77372029250457</v>
      </c>
      <c r="W279" s="63" t="n">
        <f aca="false">IFERROR(R279/F279,0)</f>
        <v>0.203884826325411</v>
      </c>
      <c r="X279" s="63" t="n">
        <f aca="false">IFERROR(T279/F279,0)</f>
        <v>0.135648994515539</v>
      </c>
      <c r="Y279" s="63" t="n">
        <f aca="false">IFERROR(G279/F279,0)</f>
        <v>0.0369287020109689</v>
      </c>
      <c r="Z279" s="59" t="n">
        <f aca="false">IF(E279&gt;0,F279*1000000000/E279,"")</f>
        <v>3132.42227852597</v>
      </c>
      <c r="AA279" s="63" t="n">
        <f aca="false">IFERROR((R279+S279+J279)/F279,0)</f>
        <v>1</v>
      </c>
      <c r="AB279" s="0" t="str">
        <f aca="false">A279&amp;"|"&amp;D279</f>
        <v>Brazil|2021</v>
      </c>
    </row>
    <row r="280" customFormat="false" ht="15" hidden="false" customHeight="false" outlineLevel="0" collapsed="false">
      <c r="A280" s="0" t="s">
        <v>206</v>
      </c>
      <c r="B280" s="0" t="s">
        <v>444</v>
      </c>
      <c r="C280" s="0" t="s">
        <v>127</v>
      </c>
      <c r="D280" s="0" t="n">
        <v>2022</v>
      </c>
      <c r="E280" s="59" t="n">
        <v>210306411</v>
      </c>
      <c r="F280" s="60" t="n">
        <v>677.16</v>
      </c>
      <c r="G280" s="61" t="n">
        <v>14.4</v>
      </c>
      <c r="H280" s="61" t="n">
        <v>42.11</v>
      </c>
      <c r="I280" s="61" t="n">
        <v>12.2</v>
      </c>
      <c r="J280" s="61" t="n">
        <v>14.56</v>
      </c>
      <c r="K280" s="61" t="n">
        <v>427.11</v>
      </c>
      <c r="L280" s="61" t="n">
        <v>30.13</v>
      </c>
      <c r="M280" s="61" t="n">
        <v>81.63</v>
      </c>
      <c r="N280" s="61" t="n">
        <v>55.02</v>
      </c>
      <c r="O280" s="61" t="n">
        <v>0</v>
      </c>
      <c r="P280" s="62" t="n">
        <v>103.4</v>
      </c>
      <c r="Q280" s="0" t="n">
        <v>1</v>
      </c>
      <c r="R280" s="60" t="n">
        <f aca="false">G280+H280+I280</f>
        <v>68.71</v>
      </c>
      <c r="S280" s="60" t="n">
        <f aca="false">K280+L280+M280+N280+O280</f>
        <v>593.89</v>
      </c>
      <c r="T280" s="60" t="n">
        <f aca="false">L280+M280</f>
        <v>111.76</v>
      </c>
      <c r="U280" s="60" t="n">
        <f aca="false">S280+J280</f>
        <v>608.45</v>
      </c>
      <c r="V280" s="63" t="n">
        <f aca="false">IFERROR(S280/F280,0)</f>
        <v>0.877030539311241</v>
      </c>
      <c r="W280" s="63" t="n">
        <f aca="false">IFERROR(R280/F280,0)</f>
        <v>0.101467895327544</v>
      </c>
      <c r="X280" s="63" t="n">
        <f aca="false">IFERROR(T280/F280,0)</f>
        <v>0.165042235217674</v>
      </c>
      <c r="Y280" s="63" t="n">
        <f aca="false">IFERROR(G280/F280,0)</f>
        <v>0.0212652844231792</v>
      </c>
      <c r="Z280" s="59" t="n">
        <f aca="false">IF(E280&gt;0,F280*1000000000/E280,"")</f>
        <v>3219.87331142273</v>
      </c>
      <c r="AA280" s="63" t="n">
        <f aca="false">IFERROR((R280+S280+J280)/F280,0)</f>
        <v>1</v>
      </c>
      <c r="AB280" s="0" t="str">
        <f aca="false">A280&amp;"|"&amp;D280</f>
        <v>Brazil|2022</v>
      </c>
    </row>
    <row r="281" customFormat="false" ht="15" hidden="false" customHeight="false" outlineLevel="0" collapsed="false">
      <c r="A281" s="0" t="s">
        <v>206</v>
      </c>
      <c r="B281" s="0" t="s">
        <v>444</v>
      </c>
      <c r="C281" s="0" t="s">
        <v>127</v>
      </c>
      <c r="D281" s="0" t="n">
        <v>2023</v>
      </c>
      <c r="E281" s="59" t="n">
        <v>211140731</v>
      </c>
      <c r="F281" s="60" t="n">
        <v>708.12</v>
      </c>
      <c r="G281" s="61" t="n">
        <v>13.31</v>
      </c>
      <c r="H281" s="61" t="n">
        <v>38.59</v>
      </c>
      <c r="I281" s="61" t="n">
        <v>11.53</v>
      </c>
      <c r="J281" s="61" t="n">
        <v>14.5</v>
      </c>
      <c r="K281" s="61" t="n">
        <v>426</v>
      </c>
      <c r="L281" s="61" t="n">
        <v>50.63</v>
      </c>
      <c r="M281" s="61" t="n">
        <v>95.8</v>
      </c>
      <c r="N281" s="61" t="n">
        <v>57.76</v>
      </c>
      <c r="O281" s="61" t="n">
        <v>0</v>
      </c>
      <c r="P281" s="62" t="n">
        <v>96.3</v>
      </c>
      <c r="Q281" s="0" t="n">
        <v>1</v>
      </c>
      <c r="R281" s="60" t="n">
        <f aca="false">G281+H281+I281</f>
        <v>63.43</v>
      </c>
      <c r="S281" s="60" t="n">
        <f aca="false">K281+L281+M281+N281+O281</f>
        <v>630.19</v>
      </c>
      <c r="T281" s="60" t="n">
        <f aca="false">L281+M281</f>
        <v>146.43</v>
      </c>
      <c r="U281" s="60" t="n">
        <f aca="false">S281+J281</f>
        <v>644.69</v>
      </c>
      <c r="V281" s="63" t="n">
        <f aca="false">IFERROR(S281/F281,0)</f>
        <v>0.889948031407106</v>
      </c>
      <c r="W281" s="63" t="n">
        <f aca="false">IFERROR(R281/F281,0)</f>
        <v>0.0895752132406937</v>
      </c>
      <c r="X281" s="63" t="n">
        <f aca="false">IFERROR(T281/F281,0)</f>
        <v>0.206786985256736</v>
      </c>
      <c r="Y281" s="63" t="n">
        <f aca="false">IFERROR(G281/F281,0)</f>
        <v>0.0187962492232955</v>
      </c>
      <c r="Z281" s="59" t="n">
        <f aca="false">IF(E281&gt;0,F281*1000000000/E281,"")</f>
        <v>3353.78208006678</v>
      </c>
      <c r="AA281" s="63" t="n">
        <f aca="false">IFERROR((R281+S281+J281)/F281,0)</f>
        <v>1</v>
      </c>
      <c r="AB281" s="0" t="str">
        <f aca="false">A281&amp;"|"&amp;D281</f>
        <v>Brazil|2023</v>
      </c>
    </row>
    <row r="282" customFormat="false" ht="15" hidden="false" customHeight="false" outlineLevel="0" collapsed="false">
      <c r="A282" s="0" t="s">
        <v>206</v>
      </c>
      <c r="B282" s="0" t="s">
        <v>444</v>
      </c>
      <c r="C282" s="0" t="s">
        <v>127</v>
      </c>
      <c r="D282" s="0" t="n">
        <v>2024</v>
      </c>
      <c r="E282" s="59" t="n">
        <v>211998565</v>
      </c>
      <c r="F282" s="60" t="n">
        <v>745.72</v>
      </c>
      <c r="G282" s="61" t="n">
        <v>16.21</v>
      </c>
      <c r="H282" s="61" t="n">
        <v>48.76</v>
      </c>
      <c r="I282" s="61" t="n">
        <v>13.71</v>
      </c>
      <c r="J282" s="61" t="n">
        <v>15.78</v>
      </c>
      <c r="K282" s="61" t="n">
        <v>413.21</v>
      </c>
      <c r="L282" s="61" t="n">
        <v>71.32</v>
      </c>
      <c r="M282" s="61" t="n">
        <v>108.49</v>
      </c>
      <c r="N282" s="61" t="n">
        <v>58.24</v>
      </c>
      <c r="O282" s="61" t="n">
        <v>0</v>
      </c>
      <c r="P282" s="62" t="n">
        <v>106.1</v>
      </c>
      <c r="Q282" s="0" t="n">
        <v>1</v>
      </c>
      <c r="R282" s="60" t="n">
        <f aca="false">G282+H282+I282</f>
        <v>78.68</v>
      </c>
      <c r="S282" s="60" t="n">
        <f aca="false">K282+L282+M282+N282+O282</f>
        <v>651.26</v>
      </c>
      <c r="T282" s="60" t="n">
        <f aca="false">L282+M282</f>
        <v>179.81</v>
      </c>
      <c r="U282" s="60" t="n">
        <f aca="false">S282+J282</f>
        <v>667.04</v>
      </c>
      <c r="V282" s="63" t="n">
        <f aca="false">IFERROR(S282/F282,0)</f>
        <v>0.873330472563429</v>
      </c>
      <c r="W282" s="63" t="n">
        <f aca="false">IFERROR(R282/F282,0)</f>
        <v>0.105508770047739</v>
      </c>
      <c r="X282" s="63" t="n">
        <f aca="false">IFERROR(T282/F282,0)</f>
        <v>0.241122673389476</v>
      </c>
      <c r="Y282" s="63" t="n">
        <f aca="false">IFERROR(G282/F282,0)</f>
        <v>0.0217373813227485</v>
      </c>
      <c r="Z282" s="59" t="n">
        <f aca="false">IF(E282&gt;0,F282*1000000000/E282,"")</f>
        <v>3517.5709797847</v>
      </c>
      <c r="AA282" s="63" t="n">
        <f aca="false">IFERROR((R282+S282+J282)/F282,0)</f>
        <v>1</v>
      </c>
      <c r="AB282" s="0" t="str">
        <f aca="false">A282&amp;"|"&amp;D282</f>
        <v>Brazil|2024</v>
      </c>
    </row>
    <row r="283" customFormat="false" ht="15" hidden="false" customHeight="false" outlineLevel="0" collapsed="false">
      <c r="A283" s="0" t="s">
        <v>206</v>
      </c>
      <c r="B283" s="0" t="s">
        <v>444</v>
      </c>
      <c r="C283" s="0" t="s">
        <v>127</v>
      </c>
      <c r="D283" s="0" t="n">
        <v>2025</v>
      </c>
      <c r="E283" s="59" t="n">
        <v>212812397</v>
      </c>
      <c r="F283" s="60" t="n">
        <v>750.53</v>
      </c>
      <c r="G283" s="61" t="n">
        <v>17.19</v>
      </c>
      <c r="H283" s="61" t="n">
        <v>54.85</v>
      </c>
      <c r="I283" s="61" t="n">
        <v>12.65</v>
      </c>
      <c r="J283" s="61" t="n">
        <v>15.87</v>
      </c>
      <c r="K283" s="61" t="n">
        <v>388.63</v>
      </c>
      <c r="L283" s="61" t="n">
        <v>88.64</v>
      </c>
      <c r="M283" s="61" t="n">
        <v>117.58</v>
      </c>
      <c r="N283" s="61" t="n">
        <v>55.12</v>
      </c>
      <c r="O283" s="61" t="n">
        <v>0</v>
      </c>
      <c r="P283" s="62" t="n">
        <v>110</v>
      </c>
      <c r="Q283" s="0" t="n">
        <v>1</v>
      </c>
      <c r="R283" s="60" t="n">
        <f aca="false">G283+H283+I283</f>
        <v>84.69</v>
      </c>
      <c r="S283" s="60" t="n">
        <f aca="false">K283+L283+M283+N283+O283</f>
        <v>649.97</v>
      </c>
      <c r="T283" s="60" t="n">
        <f aca="false">L283+M283</f>
        <v>206.22</v>
      </c>
      <c r="U283" s="60" t="n">
        <f aca="false">S283+J283</f>
        <v>665.84</v>
      </c>
      <c r="V283" s="63" t="n">
        <f aca="false">IFERROR(S283/F283,0)</f>
        <v>0.866014682957377</v>
      </c>
      <c r="W283" s="63" t="n">
        <f aca="false">IFERROR(R283/F283,0)</f>
        <v>0.112840259549918</v>
      </c>
      <c r="X283" s="63" t="n">
        <f aca="false">IFERROR(T283/F283,0)</f>
        <v>0.274765832145284</v>
      </c>
      <c r="Y283" s="63" t="n">
        <f aca="false">IFERROR(G283/F283,0)</f>
        <v>0.0229038146376561</v>
      </c>
      <c r="Z283" s="59" t="n">
        <f aca="false">IF(E283&gt;0,F283*1000000000/E283,"")</f>
        <v>3526.72123701515</v>
      </c>
      <c r="AA283" s="63" t="n">
        <f aca="false">IFERROR((R283+S283+J283)/F283,0)</f>
        <v>1</v>
      </c>
      <c r="AB283" s="0" t="str">
        <f aca="false">A283&amp;"|"&amp;D283</f>
        <v>Brazil|2025</v>
      </c>
    </row>
    <row r="284" customFormat="false" ht="15" hidden="false" customHeight="false" outlineLevel="0" collapsed="false">
      <c r="A284" s="0" t="s">
        <v>207</v>
      </c>
      <c r="B284" s="0" t="s">
        <v>445</v>
      </c>
      <c r="C284" s="0" t="s">
        <v>127</v>
      </c>
      <c r="D284" s="0" t="n">
        <v>2015</v>
      </c>
      <c r="E284" s="59" t="n">
        <v>34523</v>
      </c>
      <c r="F284" s="60" t="n">
        <v>0.21</v>
      </c>
      <c r="G284" s="61" t="n">
        <v>0</v>
      </c>
      <c r="H284" s="61" t="n">
        <v>0</v>
      </c>
      <c r="I284" s="61" t="n">
        <v>0.21</v>
      </c>
      <c r="J284" s="61" t="n">
        <v>0</v>
      </c>
      <c r="K284" s="61" t="n">
        <v>0</v>
      </c>
      <c r="L284" s="61" t="n">
        <v>0</v>
      </c>
      <c r="M284" s="61" t="n">
        <v>0</v>
      </c>
      <c r="N284" s="61" t="n">
        <v>0</v>
      </c>
      <c r="O284" s="61" t="n">
        <v>0</v>
      </c>
      <c r="P284" s="62" t="n">
        <v>666.7</v>
      </c>
      <c r="Q284" s="0" t="n">
        <v>0</v>
      </c>
      <c r="R284" s="60" t="n">
        <f aca="false">G284+H284+I284</f>
        <v>0.21</v>
      </c>
      <c r="S284" s="60" t="n">
        <f aca="false">K284+L284+M284+N284+O284</f>
        <v>0</v>
      </c>
      <c r="T284" s="60" t="n">
        <f aca="false">L284+M284</f>
        <v>0</v>
      </c>
      <c r="U284" s="60" t="n">
        <f aca="false">S284+J284</f>
        <v>0</v>
      </c>
      <c r="V284" s="63" t="n">
        <f aca="false">IFERROR(S284/F284,0)</f>
        <v>0</v>
      </c>
      <c r="W284" s="63" t="n">
        <f aca="false">IFERROR(R284/F284,0)</f>
        <v>1</v>
      </c>
      <c r="X284" s="63" t="n">
        <f aca="false">IFERROR(T284/F284,0)</f>
        <v>0</v>
      </c>
      <c r="Y284" s="63" t="n">
        <f aca="false">IFERROR(G284/F284,0)</f>
        <v>0</v>
      </c>
      <c r="Z284" s="59" t="n">
        <f aca="false">IF(E284&gt;0,F284*1000000000/E284,"")</f>
        <v>6082.90125423631</v>
      </c>
      <c r="AA284" s="63" t="n">
        <f aca="false">IFERROR((R284+S284+J284)/F284,0)</f>
        <v>1</v>
      </c>
      <c r="AB284" s="0" t="str">
        <f aca="false">A284&amp;"|"&amp;D284</f>
        <v>British Virgin Islands|2015</v>
      </c>
    </row>
    <row r="285" customFormat="false" ht="15" hidden="false" customHeight="false" outlineLevel="0" collapsed="false">
      <c r="A285" s="0" t="s">
        <v>207</v>
      </c>
      <c r="B285" s="0" t="s">
        <v>445</v>
      </c>
      <c r="C285" s="0" t="s">
        <v>127</v>
      </c>
      <c r="D285" s="0" t="n">
        <v>2016</v>
      </c>
      <c r="E285" s="59" t="n">
        <v>33904</v>
      </c>
      <c r="F285" s="60" t="n">
        <v>0.22</v>
      </c>
      <c r="G285" s="61" t="n">
        <v>0</v>
      </c>
      <c r="H285" s="61" t="n">
        <v>0</v>
      </c>
      <c r="I285" s="61" t="n">
        <v>0.22</v>
      </c>
      <c r="J285" s="61" t="n">
        <v>0</v>
      </c>
      <c r="K285" s="61" t="n">
        <v>0</v>
      </c>
      <c r="L285" s="61" t="n">
        <v>0</v>
      </c>
      <c r="M285" s="61" t="n">
        <v>0</v>
      </c>
      <c r="N285" s="61" t="n">
        <v>0</v>
      </c>
      <c r="O285" s="61" t="n">
        <v>0</v>
      </c>
      <c r="P285" s="62" t="n">
        <v>636.4</v>
      </c>
      <c r="Q285" s="0" t="n">
        <v>0</v>
      </c>
      <c r="R285" s="60" t="n">
        <f aca="false">G285+H285+I285</f>
        <v>0.22</v>
      </c>
      <c r="S285" s="60" t="n">
        <f aca="false">K285+L285+M285+N285+O285</f>
        <v>0</v>
      </c>
      <c r="T285" s="60" t="n">
        <f aca="false">L285+M285</f>
        <v>0</v>
      </c>
      <c r="U285" s="60" t="n">
        <f aca="false">S285+J285</f>
        <v>0</v>
      </c>
      <c r="V285" s="63" t="n">
        <f aca="false">IFERROR(S285/F285,0)</f>
        <v>0</v>
      </c>
      <c r="W285" s="63" t="n">
        <f aca="false">IFERROR(R285/F285,0)</f>
        <v>1</v>
      </c>
      <c r="X285" s="63" t="n">
        <f aca="false">IFERROR(T285/F285,0)</f>
        <v>0</v>
      </c>
      <c r="Y285" s="63" t="n">
        <f aca="false">IFERROR(G285/F285,0)</f>
        <v>0</v>
      </c>
      <c r="Z285" s="59" t="n">
        <f aca="false">IF(E285&gt;0,F285*1000000000/E285,"")</f>
        <v>6488.90986314299</v>
      </c>
      <c r="AA285" s="63" t="n">
        <f aca="false">IFERROR((R285+S285+J285)/F285,0)</f>
        <v>1</v>
      </c>
      <c r="AB285" s="0" t="str">
        <f aca="false">A285&amp;"|"&amp;D285</f>
        <v>British Virgin Islands|2016</v>
      </c>
    </row>
    <row r="286" customFormat="false" ht="15" hidden="false" customHeight="false" outlineLevel="0" collapsed="false">
      <c r="A286" s="0" t="s">
        <v>207</v>
      </c>
      <c r="B286" s="0" t="s">
        <v>445</v>
      </c>
      <c r="C286" s="0" t="s">
        <v>127</v>
      </c>
      <c r="D286" s="0" t="n">
        <v>2017</v>
      </c>
      <c r="E286" s="59" t="n">
        <v>32724</v>
      </c>
      <c r="F286" s="60" t="n">
        <v>0.17</v>
      </c>
      <c r="G286" s="61" t="n">
        <v>0</v>
      </c>
      <c r="H286" s="61" t="n">
        <v>0</v>
      </c>
      <c r="I286" s="61" t="n">
        <v>0.17</v>
      </c>
      <c r="J286" s="61" t="n">
        <v>0</v>
      </c>
      <c r="K286" s="61" t="n">
        <v>0</v>
      </c>
      <c r="L286" s="61" t="n">
        <v>0</v>
      </c>
      <c r="M286" s="61" t="n">
        <v>0</v>
      </c>
      <c r="N286" s="61" t="n">
        <v>0</v>
      </c>
      <c r="O286" s="61" t="n">
        <v>0</v>
      </c>
      <c r="P286" s="62" t="n">
        <v>647.1</v>
      </c>
      <c r="Q286" s="0" t="n">
        <v>0</v>
      </c>
      <c r="R286" s="60" t="n">
        <f aca="false">G286+H286+I286</f>
        <v>0.17</v>
      </c>
      <c r="S286" s="60" t="n">
        <f aca="false">K286+L286+M286+N286+O286</f>
        <v>0</v>
      </c>
      <c r="T286" s="60" t="n">
        <f aca="false">L286+M286</f>
        <v>0</v>
      </c>
      <c r="U286" s="60" t="n">
        <f aca="false">S286+J286</f>
        <v>0</v>
      </c>
      <c r="V286" s="63" t="n">
        <f aca="false">IFERROR(S286/F286,0)</f>
        <v>0</v>
      </c>
      <c r="W286" s="63" t="n">
        <f aca="false">IFERROR(R286/F286,0)</f>
        <v>1</v>
      </c>
      <c r="X286" s="63" t="n">
        <f aca="false">IFERROR(T286/F286,0)</f>
        <v>0</v>
      </c>
      <c r="Y286" s="63" t="n">
        <f aca="false">IFERROR(G286/F286,0)</f>
        <v>0</v>
      </c>
      <c r="Z286" s="59" t="n">
        <f aca="false">IF(E286&gt;0,F286*1000000000/E286,"")</f>
        <v>5194.96394083853</v>
      </c>
      <c r="AA286" s="63" t="n">
        <f aca="false">IFERROR((R286+S286+J286)/F286,0)</f>
        <v>1</v>
      </c>
      <c r="AB286" s="0" t="str">
        <f aca="false">A286&amp;"|"&amp;D286</f>
        <v>British Virgin Islands|2017</v>
      </c>
    </row>
    <row r="287" customFormat="false" ht="15" hidden="false" customHeight="false" outlineLevel="0" collapsed="false">
      <c r="A287" s="0" t="s">
        <v>207</v>
      </c>
      <c r="B287" s="0" t="s">
        <v>445</v>
      </c>
      <c r="C287" s="0" t="s">
        <v>127</v>
      </c>
      <c r="D287" s="0" t="n">
        <v>2018</v>
      </c>
      <c r="E287" s="59" t="n">
        <v>34682</v>
      </c>
      <c r="F287" s="60" t="n">
        <v>0.16</v>
      </c>
      <c r="G287" s="61" t="n">
        <v>0</v>
      </c>
      <c r="H287" s="61" t="n">
        <v>0</v>
      </c>
      <c r="I287" s="61" t="n">
        <v>0.16</v>
      </c>
      <c r="J287" s="61" t="n">
        <v>0</v>
      </c>
      <c r="K287" s="61" t="n">
        <v>0</v>
      </c>
      <c r="L287" s="61" t="n">
        <v>0</v>
      </c>
      <c r="M287" s="61" t="n">
        <v>0</v>
      </c>
      <c r="N287" s="61" t="n">
        <v>0</v>
      </c>
      <c r="O287" s="61" t="n">
        <v>0</v>
      </c>
      <c r="P287" s="62" t="n">
        <v>687.5</v>
      </c>
      <c r="Q287" s="0" t="n">
        <v>0</v>
      </c>
      <c r="R287" s="60" t="n">
        <f aca="false">G287+H287+I287</f>
        <v>0.16</v>
      </c>
      <c r="S287" s="60" t="n">
        <f aca="false">K287+L287+M287+N287+O287</f>
        <v>0</v>
      </c>
      <c r="T287" s="60" t="n">
        <f aca="false">L287+M287</f>
        <v>0</v>
      </c>
      <c r="U287" s="60" t="n">
        <f aca="false">S287+J287</f>
        <v>0</v>
      </c>
      <c r="V287" s="63" t="n">
        <f aca="false">IFERROR(S287/F287,0)</f>
        <v>0</v>
      </c>
      <c r="W287" s="63" t="n">
        <f aca="false">IFERROR(R287/F287,0)</f>
        <v>1</v>
      </c>
      <c r="X287" s="63" t="n">
        <f aca="false">IFERROR(T287/F287,0)</f>
        <v>0</v>
      </c>
      <c r="Y287" s="63" t="n">
        <f aca="false">IFERROR(G287/F287,0)</f>
        <v>0</v>
      </c>
      <c r="Z287" s="59" t="n">
        <f aca="false">IF(E287&gt;0,F287*1000000000/E287,"")</f>
        <v>4613.3440978029</v>
      </c>
      <c r="AA287" s="63" t="n">
        <f aca="false">IFERROR((R287+S287+J287)/F287,0)</f>
        <v>1</v>
      </c>
      <c r="AB287" s="0" t="str">
        <f aca="false">A287&amp;"|"&amp;D287</f>
        <v>British Virgin Islands|2018</v>
      </c>
    </row>
    <row r="288" customFormat="false" ht="15" hidden="false" customHeight="false" outlineLevel="0" collapsed="false">
      <c r="A288" s="0" t="s">
        <v>207</v>
      </c>
      <c r="B288" s="0" t="s">
        <v>445</v>
      </c>
      <c r="C288" s="0" t="s">
        <v>127</v>
      </c>
      <c r="D288" s="0" t="n">
        <v>2019</v>
      </c>
      <c r="E288" s="59" t="n">
        <v>36423</v>
      </c>
      <c r="F288" s="60" t="n">
        <v>0.16</v>
      </c>
      <c r="G288" s="61" t="n">
        <v>0</v>
      </c>
      <c r="H288" s="61" t="n">
        <v>0</v>
      </c>
      <c r="I288" s="61" t="n">
        <v>0.16</v>
      </c>
      <c r="J288" s="61" t="n">
        <v>0</v>
      </c>
      <c r="K288" s="61" t="n">
        <v>0</v>
      </c>
      <c r="L288" s="61" t="n">
        <v>0</v>
      </c>
      <c r="M288" s="61" t="n">
        <v>0</v>
      </c>
      <c r="N288" s="61" t="n">
        <v>0</v>
      </c>
      <c r="O288" s="61" t="n">
        <v>0</v>
      </c>
      <c r="P288" s="62" t="n">
        <v>687.5</v>
      </c>
      <c r="Q288" s="0" t="n">
        <v>0</v>
      </c>
      <c r="R288" s="60" t="n">
        <f aca="false">G288+H288+I288</f>
        <v>0.16</v>
      </c>
      <c r="S288" s="60" t="n">
        <f aca="false">K288+L288+M288+N288+O288</f>
        <v>0</v>
      </c>
      <c r="T288" s="60" t="n">
        <f aca="false">L288+M288</f>
        <v>0</v>
      </c>
      <c r="U288" s="60" t="n">
        <f aca="false">S288+J288</f>
        <v>0</v>
      </c>
      <c r="V288" s="63" t="n">
        <f aca="false">IFERROR(S288/F288,0)</f>
        <v>0</v>
      </c>
      <c r="W288" s="63" t="n">
        <f aca="false">IFERROR(R288/F288,0)</f>
        <v>1</v>
      </c>
      <c r="X288" s="63" t="n">
        <f aca="false">IFERROR(T288/F288,0)</f>
        <v>0</v>
      </c>
      <c r="Y288" s="63" t="n">
        <f aca="false">IFERROR(G288/F288,0)</f>
        <v>0</v>
      </c>
      <c r="Z288" s="59" t="n">
        <f aca="false">IF(E288&gt;0,F288*1000000000/E288,"")</f>
        <v>4392.8287071356</v>
      </c>
      <c r="AA288" s="63" t="n">
        <f aca="false">IFERROR((R288+S288+J288)/F288,0)</f>
        <v>1</v>
      </c>
      <c r="AB288" s="0" t="str">
        <f aca="false">A288&amp;"|"&amp;D288</f>
        <v>British Virgin Islands|2019</v>
      </c>
    </row>
    <row r="289" customFormat="false" ht="15" hidden="false" customHeight="false" outlineLevel="0" collapsed="false">
      <c r="A289" s="0" t="s">
        <v>207</v>
      </c>
      <c r="B289" s="0" t="s">
        <v>445</v>
      </c>
      <c r="C289" s="0" t="s">
        <v>127</v>
      </c>
      <c r="D289" s="0" t="n">
        <v>2020</v>
      </c>
      <c r="E289" s="59" t="n">
        <v>37161</v>
      </c>
      <c r="F289" s="60" t="n">
        <v>0.16</v>
      </c>
      <c r="G289" s="61" t="n">
        <v>0</v>
      </c>
      <c r="H289" s="61" t="n">
        <v>0</v>
      </c>
      <c r="I289" s="61" t="n">
        <v>0.16</v>
      </c>
      <c r="J289" s="61" t="n">
        <v>0</v>
      </c>
      <c r="K289" s="61" t="n">
        <v>0</v>
      </c>
      <c r="L289" s="61" t="n">
        <v>0</v>
      </c>
      <c r="M289" s="61" t="n">
        <v>0</v>
      </c>
      <c r="N289" s="61" t="n">
        <v>0</v>
      </c>
      <c r="O289" s="61" t="n">
        <v>0</v>
      </c>
      <c r="P289" s="62" t="n">
        <v>687.5</v>
      </c>
      <c r="Q289" s="0" t="n">
        <v>0</v>
      </c>
      <c r="R289" s="60" t="n">
        <f aca="false">G289+H289+I289</f>
        <v>0.16</v>
      </c>
      <c r="S289" s="60" t="n">
        <f aca="false">K289+L289+M289+N289+O289</f>
        <v>0</v>
      </c>
      <c r="T289" s="60" t="n">
        <f aca="false">L289+M289</f>
        <v>0</v>
      </c>
      <c r="U289" s="60" t="n">
        <f aca="false">S289+J289</f>
        <v>0</v>
      </c>
      <c r="V289" s="63" t="n">
        <f aca="false">IFERROR(S289/F289,0)</f>
        <v>0</v>
      </c>
      <c r="W289" s="63" t="n">
        <f aca="false">IFERROR(R289/F289,0)</f>
        <v>1</v>
      </c>
      <c r="X289" s="63" t="n">
        <f aca="false">IFERROR(T289/F289,0)</f>
        <v>0</v>
      </c>
      <c r="Y289" s="63" t="n">
        <f aca="false">IFERROR(G289/F289,0)</f>
        <v>0</v>
      </c>
      <c r="Z289" s="59" t="n">
        <f aca="false">IF(E289&gt;0,F289*1000000000/E289,"")</f>
        <v>4305.58919297113</v>
      </c>
      <c r="AA289" s="63" t="n">
        <f aca="false">IFERROR((R289+S289+J289)/F289,0)</f>
        <v>1</v>
      </c>
      <c r="AB289" s="0" t="str">
        <f aca="false">A289&amp;"|"&amp;D289</f>
        <v>British Virgin Islands|2020</v>
      </c>
    </row>
    <row r="290" customFormat="false" ht="15" hidden="false" customHeight="false" outlineLevel="0" collapsed="false">
      <c r="A290" s="0" t="s">
        <v>207</v>
      </c>
      <c r="B290" s="0" t="s">
        <v>445</v>
      </c>
      <c r="C290" s="0" t="s">
        <v>127</v>
      </c>
      <c r="D290" s="0" t="n">
        <v>2021</v>
      </c>
      <c r="E290" s="59" t="n">
        <v>37833</v>
      </c>
      <c r="F290" s="60" t="n">
        <v>0.17</v>
      </c>
      <c r="G290" s="61" t="n">
        <v>0</v>
      </c>
      <c r="H290" s="61" t="n">
        <v>0</v>
      </c>
      <c r="I290" s="61" t="n">
        <v>0.17</v>
      </c>
      <c r="J290" s="61" t="n">
        <v>0</v>
      </c>
      <c r="K290" s="61" t="n">
        <v>0</v>
      </c>
      <c r="L290" s="61" t="n">
        <v>0</v>
      </c>
      <c r="M290" s="61" t="n">
        <v>0</v>
      </c>
      <c r="N290" s="61" t="n">
        <v>0</v>
      </c>
      <c r="O290" s="61" t="n">
        <v>0</v>
      </c>
      <c r="P290" s="62" t="n">
        <v>647.1</v>
      </c>
      <c r="Q290" s="0" t="n">
        <v>0</v>
      </c>
      <c r="R290" s="60" t="n">
        <f aca="false">G290+H290+I290</f>
        <v>0.17</v>
      </c>
      <c r="S290" s="60" t="n">
        <f aca="false">K290+L290+M290+N290+O290</f>
        <v>0</v>
      </c>
      <c r="T290" s="60" t="n">
        <f aca="false">L290+M290</f>
        <v>0</v>
      </c>
      <c r="U290" s="60" t="n">
        <f aca="false">S290+J290</f>
        <v>0</v>
      </c>
      <c r="V290" s="63" t="n">
        <f aca="false">IFERROR(S290/F290,0)</f>
        <v>0</v>
      </c>
      <c r="W290" s="63" t="n">
        <f aca="false">IFERROR(R290/F290,0)</f>
        <v>1</v>
      </c>
      <c r="X290" s="63" t="n">
        <f aca="false">IFERROR(T290/F290,0)</f>
        <v>0</v>
      </c>
      <c r="Y290" s="63" t="n">
        <f aca="false">IFERROR(G290/F290,0)</f>
        <v>0</v>
      </c>
      <c r="Z290" s="59" t="n">
        <f aca="false">IF(E290&gt;0,F290*1000000000/E290,"")</f>
        <v>4493.43166019084</v>
      </c>
      <c r="AA290" s="63" t="n">
        <f aca="false">IFERROR((R290+S290+J290)/F290,0)</f>
        <v>1</v>
      </c>
      <c r="AB290" s="0" t="str">
        <f aca="false">A290&amp;"|"&amp;D290</f>
        <v>British Virgin Islands|2021</v>
      </c>
    </row>
    <row r="291" customFormat="false" ht="15" hidden="false" customHeight="false" outlineLevel="0" collapsed="false">
      <c r="A291" s="0" t="s">
        <v>207</v>
      </c>
      <c r="B291" s="0" t="s">
        <v>445</v>
      </c>
      <c r="C291" s="0" t="s">
        <v>127</v>
      </c>
      <c r="D291" s="0" t="n">
        <v>2022</v>
      </c>
      <c r="E291" s="59" t="n">
        <v>38346</v>
      </c>
      <c r="F291" s="60" t="n">
        <v>0.17</v>
      </c>
      <c r="G291" s="61" t="n">
        <v>0</v>
      </c>
      <c r="H291" s="61" t="n">
        <v>0</v>
      </c>
      <c r="I291" s="61" t="n">
        <v>0.17</v>
      </c>
      <c r="J291" s="61" t="n">
        <v>0</v>
      </c>
      <c r="K291" s="61" t="n">
        <v>0</v>
      </c>
      <c r="L291" s="61" t="n">
        <v>0</v>
      </c>
      <c r="M291" s="61" t="n">
        <v>0</v>
      </c>
      <c r="N291" s="61" t="n">
        <v>0</v>
      </c>
      <c r="O291" s="61" t="n">
        <v>0</v>
      </c>
      <c r="P291" s="62" t="n">
        <v>647.1</v>
      </c>
      <c r="Q291" s="0" t="n">
        <v>0</v>
      </c>
      <c r="R291" s="60" t="n">
        <f aca="false">G291+H291+I291</f>
        <v>0.17</v>
      </c>
      <c r="S291" s="60" t="n">
        <f aca="false">K291+L291+M291+N291+O291</f>
        <v>0</v>
      </c>
      <c r="T291" s="60" t="n">
        <f aca="false">L291+M291</f>
        <v>0</v>
      </c>
      <c r="U291" s="60" t="n">
        <f aca="false">S291+J291</f>
        <v>0</v>
      </c>
      <c r="V291" s="63" t="n">
        <f aca="false">IFERROR(S291/F291,0)</f>
        <v>0</v>
      </c>
      <c r="W291" s="63" t="n">
        <f aca="false">IFERROR(R291/F291,0)</f>
        <v>1</v>
      </c>
      <c r="X291" s="63" t="n">
        <f aca="false">IFERROR(T291/F291,0)</f>
        <v>0</v>
      </c>
      <c r="Y291" s="63" t="n">
        <f aca="false">IFERROR(G291/F291,0)</f>
        <v>0</v>
      </c>
      <c r="Z291" s="59" t="n">
        <f aca="false">IF(E291&gt;0,F291*1000000000/E291,"")</f>
        <v>4433.31768632974</v>
      </c>
      <c r="AA291" s="63" t="n">
        <f aca="false">IFERROR((R291+S291+J291)/F291,0)</f>
        <v>1</v>
      </c>
      <c r="AB291" s="0" t="str">
        <f aca="false">A291&amp;"|"&amp;D291</f>
        <v>British Virgin Islands|2022</v>
      </c>
    </row>
    <row r="292" customFormat="false" ht="15" hidden="false" customHeight="false" outlineLevel="0" collapsed="false">
      <c r="A292" s="0" t="s">
        <v>207</v>
      </c>
      <c r="B292" s="0" t="s">
        <v>445</v>
      </c>
      <c r="C292" s="0" t="s">
        <v>127</v>
      </c>
      <c r="D292" s="0" t="n">
        <v>2023</v>
      </c>
      <c r="E292" s="59" t="n">
        <v>39009</v>
      </c>
      <c r="F292" s="60" t="n">
        <v>0.17</v>
      </c>
      <c r="G292" s="61" t="n">
        <v>0</v>
      </c>
      <c r="H292" s="61" t="n">
        <v>0</v>
      </c>
      <c r="I292" s="61" t="n">
        <v>0.17</v>
      </c>
      <c r="J292" s="61" t="n">
        <v>0</v>
      </c>
      <c r="K292" s="61" t="n">
        <v>0</v>
      </c>
      <c r="L292" s="61" t="n">
        <v>0</v>
      </c>
      <c r="M292" s="61" t="n">
        <v>0</v>
      </c>
      <c r="N292" s="61" t="n">
        <v>0</v>
      </c>
      <c r="O292" s="61" t="n">
        <v>0</v>
      </c>
      <c r="P292" s="62" t="n">
        <v>647.1</v>
      </c>
      <c r="Q292" s="0" t="n">
        <v>0</v>
      </c>
      <c r="R292" s="60" t="n">
        <f aca="false">G292+H292+I292</f>
        <v>0.17</v>
      </c>
      <c r="S292" s="60" t="n">
        <f aca="false">K292+L292+M292+N292+O292</f>
        <v>0</v>
      </c>
      <c r="T292" s="60" t="n">
        <f aca="false">L292+M292</f>
        <v>0</v>
      </c>
      <c r="U292" s="60" t="n">
        <f aca="false">S292+J292</f>
        <v>0</v>
      </c>
      <c r="V292" s="63" t="n">
        <f aca="false">IFERROR(S292/F292,0)</f>
        <v>0</v>
      </c>
      <c r="W292" s="63" t="n">
        <f aca="false">IFERROR(R292/F292,0)</f>
        <v>1</v>
      </c>
      <c r="X292" s="63" t="n">
        <f aca="false">IFERROR(T292/F292,0)</f>
        <v>0</v>
      </c>
      <c r="Y292" s="63" t="n">
        <f aca="false">IFERROR(G292/F292,0)</f>
        <v>0</v>
      </c>
      <c r="Z292" s="59" t="n">
        <f aca="false">IF(E292&gt;0,F292*1000000000/E292,"")</f>
        <v>4357.96867389577</v>
      </c>
      <c r="AA292" s="63" t="n">
        <f aca="false">IFERROR((R292+S292+J292)/F292,0)</f>
        <v>1</v>
      </c>
      <c r="AB292" s="0" t="str">
        <f aca="false">A292&amp;"|"&amp;D292</f>
        <v>British Virgin Islands|2023</v>
      </c>
    </row>
    <row r="293" customFormat="false" ht="15" hidden="false" customHeight="false" outlineLevel="0" collapsed="false">
      <c r="A293" s="0" t="s">
        <v>208</v>
      </c>
      <c r="B293" s="0" t="s">
        <v>446</v>
      </c>
      <c r="C293" s="0" t="s">
        <v>127</v>
      </c>
      <c r="D293" s="0" t="n">
        <v>2015</v>
      </c>
      <c r="E293" s="59" t="n">
        <v>422223</v>
      </c>
      <c r="F293" s="60" t="n">
        <v>4.2</v>
      </c>
      <c r="G293" s="61" t="n">
        <v>0</v>
      </c>
      <c r="H293" s="61" t="n">
        <v>4.16</v>
      </c>
      <c r="I293" s="61" t="n">
        <v>0.04</v>
      </c>
      <c r="J293" s="61" t="n">
        <v>0</v>
      </c>
      <c r="K293" s="61" t="n">
        <v>0</v>
      </c>
      <c r="L293" s="61" t="n">
        <v>0</v>
      </c>
      <c r="M293" s="61" t="n">
        <v>0</v>
      </c>
      <c r="N293" s="61" t="n">
        <v>0</v>
      </c>
      <c r="O293" s="61" t="n">
        <v>0</v>
      </c>
      <c r="P293" s="62" t="n">
        <v>902.4</v>
      </c>
      <c r="Q293" s="0" t="n">
        <v>0</v>
      </c>
      <c r="R293" s="60" t="n">
        <f aca="false">G293+H293+I293</f>
        <v>4.2</v>
      </c>
      <c r="S293" s="60" t="n">
        <f aca="false">K293+L293+M293+N293+O293</f>
        <v>0</v>
      </c>
      <c r="T293" s="60" t="n">
        <f aca="false">L293+M293</f>
        <v>0</v>
      </c>
      <c r="U293" s="60" t="n">
        <f aca="false">S293+J293</f>
        <v>0</v>
      </c>
      <c r="V293" s="63" t="n">
        <f aca="false">IFERROR(S293/F293,0)</f>
        <v>0</v>
      </c>
      <c r="W293" s="63" t="n">
        <f aca="false">IFERROR(R293/F293,0)</f>
        <v>1</v>
      </c>
      <c r="X293" s="63" t="n">
        <f aca="false">IFERROR(T293/F293,0)</f>
        <v>0</v>
      </c>
      <c r="Y293" s="63" t="n">
        <f aca="false">IFERROR(G293/F293,0)</f>
        <v>0</v>
      </c>
      <c r="Z293" s="59" t="n">
        <f aca="false">IF(E293&gt;0,F293*1000000000/E293,"")</f>
        <v>9947.35009698666</v>
      </c>
      <c r="AA293" s="63" t="n">
        <f aca="false">IFERROR((R293+S293+J293)/F293,0)</f>
        <v>1</v>
      </c>
      <c r="AB293" s="0" t="str">
        <f aca="false">A293&amp;"|"&amp;D293</f>
        <v>Brunei|2015</v>
      </c>
    </row>
    <row r="294" customFormat="false" ht="15" hidden="false" customHeight="false" outlineLevel="0" collapsed="false">
      <c r="A294" s="0" t="s">
        <v>208</v>
      </c>
      <c r="B294" s="0" t="s">
        <v>446</v>
      </c>
      <c r="C294" s="0" t="s">
        <v>127</v>
      </c>
      <c r="D294" s="0" t="n">
        <v>2016</v>
      </c>
      <c r="E294" s="59" t="n">
        <v>427571</v>
      </c>
      <c r="F294" s="60" t="n">
        <v>4.27</v>
      </c>
      <c r="G294" s="61" t="n">
        <v>0</v>
      </c>
      <c r="H294" s="61" t="n">
        <v>4.22</v>
      </c>
      <c r="I294" s="61" t="n">
        <v>0.05</v>
      </c>
      <c r="J294" s="61" t="n">
        <v>0</v>
      </c>
      <c r="K294" s="61" t="n">
        <v>0</v>
      </c>
      <c r="L294" s="61" t="n">
        <v>0</v>
      </c>
      <c r="M294" s="61" t="n">
        <v>0</v>
      </c>
      <c r="N294" s="61" t="n">
        <v>0</v>
      </c>
      <c r="O294" s="61" t="n">
        <v>0</v>
      </c>
      <c r="P294" s="62" t="n">
        <v>901.6</v>
      </c>
      <c r="Q294" s="0" t="n">
        <v>0</v>
      </c>
      <c r="R294" s="60" t="n">
        <f aca="false">G294+H294+I294</f>
        <v>4.27</v>
      </c>
      <c r="S294" s="60" t="n">
        <f aca="false">K294+L294+M294+N294+O294</f>
        <v>0</v>
      </c>
      <c r="T294" s="60" t="n">
        <f aca="false">L294+M294</f>
        <v>0</v>
      </c>
      <c r="U294" s="60" t="n">
        <f aca="false">S294+J294</f>
        <v>0</v>
      </c>
      <c r="V294" s="63" t="n">
        <f aca="false">IFERROR(S294/F294,0)</f>
        <v>0</v>
      </c>
      <c r="W294" s="63" t="n">
        <f aca="false">IFERROR(R294/F294,0)</f>
        <v>1</v>
      </c>
      <c r="X294" s="63" t="n">
        <f aca="false">IFERROR(T294/F294,0)</f>
        <v>0</v>
      </c>
      <c r="Y294" s="63" t="n">
        <f aca="false">IFERROR(G294/F294,0)</f>
        <v>0</v>
      </c>
      <c r="Z294" s="59" t="n">
        <f aca="false">IF(E294&gt;0,F294*1000000000/E294,"")</f>
        <v>9986.64549279535</v>
      </c>
      <c r="AA294" s="63" t="n">
        <f aca="false">IFERROR((R294+S294+J294)/F294,0)</f>
        <v>1</v>
      </c>
      <c r="AB294" s="0" t="str">
        <f aca="false">A294&amp;"|"&amp;D294</f>
        <v>Brunei|2016</v>
      </c>
    </row>
    <row r="295" customFormat="false" ht="15" hidden="false" customHeight="false" outlineLevel="0" collapsed="false">
      <c r="A295" s="0" t="s">
        <v>208</v>
      </c>
      <c r="B295" s="0" t="s">
        <v>446</v>
      </c>
      <c r="C295" s="0" t="s">
        <v>127</v>
      </c>
      <c r="D295" s="0" t="n">
        <v>2017</v>
      </c>
      <c r="E295" s="59" t="n">
        <v>432787</v>
      </c>
      <c r="F295" s="60" t="n">
        <v>4.16</v>
      </c>
      <c r="G295" s="61" t="n">
        <v>0</v>
      </c>
      <c r="H295" s="61" t="n">
        <v>4.11</v>
      </c>
      <c r="I295" s="61" t="n">
        <v>0.05</v>
      </c>
      <c r="J295" s="61" t="n">
        <v>0</v>
      </c>
      <c r="K295" s="61" t="n">
        <v>0</v>
      </c>
      <c r="L295" s="61" t="n">
        <v>0</v>
      </c>
      <c r="M295" s="61" t="n">
        <v>0</v>
      </c>
      <c r="N295" s="61" t="n">
        <v>0</v>
      </c>
      <c r="O295" s="61" t="n">
        <v>0</v>
      </c>
      <c r="P295" s="62" t="n">
        <v>901.4</v>
      </c>
      <c r="Q295" s="0" t="n">
        <v>0</v>
      </c>
      <c r="R295" s="60" t="n">
        <f aca="false">G295+H295+I295</f>
        <v>4.16</v>
      </c>
      <c r="S295" s="60" t="n">
        <f aca="false">K295+L295+M295+N295+O295</f>
        <v>0</v>
      </c>
      <c r="T295" s="60" t="n">
        <f aca="false">L295+M295</f>
        <v>0</v>
      </c>
      <c r="U295" s="60" t="n">
        <f aca="false">S295+J295</f>
        <v>0</v>
      </c>
      <c r="V295" s="63" t="n">
        <f aca="false">IFERROR(S295/F295,0)</f>
        <v>0</v>
      </c>
      <c r="W295" s="63" t="n">
        <f aca="false">IFERROR(R295/F295,0)</f>
        <v>1</v>
      </c>
      <c r="X295" s="63" t="n">
        <f aca="false">IFERROR(T295/F295,0)</f>
        <v>0</v>
      </c>
      <c r="Y295" s="63" t="n">
        <f aca="false">IFERROR(G295/F295,0)</f>
        <v>0</v>
      </c>
      <c r="Z295" s="59" t="n">
        <f aca="false">IF(E295&gt;0,F295*1000000000/E295,"")</f>
        <v>9612.11866345338</v>
      </c>
      <c r="AA295" s="63" t="n">
        <f aca="false">IFERROR((R295+S295+J295)/F295,0)</f>
        <v>1</v>
      </c>
      <c r="AB295" s="0" t="str">
        <f aca="false">A295&amp;"|"&amp;D295</f>
        <v>Brunei|2017</v>
      </c>
    </row>
    <row r="296" customFormat="false" ht="15" hidden="false" customHeight="false" outlineLevel="0" collapsed="false">
      <c r="A296" s="0" t="s">
        <v>208</v>
      </c>
      <c r="B296" s="0" t="s">
        <v>446</v>
      </c>
      <c r="C296" s="0" t="s">
        <v>127</v>
      </c>
      <c r="D296" s="0" t="n">
        <v>2018</v>
      </c>
      <c r="E296" s="59" t="n">
        <v>437811</v>
      </c>
      <c r="F296" s="60" t="n">
        <v>4.3</v>
      </c>
      <c r="G296" s="61" t="n">
        <v>0</v>
      </c>
      <c r="H296" s="61" t="n">
        <v>4.25</v>
      </c>
      <c r="I296" s="61" t="n">
        <v>0.05</v>
      </c>
      <c r="J296" s="61" t="n">
        <v>0</v>
      </c>
      <c r="K296" s="61" t="n">
        <v>0</v>
      </c>
      <c r="L296" s="61" t="n">
        <v>0</v>
      </c>
      <c r="M296" s="61" t="n">
        <v>0</v>
      </c>
      <c r="N296" s="61" t="n">
        <v>0</v>
      </c>
      <c r="O296" s="61" t="n">
        <v>0</v>
      </c>
      <c r="P296" s="62" t="n">
        <v>902.3</v>
      </c>
      <c r="Q296" s="0" t="n">
        <v>0</v>
      </c>
      <c r="R296" s="60" t="n">
        <f aca="false">G296+H296+I296</f>
        <v>4.3</v>
      </c>
      <c r="S296" s="60" t="n">
        <f aca="false">K296+L296+M296+N296+O296</f>
        <v>0</v>
      </c>
      <c r="T296" s="60" t="n">
        <f aca="false">L296+M296</f>
        <v>0</v>
      </c>
      <c r="U296" s="60" t="n">
        <f aca="false">S296+J296</f>
        <v>0</v>
      </c>
      <c r="V296" s="63" t="n">
        <f aca="false">IFERROR(S296/F296,0)</f>
        <v>0</v>
      </c>
      <c r="W296" s="63" t="n">
        <f aca="false">IFERROR(R296/F296,0)</f>
        <v>1</v>
      </c>
      <c r="X296" s="63" t="n">
        <f aca="false">IFERROR(T296/F296,0)</f>
        <v>0</v>
      </c>
      <c r="Y296" s="63" t="n">
        <f aca="false">IFERROR(G296/F296,0)</f>
        <v>0</v>
      </c>
      <c r="Z296" s="59" t="n">
        <f aca="false">IF(E296&gt;0,F296*1000000000/E296,"")</f>
        <v>9821.5896813922</v>
      </c>
      <c r="AA296" s="63" t="n">
        <f aca="false">IFERROR((R296+S296+J296)/F296,0)</f>
        <v>1</v>
      </c>
      <c r="AB296" s="0" t="str">
        <f aca="false">A296&amp;"|"&amp;D296</f>
        <v>Brunei|2018</v>
      </c>
    </row>
    <row r="297" customFormat="false" ht="15" hidden="false" customHeight="false" outlineLevel="0" collapsed="false">
      <c r="A297" s="0" t="s">
        <v>208</v>
      </c>
      <c r="B297" s="0" t="s">
        <v>446</v>
      </c>
      <c r="C297" s="0" t="s">
        <v>127</v>
      </c>
      <c r="D297" s="0" t="n">
        <v>2019</v>
      </c>
      <c r="E297" s="59" t="n">
        <v>442690</v>
      </c>
      <c r="F297" s="60" t="n">
        <v>4.93</v>
      </c>
      <c r="G297" s="61" t="n">
        <v>0.48</v>
      </c>
      <c r="H297" s="61" t="n">
        <v>4.4</v>
      </c>
      <c r="I297" s="61" t="n">
        <v>0.05</v>
      </c>
      <c r="J297" s="61" t="n">
        <v>0</v>
      </c>
      <c r="K297" s="61" t="n">
        <v>0</v>
      </c>
      <c r="L297" s="61" t="n">
        <v>0</v>
      </c>
      <c r="M297" s="61" t="n">
        <v>0</v>
      </c>
      <c r="N297" s="61" t="n">
        <v>0</v>
      </c>
      <c r="O297" s="61" t="n">
        <v>0</v>
      </c>
      <c r="P297" s="62" t="n">
        <v>896.5</v>
      </c>
      <c r="Q297" s="0" t="n">
        <v>0</v>
      </c>
      <c r="R297" s="60" t="n">
        <f aca="false">G297+H297+I297</f>
        <v>4.93</v>
      </c>
      <c r="S297" s="60" t="n">
        <f aca="false">K297+L297+M297+N297+O297</f>
        <v>0</v>
      </c>
      <c r="T297" s="60" t="n">
        <f aca="false">L297+M297</f>
        <v>0</v>
      </c>
      <c r="U297" s="60" t="n">
        <f aca="false">S297+J297</f>
        <v>0</v>
      </c>
      <c r="V297" s="63" t="n">
        <f aca="false">IFERROR(S297/F297,0)</f>
        <v>0</v>
      </c>
      <c r="W297" s="63" t="n">
        <f aca="false">IFERROR(R297/F297,0)</f>
        <v>1</v>
      </c>
      <c r="X297" s="63" t="n">
        <f aca="false">IFERROR(T297/F297,0)</f>
        <v>0</v>
      </c>
      <c r="Y297" s="63" t="n">
        <f aca="false">IFERROR(G297/F297,0)</f>
        <v>0.0973630831643002</v>
      </c>
      <c r="Z297" s="59" t="n">
        <f aca="false">IF(E297&gt;0,F297*1000000000/E297,"")</f>
        <v>11136.4611805101</v>
      </c>
      <c r="AA297" s="63" t="n">
        <f aca="false">IFERROR((R297+S297+J297)/F297,0)</f>
        <v>1</v>
      </c>
      <c r="AB297" s="0" t="str">
        <f aca="false">A297&amp;"|"&amp;D297</f>
        <v>Brunei|2019</v>
      </c>
    </row>
    <row r="298" customFormat="false" ht="15" hidden="false" customHeight="false" outlineLevel="0" collapsed="false">
      <c r="A298" s="0" t="s">
        <v>208</v>
      </c>
      <c r="B298" s="0" t="s">
        <v>446</v>
      </c>
      <c r="C298" s="0" t="s">
        <v>127</v>
      </c>
      <c r="D298" s="0" t="n">
        <v>2020</v>
      </c>
      <c r="E298" s="59" t="n">
        <v>447411</v>
      </c>
      <c r="F298" s="60" t="n">
        <v>5.74</v>
      </c>
      <c r="G298" s="61" t="n">
        <v>1.23</v>
      </c>
      <c r="H298" s="61" t="n">
        <v>4.47</v>
      </c>
      <c r="I298" s="61" t="n">
        <v>0.04</v>
      </c>
      <c r="J298" s="61" t="n">
        <v>0</v>
      </c>
      <c r="K298" s="61" t="n">
        <v>0</v>
      </c>
      <c r="L298" s="61" t="n">
        <v>0</v>
      </c>
      <c r="M298" s="61" t="n">
        <v>0</v>
      </c>
      <c r="N298" s="61" t="n">
        <v>0</v>
      </c>
      <c r="O298" s="61" t="n">
        <v>0</v>
      </c>
      <c r="P298" s="62" t="n">
        <v>895.5</v>
      </c>
      <c r="Q298" s="0" t="n">
        <v>0</v>
      </c>
      <c r="R298" s="60" t="n">
        <f aca="false">G298+H298+I298</f>
        <v>5.74</v>
      </c>
      <c r="S298" s="60" t="n">
        <f aca="false">K298+L298+M298+N298+O298</f>
        <v>0</v>
      </c>
      <c r="T298" s="60" t="n">
        <f aca="false">L298+M298</f>
        <v>0</v>
      </c>
      <c r="U298" s="60" t="n">
        <f aca="false">S298+J298</f>
        <v>0</v>
      </c>
      <c r="V298" s="63" t="n">
        <f aca="false">IFERROR(S298/F298,0)</f>
        <v>0</v>
      </c>
      <c r="W298" s="63" t="n">
        <f aca="false">IFERROR(R298/F298,0)</f>
        <v>1</v>
      </c>
      <c r="X298" s="63" t="n">
        <f aca="false">IFERROR(T298/F298,0)</f>
        <v>0</v>
      </c>
      <c r="Y298" s="63" t="n">
        <f aca="false">IFERROR(G298/F298,0)</f>
        <v>0.214285714285714</v>
      </c>
      <c r="Z298" s="59" t="n">
        <f aca="false">IF(E298&gt;0,F298*1000000000/E298,"")</f>
        <v>12829.3671814059</v>
      </c>
      <c r="AA298" s="63" t="n">
        <f aca="false">IFERROR((R298+S298+J298)/F298,0)</f>
        <v>1</v>
      </c>
      <c r="AB298" s="0" t="str">
        <f aca="false">A298&amp;"|"&amp;D298</f>
        <v>Brunei|2020</v>
      </c>
    </row>
    <row r="299" customFormat="false" ht="15" hidden="false" customHeight="false" outlineLevel="0" collapsed="false">
      <c r="A299" s="0" t="s">
        <v>208</v>
      </c>
      <c r="B299" s="0" t="s">
        <v>446</v>
      </c>
      <c r="C299" s="0" t="s">
        <v>127</v>
      </c>
      <c r="D299" s="0" t="n">
        <v>2021</v>
      </c>
      <c r="E299" s="59" t="n">
        <v>451722</v>
      </c>
      <c r="F299" s="60" t="n">
        <v>5.7</v>
      </c>
      <c r="G299" s="61" t="n">
        <v>1.24</v>
      </c>
      <c r="H299" s="61" t="n">
        <v>4.42</v>
      </c>
      <c r="I299" s="61" t="n">
        <v>0.04</v>
      </c>
      <c r="J299" s="61" t="n">
        <v>0</v>
      </c>
      <c r="K299" s="61" t="n">
        <v>0</v>
      </c>
      <c r="L299" s="61" t="n">
        <v>0</v>
      </c>
      <c r="M299" s="61" t="n">
        <v>0</v>
      </c>
      <c r="N299" s="61" t="n">
        <v>0</v>
      </c>
      <c r="O299" s="61" t="n">
        <v>0</v>
      </c>
      <c r="P299" s="62" t="n">
        <v>894.7</v>
      </c>
      <c r="Q299" s="0" t="n">
        <v>0</v>
      </c>
      <c r="R299" s="60" t="n">
        <f aca="false">G299+H299+I299</f>
        <v>5.7</v>
      </c>
      <c r="S299" s="60" t="n">
        <f aca="false">K299+L299+M299+N299+O299</f>
        <v>0</v>
      </c>
      <c r="T299" s="60" t="n">
        <f aca="false">L299+M299</f>
        <v>0</v>
      </c>
      <c r="U299" s="60" t="n">
        <f aca="false">S299+J299</f>
        <v>0</v>
      </c>
      <c r="V299" s="63" t="n">
        <f aca="false">IFERROR(S299/F299,0)</f>
        <v>0</v>
      </c>
      <c r="W299" s="63" t="n">
        <f aca="false">IFERROR(R299/F299,0)</f>
        <v>1</v>
      </c>
      <c r="X299" s="63" t="n">
        <f aca="false">IFERROR(T299/F299,0)</f>
        <v>0</v>
      </c>
      <c r="Y299" s="63" t="n">
        <f aca="false">IFERROR(G299/F299,0)</f>
        <v>0.217543859649123</v>
      </c>
      <c r="Z299" s="59" t="n">
        <f aca="false">IF(E299&gt;0,F299*1000000000/E299,"")</f>
        <v>12618.3803312657</v>
      </c>
      <c r="AA299" s="63" t="n">
        <f aca="false">IFERROR((R299+S299+J299)/F299,0)</f>
        <v>1</v>
      </c>
      <c r="AB299" s="0" t="str">
        <f aca="false">A299&amp;"|"&amp;D299</f>
        <v>Brunei|2021</v>
      </c>
    </row>
    <row r="300" customFormat="false" ht="15" hidden="false" customHeight="false" outlineLevel="0" collapsed="false">
      <c r="A300" s="0" t="s">
        <v>208</v>
      </c>
      <c r="B300" s="0" t="s">
        <v>446</v>
      </c>
      <c r="C300" s="0" t="s">
        <v>127</v>
      </c>
      <c r="D300" s="0" t="n">
        <v>2022</v>
      </c>
      <c r="E300" s="59" t="n">
        <v>455374</v>
      </c>
      <c r="F300" s="60" t="n">
        <v>5.6</v>
      </c>
      <c r="G300" s="61" t="n">
        <v>1.21</v>
      </c>
      <c r="H300" s="61" t="n">
        <v>4.34</v>
      </c>
      <c r="I300" s="61" t="n">
        <v>0.05</v>
      </c>
      <c r="J300" s="61" t="n">
        <v>0</v>
      </c>
      <c r="K300" s="61" t="n">
        <v>0</v>
      </c>
      <c r="L300" s="61" t="n">
        <v>0</v>
      </c>
      <c r="M300" s="61" t="n">
        <v>0</v>
      </c>
      <c r="N300" s="61" t="n">
        <v>0</v>
      </c>
      <c r="O300" s="61" t="n">
        <v>0</v>
      </c>
      <c r="P300" s="62" t="n">
        <v>892.9</v>
      </c>
      <c r="Q300" s="0" t="n">
        <v>0</v>
      </c>
      <c r="R300" s="60" t="n">
        <f aca="false">G300+H300+I300</f>
        <v>5.6</v>
      </c>
      <c r="S300" s="60" t="n">
        <f aca="false">K300+L300+M300+N300+O300</f>
        <v>0</v>
      </c>
      <c r="T300" s="60" t="n">
        <f aca="false">L300+M300</f>
        <v>0</v>
      </c>
      <c r="U300" s="60" t="n">
        <f aca="false">S300+J300</f>
        <v>0</v>
      </c>
      <c r="V300" s="63" t="n">
        <f aca="false">IFERROR(S300/F300,0)</f>
        <v>0</v>
      </c>
      <c r="W300" s="63" t="n">
        <f aca="false">IFERROR(R300/F300,0)</f>
        <v>1</v>
      </c>
      <c r="X300" s="63" t="n">
        <f aca="false">IFERROR(T300/F300,0)</f>
        <v>0</v>
      </c>
      <c r="Y300" s="63" t="n">
        <f aca="false">IFERROR(G300/F300,0)</f>
        <v>0.216071428571429</v>
      </c>
      <c r="Z300" s="59" t="n">
        <f aca="false">IF(E300&gt;0,F300*1000000000/E300,"")</f>
        <v>12297.5839639505</v>
      </c>
      <c r="AA300" s="63" t="n">
        <f aca="false">IFERROR((R300+S300+J300)/F300,0)</f>
        <v>1</v>
      </c>
      <c r="AB300" s="0" t="str">
        <f aca="false">A300&amp;"|"&amp;D300</f>
        <v>Brunei|2022</v>
      </c>
    </row>
    <row r="301" customFormat="false" ht="15" hidden="false" customHeight="false" outlineLevel="0" collapsed="false">
      <c r="A301" s="0" t="s">
        <v>208</v>
      </c>
      <c r="B301" s="0" t="s">
        <v>446</v>
      </c>
      <c r="C301" s="0" t="s">
        <v>127</v>
      </c>
      <c r="D301" s="0" t="n">
        <v>2023</v>
      </c>
      <c r="E301" s="59" t="n">
        <v>458959</v>
      </c>
      <c r="F301" s="60" t="n">
        <v>5.6</v>
      </c>
      <c r="G301" s="61" t="n">
        <v>1.14</v>
      </c>
      <c r="H301" s="61" t="n">
        <v>4.42</v>
      </c>
      <c r="I301" s="61" t="n">
        <v>0.04</v>
      </c>
      <c r="J301" s="61" t="n">
        <v>0</v>
      </c>
      <c r="K301" s="61" t="n">
        <v>0</v>
      </c>
      <c r="L301" s="61" t="n">
        <v>0</v>
      </c>
      <c r="M301" s="61" t="n">
        <v>0</v>
      </c>
      <c r="N301" s="61" t="n">
        <v>0</v>
      </c>
      <c r="O301" s="61" t="n">
        <v>0</v>
      </c>
      <c r="P301" s="62" t="n">
        <v>894.6</v>
      </c>
      <c r="Q301" s="0" t="n">
        <v>0</v>
      </c>
      <c r="R301" s="60" t="n">
        <f aca="false">G301+H301+I301</f>
        <v>5.6</v>
      </c>
      <c r="S301" s="60" t="n">
        <f aca="false">K301+L301+M301+N301+O301</f>
        <v>0</v>
      </c>
      <c r="T301" s="60" t="n">
        <f aca="false">L301+M301</f>
        <v>0</v>
      </c>
      <c r="U301" s="60" t="n">
        <f aca="false">S301+J301</f>
        <v>0</v>
      </c>
      <c r="V301" s="63" t="n">
        <f aca="false">IFERROR(S301/F301,0)</f>
        <v>0</v>
      </c>
      <c r="W301" s="63" t="n">
        <f aca="false">IFERROR(R301/F301,0)</f>
        <v>1</v>
      </c>
      <c r="X301" s="63" t="n">
        <f aca="false">IFERROR(T301/F301,0)</f>
        <v>0</v>
      </c>
      <c r="Y301" s="63" t="n">
        <f aca="false">IFERROR(G301/F301,0)</f>
        <v>0.203571428571429</v>
      </c>
      <c r="Z301" s="59" t="n">
        <f aca="false">IF(E301&gt;0,F301*1000000000/E301,"")</f>
        <v>12201.5256264721</v>
      </c>
      <c r="AA301" s="63" t="n">
        <f aca="false">IFERROR((R301+S301+J301)/F301,0)</f>
        <v>1</v>
      </c>
      <c r="AB301" s="0" t="str">
        <f aca="false">A301&amp;"|"&amp;D301</f>
        <v>Brunei|2023</v>
      </c>
    </row>
    <row r="302" customFormat="false" ht="15" hidden="false" customHeight="false" outlineLevel="0" collapsed="false">
      <c r="A302" s="0" t="s">
        <v>208</v>
      </c>
      <c r="B302" s="0" t="s">
        <v>446</v>
      </c>
      <c r="C302" s="0" t="s">
        <v>127</v>
      </c>
      <c r="D302" s="0" t="n">
        <v>2024</v>
      </c>
      <c r="E302" s="59" t="n">
        <v>462734</v>
      </c>
      <c r="F302" s="60" t="n">
        <v>5.56</v>
      </c>
      <c r="G302" s="61" t="n">
        <v>1.1</v>
      </c>
      <c r="H302" s="61" t="n">
        <v>4.4</v>
      </c>
      <c r="I302" s="61" t="n">
        <v>0.05</v>
      </c>
      <c r="J302" s="61" t="n">
        <v>0</v>
      </c>
      <c r="K302" s="61" t="n">
        <v>0</v>
      </c>
      <c r="L302" s="61" t="n">
        <v>0.01</v>
      </c>
      <c r="M302" s="61" t="n">
        <v>0</v>
      </c>
      <c r="N302" s="61" t="n">
        <v>0</v>
      </c>
      <c r="O302" s="61" t="n">
        <v>0</v>
      </c>
      <c r="P302" s="62" t="n">
        <v>892.1</v>
      </c>
      <c r="Q302" s="0" t="n">
        <v>0</v>
      </c>
      <c r="R302" s="60" t="n">
        <f aca="false">G302+H302+I302</f>
        <v>5.55</v>
      </c>
      <c r="S302" s="60" t="n">
        <f aca="false">K302+L302+M302+N302+O302</f>
        <v>0.01</v>
      </c>
      <c r="T302" s="60" t="n">
        <f aca="false">L302+M302</f>
        <v>0.01</v>
      </c>
      <c r="U302" s="60" t="n">
        <f aca="false">S302+J302</f>
        <v>0.01</v>
      </c>
      <c r="V302" s="63" t="n">
        <f aca="false">IFERROR(S302/F302,0)</f>
        <v>0.00179856115107914</v>
      </c>
      <c r="W302" s="63" t="n">
        <f aca="false">IFERROR(R302/F302,0)</f>
        <v>0.998201438848921</v>
      </c>
      <c r="X302" s="63" t="n">
        <f aca="false">IFERROR(T302/F302,0)</f>
        <v>0.00179856115107914</v>
      </c>
      <c r="Y302" s="63" t="n">
        <f aca="false">IFERROR(G302/F302,0)</f>
        <v>0.197841726618705</v>
      </c>
      <c r="Z302" s="59" t="n">
        <f aca="false">IF(E302&gt;0,F302*1000000000/E302,"")</f>
        <v>12015.5424066526</v>
      </c>
      <c r="AA302" s="63" t="n">
        <f aca="false">IFERROR((R302+S302+J302)/F302,0)</f>
        <v>1</v>
      </c>
      <c r="AB302" s="0" t="str">
        <f aca="false">A302&amp;"|"&amp;D302</f>
        <v>Brunei|2024</v>
      </c>
    </row>
    <row r="303" customFormat="false" ht="15" hidden="false" customHeight="false" outlineLevel="0" collapsed="false">
      <c r="A303" s="0" t="s">
        <v>209</v>
      </c>
      <c r="B303" s="0" t="s">
        <v>447</v>
      </c>
      <c r="C303" s="0" t="s">
        <v>127</v>
      </c>
      <c r="D303" s="0" t="n">
        <v>2015</v>
      </c>
      <c r="E303" s="59" t="n">
        <v>7177515</v>
      </c>
      <c r="F303" s="60" t="n">
        <v>48.71</v>
      </c>
      <c r="G303" s="61" t="n">
        <v>22.53</v>
      </c>
      <c r="H303" s="61" t="n">
        <v>1.86</v>
      </c>
      <c r="I303" s="61" t="n">
        <v>0.19</v>
      </c>
      <c r="J303" s="61" t="n">
        <v>15.38</v>
      </c>
      <c r="K303" s="61" t="n">
        <v>5.65</v>
      </c>
      <c r="L303" s="61" t="n">
        <v>1.38</v>
      </c>
      <c r="M303" s="61" t="n">
        <v>1.45</v>
      </c>
      <c r="N303" s="61" t="n">
        <v>0.27</v>
      </c>
      <c r="O303" s="61" t="n">
        <v>0</v>
      </c>
      <c r="P303" s="62" t="n">
        <v>494.6</v>
      </c>
      <c r="Q303" s="0" t="n">
        <v>0</v>
      </c>
      <c r="R303" s="60" t="n">
        <f aca="false">G303+H303+I303</f>
        <v>24.58</v>
      </c>
      <c r="S303" s="60" t="n">
        <f aca="false">K303+L303+M303+N303+O303</f>
        <v>8.75</v>
      </c>
      <c r="T303" s="60" t="n">
        <f aca="false">L303+M303</f>
        <v>2.83</v>
      </c>
      <c r="U303" s="60" t="n">
        <f aca="false">S303+J303</f>
        <v>24.13</v>
      </c>
      <c r="V303" s="63" t="n">
        <f aca="false">IFERROR(S303/F303,0)</f>
        <v>0.179634571956477</v>
      </c>
      <c r="W303" s="63" t="n">
        <f aca="false">IFERROR(R303/F303,0)</f>
        <v>0.504619174707452</v>
      </c>
      <c r="X303" s="63" t="n">
        <f aca="false">IFERROR(T303/F303,0)</f>
        <v>0.0580989529870663</v>
      </c>
      <c r="Y303" s="63" t="n">
        <f aca="false">IFERROR(G303/F303,0)</f>
        <v>0.462533360706221</v>
      </c>
      <c r="Z303" s="59" t="n">
        <f aca="false">IF(E303&gt;0,F303*1000000000/E303,"")</f>
        <v>6786.47136230297</v>
      </c>
      <c r="AA303" s="63" t="n">
        <f aca="false">IFERROR((R303+S303+J303)/F303,0)</f>
        <v>1</v>
      </c>
      <c r="AB303" s="0" t="str">
        <f aca="false">A303&amp;"|"&amp;D303</f>
        <v>Bulgaria|2015</v>
      </c>
    </row>
    <row r="304" customFormat="false" ht="15" hidden="false" customHeight="false" outlineLevel="0" collapsed="false">
      <c r="A304" s="0" t="s">
        <v>209</v>
      </c>
      <c r="B304" s="0" t="s">
        <v>447</v>
      </c>
      <c r="C304" s="0" t="s">
        <v>127</v>
      </c>
      <c r="D304" s="0" t="n">
        <v>2016</v>
      </c>
      <c r="E304" s="59" t="n">
        <v>7127436</v>
      </c>
      <c r="F304" s="60" t="n">
        <v>44.53</v>
      </c>
      <c r="G304" s="61" t="n">
        <v>19.37</v>
      </c>
      <c r="H304" s="61" t="n">
        <v>2.05</v>
      </c>
      <c r="I304" s="61" t="n">
        <v>0.29</v>
      </c>
      <c r="J304" s="61" t="n">
        <v>15.78</v>
      </c>
      <c r="K304" s="61" t="n">
        <v>3.88</v>
      </c>
      <c r="L304" s="61" t="n">
        <v>1.39</v>
      </c>
      <c r="M304" s="61" t="n">
        <v>1.42</v>
      </c>
      <c r="N304" s="61" t="n">
        <v>0.35</v>
      </c>
      <c r="O304" s="61" t="n">
        <v>0</v>
      </c>
      <c r="P304" s="62" t="n">
        <v>472</v>
      </c>
      <c r="Q304" s="0" t="n">
        <v>0</v>
      </c>
      <c r="R304" s="60" t="n">
        <f aca="false">G304+H304+I304</f>
        <v>21.71</v>
      </c>
      <c r="S304" s="60" t="n">
        <f aca="false">K304+L304+M304+N304+O304</f>
        <v>7.04</v>
      </c>
      <c r="T304" s="60" t="n">
        <f aca="false">L304+M304</f>
        <v>2.81</v>
      </c>
      <c r="U304" s="60" t="n">
        <f aca="false">S304+J304</f>
        <v>22.82</v>
      </c>
      <c r="V304" s="63" t="n">
        <f aca="false">IFERROR(S304/F304,0)</f>
        <v>0.158095665843252</v>
      </c>
      <c r="W304" s="63" t="n">
        <f aca="false">IFERROR(R304/F304,0)</f>
        <v>0.487536492252414</v>
      </c>
      <c r="X304" s="63" t="n">
        <f aca="false">IFERROR(T304/F304,0)</f>
        <v>0.0631035257130025</v>
      </c>
      <c r="Y304" s="63" t="n">
        <f aca="false">IFERROR(G304/F304,0)</f>
        <v>0.434987648776106</v>
      </c>
      <c r="Z304" s="59" t="n">
        <f aca="false">IF(E304&gt;0,F304*1000000000/E304,"")</f>
        <v>6247.68850958465</v>
      </c>
      <c r="AA304" s="63" t="n">
        <f aca="false">IFERROR((R304+S304+J304)/F304,0)</f>
        <v>1</v>
      </c>
      <c r="AB304" s="0" t="str">
        <f aca="false">A304&amp;"|"&amp;D304</f>
        <v>Bulgaria|2016</v>
      </c>
    </row>
    <row r="305" customFormat="false" ht="15" hidden="false" customHeight="false" outlineLevel="0" collapsed="false">
      <c r="A305" s="0" t="s">
        <v>209</v>
      </c>
      <c r="B305" s="0" t="s">
        <v>447</v>
      </c>
      <c r="C305" s="0" t="s">
        <v>127</v>
      </c>
      <c r="D305" s="0" t="n">
        <v>2017</v>
      </c>
      <c r="E305" s="59" t="n">
        <v>7075642</v>
      </c>
      <c r="F305" s="60" t="n">
        <v>44.84</v>
      </c>
      <c r="G305" s="61" t="n">
        <v>20.92</v>
      </c>
      <c r="H305" s="61" t="n">
        <v>1.93</v>
      </c>
      <c r="I305" s="61" t="n">
        <v>0.31</v>
      </c>
      <c r="J305" s="61" t="n">
        <v>15.55</v>
      </c>
      <c r="K305" s="61" t="n">
        <v>2.83</v>
      </c>
      <c r="L305" s="61" t="n">
        <v>1.4</v>
      </c>
      <c r="M305" s="61" t="n">
        <v>1.5</v>
      </c>
      <c r="N305" s="61" t="n">
        <v>0.4</v>
      </c>
      <c r="O305" s="61" t="n">
        <v>0</v>
      </c>
      <c r="P305" s="62" t="n">
        <v>502.9</v>
      </c>
      <c r="Q305" s="0" t="n">
        <v>0</v>
      </c>
      <c r="R305" s="60" t="n">
        <f aca="false">G305+H305+I305</f>
        <v>23.16</v>
      </c>
      <c r="S305" s="60" t="n">
        <f aca="false">K305+L305+M305+N305+O305</f>
        <v>6.13</v>
      </c>
      <c r="T305" s="60" t="n">
        <f aca="false">L305+M305</f>
        <v>2.9</v>
      </c>
      <c r="U305" s="60" t="n">
        <f aca="false">S305+J305</f>
        <v>21.68</v>
      </c>
      <c r="V305" s="63" t="n">
        <f aca="false">IFERROR(S305/F305,0)</f>
        <v>0.136708296164139</v>
      </c>
      <c r="W305" s="63" t="n">
        <f aca="false">IFERROR(R305/F305,0)</f>
        <v>0.51650312221231</v>
      </c>
      <c r="X305" s="63" t="n">
        <f aca="false">IFERROR(T305/F305,0)</f>
        <v>0.0646743978590544</v>
      </c>
      <c r="Y305" s="63" t="n">
        <f aca="false">IFERROR(G305/F305,0)</f>
        <v>0.466547725245317</v>
      </c>
      <c r="Z305" s="59" t="n">
        <f aca="false">IF(E305&gt;0,F305*1000000000/E305,"")</f>
        <v>6337.23413366589</v>
      </c>
      <c r="AA305" s="63" t="n">
        <f aca="false">IFERROR((R305+S305+J305)/F305,0)</f>
        <v>1</v>
      </c>
      <c r="AB305" s="0" t="str">
        <f aca="false">A305&amp;"|"&amp;D305</f>
        <v>Bulgaria|2017</v>
      </c>
    </row>
    <row r="306" customFormat="false" ht="15" hidden="false" customHeight="false" outlineLevel="0" collapsed="false">
      <c r="A306" s="0" t="s">
        <v>209</v>
      </c>
      <c r="B306" s="0" t="s">
        <v>447</v>
      </c>
      <c r="C306" s="0" t="s">
        <v>127</v>
      </c>
      <c r="D306" s="0" t="n">
        <v>2018</v>
      </c>
      <c r="E306" s="59" t="n">
        <v>7024745</v>
      </c>
      <c r="F306" s="60" t="n">
        <v>46.51</v>
      </c>
      <c r="G306" s="61" t="n">
        <v>18.66</v>
      </c>
      <c r="H306" s="61" t="n">
        <v>2.02</v>
      </c>
      <c r="I306" s="61" t="n">
        <v>0.32</v>
      </c>
      <c r="J306" s="61" t="n">
        <v>16.13</v>
      </c>
      <c r="K306" s="61" t="n">
        <v>5.15</v>
      </c>
      <c r="L306" s="61" t="n">
        <v>1.34</v>
      </c>
      <c r="M306" s="61" t="n">
        <v>1.32</v>
      </c>
      <c r="N306" s="61" t="n">
        <v>1.57</v>
      </c>
      <c r="O306" s="61" t="n">
        <v>0</v>
      </c>
      <c r="P306" s="62" t="n">
        <v>442.7</v>
      </c>
      <c r="Q306" s="0" t="n">
        <v>0</v>
      </c>
      <c r="R306" s="60" t="n">
        <f aca="false">G306+H306+I306</f>
        <v>21</v>
      </c>
      <c r="S306" s="60" t="n">
        <f aca="false">K306+L306+M306+N306+O306</f>
        <v>9.38</v>
      </c>
      <c r="T306" s="60" t="n">
        <f aca="false">L306+M306</f>
        <v>2.66</v>
      </c>
      <c r="U306" s="60" t="n">
        <f aca="false">S306+J306</f>
        <v>25.51</v>
      </c>
      <c r="V306" s="63" t="n">
        <f aca="false">IFERROR(S306/F306,0)</f>
        <v>0.201677058697054</v>
      </c>
      <c r="W306" s="63" t="n">
        <f aca="false">IFERROR(R306/F306,0)</f>
        <v>0.451515803053107</v>
      </c>
      <c r="X306" s="63" t="n">
        <f aca="false">IFERROR(T306/F306,0)</f>
        <v>0.0571920017200602</v>
      </c>
      <c r="Y306" s="63" t="n">
        <f aca="false">IFERROR(G306/F306,0)</f>
        <v>0.401204042141475</v>
      </c>
      <c r="Z306" s="59" t="n">
        <f aca="false">IF(E306&gt;0,F306*1000000000/E306,"")</f>
        <v>6620.88090030314</v>
      </c>
      <c r="AA306" s="63" t="n">
        <f aca="false">IFERROR((R306+S306+J306)/F306,0)</f>
        <v>1</v>
      </c>
      <c r="AB306" s="0" t="str">
        <f aca="false">A306&amp;"|"&amp;D306</f>
        <v>Bulgaria|2018</v>
      </c>
    </row>
    <row r="307" customFormat="false" ht="15" hidden="false" customHeight="false" outlineLevel="0" collapsed="false">
      <c r="A307" s="0" t="s">
        <v>209</v>
      </c>
      <c r="B307" s="0" t="s">
        <v>447</v>
      </c>
      <c r="C307" s="0" t="s">
        <v>127</v>
      </c>
      <c r="D307" s="0" t="n">
        <v>2019</v>
      </c>
      <c r="E307" s="59" t="n">
        <v>6975466</v>
      </c>
      <c r="F307" s="60" t="n">
        <v>43.72</v>
      </c>
      <c r="G307" s="61" t="n">
        <v>17.2</v>
      </c>
      <c r="H307" s="61" t="n">
        <v>2.15</v>
      </c>
      <c r="I307" s="61" t="n">
        <v>0.32</v>
      </c>
      <c r="J307" s="61" t="n">
        <v>16.56</v>
      </c>
      <c r="K307" s="61" t="n">
        <v>2.93</v>
      </c>
      <c r="L307" s="61" t="n">
        <v>1.42</v>
      </c>
      <c r="M307" s="61" t="n">
        <v>1.32</v>
      </c>
      <c r="N307" s="61" t="n">
        <v>1.82</v>
      </c>
      <c r="O307" s="61" t="n">
        <v>0</v>
      </c>
      <c r="P307" s="62" t="n">
        <v>438.7</v>
      </c>
      <c r="Q307" s="0" t="n">
        <v>0</v>
      </c>
      <c r="R307" s="60" t="n">
        <f aca="false">G307+H307+I307</f>
        <v>19.67</v>
      </c>
      <c r="S307" s="60" t="n">
        <f aca="false">K307+L307+M307+N307+O307</f>
        <v>7.49</v>
      </c>
      <c r="T307" s="60" t="n">
        <f aca="false">L307+M307</f>
        <v>2.74</v>
      </c>
      <c r="U307" s="60" t="n">
        <f aca="false">S307+J307</f>
        <v>24.05</v>
      </c>
      <c r="V307" s="63" t="n">
        <f aca="false">IFERROR(S307/F307,0)</f>
        <v>0.17131747483989</v>
      </c>
      <c r="W307" s="63" t="n">
        <f aca="false">IFERROR(R307/F307,0)</f>
        <v>0.449908508691674</v>
      </c>
      <c r="X307" s="63" t="n">
        <f aca="false">IFERROR(T307/F307,0)</f>
        <v>0.0626715462031107</v>
      </c>
      <c r="Y307" s="63" t="n">
        <f aca="false">IFERROR(G307/F307,0)</f>
        <v>0.393412625800549</v>
      </c>
      <c r="Z307" s="59" t="n">
        <f aca="false">IF(E307&gt;0,F307*1000000000/E307,"")</f>
        <v>6267.68161438963</v>
      </c>
      <c r="AA307" s="63" t="n">
        <f aca="false">IFERROR((R307+S307+J307)/F307,0)</f>
        <v>1</v>
      </c>
      <c r="AB307" s="0" t="str">
        <f aca="false">A307&amp;"|"&amp;D307</f>
        <v>Bulgaria|2019</v>
      </c>
    </row>
    <row r="308" customFormat="false" ht="15" hidden="false" customHeight="false" outlineLevel="0" collapsed="false">
      <c r="A308" s="0" t="s">
        <v>209</v>
      </c>
      <c r="B308" s="0" t="s">
        <v>447</v>
      </c>
      <c r="C308" s="0" t="s">
        <v>127</v>
      </c>
      <c r="D308" s="0" t="n">
        <v>2020</v>
      </c>
      <c r="E308" s="59" t="n">
        <v>6933656</v>
      </c>
      <c r="F308" s="60" t="n">
        <v>40.14</v>
      </c>
      <c r="G308" s="61" t="n">
        <v>13.51</v>
      </c>
      <c r="H308" s="61" t="n">
        <v>2.29</v>
      </c>
      <c r="I308" s="61" t="n">
        <v>0.24</v>
      </c>
      <c r="J308" s="61" t="n">
        <v>16.63</v>
      </c>
      <c r="K308" s="61" t="n">
        <v>2.82</v>
      </c>
      <c r="L308" s="61" t="n">
        <v>1.47</v>
      </c>
      <c r="M308" s="61" t="n">
        <v>1.48</v>
      </c>
      <c r="N308" s="61" t="n">
        <v>1.7</v>
      </c>
      <c r="O308" s="61" t="n">
        <v>0</v>
      </c>
      <c r="P308" s="62" t="n">
        <v>383.9</v>
      </c>
      <c r="Q308" s="0" t="n">
        <v>0</v>
      </c>
      <c r="R308" s="60" t="n">
        <f aca="false">G308+H308+I308</f>
        <v>16.04</v>
      </c>
      <c r="S308" s="60" t="n">
        <f aca="false">K308+L308+M308+N308+O308</f>
        <v>7.47</v>
      </c>
      <c r="T308" s="60" t="n">
        <f aca="false">L308+M308</f>
        <v>2.95</v>
      </c>
      <c r="U308" s="60" t="n">
        <f aca="false">S308+J308</f>
        <v>24.1</v>
      </c>
      <c r="V308" s="63" t="n">
        <f aca="false">IFERROR(S308/F308,0)</f>
        <v>0.18609865470852</v>
      </c>
      <c r="W308" s="63" t="n">
        <f aca="false">IFERROR(R308/F308,0)</f>
        <v>0.39960139511709</v>
      </c>
      <c r="X308" s="63" t="n">
        <f aca="false">IFERROR(T308/F308,0)</f>
        <v>0.0734927752864973</v>
      </c>
      <c r="Y308" s="63" t="n">
        <f aca="false">IFERROR(G308/F308,0)</f>
        <v>0.336571998006976</v>
      </c>
      <c r="Z308" s="59" t="n">
        <f aca="false">IF(E308&gt;0,F308*1000000000/E308,"")</f>
        <v>5789.1536586182</v>
      </c>
      <c r="AA308" s="63" t="n">
        <f aca="false">IFERROR((R308+S308+J308)/F308,0)</f>
        <v>1</v>
      </c>
      <c r="AB308" s="0" t="str">
        <f aca="false">A308&amp;"|"&amp;D308</f>
        <v>Bulgaria|2020</v>
      </c>
    </row>
    <row r="309" customFormat="false" ht="15" hidden="false" customHeight="false" outlineLevel="0" collapsed="false">
      <c r="A309" s="0" t="s">
        <v>209</v>
      </c>
      <c r="B309" s="0" t="s">
        <v>447</v>
      </c>
      <c r="C309" s="0" t="s">
        <v>127</v>
      </c>
      <c r="D309" s="0" t="n">
        <v>2021</v>
      </c>
      <c r="E309" s="59" t="n">
        <v>6877222</v>
      </c>
      <c r="F309" s="60" t="n">
        <v>47.22</v>
      </c>
      <c r="G309" s="61" t="n">
        <v>17.09</v>
      </c>
      <c r="H309" s="61" t="n">
        <v>3.05</v>
      </c>
      <c r="I309" s="61" t="n">
        <v>0.28</v>
      </c>
      <c r="J309" s="61" t="n">
        <v>16.49</v>
      </c>
      <c r="K309" s="61" t="n">
        <v>4.82</v>
      </c>
      <c r="L309" s="61" t="n">
        <v>1.47</v>
      </c>
      <c r="M309" s="61" t="n">
        <v>1.43</v>
      </c>
      <c r="N309" s="61" t="n">
        <v>2.59</v>
      </c>
      <c r="O309" s="61" t="n">
        <v>0</v>
      </c>
      <c r="P309" s="62" t="n">
        <v>415.3</v>
      </c>
      <c r="Q309" s="0" t="n">
        <v>0</v>
      </c>
      <c r="R309" s="60" t="n">
        <f aca="false">G309+H309+I309</f>
        <v>20.42</v>
      </c>
      <c r="S309" s="60" t="n">
        <f aca="false">K309+L309+M309+N309+O309</f>
        <v>10.31</v>
      </c>
      <c r="T309" s="60" t="n">
        <f aca="false">L309+M309</f>
        <v>2.9</v>
      </c>
      <c r="U309" s="60" t="n">
        <f aca="false">S309+J309</f>
        <v>26.8</v>
      </c>
      <c r="V309" s="63" t="n">
        <f aca="false">IFERROR(S309/F309,0)</f>
        <v>0.218339686573486</v>
      </c>
      <c r="W309" s="63" t="n">
        <f aca="false">IFERROR(R309/F309,0)</f>
        <v>0.432443879711987</v>
      </c>
      <c r="X309" s="63" t="n">
        <f aca="false">IFERROR(T309/F309,0)</f>
        <v>0.0614146548072851</v>
      </c>
      <c r="Y309" s="63" t="n">
        <f aca="false">IFERROR(G309/F309,0)</f>
        <v>0.361922914019483</v>
      </c>
      <c r="Z309" s="59" t="n">
        <f aca="false">IF(E309&gt;0,F309*1000000000/E309,"")</f>
        <v>6866.14449846173</v>
      </c>
      <c r="AA309" s="63" t="n">
        <f aca="false">IFERROR((R309+S309+J309)/F309,0)</f>
        <v>1</v>
      </c>
      <c r="AB309" s="0" t="str">
        <f aca="false">A309&amp;"|"&amp;D309</f>
        <v>Bulgaria|2021</v>
      </c>
    </row>
    <row r="310" customFormat="false" ht="15" hidden="false" customHeight="false" outlineLevel="0" collapsed="false">
      <c r="A310" s="0" t="s">
        <v>209</v>
      </c>
      <c r="B310" s="0" t="s">
        <v>447</v>
      </c>
      <c r="C310" s="0" t="s">
        <v>127</v>
      </c>
      <c r="D310" s="0" t="n">
        <v>2022</v>
      </c>
      <c r="E310" s="59" t="n">
        <v>6825862</v>
      </c>
      <c r="F310" s="60" t="n">
        <v>50.28</v>
      </c>
      <c r="G310" s="61" t="n">
        <v>21.79</v>
      </c>
      <c r="H310" s="61" t="n">
        <v>2.05</v>
      </c>
      <c r="I310" s="61" t="n">
        <v>0.35</v>
      </c>
      <c r="J310" s="61" t="n">
        <v>16.46</v>
      </c>
      <c r="K310" s="61" t="n">
        <v>3.8</v>
      </c>
      <c r="L310" s="61" t="n">
        <v>2.09</v>
      </c>
      <c r="M310" s="61" t="n">
        <v>1.5</v>
      </c>
      <c r="N310" s="61" t="n">
        <v>2.24</v>
      </c>
      <c r="O310" s="61" t="n">
        <v>0</v>
      </c>
      <c r="P310" s="62" t="n">
        <v>476.3</v>
      </c>
      <c r="Q310" s="0" t="n">
        <v>0</v>
      </c>
      <c r="R310" s="60" t="n">
        <f aca="false">G310+H310+I310</f>
        <v>24.19</v>
      </c>
      <c r="S310" s="60" t="n">
        <f aca="false">K310+L310+M310+N310+O310</f>
        <v>9.63</v>
      </c>
      <c r="T310" s="60" t="n">
        <f aca="false">L310+M310</f>
        <v>3.59</v>
      </c>
      <c r="U310" s="60" t="n">
        <f aca="false">S310+J310</f>
        <v>26.09</v>
      </c>
      <c r="V310" s="63" t="n">
        <f aca="false">IFERROR(S310/F310,0)</f>
        <v>0.191527446300716</v>
      </c>
      <c r="W310" s="63" t="n">
        <f aca="false">IFERROR(R310/F310,0)</f>
        <v>0.481105807478123</v>
      </c>
      <c r="X310" s="63" t="n">
        <f aca="false">IFERROR(T310/F310,0)</f>
        <v>0.0714001591089897</v>
      </c>
      <c r="Y310" s="63" t="n">
        <f aca="false">IFERROR(G310/F310,0)</f>
        <v>0.433373110580748</v>
      </c>
      <c r="Z310" s="59" t="n">
        <f aca="false">IF(E310&gt;0,F310*1000000000/E310,"")</f>
        <v>7366.10262557315</v>
      </c>
      <c r="AA310" s="63" t="n">
        <f aca="false">IFERROR((R310+S310+J310)/F310,0)</f>
        <v>1</v>
      </c>
      <c r="AB310" s="0" t="str">
        <f aca="false">A310&amp;"|"&amp;D310</f>
        <v>Bulgaria|2022</v>
      </c>
    </row>
    <row r="311" customFormat="false" ht="15" hidden="false" customHeight="false" outlineLevel="0" collapsed="false">
      <c r="A311" s="0" t="s">
        <v>209</v>
      </c>
      <c r="B311" s="0" t="s">
        <v>447</v>
      </c>
      <c r="C311" s="0" t="s">
        <v>127</v>
      </c>
      <c r="D311" s="0" t="n">
        <v>2023</v>
      </c>
      <c r="E311" s="59" t="n">
        <v>6795805</v>
      </c>
      <c r="F311" s="60" t="n">
        <v>40.08</v>
      </c>
      <c r="G311" s="61" t="n">
        <v>11.73</v>
      </c>
      <c r="H311" s="61" t="n">
        <v>1.94</v>
      </c>
      <c r="I311" s="61" t="n">
        <v>0.2</v>
      </c>
      <c r="J311" s="61" t="n">
        <v>16.16</v>
      </c>
      <c r="K311" s="61" t="n">
        <v>3.08</v>
      </c>
      <c r="L311" s="61" t="n">
        <v>3.52</v>
      </c>
      <c r="M311" s="61" t="n">
        <v>1.58</v>
      </c>
      <c r="N311" s="61" t="n">
        <v>1.87</v>
      </c>
      <c r="O311" s="61" t="n">
        <v>0</v>
      </c>
      <c r="P311" s="62" t="n">
        <v>338.3</v>
      </c>
      <c r="Q311" s="0" t="n">
        <v>0</v>
      </c>
      <c r="R311" s="60" t="n">
        <f aca="false">G311+H311+I311</f>
        <v>13.87</v>
      </c>
      <c r="S311" s="60" t="n">
        <f aca="false">K311+L311+M311+N311+O311</f>
        <v>10.05</v>
      </c>
      <c r="T311" s="60" t="n">
        <f aca="false">L311+M311</f>
        <v>5.1</v>
      </c>
      <c r="U311" s="60" t="n">
        <f aca="false">S311+J311</f>
        <v>26.21</v>
      </c>
      <c r="V311" s="63" t="n">
        <f aca="false">IFERROR(S311/F311,0)</f>
        <v>0.250748502994012</v>
      </c>
      <c r="W311" s="63" t="n">
        <f aca="false">IFERROR(R311/F311,0)</f>
        <v>0.346057884231537</v>
      </c>
      <c r="X311" s="63" t="n">
        <f aca="false">IFERROR(T311/F311,0)</f>
        <v>0.127245508982036</v>
      </c>
      <c r="Y311" s="63" t="n">
        <f aca="false">IFERROR(G311/F311,0)</f>
        <v>0.292664670658683</v>
      </c>
      <c r="Z311" s="59" t="n">
        <f aca="false">IF(E311&gt;0,F311*1000000000/E311,"")</f>
        <v>5897.75604214659</v>
      </c>
      <c r="AA311" s="63" t="n">
        <f aca="false">IFERROR((R311+S311+J311)/F311,0)</f>
        <v>1</v>
      </c>
      <c r="AB311" s="0" t="str">
        <f aca="false">A311&amp;"|"&amp;D311</f>
        <v>Bulgaria|2023</v>
      </c>
    </row>
    <row r="312" customFormat="false" ht="15" hidden="false" customHeight="false" outlineLevel="0" collapsed="false">
      <c r="A312" s="0" t="s">
        <v>209</v>
      </c>
      <c r="B312" s="0" t="s">
        <v>447</v>
      </c>
      <c r="C312" s="0" t="s">
        <v>127</v>
      </c>
      <c r="D312" s="0" t="n">
        <v>2024</v>
      </c>
      <c r="E312" s="59" t="n">
        <v>6757686</v>
      </c>
      <c r="F312" s="60" t="n">
        <v>38.3</v>
      </c>
      <c r="G312" s="61" t="n">
        <v>8.76</v>
      </c>
      <c r="H312" s="61" t="n">
        <v>2.04</v>
      </c>
      <c r="I312" s="61" t="n">
        <v>0.26</v>
      </c>
      <c r="J312" s="61" t="n">
        <v>15.78</v>
      </c>
      <c r="K312" s="61" t="n">
        <v>2.79</v>
      </c>
      <c r="L312" s="61" t="n">
        <v>5.49</v>
      </c>
      <c r="M312" s="61" t="n">
        <v>1.46</v>
      </c>
      <c r="N312" s="61" t="n">
        <v>1.72</v>
      </c>
      <c r="O312" s="61" t="n">
        <v>0</v>
      </c>
      <c r="P312" s="62" t="n">
        <v>278.9</v>
      </c>
      <c r="Q312" s="0" t="n">
        <v>0</v>
      </c>
      <c r="R312" s="60" t="n">
        <f aca="false">G312+H312+I312</f>
        <v>11.06</v>
      </c>
      <c r="S312" s="60" t="n">
        <f aca="false">K312+L312+M312+N312+O312</f>
        <v>11.46</v>
      </c>
      <c r="T312" s="60" t="n">
        <f aca="false">L312+M312</f>
        <v>6.95</v>
      </c>
      <c r="U312" s="60" t="n">
        <f aca="false">S312+J312</f>
        <v>27.24</v>
      </c>
      <c r="V312" s="63" t="n">
        <f aca="false">IFERROR(S312/F312,0)</f>
        <v>0.299216710182768</v>
      </c>
      <c r="W312" s="63" t="n">
        <f aca="false">IFERROR(R312/F312,0)</f>
        <v>0.288772845953003</v>
      </c>
      <c r="X312" s="63" t="n">
        <f aca="false">IFERROR(T312/F312,0)</f>
        <v>0.181462140992167</v>
      </c>
      <c r="Y312" s="63" t="n">
        <f aca="false">IFERROR(G312/F312,0)</f>
        <v>0.228720626631854</v>
      </c>
      <c r="Z312" s="59" t="n">
        <f aca="false">IF(E312&gt;0,F312*1000000000/E312,"")</f>
        <v>5667.6205434819</v>
      </c>
      <c r="AA312" s="63" t="n">
        <f aca="false">IFERROR((R312+S312+J312)/F312,0)</f>
        <v>1</v>
      </c>
      <c r="AB312" s="0" t="str">
        <f aca="false">A312&amp;"|"&amp;D312</f>
        <v>Bulgaria|2024</v>
      </c>
    </row>
    <row r="313" customFormat="false" ht="15" hidden="false" customHeight="false" outlineLevel="0" collapsed="false">
      <c r="A313" s="0" t="s">
        <v>209</v>
      </c>
      <c r="B313" s="0" t="s">
        <v>447</v>
      </c>
      <c r="C313" s="0" t="s">
        <v>127</v>
      </c>
      <c r="D313" s="0" t="n">
        <v>2025</v>
      </c>
      <c r="E313" s="59" t="n">
        <v>6714556</v>
      </c>
      <c r="F313" s="60" t="n">
        <v>37.96</v>
      </c>
      <c r="G313" s="61" t="n">
        <v>8.55</v>
      </c>
      <c r="H313" s="61" t="n">
        <v>1.85</v>
      </c>
      <c r="I313" s="61" t="n">
        <v>0.26</v>
      </c>
      <c r="J313" s="61" t="n">
        <v>14.85</v>
      </c>
      <c r="K313" s="61" t="n">
        <v>2.53</v>
      </c>
      <c r="L313" s="61" t="n">
        <v>6.89</v>
      </c>
      <c r="M313" s="61" t="n">
        <v>1.32</v>
      </c>
      <c r="N313" s="61" t="n">
        <v>1.71</v>
      </c>
      <c r="O313" s="61" t="n">
        <v>0</v>
      </c>
      <c r="P313" s="62" t="n">
        <v>275.6</v>
      </c>
      <c r="Q313" s="0" t="n">
        <v>0</v>
      </c>
      <c r="R313" s="60" t="n">
        <f aca="false">G313+H313+I313</f>
        <v>10.66</v>
      </c>
      <c r="S313" s="60" t="n">
        <f aca="false">K313+L313+M313+N313+O313</f>
        <v>12.45</v>
      </c>
      <c r="T313" s="60" t="n">
        <f aca="false">L313+M313</f>
        <v>8.21</v>
      </c>
      <c r="U313" s="60" t="n">
        <f aca="false">S313+J313</f>
        <v>27.3</v>
      </c>
      <c r="V313" s="63" t="n">
        <f aca="false">IFERROR(S313/F313,0)</f>
        <v>0.327976817702845</v>
      </c>
      <c r="W313" s="63" t="n">
        <f aca="false">IFERROR(R313/F313,0)</f>
        <v>0.280821917808219</v>
      </c>
      <c r="X313" s="63" t="n">
        <f aca="false">IFERROR(T313/F313,0)</f>
        <v>0.216280295047418</v>
      </c>
      <c r="Y313" s="63" t="n">
        <f aca="false">IFERROR(G313/F313,0)</f>
        <v>0.225237091675448</v>
      </c>
      <c r="Z313" s="59" t="n">
        <f aca="false">IF(E313&gt;0,F313*1000000000/E313,"")</f>
        <v>5653.38944228032</v>
      </c>
      <c r="AA313" s="63" t="n">
        <f aca="false">IFERROR((R313+S313+J313)/F313,0)</f>
        <v>1</v>
      </c>
      <c r="AB313" s="0" t="str">
        <f aca="false">A313&amp;"|"&amp;D313</f>
        <v>Bulgaria|2025</v>
      </c>
    </row>
    <row r="314" customFormat="false" ht="15" hidden="false" customHeight="false" outlineLevel="0" collapsed="false">
      <c r="A314" s="0" t="s">
        <v>210</v>
      </c>
      <c r="B314" s="0" t="s">
        <v>448</v>
      </c>
      <c r="C314" s="0" t="s">
        <v>127</v>
      </c>
      <c r="D314" s="0" t="n">
        <v>2015</v>
      </c>
      <c r="E314" s="59" t="n">
        <v>18777488</v>
      </c>
      <c r="F314" s="60" t="n">
        <v>1.01</v>
      </c>
      <c r="G314" s="61" t="n">
        <v>0</v>
      </c>
      <c r="H314" s="61" t="n">
        <v>0</v>
      </c>
      <c r="I314" s="61" t="n">
        <v>0.91</v>
      </c>
      <c r="J314" s="61" t="n">
        <v>0</v>
      </c>
      <c r="K314" s="61" t="n">
        <v>0.09</v>
      </c>
      <c r="L314" s="61" t="n">
        <v>0.01</v>
      </c>
      <c r="M314" s="61" t="n">
        <v>0</v>
      </c>
      <c r="N314" s="61" t="n">
        <v>0</v>
      </c>
      <c r="O314" s="61" t="n">
        <v>0</v>
      </c>
      <c r="P314" s="62" t="n">
        <v>594.1</v>
      </c>
      <c r="Q314" s="0" t="n">
        <v>0</v>
      </c>
      <c r="R314" s="60" t="n">
        <f aca="false">G314+H314+I314</f>
        <v>0.91</v>
      </c>
      <c r="S314" s="60" t="n">
        <f aca="false">K314+L314+M314+N314+O314</f>
        <v>0.1</v>
      </c>
      <c r="T314" s="60" t="n">
        <f aca="false">L314+M314</f>
        <v>0.01</v>
      </c>
      <c r="U314" s="60" t="n">
        <f aca="false">S314+J314</f>
        <v>0.1</v>
      </c>
      <c r="V314" s="63" t="n">
        <f aca="false">IFERROR(S314/F314,0)</f>
        <v>0.099009900990099</v>
      </c>
      <c r="W314" s="63" t="n">
        <f aca="false">IFERROR(R314/F314,0)</f>
        <v>0.900990099009901</v>
      </c>
      <c r="X314" s="63" t="n">
        <f aca="false">IFERROR(T314/F314,0)</f>
        <v>0.0099009900990099</v>
      </c>
      <c r="Y314" s="63" t="n">
        <f aca="false">IFERROR(G314/F314,0)</f>
        <v>0</v>
      </c>
      <c r="Z314" s="59" t="n">
        <f aca="false">IF(E314&gt;0,F314*1000000000/E314,"")</f>
        <v>53.787812299494</v>
      </c>
      <c r="AA314" s="63" t="n">
        <f aca="false">IFERROR((R314+S314+J314)/F314,0)</f>
        <v>1</v>
      </c>
      <c r="AB314" s="0" t="str">
        <f aca="false">A314&amp;"|"&amp;D314</f>
        <v>Burkina Faso|2015</v>
      </c>
    </row>
    <row r="315" customFormat="false" ht="15" hidden="false" customHeight="false" outlineLevel="0" collapsed="false">
      <c r="A315" s="0" t="s">
        <v>210</v>
      </c>
      <c r="B315" s="0" t="s">
        <v>448</v>
      </c>
      <c r="C315" s="0" t="s">
        <v>127</v>
      </c>
      <c r="D315" s="0" t="n">
        <v>2016</v>
      </c>
      <c r="E315" s="59" t="n">
        <v>19334854</v>
      </c>
      <c r="F315" s="60" t="n">
        <v>0.99</v>
      </c>
      <c r="G315" s="61" t="n">
        <v>0</v>
      </c>
      <c r="H315" s="61" t="n">
        <v>0</v>
      </c>
      <c r="I315" s="61" t="n">
        <v>0.83</v>
      </c>
      <c r="J315" s="61" t="n">
        <v>0</v>
      </c>
      <c r="K315" s="61" t="n">
        <v>0.14</v>
      </c>
      <c r="L315" s="61" t="n">
        <v>0.02</v>
      </c>
      <c r="M315" s="61" t="n">
        <v>0</v>
      </c>
      <c r="N315" s="61" t="n">
        <v>0</v>
      </c>
      <c r="O315" s="61" t="n">
        <v>0</v>
      </c>
      <c r="P315" s="62" t="n">
        <v>555.6</v>
      </c>
      <c r="Q315" s="0" t="n">
        <v>0</v>
      </c>
      <c r="R315" s="60" t="n">
        <f aca="false">G315+H315+I315</f>
        <v>0.83</v>
      </c>
      <c r="S315" s="60" t="n">
        <f aca="false">K315+L315+M315+N315+O315</f>
        <v>0.16</v>
      </c>
      <c r="T315" s="60" t="n">
        <f aca="false">L315+M315</f>
        <v>0.02</v>
      </c>
      <c r="U315" s="60" t="n">
        <f aca="false">S315+J315</f>
        <v>0.16</v>
      </c>
      <c r="V315" s="63" t="n">
        <f aca="false">IFERROR(S315/F315,0)</f>
        <v>0.161616161616162</v>
      </c>
      <c r="W315" s="63" t="n">
        <f aca="false">IFERROR(R315/F315,0)</f>
        <v>0.838383838383838</v>
      </c>
      <c r="X315" s="63" t="n">
        <f aca="false">IFERROR(T315/F315,0)</f>
        <v>0.0202020202020202</v>
      </c>
      <c r="Y315" s="63" t="n">
        <f aca="false">IFERROR(G315/F315,0)</f>
        <v>0</v>
      </c>
      <c r="Z315" s="59" t="n">
        <f aca="false">IF(E315&gt;0,F315*1000000000/E315,"")</f>
        <v>51.2028691812206</v>
      </c>
      <c r="AA315" s="63" t="n">
        <f aca="false">IFERROR((R315+S315+J315)/F315,0)</f>
        <v>1</v>
      </c>
      <c r="AB315" s="0" t="str">
        <f aca="false">A315&amp;"|"&amp;D315</f>
        <v>Burkina Faso|2016</v>
      </c>
    </row>
    <row r="316" customFormat="false" ht="15" hidden="false" customHeight="false" outlineLevel="0" collapsed="false">
      <c r="A316" s="0" t="s">
        <v>210</v>
      </c>
      <c r="B316" s="0" t="s">
        <v>448</v>
      </c>
      <c r="C316" s="0" t="s">
        <v>127</v>
      </c>
      <c r="D316" s="0" t="n">
        <v>2017</v>
      </c>
      <c r="E316" s="59" t="n">
        <v>19894413</v>
      </c>
      <c r="F316" s="60" t="n">
        <v>1.12</v>
      </c>
      <c r="G316" s="61" t="n">
        <v>0</v>
      </c>
      <c r="H316" s="61" t="n">
        <v>0</v>
      </c>
      <c r="I316" s="61" t="n">
        <v>0.96</v>
      </c>
      <c r="J316" s="61" t="n">
        <v>0</v>
      </c>
      <c r="K316" s="61" t="n">
        <v>0.13</v>
      </c>
      <c r="L316" s="61" t="n">
        <v>0.03</v>
      </c>
      <c r="M316" s="61" t="n">
        <v>0</v>
      </c>
      <c r="N316" s="61" t="n">
        <v>0</v>
      </c>
      <c r="O316" s="61" t="n">
        <v>0</v>
      </c>
      <c r="P316" s="62" t="n">
        <v>562.5</v>
      </c>
      <c r="Q316" s="0" t="n">
        <v>0</v>
      </c>
      <c r="R316" s="60" t="n">
        <f aca="false">G316+H316+I316</f>
        <v>0.96</v>
      </c>
      <c r="S316" s="60" t="n">
        <f aca="false">K316+L316+M316+N316+O316</f>
        <v>0.16</v>
      </c>
      <c r="T316" s="60" t="n">
        <f aca="false">L316+M316</f>
        <v>0.03</v>
      </c>
      <c r="U316" s="60" t="n">
        <f aca="false">S316+J316</f>
        <v>0.16</v>
      </c>
      <c r="V316" s="63" t="n">
        <f aca="false">IFERROR(S316/F316,0)</f>
        <v>0.142857142857143</v>
      </c>
      <c r="W316" s="63" t="n">
        <f aca="false">IFERROR(R316/F316,0)</f>
        <v>0.857142857142857</v>
      </c>
      <c r="X316" s="63" t="n">
        <f aca="false">IFERROR(T316/F316,0)</f>
        <v>0.0267857142857143</v>
      </c>
      <c r="Y316" s="63" t="n">
        <f aca="false">IFERROR(G316/F316,0)</f>
        <v>0</v>
      </c>
      <c r="Z316" s="59" t="n">
        <f aca="false">IF(E316&gt;0,F316*1000000000/E316,"")</f>
        <v>56.297212689814</v>
      </c>
      <c r="AA316" s="63" t="n">
        <f aca="false">IFERROR((R316+S316+J316)/F316,0)</f>
        <v>1</v>
      </c>
      <c r="AB316" s="0" t="str">
        <f aca="false">A316&amp;"|"&amp;D316</f>
        <v>Burkina Faso|2017</v>
      </c>
    </row>
    <row r="317" customFormat="false" ht="15" hidden="false" customHeight="false" outlineLevel="0" collapsed="false">
      <c r="A317" s="0" t="s">
        <v>210</v>
      </c>
      <c r="B317" s="0" t="s">
        <v>448</v>
      </c>
      <c r="C317" s="0" t="s">
        <v>127</v>
      </c>
      <c r="D317" s="0" t="n">
        <v>2018</v>
      </c>
      <c r="E317" s="59" t="n">
        <v>20438289</v>
      </c>
      <c r="F317" s="60" t="n">
        <v>1.87</v>
      </c>
      <c r="G317" s="61" t="n">
        <v>0</v>
      </c>
      <c r="H317" s="61" t="n">
        <v>0</v>
      </c>
      <c r="I317" s="61" t="n">
        <v>1.6</v>
      </c>
      <c r="J317" s="61" t="n">
        <v>0</v>
      </c>
      <c r="K317" s="61" t="n">
        <v>0.13</v>
      </c>
      <c r="L317" s="61" t="n">
        <v>0.09</v>
      </c>
      <c r="M317" s="61" t="n">
        <v>0</v>
      </c>
      <c r="N317" s="61" t="n">
        <v>0.05</v>
      </c>
      <c r="O317" s="61" t="n">
        <v>0</v>
      </c>
      <c r="P317" s="62" t="n">
        <v>566.9</v>
      </c>
      <c r="Q317" s="0" t="n">
        <v>0</v>
      </c>
      <c r="R317" s="60" t="n">
        <f aca="false">G317+H317+I317</f>
        <v>1.6</v>
      </c>
      <c r="S317" s="60" t="n">
        <f aca="false">K317+L317+M317+N317+O317</f>
        <v>0.27</v>
      </c>
      <c r="T317" s="60" t="n">
        <f aca="false">L317+M317</f>
        <v>0.09</v>
      </c>
      <c r="U317" s="60" t="n">
        <f aca="false">S317+J317</f>
        <v>0.27</v>
      </c>
      <c r="V317" s="63" t="n">
        <f aca="false">IFERROR(S317/F317,0)</f>
        <v>0.144385026737968</v>
      </c>
      <c r="W317" s="63" t="n">
        <f aca="false">IFERROR(R317/F317,0)</f>
        <v>0.855614973262032</v>
      </c>
      <c r="X317" s="63" t="n">
        <f aca="false">IFERROR(T317/F317,0)</f>
        <v>0.0481283422459893</v>
      </c>
      <c r="Y317" s="63" t="n">
        <f aca="false">IFERROR(G317/F317,0)</f>
        <v>0</v>
      </c>
      <c r="Z317" s="59" t="n">
        <f aca="false">IF(E317&gt;0,F317*1000000000/E317,"")</f>
        <v>91.494938739735</v>
      </c>
      <c r="AA317" s="63" t="n">
        <f aca="false">IFERROR((R317+S317+J317)/F317,0)</f>
        <v>1</v>
      </c>
      <c r="AB317" s="0" t="str">
        <f aca="false">A317&amp;"|"&amp;D317</f>
        <v>Burkina Faso|2018</v>
      </c>
    </row>
    <row r="318" customFormat="false" ht="15" hidden="false" customHeight="false" outlineLevel="0" collapsed="false">
      <c r="A318" s="0" t="s">
        <v>210</v>
      </c>
      <c r="B318" s="0" t="s">
        <v>448</v>
      </c>
      <c r="C318" s="0" t="s">
        <v>127</v>
      </c>
      <c r="D318" s="0" t="n">
        <v>2019</v>
      </c>
      <c r="E318" s="59" t="n">
        <v>20961956</v>
      </c>
      <c r="F318" s="60" t="n">
        <v>1.6</v>
      </c>
      <c r="G318" s="61" t="n">
        <v>0</v>
      </c>
      <c r="H318" s="61" t="n">
        <v>0</v>
      </c>
      <c r="I318" s="61" t="n">
        <v>1.34</v>
      </c>
      <c r="J318" s="61" t="n">
        <v>0</v>
      </c>
      <c r="K318" s="61" t="n">
        <v>0.11</v>
      </c>
      <c r="L318" s="61" t="n">
        <v>0.09</v>
      </c>
      <c r="M318" s="61" t="n">
        <v>0</v>
      </c>
      <c r="N318" s="61" t="n">
        <v>0.06</v>
      </c>
      <c r="O318" s="61" t="n">
        <v>0</v>
      </c>
      <c r="P318" s="62" t="n">
        <v>556.2</v>
      </c>
      <c r="Q318" s="0" t="n">
        <v>0</v>
      </c>
      <c r="R318" s="60" t="n">
        <f aca="false">G318+H318+I318</f>
        <v>1.34</v>
      </c>
      <c r="S318" s="60" t="n">
        <f aca="false">K318+L318+M318+N318+O318</f>
        <v>0.26</v>
      </c>
      <c r="T318" s="60" t="n">
        <f aca="false">L318+M318</f>
        <v>0.09</v>
      </c>
      <c r="U318" s="60" t="n">
        <f aca="false">S318+J318</f>
        <v>0.26</v>
      </c>
      <c r="V318" s="63" t="n">
        <f aca="false">IFERROR(S318/F318,0)</f>
        <v>0.1625</v>
      </c>
      <c r="W318" s="63" t="n">
        <f aca="false">IFERROR(R318/F318,0)</f>
        <v>0.8375</v>
      </c>
      <c r="X318" s="63" t="n">
        <f aca="false">IFERROR(T318/F318,0)</f>
        <v>0.05625</v>
      </c>
      <c r="Y318" s="63" t="n">
        <f aca="false">IFERROR(G318/F318,0)</f>
        <v>0</v>
      </c>
      <c r="Z318" s="59" t="n">
        <f aca="false">IF(E318&gt;0,F318*1000000000/E318,"")</f>
        <v>76.328754816583</v>
      </c>
      <c r="AA318" s="63" t="n">
        <f aca="false">IFERROR((R318+S318+J318)/F318,0)</f>
        <v>1</v>
      </c>
      <c r="AB318" s="0" t="str">
        <f aca="false">A318&amp;"|"&amp;D318</f>
        <v>Burkina Faso|2019</v>
      </c>
    </row>
    <row r="319" customFormat="false" ht="15" hidden="false" customHeight="false" outlineLevel="0" collapsed="false">
      <c r="A319" s="0" t="s">
        <v>210</v>
      </c>
      <c r="B319" s="0" t="s">
        <v>448</v>
      </c>
      <c r="C319" s="0" t="s">
        <v>127</v>
      </c>
      <c r="D319" s="0" t="n">
        <v>2020</v>
      </c>
      <c r="E319" s="59" t="n">
        <v>21478691</v>
      </c>
      <c r="F319" s="60" t="n">
        <v>1.59</v>
      </c>
      <c r="G319" s="61" t="n">
        <v>0</v>
      </c>
      <c r="H319" s="61" t="n">
        <v>0</v>
      </c>
      <c r="I319" s="61" t="n">
        <v>1.29</v>
      </c>
      <c r="J319" s="61" t="n">
        <v>0</v>
      </c>
      <c r="K319" s="61" t="n">
        <v>0.11</v>
      </c>
      <c r="L319" s="61" t="n">
        <v>0.09</v>
      </c>
      <c r="M319" s="61" t="n">
        <v>0</v>
      </c>
      <c r="N319" s="61" t="n">
        <v>0.1</v>
      </c>
      <c r="O319" s="61" t="n">
        <v>0</v>
      </c>
      <c r="P319" s="62" t="n">
        <v>547.2</v>
      </c>
      <c r="Q319" s="0" t="n">
        <v>0</v>
      </c>
      <c r="R319" s="60" t="n">
        <f aca="false">G319+H319+I319</f>
        <v>1.29</v>
      </c>
      <c r="S319" s="60" t="n">
        <f aca="false">K319+L319+M319+N319+O319</f>
        <v>0.3</v>
      </c>
      <c r="T319" s="60" t="n">
        <f aca="false">L319+M319</f>
        <v>0.09</v>
      </c>
      <c r="U319" s="60" t="n">
        <f aca="false">S319+J319</f>
        <v>0.3</v>
      </c>
      <c r="V319" s="63" t="n">
        <f aca="false">IFERROR(S319/F319,0)</f>
        <v>0.188679245283019</v>
      </c>
      <c r="W319" s="63" t="n">
        <f aca="false">IFERROR(R319/F319,0)</f>
        <v>0.811320754716981</v>
      </c>
      <c r="X319" s="63" t="n">
        <f aca="false">IFERROR(T319/F319,0)</f>
        <v>0.0566037735849057</v>
      </c>
      <c r="Y319" s="63" t="n">
        <f aca="false">IFERROR(G319/F319,0)</f>
        <v>0</v>
      </c>
      <c r="Z319" s="59" t="n">
        <f aca="false">IF(E319&gt;0,F319*1000000000/E319,"")</f>
        <v>74.0268575957445</v>
      </c>
      <c r="AA319" s="63" t="n">
        <f aca="false">IFERROR((R319+S319+J319)/F319,0)</f>
        <v>1</v>
      </c>
      <c r="AB319" s="0" t="str">
        <f aca="false">A319&amp;"|"&amp;D319</f>
        <v>Burkina Faso|2020</v>
      </c>
    </row>
    <row r="320" customFormat="false" ht="15" hidden="false" customHeight="false" outlineLevel="0" collapsed="false">
      <c r="A320" s="0" t="s">
        <v>210</v>
      </c>
      <c r="B320" s="0" t="s">
        <v>448</v>
      </c>
      <c r="C320" s="0" t="s">
        <v>127</v>
      </c>
      <c r="D320" s="0" t="n">
        <v>2021</v>
      </c>
      <c r="E320" s="59" t="n">
        <v>21995249</v>
      </c>
      <c r="F320" s="60" t="n">
        <v>1.71</v>
      </c>
      <c r="G320" s="61" t="n">
        <v>0</v>
      </c>
      <c r="H320" s="61" t="n">
        <v>0</v>
      </c>
      <c r="I320" s="61" t="n">
        <v>1.4</v>
      </c>
      <c r="J320" s="61" t="n">
        <v>0</v>
      </c>
      <c r="K320" s="61" t="n">
        <v>0.13</v>
      </c>
      <c r="L320" s="61" t="n">
        <v>0.09</v>
      </c>
      <c r="M320" s="61" t="n">
        <v>0</v>
      </c>
      <c r="N320" s="61" t="n">
        <v>0.09</v>
      </c>
      <c r="O320" s="61" t="n">
        <v>0</v>
      </c>
      <c r="P320" s="62" t="n">
        <v>549.7</v>
      </c>
      <c r="Q320" s="0" t="n">
        <v>0</v>
      </c>
      <c r="R320" s="60" t="n">
        <f aca="false">G320+H320+I320</f>
        <v>1.4</v>
      </c>
      <c r="S320" s="60" t="n">
        <f aca="false">K320+L320+M320+N320+O320</f>
        <v>0.31</v>
      </c>
      <c r="T320" s="60" t="n">
        <f aca="false">L320+M320</f>
        <v>0.09</v>
      </c>
      <c r="U320" s="60" t="n">
        <f aca="false">S320+J320</f>
        <v>0.31</v>
      </c>
      <c r="V320" s="63" t="n">
        <f aca="false">IFERROR(S320/F320,0)</f>
        <v>0.181286549707602</v>
      </c>
      <c r="W320" s="63" t="n">
        <f aca="false">IFERROR(R320/F320,0)</f>
        <v>0.818713450292398</v>
      </c>
      <c r="X320" s="63" t="n">
        <f aca="false">IFERROR(T320/F320,0)</f>
        <v>0.0526315789473684</v>
      </c>
      <c r="Y320" s="63" t="n">
        <f aca="false">IFERROR(G320/F320,0)</f>
        <v>0</v>
      </c>
      <c r="Z320" s="59" t="n">
        <f aca="false">IF(E320&gt;0,F320*1000000000/E320,"")</f>
        <v>77.7440619108245</v>
      </c>
      <c r="AA320" s="63" t="n">
        <f aca="false">IFERROR((R320+S320+J320)/F320,0)</f>
        <v>1</v>
      </c>
      <c r="AB320" s="0" t="str">
        <f aca="false">A320&amp;"|"&amp;D320</f>
        <v>Burkina Faso|2021</v>
      </c>
    </row>
    <row r="321" customFormat="false" ht="15" hidden="false" customHeight="false" outlineLevel="0" collapsed="false">
      <c r="A321" s="0" t="s">
        <v>210</v>
      </c>
      <c r="B321" s="0" t="s">
        <v>448</v>
      </c>
      <c r="C321" s="0" t="s">
        <v>127</v>
      </c>
      <c r="D321" s="0" t="n">
        <v>2022</v>
      </c>
      <c r="E321" s="59" t="n">
        <v>22509038</v>
      </c>
      <c r="F321" s="60" t="n">
        <v>1.69</v>
      </c>
      <c r="G321" s="61" t="n">
        <v>0</v>
      </c>
      <c r="H321" s="61" t="n">
        <v>0</v>
      </c>
      <c r="I321" s="61" t="n">
        <v>1.43</v>
      </c>
      <c r="J321" s="61" t="n">
        <v>0</v>
      </c>
      <c r="K321" s="61" t="n">
        <v>0.08</v>
      </c>
      <c r="L321" s="61" t="n">
        <v>0.09</v>
      </c>
      <c r="M321" s="61" t="n">
        <v>0</v>
      </c>
      <c r="N321" s="61" t="n">
        <v>0.09</v>
      </c>
      <c r="O321" s="61" t="n">
        <v>0</v>
      </c>
      <c r="P321" s="62" t="n">
        <v>568</v>
      </c>
      <c r="Q321" s="0" t="n">
        <v>0</v>
      </c>
      <c r="R321" s="60" t="n">
        <f aca="false">G321+H321+I321</f>
        <v>1.43</v>
      </c>
      <c r="S321" s="60" t="n">
        <f aca="false">K321+L321+M321+N321+O321</f>
        <v>0.26</v>
      </c>
      <c r="T321" s="60" t="n">
        <f aca="false">L321+M321</f>
        <v>0.09</v>
      </c>
      <c r="U321" s="60" t="n">
        <f aca="false">S321+J321</f>
        <v>0.26</v>
      </c>
      <c r="V321" s="63" t="n">
        <f aca="false">IFERROR(S321/F321,0)</f>
        <v>0.153846153846154</v>
      </c>
      <c r="W321" s="63" t="n">
        <f aca="false">IFERROR(R321/F321,0)</f>
        <v>0.846153846153846</v>
      </c>
      <c r="X321" s="63" t="n">
        <f aca="false">IFERROR(T321/F321,0)</f>
        <v>0.0532544378698225</v>
      </c>
      <c r="Y321" s="63" t="n">
        <f aca="false">IFERROR(G321/F321,0)</f>
        <v>0</v>
      </c>
      <c r="Z321" s="59" t="n">
        <f aca="false">IF(E321&gt;0,F321*1000000000/E321,"")</f>
        <v>75.0809519269549</v>
      </c>
      <c r="AA321" s="63" t="n">
        <f aca="false">IFERROR((R321+S321+J321)/F321,0)</f>
        <v>1</v>
      </c>
      <c r="AB321" s="0" t="str">
        <f aca="false">A321&amp;"|"&amp;D321</f>
        <v>Burkina Faso|2022</v>
      </c>
    </row>
    <row r="322" customFormat="false" ht="15" hidden="false" customHeight="false" outlineLevel="0" collapsed="false">
      <c r="A322" s="0" t="s">
        <v>210</v>
      </c>
      <c r="B322" s="0" t="s">
        <v>448</v>
      </c>
      <c r="C322" s="0" t="s">
        <v>127</v>
      </c>
      <c r="D322" s="0" t="n">
        <v>2023</v>
      </c>
      <c r="E322" s="59" t="n">
        <v>23025777</v>
      </c>
      <c r="F322" s="60" t="n">
        <v>1.69</v>
      </c>
      <c r="G322" s="61" t="n">
        <v>0</v>
      </c>
      <c r="H322" s="61" t="n">
        <v>0</v>
      </c>
      <c r="I322" s="61" t="n">
        <v>1.42</v>
      </c>
      <c r="J322" s="61" t="n">
        <v>0</v>
      </c>
      <c r="K322" s="61" t="n">
        <v>0.09</v>
      </c>
      <c r="L322" s="61" t="n">
        <v>0.09</v>
      </c>
      <c r="M322" s="61" t="n">
        <v>0</v>
      </c>
      <c r="N322" s="61" t="n">
        <v>0.09</v>
      </c>
      <c r="O322" s="61" t="n">
        <v>0</v>
      </c>
      <c r="P322" s="62" t="n">
        <v>562.1</v>
      </c>
      <c r="Q322" s="0" t="n">
        <v>0</v>
      </c>
      <c r="R322" s="60" t="n">
        <f aca="false">G322+H322+I322</f>
        <v>1.42</v>
      </c>
      <c r="S322" s="60" t="n">
        <f aca="false">K322+L322+M322+N322+O322</f>
        <v>0.27</v>
      </c>
      <c r="T322" s="60" t="n">
        <f aca="false">L322+M322</f>
        <v>0.09</v>
      </c>
      <c r="U322" s="60" t="n">
        <f aca="false">S322+J322</f>
        <v>0.27</v>
      </c>
      <c r="V322" s="63" t="n">
        <f aca="false">IFERROR(S322/F322,0)</f>
        <v>0.159763313609467</v>
      </c>
      <c r="W322" s="63" t="n">
        <f aca="false">IFERROR(R322/F322,0)</f>
        <v>0.840236686390533</v>
      </c>
      <c r="X322" s="63" t="n">
        <f aca="false">IFERROR(T322/F322,0)</f>
        <v>0.0532544378698225</v>
      </c>
      <c r="Y322" s="63" t="n">
        <f aca="false">IFERROR(G322/F322,0)</f>
        <v>0</v>
      </c>
      <c r="Z322" s="59" t="n">
        <f aca="false">IF(E322&gt;0,F322*1000000000/E322,"")</f>
        <v>73.396003096877</v>
      </c>
      <c r="AA322" s="63" t="n">
        <f aca="false">IFERROR((R322+S322+J322)/F322,0)</f>
        <v>1</v>
      </c>
      <c r="AB322" s="0" t="str">
        <f aca="false">A322&amp;"|"&amp;D322</f>
        <v>Burkina Faso|2023</v>
      </c>
    </row>
    <row r="323" customFormat="false" ht="15" hidden="false" customHeight="false" outlineLevel="0" collapsed="false">
      <c r="A323" s="0" t="s">
        <v>210</v>
      </c>
      <c r="B323" s="0" t="s">
        <v>448</v>
      </c>
      <c r="C323" s="0" t="s">
        <v>127</v>
      </c>
      <c r="D323" s="0" t="n">
        <v>2024</v>
      </c>
      <c r="E323" s="59" t="n">
        <v>23548782</v>
      </c>
      <c r="F323" s="60" t="n">
        <v>1.69</v>
      </c>
      <c r="G323" s="61" t="n">
        <v>0</v>
      </c>
      <c r="H323" s="61" t="n">
        <v>0</v>
      </c>
      <c r="I323" s="61" t="n">
        <v>1.4</v>
      </c>
      <c r="J323" s="61" t="n">
        <v>0</v>
      </c>
      <c r="K323" s="61" t="n">
        <v>0.09</v>
      </c>
      <c r="L323" s="61" t="n">
        <v>0.11</v>
      </c>
      <c r="M323" s="61" t="n">
        <v>0</v>
      </c>
      <c r="N323" s="61" t="n">
        <v>0.09</v>
      </c>
      <c r="O323" s="61" t="n">
        <v>0</v>
      </c>
      <c r="P323" s="62" t="n">
        <v>562.1</v>
      </c>
      <c r="Q323" s="0" t="n">
        <v>0</v>
      </c>
      <c r="R323" s="60" t="n">
        <f aca="false">G323+H323+I323</f>
        <v>1.4</v>
      </c>
      <c r="S323" s="60" t="n">
        <f aca="false">K323+L323+M323+N323+O323</f>
        <v>0.29</v>
      </c>
      <c r="T323" s="60" t="n">
        <f aca="false">L323+M323</f>
        <v>0.11</v>
      </c>
      <c r="U323" s="60" t="n">
        <f aca="false">S323+J323</f>
        <v>0.29</v>
      </c>
      <c r="V323" s="63" t="n">
        <f aca="false">IFERROR(S323/F323,0)</f>
        <v>0.171597633136095</v>
      </c>
      <c r="W323" s="63" t="n">
        <f aca="false">IFERROR(R323/F323,0)</f>
        <v>0.828402366863905</v>
      </c>
      <c r="X323" s="63" t="n">
        <f aca="false">IFERROR(T323/F323,0)</f>
        <v>0.0650887573964497</v>
      </c>
      <c r="Y323" s="63" t="n">
        <f aca="false">IFERROR(G323/F323,0)</f>
        <v>0</v>
      </c>
      <c r="Z323" s="59" t="n">
        <f aca="false">IF(E323&gt;0,F323*1000000000/E323,"")</f>
        <v>71.7659197830274</v>
      </c>
      <c r="AA323" s="63" t="n">
        <f aca="false">IFERROR((R323+S323+J323)/F323,0)</f>
        <v>1</v>
      </c>
      <c r="AB323" s="0" t="str">
        <f aca="false">A323&amp;"|"&amp;D323</f>
        <v>Burkina Faso|2024</v>
      </c>
    </row>
    <row r="324" customFormat="false" ht="15" hidden="false" customHeight="false" outlineLevel="0" collapsed="false">
      <c r="A324" s="0" t="s">
        <v>211</v>
      </c>
      <c r="B324" s="0" t="s">
        <v>449</v>
      </c>
      <c r="C324" s="0" t="s">
        <v>127</v>
      </c>
      <c r="D324" s="0" t="n">
        <v>2015</v>
      </c>
      <c r="E324" s="59" t="n">
        <v>11047581</v>
      </c>
      <c r="F324" s="60" t="n">
        <v>0.18</v>
      </c>
      <c r="G324" s="61" t="n">
        <v>0</v>
      </c>
      <c r="H324" s="61" t="n">
        <v>0</v>
      </c>
      <c r="I324" s="61" t="n">
        <v>0.03</v>
      </c>
      <c r="J324" s="61" t="n">
        <v>0</v>
      </c>
      <c r="K324" s="61" t="n">
        <v>0.14</v>
      </c>
      <c r="L324" s="61" t="n">
        <v>0</v>
      </c>
      <c r="M324" s="61" t="n">
        <v>0</v>
      </c>
      <c r="N324" s="61" t="n">
        <v>0.01</v>
      </c>
      <c r="O324" s="61" t="n">
        <v>0</v>
      </c>
      <c r="P324" s="62" t="n">
        <v>111.1</v>
      </c>
      <c r="Q324" s="0" t="n">
        <v>0</v>
      </c>
      <c r="R324" s="60" t="n">
        <f aca="false">G324+H324+I324</f>
        <v>0.03</v>
      </c>
      <c r="S324" s="60" t="n">
        <f aca="false">K324+L324+M324+N324+O324</f>
        <v>0.15</v>
      </c>
      <c r="T324" s="60" t="n">
        <f aca="false">L324+M324</f>
        <v>0</v>
      </c>
      <c r="U324" s="60" t="n">
        <f aca="false">S324+J324</f>
        <v>0.15</v>
      </c>
      <c r="V324" s="63" t="n">
        <f aca="false">IFERROR(S324/F324,0)</f>
        <v>0.833333333333334</v>
      </c>
      <c r="W324" s="63" t="n">
        <f aca="false">IFERROR(R324/F324,0)</f>
        <v>0.166666666666667</v>
      </c>
      <c r="X324" s="63" t="n">
        <f aca="false">IFERROR(T324/F324,0)</f>
        <v>0</v>
      </c>
      <c r="Y324" s="63" t="n">
        <f aca="false">IFERROR(G324/F324,0)</f>
        <v>0</v>
      </c>
      <c r="Z324" s="59" t="n">
        <f aca="false">IF(E324&gt;0,F324*1000000000/E324,"")</f>
        <v>16.2931595613556</v>
      </c>
      <c r="AA324" s="63" t="n">
        <f aca="false">IFERROR((R324+S324+J324)/F324,0)</f>
        <v>1</v>
      </c>
      <c r="AB324" s="0" t="str">
        <f aca="false">A324&amp;"|"&amp;D324</f>
        <v>Burundi|2015</v>
      </c>
    </row>
    <row r="325" customFormat="false" ht="15" hidden="false" customHeight="false" outlineLevel="0" collapsed="false">
      <c r="A325" s="0" t="s">
        <v>211</v>
      </c>
      <c r="B325" s="0" t="s">
        <v>449</v>
      </c>
      <c r="C325" s="0" t="s">
        <v>127</v>
      </c>
      <c r="D325" s="0" t="n">
        <v>2016</v>
      </c>
      <c r="E325" s="59" t="n">
        <v>11239459</v>
      </c>
      <c r="F325" s="60" t="n">
        <v>0.18</v>
      </c>
      <c r="G325" s="61" t="n">
        <v>0</v>
      </c>
      <c r="H325" s="61" t="n">
        <v>0</v>
      </c>
      <c r="I325" s="61" t="n">
        <v>0.02</v>
      </c>
      <c r="J325" s="61" t="n">
        <v>0</v>
      </c>
      <c r="K325" s="61" t="n">
        <v>0.14</v>
      </c>
      <c r="L325" s="61" t="n">
        <v>0.01</v>
      </c>
      <c r="M325" s="61" t="n">
        <v>0</v>
      </c>
      <c r="N325" s="61" t="n">
        <v>0.01</v>
      </c>
      <c r="O325" s="61" t="n">
        <v>0</v>
      </c>
      <c r="P325" s="62" t="n">
        <v>55.6</v>
      </c>
      <c r="Q325" s="0" t="n">
        <v>0</v>
      </c>
      <c r="R325" s="60" t="n">
        <f aca="false">G325+H325+I325</f>
        <v>0.02</v>
      </c>
      <c r="S325" s="60" t="n">
        <f aca="false">K325+L325+M325+N325+O325</f>
        <v>0.16</v>
      </c>
      <c r="T325" s="60" t="n">
        <f aca="false">L325+M325</f>
        <v>0.01</v>
      </c>
      <c r="U325" s="60" t="n">
        <f aca="false">S325+J325</f>
        <v>0.16</v>
      </c>
      <c r="V325" s="63" t="n">
        <f aca="false">IFERROR(S325/F325,0)</f>
        <v>0.888888888888889</v>
      </c>
      <c r="W325" s="63" t="n">
        <f aca="false">IFERROR(R325/F325,0)</f>
        <v>0.111111111111111</v>
      </c>
      <c r="X325" s="63" t="n">
        <f aca="false">IFERROR(T325/F325,0)</f>
        <v>0.0555555555555556</v>
      </c>
      <c r="Y325" s="63" t="n">
        <f aca="false">IFERROR(G325/F325,0)</f>
        <v>0</v>
      </c>
      <c r="Z325" s="59" t="n">
        <f aca="false">IF(E325&gt;0,F325*1000000000/E325,"")</f>
        <v>16.0150057044561</v>
      </c>
      <c r="AA325" s="63" t="n">
        <f aca="false">IFERROR((R325+S325+J325)/F325,0)</f>
        <v>1</v>
      </c>
      <c r="AB325" s="0" t="str">
        <f aca="false">A325&amp;"|"&amp;D325</f>
        <v>Burundi|2016</v>
      </c>
    </row>
    <row r="326" customFormat="false" ht="15" hidden="false" customHeight="false" outlineLevel="0" collapsed="false">
      <c r="A326" s="0" t="s">
        <v>211</v>
      </c>
      <c r="B326" s="0" t="s">
        <v>449</v>
      </c>
      <c r="C326" s="0" t="s">
        <v>127</v>
      </c>
      <c r="D326" s="0" t="n">
        <v>2017</v>
      </c>
      <c r="E326" s="59" t="n">
        <v>11506764</v>
      </c>
      <c r="F326" s="60" t="n">
        <v>0.28</v>
      </c>
      <c r="G326" s="61" t="n">
        <v>0</v>
      </c>
      <c r="H326" s="61" t="n">
        <v>0</v>
      </c>
      <c r="I326" s="61" t="n">
        <v>0.07</v>
      </c>
      <c r="J326" s="61" t="n">
        <v>0</v>
      </c>
      <c r="K326" s="61" t="n">
        <v>0.19</v>
      </c>
      <c r="L326" s="61" t="n">
        <v>0.01</v>
      </c>
      <c r="M326" s="61" t="n">
        <v>0</v>
      </c>
      <c r="N326" s="61" t="n">
        <v>0.01</v>
      </c>
      <c r="O326" s="61" t="n">
        <v>0</v>
      </c>
      <c r="P326" s="62" t="n">
        <v>178.6</v>
      </c>
      <c r="Q326" s="0" t="n">
        <v>0</v>
      </c>
      <c r="R326" s="60" t="n">
        <f aca="false">G326+H326+I326</f>
        <v>0.07</v>
      </c>
      <c r="S326" s="60" t="n">
        <f aca="false">K326+L326+M326+N326+O326</f>
        <v>0.21</v>
      </c>
      <c r="T326" s="60" t="n">
        <f aca="false">L326+M326</f>
        <v>0.01</v>
      </c>
      <c r="U326" s="60" t="n">
        <f aca="false">S326+J326</f>
        <v>0.21</v>
      </c>
      <c r="V326" s="63" t="n">
        <f aca="false">IFERROR(S326/F326,0)</f>
        <v>0.75</v>
      </c>
      <c r="W326" s="63" t="n">
        <f aca="false">IFERROR(R326/F326,0)</f>
        <v>0.25</v>
      </c>
      <c r="X326" s="63" t="n">
        <f aca="false">IFERROR(T326/F326,0)</f>
        <v>0.0357142857142857</v>
      </c>
      <c r="Y326" s="63" t="n">
        <f aca="false">IFERROR(G326/F326,0)</f>
        <v>0</v>
      </c>
      <c r="Z326" s="59" t="n">
        <f aca="false">IF(E326&gt;0,F326*1000000000/E326,"")</f>
        <v>24.3335137489567</v>
      </c>
      <c r="AA326" s="63" t="n">
        <f aca="false">IFERROR((R326+S326+J326)/F326,0)</f>
        <v>1</v>
      </c>
      <c r="AB326" s="0" t="str">
        <f aca="false">A326&amp;"|"&amp;D326</f>
        <v>Burundi|2017</v>
      </c>
    </row>
    <row r="327" customFormat="false" ht="15" hidden="false" customHeight="false" outlineLevel="0" collapsed="false">
      <c r="A327" s="0" t="s">
        <v>211</v>
      </c>
      <c r="B327" s="0" t="s">
        <v>449</v>
      </c>
      <c r="C327" s="0" t="s">
        <v>127</v>
      </c>
      <c r="D327" s="0" t="n">
        <v>2018</v>
      </c>
      <c r="E327" s="59" t="n">
        <v>11859444</v>
      </c>
      <c r="F327" s="60" t="n">
        <v>0.35</v>
      </c>
      <c r="G327" s="61" t="n">
        <v>0</v>
      </c>
      <c r="H327" s="61" t="n">
        <v>0</v>
      </c>
      <c r="I327" s="61" t="n">
        <v>0.1</v>
      </c>
      <c r="J327" s="61" t="n">
        <v>0</v>
      </c>
      <c r="K327" s="61" t="n">
        <v>0.24</v>
      </c>
      <c r="L327" s="61" t="n">
        <v>0</v>
      </c>
      <c r="M327" s="61" t="n">
        <v>0</v>
      </c>
      <c r="N327" s="61" t="n">
        <v>0.01</v>
      </c>
      <c r="O327" s="61" t="n">
        <v>0</v>
      </c>
      <c r="P327" s="62" t="n">
        <v>228.6</v>
      </c>
      <c r="Q327" s="0" t="n">
        <v>0</v>
      </c>
      <c r="R327" s="60" t="n">
        <f aca="false">G327+H327+I327</f>
        <v>0.1</v>
      </c>
      <c r="S327" s="60" t="n">
        <f aca="false">K327+L327+M327+N327+O327</f>
        <v>0.25</v>
      </c>
      <c r="T327" s="60" t="n">
        <f aca="false">L327+M327</f>
        <v>0</v>
      </c>
      <c r="U327" s="60" t="n">
        <f aca="false">S327+J327</f>
        <v>0.25</v>
      </c>
      <c r="V327" s="63" t="n">
        <f aca="false">IFERROR(S327/F327,0)</f>
        <v>0.714285714285714</v>
      </c>
      <c r="W327" s="63" t="n">
        <f aca="false">IFERROR(R327/F327,0)</f>
        <v>0.285714285714286</v>
      </c>
      <c r="X327" s="63" t="n">
        <f aca="false">IFERROR(T327/F327,0)</f>
        <v>0</v>
      </c>
      <c r="Y327" s="63" t="n">
        <f aca="false">IFERROR(G327/F327,0)</f>
        <v>0</v>
      </c>
      <c r="Z327" s="59" t="n">
        <f aca="false">IF(E327&gt;0,F327*1000000000/E327,"")</f>
        <v>29.5123447608505</v>
      </c>
      <c r="AA327" s="63" t="n">
        <f aca="false">IFERROR((R327+S327+J327)/F327,0)</f>
        <v>1</v>
      </c>
      <c r="AB327" s="0" t="str">
        <f aca="false">A327&amp;"|"&amp;D327</f>
        <v>Burundi|2018</v>
      </c>
    </row>
    <row r="328" customFormat="false" ht="15" hidden="false" customHeight="false" outlineLevel="0" collapsed="false">
      <c r="A328" s="0" t="s">
        <v>211</v>
      </c>
      <c r="B328" s="0" t="s">
        <v>449</v>
      </c>
      <c r="C328" s="0" t="s">
        <v>127</v>
      </c>
      <c r="D328" s="0" t="n">
        <v>2019</v>
      </c>
      <c r="E328" s="59" t="n">
        <v>12255339</v>
      </c>
      <c r="F328" s="60" t="n">
        <v>0.39</v>
      </c>
      <c r="G328" s="61" t="n">
        <v>0</v>
      </c>
      <c r="H328" s="61" t="n">
        <v>0</v>
      </c>
      <c r="I328" s="61" t="n">
        <v>0.12</v>
      </c>
      <c r="J328" s="61" t="n">
        <v>0</v>
      </c>
      <c r="K328" s="61" t="n">
        <v>0.26</v>
      </c>
      <c r="L328" s="61" t="n">
        <v>0</v>
      </c>
      <c r="M328" s="61" t="n">
        <v>0</v>
      </c>
      <c r="N328" s="61" t="n">
        <v>0.01</v>
      </c>
      <c r="O328" s="61" t="n">
        <v>0</v>
      </c>
      <c r="P328" s="62" t="n">
        <v>230.8</v>
      </c>
      <c r="Q328" s="0" t="n">
        <v>0</v>
      </c>
      <c r="R328" s="60" t="n">
        <f aca="false">G328+H328+I328</f>
        <v>0.12</v>
      </c>
      <c r="S328" s="60" t="n">
        <f aca="false">K328+L328+M328+N328+O328</f>
        <v>0.27</v>
      </c>
      <c r="T328" s="60" t="n">
        <f aca="false">L328+M328</f>
        <v>0</v>
      </c>
      <c r="U328" s="60" t="n">
        <f aca="false">S328+J328</f>
        <v>0.27</v>
      </c>
      <c r="V328" s="63" t="n">
        <f aca="false">IFERROR(S328/F328,0)</f>
        <v>0.692307692307692</v>
      </c>
      <c r="W328" s="63" t="n">
        <f aca="false">IFERROR(R328/F328,0)</f>
        <v>0.307692307692308</v>
      </c>
      <c r="X328" s="63" t="n">
        <f aca="false">IFERROR(T328/F328,0)</f>
        <v>0</v>
      </c>
      <c r="Y328" s="63" t="n">
        <f aca="false">IFERROR(G328/F328,0)</f>
        <v>0</v>
      </c>
      <c r="Z328" s="59" t="n">
        <f aca="false">IF(E328&gt;0,F328*1000000000/E328,"")</f>
        <v>31.8228651202549</v>
      </c>
      <c r="AA328" s="63" t="n">
        <f aca="false">IFERROR((R328+S328+J328)/F328,0)</f>
        <v>1</v>
      </c>
      <c r="AB328" s="0" t="str">
        <f aca="false">A328&amp;"|"&amp;D328</f>
        <v>Burundi|2019</v>
      </c>
    </row>
    <row r="329" customFormat="false" ht="15" hidden="false" customHeight="false" outlineLevel="0" collapsed="false">
      <c r="A329" s="0" t="s">
        <v>211</v>
      </c>
      <c r="B329" s="0" t="s">
        <v>449</v>
      </c>
      <c r="C329" s="0" t="s">
        <v>127</v>
      </c>
      <c r="D329" s="0" t="n">
        <v>2020</v>
      </c>
      <c r="E329" s="59" t="n">
        <v>12617041</v>
      </c>
      <c r="F329" s="60" t="n">
        <v>0.37</v>
      </c>
      <c r="G329" s="61" t="n">
        <v>0</v>
      </c>
      <c r="H329" s="61" t="n">
        <v>0</v>
      </c>
      <c r="I329" s="61" t="n">
        <v>0.09</v>
      </c>
      <c r="J329" s="61" t="n">
        <v>0</v>
      </c>
      <c r="K329" s="61" t="n">
        <v>0.27</v>
      </c>
      <c r="L329" s="61" t="n">
        <v>0</v>
      </c>
      <c r="M329" s="61" t="n">
        <v>0</v>
      </c>
      <c r="N329" s="61" t="n">
        <v>0.01</v>
      </c>
      <c r="O329" s="61" t="n">
        <v>0</v>
      </c>
      <c r="P329" s="62" t="n">
        <v>189.2</v>
      </c>
      <c r="Q329" s="0" t="n">
        <v>0</v>
      </c>
      <c r="R329" s="60" t="n">
        <f aca="false">G329+H329+I329</f>
        <v>0.09</v>
      </c>
      <c r="S329" s="60" t="n">
        <f aca="false">K329+L329+M329+N329+O329</f>
        <v>0.28</v>
      </c>
      <c r="T329" s="60" t="n">
        <f aca="false">L329+M329</f>
        <v>0</v>
      </c>
      <c r="U329" s="60" t="n">
        <f aca="false">S329+J329</f>
        <v>0.28</v>
      </c>
      <c r="V329" s="63" t="n">
        <f aca="false">IFERROR(S329/F329,0)</f>
        <v>0.756756756756757</v>
      </c>
      <c r="W329" s="63" t="n">
        <f aca="false">IFERROR(R329/F329,0)</f>
        <v>0.243243243243243</v>
      </c>
      <c r="X329" s="63" t="n">
        <f aca="false">IFERROR(T329/F329,0)</f>
        <v>0</v>
      </c>
      <c r="Y329" s="63" t="n">
        <f aca="false">IFERROR(G329/F329,0)</f>
        <v>0</v>
      </c>
      <c r="Z329" s="59" t="n">
        <f aca="false">IF(E329&gt;0,F329*1000000000/E329,"")</f>
        <v>29.3254179010752</v>
      </c>
      <c r="AA329" s="63" t="n">
        <f aca="false">IFERROR((R329+S329+J329)/F329,0)</f>
        <v>1</v>
      </c>
      <c r="AB329" s="0" t="str">
        <f aca="false">A329&amp;"|"&amp;D329</f>
        <v>Burundi|2020</v>
      </c>
    </row>
    <row r="330" customFormat="false" ht="15" hidden="false" customHeight="false" outlineLevel="0" collapsed="false">
      <c r="A330" s="0" t="s">
        <v>211</v>
      </c>
      <c r="B330" s="0" t="s">
        <v>449</v>
      </c>
      <c r="C330" s="0" t="s">
        <v>127</v>
      </c>
      <c r="D330" s="0" t="n">
        <v>2021</v>
      </c>
      <c r="E330" s="59" t="n">
        <v>12965487</v>
      </c>
      <c r="F330" s="60" t="n">
        <v>0.39</v>
      </c>
      <c r="G330" s="61" t="n">
        <v>0</v>
      </c>
      <c r="H330" s="61" t="n">
        <v>0</v>
      </c>
      <c r="I330" s="61" t="n">
        <v>0.12</v>
      </c>
      <c r="J330" s="61" t="n">
        <v>0</v>
      </c>
      <c r="K330" s="61" t="n">
        <v>0.26</v>
      </c>
      <c r="L330" s="61" t="n">
        <v>0</v>
      </c>
      <c r="M330" s="61" t="n">
        <v>0</v>
      </c>
      <c r="N330" s="61" t="n">
        <v>0.01</v>
      </c>
      <c r="O330" s="61" t="n">
        <v>0</v>
      </c>
      <c r="P330" s="62" t="n">
        <v>230.8</v>
      </c>
      <c r="Q330" s="0" t="n">
        <v>0</v>
      </c>
      <c r="R330" s="60" t="n">
        <f aca="false">G330+H330+I330</f>
        <v>0.12</v>
      </c>
      <c r="S330" s="60" t="n">
        <f aca="false">K330+L330+M330+N330+O330</f>
        <v>0.27</v>
      </c>
      <c r="T330" s="60" t="n">
        <f aca="false">L330+M330</f>
        <v>0</v>
      </c>
      <c r="U330" s="60" t="n">
        <f aca="false">S330+J330</f>
        <v>0.27</v>
      </c>
      <c r="V330" s="63" t="n">
        <f aca="false">IFERROR(S330/F330,0)</f>
        <v>0.692307692307692</v>
      </c>
      <c r="W330" s="63" t="n">
        <f aca="false">IFERROR(R330/F330,0)</f>
        <v>0.307692307692308</v>
      </c>
      <c r="X330" s="63" t="n">
        <f aca="false">IFERROR(T330/F330,0)</f>
        <v>0</v>
      </c>
      <c r="Y330" s="63" t="n">
        <f aca="false">IFERROR(G330/F330,0)</f>
        <v>0</v>
      </c>
      <c r="Z330" s="59" t="n">
        <f aca="false">IF(E330&gt;0,F330*1000000000/E330,"")</f>
        <v>30.0798573937099</v>
      </c>
      <c r="AA330" s="63" t="n">
        <f aca="false">IFERROR((R330+S330+J330)/F330,0)</f>
        <v>1</v>
      </c>
      <c r="AB330" s="0" t="str">
        <f aca="false">A330&amp;"|"&amp;D330</f>
        <v>Burundi|2021</v>
      </c>
    </row>
    <row r="331" customFormat="false" ht="15" hidden="false" customHeight="false" outlineLevel="0" collapsed="false">
      <c r="A331" s="0" t="s">
        <v>211</v>
      </c>
      <c r="B331" s="0" t="s">
        <v>449</v>
      </c>
      <c r="C331" s="0" t="s">
        <v>127</v>
      </c>
      <c r="D331" s="0" t="n">
        <v>2022</v>
      </c>
      <c r="E331" s="59" t="n">
        <v>13321102</v>
      </c>
      <c r="F331" s="60" t="n">
        <v>0.39</v>
      </c>
      <c r="G331" s="61" t="n">
        <v>0</v>
      </c>
      <c r="H331" s="61" t="n">
        <v>0</v>
      </c>
      <c r="I331" s="61" t="n">
        <v>0.12</v>
      </c>
      <c r="J331" s="61" t="n">
        <v>0</v>
      </c>
      <c r="K331" s="61" t="n">
        <v>0.26</v>
      </c>
      <c r="L331" s="61" t="n">
        <v>0</v>
      </c>
      <c r="M331" s="61" t="n">
        <v>0</v>
      </c>
      <c r="N331" s="61" t="n">
        <v>0.01</v>
      </c>
      <c r="O331" s="61" t="n">
        <v>0</v>
      </c>
      <c r="P331" s="62" t="n">
        <v>230.8</v>
      </c>
      <c r="Q331" s="0" t="n">
        <v>0</v>
      </c>
      <c r="R331" s="60" t="n">
        <f aca="false">G331+H331+I331</f>
        <v>0.12</v>
      </c>
      <c r="S331" s="60" t="n">
        <f aca="false">K331+L331+M331+N331+O331</f>
        <v>0.27</v>
      </c>
      <c r="T331" s="60" t="n">
        <f aca="false">L331+M331</f>
        <v>0</v>
      </c>
      <c r="U331" s="60" t="n">
        <f aca="false">S331+J331</f>
        <v>0.27</v>
      </c>
      <c r="V331" s="63" t="n">
        <f aca="false">IFERROR(S331/F331,0)</f>
        <v>0.692307692307692</v>
      </c>
      <c r="W331" s="63" t="n">
        <f aca="false">IFERROR(R331/F331,0)</f>
        <v>0.307692307692308</v>
      </c>
      <c r="X331" s="63" t="n">
        <f aca="false">IFERROR(T331/F331,0)</f>
        <v>0</v>
      </c>
      <c r="Y331" s="63" t="n">
        <f aca="false">IFERROR(G331/F331,0)</f>
        <v>0</v>
      </c>
      <c r="Z331" s="59" t="n">
        <f aca="false">IF(E331&gt;0,F331*1000000000/E331,"")</f>
        <v>29.2768571248835</v>
      </c>
      <c r="AA331" s="63" t="n">
        <f aca="false">IFERROR((R331+S331+J331)/F331,0)</f>
        <v>1</v>
      </c>
      <c r="AB331" s="0" t="str">
        <f aca="false">A331&amp;"|"&amp;D331</f>
        <v>Burundi|2022</v>
      </c>
    </row>
    <row r="332" customFormat="false" ht="15" hidden="false" customHeight="false" outlineLevel="0" collapsed="false">
      <c r="A332" s="0" t="s">
        <v>211</v>
      </c>
      <c r="B332" s="0" t="s">
        <v>449</v>
      </c>
      <c r="C332" s="0" t="s">
        <v>127</v>
      </c>
      <c r="D332" s="0" t="n">
        <v>2023</v>
      </c>
      <c r="E332" s="59" t="n">
        <v>13689455</v>
      </c>
      <c r="F332" s="60" t="n">
        <v>0.5</v>
      </c>
      <c r="G332" s="61" t="n">
        <v>0</v>
      </c>
      <c r="H332" s="61" t="n">
        <v>0</v>
      </c>
      <c r="I332" s="61" t="n">
        <v>0.12</v>
      </c>
      <c r="J332" s="61" t="n">
        <v>0</v>
      </c>
      <c r="K332" s="61" t="n">
        <v>0.37</v>
      </c>
      <c r="L332" s="61" t="n">
        <v>0</v>
      </c>
      <c r="M332" s="61" t="n">
        <v>0</v>
      </c>
      <c r="N332" s="61" t="n">
        <v>0.01</v>
      </c>
      <c r="O332" s="61" t="n">
        <v>0</v>
      </c>
      <c r="P332" s="62" t="n">
        <v>180</v>
      </c>
      <c r="Q332" s="0" t="n">
        <v>0</v>
      </c>
      <c r="R332" s="60" t="n">
        <f aca="false">G332+H332+I332</f>
        <v>0.12</v>
      </c>
      <c r="S332" s="60" t="n">
        <f aca="false">K332+L332+M332+N332+O332</f>
        <v>0.38</v>
      </c>
      <c r="T332" s="60" t="n">
        <f aca="false">L332+M332</f>
        <v>0</v>
      </c>
      <c r="U332" s="60" t="n">
        <f aca="false">S332+J332</f>
        <v>0.38</v>
      </c>
      <c r="V332" s="63" t="n">
        <f aca="false">IFERROR(S332/F332,0)</f>
        <v>0.76</v>
      </c>
      <c r="W332" s="63" t="n">
        <f aca="false">IFERROR(R332/F332,0)</f>
        <v>0.24</v>
      </c>
      <c r="X332" s="63" t="n">
        <f aca="false">IFERROR(T332/F332,0)</f>
        <v>0</v>
      </c>
      <c r="Y332" s="63" t="n">
        <f aca="false">IFERROR(G332/F332,0)</f>
        <v>0</v>
      </c>
      <c r="Z332" s="59" t="n">
        <f aca="false">IF(E332&gt;0,F332*1000000000/E332,"")</f>
        <v>36.5244635378107</v>
      </c>
      <c r="AA332" s="63" t="n">
        <f aca="false">IFERROR((R332+S332+J332)/F332,0)</f>
        <v>1</v>
      </c>
      <c r="AB332" s="0" t="str">
        <f aca="false">A332&amp;"|"&amp;D332</f>
        <v>Burundi|2023</v>
      </c>
    </row>
    <row r="333" customFormat="false" ht="15" hidden="false" customHeight="false" outlineLevel="0" collapsed="false">
      <c r="A333" s="0" t="s">
        <v>211</v>
      </c>
      <c r="B333" s="0" t="s">
        <v>449</v>
      </c>
      <c r="C333" s="0" t="s">
        <v>127</v>
      </c>
      <c r="D333" s="0" t="n">
        <v>2024</v>
      </c>
      <c r="E333" s="59" t="n">
        <v>14047788</v>
      </c>
      <c r="F333" s="60" t="n">
        <v>0.49</v>
      </c>
      <c r="G333" s="61" t="n">
        <v>0</v>
      </c>
      <c r="H333" s="61" t="n">
        <v>0</v>
      </c>
      <c r="I333" s="61" t="n">
        <v>0.12</v>
      </c>
      <c r="J333" s="61" t="n">
        <v>0</v>
      </c>
      <c r="K333" s="61" t="n">
        <v>0.36</v>
      </c>
      <c r="L333" s="61" t="n">
        <v>0</v>
      </c>
      <c r="M333" s="61" t="n">
        <v>0</v>
      </c>
      <c r="N333" s="61" t="n">
        <v>0.01</v>
      </c>
      <c r="O333" s="61" t="n">
        <v>0</v>
      </c>
      <c r="P333" s="62" t="n">
        <v>183.7</v>
      </c>
      <c r="Q333" s="0" t="n">
        <v>0</v>
      </c>
      <c r="R333" s="60" t="n">
        <f aca="false">G333+H333+I333</f>
        <v>0.12</v>
      </c>
      <c r="S333" s="60" t="n">
        <f aca="false">K333+L333+M333+N333+O333</f>
        <v>0.37</v>
      </c>
      <c r="T333" s="60" t="n">
        <f aca="false">L333+M333</f>
        <v>0</v>
      </c>
      <c r="U333" s="60" t="n">
        <f aca="false">S333+J333</f>
        <v>0.37</v>
      </c>
      <c r="V333" s="63" t="n">
        <f aca="false">IFERROR(S333/F333,0)</f>
        <v>0.755102040816327</v>
      </c>
      <c r="W333" s="63" t="n">
        <f aca="false">IFERROR(R333/F333,0)</f>
        <v>0.244897959183673</v>
      </c>
      <c r="X333" s="63" t="n">
        <f aca="false">IFERROR(T333/F333,0)</f>
        <v>0</v>
      </c>
      <c r="Y333" s="63" t="n">
        <f aca="false">IFERROR(G333/F333,0)</f>
        <v>0</v>
      </c>
      <c r="Z333" s="59" t="n">
        <f aca="false">IF(E333&gt;0,F333*1000000000/E333,"")</f>
        <v>34.8809364150427</v>
      </c>
      <c r="AA333" s="63" t="n">
        <f aca="false">IFERROR((R333+S333+J333)/F333,0)</f>
        <v>1</v>
      </c>
      <c r="AB333" s="0" t="str">
        <f aca="false">A333&amp;"|"&amp;D333</f>
        <v>Burundi|2024</v>
      </c>
    </row>
    <row r="334" customFormat="false" ht="15" hidden="false" customHeight="false" outlineLevel="0" collapsed="false">
      <c r="A334" s="0" t="s">
        <v>212</v>
      </c>
      <c r="B334" s="0" t="s">
        <v>450</v>
      </c>
      <c r="C334" s="0" t="s">
        <v>127</v>
      </c>
      <c r="D334" s="0" t="n">
        <v>2015</v>
      </c>
      <c r="E334" s="59" t="n">
        <v>15623253</v>
      </c>
      <c r="F334" s="60" t="n">
        <v>4.49</v>
      </c>
      <c r="G334" s="61" t="n">
        <v>2.13</v>
      </c>
      <c r="H334" s="61" t="n">
        <v>0</v>
      </c>
      <c r="I334" s="61" t="n">
        <v>0.16</v>
      </c>
      <c r="J334" s="61" t="n">
        <v>0</v>
      </c>
      <c r="K334" s="61" t="n">
        <v>2.16</v>
      </c>
      <c r="L334" s="61" t="n">
        <v>0</v>
      </c>
      <c r="M334" s="61" t="n">
        <v>0</v>
      </c>
      <c r="N334" s="61" t="n">
        <v>0.04</v>
      </c>
      <c r="O334" s="61" t="n">
        <v>0</v>
      </c>
      <c r="P334" s="62" t="n">
        <v>447.7</v>
      </c>
      <c r="Q334" s="0" t="n">
        <v>4</v>
      </c>
      <c r="R334" s="60" t="n">
        <f aca="false">G334+H334+I334</f>
        <v>2.29</v>
      </c>
      <c r="S334" s="60" t="n">
        <f aca="false">K334+L334+M334+N334+O334</f>
        <v>2.2</v>
      </c>
      <c r="T334" s="60" t="n">
        <f aca="false">L334+M334</f>
        <v>0</v>
      </c>
      <c r="U334" s="60" t="n">
        <f aca="false">S334+J334</f>
        <v>2.2</v>
      </c>
      <c r="V334" s="63" t="n">
        <f aca="false">IFERROR(S334/F334,0)</f>
        <v>0.489977728285078</v>
      </c>
      <c r="W334" s="63" t="n">
        <f aca="false">IFERROR(R334/F334,0)</f>
        <v>0.510022271714922</v>
      </c>
      <c r="X334" s="63" t="n">
        <f aca="false">IFERROR(T334/F334,0)</f>
        <v>0</v>
      </c>
      <c r="Y334" s="63" t="n">
        <f aca="false">IFERROR(G334/F334,0)</f>
        <v>0.474387527839644</v>
      </c>
      <c r="Z334" s="59" t="n">
        <f aca="false">IF(E334&gt;0,F334*1000000000/E334,"")</f>
        <v>287.392132739577</v>
      </c>
      <c r="AA334" s="63" t="n">
        <f aca="false">IFERROR((R334+S334+J334)/F334,0)</f>
        <v>1</v>
      </c>
      <c r="AB334" s="0" t="str">
        <f aca="false">A334&amp;"|"&amp;D334</f>
        <v>Cambodia|2015</v>
      </c>
    </row>
    <row r="335" customFormat="false" ht="15" hidden="false" customHeight="false" outlineLevel="0" collapsed="false">
      <c r="A335" s="0" t="s">
        <v>212</v>
      </c>
      <c r="B335" s="0" t="s">
        <v>450</v>
      </c>
      <c r="C335" s="0" t="s">
        <v>127</v>
      </c>
      <c r="D335" s="0" t="n">
        <v>2016</v>
      </c>
      <c r="E335" s="59" t="n">
        <v>15852802</v>
      </c>
      <c r="F335" s="60" t="n">
        <v>5.48</v>
      </c>
      <c r="G335" s="61" t="n">
        <v>2.39</v>
      </c>
      <c r="H335" s="61" t="n">
        <v>0</v>
      </c>
      <c r="I335" s="61" t="n">
        <v>0.48</v>
      </c>
      <c r="J335" s="61" t="n">
        <v>0</v>
      </c>
      <c r="K335" s="61" t="n">
        <v>2.57</v>
      </c>
      <c r="L335" s="61" t="n">
        <v>0</v>
      </c>
      <c r="M335" s="61" t="n">
        <v>0</v>
      </c>
      <c r="N335" s="61" t="n">
        <v>0.04</v>
      </c>
      <c r="O335" s="61" t="n">
        <v>0</v>
      </c>
      <c r="P335" s="62" t="n">
        <v>447.1</v>
      </c>
      <c r="Q335" s="0" t="n">
        <v>4</v>
      </c>
      <c r="R335" s="60" t="n">
        <f aca="false">G335+H335+I335</f>
        <v>2.87</v>
      </c>
      <c r="S335" s="60" t="n">
        <f aca="false">K335+L335+M335+N335+O335</f>
        <v>2.61</v>
      </c>
      <c r="T335" s="60" t="n">
        <f aca="false">L335+M335</f>
        <v>0</v>
      </c>
      <c r="U335" s="60" t="n">
        <f aca="false">S335+J335</f>
        <v>2.61</v>
      </c>
      <c r="V335" s="63" t="n">
        <f aca="false">IFERROR(S335/F335,0)</f>
        <v>0.476277372262774</v>
      </c>
      <c r="W335" s="63" t="n">
        <f aca="false">IFERROR(R335/F335,0)</f>
        <v>0.523722627737226</v>
      </c>
      <c r="X335" s="63" t="n">
        <f aca="false">IFERROR(T335/F335,0)</f>
        <v>0</v>
      </c>
      <c r="Y335" s="63" t="n">
        <f aca="false">IFERROR(G335/F335,0)</f>
        <v>0.436131386861314</v>
      </c>
      <c r="Z335" s="59" t="n">
        <f aca="false">IF(E335&gt;0,F335*1000000000/E335,"")</f>
        <v>345.680214765819</v>
      </c>
      <c r="AA335" s="63" t="n">
        <f aca="false">IFERROR((R335+S335+J335)/F335,0)</f>
        <v>1</v>
      </c>
      <c r="AB335" s="0" t="str">
        <f aca="false">A335&amp;"|"&amp;D335</f>
        <v>Cambodia|2016</v>
      </c>
    </row>
    <row r="336" customFormat="false" ht="15" hidden="false" customHeight="false" outlineLevel="0" collapsed="false">
      <c r="A336" s="0" t="s">
        <v>212</v>
      </c>
      <c r="B336" s="0" t="s">
        <v>450</v>
      </c>
      <c r="C336" s="0" t="s">
        <v>127</v>
      </c>
      <c r="D336" s="0" t="n">
        <v>2017</v>
      </c>
      <c r="E336" s="59" t="n">
        <v>16073374</v>
      </c>
      <c r="F336" s="60" t="n">
        <v>6.63</v>
      </c>
      <c r="G336" s="61" t="n">
        <v>3.57</v>
      </c>
      <c r="H336" s="61" t="n">
        <v>0</v>
      </c>
      <c r="I336" s="61" t="n">
        <v>0.29</v>
      </c>
      <c r="J336" s="61" t="n">
        <v>0</v>
      </c>
      <c r="K336" s="61" t="n">
        <v>2.71</v>
      </c>
      <c r="L336" s="61" t="n">
        <v>0</v>
      </c>
      <c r="M336" s="61" t="n">
        <v>0</v>
      </c>
      <c r="N336" s="61" t="n">
        <v>0.06</v>
      </c>
      <c r="O336" s="61" t="n">
        <v>0</v>
      </c>
      <c r="P336" s="62" t="n">
        <v>503.8</v>
      </c>
      <c r="Q336" s="0" t="n">
        <v>4</v>
      </c>
      <c r="R336" s="60" t="n">
        <f aca="false">G336+H336+I336</f>
        <v>3.86</v>
      </c>
      <c r="S336" s="60" t="n">
        <f aca="false">K336+L336+M336+N336+O336</f>
        <v>2.77</v>
      </c>
      <c r="T336" s="60" t="n">
        <f aca="false">L336+M336</f>
        <v>0</v>
      </c>
      <c r="U336" s="60" t="n">
        <f aca="false">S336+J336</f>
        <v>2.77</v>
      </c>
      <c r="V336" s="63" t="n">
        <f aca="false">IFERROR(S336/F336,0)</f>
        <v>0.417797888386124</v>
      </c>
      <c r="W336" s="63" t="n">
        <f aca="false">IFERROR(R336/F336,0)</f>
        <v>0.582202111613876</v>
      </c>
      <c r="X336" s="63" t="n">
        <f aca="false">IFERROR(T336/F336,0)</f>
        <v>0</v>
      </c>
      <c r="Y336" s="63" t="n">
        <f aca="false">IFERROR(G336/F336,0)</f>
        <v>0.538461538461538</v>
      </c>
      <c r="Z336" s="59" t="n">
        <f aca="false">IF(E336&gt;0,F336*1000000000/E336,"")</f>
        <v>412.483402675754</v>
      </c>
      <c r="AA336" s="63" t="n">
        <f aca="false">IFERROR((R336+S336+J336)/F336,0)</f>
        <v>1</v>
      </c>
      <c r="AB336" s="0" t="str">
        <f aca="false">A336&amp;"|"&amp;D336</f>
        <v>Cambodia|2017</v>
      </c>
    </row>
    <row r="337" customFormat="false" ht="15" hidden="false" customHeight="false" outlineLevel="0" collapsed="false">
      <c r="A337" s="0" t="s">
        <v>212</v>
      </c>
      <c r="B337" s="0" t="s">
        <v>450</v>
      </c>
      <c r="C337" s="0" t="s">
        <v>127</v>
      </c>
      <c r="D337" s="0" t="n">
        <v>2018</v>
      </c>
      <c r="E337" s="59" t="n">
        <v>16274522</v>
      </c>
      <c r="F337" s="60" t="n">
        <v>8.18</v>
      </c>
      <c r="G337" s="61" t="n">
        <v>3.06</v>
      </c>
      <c r="H337" s="61" t="n">
        <v>0</v>
      </c>
      <c r="I337" s="61" t="n">
        <v>0.3</v>
      </c>
      <c r="J337" s="61" t="n">
        <v>0</v>
      </c>
      <c r="K337" s="61" t="n">
        <v>4.74</v>
      </c>
      <c r="L337" s="61" t="n">
        <v>0.02</v>
      </c>
      <c r="M337" s="61" t="n">
        <v>0</v>
      </c>
      <c r="N337" s="61" t="n">
        <v>0.06</v>
      </c>
      <c r="O337" s="61" t="n">
        <v>0</v>
      </c>
      <c r="P337" s="62" t="n">
        <v>361.9</v>
      </c>
      <c r="Q337" s="0" t="n">
        <v>4</v>
      </c>
      <c r="R337" s="60" t="n">
        <f aca="false">G337+H337+I337</f>
        <v>3.36</v>
      </c>
      <c r="S337" s="60" t="n">
        <f aca="false">K337+L337+M337+N337+O337</f>
        <v>4.82</v>
      </c>
      <c r="T337" s="60" t="n">
        <f aca="false">L337+M337</f>
        <v>0.02</v>
      </c>
      <c r="U337" s="60" t="n">
        <f aca="false">S337+J337</f>
        <v>4.82</v>
      </c>
      <c r="V337" s="63" t="n">
        <f aca="false">IFERROR(S337/F337,0)</f>
        <v>0.589242053789731</v>
      </c>
      <c r="W337" s="63" t="n">
        <f aca="false">IFERROR(R337/F337,0)</f>
        <v>0.410757946210269</v>
      </c>
      <c r="X337" s="63" t="n">
        <f aca="false">IFERROR(T337/F337,0)</f>
        <v>0.00244498777506112</v>
      </c>
      <c r="Y337" s="63" t="n">
        <f aca="false">IFERROR(G337/F337,0)</f>
        <v>0.374083129584352</v>
      </c>
      <c r="Z337" s="59" t="n">
        <f aca="false">IF(E337&gt;0,F337*1000000000/E337,"")</f>
        <v>502.626129357286</v>
      </c>
      <c r="AA337" s="63" t="n">
        <f aca="false">IFERROR((R337+S337+J337)/F337,0)</f>
        <v>1</v>
      </c>
      <c r="AB337" s="0" t="str">
        <f aca="false">A337&amp;"|"&amp;D337</f>
        <v>Cambodia|2018</v>
      </c>
    </row>
    <row r="338" customFormat="false" ht="15" hidden="false" customHeight="false" outlineLevel="0" collapsed="false">
      <c r="A338" s="0" t="s">
        <v>212</v>
      </c>
      <c r="B338" s="0" t="s">
        <v>450</v>
      </c>
      <c r="C338" s="0" t="s">
        <v>127</v>
      </c>
      <c r="D338" s="0" t="n">
        <v>2019</v>
      </c>
      <c r="E338" s="59" t="n">
        <v>16481305</v>
      </c>
      <c r="F338" s="60" t="n">
        <v>8.67</v>
      </c>
      <c r="G338" s="61" t="n">
        <v>3.73</v>
      </c>
      <c r="H338" s="61" t="n">
        <v>0</v>
      </c>
      <c r="I338" s="61" t="n">
        <v>0.73</v>
      </c>
      <c r="J338" s="61" t="n">
        <v>0</v>
      </c>
      <c r="K338" s="61" t="n">
        <v>4.03</v>
      </c>
      <c r="L338" s="61" t="n">
        <v>0.09</v>
      </c>
      <c r="M338" s="61" t="n">
        <v>0</v>
      </c>
      <c r="N338" s="61" t="n">
        <v>0.09</v>
      </c>
      <c r="O338" s="61" t="n">
        <v>0</v>
      </c>
      <c r="P338" s="62" t="n">
        <v>440.6</v>
      </c>
      <c r="Q338" s="0" t="n">
        <v>4</v>
      </c>
      <c r="R338" s="60" t="n">
        <f aca="false">G338+H338+I338</f>
        <v>4.46</v>
      </c>
      <c r="S338" s="60" t="n">
        <f aca="false">K338+L338+M338+N338+O338</f>
        <v>4.21</v>
      </c>
      <c r="T338" s="60" t="n">
        <f aca="false">L338+M338</f>
        <v>0.09</v>
      </c>
      <c r="U338" s="60" t="n">
        <f aca="false">S338+J338</f>
        <v>4.21</v>
      </c>
      <c r="V338" s="63" t="n">
        <f aca="false">IFERROR(S338/F338,0)</f>
        <v>0.48558246828143</v>
      </c>
      <c r="W338" s="63" t="n">
        <f aca="false">IFERROR(R338/F338,0)</f>
        <v>0.51441753171857</v>
      </c>
      <c r="X338" s="63" t="n">
        <f aca="false">IFERROR(T338/F338,0)</f>
        <v>0.0103806228373702</v>
      </c>
      <c r="Y338" s="63" t="n">
        <f aca="false">IFERROR(G338/F338,0)</f>
        <v>0.430219146482122</v>
      </c>
      <c r="Z338" s="59" t="n">
        <f aca="false">IF(E338&gt;0,F338*1000000000/E338,"")</f>
        <v>526.050576698872</v>
      </c>
      <c r="AA338" s="63" t="n">
        <f aca="false">IFERROR((R338+S338+J338)/F338,0)</f>
        <v>1</v>
      </c>
      <c r="AB338" s="0" t="str">
        <f aca="false">A338&amp;"|"&amp;D338</f>
        <v>Cambodia|2019</v>
      </c>
    </row>
    <row r="339" customFormat="false" ht="15" hidden="false" customHeight="false" outlineLevel="0" collapsed="false">
      <c r="A339" s="0" t="s">
        <v>212</v>
      </c>
      <c r="B339" s="0" t="s">
        <v>450</v>
      </c>
      <c r="C339" s="0" t="s">
        <v>127</v>
      </c>
      <c r="D339" s="0" t="n">
        <v>2020</v>
      </c>
      <c r="E339" s="59" t="n">
        <v>16725484</v>
      </c>
      <c r="F339" s="60" t="n">
        <v>7.52</v>
      </c>
      <c r="G339" s="61" t="n">
        <v>2.92</v>
      </c>
      <c r="H339" s="61" t="n">
        <v>0</v>
      </c>
      <c r="I339" s="61" t="n">
        <v>0.45</v>
      </c>
      <c r="J339" s="61" t="n">
        <v>0</v>
      </c>
      <c r="K339" s="61" t="n">
        <v>3.86</v>
      </c>
      <c r="L339" s="61" t="n">
        <v>0.29</v>
      </c>
      <c r="M339" s="61" t="n">
        <v>0</v>
      </c>
      <c r="N339" s="61" t="n">
        <v>0</v>
      </c>
      <c r="O339" s="61" t="n">
        <v>0</v>
      </c>
      <c r="P339" s="62" t="n">
        <v>385.6</v>
      </c>
      <c r="Q339" s="0" t="n">
        <v>4</v>
      </c>
      <c r="R339" s="60" t="n">
        <f aca="false">G339+H339+I339</f>
        <v>3.37</v>
      </c>
      <c r="S339" s="60" t="n">
        <f aca="false">K339+L339+M339+N339+O339</f>
        <v>4.15</v>
      </c>
      <c r="T339" s="60" t="n">
        <f aca="false">L339+M339</f>
        <v>0.29</v>
      </c>
      <c r="U339" s="60" t="n">
        <f aca="false">S339+J339</f>
        <v>4.15</v>
      </c>
      <c r="V339" s="63" t="n">
        <f aca="false">IFERROR(S339/F339,0)</f>
        <v>0.55186170212766</v>
      </c>
      <c r="W339" s="63" t="n">
        <f aca="false">IFERROR(R339/F339,0)</f>
        <v>0.44813829787234</v>
      </c>
      <c r="X339" s="63" t="n">
        <f aca="false">IFERROR(T339/F339,0)</f>
        <v>0.038563829787234</v>
      </c>
      <c r="Y339" s="63" t="n">
        <f aca="false">IFERROR(G339/F339,0)</f>
        <v>0.388297872340426</v>
      </c>
      <c r="Z339" s="59" t="n">
        <f aca="false">IF(E339&gt;0,F339*1000000000/E339,"")</f>
        <v>449.613296691444</v>
      </c>
      <c r="AA339" s="63" t="n">
        <f aca="false">IFERROR((R339+S339+J339)/F339,0)</f>
        <v>1</v>
      </c>
      <c r="AB339" s="0" t="str">
        <f aca="false">A339&amp;"|"&amp;D339</f>
        <v>Cambodia|2020</v>
      </c>
    </row>
    <row r="340" customFormat="false" ht="15" hidden="false" customHeight="false" outlineLevel="0" collapsed="false">
      <c r="A340" s="0" t="s">
        <v>212</v>
      </c>
      <c r="B340" s="0" t="s">
        <v>450</v>
      </c>
      <c r="C340" s="0" t="s">
        <v>127</v>
      </c>
      <c r="D340" s="0" t="n">
        <v>2021</v>
      </c>
      <c r="E340" s="59" t="n">
        <v>16974309</v>
      </c>
      <c r="F340" s="60" t="n">
        <v>9.71</v>
      </c>
      <c r="G340" s="61" t="n">
        <v>3.46</v>
      </c>
      <c r="H340" s="61" t="n">
        <v>0</v>
      </c>
      <c r="I340" s="61" t="n">
        <v>0.55</v>
      </c>
      <c r="J340" s="61" t="n">
        <v>0</v>
      </c>
      <c r="K340" s="61" t="n">
        <v>5.04</v>
      </c>
      <c r="L340" s="61" t="n">
        <v>0.61</v>
      </c>
      <c r="M340" s="61" t="n">
        <v>0</v>
      </c>
      <c r="N340" s="61" t="n">
        <v>0.05</v>
      </c>
      <c r="O340" s="61" t="n">
        <v>0</v>
      </c>
      <c r="P340" s="62" t="n">
        <v>356.3</v>
      </c>
      <c r="Q340" s="0" t="n">
        <v>4</v>
      </c>
      <c r="R340" s="60" t="n">
        <f aca="false">G340+H340+I340</f>
        <v>4.01</v>
      </c>
      <c r="S340" s="60" t="n">
        <f aca="false">K340+L340+M340+N340+O340</f>
        <v>5.7</v>
      </c>
      <c r="T340" s="60" t="n">
        <f aca="false">L340+M340</f>
        <v>0.61</v>
      </c>
      <c r="U340" s="60" t="n">
        <f aca="false">S340+J340</f>
        <v>5.7</v>
      </c>
      <c r="V340" s="63" t="n">
        <f aca="false">IFERROR(S340/F340,0)</f>
        <v>0.5870236869207</v>
      </c>
      <c r="W340" s="63" t="n">
        <f aca="false">IFERROR(R340/F340,0)</f>
        <v>0.4129763130793</v>
      </c>
      <c r="X340" s="63" t="n">
        <f aca="false">IFERROR(T340/F340,0)</f>
        <v>0.062821833161689</v>
      </c>
      <c r="Y340" s="63" t="n">
        <f aca="false">IFERROR(G340/F340,0)</f>
        <v>0.356333676622039</v>
      </c>
      <c r="Z340" s="59" t="n">
        <f aca="false">IF(E340&gt;0,F340*1000000000/E340,"")</f>
        <v>572.040959075271</v>
      </c>
      <c r="AA340" s="63" t="n">
        <f aca="false">IFERROR((R340+S340+J340)/F340,0)</f>
        <v>1</v>
      </c>
      <c r="AB340" s="0" t="str">
        <f aca="false">A340&amp;"|"&amp;D340</f>
        <v>Cambodia|2021</v>
      </c>
    </row>
    <row r="341" customFormat="false" ht="15" hidden="false" customHeight="false" outlineLevel="0" collapsed="false">
      <c r="A341" s="0" t="s">
        <v>212</v>
      </c>
      <c r="B341" s="0" t="s">
        <v>450</v>
      </c>
      <c r="C341" s="0" t="s">
        <v>127</v>
      </c>
      <c r="D341" s="0" t="n">
        <v>2022</v>
      </c>
      <c r="E341" s="59" t="n">
        <v>17201721</v>
      </c>
      <c r="F341" s="60" t="n">
        <v>10.1</v>
      </c>
      <c r="G341" s="61" t="n">
        <v>3.14</v>
      </c>
      <c r="H341" s="61" t="n">
        <v>0</v>
      </c>
      <c r="I341" s="61" t="n">
        <v>0.35</v>
      </c>
      <c r="J341" s="61" t="n">
        <v>0</v>
      </c>
      <c r="K341" s="61" t="n">
        <v>5.9</v>
      </c>
      <c r="L341" s="61" t="n">
        <v>0.7</v>
      </c>
      <c r="M341" s="61" t="n">
        <v>0</v>
      </c>
      <c r="N341" s="61" t="n">
        <v>0.01</v>
      </c>
      <c r="O341" s="61" t="n">
        <v>0</v>
      </c>
      <c r="P341" s="62" t="n">
        <v>300</v>
      </c>
      <c r="Q341" s="0" t="n">
        <v>4</v>
      </c>
      <c r="R341" s="60" t="n">
        <f aca="false">G341+H341+I341</f>
        <v>3.49</v>
      </c>
      <c r="S341" s="60" t="n">
        <f aca="false">K341+L341+M341+N341+O341</f>
        <v>6.61</v>
      </c>
      <c r="T341" s="60" t="n">
        <f aca="false">L341+M341</f>
        <v>0.7</v>
      </c>
      <c r="U341" s="60" t="n">
        <f aca="false">S341+J341</f>
        <v>6.61</v>
      </c>
      <c r="V341" s="63" t="n">
        <f aca="false">IFERROR(S341/F341,0)</f>
        <v>0.654455445544555</v>
      </c>
      <c r="W341" s="63" t="n">
        <f aca="false">IFERROR(R341/F341,0)</f>
        <v>0.345544554455446</v>
      </c>
      <c r="X341" s="63" t="n">
        <f aca="false">IFERROR(T341/F341,0)</f>
        <v>0.0693069306930693</v>
      </c>
      <c r="Y341" s="63" t="n">
        <f aca="false">IFERROR(G341/F341,0)</f>
        <v>0.310891089108911</v>
      </c>
      <c r="Z341" s="59" t="n">
        <f aca="false">IF(E341&gt;0,F341*1000000000/E341,"")</f>
        <v>587.150553133608</v>
      </c>
      <c r="AA341" s="63" t="n">
        <f aca="false">IFERROR((R341+S341+J341)/F341,0)</f>
        <v>1</v>
      </c>
      <c r="AB341" s="0" t="str">
        <f aca="false">A341&amp;"|"&amp;D341</f>
        <v>Cambodia|2022</v>
      </c>
    </row>
    <row r="342" customFormat="false" ht="15" hidden="false" customHeight="false" outlineLevel="0" collapsed="false">
      <c r="A342" s="0" t="s">
        <v>212</v>
      </c>
      <c r="B342" s="0" t="s">
        <v>450</v>
      </c>
      <c r="C342" s="0" t="s">
        <v>127</v>
      </c>
      <c r="D342" s="0" t="n">
        <v>2023</v>
      </c>
      <c r="E342" s="59" t="n">
        <v>17423884</v>
      </c>
      <c r="F342" s="60" t="n">
        <v>13.6</v>
      </c>
      <c r="G342" s="61" t="n">
        <v>7.82</v>
      </c>
      <c r="H342" s="61" t="n">
        <v>0</v>
      </c>
      <c r="I342" s="61" t="n">
        <v>0.05</v>
      </c>
      <c r="J342" s="61" t="n">
        <v>0</v>
      </c>
      <c r="K342" s="61" t="n">
        <v>4.84</v>
      </c>
      <c r="L342" s="61" t="n">
        <v>0.82</v>
      </c>
      <c r="M342" s="61" t="n">
        <v>0</v>
      </c>
      <c r="N342" s="61" t="n">
        <v>0.07</v>
      </c>
      <c r="O342" s="61" t="n">
        <v>0</v>
      </c>
      <c r="P342" s="62" t="n">
        <v>491.2</v>
      </c>
      <c r="Q342" s="0" t="n">
        <v>4</v>
      </c>
      <c r="R342" s="60" t="n">
        <f aca="false">G342+H342+I342</f>
        <v>7.87</v>
      </c>
      <c r="S342" s="60" t="n">
        <f aca="false">K342+L342+M342+N342+O342</f>
        <v>5.73</v>
      </c>
      <c r="T342" s="60" t="n">
        <f aca="false">L342+M342</f>
        <v>0.82</v>
      </c>
      <c r="U342" s="60" t="n">
        <f aca="false">S342+J342</f>
        <v>5.73</v>
      </c>
      <c r="V342" s="63" t="n">
        <f aca="false">IFERROR(S342/F342,0)</f>
        <v>0.421323529411765</v>
      </c>
      <c r="W342" s="63" t="n">
        <f aca="false">IFERROR(R342/F342,0)</f>
        <v>0.578676470588235</v>
      </c>
      <c r="X342" s="63" t="n">
        <f aca="false">IFERROR(T342/F342,0)</f>
        <v>0.0602941176470588</v>
      </c>
      <c r="Y342" s="63" t="n">
        <f aca="false">IFERROR(G342/F342,0)</f>
        <v>0.575</v>
      </c>
      <c r="Z342" s="59" t="n">
        <f aca="false">IF(E342&gt;0,F342*1000000000/E342,"")</f>
        <v>780.537795132245</v>
      </c>
      <c r="AA342" s="63" t="n">
        <f aca="false">IFERROR((R342+S342+J342)/F342,0)</f>
        <v>1</v>
      </c>
      <c r="AB342" s="0" t="str">
        <f aca="false">A342&amp;"|"&amp;D342</f>
        <v>Cambodia|2023</v>
      </c>
    </row>
    <row r="343" customFormat="false" ht="15" hidden="false" customHeight="false" outlineLevel="0" collapsed="false">
      <c r="A343" s="0" t="s">
        <v>212</v>
      </c>
      <c r="B343" s="0" t="s">
        <v>450</v>
      </c>
      <c r="C343" s="0" t="s">
        <v>127</v>
      </c>
      <c r="D343" s="0" t="n">
        <v>2024</v>
      </c>
      <c r="E343" s="59" t="n">
        <v>17638804</v>
      </c>
      <c r="F343" s="60" t="n">
        <v>15.48</v>
      </c>
      <c r="G343" s="61" t="n">
        <v>9.43</v>
      </c>
      <c r="H343" s="61" t="n">
        <v>0</v>
      </c>
      <c r="I343" s="61" t="n">
        <v>0.53</v>
      </c>
      <c r="J343" s="61" t="n">
        <v>0</v>
      </c>
      <c r="K343" s="61" t="n">
        <v>4.37</v>
      </c>
      <c r="L343" s="61" t="n">
        <v>1.07</v>
      </c>
      <c r="M343" s="61" t="n">
        <v>0</v>
      </c>
      <c r="N343" s="61" t="n">
        <v>0.08</v>
      </c>
      <c r="O343" s="61" t="n">
        <v>0</v>
      </c>
      <c r="P343" s="62" t="n">
        <v>538.8</v>
      </c>
      <c r="Q343" s="0" t="n">
        <v>4</v>
      </c>
      <c r="R343" s="60" t="n">
        <f aca="false">G343+H343+I343</f>
        <v>9.96</v>
      </c>
      <c r="S343" s="60" t="n">
        <f aca="false">K343+L343+M343+N343+O343</f>
        <v>5.52</v>
      </c>
      <c r="T343" s="60" t="n">
        <f aca="false">L343+M343</f>
        <v>1.07</v>
      </c>
      <c r="U343" s="60" t="n">
        <f aca="false">S343+J343</f>
        <v>5.52</v>
      </c>
      <c r="V343" s="63" t="n">
        <f aca="false">IFERROR(S343/F343,0)</f>
        <v>0.356589147286822</v>
      </c>
      <c r="W343" s="63" t="n">
        <f aca="false">IFERROR(R343/F343,0)</f>
        <v>0.643410852713178</v>
      </c>
      <c r="X343" s="63" t="n">
        <f aca="false">IFERROR(T343/F343,0)</f>
        <v>0.0691214470284238</v>
      </c>
      <c r="Y343" s="63" t="n">
        <f aca="false">IFERROR(G343/F343,0)</f>
        <v>0.609173126614987</v>
      </c>
      <c r="Z343" s="59" t="n">
        <f aca="false">IF(E343&gt;0,F343*1000000000/E343,"")</f>
        <v>877.610522799618</v>
      </c>
      <c r="AA343" s="63" t="n">
        <f aca="false">IFERROR((R343+S343+J343)/F343,0)</f>
        <v>1</v>
      </c>
      <c r="AB343" s="0" t="str">
        <f aca="false">A343&amp;"|"&amp;D343</f>
        <v>Cambodia|2024</v>
      </c>
    </row>
    <row r="344" customFormat="false" ht="15" hidden="false" customHeight="false" outlineLevel="0" collapsed="false">
      <c r="A344" s="0" t="s">
        <v>212</v>
      </c>
      <c r="B344" s="0" t="s">
        <v>450</v>
      </c>
      <c r="C344" s="0" t="s">
        <v>127</v>
      </c>
      <c r="D344" s="0" t="n">
        <v>2025</v>
      </c>
      <c r="E344" s="59" t="n">
        <v>17847981</v>
      </c>
      <c r="F344" s="60" t="n">
        <v>17.76</v>
      </c>
      <c r="G344" s="61" t="n">
        <v>10.05</v>
      </c>
      <c r="H344" s="61" t="n">
        <v>0</v>
      </c>
      <c r="I344" s="61" t="n">
        <v>0.45</v>
      </c>
      <c r="J344" s="61" t="n">
        <v>0</v>
      </c>
      <c r="K344" s="61" t="n">
        <v>5.31</v>
      </c>
      <c r="L344" s="61" t="n">
        <v>1.89</v>
      </c>
      <c r="M344" s="61" t="n">
        <v>0</v>
      </c>
      <c r="N344" s="61" t="n">
        <v>0.06</v>
      </c>
      <c r="O344" s="61" t="n">
        <v>0</v>
      </c>
      <c r="P344" s="62" t="n">
        <v>498.9</v>
      </c>
      <c r="Q344" s="0" t="n">
        <v>4</v>
      </c>
      <c r="R344" s="60" t="n">
        <f aca="false">G344+H344+I344</f>
        <v>10.5</v>
      </c>
      <c r="S344" s="60" t="n">
        <f aca="false">K344+L344+M344+N344+O344</f>
        <v>7.26</v>
      </c>
      <c r="T344" s="60" t="n">
        <f aca="false">L344+M344</f>
        <v>1.89</v>
      </c>
      <c r="U344" s="60" t="n">
        <f aca="false">S344+J344</f>
        <v>7.26</v>
      </c>
      <c r="V344" s="63" t="n">
        <f aca="false">IFERROR(S344/F344,0)</f>
        <v>0.408783783783784</v>
      </c>
      <c r="W344" s="63" t="n">
        <f aca="false">IFERROR(R344/F344,0)</f>
        <v>0.591216216216216</v>
      </c>
      <c r="X344" s="63" t="n">
        <f aca="false">IFERROR(T344/F344,0)</f>
        <v>0.106418918918919</v>
      </c>
      <c r="Y344" s="63" t="n">
        <f aca="false">IFERROR(G344/F344,0)</f>
        <v>0.565878378378378</v>
      </c>
      <c r="Z344" s="59" t="n">
        <f aca="false">IF(E344&gt;0,F344*1000000000/E344,"")</f>
        <v>995.070534868902</v>
      </c>
      <c r="AA344" s="63" t="n">
        <f aca="false">IFERROR((R344+S344+J344)/F344,0)</f>
        <v>1</v>
      </c>
      <c r="AB344" s="0" t="str">
        <f aca="false">A344&amp;"|"&amp;D344</f>
        <v>Cambodia|2025</v>
      </c>
    </row>
    <row r="345" customFormat="false" ht="15" hidden="false" customHeight="false" outlineLevel="0" collapsed="false">
      <c r="A345" s="0" t="s">
        <v>213</v>
      </c>
      <c r="B345" s="0" t="s">
        <v>451</v>
      </c>
      <c r="C345" s="0" t="s">
        <v>127</v>
      </c>
      <c r="D345" s="0" t="n">
        <v>2015</v>
      </c>
      <c r="E345" s="59" t="n">
        <v>22763418</v>
      </c>
      <c r="F345" s="60" t="n">
        <v>7.96</v>
      </c>
      <c r="G345" s="61" t="n">
        <v>0</v>
      </c>
      <c r="H345" s="61" t="n">
        <v>1.49</v>
      </c>
      <c r="I345" s="61" t="n">
        <v>2.1</v>
      </c>
      <c r="J345" s="61" t="n">
        <v>0</v>
      </c>
      <c r="K345" s="61" t="n">
        <v>4.32</v>
      </c>
      <c r="L345" s="61" t="n">
        <v>0.01</v>
      </c>
      <c r="M345" s="61" t="n">
        <v>0</v>
      </c>
      <c r="N345" s="61" t="n">
        <v>0.04</v>
      </c>
      <c r="O345" s="61" t="n">
        <v>0</v>
      </c>
      <c r="P345" s="62" t="n">
        <v>336.7</v>
      </c>
      <c r="Q345" s="0" t="n">
        <v>0</v>
      </c>
      <c r="R345" s="60" t="n">
        <f aca="false">G345+H345+I345</f>
        <v>3.59</v>
      </c>
      <c r="S345" s="60" t="n">
        <f aca="false">K345+L345+M345+N345+O345</f>
        <v>4.37</v>
      </c>
      <c r="T345" s="60" t="n">
        <f aca="false">L345+M345</f>
        <v>0.01</v>
      </c>
      <c r="U345" s="60" t="n">
        <f aca="false">S345+J345</f>
        <v>4.37</v>
      </c>
      <c r="V345" s="63" t="n">
        <f aca="false">IFERROR(S345/F345,0)</f>
        <v>0.548994974874372</v>
      </c>
      <c r="W345" s="63" t="n">
        <f aca="false">IFERROR(R345/F345,0)</f>
        <v>0.451005025125628</v>
      </c>
      <c r="X345" s="63" t="n">
        <f aca="false">IFERROR(T345/F345,0)</f>
        <v>0.00125628140703518</v>
      </c>
      <c r="Y345" s="63" t="n">
        <f aca="false">IFERROR(G345/F345,0)</f>
        <v>0</v>
      </c>
      <c r="Z345" s="59" t="n">
        <f aca="false">IF(E345&gt;0,F345*1000000000/E345,"")</f>
        <v>349.683865577656</v>
      </c>
      <c r="AA345" s="63" t="n">
        <f aca="false">IFERROR((R345+S345+J345)/F345,0)</f>
        <v>1</v>
      </c>
      <c r="AB345" s="0" t="str">
        <f aca="false">A345&amp;"|"&amp;D345</f>
        <v>Cameroon|2015</v>
      </c>
    </row>
    <row r="346" customFormat="false" ht="15" hidden="false" customHeight="false" outlineLevel="0" collapsed="false">
      <c r="A346" s="0" t="s">
        <v>213</v>
      </c>
      <c r="B346" s="0" t="s">
        <v>451</v>
      </c>
      <c r="C346" s="0" t="s">
        <v>127</v>
      </c>
      <c r="D346" s="0" t="n">
        <v>2016</v>
      </c>
      <c r="E346" s="59" t="n">
        <v>23454165</v>
      </c>
      <c r="F346" s="60" t="n">
        <v>7.11</v>
      </c>
      <c r="G346" s="61" t="n">
        <v>0</v>
      </c>
      <c r="H346" s="61" t="n">
        <v>1.59</v>
      </c>
      <c r="I346" s="61" t="n">
        <v>1.14</v>
      </c>
      <c r="J346" s="61" t="n">
        <v>0</v>
      </c>
      <c r="K346" s="61" t="n">
        <v>4.33</v>
      </c>
      <c r="L346" s="61" t="n">
        <v>0.01</v>
      </c>
      <c r="M346" s="61" t="n">
        <v>0</v>
      </c>
      <c r="N346" s="61" t="n">
        <v>0.04</v>
      </c>
      <c r="O346" s="61" t="n">
        <v>0</v>
      </c>
      <c r="P346" s="62" t="n">
        <v>299.6</v>
      </c>
      <c r="Q346" s="0" t="n">
        <v>0</v>
      </c>
      <c r="R346" s="60" t="n">
        <f aca="false">G346+H346+I346</f>
        <v>2.73</v>
      </c>
      <c r="S346" s="60" t="n">
        <f aca="false">K346+L346+M346+N346+O346</f>
        <v>4.38</v>
      </c>
      <c r="T346" s="60" t="n">
        <f aca="false">L346+M346</f>
        <v>0.01</v>
      </c>
      <c r="U346" s="60" t="n">
        <f aca="false">S346+J346</f>
        <v>4.38</v>
      </c>
      <c r="V346" s="63" t="n">
        <f aca="false">IFERROR(S346/F346,0)</f>
        <v>0.616033755274262</v>
      </c>
      <c r="W346" s="63" t="n">
        <f aca="false">IFERROR(R346/F346,0)</f>
        <v>0.383966244725738</v>
      </c>
      <c r="X346" s="63" t="n">
        <f aca="false">IFERROR(T346/F346,0)</f>
        <v>0.00140646976090014</v>
      </c>
      <c r="Y346" s="63" t="n">
        <f aca="false">IFERROR(G346/F346,0)</f>
        <v>0</v>
      </c>
      <c r="Z346" s="59" t="n">
        <f aca="false">IF(E346&gt;0,F346*1000000000/E346,"")</f>
        <v>303.14445216873</v>
      </c>
      <c r="AA346" s="63" t="n">
        <f aca="false">IFERROR((R346+S346+J346)/F346,0)</f>
        <v>1</v>
      </c>
      <c r="AB346" s="0" t="str">
        <f aca="false">A346&amp;"|"&amp;D346</f>
        <v>Cameroon|2016</v>
      </c>
    </row>
    <row r="347" customFormat="false" ht="15" hidden="false" customHeight="false" outlineLevel="0" collapsed="false">
      <c r="A347" s="0" t="s">
        <v>213</v>
      </c>
      <c r="B347" s="0" t="s">
        <v>451</v>
      </c>
      <c r="C347" s="0" t="s">
        <v>127</v>
      </c>
      <c r="D347" s="0" t="n">
        <v>2017</v>
      </c>
      <c r="E347" s="59" t="n">
        <v>24128609</v>
      </c>
      <c r="F347" s="60" t="n">
        <v>8.05</v>
      </c>
      <c r="G347" s="61" t="n">
        <v>0</v>
      </c>
      <c r="H347" s="61" t="n">
        <v>1.77</v>
      </c>
      <c r="I347" s="61" t="n">
        <v>1.18</v>
      </c>
      <c r="J347" s="61" t="n">
        <v>0</v>
      </c>
      <c r="K347" s="61" t="n">
        <v>5.04</v>
      </c>
      <c r="L347" s="61" t="n">
        <v>0.02</v>
      </c>
      <c r="M347" s="61" t="n">
        <v>0</v>
      </c>
      <c r="N347" s="61" t="n">
        <v>0.04</v>
      </c>
      <c r="O347" s="61" t="n">
        <v>0</v>
      </c>
      <c r="P347" s="62" t="n">
        <v>288.2</v>
      </c>
      <c r="Q347" s="0" t="n">
        <v>0</v>
      </c>
      <c r="R347" s="60" t="n">
        <f aca="false">G347+H347+I347</f>
        <v>2.95</v>
      </c>
      <c r="S347" s="60" t="n">
        <f aca="false">K347+L347+M347+N347+O347</f>
        <v>5.1</v>
      </c>
      <c r="T347" s="60" t="n">
        <f aca="false">L347+M347</f>
        <v>0.02</v>
      </c>
      <c r="U347" s="60" t="n">
        <f aca="false">S347+J347</f>
        <v>5.1</v>
      </c>
      <c r="V347" s="63" t="n">
        <f aca="false">IFERROR(S347/F347,0)</f>
        <v>0.633540372670807</v>
      </c>
      <c r="W347" s="63" t="n">
        <f aca="false">IFERROR(R347/F347,0)</f>
        <v>0.366459627329193</v>
      </c>
      <c r="X347" s="63" t="n">
        <f aca="false">IFERROR(T347/F347,0)</f>
        <v>0.00248447204968944</v>
      </c>
      <c r="Y347" s="63" t="n">
        <f aca="false">IFERROR(G347/F347,0)</f>
        <v>0</v>
      </c>
      <c r="Z347" s="59" t="n">
        <f aca="false">IF(E347&gt;0,F347*1000000000/E347,"")</f>
        <v>333.628846984093</v>
      </c>
      <c r="AA347" s="63" t="n">
        <f aca="false">IFERROR((R347+S347+J347)/F347,0)</f>
        <v>1</v>
      </c>
      <c r="AB347" s="0" t="str">
        <f aca="false">A347&amp;"|"&amp;D347</f>
        <v>Cameroon|2017</v>
      </c>
    </row>
    <row r="348" customFormat="false" ht="15" hidden="false" customHeight="false" outlineLevel="0" collapsed="false">
      <c r="A348" s="0" t="s">
        <v>213</v>
      </c>
      <c r="B348" s="0" t="s">
        <v>451</v>
      </c>
      <c r="C348" s="0" t="s">
        <v>127</v>
      </c>
      <c r="D348" s="0" t="n">
        <v>2018</v>
      </c>
      <c r="E348" s="59" t="n">
        <v>24806377</v>
      </c>
      <c r="F348" s="60" t="n">
        <v>8.54</v>
      </c>
      <c r="G348" s="61" t="n">
        <v>0</v>
      </c>
      <c r="H348" s="61" t="n">
        <v>2.3</v>
      </c>
      <c r="I348" s="61" t="n">
        <v>1.21</v>
      </c>
      <c r="J348" s="61" t="n">
        <v>0</v>
      </c>
      <c r="K348" s="61" t="n">
        <v>4.97</v>
      </c>
      <c r="L348" s="61" t="n">
        <v>0.02</v>
      </c>
      <c r="M348" s="61" t="n">
        <v>0</v>
      </c>
      <c r="N348" s="61" t="n">
        <v>0.04</v>
      </c>
      <c r="O348" s="61" t="n">
        <v>0</v>
      </c>
      <c r="P348" s="62" t="n">
        <v>324.4</v>
      </c>
      <c r="Q348" s="0" t="n">
        <v>0</v>
      </c>
      <c r="R348" s="60" t="n">
        <f aca="false">G348+H348+I348</f>
        <v>3.51</v>
      </c>
      <c r="S348" s="60" t="n">
        <f aca="false">K348+L348+M348+N348+O348</f>
        <v>5.03</v>
      </c>
      <c r="T348" s="60" t="n">
        <f aca="false">L348+M348</f>
        <v>0.02</v>
      </c>
      <c r="U348" s="60" t="n">
        <f aca="false">S348+J348</f>
        <v>5.03</v>
      </c>
      <c r="V348" s="63" t="n">
        <f aca="false">IFERROR(S348/F348,0)</f>
        <v>0.588992974238876</v>
      </c>
      <c r="W348" s="63" t="n">
        <f aca="false">IFERROR(R348/F348,0)</f>
        <v>0.411007025761124</v>
      </c>
      <c r="X348" s="63" t="n">
        <f aca="false">IFERROR(T348/F348,0)</f>
        <v>0.00234192037470726</v>
      </c>
      <c r="Y348" s="63" t="n">
        <f aca="false">IFERROR(G348/F348,0)</f>
        <v>0</v>
      </c>
      <c r="Z348" s="59" t="n">
        <f aca="false">IF(E348&gt;0,F348*1000000000/E348,"")</f>
        <v>344.266315068903</v>
      </c>
      <c r="AA348" s="63" t="n">
        <f aca="false">IFERROR((R348+S348+J348)/F348,0)</f>
        <v>1</v>
      </c>
      <c r="AB348" s="0" t="str">
        <f aca="false">A348&amp;"|"&amp;D348</f>
        <v>Cameroon|2018</v>
      </c>
    </row>
    <row r="349" customFormat="false" ht="15" hidden="false" customHeight="false" outlineLevel="0" collapsed="false">
      <c r="A349" s="0" t="s">
        <v>213</v>
      </c>
      <c r="B349" s="0" t="s">
        <v>451</v>
      </c>
      <c r="C349" s="0" t="s">
        <v>127</v>
      </c>
      <c r="D349" s="0" t="n">
        <v>2019</v>
      </c>
      <c r="E349" s="59" t="n">
        <v>25506095</v>
      </c>
      <c r="F349" s="60" t="n">
        <v>8.28</v>
      </c>
      <c r="G349" s="61" t="n">
        <v>0</v>
      </c>
      <c r="H349" s="61" t="n">
        <v>2.17</v>
      </c>
      <c r="I349" s="61" t="n">
        <v>1.02</v>
      </c>
      <c r="J349" s="61" t="n">
        <v>0</v>
      </c>
      <c r="K349" s="61" t="n">
        <v>5.03</v>
      </c>
      <c r="L349" s="61" t="n">
        <v>0.02</v>
      </c>
      <c r="M349" s="61" t="n">
        <v>0</v>
      </c>
      <c r="N349" s="61" t="n">
        <v>0.04</v>
      </c>
      <c r="O349" s="61" t="n">
        <v>0</v>
      </c>
      <c r="P349" s="62" t="n">
        <v>305.6</v>
      </c>
      <c r="Q349" s="0" t="n">
        <v>0</v>
      </c>
      <c r="R349" s="60" t="n">
        <f aca="false">G349+H349+I349</f>
        <v>3.19</v>
      </c>
      <c r="S349" s="60" t="n">
        <f aca="false">K349+L349+M349+N349+O349</f>
        <v>5.09</v>
      </c>
      <c r="T349" s="60" t="n">
        <f aca="false">L349+M349</f>
        <v>0.02</v>
      </c>
      <c r="U349" s="60" t="n">
        <f aca="false">S349+J349</f>
        <v>5.09</v>
      </c>
      <c r="V349" s="63" t="n">
        <f aca="false">IFERROR(S349/F349,0)</f>
        <v>0.614734299516908</v>
      </c>
      <c r="W349" s="63" t="n">
        <f aca="false">IFERROR(R349/F349,0)</f>
        <v>0.385265700483092</v>
      </c>
      <c r="X349" s="63" t="n">
        <f aca="false">IFERROR(T349/F349,0)</f>
        <v>0.00241545893719807</v>
      </c>
      <c r="Y349" s="63" t="n">
        <f aca="false">IFERROR(G349/F349,0)</f>
        <v>0</v>
      </c>
      <c r="Z349" s="59" t="n">
        <f aca="false">IF(E349&gt;0,F349*1000000000/E349,"")</f>
        <v>324.628289826412</v>
      </c>
      <c r="AA349" s="63" t="n">
        <f aca="false">IFERROR((R349+S349+J349)/F349,0)</f>
        <v>1</v>
      </c>
      <c r="AB349" s="0" t="str">
        <f aca="false">A349&amp;"|"&amp;D349</f>
        <v>Cameroon|2019</v>
      </c>
    </row>
    <row r="350" customFormat="false" ht="15" hidden="false" customHeight="false" outlineLevel="0" collapsed="false">
      <c r="A350" s="0" t="s">
        <v>213</v>
      </c>
      <c r="B350" s="0" t="s">
        <v>451</v>
      </c>
      <c r="C350" s="0" t="s">
        <v>127</v>
      </c>
      <c r="D350" s="0" t="n">
        <v>2020</v>
      </c>
      <c r="E350" s="59" t="n">
        <v>26210566</v>
      </c>
      <c r="F350" s="60" t="n">
        <v>8.8</v>
      </c>
      <c r="G350" s="61" t="n">
        <v>0</v>
      </c>
      <c r="H350" s="61" t="n">
        <v>2.68</v>
      </c>
      <c r="I350" s="61" t="n">
        <v>0.83</v>
      </c>
      <c r="J350" s="61" t="n">
        <v>0</v>
      </c>
      <c r="K350" s="61" t="n">
        <v>5.23</v>
      </c>
      <c r="L350" s="61" t="n">
        <v>0.02</v>
      </c>
      <c r="M350" s="61" t="n">
        <v>0</v>
      </c>
      <c r="N350" s="61" t="n">
        <v>0.04</v>
      </c>
      <c r="O350" s="61" t="n">
        <v>0</v>
      </c>
      <c r="P350" s="62" t="n">
        <v>320.5</v>
      </c>
      <c r="Q350" s="0" t="n">
        <v>0</v>
      </c>
      <c r="R350" s="60" t="n">
        <f aca="false">G350+H350+I350</f>
        <v>3.51</v>
      </c>
      <c r="S350" s="60" t="n">
        <f aca="false">K350+L350+M350+N350+O350</f>
        <v>5.29</v>
      </c>
      <c r="T350" s="60" t="n">
        <f aca="false">L350+M350</f>
        <v>0.02</v>
      </c>
      <c r="U350" s="60" t="n">
        <f aca="false">S350+J350</f>
        <v>5.29</v>
      </c>
      <c r="V350" s="63" t="n">
        <f aca="false">IFERROR(S350/F350,0)</f>
        <v>0.601136363636364</v>
      </c>
      <c r="W350" s="63" t="n">
        <f aca="false">IFERROR(R350/F350,0)</f>
        <v>0.398863636363636</v>
      </c>
      <c r="X350" s="63" t="n">
        <f aca="false">IFERROR(T350/F350,0)</f>
        <v>0.00227272727272727</v>
      </c>
      <c r="Y350" s="63" t="n">
        <f aca="false">IFERROR(G350/F350,0)</f>
        <v>0</v>
      </c>
      <c r="Z350" s="59" t="n">
        <f aca="false">IF(E350&gt;0,F350*1000000000/E350,"")</f>
        <v>335.742463554583</v>
      </c>
      <c r="AA350" s="63" t="n">
        <f aca="false">IFERROR((R350+S350+J350)/F350,0)</f>
        <v>1</v>
      </c>
      <c r="AB350" s="0" t="str">
        <f aca="false">A350&amp;"|"&amp;D350</f>
        <v>Cameroon|2020</v>
      </c>
    </row>
    <row r="351" customFormat="false" ht="15" hidden="false" customHeight="false" outlineLevel="0" collapsed="false">
      <c r="A351" s="0" t="s">
        <v>213</v>
      </c>
      <c r="B351" s="0" t="s">
        <v>451</v>
      </c>
      <c r="C351" s="0" t="s">
        <v>127</v>
      </c>
      <c r="D351" s="0" t="n">
        <v>2021</v>
      </c>
      <c r="E351" s="59" t="n">
        <v>26915765</v>
      </c>
      <c r="F351" s="60" t="n">
        <v>8.41</v>
      </c>
      <c r="G351" s="61" t="n">
        <v>0</v>
      </c>
      <c r="H351" s="61" t="n">
        <v>2.29</v>
      </c>
      <c r="I351" s="61" t="n">
        <v>0.83</v>
      </c>
      <c r="J351" s="61" t="n">
        <v>0</v>
      </c>
      <c r="K351" s="61" t="n">
        <v>5.23</v>
      </c>
      <c r="L351" s="61" t="n">
        <v>0.02</v>
      </c>
      <c r="M351" s="61" t="n">
        <v>0</v>
      </c>
      <c r="N351" s="61" t="n">
        <v>0.04</v>
      </c>
      <c r="O351" s="61" t="n">
        <v>0</v>
      </c>
      <c r="P351" s="62" t="n">
        <v>298.4</v>
      </c>
      <c r="Q351" s="0" t="n">
        <v>0</v>
      </c>
      <c r="R351" s="60" t="n">
        <f aca="false">G351+H351+I351</f>
        <v>3.12</v>
      </c>
      <c r="S351" s="60" t="n">
        <f aca="false">K351+L351+M351+N351+O351</f>
        <v>5.29</v>
      </c>
      <c r="T351" s="60" t="n">
        <f aca="false">L351+M351</f>
        <v>0.02</v>
      </c>
      <c r="U351" s="60" t="n">
        <f aca="false">S351+J351</f>
        <v>5.29</v>
      </c>
      <c r="V351" s="63" t="n">
        <f aca="false">IFERROR(S351/F351,0)</f>
        <v>0.629013079667063</v>
      </c>
      <c r="W351" s="63" t="n">
        <f aca="false">IFERROR(R351/F351,0)</f>
        <v>0.370986920332937</v>
      </c>
      <c r="X351" s="63" t="n">
        <f aca="false">IFERROR(T351/F351,0)</f>
        <v>0.00237812128418549</v>
      </c>
      <c r="Y351" s="63" t="n">
        <f aca="false">IFERROR(G351/F351,0)</f>
        <v>0</v>
      </c>
      <c r="Z351" s="59" t="n">
        <f aca="false">IF(E351&gt;0,F351*1000000000/E351,"")</f>
        <v>312.45628723538</v>
      </c>
      <c r="AA351" s="63" t="n">
        <f aca="false">IFERROR((R351+S351+J351)/F351,0)</f>
        <v>1</v>
      </c>
      <c r="AB351" s="0" t="str">
        <f aca="false">A351&amp;"|"&amp;D351</f>
        <v>Cameroon|2021</v>
      </c>
    </row>
    <row r="352" customFormat="false" ht="15" hidden="false" customHeight="false" outlineLevel="0" collapsed="false">
      <c r="A352" s="0" t="s">
        <v>213</v>
      </c>
      <c r="B352" s="0" t="s">
        <v>451</v>
      </c>
      <c r="C352" s="0" t="s">
        <v>127</v>
      </c>
      <c r="D352" s="0" t="n">
        <v>2022</v>
      </c>
      <c r="E352" s="59" t="n">
        <v>27632770</v>
      </c>
      <c r="F352" s="60" t="n">
        <v>8.15</v>
      </c>
      <c r="G352" s="61" t="n">
        <v>0</v>
      </c>
      <c r="H352" s="61" t="n">
        <v>1.99</v>
      </c>
      <c r="I352" s="61" t="n">
        <v>0.87</v>
      </c>
      <c r="J352" s="61" t="n">
        <v>0</v>
      </c>
      <c r="K352" s="61" t="n">
        <v>5.23</v>
      </c>
      <c r="L352" s="61" t="n">
        <v>0.02</v>
      </c>
      <c r="M352" s="61" t="n">
        <v>0</v>
      </c>
      <c r="N352" s="61" t="n">
        <v>0.04</v>
      </c>
      <c r="O352" s="61" t="n">
        <v>0</v>
      </c>
      <c r="P352" s="62" t="n">
        <v>281</v>
      </c>
      <c r="Q352" s="0" t="n">
        <v>0</v>
      </c>
      <c r="R352" s="60" t="n">
        <f aca="false">G352+H352+I352</f>
        <v>2.86</v>
      </c>
      <c r="S352" s="60" t="n">
        <f aca="false">K352+L352+M352+N352+O352</f>
        <v>5.29</v>
      </c>
      <c r="T352" s="60" t="n">
        <f aca="false">L352+M352</f>
        <v>0.02</v>
      </c>
      <c r="U352" s="60" t="n">
        <f aca="false">S352+J352</f>
        <v>5.29</v>
      </c>
      <c r="V352" s="63" t="n">
        <f aca="false">IFERROR(S352/F352,0)</f>
        <v>0.649079754601227</v>
      </c>
      <c r="W352" s="63" t="n">
        <f aca="false">IFERROR(R352/F352,0)</f>
        <v>0.350920245398773</v>
      </c>
      <c r="X352" s="63" t="n">
        <f aca="false">IFERROR(T352/F352,0)</f>
        <v>0.00245398773006135</v>
      </c>
      <c r="Y352" s="63" t="n">
        <f aca="false">IFERROR(G352/F352,0)</f>
        <v>0</v>
      </c>
      <c r="Z352" s="59" t="n">
        <f aca="false">IF(E352&gt;0,F352*1000000000/E352,"")</f>
        <v>294.939667648231</v>
      </c>
      <c r="AA352" s="63" t="n">
        <f aca="false">IFERROR((R352+S352+J352)/F352,0)</f>
        <v>1</v>
      </c>
      <c r="AB352" s="0" t="str">
        <f aca="false">A352&amp;"|"&amp;D352</f>
        <v>Cameroon|2022</v>
      </c>
    </row>
    <row r="353" customFormat="false" ht="15" hidden="false" customHeight="false" outlineLevel="0" collapsed="false">
      <c r="A353" s="0" t="s">
        <v>213</v>
      </c>
      <c r="B353" s="0" t="s">
        <v>451</v>
      </c>
      <c r="C353" s="0" t="s">
        <v>127</v>
      </c>
      <c r="D353" s="0" t="n">
        <v>2023</v>
      </c>
      <c r="E353" s="59" t="n">
        <v>28372690</v>
      </c>
      <c r="F353" s="60" t="n">
        <v>7.22</v>
      </c>
      <c r="G353" s="61" t="n">
        <v>0</v>
      </c>
      <c r="H353" s="61" t="n">
        <v>1.59</v>
      </c>
      <c r="I353" s="61" t="n">
        <v>0.34</v>
      </c>
      <c r="J353" s="61" t="n">
        <v>0</v>
      </c>
      <c r="K353" s="61" t="n">
        <v>5.23</v>
      </c>
      <c r="L353" s="61" t="n">
        <v>0.02</v>
      </c>
      <c r="M353" s="61" t="n">
        <v>0</v>
      </c>
      <c r="N353" s="61" t="n">
        <v>0.04</v>
      </c>
      <c r="O353" s="61" t="n">
        <v>0</v>
      </c>
      <c r="P353" s="62" t="n">
        <v>224.4</v>
      </c>
      <c r="Q353" s="0" t="n">
        <v>0</v>
      </c>
      <c r="R353" s="60" t="n">
        <f aca="false">G353+H353+I353</f>
        <v>1.93</v>
      </c>
      <c r="S353" s="60" t="n">
        <f aca="false">K353+L353+M353+N353+O353</f>
        <v>5.29</v>
      </c>
      <c r="T353" s="60" t="n">
        <f aca="false">L353+M353</f>
        <v>0.02</v>
      </c>
      <c r="U353" s="60" t="n">
        <f aca="false">S353+J353</f>
        <v>5.29</v>
      </c>
      <c r="V353" s="63" t="n">
        <f aca="false">IFERROR(S353/F353,0)</f>
        <v>0.732686980609418</v>
      </c>
      <c r="W353" s="63" t="n">
        <f aca="false">IFERROR(R353/F353,0)</f>
        <v>0.267313019390582</v>
      </c>
      <c r="X353" s="63" t="n">
        <f aca="false">IFERROR(T353/F353,0)</f>
        <v>0.00277008310249308</v>
      </c>
      <c r="Y353" s="63" t="n">
        <f aca="false">IFERROR(G353/F353,0)</f>
        <v>0</v>
      </c>
      <c r="Z353" s="59" t="n">
        <f aca="false">IF(E353&gt;0,F353*1000000000/E353,"")</f>
        <v>254.470055535799</v>
      </c>
      <c r="AA353" s="63" t="n">
        <f aca="false">IFERROR((R353+S353+J353)/F353,0)</f>
        <v>1</v>
      </c>
      <c r="AB353" s="0" t="str">
        <f aca="false">A353&amp;"|"&amp;D353</f>
        <v>Cameroon|2023</v>
      </c>
    </row>
    <row r="354" customFormat="false" ht="15" hidden="false" customHeight="false" outlineLevel="0" collapsed="false">
      <c r="A354" s="0" t="s">
        <v>213</v>
      </c>
      <c r="B354" s="0" t="s">
        <v>451</v>
      </c>
      <c r="C354" s="0" t="s">
        <v>127</v>
      </c>
      <c r="D354" s="0" t="n">
        <v>2024</v>
      </c>
      <c r="E354" s="59" t="n">
        <v>29123748</v>
      </c>
      <c r="F354" s="60" t="n">
        <v>7.26</v>
      </c>
      <c r="G354" s="61" t="n">
        <v>0</v>
      </c>
      <c r="H354" s="61" t="n">
        <v>1.6</v>
      </c>
      <c r="I354" s="61" t="n">
        <v>0.35</v>
      </c>
      <c r="J354" s="61" t="n">
        <v>0</v>
      </c>
      <c r="K354" s="61" t="n">
        <v>5.23</v>
      </c>
      <c r="L354" s="61" t="n">
        <v>0.04</v>
      </c>
      <c r="M354" s="61" t="n">
        <v>0</v>
      </c>
      <c r="N354" s="61" t="n">
        <v>0.04</v>
      </c>
      <c r="O354" s="61" t="n">
        <v>0</v>
      </c>
      <c r="P354" s="62" t="n">
        <v>225.9</v>
      </c>
      <c r="Q354" s="0" t="n">
        <v>0</v>
      </c>
      <c r="R354" s="60" t="n">
        <f aca="false">G354+H354+I354</f>
        <v>1.95</v>
      </c>
      <c r="S354" s="60" t="n">
        <f aca="false">K354+L354+M354+N354+O354</f>
        <v>5.31</v>
      </c>
      <c r="T354" s="60" t="n">
        <f aca="false">L354+M354</f>
        <v>0.04</v>
      </c>
      <c r="U354" s="60" t="n">
        <f aca="false">S354+J354</f>
        <v>5.31</v>
      </c>
      <c r="V354" s="63" t="n">
        <f aca="false">IFERROR(S354/F354,0)</f>
        <v>0.731404958677686</v>
      </c>
      <c r="W354" s="63" t="n">
        <f aca="false">IFERROR(R354/F354,0)</f>
        <v>0.268595041322314</v>
      </c>
      <c r="X354" s="63" t="n">
        <f aca="false">IFERROR(T354/F354,0)</f>
        <v>0.00550964187327824</v>
      </c>
      <c r="Y354" s="63" t="n">
        <f aca="false">IFERROR(G354/F354,0)</f>
        <v>0</v>
      </c>
      <c r="Z354" s="59" t="n">
        <f aca="false">IF(E354&gt;0,F354*1000000000/E354,"")</f>
        <v>249.281102143859</v>
      </c>
      <c r="AA354" s="63" t="n">
        <f aca="false">IFERROR((R354+S354+J354)/F354,0)</f>
        <v>1</v>
      </c>
      <c r="AB354" s="0" t="str">
        <f aca="false">A354&amp;"|"&amp;D354</f>
        <v>Cameroon|2024</v>
      </c>
    </row>
    <row r="355" customFormat="false" ht="15" hidden="false" customHeight="false" outlineLevel="0" collapsed="false">
      <c r="A355" s="0" t="s">
        <v>214</v>
      </c>
      <c r="B355" s="0" t="s">
        <v>452</v>
      </c>
      <c r="C355" s="0" t="s">
        <v>127</v>
      </c>
      <c r="D355" s="0" t="n">
        <v>2015</v>
      </c>
      <c r="E355" s="59" t="n">
        <v>35962236</v>
      </c>
      <c r="F355" s="60" t="n">
        <v>661.08</v>
      </c>
      <c r="G355" s="61" t="n">
        <v>64.96</v>
      </c>
      <c r="H355" s="61" t="n">
        <v>67.98</v>
      </c>
      <c r="I355" s="61" t="n">
        <v>5</v>
      </c>
      <c r="J355" s="61" t="n">
        <v>101.1</v>
      </c>
      <c r="K355" s="61" t="n">
        <v>382.19</v>
      </c>
      <c r="L355" s="61" t="n">
        <v>2.89</v>
      </c>
      <c r="M355" s="61" t="n">
        <v>26.97</v>
      </c>
      <c r="N355" s="61" t="n">
        <v>9.99</v>
      </c>
      <c r="O355" s="61" t="n">
        <v>0</v>
      </c>
      <c r="P355" s="62" t="n">
        <v>184.4</v>
      </c>
      <c r="Q355" s="0" t="n">
        <v>1</v>
      </c>
      <c r="R355" s="60" t="n">
        <f aca="false">G355+H355+I355</f>
        <v>137.94</v>
      </c>
      <c r="S355" s="60" t="n">
        <f aca="false">K355+L355+M355+N355+O355</f>
        <v>422.04</v>
      </c>
      <c r="T355" s="60" t="n">
        <f aca="false">L355+M355</f>
        <v>29.86</v>
      </c>
      <c r="U355" s="60" t="n">
        <f aca="false">S355+J355</f>
        <v>523.14</v>
      </c>
      <c r="V355" s="63" t="n">
        <f aca="false">IFERROR(S355/F355,0)</f>
        <v>0.638409874750408</v>
      </c>
      <c r="W355" s="63" t="n">
        <f aca="false">IFERROR(R355/F355,0)</f>
        <v>0.208658558722091</v>
      </c>
      <c r="X355" s="63" t="n">
        <f aca="false">IFERROR(T355/F355,0)</f>
        <v>0.0451685121316633</v>
      </c>
      <c r="Y355" s="63" t="n">
        <f aca="false">IFERROR(G355/F355,0)</f>
        <v>0.0982634476916561</v>
      </c>
      <c r="Z355" s="59" t="n">
        <f aca="false">IF(E355&gt;0,F355*1000000000/E355,"")</f>
        <v>18382.6166982498</v>
      </c>
      <c r="AA355" s="63" t="n">
        <f aca="false">IFERROR((R355+S355+J355)/F355,0)</f>
        <v>1</v>
      </c>
      <c r="AB355" s="0" t="str">
        <f aca="false">A355&amp;"|"&amp;D355</f>
        <v>Canada|2015</v>
      </c>
    </row>
    <row r="356" customFormat="false" ht="15" hidden="false" customHeight="false" outlineLevel="0" collapsed="false">
      <c r="A356" s="0" t="s">
        <v>214</v>
      </c>
      <c r="B356" s="0" t="s">
        <v>452</v>
      </c>
      <c r="C356" s="0" t="s">
        <v>127</v>
      </c>
      <c r="D356" s="0" t="n">
        <v>2016</v>
      </c>
      <c r="E356" s="59" t="n">
        <v>36353345</v>
      </c>
      <c r="F356" s="60" t="n">
        <v>667.13</v>
      </c>
      <c r="G356" s="61" t="n">
        <v>65.02</v>
      </c>
      <c r="H356" s="61" t="n">
        <v>65.82</v>
      </c>
      <c r="I356" s="61" t="n">
        <v>4.84</v>
      </c>
      <c r="J356" s="61" t="n">
        <v>100.72</v>
      </c>
      <c r="K356" s="61" t="n">
        <v>385.43</v>
      </c>
      <c r="L356" s="61" t="n">
        <v>3.01</v>
      </c>
      <c r="M356" s="61" t="n">
        <v>30.93</v>
      </c>
      <c r="N356" s="61" t="n">
        <v>11.36</v>
      </c>
      <c r="O356" s="61" t="n">
        <v>0</v>
      </c>
      <c r="P356" s="62" t="n">
        <v>180.9</v>
      </c>
      <c r="Q356" s="0" t="n">
        <v>1</v>
      </c>
      <c r="R356" s="60" t="n">
        <f aca="false">G356+H356+I356</f>
        <v>135.68</v>
      </c>
      <c r="S356" s="60" t="n">
        <f aca="false">K356+L356+M356+N356+O356</f>
        <v>430.73</v>
      </c>
      <c r="T356" s="60" t="n">
        <f aca="false">L356+M356</f>
        <v>33.94</v>
      </c>
      <c r="U356" s="60" t="n">
        <f aca="false">S356+J356</f>
        <v>531.45</v>
      </c>
      <c r="V356" s="63" t="n">
        <f aca="false">IFERROR(S356/F356,0)</f>
        <v>0.645646275838292</v>
      </c>
      <c r="W356" s="63" t="n">
        <f aca="false">IFERROR(R356/F356,0)</f>
        <v>0.203378651836973</v>
      </c>
      <c r="X356" s="63" t="n">
        <f aca="false">IFERROR(T356/F356,0)</f>
        <v>0.050874642123724</v>
      </c>
      <c r="Y356" s="63" t="n">
        <f aca="false">IFERROR(G356/F356,0)</f>
        <v>0.0974622637267099</v>
      </c>
      <c r="Z356" s="59" t="n">
        <f aca="false">IF(E356&gt;0,F356*1000000000/E356,"")</f>
        <v>18351.2686384155</v>
      </c>
      <c r="AA356" s="63" t="n">
        <f aca="false">IFERROR((R356+S356+J356)/F356,0)</f>
        <v>1</v>
      </c>
      <c r="AB356" s="0" t="str">
        <f aca="false">A356&amp;"|"&amp;D356</f>
        <v>Canada|2016</v>
      </c>
    </row>
    <row r="357" customFormat="false" ht="15" hidden="false" customHeight="false" outlineLevel="0" collapsed="false">
      <c r="A357" s="0" t="s">
        <v>214</v>
      </c>
      <c r="B357" s="0" t="s">
        <v>452</v>
      </c>
      <c r="C357" s="0" t="s">
        <v>127</v>
      </c>
      <c r="D357" s="0" t="n">
        <v>2017</v>
      </c>
      <c r="E357" s="59" t="n">
        <v>36808498</v>
      </c>
      <c r="F357" s="60" t="n">
        <v>669.35</v>
      </c>
      <c r="G357" s="61" t="n">
        <v>62.81</v>
      </c>
      <c r="H357" s="61" t="n">
        <v>61.46</v>
      </c>
      <c r="I357" s="61" t="n">
        <v>3.92</v>
      </c>
      <c r="J357" s="61" t="n">
        <v>100.6</v>
      </c>
      <c r="K357" s="61" t="n">
        <v>394.59</v>
      </c>
      <c r="L357" s="61" t="n">
        <v>3.31</v>
      </c>
      <c r="M357" s="61" t="n">
        <v>31.51</v>
      </c>
      <c r="N357" s="61" t="n">
        <v>11.15</v>
      </c>
      <c r="O357" s="61" t="n">
        <v>0</v>
      </c>
      <c r="P357" s="62" t="n">
        <v>172.1</v>
      </c>
      <c r="Q357" s="0" t="n">
        <v>1</v>
      </c>
      <c r="R357" s="60" t="n">
        <f aca="false">G357+H357+I357</f>
        <v>128.19</v>
      </c>
      <c r="S357" s="60" t="n">
        <f aca="false">K357+L357+M357+N357+O357</f>
        <v>440.56</v>
      </c>
      <c r="T357" s="60" t="n">
        <f aca="false">L357+M357</f>
        <v>34.82</v>
      </c>
      <c r="U357" s="60" t="n">
        <f aca="false">S357+J357</f>
        <v>541.16</v>
      </c>
      <c r="V357" s="63" t="n">
        <f aca="false">IFERROR(S357/F357,0)</f>
        <v>0.658190782102039</v>
      </c>
      <c r="W357" s="63" t="n">
        <f aca="false">IFERROR(R357/F357,0)</f>
        <v>0.191514155524016</v>
      </c>
      <c r="X357" s="63" t="n">
        <f aca="false">IFERROR(T357/F357,0)</f>
        <v>0.0520206170165086</v>
      </c>
      <c r="Y357" s="63" t="n">
        <f aca="false">IFERROR(G357/F357,0)</f>
        <v>0.0938373048479869</v>
      </c>
      <c r="Z357" s="59" t="n">
        <f aca="false">IF(E357&gt;0,F357*1000000000/E357,"")</f>
        <v>18184.6594229409</v>
      </c>
      <c r="AA357" s="63" t="n">
        <f aca="false">IFERROR((R357+S357+J357)/F357,0)</f>
        <v>1</v>
      </c>
      <c r="AB357" s="0" t="str">
        <f aca="false">A357&amp;"|"&amp;D357</f>
        <v>Canada|2017</v>
      </c>
    </row>
    <row r="358" customFormat="false" ht="15" hidden="false" customHeight="false" outlineLevel="0" collapsed="false">
      <c r="A358" s="0" t="s">
        <v>214</v>
      </c>
      <c r="B358" s="0" t="s">
        <v>452</v>
      </c>
      <c r="C358" s="0" t="s">
        <v>127</v>
      </c>
      <c r="D358" s="0" t="n">
        <v>2018</v>
      </c>
      <c r="E358" s="59" t="n">
        <v>37294996</v>
      </c>
      <c r="F358" s="60" t="n">
        <v>661.2</v>
      </c>
      <c r="G358" s="61" t="n">
        <v>53.02</v>
      </c>
      <c r="H358" s="61" t="n">
        <v>70.74</v>
      </c>
      <c r="I358" s="61" t="n">
        <v>4.02</v>
      </c>
      <c r="J358" s="61" t="n">
        <v>100.03</v>
      </c>
      <c r="K358" s="61" t="n">
        <v>385.89</v>
      </c>
      <c r="L358" s="61" t="n">
        <v>3.49</v>
      </c>
      <c r="M358" s="61" t="n">
        <v>33.47</v>
      </c>
      <c r="N358" s="61" t="n">
        <v>10.54</v>
      </c>
      <c r="O358" s="61" t="n">
        <v>0</v>
      </c>
      <c r="P358" s="62" t="n">
        <v>170.9</v>
      </c>
      <c r="Q358" s="0" t="n">
        <v>1</v>
      </c>
      <c r="R358" s="60" t="n">
        <f aca="false">G358+H358+I358</f>
        <v>127.78</v>
      </c>
      <c r="S358" s="60" t="n">
        <f aca="false">K358+L358+M358+N358+O358</f>
        <v>433.39</v>
      </c>
      <c r="T358" s="60" t="n">
        <f aca="false">L358+M358</f>
        <v>36.96</v>
      </c>
      <c r="U358" s="60" t="n">
        <f aca="false">S358+J358</f>
        <v>533.42</v>
      </c>
      <c r="V358" s="63" t="n">
        <f aca="false">IFERROR(S358/F358,0)</f>
        <v>0.655459770114943</v>
      </c>
      <c r="W358" s="63" t="n">
        <f aca="false">IFERROR(R358/F358,0)</f>
        <v>0.193254688445251</v>
      </c>
      <c r="X358" s="63" t="n">
        <f aca="false">IFERROR(T358/F358,0)</f>
        <v>0.0558983666061706</v>
      </c>
      <c r="Y358" s="63" t="n">
        <f aca="false">IFERROR(G358/F358,0)</f>
        <v>0.0801875378100423</v>
      </c>
      <c r="Z358" s="59" t="n">
        <f aca="false">IF(E358&gt;0,F358*1000000000/E358,"")</f>
        <v>17728.9199870138</v>
      </c>
      <c r="AA358" s="63" t="n">
        <f aca="false">IFERROR((R358+S358+J358)/F358,0)</f>
        <v>1</v>
      </c>
      <c r="AB358" s="0" t="str">
        <f aca="false">A358&amp;"|"&amp;D358</f>
        <v>Canada|2018</v>
      </c>
    </row>
    <row r="359" customFormat="false" ht="15" hidden="false" customHeight="false" outlineLevel="0" collapsed="false">
      <c r="A359" s="0" t="s">
        <v>214</v>
      </c>
      <c r="B359" s="0" t="s">
        <v>452</v>
      </c>
      <c r="C359" s="0" t="s">
        <v>127</v>
      </c>
      <c r="D359" s="0" t="n">
        <v>2019</v>
      </c>
      <c r="E359" s="59" t="n">
        <v>37782934</v>
      </c>
      <c r="F359" s="60" t="n">
        <v>655.7</v>
      </c>
      <c r="G359" s="61" t="n">
        <v>50.14</v>
      </c>
      <c r="H359" s="61" t="n">
        <v>72.94</v>
      </c>
      <c r="I359" s="61" t="n">
        <v>3.42</v>
      </c>
      <c r="J359" s="61" t="n">
        <v>100.49</v>
      </c>
      <c r="K359" s="61" t="n">
        <v>381.77</v>
      </c>
      <c r="L359" s="61" t="n">
        <v>3.75</v>
      </c>
      <c r="M359" s="61" t="n">
        <v>32.88</v>
      </c>
      <c r="N359" s="61" t="n">
        <v>10.31</v>
      </c>
      <c r="O359" s="61" t="n">
        <v>0</v>
      </c>
      <c r="P359" s="62" t="n">
        <v>170</v>
      </c>
      <c r="Q359" s="0" t="n">
        <v>1</v>
      </c>
      <c r="R359" s="60" t="n">
        <f aca="false">G359+H359+I359</f>
        <v>126.5</v>
      </c>
      <c r="S359" s="60" t="n">
        <f aca="false">K359+L359+M359+N359+O359</f>
        <v>428.71</v>
      </c>
      <c r="T359" s="60" t="n">
        <f aca="false">L359+M359</f>
        <v>36.63</v>
      </c>
      <c r="U359" s="60" t="n">
        <f aca="false">S359+J359</f>
        <v>529.2</v>
      </c>
      <c r="V359" s="63" t="n">
        <f aca="false">IFERROR(S359/F359,0)</f>
        <v>0.653820344669818</v>
      </c>
      <c r="W359" s="63" t="n">
        <f aca="false">IFERROR(R359/F359,0)</f>
        <v>0.192923593106604</v>
      </c>
      <c r="X359" s="63" t="n">
        <f aca="false">IFERROR(T359/F359,0)</f>
        <v>0.0558639621778252</v>
      </c>
      <c r="Y359" s="63" t="n">
        <f aca="false">IFERROR(G359/F359,0)</f>
        <v>0.076467896904072</v>
      </c>
      <c r="Z359" s="59" t="n">
        <f aca="false">IF(E359&gt;0,F359*1000000000/E359,"")</f>
        <v>17354.3960349929</v>
      </c>
      <c r="AA359" s="63" t="n">
        <f aca="false">IFERROR((R359+S359+J359)/F359,0)</f>
        <v>1</v>
      </c>
      <c r="AB359" s="0" t="str">
        <f aca="false">A359&amp;"|"&amp;D359</f>
        <v>Canada|2019</v>
      </c>
    </row>
    <row r="360" customFormat="false" ht="15" hidden="false" customHeight="false" outlineLevel="0" collapsed="false">
      <c r="A360" s="0" t="s">
        <v>214</v>
      </c>
      <c r="B360" s="0" t="s">
        <v>452</v>
      </c>
      <c r="C360" s="0" t="s">
        <v>127</v>
      </c>
      <c r="D360" s="0" t="n">
        <v>2020</v>
      </c>
      <c r="E360" s="59" t="n">
        <v>38171903</v>
      </c>
      <c r="F360" s="60" t="n">
        <v>655.89</v>
      </c>
      <c r="G360" s="61" t="n">
        <v>39.04</v>
      </c>
      <c r="H360" s="61" t="n">
        <v>75.59</v>
      </c>
      <c r="I360" s="61" t="n">
        <v>6.96</v>
      </c>
      <c r="J360" s="61" t="n">
        <v>97.51</v>
      </c>
      <c r="K360" s="61" t="n">
        <v>386.55</v>
      </c>
      <c r="L360" s="61" t="n">
        <v>4.07</v>
      </c>
      <c r="M360" s="61" t="n">
        <v>35.76</v>
      </c>
      <c r="N360" s="61" t="n">
        <v>10.41</v>
      </c>
      <c r="O360" s="61" t="n">
        <v>0</v>
      </c>
      <c r="P360" s="62" t="n">
        <v>161.7</v>
      </c>
      <c r="Q360" s="0" t="n">
        <v>1</v>
      </c>
      <c r="R360" s="60" t="n">
        <f aca="false">G360+H360+I360</f>
        <v>121.59</v>
      </c>
      <c r="S360" s="60" t="n">
        <f aca="false">K360+L360+M360+N360+O360</f>
        <v>436.79</v>
      </c>
      <c r="T360" s="60" t="n">
        <f aca="false">L360+M360</f>
        <v>39.83</v>
      </c>
      <c r="U360" s="60" t="n">
        <f aca="false">S360+J360</f>
        <v>534.3</v>
      </c>
      <c r="V360" s="63" t="n">
        <f aca="false">IFERROR(S360/F360,0)</f>
        <v>0.665950083093202</v>
      </c>
      <c r="W360" s="63" t="n">
        <f aca="false">IFERROR(R360/F360,0)</f>
        <v>0.185381695101313</v>
      </c>
      <c r="X360" s="63" t="n">
        <f aca="false">IFERROR(T360/F360,0)</f>
        <v>0.0607266462364116</v>
      </c>
      <c r="Y360" s="63" t="n">
        <f aca="false">IFERROR(G360/F360,0)</f>
        <v>0.0595221759746299</v>
      </c>
      <c r="Z360" s="59" t="n">
        <f aca="false">IF(E360&gt;0,F360*1000000000/E360,"")</f>
        <v>17182.5334461318</v>
      </c>
      <c r="AA360" s="63" t="n">
        <f aca="false">IFERROR((R360+S360+J360)/F360,0)</f>
        <v>1</v>
      </c>
      <c r="AB360" s="0" t="str">
        <f aca="false">A360&amp;"|"&amp;D360</f>
        <v>Canada|2020</v>
      </c>
    </row>
    <row r="361" customFormat="false" ht="15" hidden="false" customHeight="false" outlineLevel="0" collapsed="false">
      <c r="A361" s="0" t="s">
        <v>214</v>
      </c>
      <c r="B361" s="0" t="s">
        <v>452</v>
      </c>
      <c r="C361" s="0" t="s">
        <v>127</v>
      </c>
      <c r="D361" s="0" t="n">
        <v>2021</v>
      </c>
      <c r="E361" s="59" t="n">
        <v>38454058</v>
      </c>
      <c r="F361" s="60" t="n">
        <v>652.4</v>
      </c>
      <c r="G361" s="61" t="n">
        <v>34.83</v>
      </c>
      <c r="H361" s="61" t="n">
        <v>83.6</v>
      </c>
      <c r="I361" s="61" t="n">
        <v>6.6</v>
      </c>
      <c r="J361" s="61" t="n">
        <v>91.98</v>
      </c>
      <c r="K361" s="61" t="n">
        <v>382.43</v>
      </c>
      <c r="L361" s="61" t="n">
        <v>5.11</v>
      </c>
      <c r="M361" s="61" t="n">
        <v>37.3</v>
      </c>
      <c r="N361" s="61" t="n">
        <v>10.55</v>
      </c>
      <c r="O361" s="61" t="n">
        <v>0</v>
      </c>
      <c r="P361" s="62" t="n">
        <v>165.4</v>
      </c>
      <c r="Q361" s="0" t="n">
        <v>1</v>
      </c>
      <c r="R361" s="60" t="n">
        <f aca="false">G361+H361+I361</f>
        <v>125.03</v>
      </c>
      <c r="S361" s="60" t="n">
        <f aca="false">K361+L361+M361+N361+O361</f>
        <v>435.39</v>
      </c>
      <c r="T361" s="60" t="n">
        <f aca="false">L361+M361</f>
        <v>42.41</v>
      </c>
      <c r="U361" s="60" t="n">
        <f aca="false">S361+J361</f>
        <v>527.37</v>
      </c>
      <c r="V361" s="63" t="n">
        <f aca="false">IFERROR(S361/F361,0)</f>
        <v>0.667366646229307</v>
      </c>
      <c r="W361" s="63" t="n">
        <f aca="false">IFERROR(R361/F361,0)</f>
        <v>0.191646229307174</v>
      </c>
      <c r="X361" s="63" t="n">
        <f aca="false">IFERROR(T361/F361,0)</f>
        <v>0.0650061312078479</v>
      </c>
      <c r="Y361" s="63" t="n">
        <f aca="false">IFERROR(G361/F361,0)</f>
        <v>0.0533874923359902</v>
      </c>
      <c r="Z361" s="59" t="n">
        <f aca="false">IF(E361&gt;0,F361*1000000000/E361,"")</f>
        <v>16965.6996928647</v>
      </c>
      <c r="AA361" s="63" t="n">
        <f aca="false">IFERROR((R361+S361+J361)/F361,0)</f>
        <v>1</v>
      </c>
      <c r="AB361" s="0" t="str">
        <f aca="false">A361&amp;"|"&amp;D361</f>
        <v>Canada|2021</v>
      </c>
    </row>
    <row r="362" customFormat="false" ht="15" hidden="false" customHeight="false" outlineLevel="0" collapsed="false">
      <c r="A362" s="0" t="s">
        <v>214</v>
      </c>
      <c r="B362" s="0" t="s">
        <v>452</v>
      </c>
      <c r="C362" s="0" t="s">
        <v>127</v>
      </c>
      <c r="D362" s="0" t="n">
        <v>2022</v>
      </c>
      <c r="E362" s="59" t="n">
        <v>38821259</v>
      </c>
      <c r="F362" s="60" t="n">
        <v>664.08</v>
      </c>
      <c r="G362" s="61" t="n">
        <v>26.49</v>
      </c>
      <c r="H362" s="61" t="n">
        <v>90.44</v>
      </c>
      <c r="I362" s="61" t="n">
        <v>8.05</v>
      </c>
      <c r="J362" s="61" t="n">
        <v>86.63</v>
      </c>
      <c r="K362" s="61" t="n">
        <v>397.73</v>
      </c>
      <c r="L362" s="61" t="n">
        <v>5.74</v>
      </c>
      <c r="M362" s="61" t="n">
        <v>39.48</v>
      </c>
      <c r="N362" s="61" t="n">
        <v>9.52</v>
      </c>
      <c r="O362" s="61" t="n">
        <v>0</v>
      </c>
      <c r="P362" s="62" t="n">
        <v>160.6</v>
      </c>
      <c r="Q362" s="0" t="n">
        <v>1</v>
      </c>
      <c r="R362" s="60" t="n">
        <f aca="false">G362+H362+I362</f>
        <v>124.98</v>
      </c>
      <c r="S362" s="60" t="n">
        <f aca="false">K362+L362+M362+N362+O362</f>
        <v>452.47</v>
      </c>
      <c r="T362" s="60" t="n">
        <f aca="false">L362+M362</f>
        <v>45.22</v>
      </c>
      <c r="U362" s="60" t="n">
        <f aca="false">S362+J362</f>
        <v>539.1</v>
      </c>
      <c r="V362" s="63" t="n">
        <f aca="false">IFERROR(S362/F362,0)</f>
        <v>0.681348632694856</v>
      </c>
      <c r="W362" s="63" t="n">
        <f aca="false">IFERROR(R362/F362,0)</f>
        <v>0.188200216841344</v>
      </c>
      <c r="X362" s="63" t="n">
        <f aca="false">IFERROR(T362/F362,0)</f>
        <v>0.0680942055174075</v>
      </c>
      <c r="Y362" s="63" t="n">
        <f aca="false">IFERROR(G362/F362,0)</f>
        <v>0.0398897723165884</v>
      </c>
      <c r="Z362" s="59" t="n">
        <f aca="false">IF(E362&gt;0,F362*1000000000/E362,"")</f>
        <v>17106.0912784925</v>
      </c>
      <c r="AA362" s="63" t="n">
        <f aca="false">IFERROR((R362+S362+J362)/F362,0)</f>
        <v>1</v>
      </c>
      <c r="AB362" s="0" t="str">
        <f aca="false">A362&amp;"|"&amp;D362</f>
        <v>Canada|2022</v>
      </c>
    </row>
    <row r="363" customFormat="false" ht="15" hidden="false" customHeight="false" outlineLevel="0" collapsed="false">
      <c r="A363" s="0" t="s">
        <v>214</v>
      </c>
      <c r="B363" s="0" t="s">
        <v>452</v>
      </c>
      <c r="C363" s="0" t="s">
        <v>127</v>
      </c>
      <c r="D363" s="0" t="n">
        <v>2023</v>
      </c>
      <c r="E363" s="59" t="n">
        <v>39299098</v>
      </c>
      <c r="F363" s="60" t="n">
        <v>641.39</v>
      </c>
      <c r="G363" s="61" t="n">
        <v>23.74</v>
      </c>
      <c r="H363" s="61" t="n">
        <v>102.88</v>
      </c>
      <c r="I363" s="61" t="n">
        <v>6.89</v>
      </c>
      <c r="J363" s="61" t="n">
        <v>88.43</v>
      </c>
      <c r="K363" s="61" t="n">
        <v>360.74</v>
      </c>
      <c r="L363" s="61" t="n">
        <v>8.4</v>
      </c>
      <c r="M363" s="61" t="n">
        <v>40.51</v>
      </c>
      <c r="N363" s="61" t="n">
        <v>9.8</v>
      </c>
      <c r="O363" s="61" t="n">
        <v>0</v>
      </c>
      <c r="P363" s="62" t="n">
        <v>174.4</v>
      </c>
      <c r="Q363" s="0" t="n">
        <v>1</v>
      </c>
      <c r="R363" s="60" t="n">
        <f aca="false">G363+H363+I363</f>
        <v>133.51</v>
      </c>
      <c r="S363" s="60" t="n">
        <f aca="false">K363+L363+M363+N363+O363</f>
        <v>419.45</v>
      </c>
      <c r="T363" s="60" t="n">
        <f aca="false">L363+M363</f>
        <v>48.91</v>
      </c>
      <c r="U363" s="60" t="n">
        <f aca="false">S363+J363</f>
        <v>507.88</v>
      </c>
      <c r="V363" s="63" t="n">
        <f aca="false">IFERROR(S363/F363,0)</f>
        <v>0.653970283290977</v>
      </c>
      <c r="W363" s="63" t="n">
        <f aca="false">IFERROR(R363/F363,0)</f>
        <v>0.208157283400115</v>
      </c>
      <c r="X363" s="63" t="n">
        <f aca="false">IFERROR(T363/F363,0)</f>
        <v>0.0762562559441214</v>
      </c>
      <c r="Y363" s="63" t="n">
        <f aca="false">IFERROR(G363/F363,0)</f>
        <v>0.0370133616052636</v>
      </c>
      <c r="Z363" s="59" t="n">
        <f aca="false">IF(E363&gt;0,F363*1000000000/E363,"")</f>
        <v>16320.7308218626</v>
      </c>
      <c r="AA363" s="63" t="n">
        <f aca="false">IFERROR((R363+S363+J363)/F363,0)</f>
        <v>1</v>
      </c>
      <c r="AB363" s="0" t="str">
        <f aca="false">A363&amp;"|"&amp;D363</f>
        <v>Canada|2023</v>
      </c>
    </row>
    <row r="364" customFormat="false" ht="15" hidden="false" customHeight="false" outlineLevel="0" collapsed="false">
      <c r="A364" s="0" t="s">
        <v>214</v>
      </c>
      <c r="B364" s="0" t="s">
        <v>452</v>
      </c>
      <c r="C364" s="0" t="s">
        <v>127</v>
      </c>
      <c r="D364" s="0" t="n">
        <v>2024</v>
      </c>
      <c r="E364" s="59" t="n">
        <v>39742429</v>
      </c>
      <c r="F364" s="60" t="n">
        <v>636.79</v>
      </c>
      <c r="G364" s="61" t="n">
        <v>25.14</v>
      </c>
      <c r="H364" s="61" t="n">
        <v>109.6</v>
      </c>
      <c r="I364" s="61" t="n">
        <v>7.3</v>
      </c>
      <c r="J364" s="61" t="n">
        <v>85.47</v>
      </c>
      <c r="K364" s="61" t="n">
        <v>343.2</v>
      </c>
      <c r="L364" s="61" t="n">
        <v>9.42</v>
      </c>
      <c r="M364" s="61" t="n">
        <v>46.83</v>
      </c>
      <c r="N364" s="61" t="n">
        <v>9.83</v>
      </c>
      <c r="O364" s="61" t="n">
        <v>0</v>
      </c>
      <c r="P364" s="62" t="n">
        <v>185.3</v>
      </c>
      <c r="Q364" s="0" t="n">
        <v>1</v>
      </c>
      <c r="R364" s="60" t="n">
        <f aca="false">G364+H364+I364</f>
        <v>142.04</v>
      </c>
      <c r="S364" s="60" t="n">
        <f aca="false">K364+L364+M364+N364+O364</f>
        <v>409.28</v>
      </c>
      <c r="T364" s="60" t="n">
        <f aca="false">L364+M364</f>
        <v>56.25</v>
      </c>
      <c r="U364" s="60" t="n">
        <f aca="false">S364+J364</f>
        <v>494.75</v>
      </c>
      <c r="V364" s="63" t="n">
        <f aca="false">IFERROR(S364/F364,0)</f>
        <v>0.642723660861509</v>
      </c>
      <c r="W364" s="63" t="n">
        <f aca="false">IFERROR(R364/F364,0)</f>
        <v>0.223056266587101</v>
      </c>
      <c r="X364" s="63" t="n">
        <f aca="false">IFERROR(T364/F364,0)</f>
        <v>0.0883336735815575</v>
      </c>
      <c r="Y364" s="63" t="n">
        <f aca="false">IFERROR(G364/F364,0)</f>
        <v>0.0394792631793841</v>
      </c>
      <c r="Z364" s="59" t="n">
        <f aca="false">IF(E364&gt;0,F364*1000000000/E364,"")</f>
        <v>16022.9260269925</v>
      </c>
      <c r="AA364" s="63" t="n">
        <f aca="false">IFERROR((R364+S364+J364)/F364,0)</f>
        <v>1</v>
      </c>
      <c r="AB364" s="0" t="str">
        <f aca="false">A364&amp;"|"&amp;D364</f>
        <v>Canada|2024</v>
      </c>
    </row>
    <row r="365" customFormat="false" ht="15" hidden="false" customHeight="false" outlineLevel="0" collapsed="false">
      <c r="A365" s="0" t="s">
        <v>214</v>
      </c>
      <c r="B365" s="0" t="s">
        <v>452</v>
      </c>
      <c r="C365" s="0" t="s">
        <v>127</v>
      </c>
      <c r="D365" s="0" t="n">
        <v>2025</v>
      </c>
      <c r="E365" s="59" t="n">
        <v>40126728</v>
      </c>
      <c r="F365" s="60" t="n">
        <v>652.44</v>
      </c>
      <c r="G365" s="61" t="n">
        <v>26.68</v>
      </c>
      <c r="H365" s="61" t="n">
        <v>115.9</v>
      </c>
      <c r="I365" s="61" t="n">
        <v>7.63</v>
      </c>
      <c r="J365" s="61" t="n">
        <v>85.32</v>
      </c>
      <c r="K365" s="61" t="n">
        <v>344.74</v>
      </c>
      <c r="L365" s="61" t="n">
        <v>10.17</v>
      </c>
      <c r="M365" s="61" t="n">
        <v>51.48</v>
      </c>
      <c r="N365" s="61" t="n">
        <v>10.52</v>
      </c>
      <c r="O365" s="61" t="n">
        <v>0</v>
      </c>
      <c r="P365" s="62" t="n">
        <v>190.7</v>
      </c>
      <c r="Q365" s="0" t="n">
        <v>1</v>
      </c>
      <c r="R365" s="60" t="n">
        <f aca="false">G365+H365+I365</f>
        <v>150.21</v>
      </c>
      <c r="S365" s="60" t="n">
        <f aca="false">K365+L365+M365+N365+O365</f>
        <v>416.91</v>
      </c>
      <c r="T365" s="60" t="n">
        <f aca="false">L365+M365</f>
        <v>61.65</v>
      </c>
      <c r="U365" s="60" t="n">
        <f aca="false">S365+J365</f>
        <v>502.23</v>
      </c>
      <c r="V365" s="63" t="n">
        <f aca="false">IFERROR(S365/F365,0)</f>
        <v>0.63900128747471</v>
      </c>
      <c r="W365" s="63" t="n">
        <f aca="false">IFERROR(R365/F365,0)</f>
        <v>0.230228066948685</v>
      </c>
      <c r="X365" s="63" t="n">
        <f aca="false">IFERROR(T365/F365,0)</f>
        <v>0.0944914474894243</v>
      </c>
      <c r="Y365" s="63" t="n">
        <f aca="false">IFERROR(G365/F365,0)</f>
        <v>0.0408926491324873</v>
      </c>
      <c r="Z365" s="59" t="n">
        <f aca="false">IF(E365&gt;0,F365*1000000000/E365,"")</f>
        <v>16259.4866942553</v>
      </c>
      <c r="AA365" s="63" t="n">
        <f aca="false">IFERROR((R365+S365+J365)/F365,0)</f>
        <v>1</v>
      </c>
      <c r="AB365" s="0" t="str">
        <f aca="false">A365&amp;"|"&amp;D365</f>
        <v>Canada|2025</v>
      </c>
    </row>
    <row r="366" customFormat="false" ht="15" hidden="false" customHeight="false" outlineLevel="0" collapsed="false">
      <c r="A366" s="0" t="s">
        <v>215</v>
      </c>
      <c r="B366" s="0" t="s">
        <v>453</v>
      </c>
      <c r="C366" s="0" t="s">
        <v>127</v>
      </c>
      <c r="D366" s="0" t="n">
        <v>2015</v>
      </c>
      <c r="E366" s="59" t="n">
        <v>512405</v>
      </c>
      <c r="F366" s="60" t="n">
        <v>0.43</v>
      </c>
      <c r="G366" s="61" t="n">
        <v>0</v>
      </c>
      <c r="H366" s="61" t="n">
        <v>0</v>
      </c>
      <c r="I366" s="61" t="n">
        <v>0.34</v>
      </c>
      <c r="J366" s="61" t="n">
        <v>0</v>
      </c>
      <c r="K366" s="61" t="n">
        <v>0</v>
      </c>
      <c r="L366" s="61" t="n">
        <v>0.01</v>
      </c>
      <c r="M366" s="61" t="n">
        <v>0.08</v>
      </c>
      <c r="N366" s="61" t="n">
        <v>0</v>
      </c>
      <c r="O366" s="61" t="n">
        <v>0</v>
      </c>
      <c r="P366" s="62" t="n">
        <v>511.6</v>
      </c>
      <c r="Q366" s="0" t="n">
        <v>0</v>
      </c>
      <c r="R366" s="60" t="n">
        <f aca="false">G366+H366+I366</f>
        <v>0.34</v>
      </c>
      <c r="S366" s="60" t="n">
        <f aca="false">K366+L366+M366+N366+O366</f>
        <v>0.09</v>
      </c>
      <c r="T366" s="60" t="n">
        <f aca="false">L366+M366</f>
        <v>0.09</v>
      </c>
      <c r="U366" s="60" t="n">
        <f aca="false">S366+J366</f>
        <v>0.09</v>
      </c>
      <c r="V366" s="63" t="n">
        <f aca="false">IFERROR(S366/F366,0)</f>
        <v>0.209302325581395</v>
      </c>
      <c r="W366" s="63" t="n">
        <f aca="false">IFERROR(R366/F366,0)</f>
        <v>0.790697674418605</v>
      </c>
      <c r="X366" s="63" t="n">
        <f aca="false">IFERROR(T366/F366,0)</f>
        <v>0.209302325581395</v>
      </c>
      <c r="Y366" s="63" t="n">
        <f aca="false">IFERROR(G366/F366,0)</f>
        <v>0</v>
      </c>
      <c r="Z366" s="59" t="n">
        <f aca="false">IF(E366&gt;0,F366*1000000000/E366,"")</f>
        <v>839.179945550883</v>
      </c>
      <c r="AA366" s="63" t="n">
        <f aca="false">IFERROR((R366+S366+J366)/F366,0)</f>
        <v>1</v>
      </c>
      <c r="AB366" s="0" t="str">
        <f aca="false">A366&amp;"|"&amp;D366</f>
        <v>Cape Verde|2015</v>
      </c>
    </row>
    <row r="367" customFormat="false" ht="15" hidden="false" customHeight="false" outlineLevel="0" collapsed="false">
      <c r="A367" s="0" t="s">
        <v>215</v>
      </c>
      <c r="B367" s="0" t="s">
        <v>453</v>
      </c>
      <c r="C367" s="0" t="s">
        <v>127</v>
      </c>
      <c r="D367" s="0" t="n">
        <v>2016</v>
      </c>
      <c r="E367" s="59" t="n">
        <v>512556</v>
      </c>
      <c r="F367" s="60" t="n">
        <v>0.45</v>
      </c>
      <c r="G367" s="61" t="n">
        <v>0</v>
      </c>
      <c r="H367" s="61" t="n">
        <v>0</v>
      </c>
      <c r="I367" s="61" t="n">
        <v>0.36</v>
      </c>
      <c r="J367" s="61" t="n">
        <v>0</v>
      </c>
      <c r="K367" s="61" t="n">
        <v>0</v>
      </c>
      <c r="L367" s="61" t="n">
        <v>0.01</v>
      </c>
      <c r="M367" s="61" t="n">
        <v>0.08</v>
      </c>
      <c r="N367" s="61" t="n">
        <v>0</v>
      </c>
      <c r="O367" s="61" t="n">
        <v>0</v>
      </c>
      <c r="P367" s="62" t="n">
        <v>533.3</v>
      </c>
      <c r="Q367" s="0" t="n">
        <v>0</v>
      </c>
      <c r="R367" s="60" t="n">
        <f aca="false">G367+H367+I367</f>
        <v>0.36</v>
      </c>
      <c r="S367" s="60" t="n">
        <f aca="false">K367+L367+M367+N367+O367</f>
        <v>0.09</v>
      </c>
      <c r="T367" s="60" t="n">
        <f aca="false">L367+M367</f>
        <v>0.09</v>
      </c>
      <c r="U367" s="60" t="n">
        <f aca="false">S367+J367</f>
        <v>0.09</v>
      </c>
      <c r="V367" s="63" t="n">
        <f aca="false">IFERROR(S367/F367,0)</f>
        <v>0.2</v>
      </c>
      <c r="W367" s="63" t="n">
        <f aca="false">IFERROR(R367/F367,0)</f>
        <v>0.8</v>
      </c>
      <c r="X367" s="63" t="n">
        <f aca="false">IFERROR(T367/F367,0)</f>
        <v>0.2</v>
      </c>
      <c r="Y367" s="63" t="n">
        <f aca="false">IFERROR(G367/F367,0)</f>
        <v>0</v>
      </c>
      <c r="Z367" s="59" t="n">
        <f aca="false">IF(E367&gt;0,F367*1000000000/E367,"")</f>
        <v>877.952848079039</v>
      </c>
      <c r="AA367" s="63" t="n">
        <f aca="false">IFERROR((R367+S367+J367)/F367,0)</f>
        <v>1</v>
      </c>
      <c r="AB367" s="0" t="str">
        <f aca="false">A367&amp;"|"&amp;D367</f>
        <v>Cape Verde|2016</v>
      </c>
    </row>
    <row r="368" customFormat="false" ht="15" hidden="false" customHeight="false" outlineLevel="0" collapsed="false">
      <c r="A368" s="0" t="s">
        <v>215</v>
      </c>
      <c r="B368" s="0" t="s">
        <v>453</v>
      </c>
      <c r="C368" s="0" t="s">
        <v>127</v>
      </c>
      <c r="D368" s="0" t="n">
        <v>2017</v>
      </c>
      <c r="E368" s="59" t="n">
        <v>512899</v>
      </c>
      <c r="F368" s="60" t="n">
        <v>0.43</v>
      </c>
      <c r="G368" s="61" t="n">
        <v>0</v>
      </c>
      <c r="H368" s="61" t="n">
        <v>0</v>
      </c>
      <c r="I368" s="61" t="n">
        <v>0.35</v>
      </c>
      <c r="J368" s="61" t="n">
        <v>0</v>
      </c>
      <c r="K368" s="61" t="n">
        <v>0</v>
      </c>
      <c r="L368" s="61" t="n">
        <v>0.01</v>
      </c>
      <c r="M368" s="61" t="n">
        <v>0.07</v>
      </c>
      <c r="N368" s="61" t="n">
        <v>0</v>
      </c>
      <c r="O368" s="61" t="n">
        <v>0</v>
      </c>
      <c r="P368" s="62" t="n">
        <v>534.9</v>
      </c>
      <c r="Q368" s="0" t="n">
        <v>0</v>
      </c>
      <c r="R368" s="60" t="n">
        <f aca="false">G368+H368+I368</f>
        <v>0.35</v>
      </c>
      <c r="S368" s="60" t="n">
        <f aca="false">K368+L368+M368+N368+O368</f>
        <v>0.08</v>
      </c>
      <c r="T368" s="60" t="n">
        <f aca="false">L368+M368</f>
        <v>0.08</v>
      </c>
      <c r="U368" s="60" t="n">
        <f aca="false">S368+J368</f>
        <v>0.08</v>
      </c>
      <c r="V368" s="63" t="n">
        <f aca="false">IFERROR(S368/F368,0)</f>
        <v>0.186046511627907</v>
      </c>
      <c r="W368" s="63" t="n">
        <f aca="false">IFERROR(R368/F368,0)</f>
        <v>0.813953488372093</v>
      </c>
      <c r="X368" s="63" t="n">
        <f aca="false">IFERROR(T368/F368,0)</f>
        <v>0.186046511627907</v>
      </c>
      <c r="Y368" s="63" t="n">
        <f aca="false">IFERROR(G368/F368,0)</f>
        <v>0</v>
      </c>
      <c r="Z368" s="59" t="n">
        <f aca="false">IF(E368&gt;0,F368*1000000000/E368,"")</f>
        <v>838.371687213272</v>
      </c>
      <c r="AA368" s="63" t="n">
        <f aca="false">IFERROR((R368+S368+J368)/F368,0)</f>
        <v>1</v>
      </c>
      <c r="AB368" s="0" t="str">
        <f aca="false">A368&amp;"|"&amp;D368</f>
        <v>Cape Verde|2017</v>
      </c>
    </row>
    <row r="369" customFormat="false" ht="15" hidden="false" customHeight="false" outlineLevel="0" collapsed="false">
      <c r="A369" s="0" t="s">
        <v>215</v>
      </c>
      <c r="B369" s="0" t="s">
        <v>453</v>
      </c>
      <c r="C369" s="0" t="s">
        <v>127</v>
      </c>
      <c r="D369" s="0" t="n">
        <v>2018</v>
      </c>
      <c r="E369" s="59" t="n">
        <v>513418</v>
      </c>
      <c r="F369" s="60" t="n">
        <v>0.43</v>
      </c>
      <c r="G369" s="61" t="n">
        <v>0</v>
      </c>
      <c r="H369" s="61" t="n">
        <v>0</v>
      </c>
      <c r="I369" s="61" t="n">
        <v>0.34</v>
      </c>
      <c r="J369" s="61" t="n">
        <v>0</v>
      </c>
      <c r="K369" s="61" t="n">
        <v>0</v>
      </c>
      <c r="L369" s="61" t="n">
        <v>0.01</v>
      </c>
      <c r="M369" s="61" t="n">
        <v>0.08</v>
      </c>
      <c r="N369" s="61" t="n">
        <v>0</v>
      </c>
      <c r="O369" s="61" t="n">
        <v>0</v>
      </c>
      <c r="P369" s="62" t="n">
        <v>511.6</v>
      </c>
      <c r="Q369" s="0" t="n">
        <v>0</v>
      </c>
      <c r="R369" s="60" t="n">
        <f aca="false">G369+H369+I369</f>
        <v>0.34</v>
      </c>
      <c r="S369" s="60" t="n">
        <f aca="false">K369+L369+M369+N369+O369</f>
        <v>0.09</v>
      </c>
      <c r="T369" s="60" t="n">
        <f aca="false">L369+M369</f>
        <v>0.09</v>
      </c>
      <c r="U369" s="60" t="n">
        <f aca="false">S369+J369</f>
        <v>0.09</v>
      </c>
      <c r="V369" s="63" t="n">
        <f aca="false">IFERROR(S369/F369,0)</f>
        <v>0.209302325581395</v>
      </c>
      <c r="W369" s="63" t="n">
        <f aca="false">IFERROR(R369/F369,0)</f>
        <v>0.790697674418605</v>
      </c>
      <c r="X369" s="63" t="n">
        <f aca="false">IFERROR(T369/F369,0)</f>
        <v>0.209302325581395</v>
      </c>
      <c r="Y369" s="63" t="n">
        <f aca="false">IFERROR(G369/F369,0)</f>
        <v>0</v>
      </c>
      <c r="Z369" s="59" t="n">
        <f aca="false">IF(E369&gt;0,F369*1000000000/E369,"")</f>
        <v>837.524200553935</v>
      </c>
      <c r="AA369" s="63" t="n">
        <f aca="false">IFERROR((R369+S369+J369)/F369,0)</f>
        <v>1</v>
      </c>
      <c r="AB369" s="0" t="str">
        <f aca="false">A369&amp;"|"&amp;D369</f>
        <v>Cape Verde|2018</v>
      </c>
    </row>
    <row r="370" customFormat="false" ht="15" hidden="false" customHeight="false" outlineLevel="0" collapsed="false">
      <c r="A370" s="0" t="s">
        <v>215</v>
      </c>
      <c r="B370" s="0" t="s">
        <v>453</v>
      </c>
      <c r="C370" s="0" t="s">
        <v>127</v>
      </c>
      <c r="D370" s="0" t="n">
        <v>2019</v>
      </c>
      <c r="E370" s="59" t="n">
        <v>514116</v>
      </c>
      <c r="F370" s="60" t="n">
        <v>0.44</v>
      </c>
      <c r="G370" s="61" t="n">
        <v>0</v>
      </c>
      <c r="H370" s="61" t="n">
        <v>0</v>
      </c>
      <c r="I370" s="61" t="n">
        <v>0.36</v>
      </c>
      <c r="J370" s="61" t="n">
        <v>0</v>
      </c>
      <c r="K370" s="61" t="n">
        <v>0</v>
      </c>
      <c r="L370" s="61" t="n">
        <v>0.01</v>
      </c>
      <c r="M370" s="61" t="n">
        <v>0.07</v>
      </c>
      <c r="N370" s="61" t="n">
        <v>0</v>
      </c>
      <c r="O370" s="61" t="n">
        <v>0</v>
      </c>
      <c r="P370" s="62" t="n">
        <v>545.5</v>
      </c>
      <c r="Q370" s="0" t="n">
        <v>0</v>
      </c>
      <c r="R370" s="60" t="n">
        <f aca="false">G370+H370+I370</f>
        <v>0.36</v>
      </c>
      <c r="S370" s="60" t="n">
        <f aca="false">K370+L370+M370+N370+O370</f>
        <v>0.08</v>
      </c>
      <c r="T370" s="60" t="n">
        <f aca="false">L370+M370</f>
        <v>0.08</v>
      </c>
      <c r="U370" s="60" t="n">
        <f aca="false">S370+J370</f>
        <v>0.08</v>
      </c>
      <c r="V370" s="63" t="n">
        <f aca="false">IFERROR(S370/F370,0)</f>
        <v>0.181818181818182</v>
      </c>
      <c r="W370" s="63" t="n">
        <f aca="false">IFERROR(R370/F370,0)</f>
        <v>0.818181818181818</v>
      </c>
      <c r="X370" s="63" t="n">
        <f aca="false">IFERROR(T370/F370,0)</f>
        <v>0.181818181818182</v>
      </c>
      <c r="Y370" s="63" t="n">
        <f aca="false">IFERROR(G370/F370,0)</f>
        <v>0</v>
      </c>
      <c r="Z370" s="59" t="n">
        <f aca="false">IF(E370&gt;0,F370*1000000000/E370,"")</f>
        <v>855.837982089645</v>
      </c>
      <c r="AA370" s="63" t="n">
        <f aca="false">IFERROR((R370+S370+J370)/F370,0)</f>
        <v>1</v>
      </c>
      <c r="AB370" s="0" t="str">
        <f aca="false">A370&amp;"|"&amp;D370</f>
        <v>Cape Verde|2019</v>
      </c>
    </row>
    <row r="371" customFormat="false" ht="15" hidden="false" customHeight="false" outlineLevel="0" collapsed="false">
      <c r="A371" s="0" t="s">
        <v>215</v>
      </c>
      <c r="B371" s="0" t="s">
        <v>453</v>
      </c>
      <c r="C371" s="0" t="s">
        <v>127</v>
      </c>
      <c r="D371" s="0" t="n">
        <v>2020</v>
      </c>
      <c r="E371" s="59" t="n">
        <v>514683</v>
      </c>
      <c r="F371" s="60" t="n">
        <v>0.42</v>
      </c>
      <c r="G371" s="61" t="n">
        <v>0</v>
      </c>
      <c r="H371" s="61" t="n">
        <v>0</v>
      </c>
      <c r="I371" s="61" t="n">
        <v>0.35</v>
      </c>
      <c r="J371" s="61" t="n">
        <v>0</v>
      </c>
      <c r="K371" s="61" t="n">
        <v>0</v>
      </c>
      <c r="L371" s="61" t="n">
        <v>0.01</v>
      </c>
      <c r="M371" s="61" t="n">
        <v>0.06</v>
      </c>
      <c r="N371" s="61" t="n">
        <v>0</v>
      </c>
      <c r="O371" s="61" t="n">
        <v>0</v>
      </c>
      <c r="P371" s="62" t="n">
        <v>547.6</v>
      </c>
      <c r="Q371" s="0" t="n">
        <v>0</v>
      </c>
      <c r="R371" s="60" t="n">
        <f aca="false">G371+H371+I371</f>
        <v>0.35</v>
      </c>
      <c r="S371" s="60" t="n">
        <f aca="false">K371+L371+M371+N371+O371</f>
        <v>0.07</v>
      </c>
      <c r="T371" s="60" t="n">
        <f aca="false">L371+M371</f>
        <v>0.07</v>
      </c>
      <c r="U371" s="60" t="n">
        <f aca="false">S371+J371</f>
        <v>0.07</v>
      </c>
      <c r="V371" s="63" t="n">
        <f aca="false">IFERROR(S371/F371,0)</f>
        <v>0.166666666666667</v>
      </c>
      <c r="W371" s="63" t="n">
        <f aca="false">IFERROR(R371/F371,0)</f>
        <v>0.833333333333333</v>
      </c>
      <c r="X371" s="63" t="n">
        <f aca="false">IFERROR(T371/F371,0)</f>
        <v>0.166666666666667</v>
      </c>
      <c r="Y371" s="63" t="n">
        <f aca="false">IFERROR(G371/F371,0)</f>
        <v>0</v>
      </c>
      <c r="Z371" s="59" t="n">
        <f aca="false">IF(E371&gt;0,F371*1000000000/E371,"")</f>
        <v>816.036278641416</v>
      </c>
      <c r="AA371" s="63" t="n">
        <f aca="false">IFERROR((R371+S371+J371)/F371,0)</f>
        <v>1</v>
      </c>
      <c r="AB371" s="0" t="str">
        <f aca="false">A371&amp;"|"&amp;D371</f>
        <v>Cape Verde|2020</v>
      </c>
    </row>
    <row r="372" customFormat="false" ht="15" hidden="false" customHeight="false" outlineLevel="0" collapsed="false">
      <c r="A372" s="0" t="s">
        <v>215</v>
      </c>
      <c r="B372" s="0" t="s">
        <v>453</v>
      </c>
      <c r="C372" s="0" t="s">
        <v>127</v>
      </c>
      <c r="D372" s="0" t="n">
        <v>2021</v>
      </c>
      <c r="E372" s="59" t="n">
        <v>516655</v>
      </c>
      <c r="F372" s="60" t="n">
        <v>0.43</v>
      </c>
      <c r="G372" s="61" t="n">
        <v>0</v>
      </c>
      <c r="H372" s="61" t="n">
        <v>0</v>
      </c>
      <c r="I372" s="61" t="n">
        <v>0.35</v>
      </c>
      <c r="J372" s="61" t="n">
        <v>0</v>
      </c>
      <c r="K372" s="61" t="n">
        <v>0</v>
      </c>
      <c r="L372" s="61" t="n">
        <v>0.01</v>
      </c>
      <c r="M372" s="61" t="n">
        <v>0.07</v>
      </c>
      <c r="N372" s="61" t="n">
        <v>0</v>
      </c>
      <c r="O372" s="61" t="n">
        <v>0</v>
      </c>
      <c r="P372" s="62" t="n">
        <v>534.9</v>
      </c>
      <c r="Q372" s="0" t="n">
        <v>0</v>
      </c>
      <c r="R372" s="60" t="n">
        <f aca="false">G372+H372+I372</f>
        <v>0.35</v>
      </c>
      <c r="S372" s="60" t="n">
        <f aca="false">K372+L372+M372+N372+O372</f>
        <v>0.08</v>
      </c>
      <c r="T372" s="60" t="n">
        <f aca="false">L372+M372</f>
        <v>0.08</v>
      </c>
      <c r="U372" s="60" t="n">
        <f aca="false">S372+J372</f>
        <v>0.08</v>
      </c>
      <c r="V372" s="63" t="n">
        <f aca="false">IFERROR(S372/F372,0)</f>
        <v>0.186046511627907</v>
      </c>
      <c r="W372" s="63" t="n">
        <f aca="false">IFERROR(R372/F372,0)</f>
        <v>0.813953488372093</v>
      </c>
      <c r="X372" s="63" t="n">
        <f aca="false">IFERROR(T372/F372,0)</f>
        <v>0.186046511627907</v>
      </c>
      <c r="Y372" s="63" t="n">
        <f aca="false">IFERROR(G372/F372,0)</f>
        <v>0</v>
      </c>
      <c r="Z372" s="59" t="n">
        <f aca="false">IF(E372&gt;0,F372*1000000000/E372,"")</f>
        <v>832.276857864532</v>
      </c>
      <c r="AA372" s="63" t="n">
        <f aca="false">IFERROR((R372+S372+J372)/F372,0)</f>
        <v>1</v>
      </c>
      <c r="AB372" s="0" t="str">
        <f aca="false">A372&amp;"|"&amp;D372</f>
        <v>Cape Verde|2021</v>
      </c>
    </row>
    <row r="373" customFormat="false" ht="15" hidden="false" customHeight="false" outlineLevel="0" collapsed="false">
      <c r="A373" s="0" t="s">
        <v>215</v>
      </c>
      <c r="B373" s="0" t="s">
        <v>453</v>
      </c>
      <c r="C373" s="0" t="s">
        <v>127</v>
      </c>
      <c r="D373" s="0" t="n">
        <v>2022</v>
      </c>
      <c r="E373" s="59" t="n">
        <v>519750</v>
      </c>
      <c r="F373" s="60" t="n">
        <v>0.5</v>
      </c>
      <c r="G373" s="61" t="n">
        <v>0</v>
      </c>
      <c r="H373" s="61" t="n">
        <v>0</v>
      </c>
      <c r="I373" s="61" t="n">
        <v>0.36</v>
      </c>
      <c r="J373" s="61" t="n">
        <v>0</v>
      </c>
      <c r="K373" s="61" t="n">
        <v>0</v>
      </c>
      <c r="L373" s="61" t="n">
        <v>0.07</v>
      </c>
      <c r="M373" s="61" t="n">
        <v>0.07</v>
      </c>
      <c r="N373" s="61" t="n">
        <v>0</v>
      </c>
      <c r="O373" s="61" t="n">
        <v>0</v>
      </c>
      <c r="P373" s="62" t="n">
        <v>480</v>
      </c>
      <c r="Q373" s="0" t="n">
        <v>0</v>
      </c>
      <c r="R373" s="60" t="n">
        <f aca="false">G373+H373+I373</f>
        <v>0.36</v>
      </c>
      <c r="S373" s="60" t="n">
        <f aca="false">K373+L373+M373+N373+O373</f>
        <v>0.14</v>
      </c>
      <c r="T373" s="60" t="n">
        <f aca="false">L373+M373</f>
        <v>0.14</v>
      </c>
      <c r="U373" s="60" t="n">
        <f aca="false">S373+J373</f>
        <v>0.14</v>
      </c>
      <c r="V373" s="63" t="n">
        <f aca="false">IFERROR(S373/F373,0)</f>
        <v>0.28</v>
      </c>
      <c r="W373" s="63" t="n">
        <f aca="false">IFERROR(R373/F373,0)</f>
        <v>0.72</v>
      </c>
      <c r="X373" s="63" t="n">
        <f aca="false">IFERROR(T373/F373,0)</f>
        <v>0.28</v>
      </c>
      <c r="Y373" s="63" t="n">
        <f aca="false">IFERROR(G373/F373,0)</f>
        <v>0</v>
      </c>
      <c r="Z373" s="59" t="n">
        <f aca="false">IF(E373&gt;0,F373*1000000000/E373,"")</f>
        <v>962.000962000962</v>
      </c>
      <c r="AA373" s="63" t="n">
        <f aca="false">IFERROR((R373+S373+J373)/F373,0)</f>
        <v>1</v>
      </c>
      <c r="AB373" s="0" t="str">
        <f aca="false">A373&amp;"|"&amp;D373</f>
        <v>Cape Verde|2022</v>
      </c>
    </row>
    <row r="374" customFormat="false" ht="15" hidden="false" customHeight="false" outlineLevel="0" collapsed="false">
      <c r="A374" s="0" t="s">
        <v>215</v>
      </c>
      <c r="B374" s="0" t="s">
        <v>453</v>
      </c>
      <c r="C374" s="0" t="s">
        <v>127</v>
      </c>
      <c r="D374" s="0" t="n">
        <v>2023</v>
      </c>
      <c r="E374" s="59" t="n">
        <v>522335</v>
      </c>
      <c r="F374" s="60" t="n">
        <v>0.5</v>
      </c>
      <c r="G374" s="61" t="n">
        <v>0</v>
      </c>
      <c r="H374" s="61" t="n">
        <v>0</v>
      </c>
      <c r="I374" s="61" t="n">
        <v>0.36</v>
      </c>
      <c r="J374" s="61" t="n">
        <v>0</v>
      </c>
      <c r="K374" s="61" t="n">
        <v>0</v>
      </c>
      <c r="L374" s="61" t="n">
        <v>0.07</v>
      </c>
      <c r="M374" s="61" t="n">
        <v>0.07</v>
      </c>
      <c r="N374" s="61" t="n">
        <v>0</v>
      </c>
      <c r="O374" s="61" t="n">
        <v>0</v>
      </c>
      <c r="P374" s="62" t="n">
        <v>480</v>
      </c>
      <c r="Q374" s="0" t="n">
        <v>0</v>
      </c>
      <c r="R374" s="60" t="n">
        <f aca="false">G374+H374+I374</f>
        <v>0.36</v>
      </c>
      <c r="S374" s="60" t="n">
        <f aca="false">K374+L374+M374+N374+O374</f>
        <v>0.14</v>
      </c>
      <c r="T374" s="60" t="n">
        <f aca="false">L374+M374</f>
        <v>0.14</v>
      </c>
      <c r="U374" s="60" t="n">
        <f aca="false">S374+J374</f>
        <v>0.14</v>
      </c>
      <c r="V374" s="63" t="n">
        <f aca="false">IFERROR(S374/F374,0)</f>
        <v>0.28</v>
      </c>
      <c r="W374" s="63" t="n">
        <f aca="false">IFERROR(R374/F374,0)</f>
        <v>0.72</v>
      </c>
      <c r="X374" s="63" t="n">
        <f aca="false">IFERROR(T374/F374,0)</f>
        <v>0.28</v>
      </c>
      <c r="Y374" s="63" t="n">
        <f aca="false">IFERROR(G374/F374,0)</f>
        <v>0</v>
      </c>
      <c r="Z374" s="59" t="n">
        <f aca="false">IF(E374&gt;0,F374*1000000000/E374,"")</f>
        <v>957.240085385816</v>
      </c>
      <c r="AA374" s="63" t="n">
        <f aca="false">IFERROR((R374+S374+J374)/F374,0)</f>
        <v>1</v>
      </c>
      <c r="AB374" s="0" t="str">
        <f aca="false">A374&amp;"|"&amp;D374</f>
        <v>Cape Verde|2023</v>
      </c>
    </row>
    <row r="375" customFormat="false" ht="15" hidden="false" customHeight="false" outlineLevel="0" collapsed="false">
      <c r="A375" s="0" t="s">
        <v>215</v>
      </c>
      <c r="B375" s="0" t="s">
        <v>453</v>
      </c>
      <c r="C375" s="0" t="s">
        <v>127</v>
      </c>
      <c r="D375" s="0" t="n">
        <v>2024</v>
      </c>
      <c r="E375" s="59" t="n">
        <v>524878</v>
      </c>
      <c r="F375" s="60" t="n">
        <v>0.52</v>
      </c>
      <c r="G375" s="61" t="n">
        <v>0</v>
      </c>
      <c r="H375" s="61" t="n">
        <v>0</v>
      </c>
      <c r="I375" s="61" t="n">
        <v>0.36</v>
      </c>
      <c r="J375" s="61" t="n">
        <v>0</v>
      </c>
      <c r="K375" s="61" t="n">
        <v>0</v>
      </c>
      <c r="L375" s="61" t="n">
        <v>0.08</v>
      </c>
      <c r="M375" s="61" t="n">
        <v>0.08</v>
      </c>
      <c r="N375" s="61" t="n">
        <v>0</v>
      </c>
      <c r="O375" s="61" t="n">
        <v>0</v>
      </c>
      <c r="P375" s="62" t="n">
        <v>461.5</v>
      </c>
      <c r="Q375" s="0" t="n">
        <v>0</v>
      </c>
      <c r="R375" s="60" t="n">
        <f aca="false">G375+H375+I375</f>
        <v>0.36</v>
      </c>
      <c r="S375" s="60" t="n">
        <f aca="false">K375+L375+M375+N375+O375</f>
        <v>0.16</v>
      </c>
      <c r="T375" s="60" t="n">
        <f aca="false">L375+M375</f>
        <v>0.16</v>
      </c>
      <c r="U375" s="60" t="n">
        <f aca="false">S375+J375</f>
        <v>0.16</v>
      </c>
      <c r="V375" s="63" t="n">
        <f aca="false">IFERROR(S375/F375,0)</f>
        <v>0.307692307692308</v>
      </c>
      <c r="W375" s="63" t="n">
        <f aca="false">IFERROR(R375/F375,0)</f>
        <v>0.692307692307692</v>
      </c>
      <c r="X375" s="63" t="n">
        <f aca="false">IFERROR(T375/F375,0)</f>
        <v>0.307692307692308</v>
      </c>
      <c r="Y375" s="63" t="n">
        <f aca="false">IFERROR(G375/F375,0)</f>
        <v>0</v>
      </c>
      <c r="Z375" s="59" t="n">
        <f aca="false">IF(E375&gt;0,F375*1000000000/E375,"")</f>
        <v>990.706411775689</v>
      </c>
      <c r="AA375" s="63" t="n">
        <f aca="false">IFERROR((R375+S375+J375)/F375,0)</f>
        <v>1</v>
      </c>
      <c r="AB375" s="0" t="str">
        <f aca="false">A375&amp;"|"&amp;D375</f>
        <v>Cape Verde|2024</v>
      </c>
    </row>
    <row r="376" customFormat="false" ht="15" hidden="false" customHeight="false" outlineLevel="0" collapsed="false">
      <c r="A376" s="0" t="s">
        <v>216</v>
      </c>
      <c r="B376" s="0" t="s">
        <v>454</v>
      </c>
      <c r="C376" s="0" t="s">
        <v>127</v>
      </c>
      <c r="D376" s="0" t="n">
        <v>2015</v>
      </c>
      <c r="E376" s="59" t="n">
        <v>61665</v>
      </c>
      <c r="F376" s="60" t="n">
        <v>0.64</v>
      </c>
      <c r="G376" s="61" t="n">
        <v>0</v>
      </c>
      <c r="H376" s="61" t="n">
        <v>0</v>
      </c>
      <c r="I376" s="61" t="n">
        <v>0.64</v>
      </c>
      <c r="J376" s="61" t="n">
        <v>0</v>
      </c>
      <c r="K376" s="61" t="n">
        <v>0</v>
      </c>
      <c r="L376" s="61" t="n">
        <v>0</v>
      </c>
      <c r="M376" s="61" t="n">
        <v>0</v>
      </c>
      <c r="N376" s="61" t="n">
        <v>0</v>
      </c>
      <c r="O376" s="61" t="n">
        <v>0</v>
      </c>
      <c r="P376" s="62" t="n">
        <v>656.2</v>
      </c>
      <c r="Q376" s="0" t="n">
        <v>0</v>
      </c>
      <c r="R376" s="60" t="n">
        <f aca="false">G376+H376+I376</f>
        <v>0.64</v>
      </c>
      <c r="S376" s="60" t="n">
        <f aca="false">K376+L376+M376+N376+O376</f>
        <v>0</v>
      </c>
      <c r="T376" s="60" t="n">
        <f aca="false">L376+M376</f>
        <v>0</v>
      </c>
      <c r="U376" s="60" t="n">
        <f aca="false">S376+J376</f>
        <v>0</v>
      </c>
      <c r="V376" s="63" t="n">
        <f aca="false">IFERROR(S376/F376,0)</f>
        <v>0</v>
      </c>
      <c r="W376" s="63" t="n">
        <f aca="false">IFERROR(R376/F376,0)</f>
        <v>1</v>
      </c>
      <c r="X376" s="63" t="n">
        <f aca="false">IFERROR(T376/F376,0)</f>
        <v>0</v>
      </c>
      <c r="Y376" s="63" t="n">
        <f aca="false">IFERROR(G376/F376,0)</f>
        <v>0</v>
      </c>
      <c r="Z376" s="59" t="n">
        <f aca="false">IF(E376&gt;0,F376*1000000000/E376,"")</f>
        <v>10378.6588826725</v>
      </c>
      <c r="AA376" s="63" t="n">
        <f aca="false">IFERROR((R376+S376+J376)/F376,0)</f>
        <v>1</v>
      </c>
      <c r="AB376" s="0" t="str">
        <f aca="false">A376&amp;"|"&amp;D376</f>
        <v>Cayman Islands|2015</v>
      </c>
    </row>
    <row r="377" customFormat="false" ht="15" hidden="false" customHeight="false" outlineLevel="0" collapsed="false">
      <c r="A377" s="0" t="s">
        <v>216</v>
      </c>
      <c r="B377" s="0" t="s">
        <v>454</v>
      </c>
      <c r="C377" s="0" t="s">
        <v>127</v>
      </c>
      <c r="D377" s="0" t="n">
        <v>2016</v>
      </c>
      <c r="E377" s="59" t="n">
        <v>63121</v>
      </c>
      <c r="F377" s="60" t="n">
        <v>0.67</v>
      </c>
      <c r="G377" s="61" t="n">
        <v>0</v>
      </c>
      <c r="H377" s="61" t="n">
        <v>0</v>
      </c>
      <c r="I377" s="61" t="n">
        <v>0.67</v>
      </c>
      <c r="J377" s="61" t="n">
        <v>0</v>
      </c>
      <c r="K377" s="61" t="n">
        <v>0</v>
      </c>
      <c r="L377" s="61" t="n">
        <v>0</v>
      </c>
      <c r="M377" s="61" t="n">
        <v>0</v>
      </c>
      <c r="N377" s="61" t="n">
        <v>0</v>
      </c>
      <c r="O377" s="61" t="n">
        <v>0</v>
      </c>
      <c r="P377" s="62" t="n">
        <v>656.7</v>
      </c>
      <c r="Q377" s="0" t="n">
        <v>0</v>
      </c>
      <c r="R377" s="60" t="n">
        <f aca="false">G377+H377+I377</f>
        <v>0.67</v>
      </c>
      <c r="S377" s="60" t="n">
        <f aca="false">K377+L377+M377+N377+O377</f>
        <v>0</v>
      </c>
      <c r="T377" s="60" t="n">
        <f aca="false">L377+M377</f>
        <v>0</v>
      </c>
      <c r="U377" s="60" t="n">
        <f aca="false">S377+J377</f>
        <v>0</v>
      </c>
      <c r="V377" s="63" t="n">
        <f aca="false">IFERROR(S377/F377,0)</f>
        <v>0</v>
      </c>
      <c r="W377" s="63" t="n">
        <f aca="false">IFERROR(R377/F377,0)</f>
        <v>1</v>
      </c>
      <c r="X377" s="63" t="n">
        <f aca="false">IFERROR(T377/F377,0)</f>
        <v>0</v>
      </c>
      <c r="Y377" s="63" t="n">
        <f aca="false">IFERROR(G377/F377,0)</f>
        <v>0</v>
      </c>
      <c r="Z377" s="59" t="n">
        <f aca="false">IF(E377&gt;0,F377*1000000000/E377,"")</f>
        <v>10614.5339902727</v>
      </c>
      <c r="AA377" s="63" t="n">
        <f aca="false">IFERROR((R377+S377+J377)/F377,0)</f>
        <v>1</v>
      </c>
      <c r="AB377" s="0" t="str">
        <f aca="false">A377&amp;"|"&amp;D377</f>
        <v>Cayman Islands|2016</v>
      </c>
    </row>
    <row r="378" customFormat="false" ht="15" hidden="false" customHeight="false" outlineLevel="0" collapsed="false">
      <c r="A378" s="0" t="s">
        <v>216</v>
      </c>
      <c r="B378" s="0" t="s">
        <v>454</v>
      </c>
      <c r="C378" s="0" t="s">
        <v>127</v>
      </c>
      <c r="D378" s="0" t="n">
        <v>2017</v>
      </c>
      <c r="E378" s="59" t="n">
        <v>64561</v>
      </c>
      <c r="F378" s="60" t="n">
        <v>0.68</v>
      </c>
      <c r="G378" s="61" t="n">
        <v>0</v>
      </c>
      <c r="H378" s="61" t="n">
        <v>0</v>
      </c>
      <c r="I378" s="61" t="n">
        <v>0.67</v>
      </c>
      <c r="J378" s="61" t="n">
        <v>0</v>
      </c>
      <c r="K378" s="61" t="n">
        <v>0</v>
      </c>
      <c r="L378" s="61" t="n">
        <v>0.01</v>
      </c>
      <c r="M378" s="61" t="n">
        <v>0</v>
      </c>
      <c r="N378" s="61" t="n">
        <v>0</v>
      </c>
      <c r="O378" s="61" t="n">
        <v>0</v>
      </c>
      <c r="P378" s="62" t="n">
        <v>647.1</v>
      </c>
      <c r="Q378" s="0" t="n">
        <v>0</v>
      </c>
      <c r="R378" s="60" t="n">
        <f aca="false">G378+H378+I378</f>
        <v>0.67</v>
      </c>
      <c r="S378" s="60" t="n">
        <f aca="false">K378+L378+M378+N378+O378</f>
        <v>0.01</v>
      </c>
      <c r="T378" s="60" t="n">
        <f aca="false">L378+M378</f>
        <v>0.01</v>
      </c>
      <c r="U378" s="60" t="n">
        <f aca="false">S378+J378</f>
        <v>0.01</v>
      </c>
      <c r="V378" s="63" t="n">
        <f aca="false">IFERROR(S378/F378,0)</f>
        <v>0.0147058823529412</v>
      </c>
      <c r="W378" s="63" t="n">
        <f aca="false">IFERROR(R378/F378,0)</f>
        <v>0.985294117647059</v>
      </c>
      <c r="X378" s="63" t="n">
        <f aca="false">IFERROR(T378/F378,0)</f>
        <v>0.0147058823529412</v>
      </c>
      <c r="Y378" s="63" t="n">
        <f aca="false">IFERROR(G378/F378,0)</f>
        <v>0</v>
      </c>
      <c r="Z378" s="59" t="n">
        <f aca="false">IF(E378&gt;0,F378*1000000000/E378,"")</f>
        <v>10532.674524868</v>
      </c>
      <c r="AA378" s="63" t="n">
        <f aca="false">IFERROR((R378+S378+J378)/F378,0)</f>
        <v>1</v>
      </c>
      <c r="AB378" s="0" t="str">
        <f aca="false">A378&amp;"|"&amp;D378</f>
        <v>Cayman Islands|2017</v>
      </c>
    </row>
    <row r="379" customFormat="false" ht="15" hidden="false" customHeight="false" outlineLevel="0" collapsed="false">
      <c r="A379" s="0" t="s">
        <v>216</v>
      </c>
      <c r="B379" s="0" t="s">
        <v>454</v>
      </c>
      <c r="C379" s="0" t="s">
        <v>127</v>
      </c>
      <c r="D379" s="0" t="n">
        <v>2018</v>
      </c>
      <c r="E379" s="59" t="n">
        <v>65962</v>
      </c>
      <c r="F379" s="60" t="n">
        <v>0.67</v>
      </c>
      <c r="G379" s="61" t="n">
        <v>0</v>
      </c>
      <c r="H379" s="61" t="n">
        <v>0</v>
      </c>
      <c r="I379" s="61" t="n">
        <v>0.66</v>
      </c>
      <c r="J379" s="61" t="n">
        <v>0</v>
      </c>
      <c r="K379" s="61" t="n">
        <v>0</v>
      </c>
      <c r="L379" s="61" t="n">
        <v>0.01</v>
      </c>
      <c r="M379" s="61" t="n">
        <v>0</v>
      </c>
      <c r="N379" s="61" t="n">
        <v>0</v>
      </c>
      <c r="O379" s="61" t="n">
        <v>0</v>
      </c>
      <c r="P379" s="62" t="n">
        <v>641.8</v>
      </c>
      <c r="Q379" s="0" t="n">
        <v>0</v>
      </c>
      <c r="R379" s="60" t="n">
        <f aca="false">G379+H379+I379</f>
        <v>0.66</v>
      </c>
      <c r="S379" s="60" t="n">
        <f aca="false">K379+L379+M379+N379+O379</f>
        <v>0.01</v>
      </c>
      <c r="T379" s="60" t="n">
        <f aca="false">L379+M379</f>
        <v>0.01</v>
      </c>
      <c r="U379" s="60" t="n">
        <f aca="false">S379+J379</f>
        <v>0.01</v>
      </c>
      <c r="V379" s="63" t="n">
        <f aca="false">IFERROR(S379/F379,0)</f>
        <v>0.0149253731343284</v>
      </c>
      <c r="W379" s="63" t="n">
        <f aca="false">IFERROR(R379/F379,0)</f>
        <v>0.985074626865672</v>
      </c>
      <c r="X379" s="63" t="n">
        <f aca="false">IFERROR(T379/F379,0)</f>
        <v>0.0149253731343284</v>
      </c>
      <c r="Y379" s="63" t="n">
        <f aca="false">IFERROR(G379/F379,0)</f>
        <v>0</v>
      </c>
      <c r="Z379" s="59" t="n">
        <f aca="false">IF(E379&gt;0,F379*1000000000/E379,"")</f>
        <v>10157.3633304024</v>
      </c>
      <c r="AA379" s="63" t="n">
        <f aca="false">IFERROR((R379+S379+J379)/F379,0)</f>
        <v>1</v>
      </c>
      <c r="AB379" s="0" t="str">
        <f aca="false">A379&amp;"|"&amp;D379</f>
        <v>Cayman Islands|2018</v>
      </c>
    </row>
    <row r="380" customFormat="false" ht="15" hidden="false" customHeight="false" outlineLevel="0" collapsed="false">
      <c r="A380" s="0" t="s">
        <v>216</v>
      </c>
      <c r="B380" s="0" t="s">
        <v>454</v>
      </c>
      <c r="C380" s="0" t="s">
        <v>127</v>
      </c>
      <c r="D380" s="0" t="n">
        <v>2019</v>
      </c>
      <c r="E380" s="59" t="n">
        <v>67346</v>
      </c>
      <c r="F380" s="60" t="n">
        <v>0.72</v>
      </c>
      <c r="G380" s="61" t="n">
        <v>0</v>
      </c>
      <c r="H380" s="61" t="n">
        <v>0</v>
      </c>
      <c r="I380" s="61" t="n">
        <v>0.7</v>
      </c>
      <c r="J380" s="61" t="n">
        <v>0</v>
      </c>
      <c r="K380" s="61" t="n">
        <v>0</v>
      </c>
      <c r="L380" s="61" t="n">
        <v>0.02</v>
      </c>
      <c r="M380" s="61" t="n">
        <v>0</v>
      </c>
      <c r="N380" s="61" t="n">
        <v>0</v>
      </c>
      <c r="O380" s="61" t="n">
        <v>0</v>
      </c>
      <c r="P380" s="62" t="n">
        <v>638.9</v>
      </c>
      <c r="Q380" s="0" t="n">
        <v>0</v>
      </c>
      <c r="R380" s="60" t="n">
        <f aca="false">G380+H380+I380</f>
        <v>0.7</v>
      </c>
      <c r="S380" s="60" t="n">
        <f aca="false">K380+L380+M380+N380+O380</f>
        <v>0.02</v>
      </c>
      <c r="T380" s="60" t="n">
        <f aca="false">L380+M380</f>
        <v>0.02</v>
      </c>
      <c r="U380" s="60" t="n">
        <f aca="false">S380+J380</f>
        <v>0.02</v>
      </c>
      <c r="V380" s="63" t="n">
        <f aca="false">IFERROR(S380/F380,0)</f>
        <v>0.0277777777777778</v>
      </c>
      <c r="W380" s="63" t="n">
        <f aca="false">IFERROR(R380/F380,0)</f>
        <v>0.972222222222222</v>
      </c>
      <c r="X380" s="63" t="n">
        <f aca="false">IFERROR(T380/F380,0)</f>
        <v>0.0277777777777778</v>
      </c>
      <c r="Y380" s="63" t="n">
        <f aca="false">IFERROR(G380/F380,0)</f>
        <v>0</v>
      </c>
      <c r="Z380" s="59" t="n">
        <f aca="false">IF(E380&gt;0,F380*1000000000/E380,"")</f>
        <v>10691.0581177798</v>
      </c>
      <c r="AA380" s="63" t="n">
        <f aca="false">IFERROR((R380+S380+J380)/F380,0)</f>
        <v>1</v>
      </c>
      <c r="AB380" s="0" t="str">
        <f aca="false">A380&amp;"|"&amp;D380</f>
        <v>Cayman Islands|2019</v>
      </c>
    </row>
    <row r="381" customFormat="false" ht="15" hidden="false" customHeight="false" outlineLevel="0" collapsed="false">
      <c r="A381" s="0" t="s">
        <v>216</v>
      </c>
      <c r="B381" s="0" t="s">
        <v>454</v>
      </c>
      <c r="C381" s="0" t="s">
        <v>127</v>
      </c>
      <c r="D381" s="0" t="n">
        <v>2020</v>
      </c>
      <c r="E381" s="59" t="n">
        <v>68703</v>
      </c>
      <c r="F381" s="60" t="n">
        <v>0.69</v>
      </c>
      <c r="G381" s="61" t="n">
        <v>0</v>
      </c>
      <c r="H381" s="61" t="n">
        <v>0</v>
      </c>
      <c r="I381" s="61" t="n">
        <v>0.67</v>
      </c>
      <c r="J381" s="61" t="n">
        <v>0</v>
      </c>
      <c r="K381" s="61" t="n">
        <v>0</v>
      </c>
      <c r="L381" s="61" t="n">
        <v>0.02</v>
      </c>
      <c r="M381" s="61" t="n">
        <v>0</v>
      </c>
      <c r="N381" s="61" t="n">
        <v>0</v>
      </c>
      <c r="O381" s="61" t="n">
        <v>0</v>
      </c>
      <c r="P381" s="62" t="n">
        <v>637.7</v>
      </c>
      <c r="Q381" s="0" t="n">
        <v>0</v>
      </c>
      <c r="R381" s="60" t="n">
        <f aca="false">G381+H381+I381</f>
        <v>0.67</v>
      </c>
      <c r="S381" s="60" t="n">
        <f aca="false">K381+L381+M381+N381+O381</f>
        <v>0.02</v>
      </c>
      <c r="T381" s="60" t="n">
        <f aca="false">L381+M381</f>
        <v>0.02</v>
      </c>
      <c r="U381" s="60" t="n">
        <f aca="false">S381+J381</f>
        <v>0.02</v>
      </c>
      <c r="V381" s="63" t="n">
        <f aca="false">IFERROR(S381/F381,0)</f>
        <v>0.0289855072463768</v>
      </c>
      <c r="W381" s="63" t="n">
        <f aca="false">IFERROR(R381/F381,0)</f>
        <v>0.971014492753623</v>
      </c>
      <c r="X381" s="63" t="n">
        <f aca="false">IFERROR(T381/F381,0)</f>
        <v>0.0289855072463768</v>
      </c>
      <c r="Y381" s="63" t="n">
        <f aca="false">IFERROR(G381/F381,0)</f>
        <v>0</v>
      </c>
      <c r="Z381" s="59" t="n">
        <f aca="false">IF(E381&gt;0,F381*1000000000/E381,"")</f>
        <v>10043.2295532946</v>
      </c>
      <c r="AA381" s="63" t="n">
        <f aca="false">IFERROR((R381+S381+J381)/F381,0)</f>
        <v>1</v>
      </c>
      <c r="AB381" s="0" t="str">
        <f aca="false">A381&amp;"|"&amp;D381</f>
        <v>Cayman Islands|2020</v>
      </c>
    </row>
    <row r="382" customFormat="false" ht="15" hidden="false" customHeight="false" outlineLevel="0" collapsed="false">
      <c r="A382" s="0" t="s">
        <v>216</v>
      </c>
      <c r="B382" s="0" t="s">
        <v>454</v>
      </c>
      <c r="C382" s="0" t="s">
        <v>127</v>
      </c>
      <c r="D382" s="0" t="n">
        <v>2021</v>
      </c>
      <c r="E382" s="59" t="n">
        <v>70126</v>
      </c>
      <c r="F382" s="60" t="n">
        <v>0.7</v>
      </c>
      <c r="G382" s="61" t="n">
        <v>0</v>
      </c>
      <c r="H382" s="61" t="n">
        <v>0</v>
      </c>
      <c r="I382" s="61" t="n">
        <v>0.68</v>
      </c>
      <c r="J382" s="61" t="n">
        <v>0</v>
      </c>
      <c r="K382" s="61" t="n">
        <v>0</v>
      </c>
      <c r="L382" s="61" t="n">
        <v>0.02</v>
      </c>
      <c r="M382" s="61" t="n">
        <v>0</v>
      </c>
      <c r="N382" s="61" t="n">
        <v>0</v>
      </c>
      <c r="O382" s="61" t="n">
        <v>0</v>
      </c>
      <c r="P382" s="62" t="n">
        <v>642.9</v>
      </c>
      <c r="Q382" s="0" t="n">
        <v>0</v>
      </c>
      <c r="R382" s="60" t="n">
        <f aca="false">G382+H382+I382</f>
        <v>0.68</v>
      </c>
      <c r="S382" s="60" t="n">
        <f aca="false">K382+L382+M382+N382+O382</f>
        <v>0.02</v>
      </c>
      <c r="T382" s="60" t="n">
        <f aca="false">L382+M382</f>
        <v>0.02</v>
      </c>
      <c r="U382" s="60" t="n">
        <f aca="false">S382+J382</f>
        <v>0.02</v>
      </c>
      <c r="V382" s="63" t="n">
        <f aca="false">IFERROR(S382/F382,0)</f>
        <v>0.0285714285714286</v>
      </c>
      <c r="W382" s="63" t="n">
        <f aca="false">IFERROR(R382/F382,0)</f>
        <v>0.971428571428572</v>
      </c>
      <c r="X382" s="63" t="n">
        <f aca="false">IFERROR(T382/F382,0)</f>
        <v>0.0285714285714286</v>
      </c>
      <c r="Y382" s="63" t="n">
        <f aca="false">IFERROR(G382/F382,0)</f>
        <v>0</v>
      </c>
      <c r="Z382" s="59" t="n">
        <f aca="false">IF(E382&gt;0,F382*1000000000/E382,"")</f>
        <v>9982.03234178479</v>
      </c>
      <c r="AA382" s="63" t="n">
        <f aca="false">IFERROR((R382+S382+J382)/F382,0)</f>
        <v>1</v>
      </c>
      <c r="AB382" s="0" t="str">
        <f aca="false">A382&amp;"|"&amp;D382</f>
        <v>Cayman Islands|2021</v>
      </c>
    </row>
    <row r="383" customFormat="false" ht="15" hidden="false" customHeight="false" outlineLevel="0" collapsed="false">
      <c r="A383" s="0" t="s">
        <v>216</v>
      </c>
      <c r="B383" s="0" t="s">
        <v>454</v>
      </c>
      <c r="C383" s="0" t="s">
        <v>127</v>
      </c>
      <c r="D383" s="0" t="n">
        <v>2022</v>
      </c>
      <c r="E383" s="59" t="n">
        <v>71610</v>
      </c>
      <c r="F383" s="60" t="n">
        <v>0.7</v>
      </c>
      <c r="G383" s="61" t="n">
        <v>0</v>
      </c>
      <c r="H383" s="61" t="n">
        <v>0</v>
      </c>
      <c r="I383" s="61" t="n">
        <v>0.68</v>
      </c>
      <c r="J383" s="61" t="n">
        <v>0</v>
      </c>
      <c r="K383" s="61" t="n">
        <v>0</v>
      </c>
      <c r="L383" s="61" t="n">
        <v>0.02</v>
      </c>
      <c r="M383" s="61" t="n">
        <v>0</v>
      </c>
      <c r="N383" s="61" t="n">
        <v>0</v>
      </c>
      <c r="O383" s="61" t="n">
        <v>0</v>
      </c>
      <c r="P383" s="62" t="n">
        <v>642.9</v>
      </c>
      <c r="Q383" s="0" t="n">
        <v>0</v>
      </c>
      <c r="R383" s="60" t="n">
        <f aca="false">G383+H383+I383</f>
        <v>0.68</v>
      </c>
      <c r="S383" s="60" t="n">
        <f aca="false">K383+L383+M383+N383+O383</f>
        <v>0.02</v>
      </c>
      <c r="T383" s="60" t="n">
        <f aca="false">L383+M383</f>
        <v>0.02</v>
      </c>
      <c r="U383" s="60" t="n">
        <f aca="false">S383+J383</f>
        <v>0.02</v>
      </c>
      <c r="V383" s="63" t="n">
        <f aca="false">IFERROR(S383/F383,0)</f>
        <v>0.0285714285714286</v>
      </c>
      <c r="W383" s="63" t="n">
        <f aca="false">IFERROR(R383/F383,0)</f>
        <v>0.971428571428572</v>
      </c>
      <c r="X383" s="63" t="n">
        <f aca="false">IFERROR(T383/F383,0)</f>
        <v>0.0285714285714286</v>
      </c>
      <c r="Y383" s="63" t="n">
        <f aca="false">IFERROR(G383/F383,0)</f>
        <v>0</v>
      </c>
      <c r="Z383" s="59" t="n">
        <f aca="false">IF(E383&gt;0,F383*1000000000/E383,"")</f>
        <v>9775.17106549365</v>
      </c>
      <c r="AA383" s="63" t="n">
        <f aca="false">IFERROR((R383+S383+J383)/F383,0)</f>
        <v>1</v>
      </c>
      <c r="AB383" s="0" t="str">
        <f aca="false">A383&amp;"|"&amp;D383</f>
        <v>Cayman Islands|2022</v>
      </c>
    </row>
    <row r="384" customFormat="false" ht="15" hidden="false" customHeight="false" outlineLevel="0" collapsed="false">
      <c r="A384" s="0" t="s">
        <v>216</v>
      </c>
      <c r="B384" s="0" t="s">
        <v>454</v>
      </c>
      <c r="C384" s="0" t="s">
        <v>127</v>
      </c>
      <c r="D384" s="0" t="n">
        <v>2023</v>
      </c>
      <c r="E384" s="59" t="n">
        <v>73055</v>
      </c>
      <c r="F384" s="60" t="n">
        <v>0.7</v>
      </c>
      <c r="G384" s="61" t="n">
        <v>0</v>
      </c>
      <c r="H384" s="61" t="n">
        <v>0</v>
      </c>
      <c r="I384" s="61" t="n">
        <v>0.68</v>
      </c>
      <c r="J384" s="61" t="n">
        <v>0</v>
      </c>
      <c r="K384" s="61" t="n">
        <v>0</v>
      </c>
      <c r="L384" s="61" t="n">
        <v>0.02</v>
      </c>
      <c r="M384" s="61" t="n">
        <v>0</v>
      </c>
      <c r="N384" s="61" t="n">
        <v>0</v>
      </c>
      <c r="O384" s="61" t="n">
        <v>0</v>
      </c>
      <c r="P384" s="62" t="n">
        <v>642.9</v>
      </c>
      <c r="Q384" s="0" t="n">
        <v>0</v>
      </c>
      <c r="R384" s="60" t="n">
        <f aca="false">G384+H384+I384</f>
        <v>0.68</v>
      </c>
      <c r="S384" s="60" t="n">
        <f aca="false">K384+L384+M384+N384+O384</f>
        <v>0.02</v>
      </c>
      <c r="T384" s="60" t="n">
        <f aca="false">L384+M384</f>
        <v>0.02</v>
      </c>
      <c r="U384" s="60" t="n">
        <f aca="false">S384+J384</f>
        <v>0.02</v>
      </c>
      <c r="V384" s="63" t="n">
        <f aca="false">IFERROR(S384/F384,0)</f>
        <v>0.0285714285714286</v>
      </c>
      <c r="W384" s="63" t="n">
        <f aca="false">IFERROR(R384/F384,0)</f>
        <v>0.971428571428572</v>
      </c>
      <c r="X384" s="63" t="n">
        <f aca="false">IFERROR(T384/F384,0)</f>
        <v>0.0285714285714286</v>
      </c>
      <c r="Y384" s="63" t="n">
        <f aca="false">IFERROR(G384/F384,0)</f>
        <v>0</v>
      </c>
      <c r="Z384" s="59" t="n">
        <f aca="false">IF(E384&gt;0,F384*1000000000/E384,"")</f>
        <v>9581.82191499555</v>
      </c>
      <c r="AA384" s="63" t="n">
        <f aca="false">IFERROR((R384+S384+J384)/F384,0)</f>
        <v>1</v>
      </c>
      <c r="AB384" s="0" t="str">
        <f aca="false">A384&amp;"|"&amp;D384</f>
        <v>Cayman Islands|2023</v>
      </c>
    </row>
    <row r="385" customFormat="false" ht="15" hidden="false" customHeight="false" outlineLevel="0" collapsed="false">
      <c r="A385" s="0" t="s">
        <v>216</v>
      </c>
      <c r="B385" s="0" t="s">
        <v>454</v>
      </c>
      <c r="C385" s="0" t="s">
        <v>127</v>
      </c>
      <c r="D385" s="0" t="n">
        <v>2024</v>
      </c>
      <c r="E385" s="59" t="n">
        <v>74476</v>
      </c>
      <c r="F385" s="60" t="n">
        <v>0.71</v>
      </c>
      <c r="G385" s="61" t="n">
        <v>0</v>
      </c>
      <c r="H385" s="61" t="n">
        <v>0</v>
      </c>
      <c r="I385" s="61" t="n">
        <v>0.68</v>
      </c>
      <c r="J385" s="61" t="n">
        <v>0</v>
      </c>
      <c r="K385" s="61" t="n">
        <v>0</v>
      </c>
      <c r="L385" s="61" t="n">
        <v>0.03</v>
      </c>
      <c r="M385" s="61" t="n">
        <v>0</v>
      </c>
      <c r="N385" s="61" t="n">
        <v>0</v>
      </c>
      <c r="O385" s="61" t="n">
        <v>0</v>
      </c>
      <c r="P385" s="62" t="n">
        <v>633.8</v>
      </c>
      <c r="Q385" s="0" t="n">
        <v>0</v>
      </c>
      <c r="R385" s="60" t="n">
        <f aca="false">G385+H385+I385</f>
        <v>0.68</v>
      </c>
      <c r="S385" s="60" t="n">
        <f aca="false">K385+L385+M385+N385+O385</f>
        <v>0.03</v>
      </c>
      <c r="T385" s="60" t="n">
        <f aca="false">L385+M385</f>
        <v>0.03</v>
      </c>
      <c r="U385" s="60" t="n">
        <f aca="false">S385+J385</f>
        <v>0.03</v>
      </c>
      <c r="V385" s="63" t="n">
        <f aca="false">IFERROR(S385/F385,0)</f>
        <v>0.0422535211267606</v>
      </c>
      <c r="W385" s="63" t="n">
        <f aca="false">IFERROR(R385/F385,0)</f>
        <v>0.95774647887324</v>
      </c>
      <c r="X385" s="63" t="n">
        <f aca="false">IFERROR(T385/F385,0)</f>
        <v>0.0422535211267606</v>
      </c>
      <c r="Y385" s="63" t="n">
        <f aca="false">IFERROR(G385/F385,0)</f>
        <v>0</v>
      </c>
      <c r="Z385" s="59" t="n">
        <f aca="false">IF(E385&gt;0,F385*1000000000/E385,"")</f>
        <v>9533.27246361244</v>
      </c>
      <c r="AA385" s="63" t="n">
        <f aca="false">IFERROR((R385+S385+J385)/F385,0)</f>
        <v>1</v>
      </c>
      <c r="AB385" s="0" t="str">
        <f aca="false">A385&amp;"|"&amp;D385</f>
        <v>Cayman Islands|2024</v>
      </c>
    </row>
    <row r="386" customFormat="false" ht="15" hidden="false" customHeight="false" outlineLevel="0" collapsed="false">
      <c r="A386" s="0" t="s">
        <v>217</v>
      </c>
      <c r="B386" s="0" t="s">
        <v>455</v>
      </c>
      <c r="C386" s="0" t="s">
        <v>127</v>
      </c>
      <c r="D386" s="0" t="n">
        <v>2015</v>
      </c>
      <c r="E386" s="59" t="n">
        <v>4629322</v>
      </c>
      <c r="F386" s="60" t="n">
        <v>0.17</v>
      </c>
      <c r="G386" s="61" t="n">
        <v>0</v>
      </c>
      <c r="H386" s="61" t="n">
        <v>0</v>
      </c>
      <c r="I386" s="61" t="n">
        <v>0</v>
      </c>
      <c r="J386" s="61" t="n">
        <v>0</v>
      </c>
      <c r="K386" s="61" t="n">
        <v>0.17</v>
      </c>
      <c r="L386" s="61" t="n">
        <v>0</v>
      </c>
      <c r="M386" s="61" t="n">
        <v>0</v>
      </c>
      <c r="N386" s="61" t="n">
        <v>0</v>
      </c>
      <c r="O386" s="61" t="n">
        <v>0</v>
      </c>
      <c r="P386" s="62" t="n">
        <v>0</v>
      </c>
      <c r="Q386" s="0" t="n">
        <v>0</v>
      </c>
      <c r="R386" s="60" t="n">
        <f aca="false">G386+H386+I386</f>
        <v>0</v>
      </c>
      <c r="S386" s="60" t="n">
        <f aca="false">K386+L386+M386+N386+O386</f>
        <v>0.17</v>
      </c>
      <c r="T386" s="60" t="n">
        <f aca="false">L386+M386</f>
        <v>0</v>
      </c>
      <c r="U386" s="60" t="n">
        <f aca="false">S386+J386</f>
        <v>0.17</v>
      </c>
      <c r="V386" s="63" t="n">
        <f aca="false">IFERROR(S386/F386,0)</f>
        <v>1</v>
      </c>
      <c r="W386" s="63" t="n">
        <f aca="false">IFERROR(R386/F386,0)</f>
        <v>0</v>
      </c>
      <c r="X386" s="63" t="n">
        <f aca="false">IFERROR(T386/F386,0)</f>
        <v>0</v>
      </c>
      <c r="Y386" s="63" t="n">
        <f aca="false">IFERROR(G386/F386,0)</f>
        <v>0</v>
      </c>
      <c r="Z386" s="59" t="n">
        <f aca="false">IF(E386&gt;0,F386*1000000000/E386,"")</f>
        <v>36.7224401327019</v>
      </c>
      <c r="AA386" s="63" t="n">
        <f aca="false">IFERROR((R386+S386+J386)/F386,0)</f>
        <v>1</v>
      </c>
      <c r="AB386" s="0" t="str">
        <f aca="false">A386&amp;"|"&amp;D386</f>
        <v>Central African Republic|2015</v>
      </c>
    </row>
    <row r="387" customFormat="false" ht="15" hidden="false" customHeight="false" outlineLevel="0" collapsed="false">
      <c r="A387" s="0" t="s">
        <v>217</v>
      </c>
      <c r="B387" s="0" t="s">
        <v>455</v>
      </c>
      <c r="C387" s="0" t="s">
        <v>127</v>
      </c>
      <c r="D387" s="0" t="n">
        <v>2016</v>
      </c>
      <c r="E387" s="59" t="n">
        <v>4713663</v>
      </c>
      <c r="F387" s="60" t="n">
        <v>0.17</v>
      </c>
      <c r="G387" s="61" t="n">
        <v>0</v>
      </c>
      <c r="H387" s="61" t="n">
        <v>0</v>
      </c>
      <c r="I387" s="61" t="n">
        <v>0</v>
      </c>
      <c r="J387" s="61" t="n">
        <v>0</v>
      </c>
      <c r="K387" s="61" t="n">
        <v>0.17</v>
      </c>
      <c r="L387" s="61" t="n">
        <v>0</v>
      </c>
      <c r="M387" s="61" t="n">
        <v>0</v>
      </c>
      <c r="N387" s="61" t="n">
        <v>0</v>
      </c>
      <c r="O387" s="61" t="n">
        <v>0</v>
      </c>
      <c r="P387" s="62" t="n">
        <v>0</v>
      </c>
      <c r="Q387" s="0" t="n">
        <v>0</v>
      </c>
      <c r="R387" s="60" t="n">
        <f aca="false">G387+H387+I387</f>
        <v>0</v>
      </c>
      <c r="S387" s="60" t="n">
        <f aca="false">K387+L387+M387+N387+O387</f>
        <v>0.17</v>
      </c>
      <c r="T387" s="60" t="n">
        <f aca="false">L387+M387</f>
        <v>0</v>
      </c>
      <c r="U387" s="60" t="n">
        <f aca="false">S387+J387</f>
        <v>0.17</v>
      </c>
      <c r="V387" s="63" t="n">
        <f aca="false">IFERROR(S387/F387,0)</f>
        <v>1</v>
      </c>
      <c r="W387" s="63" t="n">
        <f aca="false">IFERROR(R387/F387,0)</f>
        <v>0</v>
      </c>
      <c r="X387" s="63" t="n">
        <f aca="false">IFERROR(T387/F387,0)</f>
        <v>0</v>
      </c>
      <c r="Y387" s="63" t="n">
        <f aca="false">IFERROR(G387/F387,0)</f>
        <v>0</v>
      </c>
      <c r="Z387" s="59" t="n">
        <f aca="false">IF(E387&gt;0,F387*1000000000/E387,"")</f>
        <v>36.0653699681118</v>
      </c>
      <c r="AA387" s="63" t="n">
        <f aca="false">IFERROR((R387+S387+J387)/F387,0)</f>
        <v>1</v>
      </c>
      <c r="AB387" s="0" t="str">
        <f aca="false">A387&amp;"|"&amp;D387</f>
        <v>Central African Republic|2016</v>
      </c>
    </row>
    <row r="388" customFormat="false" ht="15" hidden="false" customHeight="false" outlineLevel="0" collapsed="false">
      <c r="A388" s="0" t="s">
        <v>217</v>
      </c>
      <c r="B388" s="0" t="s">
        <v>455</v>
      </c>
      <c r="C388" s="0" t="s">
        <v>127</v>
      </c>
      <c r="D388" s="0" t="n">
        <v>2017</v>
      </c>
      <c r="E388" s="59" t="n">
        <v>4793512</v>
      </c>
      <c r="F388" s="60" t="n">
        <v>0.15</v>
      </c>
      <c r="G388" s="61" t="n">
        <v>0</v>
      </c>
      <c r="H388" s="61" t="n">
        <v>0</v>
      </c>
      <c r="I388" s="61" t="n">
        <v>0</v>
      </c>
      <c r="J388" s="61" t="n">
        <v>0</v>
      </c>
      <c r="K388" s="61" t="n">
        <v>0.15</v>
      </c>
      <c r="L388" s="61" t="n">
        <v>0</v>
      </c>
      <c r="M388" s="61" t="n">
        <v>0</v>
      </c>
      <c r="N388" s="61" t="n">
        <v>0</v>
      </c>
      <c r="O388" s="61" t="n">
        <v>0</v>
      </c>
      <c r="P388" s="62" t="n">
        <v>0</v>
      </c>
      <c r="Q388" s="0" t="n">
        <v>0</v>
      </c>
      <c r="R388" s="60" t="n">
        <f aca="false">G388+H388+I388</f>
        <v>0</v>
      </c>
      <c r="S388" s="60" t="n">
        <f aca="false">K388+L388+M388+N388+O388</f>
        <v>0.15</v>
      </c>
      <c r="T388" s="60" t="n">
        <f aca="false">L388+M388</f>
        <v>0</v>
      </c>
      <c r="U388" s="60" t="n">
        <f aca="false">S388+J388</f>
        <v>0.15</v>
      </c>
      <c r="V388" s="63" t="n">
        <f aca="false">IFERROR(S388/F388,0)</f>
        <v>1</v>
      </c>
      <c r="W388" s="63" t="n">
        <f aca="false">IFERROR(R388/F388,0)</f>
        <v>0</v>
      </c>
      <c r="X388" s="63" t="n">
        <f aca="false">IFERROR(T388/F388,0)</f>
        <v>0</v>
      </c>
      <c r="Y388" s="63" t="n">
        <f aca="false">IFERROR(G388/F388,0)</f>
        <v>0</v>
      </c>
      <c r="Z388" s="59" t="n">
        <f aca="false">IF(E388&gt;0,F388*1000000000/E388,"")</f>
        <v>31.2922967544464</v>
      </c>
      <c r="AA388" s="63" t="n">
        <f aca="false">IFERROR((R388+S388+J388)/F388,0)</f>
        <v>1</v>
      </c>
      <c r="AB388" s="0" t="str">
        <f aca="false">A388&amp;"|"&amp;D388</f>
        <v>Central African Republic|2017</v>
      </c>
    </row>
    <row r="389" customFormat="false" ht="15" hidden="false" customHeight="false" outlineLevel="0" collapsed="false">
      <c r="A389" s="0" t="s">
        <v>217</v>
      </c>
      <c r="B389" s="0" t="s">
        <v>455</v>
      </c>
      <c r="C389" s="0" t="s">
        <v>127</v>
      </c>
      <c r="D389" s="0" t="n">
        <v>2018</v>
      </c>
      <c r="E389" s="59" t="n">
        <v>4878663</v>
      </c>
      <c r="F389" s="60" t="n">
        <v>0.15</v>
      </c>
      <c r="G389" s="61" t="n">
        <v>0</v>
      </c>
      <c r="H389" s="61" t="n">
        <v>0</v>
      </c>
      <c r="I389" s="61" t="n">
        <v>0</v>
      </c>
      <c r="J389" s="61" t="n">
        <v>0</v>
      </c>
      <c r="K389" s="61" t="n">
        <v>0.15</v>
      </c>
      <c r="L389" s="61" t="n">
        <v>0</v>
      </c>
      <c r="M389" s="61" t="n">
        <v>0</v>
      </c>
      <c r="N389" s="61" t="n">
        <v>0</v>
      </c>
      <c r="O389" s="61" t="n">
        <v>0</v>
      </c>
      <c r="P389" s="62" t="n">
        <v>0</v>
      </c>
      <c r="Q389" s="0" t="n">
        <v>0</v>
      </c>
      <c r="R389" s="60" t="n">
        <f aca="false">G389+H389+I389</f>
        <v>0</v>
      </c>
      <c r="S389" s="60" t="n">
        <f aca="false">K389+L389+M389+N389+O389</f>
        <v>0.15</v>
      </c>
      <c r="T389" s="60" t="n">
        <f aca="false">L389+M389</f>
        <v>0</v>
      </c>
      <c r="U389" s="60" t="n">
        <f aca="false">S389+J389</f>
        <v>0.15</v>
      </c>
      <c r="V389" s="63" t="n">
        <f aca="false">IFERROR(S389/F389,0)</f>
        <v>1</v>
      </c>
      <c r="W389" s="63" t="n">
        <f aca="false">IFERROR(R389/F389,0)</f>
        <v>0</v>
      </c>
      <c r="X389" s="63" t="n">
        <f aca="false">IFERROR(T389/F389,0)</f>
        <v>0</v>
      </c>
      <c r="Y389" s="63" t="n">
        <f aca="false">IFERROR(G389/F389,0)</f>
        <v>0</v>
      </c>
      <c r="Z389" s="59" t="n">
        <f aca="false">IF(E389&gt;0,F389*1000000000/E389,"")</f>
        <v>30.7461286012172</v>
      </c>
      <c r="AA389" s="63" t="n">
        <f aca="false">IFERROR((R389+S389+J389)/F389,0)</f>
        <v>1</v>
      </c>
      <c r="AB389" s="0" t="str">
        <f aca="false">A389&amp;"|"&amp;D389</f>
        <v>Central African Republic|2018</v>
      </c>
    </row>
    <row r="390" customFormat="false" ht="15" hidden="false" customHeight="false" outlineLevel="0" collapsed="false">
      <c r="A390" s="0" t="s">
        <v>217</v>
      </c>
      <c r="B390" s="0" t="s">
        <v>455</v>
      </c>
      <c r="C390" s="0" t="s">
        <v>127</v>
      </c>
      <c r="D390" s="0" t="n">
        <v>2019</v>
      </c>
      <c r="E390" s="59" t="n">
        <v>4944708</v>
      </c>
      <c r="F390" s="60" t="n">
        <v>0.15</v>
      </c>
      <c r="G390" s="61" t="n">
        <v>0</v>
      </c>
      <c r="H390" s="61" t="n">
        <v>0</v>
      </c>
      <c r="I390" s="61" t="n">
        <v>0</v>
      </c>
      <c r="J390" s="61" t="n">
        <v>0</v>
      </c>
      <c r="K390" s="61" t="n">
        <v>0.15</v>
      </c>
      <c r="L390" s="61" t="n">
        <v>0</v>
      </c>
      <c r="M390" s="61" t="n">
        <v>0</v>
      </c>
      <c r="N390" s="61" t="n">
        <v>0</v>
      </c>
      <c r="O390" s="61" t="n">
        <v>0</v>
      </c>
      <c r="P390" s="62" t="n">
        <v>0</v>
      </c>
      <c r="Q390" s="0" t="n">
        <v>0</v>
      </c>
      <c r="R390" s="60" t="n">
        <f aca="false">G390+H390+I390</f>
        <v>0</v>
      </c>
      <c r="S390" s="60" t="n">
        <f aca="false">K390+L390+M390+N390+O390</f>
        <v>0.15</v>
      </c>
      <c r="T390" s="60" t="n">
        <f aca="false">L390+M390</f>
        <v>0</v>
      </c>
      <c r="U390" s="60" t="n">
        <f aca="false">S390+J390</f>
        <v>0.15</v>
      </c>
      <c r="V390" s="63" t="n">
        <f aca="false">IFERROR(S390/F390,0)</f>
        <v>1</v>
      </c>
      <c r="W390" s="63" t="n">
        <f aca="false">IFERROR(R390/F390,0)</f>
        <v>0</v>
      </c>
      <c r="X390" s="63" t="n">
        <f aca="false">IFERROR(T390/F390,0)</f>
        <v>0</v>
      </c>
      <c r="Y390" s="63" t="n">
        <f aca="false">IFERROR(G390/F390,0)</f>
        <v>0</v>
      </c>
      <c r="Z390" s="59" t="n">
        <f aca="false">IF(E390&gt;0,F390*1000000000/E390,"")</f>
        <v>30.3354616693241</v>
      </c>
      <c r="AA390" s="63" t="n">
        <f aca="false">IFERROR((R390+S390+J390)/F390,0)</f>
        <v>1</v>
      </c>
      <c r="AB390" s="0" t="str">
        <f aca="false">A390&amp;"|"&amp;D390</f>
        <v>Central African Republic|2019</v>
      </c>
    </row>
    <row r="391" customFormat="false" ht="15" hidden="false" customHeight="false" outlineLevel="0" collapsed="false">
      <c r="A391" s="0" t="s">
        <v>217</v>
      </c>
      <c r="B391" s="0" t="s">
        <v>455</v>
      </c>
      <c r="C391" s="0" t="s">
        <v>127</v>
      </c>
      <c r="D391" s="0" t="n">
        <v>2020</v>
      </c>
      <c r="E391" s="59" t="n">
        <v>5026629</v>
      </c>
      <c r="F391" s="60" t="n">
        <v>0.15</v>
      </c>
      <c r="G391" s="61" t="n">
        <v>0</v>
      </c>
      <c r="H391" s="61" t="n">
        <v>0</v>
      </c>
      <c r="I391" s="61" t="n">
        <v>0</v>
      </c>
      <c r="J391" s="61" t="n">
        <v>0</v>
      </c>
      <c r="K391" s="61" t="n">
        <v>0.15</v>
      </c>
      <c r="L391" s="61" t="n">
        <v>0</v>
      </c>
      <c r="M391" s="61" t="n">
        <v>0</v>
      </c>
      <c r="N391" s="61" t="n">
        <v>0</v>
      </c>
      <c r="O391" s="61" t="n">
        <v>0</v>
      </c>
      <c r="P391" s="62" t="n">
        <v>0</v>
      </c>
      <c r="Q391" s="0" t="n">
        <v>0</v>
      </c>
      <c r="R391" s="60" t="n">
        <f aca="false">G391+H391+I391</f>
        <v>0</v>
      </c>
      <c r="S391" s="60" t="n">
        <f aca="false">K391+L391+M391+N391+O391</f>
        <v>0.15</v>
      </c>
      <c r="T391" s="60" t="n">
        <f aca="false">L391+M391</f>
        <v>0</v>
      </c>
      <c r="U391" s="60" t="n">
        <f aca="false">S391+J391</f>
        <v>0.15</v>
      </c>
      <c r="V391" s="63" t="n">
        <f aca="false">IFERROR(S391/F391,0)</f>
        <v>1</v>
      </c>
      <c r="W391" s="63" t="n">
        <f aca="false">IFERROR(R391/F391,0)</f>
        <v>0</v>
      </c>
      <c r="X391" s="63" t="n">
        <f aca="false">IFERROR(T391/F391,0)</f>
        <v>0</v>
      </c>
      <c r="Y391" s="63" t="n">
        <f aca="false">IFERROR(G391/F391,0)</f>
        <v>0</v>
      </c>
      <c r="Z391" s="59" t="n">
        <f aca="false">IF(E391&gt;0,F391*1000000000/E391,"")</f>
        <v>29.8410724165241</v>
      </c>
      <c r="AA391" s="63" t="n">
        <f aca="false">IFERROR((R391+S391+J391)/F391,0)</f>
        <v>1</v>
      </c>
      <c r="AB391" s="0" t="str">
        <f aca="false">A391&amp;"|"&amp;D391</f>
        <v>Central African Republic|2020</v>
      </c>
    </row>
    <row r="392" customFormat="false" ht="15" hidden="false" customHeight="false" outlineLevel="0" collapsed="false">
      <c r="A392" s="0" t="s">
        <v>217</v>
      </c>
      <c r="B392" s="0" t="s">
        <v>455</v>
      </c>
      <c r="C392" s="0" t="s">
        <v>127</v>
      </c>
      <c r="D392" s="0" t="n">
        <v>2021</v>
      </c>
      <c r="E392" s="59" t="n">
        <v>5112103</v>
      </c>
      <c r="F392" s="60" t="n">
        <v>0.15</v>
      </c>
      <c r="G392" s="61" t="n">
        <v>0</v>
      </c>
      <c r="H392" s="61" t="n">
        <v>0</v>
      </c>
      <c r="I392" s="61" t="n">
        <v>0</v>
      </c>
      <c r="J392" s="61" t="n">
        <v>0</v>
      </c>
      <c r="K392" s="61" t="n">
        <v>0.15</v>
      </c>
      <c r="L392" s="61" t="n">
        <v>0</v>
      </c>
      <c r="M392" s="61" t="n">
        <v>0</v>
      </c>
      <c r="N392" s="61" t="n">
        <v>0</v>
      </c>
      <c r="O392" s="61" t="n">
        <v>0</v>
      </c>
      <c r="P392" s="62" t="n">
        <v>0</v>
      </c>
      <c r="Q392" s="0" t="n">
        <v>0</v>
      </c>
      <c r="R392" s="60" t="n">
        <f aca="false">G392+H392+I392</f>
        <v>0</v>
      </c>
      <c r="S392" s="60" t="n">
        <f aca="false">K392+L392+M392+N392+O392</f>
        <v>0.15</v>
      </c>
      <c r="T392" s="60" t="n">
        <f aca="false">L392+M392</f>
        <v>0</v>
      </c>
      <c r="U392" s="60" t="n">
        <f aca="false">S392+J392</f>
        <v>0.15</v>
      </c>
      <c r="V392" s="63" t="n">
        <f aca="false">IFERROR(S392/F392,0)</f>
        <v>1</v>
      </c>
      <c r="W392" s="63" t="n">
        <f aca="false">IFERROR(R392/F392,0)</f>
        <v>0</v>
      </c>
      <c r="X392" s="63" t="n">
        <f aca="false">IFERROR(T392/F392,0)</f>
        <v>0</v>
      </c>
      <c r="Y392" s="63" t="n">
        <f aca="false">IFERROR(G392/F392,0)</f>
        <v>0</v>
      </c>
      <c r="Z392" s="59" t="n">
        <f aca="false">IF(E392&gt;0,F392*1000000000/E392,"")</f>
        <v>29.3421317997701</v>
      </c>
      <c r="AA392" s="63" t="n">
        <f aca="false">IFERROR((R392+S392+J392)/F392,0)</f>
        <v>1</v>
      </c>
      <c r="AB392" s="0" t="str">
        <f aca="false">A392&amp;"|"&amp;D392</f>
        <v>Central African Republic|2021</v>
      </c>
    </row>
    <row r="393" customFormat="false" ht="15" hidden="false" customHeight="false" outlineLevel="0" collapsed="false">
      <c r="A393" s="0" t="s">
        <v>217</v>
      </c>
      <c r="B393" s="0" t="s">
        <v>455</v>
      </c>
      <c r="C393" s="0" t="s">
        <v>127</v>
      </c>
      <c r="D393" s="0" t="n">
        <v>2022</v>
      </c>
      <c r="E393" s="59" t="n">
        <v>5098038</v>
      </c>
      <c r="F393" s="60" t="n">
        <v>0.14</v>
      </c>
      <c r="G393" s="61" t="n">
        <v>0</v>
      </c>
      <c r="H393" s="61" t="n">
        <v>0</v>
      </c>
      <c r="I393" s="61" t="n">
        <v>0</v>
      </c>
      <c r="J393" s="61" t="n">
        <v>0</v>
      </c>
      <c r="K393" s="61" t="n">
        <v>0.14</v>
      </c>
      <c r="L393" s="61" t="n">
        <v>0</v>
      </c>
      <c r="M393" s="61" t="n">
        <v>0</v>
      </c>
      <c r="N393" s="61" t="n">
        <v>0</v>
      </c>
      <c r="O393" s="61" t="n">
        <v>0</v>
      </c>
      <c r="P393" s="62" t="n">
        <v>0</v>
      </c>
      <c r="Q393" s="0" t="n">
        <v>0</v>
      </c>
      <c r="R393" s="60" t="n">
        <f aca="false">G393+H393+I393</f>
        <v>0</v>
      </c>
      <c r="S393" s="60" t="n">
        <f aca="false">K393+L393+M393+N393+O393</f>
        <v>0.14</v>
      </c>
      <c r="T393" s="60" t="n">
        <f aca="false">L393+M393</f>
        <v>0</v>
      </c>
      <c r="U393" s="60" t="n">
        <f aca="false">S393+J393</f>
        <v>0.14</v>
      </c>
      <c r="V393" s="63" t="n">
        <f aca="false">IFERROR(S393/F393,0)</f>
        <v>1</v>
      </c>
      <c r="W393" s="63" t="n">
        <f aca="false">IFERROR(R393/F393,0)</f>
        <v>0</v>
      </c>
      <c r="X393" s="63" t="n">
        <f aca="false">IFERROR(T393/F393,0)</f>
        <v>0</v>
      </c>
      <c r="Y393" s="63" t="n">
        <f aca="false">IFERROR(G393/F393,0)</f>
        <v>0</v>
      </c>
      <c r="Z393" s="59" t="n">
        <f aca="false">IF(E393&gt;0,F393*1000000000/E393,"")</f>
        <v>27.4615450100607</v>
      </c>
      <c r="AA393" s="63" t="n">
        <f aca="false">IFERROR((R393+S393+J393)/F393,0)</f>
        <v>1</v>
      </c>
      <c r="AB393" s="0" t="str">
        <f aca="false">A393&amp;"|"&amp;D393</f>
        <v>Central African Republic|2022</v>
      </c>
    </row>
    <row r="394" customFormat="false" ht="15" hidden="false" customHeight="false" outlineLevel="0" collapsed="false">
      <c r="A394" s="0" t="s">
        <v>217</v>
      </c>
      <c r="B394" s="0" t="s">
        <v>455</v>
      </c>
      <c r="C394" s="0" t="s">
        <v>127</v>
      </c>
      <c r="D394" s="0" t="n">
        <v>2023</v>
      </c>
      <c r="E394" s="59" t="n">
        <v>5152415</v>
      </c>
      <c r="F394" s="60" t="n">
        <v>0.14</v>
      </c>
      <c r="G394" s="61" t="n">
        <v>0</v>
      </c>
      <c r="H394" s="61" t="n">
        <v>0</v>
      </c>
      <c r="I394" s="61" t="n">
        <v>0</v>
      </c>
      <c r="J394" s="61" t="n">
        <v>0</v>
      </c>
      <c r="K394" s="61" t="n">
        <v>0.14</v>
      </c>
      <c r="L394" s="61" t="n">
        <v>0</v>
      </c>
      <c r="M394" s="61" t="n">
        <v>0</v>
      </c>
      <c r="N394" s="61" t="n">
        <v>0</v>
      </c>
      <c r="O394" s="61" t="n">
        <v>0</v>
      </c>
      <c r="P394" s="62" t="n">
        <v>0</v>
      </c>
      <c r="Q394" s="0" t="n">
        <v>0</v>
      </c>
      <c r="R394" s="60" t="n">
        <f aca="false">G394+H394+I394</f>
        <v>0</v>
      </c>
      <c r="S394" s="60" t="n">
        <f aca="false">K394+L394+M394+N394+O394</f>
        <v>0.14</v>
      </c>
      <c r="T394" s="60" t="n">
        <f aca="false">L394+M394</f>
        <v>0</v>
      </c>
      <c r="U394" s="60" t="n">
        <f aca="false">S394+J394</f>
        <v>0.14</v>
      </c>
      <c r="V394" s="63" t="n">
        <f aca="false">IFERROR(S394/F394,0)</f>
        <v>1</v>
      </c>
      <c r="W394" s="63" t="n">
        <f aca="false">IFERROR(R394/F394,0)</f>
        <v>0</v>
      </c>
      <c r="X394" s="63" t="n">
        <f aca="false">IFERROR(T394/F394,0)</f>
        <v>0</v>
      </c>
      <c r="Y394" s="63" t="n">
        <f aca="false">IFERROR(G394/F394,0)</f>
        <v>0</v>
      </c>
      <c r="Z394" s="59" t="n">
        <f aca="false">IF(E394&gt;0,F394*1000000000/E394,"")</f>
        <v>27.17172432733</v>
      </c>
      <c r="AA394" s="63" t="n">
        <f aca="false">IFERROR((R394+S394+J394)/F394,0)</f>
        <v>1</v>
      </c>
      <c r="AB394" s="0" t="str">
        <f aca="false">A394&amp;"|"&amp;D394</f>
        <v>Central African Republic|2023</v>
      </c>
    </row>
    <row r="395" customFormat="false" ht="15" hidden="false" customHeight="false" outlineLevel="0" collapsed="false">
      <c r="A395" s="0" t="s">
        <v>218</v>
      </c>
      <c r="B395" s="0" t="s">
        <v>456</v>
      </c>
      <c r="C395" s="0" t="s">
        <v>127</v>
      </c>
      <c r="D395" s="0" t="n">
        <v>2015</v>
      </c>
      <c r="E395" s="59" t="n">
        <v>14647626</v>
      </c>
      <c r="F395" s="60" t="n">
        <v>0.3</v>
      </c>
      <c r="G395" s="61" t="n">
        <v>0</v>
      </c>
      <c r="H395" s="61" t="n">
        <v>0</v>
      </c>
      <c r="I395" s="61" t="n">
        <v>0.29</v>
      </c>
      <c r="J395" s="61" t="n">
        <v>0</v>
      </c>
      <c r="K395" s="61" t="n">
        <v>0</v>
      </c>
      <c r="L395" s="61" t="n">
        <v>0</v>
      </c>
      <c r="M395" s="61" t="n">
        <v>0</v>
      </c>
      <c r="N395" s="61" t="n">
        <v>0.01</v>
      </c>
      <c r="O395" s="61" t="n">
        <v>0</v>
      </c>
      <c r="P395" s="62" t="n">
        <v>633.3</v>
      </c>
      <c r="Q395" s="0" t="n">
        <v>0</v>
      </c>
      <c r="R395" s="60" t="n">
        <f aca="false">G395+H395+I395</f>
        <v>0.29</v>
      </c>
      <c r="S395" s="60" t="n">
        <f aca="false">K395+L395+M395+N395+O395</f>
        <v>0.01</v>
      </c>
      <c r="T395" s="60" t="n">
        <f aca="false">L395+M395</f>
        <v>0</v>
      </c>
      <c r="U395" s="60" t="n">
        <f aca="false">S395+J395</f>
        <v>0.01</v>
      </c>
      <c r="V395" s="63" t="n">
        <f aca="false">IFERROR(S395/F395,0)</f>
        <v>0.0333333333333333</v>
      </c>
      <c r="W395" s="63" t="n">
        <f aca="false">IFERROR(R395/F395,0)</f>
        <v>0.966666666666667</v>
      </c>
      <c r="X395" s="63" t="n">
        <f aca="false">IFERROR(T395/F395,0)</f>
        <v>0</v>
      </c>
      <c r="Y395" s="63" t="n">
        <f aca="false">IFERROR(G395/F395,0)</f>
        <v>0</v>
      </c>
      <c r="Z395" s="59" t="n">
        <f aca="false">IF(E395&gt;0,F395*1000000000/E395,"")</f>
        <v>20.4811346220883</v>
      </c>
      <c r="AA395" s="63" t="n">
        <f aca="false">IFERROR((R395+S395+J395)/F395,0)</f>
        <v>1</v>
      </c>
      <c r="AB395" s="0" t="str">
        <f aca="false">A395&amp;"|"&amp;D395</f>
        <v>Chad|2015</v>
      </c>
    </row>
    <row r="396" customFormat="false" ht="15" hidden="false" customHeight="false" outlineLevel="0" collapsed="false">
      <c r="A396" s="0" t="s">
        <v>218</v>
      </c>
      <c r="B396" s="0" t="s">
        <v>456</v>
      </c>
      <c r="C396" s="0" t="s">
        <v>127</v>
      </c>
      <c r="D396" s="0" t="n">
        <v>2016</v>
      </c>
      <c r="E396" s="59" t="n">
        <v>15114652</v>
      </c>
      <c r="F396" s="60" t="n">
        <v>0.31</v>
      </c>
      <c r="G396" s="61" t="n">
        <v>0</v>
      </c>
      <c r="H396" s="61" t="n">
        <v>0</v>
      </c>
      <c r="I396" s="61" t="n">
        <v>0.29</v>
      </c>
      <c r="J396" s="61" t="n">
        <v>0</v>
      </c>
      <c r="K396" s="61" t="n">
        <v>0</v>
      </c>
      <c r="L396" s="61" t="n">
        <v>0</v>
      </c>
      <c r="M396" s="61" t="n">
        <v>0.01</v>
      </c>
      <c r="N396" s="61" t="n">
        <v>0.01</v>
      </c>
      <c r="O396" s="61" t="n">
        <v>0</v>
      </c>
      <c r="P396" s="62" t="n">
        <v>612.9</v>
      </c>
      <c r="Q396" s="0" t="n">
        <v>0</v>
      </c>
      <c r="R396" s="60" t="n">
        <f aca="false">G396+H396+I396</f>
        <v>0.29</v>
      </c>
      <c r="S396" s="60" t="n">
        <f aca="false">K396+L396+M396+N396+O396</f>
        <v>0.02</v>
      </c>
      <c r="T396" s="60" t="n">
        <f aca="false">L396+M396</f>
        <v>0.01</v>
      </c>
      <c r="U396" s="60" t="n">
        <f aca="false">S396+J396</f>
        <v>0.02</v>
      </c>
      <c r="V396" s="63" t="n">
        <f aca="false">IFERROR(S396/F396,0)</f>
        <v>0.0645161290322581</v>
      </c>
      <c r="W396" s="63" t="n">
        <f aca="false">IFERROR(R396/F396,0)</f>
        <v>0.935483870967742</v>
      </c>
      <c r="X396" s="63" t="n">
        <f aca="false">IFERROR(T396/F396,0)</f>
        <v>0.032258064516129</v>
      </c>
      <c r="Y396" s="63" t="n">
        <f aca="false">IFERROR(G396/F396,0)</f>
        <v>0</v>
      </c>
      <c r="Z396" s="59" t="n">
        <f aca="false">IF(E396&gt;0,F396*1000000000/E396,"")</f>
        <v>20.5098999302134</v>
      </c>
      <c r="AA396" s="63" t="n">
        <f aca="false">IFERROR((R396+S396+J396)/F396,0)</f>
        <v>1</v>
      </c>
      <c r="AB396" s="0" t="str">
        <f aca="false">A396&amp;"|"&amp;D396</f>
        <v>Chad|2016</v>
      </c>
    </row>
    <row r="397" customFormat="false" ht="15" hidden="false" customHeight="false" outlineLevel="0" collapsed="false">
      <c r="A397" s="0" t="s">
        <v>218</v>
      </c>
      <c r="B397" s="0" t="s">
        <v>456</v>
      </c>
      <c r="C397" s="0" t="s">
        <v>127</v>
      </c>
      <c r="D397" s="0" t="n">
        <v>2017</v>
      </c>
      <c r="E397" s="59" t="n">
        <v>15622756</v>
      </c>
      <c r="F397" s="60" t="n">
        <v>0.32</v>
      </c>
      <c r="G397" s="61" t="n">
        <v>0</v>
      </c>
      <c r="H397" s="61" t="n">
        <v>0</v>
      </c>
      <c r="I397" s="61" t="n">
        <v>0.3</v>
      </c>
      <c r="J397" s="61" t="n">
        <v>0</v>
      </c>
      <c r="K397" s="61" t="n">
        <v>0</v>
      </c>
      <c r="L397" s="61" t="n">
        <v>0</v>
      </c>
      <c r="M397" s="61" t="n">
        <v>0.01</v>
      </c>
      <c r="N397" s="61" t="n">
        <v>0.01</v>
      </c>
      <c r="O397" s="61" t="n">
        <v>0</v>
      </c>
      <c r="P397" s="62" t="n">
        <v>625</v>
      </c>
      <c r="Q397" s="0" t="n">
        <v>0</v>
      </c>
      <c r="R397" s="60" t="n">
        <f aca="false">G397+H397+I397</f>
        <v>0.3</v>
      </c>
      <c r="S397" s="60" t="n">
        <f aca="false">K397+L397+M397+N397+O397</f>
        <v>0.02</v>
      </c>
      <c r="T397" s="60" t="n">
        <f aca="false">L397+M397</f>
        <v>0.01</v>
      </c>
      <c r="U397" s="60" t="n">
        <f aca="false">S397+J397</f>
        <v>0.02</v>
      </c>
      <c r="V397" s="63" t="n">
        <f aca="false">IFERROR(S397/F397,0)</f>
        <v>0.0625</v>
      </c>
      <c r="W397" s="63" t="n">
        <f aca="false">IFERROR(R397/F397,0)</f>
        <v>0.9375</v>
      </c>
      <c r="X397" s="63" t="n">
        <f aca="false">IFERROR(T397/F397,0)</f>
        <v>0.03125</v>
      </c>
      <c r="Y397" s="63" t="n">
        <f aca="false">IFERROR(G397/F397,0)</f>
        <v>0</v>
      </c>
      <c r="Z397" s="59" t="n">
        <f aca="false">IF(E397&gt;0,F397*1000000000/E397,"")</f>
        <v>20.4829416781521</v>
      </c>
      <c r="AA397" s="63" t="n">
        <f aca="false">IFERROR((R397+S397+J397)/F397,0)</f>
        <v>1</v>
      </c>
      <c r="AB397" s="0" t="str">
        <f aca="false">A397&amp;"|"&amp;D397</f>
        <v>Chad|2017</v>
      </c>
    </row>
    <row r="398" customFormat="false" ht="15" hidden="false" customHeight="false" outlineLevel="0" collapsed="false">
      <c r="A398" s="0" t="s">
        <v>218</v>
      </c>
      <c r="B398" s="0" t="s">
        <v>456</v>
      </c>
      <c r="C398" s="0" t="s">
        <v>127</v>
      </c>
      <c r="D398" s="0" t="n">
        <v>2018</v>
      </c>
      <c r="E398" s="59" t="n">
        <v>16156535</v>
      </c>
      <c r="F398" s="60" t="n">
        <v>0.34</v>
      </c>
      <c r="G398" s="61" t="n">
        <v>0</v>
      </c>
      <c r="H398" s="61" t="n">
        <v>0</v>
      </c>
      <c r="I398" s="61" t="n">
        <v>0.32</v>
      </c>
      <c r="J398" s="61" t="n">
        <v>0</v>
      </c>
      <c r="K398" s="61" t="n">
        <v>0</v>
      </c>
      <c r="L398" s="61" t="n">
        <v>0</v>
      </c>
      <c r="M398" s="61" t="n">
        <v>0.01</v>
      </c>
      <c r="N398" s="61" t="n">
        <v>0.01</v>
      </c>
      <c r="O398" s="61" t="n">
        <v>0</v>
      </c>
      <c r="P398" s="62" t="n">
        <v>617.6</v>
      </c>
      <c r="Q398" s="0" t="n">
        <v>0</v>
      </c>
      <c r="R398" s="60" t="n">
        <f aca="false">G398+H398+I398</f>
        <v>0.32</v>
      </c>
      <c r="S398" s="60" t="n">
        <f aca="false">K398+L398+M398+N398+O398</f>
        <v>0.02</v>
      </c>
      <c r="T398" s="60" t="n">
        <f aca="false">L398+M398</f>
        <v>0.01</v>
      </c>
      <c r="U398" s="60" t="n">
        <f aca="false">S398+J398</f>
        <v>0.02</v>
      </c>
      <c r="V398" s="63" t="n">
        <f aca="false">IFERROR(S398/F398,0)</f>
        <v>0.0588235294117647</v>
      </c>
      <c r="W398" s="63" t="n">
        <f aca="false">IFERROR(R398/F398,0)</f>
        <v>0.941176470588235</v>
      </c>
      <c r="X398" s="63" t="n">
        <f aca="false">IFERROR(T398/F398,0)</f>
        <v>0.0294117647058824</v>
      </c>
      <c r="Y398" s="63" t="n">
        <f aca="false">IFERROR(G398/F398,0)</f>
        <v>0</v>
      </c>
      <c r="Z398" s="59" t="n">
        <f aca="false">IF(E398&gt;0,F398*1000000000/E398,"")</f>
        <v>21.0441162043718</v>
      </c>
      <c r="AA398" s="63" t="n">
        <f aca="false">IFERROR((R398+S398+J398)/F398,0)</f>
        <v>1</v>
      </c>
      <c r="AB398" s="0" t="str">
        <f aca="false">A398&amp;"|"&amp;D398</f>
        <v>Chad|2018</v>
      </c>
    </row>
    <row r="399" customFormat="false" ht="15" hidden="false" customHeight="false" outlineLevel="0" collapsed="false">
      <c r="A399" s="0" t="s">
        <v>218</v>
      </c>
      <c r="B399" s="0" t="s">
        <v>456</v>
      </c>
      <c r="C399" s="0" t="s">
        <v>127</v>
      </c>
      <c r="D399" s="0" t="n">
        <v>2019</v>
      </c>
      <c r="E399" s="59" t="n">
        <v>16685223</v>
      </c>
      <c r="F399" s="60" t="n">
        <v>0.35</v>
      </c>
      <c r="G399" s="61" t="n">
        <v>0</v>
      </c>
      <c r="H399" s="61" t="n">
        <v>0</v>
      </c>
      <c r="I399" s="61" t="n">
        <v>0.33</v>
      </c>
      <c r="J399" s="61" t="n">
        <v>0</v>
      </c>
      <c r="K399" s="61" t="n">
        <v>0</v>
      </c>
      <c r="L399" s="61" t="n">
        <v>0</v>
      </c>
      <c r="M399" s="61" t="n">
        <v>0.01</v>
      </c>
      <c r="N399" s="61" t="n">
        <v>0.01</v>
      </c>
      <c r="O399" s="61" t="n">
        <v>0</v>
      </c>
      <c r="P399" s="62" t="n">
        <v>628.6</v>
      </c>
      <c r="Q399" s="0" t="n">
        <v>0</v>
      </c>
      <c r="R399" s="60" t="n">
        <f aca="false">G399+H399+I399</f>
        <v>0.33</v>
      </c>
      <c r="S399" s="60" t="n">
        <f aca="false">K399+L399+M399+N399+O399</f>
        <v>0.02</v>
      </c>
      <c r="T399" s="60" t="n">
        <f aca="false">L399+M399</f>
        <v>0.01</v>
      </c>
      <c r="U399" s="60" t="n">
        <f aca="false">S399+J399</f>
        <v>0.02</v>
      </c>
      <c r="V399" s="63" t="n">
        <f aca="false">IFERROR(S399/F399,0)</f>
        <v>0.0571428571428572</v>
      </c>
      <c r="W399" s="63" t="n">
        <f aca="false">IFERROR(R399/F399,0)</f>
        <v>0.942857142857143</v>
      </c>
      <c r="X399" s="63" t="n">
        <f aca="false">IFERROR(T399/F399,0)</f>
        <v>0.0285714285714286</v>
      </c>
      <c r="Y399" s="63" t="n">
        <f aca="false">IFERROR(G399/F399,0)</f>
        <v>0</v>
      </c>
      <c r="Z399" s="59" t="n">
        <f aca="false">IF(E399&gt;0,F399*1000000000/E399,"")</f>
        <v>20.9766450229643</v>
      </c>
      <c r="AA399" s="63" t="n">
        <f aca="false">IFERROR((R399+S399+J399)/F399,0)</f>
        <v>1</v>
      </c>
      <c r="AB399" s="0" t="str">
        <f aca="false">A399&amp;"|"&amp;D399</f>
        <v>Chad|2019</v>
      </c>
    </row>
    <row r="400" customFormat="false" ht="15" hidden="false" customHeight="false" outlineLevel="0" collapsed="false">
      <c r="A400" s="0" t="s">
        <v>218</v>
      </c>
      <c r="B400" s="0" t="s">
        <v>456</v>
      </c>
      <c r="C400" s="0" t="s">
        <v>127</v>
      </c>
      <c r="D400" s="0" t="n">
        <v>2020</v>
      </c>
      <c r="E400" s="59" t="n">
        <v>17224686</v>
      </c>
      <c r="F400" s="60" t="n">
        <v>0.35</v>
      </c>
      <c r="G400" s="61" t="n">
        <v>0</v>
      </c>
      <c r="H400" s="61" t="n">
        <v>0</v>
      </c>
      <c r="I400" s="61" t="n">
        <v>0.33</v>
      </c>
      <c r="J400" s="61" t="n">
        <v>0</v>
      </c>
      <c r="K400" s="61" t="n">
        <v>0</v>
      </c>
      <c r="L400" s="61" t="n">
        <v>0</v>
      </c>
      <c r="M400" s="61" t="n">
        <v>0.01</v>
      </c>
      <c r="N400" s="61" t="n">
        <v>0.01</v>
      </c>
      <c r="O400" s="61" t="n">
        <v>0</v>
      </c>
      <c r="P400" s="62" t="n">
        <v>628.6</v>
      </c>
      <c r="Q400" s="0" t="n">
        <v>0</v>
      </c>
      <c r="R400" s="60" t="n">
        <f aca="false">G400+H400+I400</f>
        <v>0.33</v>
      </c>
      <c r="S400" s="60" t="n">
        <f aca="false">K400+L400+M400+N400+O400</f>
        <v>0.02</v>
      </c>
      <c r="T400" s="60" t="n">
        <f aca="false">L400+M400</f>
        <v>0.01</v>
      </c>
      <c r="U400" s="60" t="n">
        <f aca="false">S400+J400</f>
        <v>0.02</v>
      </c>
      <c r="V400" s="63" t="n">
        <f aca="false">IFERROR(S400/F400,0)</f>
        <v>0.0571428571428572</v>
      </c>
      <c r="W400" s="63" t="n">
        <f aca="false">IFERROR(R400/F400,0)</f>
        <v>0.942857142857143</v>
      </c>
      <c r="X400" s="63" t="n">
        <f aca="false">IFERROR(T400/F400,0)</f>
        <v>0.0285714285714286</v>
      </c>
      <c r="Y400" s="63" t="n">
        <f aca="false">IFERROR(G400/F400,0)</f>
        <v>0</v>
      </c>
      <c r="Z400" s="59" t="n">
        <f aca="false">IF(E400&gt;0,F400*1000000000/E400,"")</f>
        <v>20.3196737519627</v>
      </c>
      <c r="AA400" s="63" t="n">
        <f aca="false">IFERROR((R400+S400+J400)/F400,0)</f>
        <v>1</v>
      </c>
      <c r="AB400" s="0" t="str">
        <f aca="false">A400&amp;"|"&amp;D400</f>
        <v>Chad|2020</v>
      </c>
    </row>
    <row r="401" customFormat="false" ht="15" hidden="false" customHeight="false" outlineLevel="0" collapsed="false">
      <c r="A401" s="0" t="s">
        <v>218</v>
      </c>
      <c r="B401" s="0" t="s">
        <v>456</v>
      </c>
      <c r="C401" s="0" t="s">
        <v>127</v>
      </c>
      <c r="D401" s="0" t="n">
        <v>2021</v>
      </c>
      <c r="E401" s="59" t="n">
        <v>17828274</v>
      </c>
      <c r="F401" s="60" t="n">
        <v>0.43</v>
      </c>
      <c r="G401" s="61" t="n">
        <v>0</v>
      </c>
      <c r="H401" s="61" t="n">
        <v>0</v>
      </c>
      <c r="I401" s="61" t="n">
        <v>0.41</v>
      </c>
      <c r="J401" s="61" t="n">
        <v>0</v>
      </c>
      <c r="K401" s="61" t="n">
        <v>0</v>
      </c>
      <c r="L401" s="61" t="n">
        <v>0</v>
      </c>
      <c r="M401" s="61" t="n">
        <v>0.01</v>
      </c>
      <c r="N401" s="61" t="n">
        <v>0.01</v>
      </c>
      <c r="O401" s="61" t="n">
        <v>0</v>
      </c>
      <c r="P401" s="62" t="n">
        <v>627.9</v>
      </c>
      <c r="Q401" s="0" t="n">
        <v>0</v>
      </c>
      <c r="R401" s="60" t="n">
        <f aca="false">G401+H401+I401</f>
        <v>0.41</v>
      </c>
      <c r="S401" s="60" t="n">
        <f aca="false">K401+L401+M401+N401+O401</f>
        <v>0.02</v>
      </c>
      <c r="T401" s="60" t="n">
        <f aca="false">L401+M401</f>
        <v>0.01</v>
      </c>
      <c r="U401" s="60" t="n">
        <f aca="false">S401+J401</f>
        <v>0.02</v>
      </c>
      <c r="V401" s="63" t="n">
        <f aca="false">IFERROR(S401/F401,0)</f>
        <v>0.0465116279069767</v>
      </c>
      <c r="W401" s="63" t="n">
        <f aca="false">IFERROR(R401/F401,0)</f>
        <v>0.953488372093023</v>
      </c>
      <c r="X401" s="63" t="n">
        <f aca="false">IFERROR(T401/F401,0)</f>
        <v>0.0232558139534884</v>
      </c>
      <c r="Y401" s="63" t="n">
        <f aca="false">IFERROR(G401/F401,0)</f>
        <v>0</v>
      </c>
      <c r="Z401" s="59" t="n">
        <f aca="false">IF(E401&gt;0,F401*1000000000/E401,"")</f>
        <v>24.1189921133139</v>
      </c>
      <c r="AA401" s="63" t="n">
        <f aca="false">IFERROR((R401+S401+J401)/F401,0)</f>
        <v>1</v>
      </c>
      <c r="AB401" s="0" t="str">
        <f aca="false">A401&amp;"|"&amp;D401</f>
        <v>Chad|2021</v>
      </c>
    </row>
    <row r="402" customFormat="false" ht="15" hidden="false" customHeight="false" outlineLevel="0" collapsed="false">
      <c r="A402" s="0" t="s">
        <v>218</v>
      </c>
      <c r="B402" s="0" t="s">
        <v>456</v>
      </c>
      <c r="C402" s="0" t="s">
        <v>127</v>
      </c>
      <c r="D402" s="0" t="n">
        <v>2022</v>
      </c>
      <c r="E402" s="59" t="n">
        <v>18455319</v>
      </c>
      <c r="F402" s="60" t="n">
        <v>0.39</v>
      </c>
      <c r="G402" s="61" t="n">
        <v>0</v>
      </c>
      <c r="H402" s="61" t="n">
        <v>0</v>
      </c>
      <c r="I402" s="61" t="n">
        <v>0.37</v>
      </c>
      <c r="J402" s="61" t="n">
        <v>0</v>
      </c>
      <c r="K402" s="61" t="n">
        <v>0</v>
      </c>
      <c r="L402" s="61" t="n">
        <v>0</v>
      </c>
      <c r="M402" s="61" t="n">
        <v>0.01</v>
      </c>
      <c r="N402" s="61" t="n">
        <v>0.01</v>
      </c>
      <c r="O402" s="61" t="n">
        <v>0</v>
      </c>
      <c r="P402" s="62" t="n">
        <v>615.4</v>
      </c>
      <c r="Q402" s="0" t="n">
        <v>0</v>
      </c>
      <c r="R402" s="60" t="n">
        <f aca="false">G402+H402+I402</f>
        <v>0.37</v>
      </c>
      <c r="S402" s="60" t="n">
        <f aca="false">K402+L402+M402+N402+O402</f>
        <v>0.02</v>
      </c>
      <c r="T402" s="60" t="n">
        <f aca="false">L402+M402</f>
        <v>0.01</v>
      </c>
      <c r="U402" s="60" t="n">
        <f aca="false">S402+J402</f>
        <v>0.02</v>
      </c>
      <c r="V402" s="63" t="n">
        <f aca="false">IFERROR(S402/F402,0)</f>
        <v>0.0512820512820513</v>
      </c>
      <c r="W402" s="63" t="n">
        <f aca="false">IFERROR(R402/F402,0)</f>
        <v>0.948717948717949</v>
      </c>
      <c r="X402" s="63" t="n">
        <f aca="false">IFERROR(T402/F402,0)</f>
        <v>0.0256410256410256</v>
      </c>
      <c r="Y402" s="63" t="n">
        <f aca="false">IFERROR(G402/F402,0)</f>
        <v>0</v>
      </c>
      <c r="Z402" s="59" t="n">
        <f aca="false">IF(E402&gt;0,F402*1000000000/E402,"")</f>
        <v>21.1321191467891</v>
      </c>
      <c r="AA402" s="63" t="n">
        <f aca="false">IFERROR((R402+S402+J402)/F402,0)</f>
        <v>1</v>
      </c>
      <c r="AB402" s="0" t="str">
        <f aca="false">A402&amp;"|"&amp;D402</f>
        <v>Chad|2022</v>
      </c>
    </row>
    <row r="403" customFormat="false" ht="15" hidden="false" customHeight="false" outlineLevel="0" collapsed="false">
      <c r="A403" s="0" t="s">
        <v>218</v>
      </c>
      <c r="B403" s="0" t="s">
        <v>456</v>
      </c>
      <c r="C403" s="0" t="s">
        <v>127</v>
      </c>
      <c r="D403" s="0" t="n">
        <v>2023</v>
      </c>
      <c r="E403" s="59" t="n">
        <v>19319075</v>
      </c>
      <c r="F403" s="60" t="n">
        <v>0.36</v>
      </c>
      <c r="G403" s="61" t="n">
        <v>0</v>
      </c>
      <c r="H403" s="61" t="n">
        <v>0</v>
      </c>
      <c r="I403" s="61" t="n">
        <v>0.34</v>
      </c>
      <c r="J403" s="61" t="n">
        <v>0</v>
      </c>
      <c r="K403" s="61" t="n">
        <v>0</v>
      </c>
      <c r="L403" s="61" t="n">
        <v>0</v>
      </c>
      <c r="M403" s="61" t="n">
        <v>0.01</v>
      </c>
      <c r="N403" s="61" t="n">
        <v>0.01</v>
      </c>
      <c r="O403" s="61" t="n">
        <v>0</v>
      </c>
      <c r="P403" s="62" t="n">
        <v>611.1</v>
      </c>
      <c r="Q403" s="0" t="n">
        <v>0</v>
      </c>
      <c r="R403" s="60" t="n">
        <f aca="false">G403+H403+I403</f>
        <v>0.34</v>
      </c>
      <c r="S403" s="60" t="n">
        <f aca="false">K403+L403+M403+N403+O403</f>
        <v>0.02</v>
      </c>
      <c r="T403" s="60" t="n">
        <f aca="false">L403+M403</f>
        <v>0.01</v>
      </c>
      <c r="U403" s="60" t="n">
        <f aca="false">S403+J403</f>
        <v>0.02</v>
      </c>
      <c r="V403" s="63" t="n">
        <f aca="false">IFERROR(S403/F403,0)</f>
        <v>0.0555555555555556</v>
      </c>
      <c r="W403" s="63" t="n">
        <f aca="false">IFERROR(R403/F403,0)</f>
        <v>0.944444444444445</v>
      </c>
      <c r="X403" s="63" t="n">
        <f aca="false">IFERROR(T403/F403,0)</f>
        <v>0.0277777777777778</v>
      </c>
      <c r="Y403" s="63" t="n">
        <f aca="false">IFERROR(G403/F403,0)</f>
        <v>0</v>
      </c>
      <c r="Z403" s="59" t="n">
        <f aca="false">IF(E403&gt;0,F403*1000000000/E403,"")</f>
        <v>18.6344325491774</v>
      </c>
      <c r="AA403" s="63" t="n">
        <f aca="false">IFERROR((R403+S403+J403)/F403,0)</f>
        <v>1</v>
      </c>
      <c r="AB403" s="0" t="str">
        <f aca="false">A403&amp;"|"&amp;D403</f>
        <v>Chad|2023</v>
      </c>
    </row>
    <row r="404" customFormat="false" ht="15" hidden="false" customHeight="false" outlineLevel="0" collapsed="false">
      <c r="A404" s="0" t="s">
        <v>218</v>
      </c>
      <c r="B404" s="0" t="s">
        <v>456</v>
      </c>
      <c r="C404" s="0" t="s">
        <v>127</v>
      </c>
      <c r="D404" s="0" t="n">
        <v>2024</v>
      </c>
      <c r="E404" s="59" t="n">
        <v>20299131</v>
      </c>
      <c r="F404" s="60" t="n">
        <v>0.37</v>
      </c>
      <c r="G404" s="61" t="n">
        <v>0</v>
      </c>
      <c r="H404" s="61" t="n">
        <v>0</v>
      </c>
      <c r="I404" s="61" t="n">
        <v>0.35</v>
      </c>
      <c r="J404" s="61" t="n">
        <v>0</v>
      </c>
      <c r="K404" s="61" t="n">
        <v>0</v>
      </c>
      <c r="L404" s="61" t="n">
        <v>0</v>
      </c>
      <c r="M404" s="61" t="n">
        <v>0.01</v>
      </c>
      <c r="N404" s="61" t="n">
        <v>0.01</v>
      </c>
      <c r="O404" s="61" t="n">
        <v>0</v>
      </c>
      <c r="P404" s="62" t="n">
        <v>621.6</v>
      </c>
      <c r="Q404" s="0" t="n">
        <v>0</v>
      </c>
      <c r="R404" s="60" t="n">
        <f aca="false">G404+H404+I404</f>
        <v>0.35</v>
      </c>
      <c r="S404" s="60" t="n">
        <f aca="false">K404+L404+M404+N404+O404</f>
        <v>0.02</v>
      </c>
      <c r="T404" s="60" t="n">
        <f aca="false">L404+M404</f>
        <v>0.01</v>
      </c>
      <c r="U404" s="60" t="n">
        <f aca="false">S404+J404</f>
        <v>0.02</v>
      </c>
      <c r="V404" s="63" t="n">
        <f aca="false">IFERROR(S404/F404,0)</f>
        <v>0.0540540540540541</v>
      </c>
      <c r="W404" s="63" t="n">
        <f aca="false">IFERROR(R404/F404,0)</f>
        <v>0.945945945945946</v>
      </c>
      <c r="X404" s="63" t="n">
        <f aca="false">IFERROR(T404/F404,0)</f>
        <v>0.027027027027027</v>
      </c>
      <c r="Y404" s="63" t="n">
        <f aca="false">IFERROR(G404/F404,0)</f>
        <v>0</v>
      </c>
      <c r="Z404" s="59" t="n">
        <f aca="false">IF(E404&gt;0,F404*1000000000/E404,"")</f>
        <v>18.2273812608037</v>
      </c>
      <c r="AA404" s="63" t="n">
        <f aca="false">IFERROR((R404+S404+J404)/F404,0)</f>
        <v>1</v>
      </c>
      <c r="AB404" s="0" t="str">
        <f aca="false">A404&amp;"|"&amp;D404</f>
        <v>Chad|2024</v>
      </c>
    </row>
    <row r="405" customFormat="false" ht="15" hidden="false" customHeight="false" outlineLevel="0" collapsed="false">
      <c r="A405" s="0" t="s">
        <v>219</v>
      </c>
      <c r="B405" s="0" t="s">
        <v>457</v>
      </c>
      <c r="C405" s="0" t="s">
        <v>127</v>
      </c>
      <c r="D405" s="0" t="n">
        <v>2015</v>
      </c>
      <c r="E405" s="59" t="n">
        <v>18047630</v>
      </c>
      <c r="F405" s="60" t="n">
        <v>74.91</v>
      </c>
      <c r="G405" s="61" t="n">
        <v>28.03</v>
      </c>
      <c r="H405" s="61" t="n">
        <v>11.36</v>
      </c>
      <c r="I405" s="61" t="n">
        <v>3.16</v>
      </c>
      <c r="J405" s="61" t="n">
        <v>0</v>
      </c>
      <c r="K405" s="61" t="n">
        <v>23.4</v>
      </c>
      <c r="L405" s="61" t="n">
        <v>1.24</v>
      </c>
      <c r="M405" s="61" t="n">
        <v>2.11</v>
      </c>
      <c r="N405" s="61" t="n">
        <v>5.61</v>
      </c>
      <c r="O405" s="61" t="n">
        <v>0</v>
      </c>
      <c r="P405" s="62" t="n">
        <v>491.4</v>
      </c>
      <c r="Q405" s="0" t="n">
        <v>0</v>
      </c>
      <c r="R405" s="60" t="n">
        <f aca="false">G405+H405+I405</f>
        <v>42.55</v>
      </c>
      <c r="S405" s="60" t="n">
        <f aca="false">K405+L405+M405+N405+O405</f>
        <v>32.36</v>
      </c>
      <c r="T405" s="60" t="n">
        <f aca="false">L405+M405</f>
        <v>3.35</v>
      </c>
      <c r="U405" s="60" t="n">
        <f aca="false">S405+J405</f>
        <v>32.36</v>
      </c>
      <c r="V405" s="63" t="n">
        <f aca="false">IFERROR(S405/F405,0)</f>
        <v>0.431985048725137</v>
      </c>
      <c r="W405" s="63" t="n">
        <f aca="false">IFERROR(R405/F405,0)</f>
        <v>0.568014951274863</v>
      </c>
      <c r="X405" s="63" t="n">
        <f aca="false">IFERROR(T405/F405,0)</f>
        <v>0.0447203310639434</v>
      </c>
      <c r="Y405" s="63" t="n">
        <f aca="false">IFERROR(G405/F405,0)</f>
        <v>0.374182352155921</v>
      </c>
      <c r="Z405" s="59" t="n">
        <f aca="false">IF(E405&gt;0,F405*1000000000/E405,"")</f>
        <v>4150.68349694669</v>
      </c>
      <c r="AA405" s="63" t="n">
        <f aca="false">IFERROR((R405+S405+J405)/F405,0)</f>
        <v>1</v>
      </c>
      <c r="AB405" s="0" t="str">
        <f aca="false">A405&amp;"|"&amp;D405</f>
        <v>Chile|2015</v>
      </c>
    </row>
    <row r="406" customFormat="false" ht="15" hidden="false" customHeight="false" outlineLevel="0" collapsed="false">
      <c r="A406" s="0" t="s">
        <v>219</v>
      </c>
      <c r="B406" s="0" t="s">
        <v>457</v>
      </c>
      <c r="C406" s="0" t="s">
        <v>127</v>
      </c>
      <c r="D406" s="0" t="n">
        <v>2016</v>
      </c>
      <c r="E406" s="59" t="n">
        <v>18267225</v>
      </c>
      <c r="F406" s="60" t="n">
        <v>78.83</v>
      </c>
      <c r="G406" s="61" t="n">
        <v>30.26</v>
      </c>
      <c r="H406" s="61" t="n">
        <v>11.85</v>
      </c>
      <c r="I406" s="61" t="n">
        <v>2.91</v>
      </c>
      <c r="J406" s="61" t="n">
        <v>0</v>
      </c>
      <c r="K406" s="61" t="n">
        <v>22.81</v>
      </c>
      <c r="L406" s="61" t="n">
        <v>2.59</v>
      </c>
      <c r="M406" s="61" t="n">
        <v>2.45</v>
      </c>
      <c r="N406" s="61" t="n">
        <v>5.96</v>
      </c>
      <c r="O406" s="61" t="n">
        <v>0</v>
      </c>
      <c r="P406" s="62" t="n">
        <v>496.4</v>
      </c>
      <c r="Q406" s="0" t="n">
        <v>0</v>
      </c>
      <c r="R406" s="60" t="n">
        <f aca="false">G406+H406+I406</f>
        <v>45.02</v>
      </c>
      <c r="S406" s="60" t="n">
        <f aca="false">K406+L406+M406+N406+O406</f>
        <v>33.81</v>
      </c>
      <c r="T406" s="60" t="n">
        <f aca="false">L406+M406</f>
        <v>5.04</v>
      </c>
      <c r="U406" s="60" t="n">
        <f aca="false">S406+J406</f>
        <v>33.81</v>
      </c>
      <c r="V406" s="63" t="n">
        <f aca="false">IFERROR(S406/F406,0)</f>
        <v>0.428897627806673</v>
      </c>
      <c r="W406" s="63" t="n">
        <f aca="false">IFERROR(R406/F406,0)</f>
        <v>0.571102372193327</v>
      </c>
      <c r="X406" s="63" t="n">
        <f aca="false">IFERROR(T406/F406,0)</f>
        <v>0.063935050107827</v>
      </c>
      <c r="Y406" s="63" t="n">
        <f aca="false">IFERROR(G406/F406,0)</f>
        <v>0.383864011163263</v>
      </c>
      <c r="Z406" s="59" t="n">
        <f aca="false">IF(E406&gt;0,F406*1000000000/E406,"")</f>
        <v>4315.37904635214</v>
      </c>
      <c r="AA406" s="63" t="n">
        <f aca="false">IFERROR((R406+S406+J406)/F406,0)</f>
        <v>1</v>
      </c>
      <c r="AB406" s="0" t="str">
        <f aca="false">A406&amp;"|"&amp;D406</f>
        <v>Chile|2016</v>
      </c>
    </row>
    <row r="407" customFormat="false" ht="15" hidden="false" customHeight="false" outlineLevel="0" collapsed="false">
      <c r="A407" s="0" t="s">
        <v>219</v>
      </c>
      <c r="B407" s="0" t="s">
        <v>457</v>
      </c>
      <c r="C407" s="0" t="s">
        <v>127</v>
      </c>
      <c r="D407" s="0" t="n">
        <v>2017</v>
      </c>
      <c r="E407" s="59" t="n">
        <v>18558868</v>
      </c>
      <c r="F407" s="60" t="n">
        <v>78.93</v>
      </c>
      <c r="G407" s="61" t="n">
        <v>29.3</v>
      </c>
      <c r="H407" s="61" t="n">
        <v>13.35</v>
      </c>
      <c r="I407" s="61" t="n">
        <v>1.91</v>
      </c>
      <c r="J407" s="61" t="n">
        <v>0</v>
      </c>
      <c r="K407" s="61" t="n">
        <v>20.89</v>
      </c>
      <c r="L407" s="61" t="n">
        <v>3.84</v>
      </c>
      <c r="M407" s="61" t="n">
        <v>3.52</v>
      </c>
      <c r="N407" s="61" t="n">
        <v>6.06</v>
      </c>
      <c r="O407" s="61" t="n">
        <v>0.06</v>
      </c>
      <c r="P407" s="62" t="n">
        <v>487.3</v>
      </c>
      <c r="Q407" s="0" t="n">
        <v>0</v>
      </c>
      <c r="R407" s="60" t="n">
        <f aca="false">G407+H407+I407</f>
        <v>44.56</v>
      </c>
      <c r="S407" s="60" t="n">
        <f aca="false">K407+L407+M407+N407+O407</f>
        <v>34.37</v>
      </c>
      <c r="T407" s="60" t="n">
        <f aca="false">L407+M407</f>
        <v>7.36</v>
      </c>
      <c r="U407" s="60" t="n">
        <f aca="false">S407+J407</f>
        <v>34.37</v>
      </c>
      <c r="V407" s="63" t="n">
        <f aca="false">IFERROR(S407/F407,0)</f>
        <v>0.435449132142405</v>
      </c>
      <c r="W407" s="63" t="n">
        <f aca="false">IFERROR(R407/F407,0)</f>
        <v>0.564550867857595</v>
      </c>
      <c r="X407" s="63" t="n">
        <f aca="false">IFERROR(T407/F407,0)</f>
        <v>0.0932471810464969</v>
      </c>
      <c r="Y407" s="63" t="n">
        <f aca="false">IFERROR(G407/F407,0)</f>
        <v>0.371215000633473</v>
      </c>
      <c r="Z407" s="59" t="n">
        <f aca="false">IF(E407&gt;0,F407*1000000000/E407,"")</f>
        <v>4252.95335900875</v>
      </c>
      <c r="AA407" s="63" t="n">
        <f aca="false">IFERROR((R407+S407+J407)/F407,0)</f>
        <v>1</v>
      </c>
      <c r="AB407" s="0" t="str">
        <f aca="false">A407&amp;"|"&amp;D407</f>
        <v>Chile|2017</v>
      </c>
    </row>
    <row r="408" customFormat="false" ht="15" hidden="false" customHeight="false" outlineLevel="0" collapsed="false">
      <c r="A408" s="0" t="s">
        <v>219</v>
      </c>
      <c r="B408" s="0" t="s">
        <v>457</v>
      </c>
      <c r="C408" s="0" t="s">
        <v>127</v>
      </c>
      <c r="D408" s="0" t="n">
        <v>2018</v>
      </c>
      <c r="E408" s="59" t="n">
        <v>18893185</v>
      </c>
      <c r="F408" s="60" t="n">
        <v>81.76</v>
      </c>
      <c r="G408" s="61" t="n">
        <v>29.89</v>
      </c>
      <c r="H408" s="61" t="n">
        <v>13.08</v>
      </c>
      <c r="I408" s="61" t="n">
        <v>1.29</v>
      </c>
      <c r="J408" s="61" t="n">
        <v>0</v>
      </c>
      <c r="K408" s="61" t="n">
        <v>22.9</v>
      </c>
      <c r="L408" s="61" t="n">
        <v>5.12</v>
      </c>
      <c r="M408" s="61" t="n">
        <v>3.58</v>
      </c>
      <c r="N408" s="61" t="n">
        <v>5.69</v>
      </c>
      <c r="O408" s="61" t="n">
        <v>0.21</v>
      </c>
      <c r="P408" s="62" t="n">
        <v>470.3</v>
      </c>
      <c r="Q408" s="0" t="n">
        <v>0</v>
      </c>
      <c r="R408" s="60" t="n">
        <f aca="false">G408+H408+I408</f>
        <v>44.26</v>
      </c>
      <c r="S408" s="60" t="n">
        <f aca="false">K408+L408+M408+N408+O408</f>
        <v>37.5</v>
      </c>
      <c r="T408" s="60" t="n">
        <f aca="false">L408+M408</f>
        <v>8.7</v>
      </c>
      <c r="U408" s="60" t="n">
        <f aca="false">S408+J408</f>
        <v>37.5</v>
      </c>
      <c r="V408" s="63" t="n">
        <f aca="false">IFERROR(S408/F408,0)</f>
        <v>0.458659491193738</v>
      </c>
      <c r="W408" s="63" t="n">
        <f aca="false">IFERROR(R408/F408,0)</f>
        <v>0.541340508806262</v>
      </c>
      <c r="X408" s="63" t="n">
        <f aca="false">IFERROR(T408/F408,0)</f>
        <v>0.106409001956947</v>
      </c>
      <c r="Y408" s="63" t="n">
        <f aca="false">IFERROR(G408/F408,0)</f>
        <v>0.365582191780822</v>
      </c>
      <c r="Z408" s="59" t="n">
        <f aca="false">IF(E408&gt;0,F408*1000000000/E408,"")</f>
        <v>4327.48633965104</v>
      </c>
      <c r="AA408" s="63" t="n">
        <f aca="false">IFERROR((R408+S408+J408)/F408,0)</f>
        <v>1</v>
      </c>
      <c r="AB408" s="0" t="str">
        <f aca="false">A408&amp;"|"&amp;D408</f>
        <v>Chile|2018</v>
      </c>
    </row>
    <row r="409" customFormat="false" ht="15" hidden="false" customHeight="false" outlineLevel="0" collapsed="false">
      <c r="A409" s="0" t="s">
        <v>219</v>
      </c>
      <c r="B409" s="0" t="s">
        <v>457</v>
      </c>
      <c r="C409" s="0" t="s">
        <v>127</v>
      </c>
      <c r="D409" s="0" t="n">
        <v>2019</v>
      </c>
      <c r="E409" s="59" t="n">
        <v>19197748</v>
      </c>
      <c r="F409" s="60" t="n">
        <v>83.98</v>
      </c>
      <c r="G409" s="61" t="n">
        <v>28.13</v>
      </c>
      <c r="H409" s="61" t="n">
        <v>15.87</v>
      </c>
      <c r="I409" s="61" t="n">
        <v>1.17</v>
      </c>
      <c r="J409" s="61" t="n">
        <v>0</v>
      </c>
      <c r="K409" s="61" t="n">
        <v>22.03</v>
      </c>
      <c r="L409" s="61" t="n">
        <v>6.3</v>
      </c>
      <c r="M409" s="61" t="n">
        <v>4.89</v>
      </c>
      <c r="N409" s="61" t="n">
        <v>5.39</v>
      </c>
      <c r="O409" s="61" t="n">
        <v>0.2</v>
      </c>
      <c r="P409" s="62" t="n">
        <v>456.5</v>
      </c>
      <c r="Q409" s="0" t="n">
        <v>0</v>
      </c>
      <c r="R409" s="60" t="n">
        <f aca="false">G409+H409+I409</f>
        <v>45.17</v>
      </c>
      <c r="S409" s="60" t="n">
        <f aca="false">K409+L409+M409+N409+O409</f>
        <v>38.81</v>
      </c>
      <c r="T409" s="60" t="n">
        <f aca="false">L409+M409</f>
        <v>11.19</v>
      </c>
      <c r="U409" s="60" t="n">
        <f aca="false">S409+J409</f>
        <v>38.81</v>
      </c>
      <c r="V409" s="63" t="n">
        <f aca="false">IFERROR(S409/F409,0)</f>
        <v>0.462133841390807</v>
      </c>
      <c r="W409" s="63" t="n">
        <f aca="false">IFERROR(R409/F409,0)</f>
        <v>0.537866158609193</v>
      </c>
      <c r="X409" s="63" t="n">
        <f aca="false">IFERROR(T409/F409,0)</f>
        <v>0.133246010954989</v>
      </c>
      <c r="Y409" s="63" t="n">
        <f aca="false">IFERROR(G409/F409,0)</f>
        <v>0.334960704929745</v>
      </c>
      <c r="Z409" s="59" t="n">
        <f aca="false">IF(E409&gt;0,F409*1000000000/E409,"")</f>
        <v>4374.47142237725</v>
      </c>
      <c r="AA409" s="63" t="n">
        <f aca="false">IFERROR((R409+S409+J409)/F409,0)</f>
        <v>1</v>
      </c>
      <c r="AB409" s="0" t="str">
        <f aca="false">A409&amp;"|"&amp;D409</f>
        <v>Chile|2019</v>
      </c>
    </row>
    <row r="410" customFormat="false" ht="15" hidden="false" customHeight="false" outlineLevel="0" collapsed="false">
      <c r="A410" s="0" t="s">
        <v>219</v>
      </c>
      <c r="B410" s="0" t="s">
        <v>457</v>
      </c>
      <c r="C410" s="0" t="s">
        <v>127</v>
      </c>
      <c r="D410" s="0" t="n">
        <v>2020</v>
      </c>
      <c r="E410" s="59" t="n">
        <v>19370621</v>
      </c>
      <c r="F410" s="60" t="n">
        <v>83.58</v>
      </c>
      <c r="G410" s="61" t="n">
        <v>26.07</v>
      </c>
      <c r="H410" s="61" t="n">
        <v>15.29</v>
      </c>
      <c r="I410" s="61" t="n">
        <v>1.73</v>
      </c>
      <c r="J410" s="61" t="n">
        <v>0</v>
      </c>
      <c r="K410" s="61" t="n">
        <v>21.93</v>
      </c>
      <c r="L410" s="61" t="n">
        <v>7.53</v>
      </c>
      <c r="M410" s="61" t="n">
        <v>5.55</v>
      </c>
      <c r="N410" s="61" t="n">
        <v>5.24</v>
      </c>
      <c r="O410" s="61" t="n">
        <v>0.24</v>
      </c>
      <c r="P410" s="62" t="n">
        <v>436.8</v>
      </c>
      <c r="Q410" s="0" t="n">
        <v>0</v>
      </c>
      <c r="R410" s="60" t="n">
        <f aca="false">G410+H410+I410</f>
        <v>43.09</v>
      </c>
      <c r="S410" s="60" t="n">
        <f aca="false">K410+L410+M410+N410+O410</f>
        <v>40.49</v>
      </c>
      <c r="T410" s="60" t="n">
        <f aca="false">L410+M410</f>
        <v>13.08</v>
      </c>
      <c r="U410" s="60" t="n">
        <f aca="false">S410+J410</f>
        <v>40.49</v>
      </c>
      <c r="V410" s="63" t="n">
        <f aca="false">IFERROR(S410/F410,0)</f>
        <v>0.484446039722422</v>
      </c>
      <c r="W410" s="63" t="n">
        <f aca="false">IFERROR(R410/F410,0)</f>
        <v>0.515553960277578</v>
      </c>
      <c r="X410" s="63" t="n">
        <f aca="false">IFERROR(T410/F410,0)</f>
        <v>0.156496769562096</v>
      </c>
      <c r="Y410" s="63" t="n">
        <f aca="false">IFERROR(G410/F410,0)</f>
        <v>0.311916726489591</v>
      </c>
      <c r="Z410" s="59" t="n">
        <f aca="false">IF(E410&gt;0,F410*1000000000/E410,"")</f>
        <v>4314.78164793994</v>
      </c>
      <c r="AA410" s="63" t="n">
        <f aca="false">IFERROR((R410+S410+J410)/F410,0)</f>
        <v>1</v>
      </c>
      <c r="AB410" s="0" t="str">
        <f aca="false">A410&amp;"|"&amp;D410</f>
        <v>Chile|2020</v>
      </c>
    </row>
    <row r="411" customFormat="false" ht="15" hidden="false" customHeight="false" outlineLevel="0" collapsed="false">
      <c r="A411" s="0" t="s">
        <v>219</v>
      </c>
      <c r="B411" s="0" t="s">
        <v>457</v>
      </c>
      <c r="C411" s="0" t="s">
        <v>127</v>
      </c>
      <c r="D411" s="0" t="n">
        <v>2021</v>
      </c>
      <c r="E411" s="59" t="n">
        <v>19456323</v>
      </c>
      <c r="F411" s="60" t="n">
        <v>88.1</v>
      </c>
      <c r="G411" s="61" t="n">
        <v>26.07</v>
      </c>
      <c r="H411" s="61" t="n">
        <v>15.9</v>
      </c>
      <c r="I411" s="61" t="n">
        <v>3.06</v>
      </c>
      <c r="J411" s="61" t="n">
        <v>0</v>
      </c>
      <c r="K411" s="61" t="n">
        <v>18.96</v>
      </c>
      <c r="L411" s="61" t="n">
        <v>10.56</v>
      </c>
      <c r="M411" s="61" t="n">
        <v>7.62</v>
      </c>
      <c r="N411" s="61" t="n">
        <v>5.61</v>
      </c>
      <c r="O411" s="61" t="n">
        <v>0.32</v>
      </c>
      <c r="P411" s="62" t="n">
        <v>431</v>
      </c>
      <c r="Q411" s="0" t="n">
        <v>0</v>
      </c>
      <c r="R411" s="60" t="n">
        <f aca="false">G411+H411+I411</f>
        <v>45.03</v>
      </c>
      <c r="S411" s="60" t="n">
        <f aca="false">K411+L411+M411+N411+O411</f>
        <v>43.07</v>
      </c>
      <c r="T411" s="60" t="n">
        <f aca="false">L411+M411</f>
        <v>18.18</v>
      </c>
      <c r="U411" s="60" t="n">
        <f aca="false">S411+J411</f>
        <v>43.07</v>
      </c>
      <c r="V411" s="63" t="n">
        <f aca="false">IFERROR(S411/F411,0)</f>
        <v>0.488876276958002</v>
      </c>
      <c r="W411" s="63" t="n">
        <f aca="false">IFERROR(R411/F411,0)</f>
        <v>0.511123723041998</v>
      </c>
      <c r="X411" s="63" t="n">
        <f aca="false">IFERROR(T411/F411,0)</f>
        <v>0.206356413166856</v>
      </c>
      <c r="Y411" s="63" t="n">
        <f aca="false">IFERROR(G411/F411,0)</f>
        <v>0.295913734392736</v>
      </c>
      <c r="Z411" s="59" t="n">
        <f aca="false">IF(E411&gt;0,F411*1000000000/E411,"")</f>
        <v>4528.09094503622</v>
      </c>
      <c r="AA411" s="63" t="n">
        <f aca="false">IFERROR((R411+S411+J411)/F411,0)</f>
        <v>1</v>
      </c>
      <c r="AB411" s="0" t="str">
        <f aca="false">A411&amp;"|"&amp;D411</f>
        <v>Chile|2021</v>
      </c>
    </row>
    <row r="412" customFormat="false" ht="15" hidden="false" customHeight="false" outlineLevel="0" collapsed="false">
      <c r="A412" s="0" t="s">
        <v>219</v>
      </c>
      <c r="B412" s="0" t="s">
        <v>457</v>
      </c>
      <c r="C412" s="0" t="s">
        <v>127</v>
      </c>
      <c r="D412" s="0" t="n">
        <v>2022</v>
      </c>
      <c r="E412" s="59" t="n">
        <v>19553033</v>
      </c>
      <c r="F412" s="60" t="n">
        <v>91.04</v>
      </c>
      <c r="G412" s="61" t="n">
        <v>21.52</v>
      </c>
      <c r="H412" s="61" t="n">
        <v>16.09</v>
      </c>
      <c r="I412" s="61" t="n">
        <v>3.06</v>
      </c>
      <c r="J412" s="61" t="n">
        <v>0</v>
      </c>
      <c r="K412" s="61" t="n">
        <v>20.68</v>
      </c>
      <c r="L412" s="61" t="n">
        <v>15.71</v>
      </c>
      <c r="M412" s="61" t="n">
        <v>8.88</v>
      </c>
      <c r="N412" s="61" t="n">
        <v>4.64</v>
      </c>
      <c r="O412" s="61" t="n">
        <v>0.46</v>
      </c>
      <c r="P412" s="62" t="n">
        <v>372.8</v>
      </c>
      <c r="Q412" s="0" t="n">
        <v>0</v>
      </c>
      <c r="R412" s="60" t="n">
        <f aca="false">G412+H412+I412</f>
        <v>40.67</v>
      </c>
      <c r="S412" s="60" t="n">
        <f aca="false">K412+L412+M412+N412+O412</f>
        <v>50.37</v>
      </c>
      <c r="T412" s="60" t="n">
        <f aca="false">L412+M412</f>
        <v>24.59</v>
      </c>
      <c r="U412" s="60" t="n">
        <f aca="false">S412+J412</f>
        <v>50.37</v>
      </c>
      <c r="V412" s="63" t="n">
        <f aca="false">IFERROR(S412/F412,0)</f>
        <v>0.553273286467487</v>
      </c>
      <c r="W412" s="63" t="n">
        <f aca="false">IFERROR(R412/F412,0)</f>
        <v>0.446726713532513</v>
      </c>
      <c r="X412" s="63" t="n">
        <f aca="false">IFERROR(T412/F412,0)</f>
        <v>0.270101054481547</v>
      </c>
      <c r="Y412" s="63" t="n">
        <f aca="false">IFERROR(G412/F412,0)</f>
        <v>0.236379613356766</v>
      </c>
      <c r="Z412" s="59" t="n">
        <f aca="false">IF(E412&gt;0,F412*1000000000/E412,"")</f>
        <v>4656.05515011405</v>
      </c>
      <c r="AA412" s="63" t="n">
        <f aca="false">IFERROR((R412+S412+J412)/F412,0)</f>
        <v>1</v>
      </c>
      <c r="AB412" s="0" t="str">
        <f aca="false">A412&amp;"|"&amp;D412</f>
        <v>Chile|2022</v>
      </c>
    </row>
    <row r="413" customFormat="false" ht="15" hidden="false" customHeight="false" outlineLevel="0" collapsed="false">
      <c r="A413" s="0" t="s">
        <v>219</v>
      </c>
      <c r="B413" s="0" t="s">
        <v>457</v>
      </c>
      <c r="C413" s="0" t="s">
        <v>127</v>
      </c>
      <c r="D413" s="0" t="n">
        <v>2023</v>
      </c>
      <c r="E413" s="59" t="n">
        <v>19658833</v>
      </c>
      <c r="F413" s="60" t="n">
        <v>89.23</v>
      </c>
      <c r="G413" s="61" t="n">
        <v>14.5</v>
      </c>
      <c r="H413" s="61" t="n">
        <v>16.76</v>
      </c>
      <c r="I413" s="61" t="n">
        <v>1.63</v>
      </c>
      <c r="J413" s="61" t="n">
        <v>0</v>
      </c>
      <c r="K413" s="61" t="n">
        <v>23.3</v>
      </c>
      <c r="L413" s="61" t="n">
        <v>17.94</v>
      </c>
      <c r="M413" s="61" t="n">
        <v>9.46</v>
      </c>
      <c r="N413" s="61" t="n">
        <v>5.2</v>
      </c>
      <c r="O413" s="61" t="n">
        <v>0.44</v>
      </c>
      <c r="P413" s="62" t="n">
        <v>303.8</v>
      </c>
      <c r="Q413" s="0" t="n">
        <v>0</v>
      </c>
      <c r="R413" s="60" t="n">
        <f aca="false">G413+H413+I413</f>
        <v>32.89</v>
      </c>
      <c r="S413" s="60" t="n">
        <f aca="false">K413+L413+M413+N413+O413</f>
        <v>56.34</v>
      </c>
      <c r="T413" s="60" t="n">
        <f aca="false">L413+M413</f>
        <v>27.4</v>
      </c>
      <c r="U413" s="60" t="n">
        <f aca="false">S413+J413</f>
        <v>56.34</v>
      </c>
      <c r="V413" s="63" t="n">
        <f aca="false">IFERROR(S413/F413,0)</f>
        <v>0.631401994844783</v>
      </c>
      <c r="W413" s="63" t="n">
        <f aca="false">IFERROR(R413/F413,0)</f>
        <v>0.368598005155217</v>
      </c>
      <c r="X413" s="63" t="n">
        <f aca="false">IFERROR(T413/F413,0)</f>
        <v>0.307071612686316</v>
      </c>
      <c r="Y413" s="63" t="n">
        <f aca="false">IFERROR(G413/F413,0)</f>
        <v>0.162501400874145</v>
      </c>
      <c r="Z413" s="59" t="n">
        <f aca="false">IF(E413&gt;0,F413*1000000000/E413,"")</f>
        <v>4538.92659854224</v>
      </c>
      <c r="AA413" s="63" t="n">
        <f aca="false">IFERROR((R413+S413+J413)/F413,0)</f>
        <v>1</v>
      </c>
      <c r="AB413" s="0" t="str">
        <f aca="false">A413&amp;"|"&amp;D413</f>
        <v>Chile|2023</v>
      </c>
    </row>
    <row r="414" customFormat="false" ht="15" hidden="false" customHeight="false" outlineLevel="0" collapsed="false">
      <c r="A414" s="0" t="s">
        <v>219</v>
      </c>
      <c r="B414" s="0" t="s">
        <v>457</v>
      </c>
      <c r="C414" s="0" t="s">
        <v>127</v>
      </c>
      <c r="D414" s="0" t="n">
        <v>2024</v>
      </c>
      <c r="E414" s="59" t="n">
        <v>19764774</v>
      </c>
      <c r="F414" s="60" t="n">
        <v>88.62</v>
      </c>
      <c r="G414" s="61" t="n">
        <v>13.56</v>
      </c>
      <c r="H414" s="61" t="n">
        <v>12.67</v>
      </c>
      <c r="I414" s="61" t="n">
        <v>0.32</v>
      </c>
      <c r="J414" s="61" t="n">
        <v>0</v>
      </c>
      <c r="K414" s="61" t="n">
        <v>26</v>
      </c>
      <c r="L414" s="61" t="n">
        <v>20.19</v>
      </c>
      <c r="M414" s="61" t="n">
        <v>10.43</v>
      </c>
      <c r="N414" s="61" t="n">
        <v>5</v>
      </c>
      <c r="O414" s="61" t="n">
        <v>0.45</v>
      </c>
      <c r="P414" s="62" t="n">
        <v>259.9</v>
      </c>
      <c r="Q414" s="0" t="n">
        <v>0</v>
      </c>
      <c r="R414" s="60" t="n">
        <f aca="false">G414+H414+I414</f>
        <v>26.55</v>
      </c>
      <c r="S414" s="60" t="n">
        <f aca="false">K414+L414+M414+N414+O414</f>
        <v>62.07</v>
      </c>
      <c r="T414" s="60" t="n">
        <f aca="false">L414+M414</f>
        <v>30.62</v>
      </c>
      <c r="U414" s="60" t="n">
        <f aca="false">S414+J414</f>
        <v>62.07</v>
      </c>
      <c r="V414" s="63" t="n">
        <f aca="false">IFERROR(S414/F414,0)</f>
        <v>0.700406228842248</v>
      </c>
      <c r="W414" s="63" t="n">
        <f aca="false">IFERROR(R414/F414,0)</f>
        <v>0.299593771157752</v>
      </c>
      <c r="X414" s="63" t="n">
        <f aca="false">IFERROR(T414/F414,0)</f>
        <v>0.345520198600767</v>
      </c>
      <c r="Y414" s="63" t="n">
        <f aca="false">IFERROR(G414/F414,0)</f>
        <v>0.153012863913338</v>
      </c>
      <c r="Z414" s="59" t="n">
        <f aca="false">IF(E414&gt;0,F414*1000000000/E414,"")</f>
        <v>4483.73454712915</v>
      </c>
      <c r="AA414" s="63" t="n">
        <f aca="false">IFERROR((R414+S414+J414)/F414,0)</f>
        <v>1</v>
      </c>
      <c r="AB414" s="0" t="str">
        <f aca="false">A414&amp;"|"&amp;D414</f>
        <v>Chile|2024</v>
      </c>
    </row>
    <row r="415" customFormat="false" ht="15" hidden="false" customHeight="false" outlineLevel="0" collapsed="false">
      <c r="A415" s="0" t="s">
        <v>219</v>
      </c>
      <c r="B415" s="0" t="s">
        <v>457</v>
      </c>
      <c r="C415" s="0" t="s">
        <v>127</v>
      </c>
      <c r="D415" s="0" t="n">
        <v>2025</v>
      </c>
      <c r="E415" s="59" t="n">
        <v>19859919</v>
      </c>
      <c r="F415" s="60" t="n">
        <v>88.5</v>
      </c>
      <c r="G415" s="61" t="n">
        <v>15.72</v>
      </c>
      <c r="H415" s="61" t="n">
        <v>13.54</v>
      </c>
      <c r="I415" s="61" t="n">
        <v>0.5</v>
      </c>
      <c r="J415" s="61" t="n">
        <v>0</v>
      </c>
      <c r="K415" s="61" t="n">
        <v>19.68</v>
      </c>
      <c r="L415" s="61" t="n">
        <v>22.18</v>
      </c>
      <c r="M415" s="61" t="n">
        <v>11.58</v>
      </c>
      <c r="N415" s="61" t="n">
        <v>5.03</v>
      </c>
      <c r="O415" s="61" t="n">
        <v>0.27</v>
      </c>
      <c r="P415" s="62" t="n">
        <v>289.5</v>
      </c>
      <c r="Q415" s="0" t="n">
        <v>0</v>
      </c>
      <c r="R415" s="60" t="n">
        <f aca="false">G415+H415+I415</f>
        <v>29.76</v>
      </c>
      <c r="S415" s="60" t="n">
        <f aca="false">K415+L415+M415+N415+O415</f>
        <v>58.74</v>
      </c>
      <c r="T415" s="60" t="n">
        <f aca="false">L415+M415</f>
        <v>33.76</v>
      </c>
      <c r="U415" s="60" t="n">
        <f aca="false">S415+J415</f>
        <v>58.74</v>
      </c>
      <c r="V415" s="63" t="n">
        <f aca="false">IFERROR(S415/F415,0)</f>
        <v>0.663728813559322</v>
      </c>
      <c r="W415" s="63" t="n">
        <f aca="false">IFERROR(R415/F415,0)</f>
        <v>0.336271186440678</v>
      </c>
      <c r="X415" s="63" t="n">
        <f aca="false">IFERROR(T415/F415,0)</f>
        <v>0.381468926553672</v>
      </c>
      <c r="Y415" s="63" t="n">
        <f aca="false">IFERROR(G415/F415,0)</f>
        <v>0.177627118644068</v>
      </c>
      <c r="Z415" s="59" t="n">
        <f aca="false">IF(E415&gt;0,F415*1000000000/E415,"")</f>
        <v>4456.21152835518</v>
      </c>
      <c r="AA415" s="63" t="n">
        <f aca="false">IFERROR((R415+S415+J415)/F415,0)</f>
        <v>1</v>
      </c>
      <c r="AB415" s="0" t="str">
        <f aca="false">A415&amp;"|"&amp;D415</f>
        <v>Chile|2025</v>
      </c>
    </row>
    <row r="416" customFormat="false" ht="15" hidden="false" customHeight="false" outlineLevel="0" collapsed="false">
      <c r="A416" s="0" t="s">
        <v>220</v>
      </c>
      <c r="B416" s="0" t="s">
        <v>458</v>
      </c>
      <c r="C416" s="0" t="s">
        <v>127</v>
      </c>
      <c r="D416" s="0" t="n">
        <v>2015</v>
      </c>
      <c r="E416" s="59" t="n">
        <v>1396134171</v>
      </c>
      <c r="F416" s="60" t="n">
        <v>5814.58</v>
      </c>
      <c r="G416" s="61" t="n">
        <v>4046.17</v>
      </c>
      <c r="H416" s="61" t="n">
        <v>166.91</v>
      </c>
      <c r="I416" s="61" t="n">
        <v>36.46</v>
      </c>
      <c r="J416" s="61" t="n">
        <v>171.38</v>
      </c>
      <c r="K416" s="61" t="n">
        <v>1114.52</v>
      </c>
      <c r="L416" s="61" t="n">
        <v>39.48</v>
      </c>
      <c r="M416" s="61" t="n">
        <v>185.59</v>
      </c>
      <c r="N416" s="61" t="n">
        <v>54.07</v>
      </c>
      <c r="O416" s="61" t="n">
        <v>0</v>
      </c>
      <c r="P416" s="62" t="n">
        <v>667.9</v>
      </c>
      <c r="Q416" s="0" t="n">
        <v>1</v>
      </c>
      <c r="R416" s="60" t="n">
        <f aca="false">G416+H416+I416</f>
        <v>4249.54</v>
      </c>
      <c r="S416" s="60" t="n">
        <f aca="false">K416+L416+M416+N416+O416</f>
        <v>1393.66</v>
      </c>
      <c r="T416" s="60" t="n">
        <f aca="false">L416+M416</f>
        <v>225.07</v>
      </c>
      <c r="U416" s="60" t="n">
        <f aca="false">S416+J416</f>
        <v>1565.04</v>
      </c>
      <c r="V416" s="63" t="n">
        <f aca="false">IFERROR(S416/F416,0)</f>
        <v>0.239683691685384</v>
      </c>
      <c r="W416" s="63" t="n">
        <f aca="false">IFERROR(R416/F416,0)</f>
        <v>0.730842124452669</v>
      </c>
      <c r="X416" s="63" t="n">
        <f aca="false">IFERROR(T416/F416,0)</f>
        <v>0.0387078688400538</v>
      </c>
      <c r="Y416" s="63" t="n">
        <f aca="false">IFERROR(G416/F416,0)</f>
        <v>0.695866253452528</v>
      </c>
      <c r="Z416" s="59" t="n">
        <f aca="false">IF(E416&gt;0,F416*1000000000/E416,"")</f>
        <v>4164.77163927248</v>
      </c>
      <c r="AA416" s="63" t="n">
        <f aca="false">IFERROR((R416+S416+J416)/F416,0)</f>
        <v>1</v>
      </c>
      <c r="AB416" s="0" t="str">
        <f aca="false">A416&amp;"|"&amp;D416</f>
        <v>China|2015</v>
      </c>
    </row>
    <row r="417" customFormat="false" ht="15" hidden="false" customHeight="false" outlineLevel="0" collapsed="false">
      <c r="A417" s="0" t="s">
        <v>220</v>
      </c>
      <c r="B417" s="0" t="s">
        <v>458</v>
      </c>
      <c r="C417" s="0" t="s">
        <v>127</v>
      </c>
      <c r="D417" s="0" t="n">
        <v>2016</v>
      </c>
      <c r="E417" s="59" t="n">
        <v>1404052628</v>
      </c>
      <c r="F417" s="60" t="n">
        <v>6133.16</v>
      </c>
      <c r="G417" s="61" t="n">
        <v>4156.35</v>
      </c>
      <c r="H417" s="61" t="n">
        <v>188.28</v>
      </c>
      <c r="I417" s="61" t="n">
        <v>52.56</v>
      </c>
      <c r="J417" s="61" t="n">
        <v>213.18</v>
      </c>
      <c r="K417" s="61" t="n">
        <v>1153.27</v>
      </c>
      <c r="L417" s="61" t="n">
        <v>66.53</v>
      </c>
      <c r="M417" s="61" t="n">
        <v>240.86</v>
      </c>
      <c r="N417" s="61" t="n">
        <v>62.13</v>
      </c>
      <c r="O417" s="61" t="n">
        <v>0</v>
      </c>
      <c r="P417" s="62" t="n">
        <v>651.8</v>
      </c>
      <c r="Q417" s="0" t="n">
        <v>1</v>
      </c>
      <c r="R417" s="60" t="n">
        <f aca="false">G417+H417+I417</f>
        <v>4397.19</v>
      </c>
      <c r="S417" s="60" t="n">
        <f aca="false">K417+L417+M417+N417+O417</f>
        <v>1522.79</v>
      </c>
      <c r="T417" s="60" t="n">
        <f aca="false">L417+M417</f>
        <v>307.39</v>
      </c>
      <c r="U417" s="60" t="n">
        <f aca="false">S417+J417</f>
        <v>1735.97</v>
      </c>
      <c r="V417" s="63" t="n">
        <f aca="false">IFERROR(S417/F417,0)</f>
        <v>0.248287995095514</v>
      </c>
      <c r="W417" s="63" t="n">
        <f aca="false">IFERROR(R417/F417,0)</f>
        <v>0.716953413900828</v>
      </c>
      <c r="X417" s="63" t="n">
        <f aca="false">IFERROR(T417/F417,0)</f>
        <v>0.0501193511990556</v>
      </c>
      <c r="Y417" s="63" t="n">
        <f aca="false">IFERROR(G417/F417,0)</f>
        <v>0.677684912834493</v>
      </c>
      <c r="Z417" s="59" t="n">
        <f aca="false">IF(E417&gt;0,F417*1000000000/E417,"")</f>
        <v>4368.18383990091</v>
      </c>
      <c r="AA417" s="63" t="n">
        <f aca="false">IFERROR((R417+S417+J417)/F417,0)</f>
        <v>1</v>
      </c>
      <c r="AB417" s="0" t="str">
        <f aca="false">A417&amp;"|"&amp;D417</f>
        <v>China|2016</v>
      </c>
    </row>
    <row r="418" customFormat="false" ht="15" hidden="false" customHeight="false" outlineLevel="0" collapsed="false">
      <c r="A418" s="0" t="s">
        <v>220</v>
      </c>
      <c r="B418" s="0" t="s">
        <v>458</v>
      </c>
      <c r="C418" s="0" t="s">
        <v>127</v>
      </c>
      <c r="D418" s="0" t="n">
        <v>2017</v>
      </c>
      <c r="E418" s="59" t="n">
        <v>1412354730</v>
      </c>
      <c r="F418" s="60" t="n">
        <v>6604.44</v>
      </c>
      <c r="G418" s="61" t="n">
        <v>4430.03</v>
      </c>
      <c r="H418" s="61" t="n">
        <v>203.2</v>
      </c>
      <c r="I418" s="61" t="n">
        <v>56.05</v>
      </c>
      <c r="J418" s="61" t="n">
        <v>248.1</v>
      </c>
      <c r="K418" s="61" t="n">
        <v>1165.06</v>
      </c>
      <c r="L418" s="61" t="n">
        <v>117.8</v>
      </c>
      <c r="M418" s="61" t="n">
        <v>304.6</v>
      </c>
      <c r="N418" s="61" t="n">
        <v>79.6</v>
      </c>
      <c r="O418" s="61" t="n">
        <v>0</v>
      </c>
      <c r="P418" s="62" t="n">
        <v>644.2</v>
      </c>
      <c r="Q418" s="0" t="n">
        <v>1</v>
      </c>
      <c r="R418" s="60" t="n">
        <f aca="false">G418+H418+I418</f>
        <v>4689.28</v>
      </c>
      <c r="S418" s="60" t="n">
        <f aca="false">K418+L418+M418+N418+O418</f>
        <v>1667.06</v>
      </c>
      <c r="T418" s="60" t="n">
        <f aca="false">L418+M418</f>
        <v>422.4</v>
      </c>
      <c r="U418" s="60" t="n">
        <f aca="false">S418+J418</f>
        <v>1915.16</v>
      </c>
      <c r="V418" s="63" t="n">
        <f aca="false">IFERROR(S418/F418,0)</f>
        <v>0.252415042002047</v>
      </c>
      <c r="W418" s="63" t="n">
        <f aca="false">IFERROR(R418/F418,0)</f>
        <v>0.710019320336016</v>
      </c>
      <c r="X418" s="63" t="n">
        <f aca="false">IFERROR(T418/F418,0)</f>
        <v>0.0639569743990407</v>
      </c>
      <c r="Y418" s="63" t="n">
        <f aca="false">IFERROR(G418/F418,0)</f>
        <v>0.670765424472022</v>
      </c>
      <c r="Z418" s="59" t="n">
        <f aca="false">IF(E418&gt;0,F418*1000000000/E418,"")</f>
        <v>4676.19066210087</v>
      </c>
      <c r="AA418" s="63" t="n">
        <f aca="false">IFERROR((R418+S418+J418)/F418,0)</f>
        <v>1</v>
      </c>
      <c r="AB418" s="0" t="str">
        <f aca="false">A418&amp;"|"&amp;D418</f>
        <v>China|2017</v>
      </c>
    </row>
    <row r="419" customFormat="false" ht="15" hidden="false" customHeight="false" outlineLevel="0" collapsed="false">
      <c r="A419" s="0" t="s">
        <v>220</v>
      </c>
      <c r="B419" s="0" t="s">
        <v>458</v>
      </c>
      <c r="C419" s="0" t="s">
        <v>127</v>
      </c>
      <c r="D419" s="0" t="n">
        <v>2018</v>
      </c>
      <c r="E419" s="59" t="n">
        <v>1419008954</v>
      </c>
      <c r="F419" s="60" t="n">
        <v>7166.14</v>
      </c>
      <c r="G419" s="61" t="n">
        <v>4763.85</v>
      </c>
      <c r="H419" s="61" t="n">
        <v>215.5</v>
      </c>
      <c r="I419" s="61" t="n">
        <v>56.4</v>
      </c>
      <c r="J419" s="61" t="n">
        <v>295</v>
      </c>
      <c r="K419" s="61" t="n">
        <v>1198.89</v>
      </c>
      <c r="L419" s="61" t="n">
        <v>176.9</v>
      </c>
      <c r="M419" s="61" t="n">
        <v>365.8</v>
      </c>
      <c r="N419" s="61" t="n">
        <v>93.8</v>
      </c>
      <c r="O419" s="61" t="n">
        <v>0</v>
      </c>
      <c r="P419" s="62" t="n">
        <v>636.9</v>
      </c>
      <c r="Q419" s="0" t="n">
        <v>1</v>
      </c>
      <c r="R419" s="60" t="n">
        <f aca="false">G419+H419+I419</f>
        <v>5035.75</v>
      </c>
      <c r="S419" s="60" t="n">
        <f aca="false">K419+L419+M419+N419+O419</f>
        <v>1835.39</v>
      </c>
      <c r="T419" s="60" t="n">
        <f aca="false">L419+M419</f>
        <v>542.7</v>
      </c>
      <c r="U419" s="60" t="n">
        <f aca="false">S419+J419</f>
        <v>2130.39</v>
      </c>
      <c r="V419" s="63" t="n">
        <f aca="false">IFERROR(S419/F419,0)</f>
        <v>0.256119752056198</v>
      </c>
      <c r="W419" s="63" t="n">
        <f aca="false">IFERROR(R419/F419,0)</f>
        <v>0.702714432037331</v>
      </c>
      <c r="X419" s="63" t="n">
        <f aca="false">IFERROR(T419/F419,0)</f>
        <v>0.0757311467540405</v>
      </c>
      <c r="Y419" s="63" t="n">
        <f aca="false">IFERROR(G419/F419,0)</f>
        <v>0.664772108834045</v>
      </c>
      <c r="Z419" s="59" t="n">
        <f aca="false">IF(E419&gt;0,F419*1000000000/E419,"")</f>
        <v>5050.10203057535</v>
      </c>
      <c r="AA419" s="63" t="n">
        <f aca="false">IFERROR((R419+S419+J419)/F419,0)</f>
        <v>1</v>
      </c>
      <c r="AB419" s="0" t="str">
        <f aca="false">A419&amp;"|"&amp;D419</f>
        <v>China|2018</v>
      </c>
    </row>
    <row r="420" customFormat="false" ht="15" hidden="false" customHeight="false" outlineLevel="0" collapsed="false">
      <c r="A420" s="0" t="s">
        <v>220</v>
      </c>
      <c r="B420" s="0" t="s">
        <v>458</v>
      </c>
      <c r="C420" s="0" t="s">
        <v>127</v>
      </c>
      <c r="D420" s="0" t="n">
        <v>2019</v>
      </c>
      <c r="E420" s="59" t="n">
        <v>1423520357</v>
      </c>
      <c r="F420" s="60" t="n">
        <v>7503.43</v>
      </c>
      <c r="G420" s="61" t="n">
        <v>4855.12</v>
      </c>
      <c r="H420" s="61" t="n">
        <v>232.5</v>
      </c>
      <c r="I420" s="61" t="n">
        <v>52.47</v>
      </c>
      <c r="J420" s="61" t="n">
        <v>348.7</v>
      </c>
      <c r="K420" s="61" t="n">
        <v>1272.54</v>
      </c>
      <c r="L420" s="61" t="n">
        <v>224</v>
      </c>
      <c r="M420" s="61" t="n">
        <v>405.3</v>
      </c>
      <c r="N420" s="61" t="n">
        <v>112.8</v>
      </c>
      <c r="O420" s="61" t="n">
        <v>0</v>
      </c>
      <c r="P420" s="62" t="n">
        <v>619.6</v>
      </c>
      <c r="Q420" s="0" t="n">
        <v>1</v>
      </c>
      <c r="R420" s="60" t="n">
        <f aca="false">G420+H420+I420</f>
        <v>5140.09</v>
      </c>
      <c r="S420" s="60" t="n">
        <f aca="false">K420+L420+M420+N420+O420</f>
        <v>2014.64</v>
      </c>
      <c r="T420" s="60" t="n">
        <f aca="false">L420+M420</f>
        <v>629.3</v>
      </c>
      <c r="U420" s="60" t="n">
        <f aca="false">S420+J420</f>
        <v>2363.34</v>
      </c>
      <c r="V420" s="63" t="n">
        <f aca="false">IFERROR(S420/F420,0)</f>
        <v>0.268495874553371</v>
      </c>
      <c r="W420" s="63" t="n">
        <f aca="false">IFERROR(R420/F420,0)</f>
        <v>0.685032045344596</v>
      </c>
      <c r="X420" s="63" t="n">
        <f aca="false">IFERROR(T420/F420,0)</f>
        <v>0.0838683108924852</v>
      </c>
      <c r="Y420" s="63" t="n">
        <f aca="false">IFERROR(G420/F420,0)</f>
        <v>0.647053414238555</v>
      </c>
      <c r="Z420" s="59" t="n">
        <f aca="false">IF(E420&gt;0,F420*1000000000/E420,"")</f>
        <v>5271.03807339511</v>
      </c>
      <c r="AA420" s="63" t="n">
        <f aca="false">IFERROR((R420+S420+J420)/F420,0)</f>
        <v>1</v>
      </c>
      <c r="AB420" s="0" t="str">
        <f aca="false">A420&amp;"|"&amp;D420</f>
        <v>China|2019</v>
      </c>
    </row>
    <row r="421" customFormat="false" ht="15" hidden="false" customHeight="false" outlineLevel="0" collapsed="false">
      <c r="A421" s="0" t="s">
        <v>220</v>
      </c>
      <c r="B421" s="0" t="s">
        <v>458</v>
      </c>
      <c r="C421" s="0" t="s">
        <v>127</v>
      </c>
      <c r="D421" s="0" t="n">
        <v>2020</v>
      </c>
      <c r="E421" s="59" t="n">
        <v>1426106093</v>
      </c>
      <c r="F421" s="60" t="n">
        <v>7779.07</v>
      </c>
      <c r="G421" s="61" t="n">
        <v>4921.89</v>
      </c>
      <c r="H421" s="61" t="n">
        <v>252.5</v>
      </c>
      <c r="I421" s="61" t="n">
        <v>53.47</v>
      </c>
      <c r="J421" s="61" t="n">
        <v>366.2</v>
      </c>
      <c r="K421" s="61" t="n">
        <v>1321.71</v>
      </c>
      <c r="L421" s="61" t="n">
        <v>261.1</v>
      </c>
      <c r="M421" s="61" t="n">
        <v>466.5</v>
      </c>
      <c r="N421" s="61" t="n">
        <v>135.7</v>
      </c>
      <c r="O421" s="61" t="n">
        <v>0</v>
      </c>
      <c r="P421" s="62" t="n">
        <v>606.3</v>
      </c>
      <c r="Q421" s="0" t="n">
        <v>1</v>
      </c>
      <c r="R421" s="60" t="n">
        <f aca="false">G421+H421+I421</f>
        <v>5227.86</v>
      </c>
      <c r="S421" s="60" t="n">
        <f aca="false">K421+L421+M421+N421+O421</f>
        <v>2185.01</v>
      </c>
      <c r="T421" s="60" t="n">
        <f aca="false">L421+M421</f>
        <v>727.6</v>
      </c>
      <c r="U421" s="60" t="n">
        <f aca="false">S421+J421</f>
        <v>2551.21</v>
      </c>
      <c r="V421" s="63" t="n">
        <f aca="false">IFERROR(S421/F421,0)</f>
        <v>0.28088319040708</v>
      </c>
      <c r="W421" s="63" t="n">
        <f aca="false">IFERROR(R421/F421,0)</f>
        <v>0.672041773631038</v>
      </c>
      <c r="X421" s="63" t="n">
        <f aca="false">IFERROR(T421/F421,0)</f>
        <v>0.0935330315834669</v>
      </c>
      <c r="Y421" s="63" t="n">
        <f aca="false">IFERROR(G421/F421,0)</f>
        <v>0.632709308439184</v>
      </c>
      <c r="Z421" s="59" t="n">
        <f aca="false">IF(E421&gt;0,F421*1000000000/E421,"")</f>
        <v>5454.76247397255</v>
      </c>
      <c r="AA421" s="63" t="n">
        <f aca="false">IFERROR((R421+S421+J421)/F421,0)</f>
        <v>1</v>
      </c>
      <c r="AB421" s="0" t="str">
        <f aca="false">A421&amp;"|"&amp;D421</f>
        <v>China|2020</v>
      </c>
    </row>
    <row r="422" customFormat="false" ht="15" hidden="false" customHeight="false" outlineLevel="0" collapsed="false">
      <c r="A422" s="0" t="s">
        <v>220</v>
      </c>
      <c r="B422" s="0" t="s">
        <v>458</v>
      </c>
      <c r="C422" s="0" t="s">
        <v>127</v>
      </c>
      <c r="D422" s="0" t="n">
        <v>2021</v>
      </c>
      <c r="E422" s="59" t="n">
        <v>1426437269</v>
      </c>
      <c r="F422" s="60" t="n">
        <v>8534.26</v>
      </c>
      <c r="G422" s="61" t="n">
        <v>5333.8</v>
      </c>
      <c r="H422" s="61" t="n">
        <v>287.1</v>
      </c>
      <c r="I422" s="61" t="n">
        <v>57.06</v>
      </c>
      <c r="J422" s="61" t="n">
        <v>407.5</v>
      </c>
      <c r="K422" s="61" t="n">
        <v>1300</v>
      </c>
      <c r="L422" s="61" t="n">
        <v>327</v>
      </c>
      <c r="M422" s="61" t="n">
        <v>655.8</v>
      </c>
      <c r="N422" s="61" t="n">
        <v>166</v>
      </c>
      <c r="O422" s="61" t="n">
        <v>0</v>
      </c>
      <c r="P422" s="62" t="n">
        <v>599</v>
      </c>
      <c r="Q422" s="0" t="n">
        <v>1</v>
      </c>
      <c r="R422" s="60" t="n">
        <f aca="false">G422+H422+I422</f>
        <v>5677.96</v>
      </c>
      <c r="S422" s="60" t="n">
        <f aca="false">K422+L422+M422+N422+O422</f>
        <v>2448.8</v>
      </c>
      <c r="T422" s="60" t="n">
        <f aca="false">L422+M422</f>
        <v>982.8</v>
      </c>
      <c r="U422" s="60" t="n">
        <f aca="false">S422+J422</f>
        <v>2856.3</v>
      </c>
      <c r="V422" s="63" t="n">
        <f aca="false">IFERROR(S422/F422,0)</f>
        <v>0.286937590371046</v>
      </c>
      <c r="W422" s="63" t="n">
        <f aca="false">IFERROR(R422/F422,0)</f>
        <v>0.66531368859163</v>
      </c>
      <c r="X422" s="63" t="n">
        <f aca="false">IFERROR(T422/F422,0)</f>
        <v>0.115159369412228</v>
      </c>
      <c r="Y422" s="63" t="n">
        <f aca="false">IFERROR(G422/F422,0)</f>
        <v>0.624986817837751</v>
      </c>
      <c r="Z422" s="59" t="n">
        <f aca="false">IF(E422&gt;0,F422*1000000000/E422,"")</f>
        <v>5982.91995411962</v>
      </c>
      <c r="AA422" s="63" t="n">
        <f aca="false">IFERROR((R422+S422+J422)/F422,0)</f>
        <v>1</v>
      </c>
      <c r="AB422" s="0" t="str">
        <f aca="false">A422&amp;"|"&amp;D422</f>
        <v>China|2021</v>
      </c>
    </row>
    <row r="423" customFormat="false" ht="15" hidden="false" customHeight="false" outlineLevel="0" collapsed="false">
      <c r="A423" s="0" t="s">
        <v>220</v>
      </c>
      <c r="B423" s="0" t="s">
        <v>458</v>
      </c>
      <c r="C423" s="0" t="s">
        <v>127</v>
      </c>
      <c r="D423" s="0" t="n">
        <v>2022</v>
      </c>
      <c r="E423" s="59" t="n">
        <v>1425179562</v>
      </c>
      <c r="F423" s="60" t="n">
        <v>8848.71</v>
      </c>
      <c r="G423" s="61" t="n">
        <v>5414.72</v>
      </c>
      <c r="H423" s="61" t="n">
        <v>275.62</v>
      </c>
      <c r="I423" s="61" t="n">
        <v>69.93</v>
      </c>
      <c r="J423" s="61" t="n">
        <v>417.78</v>
      </c>
      <c r="K423" s="61" t="n">
        <v>1298.12</v>
      </c>
      <c r="L423" s="61" t="n">
        <v>427.27</v>
      </c>
      <c r="M423" s="61" t="n">
        <v>762.67</v>
      </c>
      <c r="N423" s="61" t="n">
        <v>182.6</v>
      </c>
      <c r="O423" s="61" t="n">
        <v>0</v>
      </c>
      <c r="P423" s="62" t="n">
        <v>586.8</v>
      </c>
      <c r="Q423" s="0" t="n">
        <v>1</v>
      </c>
      <c r="R423" s="60" t="n">
        <f aca="false">G423+H423+I423</f>
        <v>5760.27</v>
      </c>
      <c r="S423" s="60" t="n">
        <f aca="false">K423+L423+M423+N423+O423</f>
        <v>2670.66</v>
      </c>
      <c r="T423" s="60" t="n">
        <f aca="false">L423+M423</f>
        <v>1189.94</v>
      </c>
      <c r="U423" s="60" t="n">
        <f aca="false">S423+J423</f>
        <v>3088.44</v>
      </c>
      <c r="V423" s="63" t="n">
        <f aca="false">IFERROR(S423/F423,0)</f>
        <v>0.301813484677428</v>
      </c>
      <c r="W423" s="63" t="n">
        <f aca="false">IFERROR(R423/F423,0)</f>
        <v>0.650972853670196</v>
      </c>
      <c r="X423" s="63" t="n">
        <f aca="false">IFERROR(T423/F423,0)</f>
        <v>0.13447609877598</v>
      </c>
      <c r="Y423" s="63" t="n">
        <f aca="false">IFERROR(G423/F423,0)</f>
        <v>0.61192196376647</v>
      </c>
      <c r="Z423" s="59" t="n">
        <f aca="false">IF(E423&gt;0,F423*1000000000/E423,"")</f>
        <v>6208.8386866721</v>
      </c>
      <c r="AA423" s="63" t="n">
        <f aca="false">IFERROR((R423+S423+J423)/F423,0)</f>
        <v>1</v>
      </c>
      <c r="AB423" s="0" t="str">
        <f aca="false">A423&amp;"|"&amp;D423</f>
        <v>China|2022</v>
      </c>
    </row>
    <row r="424" customFormat="false" ht="15" hidden="false" customHeight="false" outlineLevel="0" collapsed="false">
      <c r="A424" s="0" t="s">
        <v>220</v>
      </c>
      <c r="B424" s="0" t="s">
        <v>458</v>
      </c>
      <c r="C424" s="0" t="s">
        <v>127</v>
      </c>
      <c r="D424" s="0" t="n">
        <v>2023</v>
      </c>
      <c r="E424" s="59" t="n">
        <v>1422584930</v>
      </c>
      <c r="F424" s="60" t="n">
        <v>9456.45</v>
      </c>
      <c r="G424" s="61" t="n">
        <v>5752.74</v>
      </c>
      <c r="H424" s="61" t="n">
        <v>297.8</v>
      </c>
      <c r="I424" s="61" t="n">
        <v>76.97</v>
      </c>
      <c r="J424" s="61" t="n">
        <v>434.72</v>
      </c>
      <c r="K424" s="61" t="n">
        <v>1226</v>
      </c>
      <c r="L424" s="61" t="n">
        <v>584.15</v>
      </c>
      <c r="M424" s="61" t="n">
        <v>885.87</v>
      </c>
      <c r="N424" s="61" t="n">
        <v>198.2</v>
      </c>
      <c r="O424" s="61" t="n">
        <v>0</v>
      </c>
      <c r="P424" s="62" t="n">
        <v>583</v>
      </c>
      <c r="Q424" s="0" t="n">
        <v>1</v>
      </c>
      <c r="R424" s="60" t="n">
        <f aca="false">G424+H424+I424</f>
        <v>6127.51</v>
      </c>
      <c r="S424" s="60" t="n">
        <f aca="false">K424+L424+M424+N424+O424</f>
        <v>2894.22</v>
      </c>
      <c r="T424" s="60" t="n">
        <f aca="false">L424+M424</f>
        <v>1470.02</v>
      </c>
      <c r="U424" s="60" t="n">
        <f aca="false">S424+J424</f>
        <v>3328.94</v>
      </c>
      <c r="V424" s="63" t="n">
        <f aca="false">IFERROR(S424/F424,0)</f>
        <v>0.306057770093428</v>
      </c>
      <c r="W424" s="63" t="n">
        <f aca="false">IFERROR(R424/F424,0)</f>
        <v>0.647971490358433</v>
      </c>
      <c r="X424" s="63" t="n">
        <f aca="false">IFERROR(T424/F424,0)</f>
        <v>0.155451570092371</v>
      </c>
      <c r="Y424" s="63" t="n">
        <f aca="false">IFERROR(G424/F424,0)</f>
        <v>0.608340339133607</v>
      </c>
      <c r="Z424" s="59" t="n">
        <f aca="false">IF(E424&gt;0,F424*1000000000/E424,"")</f>
        <v>6647.37113446014</v>
      </c>
      <c r="AA424" s="63" t="n">
        <f aca="false">IFERROR((R424+S424+J424)/F424,0)</f>
        <v>1</v>
      </c>
      <c r="AB424" s="0" t="str">
        <f aca="false">A424&amp;"|"&amp;D424</f>
        <v>China|2023</v>
      </c>
    </row>
    <row r="425" customFormat="false" ht="15" hidden="false" customHeight="false" outlineLevel="0" collapsed="false">
      <c r="A425" s="0" t="s">
        <v>220</v>
      </c>
      <c r="B425" s="0" t="s">
        <v>458</v>
      </c>
      <c r="C425" s="0" t="s">
        <v>127</v>
      </c>
      <c r="D425" s="0" t="n">
        <v>2024</v>
      </c>
      <c r="E425" s="59" t="n">
        <v>1419321284</v>
      </c>
      <c r="F425" s="60" t="n">
        <v>10086.88</v>
      </c>
      <c r="G425" s="61" t="n">
        <v>5827.6</v>
      </c>
      <c r="H425" s="61" t="n">
        <v>320.72</v>
      </c>
      <c r="I425" s="61" t="n">
        <v>88.88</v>
      </c>
      <c r="J425" s="61" t="n">
        <v>450.85</v>
      </c>
      <c r="K425" s="61" t="n">
        <v>1354.25</v>
      </c>
      <c r="L425" s="61" t="n">
        <v>839.04</v>
      </c>
      <c r="M425" s="61" t="n">
        <v>997.04</v>
      </c>
      <c r="N425" s="61" t="n">
        <v>208.5</v>
      </c>
      <c r="O425" s="61" t="n">
        <v>0</v>
      </c>
      <c r="P425" s="62" t="n">
        <v>555.4</v>
      </c>
      <c r="Q425" s="0" t="n">
        <v>1</v>
      </c>
      <c r="R425" s="60" t="n">
        <f aca="false">G425+H425+I425</f>
        <v>6237.2</v>
      </c>
      <c r="S425" s="60" t="n">
        <f aca="false">K425+L425+M425+N425+O425</f>
        <v>3398.83</v>
      </c>
      <c r="T425" s="60" t="n">
        <f aca="false">L425+M425</f>
        <v>1836.08</v>
      </c>
      <c r="U425" s="60" t="n">
        <f aca="false">S425+J425</f>
        <v>3849.68</v>
      </c>
      <c r="V425" s="63" t="n">
        <f aca="false">IFERROR(S425/F425,0)</f>
        <v>0.336955530352299</v>
      </c>
      <c r="W425" s="63" t="n">
        <f aca="false">IFERROR(R425/F425,0)</f>
        <v>0.618347794362578</v>
      </c>
      <c r="X425" s="63" t="n">
        <f aca="false">IFERROR(T425/F425,0)</f>
        <v>0.182026553304887</v>
      </c>
      <c r="Y425" s="63" t="n">
        <f aca="false">IFERROR(G425/F425,0)</f>
        <v>0.577740589756198</v>
      </c>
      <c r="Z425" s="59" t="n">
        <f aca="false">IF(E425&gt;0,F425*1000000000/E425,"")</f>
        <v>7106.83346590327</v>
      </c>
      <c r="AA425" s="63" t="n">
        <f aca="false">IFERROR((R425+S425+J425)/F425,0)</f>
        <v>1</v>
      </c>
      <c r="AB425" s="0" t="str">
        <f aca="false">A425&amp;"|"&amp;D425</f>
        <v>China|2024</v>
      </c>
    </row>
    <row r="426" customFormat="false" ht="15" hidden="false" customHeight="false" outlineLevel="0" collapsed="false">
      <c r="A426" s="0" t="s">
        <v>220</v>
      </c>
      <c r="B426" s="0" t="s">
        <v>458</v>
      </c>
      <c r="C426" s="0" t="s">
        <v>127</v>
      </c>
      <c r="D426" s="0" t="n">
        <v>2025</v>
      </c>
      <c r="E426" s="59" t="n">
        <v>1416096093</v>
      </c>
      <c r="F426" s="60" t="n">
        <v>10583.36</v>
      </c>
      <c r="G426" s="61" t="n">
        <v>5751.56</v>
      </c>
      <c r="H426" s="61" t="n">
        <v>334.17</v>
      </c>
      <c r="I426" s="61" t="n">
        <v>89.55</v>
      </c>
      <c r="J426" s="61" t="n">
        <v>487.61</v>
      </c>
      <c r="K426" s="61" t="n">
        <v>1397.06</v>
      </c>
      <c r="L426" s="61" t="n">
        <v>1174.96</v>
      </c>
      <c r="M426" s="61" t="n">
        <v>1135.44</v>
      </c>
      <c r="N426" s="61" t="n">
        <v>213.01</v>
      </c>
      <c r="O426" s="61" t="n">
        <v>0</v>
      </c>
      <c r="P426" s="62" t="n">
        <v>525.3</v>
      </c>
      <c r="Q426" s="0" t="n">
        <v>1</v>
      </c>
      <c r="R426" s="60" t="n">
        <f aca="false">G426+H426+I426</f>
        <v>6175.28</v>
      </c>
      <c r="S426" s="60" t="n">
        <f aca="false">K426+L426+M426+N426+O426</f>
        <v>3920.47</v>
      </c>
      <c r="T426" s="60" t="n">
        <f aca="false">L426+M426</f>
        <v>2310.4</v>
      </c>
      <c r="U426" s="60" t="n">
        <f aca="false">S426+J426</f>
        <v>4408.08</v>
      </c>
      <c r="V426" s="63" t="n">
        <f aca="false">IFERROR(S426/F426,0)</f>
        <v>0.370437176851208</v>
      </c>
      <c r="W426" s="63" t="n">
        <f aca="false">IFERROR(R426/F426,0)</f>
        <v>0.583489553412149</v>
      </c>
      <c r="X426" s="63" t="n">
        <f aca="false">IFERROR(T426/F426,0)</f>
        <v>0.218304961751277</v>
      </c>
      <c r="Y426" s="63" t="n">
        <f aca="false">IFERROR(G426/F426,0)</f>
        <v>0.543453118858283</v>
      </c>
      <c r="Z426" s="59" t="n">
        <f aca="false">IF(E426&gt;0,F426*1000000000/E426,"")</f>
        <v>7473.6171170271</v>
      </c>
      <c r="AA426" s="63" t="n">
        <f aca="false">IFERROR((R426+S426+J426)/F426,0)</f>
        <v>1</v>
      </c>
      <c r="AB426" s="0" t="str">
        <f aca="false">A426&amp;"|"&amp;D426</f>
        <v>China|2025</v>
      </c>
    </row>
    <row r="427" customFormat="false" ht="15" hidden="false" customHeight="false" outlineLevel="0" collapsed="false">
      <c r="A427" s="0" t="s">
        <v>221</v>
      </c>
      <c r="B427" s="0" t="s">
        <v>459</v>
      </c>
      <c r="C427" s="0" t="s">
        <v>127</v>
      </c>
      <c r="D427" s="0" t="n">
        <v>2015</v>
      </c>
      <c r="E427" s="59" t="n">
        <v>46969938</v>
      </c>
      <c r="F427" s="60" t="n">
        <v>77.97</v>
      </c>
      <c r="G427" s="61" t="n">
        <v>7.06</v>
      </c>
      <c r="H427" s="61" t="n">
        <v>17.95</v>
      </c>
      <c r="I427" s="61" t="n">
        <v>3.57</v>
      </c>
      <c r="J427" s="61" t="n">
        <v>0</v>
      </c>
      <c r="K427" s="61" t="n">
        <v>47.94</v>
      </c>
      <c r="L427" s="61" t="n">
        <v>0.01</v>
      </c>
      <c r="M427" s="61" t="n">
        <v>0.07</v>
      </c>
      <c r="N427" s="61" t="n">
        <v>1.37</v>
      </c>
      <c r="O427" s="61" t="n">
        <v>0</v>
      </c>
      <c r="P427" s="62" t="n">
        <v>275.4</v>
      </c>
      <c r="Q427" s="0" t="n">
        <v>0</v>
      </c>
      <c r="R427" s="60" t="n">
        <f aca="false">G427+H427+I427</f>
        <v>28.58</v>
      </c>
      <c r="S427" s="60" t="n">
        <f aca="false">K427+L427+M427+N427+O427</f>
        <v>49.39</v>
      </c>
      <c r="T427" s="60" t="n">
        <f aca="false">L427+M427</f>
        <v>0.08</v>
      </c>
      <c r="U427" s="60" t="n">
        <f aca="false">S427+J427</f>
        <v>49.39</v>
      </c>
      <c r="V427" s="63" t="n">
        <f aca="false">IFERROR(S427/F427,0)</f>
        <v>0.633448762344491</v>
      </c>
      <c r="W427" s="63" t="n">
        <f aca="false">IFERROR(R427/F427,0)</f>
        <v>0.366551237655509</v>
      </c>
      <c r="X427" s="63" t="n">
        <f aca="false">IFERROR(T427/F427,0)</f>
        <v>0.001026035654739</v>
      </c>
      <c r="Y427" s="63" t="n">
        <f aca="false">IFERROR(G427/F427,0)</f>
        <v>0.0905476465307169</v>
      </c>
      <c r="Z427" s="59" t="n">
        <f aca="false">IF(E427&gt;0,F427*1000000000/E427,"")</f>
        <v>1659.99793314609</v>
      </c>
      <c r="AA427" s="63" t="n">
        <f aca="false">IFERROR((R427+S427+J427)/F427,0)</f>
        <v>1</v>
      </c>
      <c r="AB427" s="0" t="str">
        <f aca="false">A427&amp;"|"&amp;D427</f>
        <v>Colombia|2015</v>
      </c>
    </row>
    <row r="428" customFormat="false" ht="15" hidden="false" customHeight="false" outlineLevel="0" collapsed="false">
      <c r="A428" s="0" t="s">
        <v>221</v>
      </c>
      <c r="B428" s="0" t="s">
        <v>459</v>
      </c>
      <c r="C428" s="0" t="s">
        <v>127</v>
      </c>
      <c r="D428" s="0" t="n">
        <v>2016</v>
      </c>
      <c r="E428" s="59" t="n">
        <v>47437513</v>
      </c>
      <c r="F428" s="60" t="n">
        <v>76.17</v>
      </c>
      <c r="G428" s="61" t="n">
        <v>6.18</v>
      </c>
      <c r="H428" s="61" t="n">
        <v>15.9</v>
      </c>
      <c r="I428" s="61" t="n">
        <v>4.11</v>
      </c>
      <c r="J428" s="61" t="n">
        <v>0</v>
      </c>
      <c r="K428" s="61" t="n">
        <v>48.46</v>
      </c>
      <c r="L428" s="61" t="n">
        <v>0.01</v>
      </c>
      <c r="M428" s="61" t="n">
        <v>0.05</v>
      </c>
      <c r="N428" s="61" t="n">
        <v>1.46</v>
      </c>
      <c r="O428" s="61" t="n">
        <v>0</v>
      </c>
      <c r="P428" s="62" t="n">
        <v>259.6</v>
      </c>
      <c r="Q428" s="0" t="n">
        <v>0</v>
      </c>
      <c r="R428" s="60" t="n">
        <f aca="false">G428+H428+I428</f>
        <v>26.19</v>
      </c>
      <c r="S428" s="60" t="n">
        <f aca="false">K428+L428+M428+N428+O428</f>
        <v>49.98</v>
      </c>
      <c r="T428" s="60" t="n">
        <f aca="false">L428+M428</f>
        <v>0.06</v>
      </c>
      <c r="U428" s="60" t="n">
        <f aca="false">S428+J428</f>
        <v>49.98</v>
      </c>
      <c r="V428" s="63" t="n">
        <f aca="false">IFERROR(S428/F428,0)</f>
        <v>0.656163844033084</v>
      </c>
      <c r="W428" s="63" t="n">
        <f aca="false">IFERROR(R428/F428,0)</f>
        <v>0.343836155966916</v>
      </c>
      <c r="X428" s="63" t="n">
        <f aca="false">IFERROR(T428/F428,0)</f>
        <v>0.000787711697518708</v>
      </c>
      <c r="Y428" s="63" t="n">
        <f aca="false">IFERROR(G428/F428,0)</f>
        <v>0.0811343048444269</v>
      </c>
      <c r="Z428" s="59" t="n">
        <f aca="false">IF(E428&gt;0,F428*1000000000/E428,"")</f>
        <v>1605.69125957341</v>
      </c>
      <c r="AA428" s="63" t="n">
        <f aca="false">IFERROR((R428+S428+J428)/F428,0)</f>
        <v>1</v>
      </c>
      <c r="AB428" s="0" t="str">
        <f aca="false">A428&amp;"|"&amp;D428</f>
        <v>Colombia|2016</v>
      </c>
    </row>
    <row r="429" customFormat="false" ht="15" hidden="false" customHeight="false" outlineLevel="0" collapsed="false">
      <c r="A429" s="0" t="s">
        <v>221</v>
      </c>
      <c r="B429" s="0" t="s">
        <v>459</v>
      </c>
      <c r="C429" s="0" t="s">
        <v>127</v>
      </c>
      <c r="D429" s="0" t="n">
        <v>2017</v>
      </c>
      <c r="E429" s="59" t="n">
        <v>48131076</v>
      </c>
      <c r="F429" s="60" t="n">
        <v>78.47</v>
      </c>
      <c r="G429" s="61" t="n">
        <v>3.15</v>
      </c>
      <c r="H429" s="61" t="n">
        <v>11.01</v>
      </c>
      <c r="I429" s="61" t="n">
        <v>2.24</v>
      </c>
      <c r="J429" s="61" t="n">
        <v>0</v>
      </c>
      <c r="K429" s="61" t="n">
        <v>60.64</v>
      </c>
      <c r="L429" s="61" t="n">
        <v>0.01</v>
      </c>
      <c r="M429" s="61" t="n">
        <v>0</v>
      </c>
      <c r="N429" s="61" t="n">
        <v>1.42</v>
      </c>
      <c r="O429" s="61" t="n">
        <v>0</v>
      </c>
      <c r="P429" s="62" t="n">
        <v>166.2</v>
      </c>
      <c r="Q429" s="0" t="n">
        <v>0</v>
      </c>
      <c r="R429" s="60" t="n">
        <f aca="false">G429+H429+I429</f>
        <v>16.4</v>
      </c>
      <c r="S429" s="60" t="n">
        <f aca="false">K429+L429+M429+N429+O429</f>
        <v>62.07</v>
      </c>
      <c r="T429" s="60" t="n">
        <f aca="false">L429+M429</f>
        <v>0.01</v>
      </c>
      <c r="U429" s="60" t="n">
        <f aca="false">S429+J429</f>
        <v>62.07</v>
      </c>
      <c r="V429" s="63" t="n">
        <f aca="false">IFERROR(S429/F429,0)</f>
        <v>0.791002931056455</v>
      </c>
      <c r="W429" s="63" t="n">
        <f aca="false">IFERROR(R429/F429,0)</f>
        <v>0.208997068943545</v>
      </c>
      <c r="X429" s="63" t="n">
        <f aca="false">IFERROR(T429/F429,0)</f>
        <v>0.000127437237160698</v>
      </c>
      <c r="Y429" s="63" t="n">
        <f aca="false">IFERROR(G429/F429,0)</f>
        <v>0.04014272970562</v>
      </c>
      <c r="Z429" s="59" t="n">
        <f aca="false">IF(E429&gt;0,F429*1000000000/E429,"")</f>
        <v>1630.3396167582</v>
      </c>
      <c r="AA429" s="63" t="n">
        <f aca="false">IFERROR((R429+S429+J429)/F429,0)</f>
        <v>1</v>
      </c>
      <c r="AB429" s="0" t="str">
        <f aca="false">A429&amp;"|"&amp;D429</f>
        <v>Colombia|2017</v>
      </c>
    </row>
    <row r="430" customFormat="false" ht="15" hidden="false" customHeight="false" outlineLevel="0" collapsed="false">
      <c r="A430" s="0" t="s">
        <v>221</v>
      </c>
      <c r="B430" s="0" t="s">
        <v>459</v>
      </c>
      <c r="C430" s="0" t="s">
        <v>127</v>
      </c>
      <c r="D430" s="0" t="n">
        <v>2018</v>
      </c>
      <c r="E430" s="59" t="n">
        <v>49024463</v>
      </c>
      <c r="F430" s="60" t="n">
        <v>78.21</v>
      </c>
      <c r="G430" s="61" t="n">
        <v>4.52</v>
      </c>
      <c r="H430" s="61" t="n">
        <v>11.62</v>
      </c>
      <c r="I430" s="61" t="n">
        <v>2.37</v>
      </c>
      <c r="J430" s="61" t="n">
        <v>0</v>
      </c>
      <c r="K430" s="61" t="n">
        <v>58.19</v>
      </c>
      <c r="L430" s="61" t="n">
        <v>0.02</v>
      </c>
      <c r="M430" s="61" t="n">
        <v>0.04</v>
      </c>
      <c r="N430" s="61" t="n">
        <v>1.45</v>
      </c>
      <c r="O430" s="61" t="n">
        <v>0</v>
      </c>
      <c r="P430" s="62" t="n">
        <v>187.4</v>
      </c>
      <c r="Q430" s="0" t="n">
        <v>0</v>
      </c>
      <c r="R430" s="60" t="n">
        <f aca="false">G430+H430+I430</f>
        <v>18.51</v>
      </c>
      <c r="S430" s="60" t="n">
        <f aca="false">K430+L430+M430+N430+O430</f>
        <v>59.7</v>
      </c>
      <c r="T430" s="60" t="n">
        <f aca="false">L430+M430</f>
        <v>0.06</v>
      </c>
      <c r="U430" s="60" t="n">
        <f aca="false">S430+J430</f>
        <v>59.7</v>
      </c>
      <c r="V430" s="63" t="n">
        <f aca="false">IFERROR(S430/F430,0)</f>
        <v>0.763329497506713</v>
      </c>
      <c r="W430" s="63" t="n">
        <f aca="false">IFERROR(R430/F430,0)</f>
        <v>0.236670502493287</v>
      </c>
      <c r="X430" s="63" t="n">
        <f aca="false">IFERROR(T430/F430,0)</f>
        <v>0.00076716532412735</v>
      </c>
      <c r="Y430" s="63" t="n">
        <f aca="false">IFERROR(G430/F430,0)</f>
        <v>0.0577931210842603</v>
      </c>
      <c r="Z430" s="59" t="n">
        <f aca="false">IF(E430&gt;0,F430*1000000000/E430,"")</f>
        <v>1595.32599061819</v>
      </c>
      <c r="AA430" s="63" t="n">
        <f aca="false">IFERROR((R430+S430+J430)/F430,0)</f>
        <v>1</v>
      </c>
      <c r="AB430" s="0" t="str">
        <f aca="false">A430&amp;"|"&amp;D430</f>
        <v>Colombia|2018</v>
      </c>
    </row>
    <row r="431" customFormat="false" ht="15" hidden="false" customHeight="false" outlineLevel="0" collapsed="false">
      <c r="A431" s="0" t="s">
        <v>221</v>
      </c>
      <c r="B431" s="0" t="s">
        <v>459</v>
      </c>
      <c r="C431" s="0" t="s">
        <v>127</v>
      </c>
      <c r="D431" s="0" t="n">
        <v>2019</v>
      </c>
      <c r="E431" s="59" t="n">
        <v>49907987</v>
      </c>
      <c r="F431" s="60" t="n">
        <v>78.78</v>
      </c>
      <c r="G431" s="61" t="n">
        <v>8.13</v>
      </c>
      <c r="H431" s="61" t="n">
        <v>13.16</v>
      </c>
      <c r="I431" s="61" t="n">
        <v>2.75</v>
      </c>
      <c r="J431" s="61" t="n">
        <v>0</v>
      </c>
      <c r="K431" s="61" t="n">
        <v>52.98</v>
      </c>
      <c r="L431" s="61" t="n">
        <v>0.13</v>
      </c>
      <c r="M431" s="61" t="n">
        <v>0.06</v>
      </c>
      <c r="N431" s="61" t="n">
        <v>1.57</v>
      </c>
      <c r="O431" s="61" t="n">
        <v>0</v>
      </c>
      <c r="P431" s="62" t="n">
        <v>240.9</v>
      </c>
      <c r="Q431" s="0" t="n">
        <v>0</v>
      </c>
      <c r="R431" s="60" t="n">
        <f aca="false">G431+H431+I431</f>
        <v>24.04</v>
      </c>
      <c r="S431" s="60" t="n">
        <f aca="false">K431+L431+M431+N431+O431</f>
        <v>54.74</v>
      </c>
      <c r="T431" s="60" t="n">
        <f aca="false">L431+M431</f>
        <v>0.19</v>
      </c>
      <c r="U431" s="60" t="n">
        <f aca="false">S431+J431</f>
        <v>54.74</v>
      </c>
      <c r="V431" s="63" t="n">
        <f aca="false">IFERROR(S431/F431,0)</f>
        <v>0.694846407717695</v>
      </c>
      <c r="W431" s="63" t="n">
        <f aca="false">IFERROR(R431/F431,0)</f>
        <v>0.305153592282305</v>
      </c>
      <c r="X431" s="63" t="n">
        <f aca="false">IFERROR(T431/F431,0)</f>
        <v>0.00241177963950241</v>
      </c>
      <c r="Y431" s="63" t="n">
        <f aca="false">IFERROR(G431/F431,0)</f>
        <v>0.103198781416603</v>
      </c>
      <c r="Z431" s="59" t="n">
        <f aca="false">IF(E431&gt;0,F431*1000000000/E431,"")</f>
        <v>1578.50485935247</v>
      </c>
      <c r="AA431" s="63" t="n">
        <f aca="false">IFERROR((R431+S431+J431)/F431,0)</f>
        <v>1</v>
      </c>
      <c r="AB431" s="0" t="str">
        <f aca="false">A431&amp;"|"&amp;D431</f>
        <v>Colombia|2019</v>
      </c>
    </row>
    <row r="432" customFormat="false" ht="15" hidden="false" customHeight="false" outlineLevel="0" collapsed="false">
      <c r="A432" s="0" t="s">
        <v>221</v>
      </c>
      <c r="B432" s="0" t="s">
        <v>459</v>
      </c>
      <c r="C432" s="0" t="s">
        <v>127</v>
      </c>
      <c r="D432" s="0" t="n">
        <v>2020</v>
      </c>
      <c r="E432" s="59" t="n">
        <v>50629997</v>
      </c>
      <c r="F432" s="60" t="n">
        <v>77.75</v>
      </c>
      <c r="G432" s="61" t="n">
        <v>9.12</v>
      </c>
      <c r="H432" s="61" t="n">
        <v>15.19</v>
      </c>
      <c r="I432" s="61" t="n">
        <v>2.65</v>
      </c>
      <c r="J432" s="61" t="n">
        <v>0</v>
      </c>
      <c r="K432" s="61" t="n">
        <v>48.44</v>
      </c>
      <c r="L432" s="61" t="n">
        <v>0.19</v>
      </c>
      <c r="M432" s="61" t="n">
        <v>0.01</v>
      </c>
      <c r="N432" s="61" t="n">
        <v>2.15</v>
      </c>
      <c r="O432" s="61" t="n">
        <v>0</v>
      </c>
      <c r="P432" s="62" t="n">
        <v>271.2</v>
      </c>
      <c r="Q432" s="0" t="n">
        <v>0</v>
      </c>
      <c r="R432" s="60" t="n">
        <f aca="false">G432+H432+I432</f>
        <v>26.96</v>
      </c>
      <c r="S432" s="60" t="n">
        <f aca="false">K432+L432+M432+N432+O432</f>
        <v>50.79</v>
      </c>
      <c r="T432" s="60" t="n">
        <f aca="false">L432+M432</f>
        <v>0.2</v>
      </c>
      <c r="U432" s="60" t="n">
        <f aca="false">S432+J432</f>
        <v>50.79</v>
      </c>
      <c r="V432" s="63" t="n">
        <f aca="false">IFERROR(S432/F432,0)</f>
        <v>0.653247588424437</v>
      </c>
      <c r="W432" s="63" t="n">
        <f aca="false">IFERROR(R432/F432,0)</f>
        <v>0.346752411575563</v>
      </c>
      <c r="X432" s="63" t="n">
        <f aca="false">IFERROR(T432/F432,0)</f>
        <v>0.00257234726688103</v>
      </c>
      <c r="Y432" s="63" t="n">
        <f aca="false">IFERROR(G432/F432,0)</f>
        <v>0.117299035369775</v>
      </c>
      <c r="Z432" s="59" t="n">
        <f aca="false">IF(E432&gt;0,F432*1000000000/E432,"")</f>
        <v>1535.65089091354</v>
      </c>
      <c r="AA432" s="63" t="n">
        <f aca="false">IFERROR((R432+S432+J432)/F432,0)</f>
        <v>1</v>
      </c>
      <c r="AB432" s="0" t="str">
        <f aca="false">A432&amp;"|"&amp;D432</f>
        <v>Colombia|2020</v>
      </c>
    </row>
    <row r="433" customFormat="false" ht="15" hidden="false" customHeight="false" outlineLevel="0" collapsed="false">
      <c r="A433" s="0" t="s">
        <v>221</v>
      </c>
      <c r="B433" s="0" t="s">
        <v>459</v>
      </c>
      <c r="C433" s="0" t="s">
        <v>127</v>
      </c>
      <c r="D433" s="0" t="n">
        <v>2021</v>
      </c>
      <c r="E433" s="59" t="n">
        <v>51188174</v>
      </c>
      <c r="F433" s="60" t="n">
        <v>84.36</v>
      </c>
      <c r="G433" s="61" t="n">
        <v>4.44</v>
      </c>
      <c r="H433" s="61" t="n">
        <v>13.76</v>
      </c>
      <c r="I433" s="61" t="n">
        <v>2.83</v>
      </c>
      <c r="J433" s="61" t="n">
        <v>0</v>
      </c>
      <c r="K433" s="61" t="n">
        <v>60.7</v>
      </c>
      <c r="L433" s="61" t="n">
        <v>0.33</v>
      </c>
      <c r="M433" s="61" t="n">
        <v>0.06</v>
      </c>
      <c r="N433" s="61" t="n">
        <v>2.24</v>
      </c>
      <c r="O433" s="61" t="n">
        <v>0</v>
      </c>
      <c r="P433" s="62" t="n">
        <v>195.8</v>
      </c>
      <c r="Q433" s="0" t="n">
        <v>0</v>
      </c>
      <c r="R433" s="60" t="n">
        <f aca="false">G433+H433+I433</f>
        <v>21.03</v>
      </c>
      <c r="S433" s="60" t="n">
        <f aca="false">K433+L433+M433+N433+O433</f>
        <v>63.33</v>
      </c>
      <c r="T433" s="60" t="n">
        <f aca="false">L433+M433</f>
        <v>0.39</v>
      </c>
      <c r="U433" s="60" t="n">
        <f aca="false">S433+J433</f>
        <v>63.33</v>
      </c>
      <c r="V433" s="63" t="n">
        <f aca="false">IFERROR(S433/F433,0)</f>
        <v>0.750711237553343</v>
      </c>
      <c r="W433" s="63" t="n">
        <f aca="false">IFERROR(R433/F433,0)</f>
        <v>0.249288762446657</v>
      </c>
      <c r="X433" s="63" t="n">
        <f aca="false">IFERROR(T433/F433,0)</f>
        <v>0.00462304409672831</v>
      </c>
      <c r="Y433" s="63" t="n">
        <f aca="false">IFERROR(G433/F433,0)</f>
        <v>0.0526315789473684</v>
      </c>
      <c r="Z433" s="59" t="n">
        <f aca="false">IF(E433&gt;0,F433*1000000000/E433,"")</f>
        <v>1648.03690789986</v>
      </c>
      <c r="AA433" s="63" t="n">
        <f aca="false">IFERROR((R433+S433+J433)/F433,0)</f>
        <v>1</v>
      </c>
      <c r="AB433" s="0" t="str">
        <f aca="false">A433&amp;"|"&amp;D433</f>
        <v>Colombia|2021</v>
      </c>
    </row>
    <row r="434" customFormat="false" ht="15" hidden="false" customHeight="false" outlineLevel="0" collapsed="false">
      <c r="A434" s="0" t="s">
        <v>221</v>
      </c>
      <c r="B434" s="0" t="s">
        <v>459</v>
      </c>
      <c r="C434" s="0" t="s">
        <v>127</v>
      </c>
      <c r="D434" s="0" t="n">
        <v>2022</v>
      </c>
      <c r="E434" s="59" t="n">
        <v>51737944</v>
      </c>
      <c r="F434" s="60" t="n">
        <v>82.86</v>
      </c>
      <c r="G434" s="61" t="n">
        <v>5.01</v>
      </c>
      <c r="H434" s="61" t="n">
        <v>13.49</v>
      </c>
      <c r="I434" s="61" t="n">
        <v>2.75</v>
      </c>
      <c r="J434" s="61" t="n">
        <v>0</v>
      </c>
      <c r="K434" s="61" t="n">
        <v>58.73</v>
      </c>
      <c r="L434" s="61" t="n">
        <v>0.63</v>
      </c>
      <c r="M434" s="61" t="n">
        <v>0.07</v>
      </c>
      <c r="N434" s="61" t="n">
        <v>2.18</v>
      </c>
      <c r="O434" s="61" t="n">
        <v>0</v>
      </c>
      <c r="P434" s="62" t="n">
        <v>202.2</v>
      </c>
      <c r="Q434" s="0" t="n">
        <v>0</v>
      </c>
      <c r="R434" s="60" t="n">
        <f aca="false">G434+H434+I434</f>
        <v>21.25</v>
      </c>
      <c r="S434" s="60" t="n">
        <f aca="false">K434+L434+M434+N434+O434</f>
        <v>61.61</v>
      </c>
      <c r="T434" s="60" t="n">
        <f aca="false">L434+M434</f>
        <v>0.7</v>
      </c>
      <c r="U434" s="60" t="n">
        <f aca="false">S434+J434</f>
        <v>61.61</v>
      </c>
      <c r="V434" s="63" t="n">
        <f aca="false">IFERROR(S434/F434,0)</f>
        <v>0.743543326092204</v>
      </c>
      <c r="W434" s="63" t="n">
        <f aca="false">IFERROR(R434/F434,0)</f>
        <v>0.256456673907796</v>
      </c>
      <c r="X434" s="63" t="n">
        <f aca="false">IFERROR(T434/F434,0)</f>
        <v>0.00844798455225682</v>
      </c>
      <c r="Y434" s="63" t="n">
        <f aca="false">IFERROR(G434/F434,0)</f>
        <v>0.0604634322954381</v>
      </c>
      <c r="Z434" s="59" t="n">
        <f aca="false">IF(E434&gt;0,F434*1000000000/E434,"")</f>
        <v>1601.53252320966</v>
      </c>
      <c r="AA434" s="63" t="n">
        <f aca="false">IFERROR((R434+S434+J434)/F434,0)</f>
        <v>1</v>
      </c>
      <c r="AB434" s="0" t="str">
        <f aca="false">A434&amp;"|"&amp;D434</f>
        <v>Colombia|2022</v>
      </c>
    </row>
    <row r="435" customFormat="false" ht="15" hidden="false" customHeight="false" outlineLevel="0" collapsed="false">
      <c r="A435" s="0" t="s">
        <v>221</v>
      </c>
      <c r="B435" s="0" t="s">
        <v>459</v>
      </c>
      <c r="C435" s="0" t="s">
        <v>127</v>
      </c>
      <c r="D435" s="0" t="n">
        <v>2023</v>
      </c>
      <c r="E435" s="59" t="n">
        <v>52321152</v>
      </c>
      <c r="F435" s="60" t="n">
        <v>86.58</v>
      </c>
      <c r="G435" s="61" t="n">
        <v>9.2</v>
      </c>
      <c r="H435" s="61" t="n">
        <v>16.19</v>
      </c>
      <c r="I435" s="61" t="n">
        <v>3.19</v>
      </c>
      <c r="J435" s="61" t="n">
        <v>0</v>
      </c>
      <c r="K435" s="61" t="n">
        <v>54.22</v>
      </c>
      <c r="L435" s="61" t="n">
        <v>1.35</v>
      </c>
      <c r="M435" s="61" t="n">
        <v>0.22</v>
      </c>
      <c r="N435" s="61" t="n">
        <v>2.21</v>
      </c>
      <c r="O435" s="61" t="n">
        <v>0</v>
      </c>
      <c r="P435" s="62" t="n">
        <v>258.4</v>
      </c>
      <c r="Q435" s="0" t="n">
        <v>0</v>
      </c>
      <c r="R435" s="60" t="n">
        <f aca="false">G435+H435+I435</f>
        <v>28.58</v>
      </c>
      <c r="S435" s="60" t="n">
        <f aca="false">K435+L435+M435+N435+O435</f>
        <v>58</v>
      </c>
      <c r="T435" s="60" t="n">
        <f aca="false">L435+M435</f>
        <v>1.57</v>
      </c>
      <c r="U435" s="60" t="n">
        <f aca="false">S435+J435</f>
        <v>58</v>
      </c>
      <c r="V435" s="63" t="n">
        <f aca="false">IFERROR(S435/F435,0)</f>
        <v>0.66990066990067</v>
      </c>
      <c r="W435" s="63" t="n">
        <f aca="false">IFERROR(R435/F435,0)</f>
        <v>0.33009933009933</v>
      </c>
      <c r="X435" s="63" t="n">
        <f aca="false">IFERROR(T435/F435,0)</f>
        <v>0.0181335181335181</v>
      </c>
      <c r="Y435" s="63" t="n">
        <f aca="false">IFERROR(G435/F435,0)</f>
        <v>0.106260106260106</v>
      </c>
      <c r="Z435" s="59" t="n">
        <f aca="false">IF(E435&gt;0,F435*1000000000/E435,"")</f>
        <v>1654.78007823681</v>
      </c>
      <c r="AA435" s="63" t="n">
        <f aca="false">IFERROR((R435+S435+J435)/F435,0)</f>
        <v>1</v>
      </c>
      <c r="AB435" s="0" t="str">
        <f aca="false">A435&amp;"|"&amp;D435</f>
        <v>Colombia|2023</v>
      </c>
    </row>
    <row r="436" customFormat="false" ht="15" hidden="false" customHeight="false" outlineLevel="0" collapsed="false">
      <c r="A436" s="0" t="s">
        <v>221</v>
      </c>
      <c r="B436" s="0" t="s">
        <v>459</v>
      </c>
      <c r="C436" s="0" t="s">
        <v>127</v>
      </c>
      <c r="D436" s="0" t="n">
        <v>2024</v>
      </c>
      <c r="E436" s="59" t="n">
        <v>52886360</v>
      </c>
      <c r="F436" s="60" t="n">
        <v>89.14</v>
      </c>
      <c r="G436" s="61" t="n">
        <v>11.21</v>
      </c>
      <c r="H436" s="61" t="n">
        <v>19.79</v>
      </c>
      <c r="I436" s="61" t="n">
        <v>3.46</v>
      </c>
      <c r="J436" s="61" t="n">
        <v>0</v>
      </c>
      <c r="K436" s="61" t="n">
        <v>48.88</v>
      </c>
      <c r="L436" s="61" t="n">
        <v>3.43</v>
      </c>
      <c r="M436" s="61" t="n">
        <v>0.15</v>
      </c>
      <c r="N436" s="61" t="n">
        <v>2.22</v>
      </c>
      <c r="O436" s="61" t="n">
        <v>0</v>
      </c>
      <c r="P436" s="62" t="n">
        <v>298.3</v>
      </c>
      <c r="Q436" s="0" t="n">
        <v>0</v>
      </c>
      <c r="R436" s="60" t="n">
        <f aca="false">G436+H436+I436</f>
        <v>34.46</v>
      </c>
      <c r="S436" s="60" t="n">
        <f aca="false">K436+L436+M436+N436+O436</f>
        <v>54.68</v>
      </c>
      <c r="T436" s="60" t="n">
        <f aca="false">L436+M436</f>
        <v>3.58</v>
      </c>
      <c r="U436" s="60" t="n">
        <f aca="false">S436+J436</f>
        <v>54.68</v>
      </c>
      <c r="V436" s="63" t="n">
        <f aca="false">IFERROR(S436/F436,0)</f>
        <v>0.613417096701817</v>
      </c>
      <c r="W436" s="63" t="n">
        <f aca="false">IFERROR(R436/F436,0)</f>
        <v>0.386582903298183</v>
      </c>
      <c r="X436" s="63" t="n">
        <f aca="false">IFERROR(T436/F436,0)</f>
        <v>0.0401615436392192</v>
      </c>
      <c r="Y436" s="63" t="n">
        <f aca="false">IFERROR(G436/F436,0)</f>
        <v>0.12575723580884</v>
      </c>
      <c r="Z436" s="59" t="n">
        <f aca="false">IF(E436&gt;0,F436*1000000000/E436,"")</f>
        <v>1685.50076049855</v>
      </c>
      <c r="AA436" s="63" t="n">
        <f aca="false">IFERROR((R436+S436+J436)/F436,0)</f>
        <v>1</v>
      </c>
      <c r="AB436" s="0" t="str">
        <f aca="false">A436&amp;"|"&amp;D436</f>
        <v>Colombia|2024</v>
      </c>
    </row>
    <row r="437" customFormat="false" ht="15" hidden="false" customHeight="false" outlineLevel="0" collapsed="false">
      <c r="A437" s="0" t="s">
        <v>221</v>
      </c>
      <c r="B437" s="0" t="s">
        <v>459</v>
      </c>
      <c r="C437" s="0" t="s">
        <v>127</v>
      </c>
      <c r="D437" s="0" t="n">
        <v>2025</v>
      </c>
      <c r="E437" s="59" t="n">
        <v>53425629</v>
      </c>
      <c r="F437" s="60" t="n">
        <v>90.36</v>
      </c>
      <c r="G437" s="61" t="n">
        <v>5.53</v>
      </c>
      <c r="H437" s="61" t="n">
        <v>12.43</v>
      </c>
      <c r="I437" s="61" t="n">
        <v>2.8</v>
      </c>
      <c r="J437" s="61" t="n">
        <v>0</v>
      </c>
      <c r="K437" s="61" t="n">
        <v>62.5</v>
      </c>
      <c r="L437" s="61" t="n">
        <v>4.6</v>
      </c>
      <c r="M437" s="61" t="n">
        <v>0.15</v>
      </c>
      <c r="N437" s="61" t="n">
        <v>2.35</v>
      </c>
      <c r="O437" s="61" t="n">
        <v>0</v>
      </c>
      <c r="P437" s="62" t="n">
        <v>186.8</v>
      </c>
      <c r="Q437" s="0" t="n">
        <v>0</v>
      </c>
      <c r="R437" s="60" t="n">
        <f aca="false">G437+H437+I437</f>
        <v>20.76</v>
      </c>
      <c r="S437" s="60" t="n">
        <f aca="false">K437+L437+M437+N437+O437</f>
        <v>69.6</v>
      </c>
      <c r="T437" s="60" t="n">
        <f aca="false">L437+M437</f>
        <v>4.75</v>
      </c>
      <c r="U437" s="60" t="n">
        <f aca="false">S437+J437</f>
        <v>69.6</v>
      </c>
      <c r="V437" s="63" t="n">
        <f aca="false">IFERROR(S437/F437,0)</f>
        <v>0.770252324037185</v>
      </c>
      <c r="W437" s="63" t="n">
        <f aca="false">IFERROR(R437/F437,0)</f>
        <v>0.229747675962815</v>
      </c>
      <c r="X437" s="63" t="n">
        <f aca="false">IFERROR(T437/F437,0)</f>
        <v>0.0525675077467906</v>
      </c>
      <c r="Y437" s="63" t="n">
        <f aca="false">IFERROR(G437/F437,0)</f>
        <v>0.0611996458610005</v>
      </c>
      <c r="Z437" s="59" t="n">
        <f aca="false">IF(E437&gt;0,F437*1000000000/E437,"")</f>
        <v>1691.32309139496</v>
      </c>
      <c r="AA437" s="63" t="n">
        <f aca="false">IFERROR((R437+S437+J437)/F437,0)</f>
        <v>1</v>
      </c>
      <c r="AB437" s="0" t="str">
        <f aca="false">A437&amp;"|"&amp;D437</f>
        <v>Colombia|2025</v>
      </c>
    </row>
    <row r="438" customFormat="false" ht="15" hidden="false" customHeight="false" outlineLevel="0" collapsed="false">
      <c r="A438" s="0" t="s">
        <v>222</v>
      </c>
      <c r="B438" s="0" t="s">
        <v>460</v>
      </c>
      <c r="C438" s="0" t="s">
        <v>127</v>
      </c>
      <c r="D438" s="0" t="n">
        <v>2015</v>
      </c>
      <c r="E438" s="59" t="n">
        <v>726685</v>
      </c>
      <c r="F438" s="60" t="n">
        <v>0.05</v>
      </c>
      <c r="G438" s="61" t="n">
        <v>0</v>
      </c>
      <c r="H438" s="61" t="n">
        <v>0</v>
      </c>
      <c r="I438" s="61" t="n">
        <v>0.05</v>
      </c>
      <c r="J438" s="61" t="n">
        <v>0</v>
      </c>
      <c r="K438" s="61" t="n">
        <v>0</v>
      </c>
      <c r="L438" s="61" t="n">
        <v>0</v>
      </c>
      <c r="M438" s="61" t="n">
        <v>0</v>
      </c>
      <c r="N438" s="61" t="n">
        <v>0</v>
      </c>
      <c r="O438" s="61" t="n">
        <v>0</v>
      </c>
      <c r="P438" s="62" t="n">
        <v>600</v>
      </c>
      <c r="Q438" s="0" t="n">
        <v>0</v>
      </c>
      <c r="R438" s="60" t="n">
        <f aca="false">G438+H438+I438</f>
        <v>0.05</v>
      </c>
      <c r="S438" s="60" t="n">
        <f aca="false">K438+L438+M438+N438+O438</f>
        <v>0</v>
      </c>
      <c r="T438" s="60" t="n">
        <f aca="false">L438+M438</f>
        <v>0</v>
      </c>
      <c r="U438" s="60" t="n">
        <f aca="false">S438+J438</f>
        <v>0</v>
      </c>
      <c r="V438" s="63" t="n">
        <f aca="false">IFERROR(S438/F438,0)</f>
        <v>0</v>
      </c>
      <c r="W438" s="63" t="n">
        <f aca="false">IFERROR(R438/F438,0)</f>
        <v>1</v>
      </c>
      <c r="X438" s="63" t="n">
        <f aca="false">IFERROR(T438/F438,0)</f>
        <v>0</v>
      </c>
      <c r="Y438" s="63" t="n">
        <f aca="false">IFERROR(G438/F438,0)</f>
        <v>0</v>
      </c>
      <c r="Z438" s="59" t="n">
        <f aca="false">IF(E438&gt;0,F438*1000000000/E438,"")</f>
        <v>68.8056035283514</v>
      </c>
      <c r="AA438" s="63" t="n">
        <f aca="false">IFERROR((R438+S438+J438)/F438,0)</f>
        <v>1</v>
      </c>
      <c r="AB438" s="0" t="str">
        <f aca="false">A438&amp;"|"&amp;D438</f>
        <v>Comoros|2015</v>
      </c>
    </row>
    <row r="439" customFormat="false" ht="15" hidden="false" customHeight="false" outlineLevel="0" collapsed="false">
      <c r="A439" s="0" t="s">
        <v>222</v>
      </c>
      <c r="B439" s="0" t="s">
        <v>460</v>
      </c>
      <c r="C439" s="0" t="s">
        <v>127</v>
      </c>
      <c r="D439" s="0" t="n">
        <v>2016</v>
      </c>
      <c r="E439" s="59" t="n">
        <v>741745</v>
      </c>
      <c r="F439" s="60" t="n">
        <v>0.06</v>
      </c>
      <c r="G439" s="61" t="n">
        <v>0</v>
      </c>
      <c r="H439" s="61" t="n">
        <v>0</v>
      </c>
      <c r="I439" s="61" t="n">
        <v>0.06</v>
      </c>
      <c r="J439" s="61" t="n">
        <v>0</v>
      </c>
      <c r="K439" s="61" t="n">
        <v>0</v>
      </c>
      <c r="L439" s="61" t="n">
        <v>0</v>
      </c>
      <c r="M439" s="61" t="n">
        <v>0</v>
      </c>
      <c r="N439" s="61" t="n">
        <v>0</v>
      </c>
      <c r="O439" s="61" t="n">
        <v>0</v>
      </c>
      <c r="P439" s="62" t="n">
        <v>666.7</v>
      </c>
      <c r="Q439" s="0" t="n">
        <v>0</v>
      </c>
      <c r="R439" s="60" t="n">
        <f aca="false">G439+H439+I439</f>
        <v>0.06</v>
      </c>
      <c r="S439" s="60" t="n">
        <f aca="false">K439+L439+M439+N439+O439</f>
        <v>0</v>
      </c>
      <c r="T439" s="60" t="n">
        <f aca="false">L439+M439</f>
        <v>0</v>
      </c>
      <c r="U439" s="60" t="n">
        <f aca="false">S439+J439</f>
        <v>0</v>
      </c>
      <c r="V439" s="63" t="n">
        <f aca="false">IFERROR(S439/F439,0)</f>
        <v>0</v>
      </c>
      <c r="W439" s="63" t="n">
        <f aca="false">IFERROR(R439/F439,0)</f>
        <v>1</v>
      </c>
      <c r="X439" s="63" t="n">
        <f aca="false">IFERROR(T439/F439,0)</f>
        <v>0</v>
      </c>
      <c r="Y439" s="63" t="n">
        <f aca="false">IFERROR(G439/F439,0)</f>
        <v>0</v>
      </c>
      <c r="Z439" s="59" t="n">
        <f aca="false">IF(E439&gt;0,F439*1000000000/E439,"")</f>
        <v>80.8903329311286</v>
      </c>
      <c r="AA439" s="63" t="n">
        <f aca="false">IFERROR((R439+S439+J439)/F439,0)</f>
        <v>1</v>
      </c>
      <c r="AB439" s="0" t="str">
        <f aca="false">A439&amp;"|"&amp;D439</f>
        <v>Comoros|2016</v>
      </c>
    </row>
    <row r="440" customFormat="false" ht="15" hidden="false" customHeight="false" outlineLevel="0" collapsed="false">
      <c r="A440" s="0" t="s">
        <v>222</v>
      </c>
      <c r="B440" s="0" t="s">
        <v>460</v>
      </c>
      <c r="C440" s="0" t="s">
        <v>127</v>
      </c>
      <c r="D440" s="0" t="n">
        <v>2017</v>
      </c>
      <c r="E440" s="59" t="n">
        <v>756672</v>
      </c>
      <c r="F440" s="60" t="n">
        <v>0.09</v>
      </c>
      <c r="G440" s="61" t="n">
        <v>0</v>
      </c>
      <c r="H440" s="61" t="n">
        <v>0</v>
      </c>
      <c r="I440" s="61" t="n">
        <v>0.09</v>
      </c>
      <c r="J440" s="61" t="n">
        <v>0</v>
      </c>
      <c r="K440" s="61" t="n">
        <v>0</v>
      </c>
      <c r="L440" s="61" t="n">
        <v>0</v>
      </c>
      <c r="M440" s="61" t="n">
        <v>0</v>
      </c>
      <c r="N440" s="61" t="n">
        <v>0</v>
      </c>
      <c r="O440" s="61" t="n">
        <v>0</v>
      </c>
      <c r="P440" s="62" t="n">
        <v>666.7</v>
      </c>
      <c r="Q440" s="0" t="n">
        <v>0</v>
      </c>
      <c r="R440" s="60" t="n">
        <f aca="false">G440+H440+I440</f>
        <v>0.09</v>
      </c>
      <c r="S440" s="60" t="n">
        <f aca="false">K440+L440+M440+N440+O440</f>
        <v>0</v>
      </c>
      <c r="T440" s="60" t="n">
        <f aca="false">L440+M440</f>
        <v>0</v>
      </c>
      <c r="U440" s="60" t="n">
        <f aca="false">S440+J440</f>
        <v>0</v>
      </c>
      <c r="V440" s="63" t="n">
        <f aca="false">IFERROR(S440/F440,0)</f>
        <v>0</v>
      </c>
      <c r="W440" s="63" t="n">
        <f aca="false">IFERROR(R440/F440,0)</f>
        <v>1</v>
      </c>
      <c r="X440" s="63" t="n">
        <f aca="false">IFERROR(T440/F440,0)</f>
        <v>0</v>
      </c>
      <c r="Y440" s="63" t="n">
        <f aca="false">IFERROR(G440/F440,0)</f>
        <v>0</v>
      </c>
      <c r="Z440" s="59" t="n">
        <f aca="false">IF(E440&gt;0,F440*1000000000/E440,"")</f>
        <v>118.941892920579</v>
      </c>
      <c r="AA440" s="63" t="n">
        <f aca="false">IFERROR((R440+S440+J440)/F440,0)</f>
        <v>1</v>
      </c>
      <c r="AB440" s="0" t="str">
        <f aca="false">A440&amp;"|"&amp;D440</f>
        <v>Comoros|2017</v>
      </c>
    </row>
    <row r="441" customFormat="false" ht="15" hidden="false" customHeight="false" outlineLevel="0" collapsed="false">
      <c r="A441" s="0" t="s">
        <v>222</v>
      </c>
      <c r="B441" s="0" t="s">
        <v>460</v>
      </c>
      <c r="C441" s="0" t="s">
        <v>127</v>
      </c>
      <c r="D441" s="0" t="n">
        <v>2018</v>
      </c>
      <c r="E441" s="59" t="n">
        <v>771597</v>
      </c>
      <c r="F441" s="60" t="n">
        <v>0.1</v>
      </c>
      <c r="G441" s="61" t="n">
        <v>0</v>
      </c>
      <c r="H441" s="61" t="n">
        <v>0</v>
      </c>
      <c r="I441" s="61" t="n">
        <v>0.1</v>
      </c>
      <c r="J441" s="61" t="n">
        <v>0</v>
      </c>
      <c r="K441" s="61" t="n">
        <v>0</v>
      </c>
      <c r="L441" s="61" t="n">
        <v>0</v>
      </c>
      <c r="M441" s="61" t="n">
        <v>0</v>
      </c>
      <c r="N441" s="61" t="n">
        <v>0</v>
      </c>
      <c r="O441" s="61" t="n">
        <v>0</v>
      </c>
      <c r="P441" s="62" t="n">
        <v>700</v>
      </c>
      <c r="Q441" s="0" t="n">
        <v>0</v>
      </c>
      <c r="R441" s="60" t="n">
        <f aca="false">G441+H441+I441</f>
        <v>0.1</v>
      </c>
      <c r="S441" s="60" t="n">
        <f aca="false">K441+L441+M441+N441+O441</f>
        <v>0</v>
      </c>
      <c r="T441" s="60" t="n">
        <f aca="false">L441+M441</f>
        <v>0</v>
      </c>
      <c r="U441" s="60" t="n">
        <f aca="false">S441+J441</f>
        <v>0</v>
      </c>
      <c r="V441" s="63" t="n">
        <f aca="false">IFERROR(S441/F441,0)</f>
        <v>0</v>
      </c>
      <c r="W441" s="63" t="n">
        <f aca="false">IFERROR(R441/F441,0)</f>
        <v>1</v>
      </c>
      <c r="X441" s="63" t="n">
        <f aca="false">IFERROR(T441/F441,0)</f>
        <v>0</v>
      </c>
      <c r="Y441" s="63" t="n">
        <f aca="false">IFERROR(G441/F441,0)</f>
        <v>0</v>
      </c>
      <c r="Z441" s="59" t="n">
        <f aca="false">IF(E441&gt;0,F441*1000000000/E441,"")</f>
        <v>129.601333338517</v>
      </c>
      <c r="AA441" s="63" t="n">
        <f aca="false">IFERROR((R441+S441+J441)/F441,0)</f>
        <v>1</v>
      </c>
      <c r="AB441" s="0" t="str">
        <f aca="false">A441&amp;"|"&amp;D441</f>
        <v>Comoros|2018</v>
      </c>
    </row>
    <row r="442" customFormat="false" ht="15" hidden="false" customHeight="false" outlineLevel="0" collapsed="false">
      <c r="A442" s="0" t="s">
        <v>222</v>
      </c>
      <c r="B442" s="0" t="s">
        <v>460</v>
      </c>
      <c r="C442" s="0" t="s">
        <v>127</v>
      </c>
      <c r="D442" s="0" t="n">
        <v>2019</v>
      </c>
      <c r="E442" s="59" t="n">
        <v>786582</v>
      </c>
      <c r="F442" s="60" t="n">
        <v>0.11</v>
      </c>
      <c r="G442" s="61" t="n">
        <v>0</v>
      </c>
      <c r="H442" s="61" t="n">
        <v>0</v>
      </c>
      <c r="I442" s="61" t="n">
        <v>0.11</v>
      </c>
      <c r="J442" s="61" t="n">
        <v>0</v>
      </c>
      <c r="K442" s="61" t="n">
        <v>0</v>
      </c>
      <c r="L442" s="61" t="n">
        <v>0</v>
      </c>
      <c r="M442" s="61" t="n">
        <v>0</v>
      </c>
      <c r="N442" s="61" t="n">
        <v>0</v>
      </c>
      <c r="O442" s="61" t="n">
        <v>0</v>
      </c>
      <c r="P442" s="62" t="n">
        <v>636.4</v>
      </c>
      <c r="Q442" s="0" t="n">
        <v>0</v>
      </c>
      <c r="R442" s="60" t="n">
        <f aca="false">G442+H442+I442</f>
        <v>0.11</v>
      </c>
      <c r="S442" s="60" t="n">
        <f aca="false">K442+L442+M442+N442+O442</f>
        <v>0</v>
      </c>
      <c r="T442" s="60" t="n">
        <f aca="false">L442+M442</f>
        <v>0</v>
      </c>
      <c r="U442" s="60" t="n">
        <f aca="false">S442+J442</f>
        <v>0</v>
      </c>
      <c r="V442" s="63" t="n">
        <f aca="false">IFERROR(S442/F442,0)</f>
        <v>0</v>
      </c>
      <c r="W442" s="63" t="n">
        <f aca="false">IFERROR(R442/F442,0)</f>
        <v>1</v>
      </c>
      <c r="X442" s="63" t="n">
        <f aca="false">IFERROR(T442/F442,0)</f>
        <v>0</v>
      </c>
      <c r="Y442" s="63" t="n">
        <f aca="false">IFERROR(G442/F442,0)</f>
        <v>0</v>
      </c>
      <c r="Z442" s="59" t="n">
        <f aca="false">IF(E442&gt;0,F442*1000000000/E442,"")</f>
        <v>139.845559649216</v>
      </c>
      <c r="AA442" s="63" t="n">
        <f aca="false">IFERROR((R442+S442+J442)/F442,0)</f>
        <v>1</v>
      </c>
      <c r="AB442" s="0" t="str">
        <f aca="false">A442&amp;"|"&amp;D442</f>
        <v>Comoros|2019</v>
      </c>
    </row>
    <row r="443" customFormat="false" ht="15" hidden="false" customHeight="false" outlineLevel="0" collapsed="false">
      <c r="A443" s="0" t="s">
        <v>222</v>
      </c>
      <c r="B443" s="0" t="s">
        <v>460</v>
      </c>
      <c r="C443" s="0" t="s">
        <v>127</v>
      </c>
      <c r="D443" s="0" t="n">
        <v>2020</v>
      </c>
      <c r="E443" s="59" t="n">
        <v>802172</v>
      </c>
      <c r="F443" s="60" t="n">
        <v>0.13</v>
      </c>
      <c r="G443" s="61" t="n">
        <v>0</v>
      </c>
      <c r="H443" s="61" t="n">
        <v>0</v>
      </c>
      <c r="I443" s="61" t="n">
        <v>0.13</v>
      </c>
      <c r="J443" s="61" t="n">
        <v>0</v>
      </c>
      <c r="K443" s="61" t="n">
        <v>0</v>
      </c>
      <c r="L443" s="61" t="n">
        <v>0</v>
      </c>
      <c r="M443" s="61" t="n">
        <v>0</v>
      </c>
      <c r="N443" s="61" t="n">
        <v>0</v>
      </c>
      <c r="O443" s="61" t="n">
        <v>0</v>
      </c>
      <c r="P443" s="62" t="n">
        <v>692.3</v>
      </c>
      <c r="Q443" s="0" t="n">
        <v>0</v>
      </c>
      <c r="R443" s="60" t="n">
        <f aca="false">G443+H443+I443</f>
        <v>0.13</v>
      </c>
      <c r="S443" s="60" t="n">
        <f aca="false">K443+L443+M443+N443+O443</f>
        <v>0</v>
      </c>
      <c r="T443" s="60" t="n">
        <f aca="false">L443+M443</f>
        <v>0</v>
      </c>
      <c r="U443" s="60" t="n">
        <f aca="false">S443+J443</f>
        <v>0</v>
      </c>
      <c r="V443" s="63" t="n">
        <f aca="false">IFERROR(S443/F443,0)</f>
        <v>0</v>
      </c>
      <c r="W443" s="63" t="n">
        <f aca="false">IFERROR(R443/F443,0)</f>
        <v>1</v>
      </c>
      <c r="X443" s="63" t="n">
        <f aca="false">IFERROR(T443/F443,0)</f>
        <v>0</v>
      </c>
      <c r="Y443" s="63" t="n">
        <f aca="false">IFERROR(G443/F443,0)</f>
        <v>0</v>
      </c>
      <c r="Z443" s="59" t="n">
        <f aca="false">IF(E443&gt;0,F443*1000000000/E443,"")</f>
        <v>162.060007080776</v>
      </c>
      <c r="AA443" s="63" t="n">
        <f aca="false">IFERROR((R443+S443+J443)/F443,0)</f>
        <v>1</v>
      </c>
      <c r="AB443" s="0" t="str">
        <f aca="false">A443&amp;"|"&amp;D443</f>
        <v>Comoros|2020</v>
      </c>
    </row>
    <row r="444" customFormat="false" ht="15" hidden="false" customHeight="false" outlineLevel="0" collapsed="false">
      <c r="A444" s="0" t="s">
        <v>222</v>
      </c>
      <c r="B444" s="0" t="s">
        <v>460</v>
      </c>
      <c r="C444" s="0" t="s">
        <v>127</v>
      </c>
      <c r="D444" s="0" t="n">
        <v>2021</v>
      </c>
      <c r="E444" s="59" t="n">
        <v>818178</v>
      </c>
      <c r="F444" s="60" t="n">
        <v>0.13</v>
      </c>
      <c r="G444" s="61" t="n">
        <v>0</v>
      </c>
      <c r="H444" s="61" t="n">
        <v>0</v>
      </c>
      <c r="I444" s="61" t="n">
        <v>0.13</v>
      </c>
      <c r="J444" s="61" t="n">
        <v>0</v>
      </c>
      <c r="K444" s="61" t="n">
        <v>0</v>
      </c>
      <c r="L444" s="61" t="n">
        <v>0</v>
      </c>
      <c r="M444" s="61" t="n">
        <v>0</v>
      </c>
      <c r="N444" s="61" t="n">
        <v>0</v>
      </c>
      <c r="O444" s="61" t="n">
        <v>0</v>
      </c>
      <c r="P444" s="62" t="n">
        <v>692.3</v>
      </c>
      <c r="Q444" s="0" t="n">
        <v>0</v>
      </c>
      <c r="R444" s="60" t="n">
        <f aca="false">G444+H444+I444</f>
        <v>0.13</v>
      </c>
      <c r="S444" s="60" t="n">
        <f aca="false">K444+L444+M444+N444+O444</f>
        <v>0</v>
      </c>
      <c r="T444" s="60" t="n">
        <f aca="false">L444+M444</f>
        <v>0</v>
      </c>
      <c r="U444" s="60" t="n">
        <f aca="false">S444+J444</f>
        <v>0</v>
      </c>
      <c r="V444" s="63" t="n">
        <f aca="false">IFERROR(S444/F444,0)</f>
        <v>0</v>
      </c>
      <c r="W444" s="63" t="n">
        <f aca="false">IFERROR(R444/F444,0)</f>
        <v>1</v>
      </c>
      <c r="X444" s="63" t="n">
        <f aca="false">IFERROR(T444/F444,0)</f>
        <v>0</v>
      </c>
      <c r="Y444" s="63" t="n">
        <f aca="false">IFERROR(G444/F444,0)</f>
        <v>0</v>
      </c>
      <c r="Z444" s="59" t="n">
        <f aca="false">IF(E444&gt;0,F444*1000000000/E444,"")</f>
        <v>158.889630373831</v>
      </c>
      <c r="AA444" s="63" t="n">
        <f aca="false">IFERROR((R444+S444+J444)/F444,0)</f>
        <v>1</v>
      </c>
      <c r="AB444" s="0" t="str">
        <f aca="false">A444&amp;"|"&amp;D444</f>
        <v>Comoros|2021</v>
      </c>
    </row>
    <row r="445" customFormat="false" ht="15" hidden="false" customHeight="false" outlineLevel="0" collapsed="false">
      <c r="A445" s="0" t="s">
        <v>222</v>
      </c>
      <c r="B445" s="0" t="s">
        <v>460</v>
      </c>
      <c r="C445" s="0" t="s">
        <v>127</v>
      </c>
      <c r="D445" s="0" t="n">
        <v>2022</v>
      </c>
      <c r="E445" s="59" t="n">
        <v>834191</v>
      </c>
      <c r="F445" s="60" t="n">
        <v>0.14</v>
      </c>
      <c r="G445" s="61" t="n">
        <v>0</v>
      </c>
      <c r="H445" s="61" t="n">
        <v>0</v>
      </c>
      <c r="I445" s="61" t="n">
        <v>0.14</v>
      </c>
      <c r="J445" s="61" t="n">
        <v>0</v>
      </c>
      <c r="K445" s="61" t="n">
        <v>0</v>
      </c>
      <c r="L445" s="61" t="n">
        <v>0</v>
      </c>
      <c r="M445" s="61" t="n">
        <v>0</v>
      </c>
      <c r="N445" s="61" t="n">
        <v>0</v>
      </c>
      <c r="O445" s="61" t="n">
        <v>0</v>
      </c>
      <c r="P445" s="62" t="n">
        <v>642.9</v>
      </c>
      <c r="Q445" s="0" t="n">
        <v>0</v>
      </c>
      <c r="R445" s="60" t="n">
        <f aca="false">G445+H445+I445</f>
        <v>0.14</v>
      </c>
      <c r="S445" s="60" t="n">
        <f aca="false">K445+L445+M445+N445+O445</f>
        <v>0</v>
      </c>
      <c r="T445" s="60" t="n">
        <f aca="false">L445+M445</f>
        <v>0</v>
      </c>
      <c r="U445" s="60" t="n">
        <f aca="false">S445+J445</f>
        <v>0</v>
      </c>
      <c r="V445" s="63" t="n">
        <f aca="false">IFERROR(S445/F445,0)</f>
        <v>0</v>
      </c>
      <c r="W445" s="63" t="n">
        <f aca="false">IFERROR(R445/F445,0)</f>
        <v>1</v>
      </c>
      <c r="X445" s="63" t="n">
        <f aca="false">IFERROR(T445/F445,0)</f>
        <v>0</v>
      </c>
      <c r="Y445" s="63" t="n">
        <f aca="false">IFERROR(G445/F445,0)</f>
        <v>0</v>
      </c>
      <c r="Z445" s="59" t="n">
        <f aca="false">IF(E445&gt;0,F445*1000000000/E445,"")</f>
        <v>167.827272171481</v>
      </c>
      <c r="AA445" s="63" t="n">
        <f aca="false">IFERROR((R445+S445+J445)/F445,0)</f>
        <v>1</v>
      </c>
      <c r="AB445" s="0" t="str">
        <f aca="false">A445&amp;"|"&amp;D445</f>
        <v>Comoros|2022</v>
      </c>
    </row>
    <row r="446" customFormat="false" ht="15" hidden="false" customHeight="false" outlineLevel="0" collapsed="false">
      <c r="A446" s="0" t="s">
        <v>222</v>
      </c>
      <c r="B446" s="0" t="s">
        <v>460</v>
      </c>
      <c r="C446" s="0" t="s">
        <v>127</v>
      </c>
      <c r="D446" s="0" t="n">
        <v>2023</v>
      </c>
      <c r="E446" s="59" t="n">
        <v>850390</v>
      </c>
      <c r="F446" s="60" t="n">
        <v>0.14</v>
      </c>
      <c r="G446" s="61" t="n">
        <v>0</v>
      </c>
      <c r="H446" s="61" t="n">
        <v>0</v>
      </c>
      <c r="I446" s="61" t="n">
        <v>0.14</v>
      </c>
      <c r="J446" s="61" t="n">
        <v>0</v>
      </c>
      <c r="K446" s="61" t="n">
        <v>0</v>
      </c>
      <c r="L446" s="61" t="n">
        <v>0</v>
      </c>
      <c r="M446" s="61" t="n">
        <v>0</v>
      </c>
      <c r="N446" s="61" t="n">
        <v>0</v>
      </c>
      <c r="O446" s="61" t="n">
        <v>0</v>
      </c>
      <c r="P446" s="62" t="n">
        <v>642.9</v>
      </c>
      <c r="Q446" s="0" t="n">
        <v>0</v>
      </c>
      <c r="R446" s="60" t="n">
        <f aca="false">G446+H446+I446</f>
        <v>0.14</v>
      </c>
      <c r="S446" s="60" t="n">
        <f aca="false">K446+L446+M446+N446+O446</f>
        <v>0</v>
      </c>
      <c r="T446" s="60" t="n">
        <f aca="false">L446+M446</f>
        <v>0</v>
      </c>
      <c r="U446" s="60" t="n">
        <f aca="false">S446+J446</f>
        <v>0</v>
      </c>
      <c r="V446" s="63" t="n">
        <f aca="false">IFERROR(S446/F446,0)</f>
        <v>0</v>
      </c>
      <c r="W446" s="63" t="n">
        <f aca="false">IFERROR(R446/F446,0)</f>
        <v>1</v>
      </c>
      <c r="X446" s="63" t="n">
        <f aca="false">IFERROR(T446/F446,0)</f>
        <v>0</v>
      </c>
      <c r="Y446" s="63" t="n">
        <f aca="false">IFERROR(G446/F446,0)</f>
        <v>0</v>
      </c>
      <c r="Z446" s="59" t="n">
        <f aca="false">IF(E446&gt;0,F446*1000000000/E446,"")</f>
        <v>164.630346076506</v>
      </c>
      <c r="AA446" s="63" t="n">
        <f aca="false">IFERROR((R446+S446+J446)/F446,0)</f>
        <v>1</v>
      </c>
      <c r="AB446" s="0" t="str">
        <f aca="false">A446&amp;"|"&amp;D446</f>
        <v>Comoros|2023</v>
      </c>
    </row>
    <row r="447" customFormat="false" ht="15" hidden="false" customHeight="false" outlineLevel="0" collapsed="false">
      <c r="A447" s="0" t="s">
        <v>223</v>
      </c>
      <c r="B447" s="0" t="s">
        <v>461</v>
      </c>
      <c r="C447" s="0" t="s">
        <v>127</v>
      </c>
      <c r="D447" s="0" t="n">
        <v>2015</v>
      </c>
      <c r="E447" s="59" t="n">
        <v>5097583</v>
      </c>
      <c r="F447" s="60" t="n">
        <v>2.79</v>
      </c>
      <c r="G447" s="61" t="n">
        <v>0</v>
      </c>
      <c r="H447" s="61" t="n">
        <v>1.43</v>
      </c>
      <c r="I447" s="61" t="n">
        <v>0.24</v>
      </c>
      <c r="J447" s="61" t="n">
        <v>0</v>
      </c>
      <c r="K447" s="61" t="n">
        <v>1.09</v>
      </c>
      <c r="L447" s="61" t="n">
        <v>0</v>
      </c>
      <c r="M447" s="61" t="n">
        <v>0</v>
      </c>
      <c r="N447" s="61" t="n">
        <v>0.03</v>
      </c>
      <c r="O447" s="61" t="n">
        <v>0</v>
      </c>
      <c r="P447" s="62" t="n">
        <v>541.2</v>
      </c>
      <c r="Q447" s="0" t="n">
        <v>0</v>
      </c>
      <c r="R447" s="60" t="n">
        <f aca="false">G447+H447+I447</f>
        <v>1.67</v>
      </c>
      <c r="S447" s="60" t="n">
        <f aca="false">K447+L447+M447+N447+O447</f>
        <v>1.12</v>
      </c>
      <c r="T447" s="60" t="n">
        <f aca="false">L447+M447</f>
        <v>0</v>
      </c>
      <c r="U447" s="60" t="n">
        <f aca="false">S447+J447</f>
        <v>1.12</v>
      </c>
      <c r="V447" s="63" t="n">
        <f aca="false">IFERROR(S447/F447,0)</f>
        <v>0.401433691756272</v>
      </c>
      <c r="W447" s="63" t="n">
        <f aca="false">IFERROR(R447/F447,0)</f>
        <v>0.598566308243728</v>
      </c>
      <c r="X447" s="63" t="n">
        <f aca="false">IFERROR(T447/F447,0)</f>
        <v>0</v>
      </c>
      <c r="Y447" s="63" t="n">
        <f aca="false">IFERROR(G447/F447,0)</f>
        <v>0</v>
      </c>
      <c r="Z447" s="59" t="n">
        <f aca="false">IF(E447&gt;0,F447*1000000000/E447,"")</f>
        <v>547.318209433765</v>
      </c>
      <c r="AA447" s="63" t="n">
        <f aca="false">IFERROR((R447+S447+J447)/F447,0)</f>
        <v>1</v>
      </c>
      <c r="AB447" s="0" t="str">
        <f aca="false">A447&amp;"|"&amp;D447</f>
        <v>Congo|2015</v>
      </c>
    </row>
    <row r="448" customFormat="false" ht="15" hidden="false" customHeight="false" outlineLevel="0" collapsed="false">
      <c r="A448" s="0" t="s">
        <v>223</v>
      </c>
      <c r="B448" s="0" t="s">
        <v>461</v>
      </c>
      <c r="C448" s="0" t="s">
        <v>127</v>
      </c>
      <c r="D448" s="0" t="n">
        <v>2016</v>
      </c>
      <c r="E448" s="59" t="n">
        <v>5222545</v>
      </c>
      <c r="F448" s="60" t="n">
        <v>2.97</v>
      </c>
      <c r="G448" s="61" t="n">
        <v>0</v>
      </c>
      <c r="H448" s="61" t="n">
        <v>1.64</v>
      </c>
      <c r="I448" s="61" t="n">
        <v>0.18</v>
      </c>
      <c r="J448" s="61" t="n">
        <v>0</v>
      </c>
      <c r="K448" s="61" t="n">
        <v>1.12</v>
      </c>
      <c r="L448" s="61" t="n">
        <v>0</v>
      </c>
      <c r="M448" s="61" t="n">
        <v>0</v>
      </c>
      <c r="N448" s="61" t="n">
        <v>0.03</v>
      </c>
      <c r="O448" s="61" t="n">
        <v>0</v>
      </c>
      <c r="P448" s="62" t="n">
        <v>558.9</v>
      </c>
      <c r="Q448" s="0" t="n">
        <v>0</v>
      </c>
      <c r="R448" s="60" t="n">
        <f aca="false">G448+H448+I448</f>
        <v>1.82</v>
      </c>
      <c r="S448" s="60" t="n">
        <f aca="false">K448+L448+M448+N448+O448</f>
        <v>1.15</v>
      </c>
      <c r="T448" s="60" t="n">
        <f aca="false">L448+M448</f>
        <v>0</v>
      </c>
      <c r="U448" s="60" t="n">
        <f aca="false">S448+J448</f>
        <v>1.15</v>
      </c>
      <c r="V448" s="63" t="n">
        <f aca="false">IFERROR(S448/F448,0)</f>
        <v>0.387205387205387</v>
      </c>
      <c r="W448" s="63" t="n">
        <f aca="false">IFERROR(R448/F448,0)</f>
        <v>0.612794612794613</v>
      </c>
      <c r="X448" s="63" t="n">
        <f aca="false">IFERROR(T448/F448,0)</f>
        <v>0</v>
      </c>
      <c r="Y448" s="63" t="n">
        <f aca="false">IFERROR(G448/F448,0)</f>
        <v>0</v>
      </c>
      <c r="Z448" s="59" t="n">
        <f aca="false">IF(E448&gt;0,F448*1000000000/E448,"")</f>
        <v>568.688254481292</v>
      </c>
      <c r="AA448" s="63" t="n">
        <f aca="false">IFERROR((R448+S448+J448)/F448,0)</f>
        <v>1</v>
      </c>
      <c r="AB448" s="0" t="str">
        <f aca="false">A448&amp;"|"&amp;D448</f>
        <v>Congo|2016</v>
      </c>
    </row>
    <row r="449" customFormat="false" ht="15" hidden="false" customHeight="false" outlineLevel="0" collapsed="false">
      <c r="A449" s="0" t="s">
        <v>223</v>
      </c>
      <c r="B449" s="0" t="s">
        <v>461</v>
      </c>
      <c r="C449" s="0" t="s">
        <v>127</v>
      </c>
      <c r="D449" s="0" t="n">
        <v>2017</v>
      </c>
      <c r="E449" s="59" t="n">
        <v>5351013</v>
      </c>
      <c r="F449" s="60" t="n">
        <v>2.98</v>
      </c>
      <c r="G449" s="61" t="n">
        <v>0</v>
      </c>
      <c r="H449" s="61" t="n">
        <v>1.65</v>
      </c>
      <c r="I449" s="61" t="n">
        <v>0.11</v>
      </c>
      <c r="J449" s="61" t="n">
        <v>0</v>
      </c>
      <c r="K449" s="61" t="n">
        <v>1.19</v>
      </c>
      <c r="L449" s="61" t="n">
        <v>0</v>
      </c>
      <c r="M449" s="61" t="n">
        <v>0</v>
      </c>
      <c r="N449" s="61" t="n">
        <v>0.03</v>
      </c>
      <c r="O449" s="61" t="n">
        <v>0</v>
      </c>
      <c r="P449" s="62" t="n">
        <v>543.6</v>
      </c>
      <c r="Q449" s="0" t="n">
        <v>0</v>
      </c>
      <c r="R449" s="60" t="n">
        <f aca="false">G449+H449+I449</f>
        <v>1.76</v>
      </c>
      <c r="S449" s="60" t="n">
        <f aca="false">K449+L449+M449+N449+O449</f>
        <v>1.22</v>
      </c>
      <c r="T449" s="60" t="n">
        <f aca="false">L449+M449</f>
        <v>0</v>
      </c>
      <c r="U449" s="60" t="n">
        <f aca="false">S449+J449</f>
        <v>1.22</v>
      </c>
      <c r="V449" s="63" t="n">
        <f aca="false">IFERROR(S449/F449,0)</f>
        <v>0.409395973154362</v>
      </c>
      <c r="W449" s="63" t="n">
        <f aca="false">IFERROR(R449/F449,0)</f>
        <v>0.590604026845638</v>
      </c>
      <c r="X449" s="63" t="n">
        <f aca="false">IFERROR(T449/F449,0)</f>
        <v>0</v>
      </c>
      <c r="Y449" s="63" t="n">
        <f aca="false">IFERROR(G449/F449,0)</f>
        <v>0</v>
      </c>
      <c r="Z449" s="59" t="n">
        <f aca="false">IF(E449&gt;0,F449*1000000000/E449,"")</f>
        <v>556.903898383353</v>
      </c>
      <c r="AA449" s="63" t="n">
        <f aca="false">IFERROR((R449+S449+J449)/F449,0)</f>
        <v>1</v>
      </c>
      <c r="AB449" s="0" t="str">
        <f aca="false">A449&amp;"|"&amp;D449</f>
        <v>Congo|2017</v>
      </c>
    </row>
    <row r="450" customFormat="false" ht="15" hidden="false" customHeight="false" outlineLevel="0" collapsed="false">
      <c r="A450" s="0" t="s">
        <v>223</v>
      </c>
      <c r="B450" s="0" t="s">
        <v>461</v>
      </c>
      <c r="C450" s="0" t="s">
        <v>127</v>
      </c>
      <c r="D450" s="0" t="n">
        <v>2018</v>
      </c>
      <c r="E450" s="59" t="n">
        <v>5483128</v>
      </c>
      <c r="F450" s="60" t="n">
        <v>3.08</v>
      </c>
      <c r="G450" s="61" t="n">
        <v>0</v>
      </c>
      <c r="H450" s="61" t="n">
        <v>1.87</v>
      </c>
      <c r="I450" s="61" t="n">
        <v>0.13</v>
      </c>
      <c r="J450" s="61" t="n">
        <v>0</v>
      </c>
      <c r="K450" s="61" t="n">
        <v>1.05</v>
      </c>
      <c r="L450" s="61" t="n">
        <v>0</v>
      </c>
      <c r="M450" s="61" t="n">
        <v>0</v>
      </c>
      <c r="N450" s="61" t="n">
        <v>0.03</v>
      </c>
      <c r="O450" s="61" t="n">
        <v>0</v>
      </c>
      <c r="P450" s="62" t="n">
        <v>594.2</v>
      </c>
      <c r="Q450" s="0" t="n">
        <v>0</v>
      </c>
      <c r="R450" s="60" t="n">
        <f aca="false">G450+H450+I450</f>
        <v>2</v>
      </c>
      <c r="S450" s="60" t="n">
        <f aca="false">K450+L450+M450+N450+O450</f>
        <v>1.08</v>
      </c>
      <c r="T450" s="60" t="n">
        <f aca="false">L450+M450</f>
        <v>0</v>
      </c>
      <c r="U450" s="60" t="n">
        <f aca="false">S450+J450</f>
        <v>1.08</v>
      </c>
      <c r="V450" s="63" t="n">
        <f aca="false">IFERROR(S450/F450,0)</f>
        <v>0.350649350649351</v>
      </c>
      <c r="W450" s="63" t="n">
        <f aca="false">IFERROR(R450/F450,0)</f>
        <v>0.649350649350649</v>
      </c>
      <c r="X450" s="63" t="n">
        <f aca="false">IFERROR(T450/F450,0)</f>
        <v>0</v>
      </c>
      <c r="Y450" s="63" t="n">
        <f aca="false">IFERROR(G450/F450,0)</f>
        <v>0</v>
      </c>
      <c r="Z450" s="59" t="n">
        <f aca="false">IF(E450&gt;0,F450*1000000000/E450,"")</f>
        <v>561.723162399273</v>
      </c>
      <c r="AA450" s="63" t="n">
        <f aca="false">IFERROR((R450+S450+J450)/F450,0)</f>
        <v>1</v>
      </c>
      <c r="AB450" s="0" t="str">
        <f aca="false">A450&amp;"|"&amp;D450</f>
        <v>Congo|2018</v>
      </c>
    </row>
    <row r="451" customFormat="false" ht="15" hidden="false" customHeight="false" outlineLevel="0" collapsed="false">
      <c r="A451" s="0" t="s">
        <v>223</v>
      </c>
      <c r="B451" s="0" t="s">
        <v>461</v>
      </c>
      <c r="C451" s="0" t="s">
        <v>127</v>
      </c>
      <c r="D451" s="0" t="n">
        <v>2019</v>
      </c>
      <c r="E451" s="59" t="n">
        <v>5616656</v>
      </c>
      <c r="F451" s="60" t="n">
        <v>3.89</v>
      </c>
      <c r="G451" s="61" t="n">
        <v>0</v>
      </c>
      <c r="H451" s="61" t="n">
        <v>2.63</v>
      </c>
      <c r="I451" s="61" t="n">
        <v>0.18</v>
      </c>
      <c r="J451" s="61" t="n">
        <v>0</v>
      </c>
      <c r="K451" s="61" t="n">
        <v>1.05</v>
      </c>
      <c r="L451" s="61" t="n">
        <v>0</v>
      </c>
      <c r="M451" s="61" t="n">
        <v>0</v>
      </c>
      <c r="N451" s="61" t="n">
        <v>0.03</v>
      </c>
      <c r="O451" s="61" t="n">
        <v>0</v>
      </c>
      <c r="P451" s="62" t="n">
        <v>655.5</v>
      </c>
      <c r="Q451" s="0" t="n">
        <v>0</v>
      </c>
      <c r="R451" s="60" t="n">
        <f aca="false">G451+H451+I451</f>
        <v>2.81</v>
      </c>
      <c r="S451" s="60" t="n">
        <f aca="false">K451+L451+M451+N451+O451</f>
        <v>1.08</v>
      </c>
      <c r="T451" s="60" t="n">
        <f aca="false">L451+M451</f>
        <v>0</v>
      </c>
      <c r="U451" s="60" t="n">
        <f aca="false">S451+J451</f>
        <v>1.08</v>
      </c>
      <c r="V451" s="63" t="n">
        <f aca="false">IFERROR(S451/F451,0)</f>
        <v>0.277634961439589</v>
      </c>
      <c r="W451" s="63" t="n">
        <f aca="false">IFERROR(R451/F451,0)</f>
        <v>0.722365038560411</v>
      </c>
      <c r="X451" s="63" t="n">
        <f aca="false">IFERROR(T451/F451,0)</f>
        <v>0</v>
      </c>
      <c r="Y451" s="63" t="n">
        <f aca="false">IFERROR(G451/F451,0)</f>
        <v>0</v>
      </c>
      <c r="Z451" s="59" t="n">
        <f aca="false">IF(E451&gt;0,F451*1000000000/E451,"")</f>
        <v>692.582917664888</v>
      </c>
      <c r="AA451" s="63" t="n">
        <f aca="false">IFERROR((R451+S451+J451)/F451,0)</f>
        <v>1</v>
      </c>
      <c r="AB451" s="0" t="str">
        <f aca="false">A451&amp;"|"&amp;D451</f>
        <v>Congo|2019</v>
      </c>
    </row>
    <row r="452" customFormat="false" ht="15" hidden="false" customHeight="false" outlineLevel="0" collapsed="false">
      <c r="A452" s="0" t="s">
        <v>223</v>
      </c>
      <c r="B452" s="0" t="s">
        <v>461</v>
      </c>
      <c r="C452" s="0" t="s">
        <v>127</v>
      </c>
      <c r="D452" s="0" t="n">
        <v>2020</v>
      </c>
      <c r="E452" s="59" t="n">
        <v>5752792</v>
      </c>
      <c r="F452" s="60" t="n">
        <v>4.01</v>
      </c>
      <c r="G452" s="61" t="n">
        <v>0</v>
      </c>
      <c r="H452" s="61" t="n">
        <v>2.74</v>
      </c>
      <c r="I452" s="61" t="n">
        <v>0.19</v>
      </c>
      <c r="J452" s="61" t="n">
        <v>0</v>
      </c>
      <c r="K452" s="61" t="n">
        <v>1.05</v>
      </c>
      <c r="L452" s="61" t="n">
        <v>0</v>
      </c>
      <c r="M452" s="61" t="n">
        <v>0</v>
      </c>
      <c r="N452" s="61" t="n">
        <v>0.03</v>
      </c>
      <c r="O452" s="61" t="n">
        <v>0</v>
      </c>
      <c r="P452" s="62" t="n">
        <v>663.3</v>
      </c>
      <c r="Q452" s="0" t="n">
        <v>0</v>
      </c>
      <c r="R452" s="60" t="n">
        <f aca="false">G452+H452+I452</f>
        <v>2.93</v>
      </c>
      <c r="S452" s="60" t="n">
        <f aca="false">K452+L452+M452+N452+O452</f>
        <v>1.08</v>
      </c>
      <c r="T452" s="60" t="n">
        <f aca="false">L452+M452</f>
        <v>0</v>
      </c>
      <c r="U452" s="60" t="n">
        <f aca="false">S452+J452</f>
        <v>1.08</v>
      </c>
      <c r="V452" s="63" t="n">
        <f aca="false">IFERROR(S452/F452,0)</f>
        <v>0.269326683291771</v>
      </c>
      <c r="W452" s="63" t="n">
        <f aca="false">IFERROR(R452/F452,0)</f>
        <v>0.73067331670823</v>
      </c>
      <c r="X452" s="63" t="n">
        <f aca="false">IFERROR(T452/F452,0)</f>
        <v>0</v>
      </c>
      <c r="Y452" s="63" t="n">
        <f aca="false">IFERROR(G452/F452,0)</f>
        <v>0</v>
      </c>
      <c r="Z452" s="59" t="n">
        <f aca="false">IF(E452&gt;0,F452*1000000000/E452,"")</f>
        <v>697.052839734167</v>
      </c>
      <c r="AA452" s="63" t="n">
        <f aca="false">IFERROR((R452+S452+J452)/F452,0)</f>
        <v>1</v>
      </c>
      <c r="AB452" s="0" t="str">
        <f aca="false">A452&amp;"|"&amp;D452</f>
        <v>Congo|2020</v>
      </c>
    </row>
    <row r="453" customFormat="false" ht="15" hidden="false" customHeight="false" outlineLevel="0" collapsed="false">
      <c r="A453" s="0" t="s">
        <v>223</v>
      </c>
      <c r="B453" s="0" t="s">
        <v>461</v>
      </c>
      <c r="C453" s="0" t="s">
        <v>127</v>
      </c>
      <c r="D453" s="0" t="n">
        <v>2021</v>
      </c>
      <c r="E453" s="59" t="n">
        <v>5892187</v>
      </c>
      <c r="F453" s="60" t="n">
        <v>4.11</v>
      </c>
      <c r="G453" s="61" t="n">
        <v>0</v>
      </c>
      <c r="H453" s="61" t="n">
        <v>2.83</v>
      </c>
      <c r="I453" s="61" t="n">
        <v>0.2</v>
      </c>
      <c r="J453" s="61" t="n">
        <v>0</v>
      </c>
      <c r="K453" s="61" t="n">
        <v>1.05</v>
      </c>
      <c r="L453" s="61" t="n">
        <v>0</v>
      </c>
      <c r="M453" s="61" t="n">
        <v>0</v>
      </c>
      <c r="N453" s="61" t="n">
        <v>0.03</v>
      </c>
      <c r="O453" s="61" t="n">
        <v>0</v>
      </c>
      <c r="P453" s="62" t="n">
        <v>669.1</v>
      </c>
      <c r="Q453" s="0" t="n">
        <v>0</v>
      </c>
      <c r="R453" s="60" t="n">
        <f aca="false">G453+H453+I453</f>
        <v>3.03</v>
      </c>
      <c r="S453" s="60" t="n">
        <f aca="false">K453+L453+M453+N453+O453</f>
        <v>1.08</v>
      </c>
      <c r="T453" s="60" t="n">
        <f aca="false">L453+M453</f>
        <v>0</v>
      </c>
      <c r="U453" s="60" t="n">
        <f aca="false">S453+J453</f>
        <v>1.08</v>
      </c>
      <c r="V453" s="63" t="n">
        <f aca="false">IFERROR(S453/F453,0)</f>
        <v>0.262773722627737</v>
      </c>
      <c r="W453" s="63" t="n">
        <f aca="false">IFERROR(R453/F453,0)</f>
        <v>0.737226277372263</v>
      </c>
      <c r="X453" s="63" t="n">
        <f aca="false">IFERROR(T453/F453,0)</f>
        <v>0</v>
      </c>
      <c r="Y453" s="63" t="n">
        <f aca="false">IFERROR(G453/F453,0)</f>
        <v>0</v>
      </c>
      <c r="Z453" s="59" t="n">
        <f aca="false">IF(E453&gt;0,F453*1000000000/E453,"")</f>
        <v>697.533869851721</v>
      </c>
      <c r="AA453" s="63" t="n">
        <f aca="false">IFERROR((R453+S453+J453)/F453,0)</f>
        <v>1</v>
      </c>
      <c r="AB453" s="0" t="str">
        <f aca="false">A453&amp;"|"&amp;D453</f>
        <v>Congo|2021</v>
      </c>
    </row>
    <row r="454" customFormat="false" ht="15" hidden="false" customHeight="false" outlineLevel="0" collapsed="false">
      <c r="A454" s="0" t="s">
        <v>223</v>
      </c>
      <c r="B454" s="0" t="s">
        <v>461</v>
      </c>
      <c r="C454" s="0" t="s">
        <v>127</v>
      </c>
      <c r="D454" s="0" t="n">
        <v>2022</v>
      </c>
      <c r="E454" s="59" t="n">
        <v>6035104</v>
      </c>
      <c r="F454" s="60" t="n">
        <v>4.95</v>
      </c>
      <c r="G454" s="61" t="n">
        <v>0</v>
      </c>
      <c r="H454" s="61" t="n">
        <v>3.6</v>
      </c>
      <c r="I454" s="61" t="n">
        <v>0.27</v>
      </c>
      <c r="J454" s="61" t="n">
        <v>0</v>
      </c>
      <c r="K454" s="61" t="n">
        <v>1.05</v>
      </c>
      <c r="L454" s="61" t="n">
        <v>0</v>
      </c>
      <c r="M454" s="61" t="n">
        <v>0</v>
      </c>
      <c r="N454" s="61" t="n">
        <v>0.03</v>
      </c>
      <c r="O454" s="61" t="n">
        <v>0</v>
      </c>
      <c r="P454" s="62" t="n">
        <v>707.1</v>
      </c>
      <c r="Q454" s="0" t="n">
        <v>0</v>
      </c>
      <c r="R454" s="60" t="n">
        <f aca="false">G454+H454+I454</f>
        <v>3.87</v>
      </c>
      <c r="S454" s="60" t="n">
        <f aca="false">K454+L454+M454+N454+O454</f>
        <v>1.08</v>
      </c>
      <c r="T454" s="60" t="n">
        <f aca="false">L454+M454</f>
        <v>0</v>
      </c>
      <c r="U454" s="60" t="n">
        <f aca="false">S454+J454</f>
        <v>1.08</v>
      </c>
      <c r="V454" s="63" t="n">
        <f aca="false">IFERROR(S454/F454,0)</f>
        <v>0.218181818181818</v>
      </c>
      <c r="W454" s="63" t="n">
        <f aca="false">IFERROR(R454/F454,0)</f>
        <v>0.781818181818182</v>
      </c>
      <c r="X454" s="63" t="n">
        <f aca="false">IFERROR(T454/F454,0)</f>
        <v>0</v>
      </c>
      <c r="Y454" s="63" t="n">
        <f aca="false">IFERROR(G454/F454,0)</f>
        <v>0</v>
      </c>
      <c r="Z454" s="59" t="n">
        <f aca="false">IF(E454&gt;0,F454*1000000000/E454,"")</f>
        <v>820.201275736093</v>
      </c>
      <c r="AA454" s="63" t="n">
        <f aca="false">IFERROR((R454+S454+J454)/F454,0)</f>
        <v>1</v>
      </c>
      <c r="AB454" s="0" t="str">
        <f aca="false">A454&amp;"|"&amp;D454</f>
        <v>Congo|2022</v>
      </c>
    </row>
    <row r="455" customFormat="false" ht="15" hidden="false" customHeight="false" outlineLevel="0" collapsed="false">
      <c r="A455" s="0" t="s">
        <v>223</v>
      </c>
      <c r="B455" s="0" t="s">
        <v>461</v>
      </c>
      <c r="C455" s="0" t="s">
        <v>127</v>
      </c>
      <c r="D455" s="0" t="n">
        <v>2023</v>
      </c>
      <c r="E455" s="59" t="n">
        <v>6182890</v>
      </c>
      <c r="F455" s="60" t="n">
        <v>5.36</v>
      </c>
      <c r="G455" s="61" t="n">
        <v>0</v>
      </c>
      <c r="H455" s="61" t="n">
        <v>3.81</v>
      </c>
      <c r="I455" s="61" t="n">
        <v>0.29</v>
      </c>
      <c r="J455" s="61" t="n">
        <v>0</v>
      </c>
      <c r="K455" s="61" t="n">
        <v>1.22</v>
      </c>
      <c r="L455" s="61" t="n">
        <v>0.01</v>
      </c>
      <c r="M455" s="61" t="n">
        <v>0</v>
      </c>
      <c r="N455" s="61" t="n">
        <v>0.03</v>
      </c>
      <c r="O455" s="61" t="n">
        <v>0</v>
      </c>
      <c r="P455" s="62" t="n">
        <v>692.2</v>
      </c>
      <c r="Q455" s="0" t="n">
        <v>0</v>
      </c>
      <c r="R455" s="60" t="n">
        <f aca="false">G455+H455+I455</f>
        <v>4.1</v>
      </c>
      <c r="S455" s="60" t="n">
        <f aca="false">K455+L455+M455+N455+O455</f>
        <v>1.26</v>
      </c>
      <c r="T455" s="60" t="n">
        <f aca="false">L455+M455</f>
        <v>0.01</v>
      </c>
      <c r="U455" s="60" t="n">
        <f aca="false">S455+J455</f>
        <v>1.26</v>
      </c>
      <c r="V455" s="63" t="n">
        <f aca="false">IFERROR(S455/F455,0)</f>
        <v>0.235074626865672</v>
      </c>
      <c r="W455" s="63" t="n">
        <f aca="false">IFERROR(R455/F455,0)</f>
        <v>0.764925373134328</v>
      </c>
      <c r="X455" s="63" t="n">
        <f aca="false">IFERROR(T455/F455,0)</f>
        <v>0.00186567164179104</v>
      </c>
      <c r="Y455" s="63" t="n">
        <f aca="false">IFERROR(G455/F455,0)</f>
        <v>0</v>
      </c>
      <c r="Z455" s="59" t="n">
        <f aca="false">IF(E455&gt;0,F455*1000000000/E455,"")</f>
        <v>866.908516890969</v>
      </c>
      <c r="AA455" s="63" t="n">
        <f aca="false">IFERROR((R455+S455+J455)/F455,0)</f>
        <v>1</v>
      </c>
      <c r="AB455" s="0" t="str">
        <f aca="false">A455&amp;"|"&amp;D455</f>
        <v>Congo|2023</v>
      </c>
    </row>
    <row r="456" customFormat="false" ht="15" hidden="false" customHeight="false" outlineLevel="0" collapsed="false">
      <c r="A456" s="0" t="s">
        <v>223</v>
      </c>
      <c r="B456" s="0" t="s">
        <v>461</v>
      </c>
      <c r="C456" s="0" t="s">
        <v>127</v>
      </c>
      <c r="D456" s="0" t="n">
        <v>2024</v>
      </c>
      <c r="E456" s="59" t="n">
        <v>6332969</v>
      </c>
      <c r="F456" s="60" t="n">
        <v>5.46</v>
      </c>
      <c r="G456" s="61" t="n">
        <v>0</v>
      </c>
      <c r="H456" s="61" t="n">
        <v>4.03</v>
      </c>
      <c r="I456" s="61" t="n">
        <v>0.29</v>
      </c>
      <c r="J456" s="61" t="n">
        <v>0</v>
      </c>
      <c r="K456" s="61" t="n">
        <v>1.1</v>
      </c>
      <c r="L456" s="61" t="n">
        <v>0.01</v>
      </c>
      <c r="M456" s="61" t="n">
        <v>0</v>
      </c>
      <c r="N456" s="61" t="n">
        <v>0.03</v>
      </c>
      <c r="O456" s="61" t="n">
        <v>0</v>
      </c>
      <c r="P456" s="62" t="n">
        <v>716.1</v>
      </c>
      <c r="Q456" s="0" t="n">
        <v>0</v>
      </c>
      <c r="R456" s="60" t="n">
        <f aca="false">G456+H456+I456</f>
        <v>4.32</v>
      </c>
      <c r="S456" s="60" t="n">
        <f aca="false">K456+L456+M456+N456+O456</f>
        <v>1.14</v>
      </c>
      <c r="T456" s="60" t="n">
        <f aca="false">L456+M456</f>
        <v>0.01</v>
      </c>
      <c r="U456" s="60" t="n">
        <f aca="false">S456+J456</f>
        <v>1.14</v>
      </c>
      <c r="V456" s="63" t="n">
        <f aca="false">IFERROR(S456/F456,0)</f>
        <v>0.208791208791209</v>
      </c>
      <c r="W456" s="63" t="n">
        <f aca="false">IFERROR(R456/F456,0)</f>
        <v>0.791208791208791</v>
      </c>
      <c r="X456" s="63" t="n">
        <f aca="false">IFERROR(T456/F456,0)</f>
        <v>0.00183150183150183</v>
      </c>
      <c r="Y456" s="63" t="n">
        <f aca="false">IFERROR(G456/F456,0)</f>
        <v>0</v>
      </c>
      <c r="Z456" s="59" t="n">
        <f aca="false">IF(E456&gt;0,F456*1000000000/E456,"")</f>
        <v>862.154859750616</v>
      </c>
      <c r="AA456" s="63" t="n">
        <f aca="false">IFERROR((R456+S456+J456)/F456,0)</f>
        <v>1</v>
      </c>
      <c r="AB456" s="0" t="str">
        <f aca="false">A456&amp;"|"&amp;D456</f>
        <v>Congo|2024</v>
      </c>
    </row>
    <row r="457" customFormat="false" ht="15" hidden="false" customHeight="false" outlineLevel="0" collapsed="false">
      <c r="A457" s="0" t="s">
        <v>224</v>
      </c>
      <c r="B457" s="0" t="s">
        <v>462</v>
      </c>
      <c r="C457" s="0" t="s">
        <v>127</v>
      </c>
      <c r="D457" s="0" t="n">
        <v>2015</v>
      </c>
      <c r="E457" s="59" t="n">
        <v>17471</v>
      </c>
      <c r="F457" s="60" t="n">
        <v>0.03</v>
      </c>
      <c r="G457" s="61" t="n">
        <v>0</v>
      </c>
      <c r="H457" s="61" t="n">
        <v>0</v>
      </c>
      <c r="I457" s="61" t="n">
        <v>0.03</v>
      </c>
      <c r="J457" s="61" t="n">
        <v>0</v>
      </c>
      <c r="K457" s="61" t="n">
        <v>0</v>
      </c>
      <c r="L457" s="61" t="n">
        <v>0</v>
      </c>
      <c r="M457" s="61" t="n">
        <v>0</v>
      </c>
      <c r="N457" s="61" t="n">
        <v>0</v>
      </c>
      <c r="O457" s="61" t="n">
        <v>0</v>
      </c>
      <c r="P457" s="62" t="n">
        <v>666.7</v>
      </c>
      <c r="Q457" s="0" t="n">
        <v>0</v>
      </c>
      <c r="R457" s="60" t="n">
        <f aca="false">G457+H457+I457</f>
        <v>0.03</v>
      </c>
      <c r="S457" s="60" t="n">
        <f aca="false">K457+L457+M457+N457+O457</f>
        <v>0</v>
      </c>
      <c r="T457" s="60" t="n">
        <f aca="false">L457+M457</f>
        <v>0</v>
      </c>
      <c r="U457" s="60" t="n">
        <f aca="false">S457+J457</f>
        <v>0</v>
      </c>
      <c r="V457" s="63" t="n">
        <f aca="false">IFERROR(S457/F457,0)</f>
        <v>0</v>
      </c>
      <c r="W457" s="63" t="n">
        <f aca="false">IFERROR(R457/F457,0)</f>
        <v>1</v>
      </c>
      <c r="X457" s="63" t="n">
        <f aca="false">IFERROR(T457/F457,0)</f>
        <v>0</v>
      </c>
      <c r="Y457" s="63" t="n">
        <f aca="false">IFERROR(G457/F457,0)</f>
        <v>0</v>
      </c>
      <c r="Z457" s="59" t="n">
        <f aca="false">IF(E457&gt;0,F457*1000000000/E457,"")</f>
        <v>1717.13124606491</v>
      </c>
      <c r="AA457" s="63" t="n">
        <f aca="false">IFERROR((R457+S457+J457)/F457,0)</f>
        <v>1</v>
      </c>
      <c r="AB457" s="0" t="str">
        <f aca="false">A457&amp;"|"&amp;D457</f>
        <v>Cook Islands|2015</v>
      </c>
    </row>
    <row r="458" customFormat="false" ht="15" hidden="false" customHeight="false" outlineLevel="0" collapsed="false">
      <c r="A458" s="0" t="s">
        <v>224</v>
      </c>
      <c r="B458" s="0" t="s">
        <v>462</v>
      </c>
      <c r="C458" s="0" t="s">
        <v>127</v>
      </c>
      <c r="D458" s="0" t="n">
        <v>2016</v>
      </c>
      <c r="E458" s="59" t="n">
        <v>17360</v>
      </c>
      <c r="F458" s="60" t="n">
        <v>0.03</v>
      </c>
      <c r="G458" s="61" t="n">
        <v>0</v>
      </c>
      <c r="H458" s="61" t="n">
        <v>0</v>
      </c>
      <c r="I458" s="61" t="n">
        <v>0.03</v>
      </c>
      <c r="J458" s="61" t="n">
        <v>0</v>
      </c>
      <c r="K458" s="61" t="n">
        <v>0</v>
      </c>
      <c r="L458" s="61" t="n">
        <v>0</v>
      </c>
      <c r="M458" s="61" t="n">
        <v>0</v>
      </c>
      <c r="N458" s="61" t="n">
        <v>0</v>
      </c>
      <c r="O458" s="61" t="n">
        <v>0</v>
      </c>
      <c r="P458" s="62" t="n">
        <v>666.7</v>
      </c>
      <c r="Q458" s="0" t="n">
        <v>0</v>
      </c>
      <c r="R458" s="60" t="n">
        <f aca="false">G458+H458+I458</f>
        <v>0.03</v>
      </c>
      <c r="S458" s="60" t="n">
        <f aca="false">K458+L458+M458+N458+O458</f>
        <v>0</v>
      </c>
      <c r="T458" s="60" t="n">
        <f aca="false">L458+M458</f>
        <v>0</v>
      </c>
      <c r="U458" s="60" t="n">
        <f aca="false">S458+J458</f>
        <v>0</v>
      </c>
      <c r="V458" s="63" t="n">
        <f aca="false">IFERROR(S458/F458,0)</f>
        <v>0</v>
      </c>
      <c r="W458" s="63" t="n">
        <f aca="false">IFERROR(R458/F458,0)</f>
        <v>1</v>
      </c>
      <c r="X458" s="63" t="n">
        <f aca="false">IFERROR(T458/F458,0)</f>
        <v>0</v>
      </c>
      <c r="Y458" s="63" t="n">
        <f aca="false">IFERROR(G458/F458,0)</f>
        <v>0</v>
      </c>
      <c r="Z458" s="59" t="n">
        <f aca="false">IF(E458&gt;0,F458*1000000000/E458,"")</f>
        <v>1728.11059907834</v>
      </c>
      <c r="AA458" s="63" t="n">
        <f aca="false">IFERROR((R458+S458+J458)/F458,0)</f>
        <v>1</v>
      </c>
      <c r="AB458" s="0" t="str">
        <f aca="false">A458&amp;"|"&amp;D458</f>
        <v>Cook Islands|2016</v>
      </c>
    </row>
    <row r="459" customFormat="false" ht="15" hidden="false" customHeight="false" outlineLevel="0" collapsed="false">
      <c r="A459" s="0" t="s">
        <v>224</v>
      </c>
      <c r="B459" s="0" t="s">
        <v>462</v>
      </c>
      <c r="C459" s="0" t="s">
        <v>127</v>
      </c>
      <c r="D459" s="0" t="n">
        <v>2017</v>
      </c>
      <c r="E459" s="59" t="n">
        <v>17066</v>
      </c>
      <c r="F459" s="60" t="n">
        <v>0.04</v>
      </c>
      <c r="G459" s="61" t="n">
        <v>0</v>
      </c>
      <c r="H459" s="61" t="n">
        <v>0</v>
      </c>
      <c r="I459" s="61" t="n">
        <v>0.03</v>
      </c>
      <c r="J459" s="61" t="n">
        <v>0</v>
      </c>
      <c r="K459" s="61" t="n">
        <v>0</v>
      </c>
      <c r="L459" s="61" t="n">
        <v>0.01</v>
      </c>
      <c r="M459" s="61" t="n">
        <v>0</v>
      </c>
      <c r="N459" s="61" t="n">
        <v>0</v>
      </c>
      <c r="O459" s="61" t="n">
        <v>0</v>
      </c>
      <c r="P459" s="62" t="n">
        <v>500</v>
      </c>
      <c r="Q459" s="0" t="n">
        <v>0</v>
      </c>
      <c r="R459" s="60" t="n">
        <f aca="false">G459+H459+I459</f>
        <v>0.03</v>
      </c>
      <c r="S459" s="60" t="n">
        <f aca="false">K459+L459+M459+N459+O459</f>
        <v>0.01</v>
      </c>
      <c r="T459" s="60" t="n">
        <f aca="false">L459+M459</f>
        <v>0.01</v>
      </c>
      <c r="U459" s="60" t="n">
        <f aca="false">S459+J459</f>
        <v>0.01</v>
      </c>
      <c r="V459" s="63" t="n">
        <f aca="false">IFERROR(S459/F459,0)</f>
        <v>0.25</v>
      </c>
      <c r="W459" s="63" t="n">
        <f aca="false">IFERROR(R459/F459,0)</f>
        <v>0.75</v>
      </c>
      <c r="X459" s="63" t="n">
        <f aca="false">IFERROR(T459/F459,0)</f>
        <v>0.25</v>
      </c>
      <c r="Y459" s="63" t="n">
        <f aca="false">IFERROR(G459/F459,0)</f>
        <v>0</v>
      </c>
      <c r="Z459" s="59" t="n">
        <f aca="false">IF(E459&gt;0,F459*1000000000/E459,"")</f>
        <v>2343.84155631079</v>
      </c>
      <c r="AA459" s="63" t="n">
        <f aca="false">IFERROR((R459+S459+J459)/F459,0)</f>
        <v>1</v>
      </c>
      <c r="AB459" s="0" t="str">
        <f aca="false">A459&amp;"|"&amp;D459</f>
        <v>Cook Islands|2017</v>
      </c>
    </row>
    <row r="460" customFormat="false" ht="15" hidden="false" customHeight="false" outlineLevel="0" collapsed="false">
      <c r="A460" s="0" t="s">
        <v>224</v>
      </c>
      <c r="B460" s="0" t="s">
        <v>462</v>
      </c>
      <c r="C460" s="0" t="s">
        <v>127</v>
      </c>
      <c r="D460" s="0" t="n">
        <v>2018</v>
      </c>
      <c r="E460" s="59" t="n">
        <v>16623</v>
      </c>
      <c r="F460" s="60" t="n">
        <v>0.05</v>
      </c>
      <c r="G460" s="61" t="n">
        <v>0</v>
      </c>
      <c r="H460" s="61" t="n">
        <v>0</v>
      </c>
      <c r="I460" s="61" t="n">
        <v>0.03</v>
      </c>
      <c r="J460" s="61" t="n">
        <v>0</v>
      </c>
      <c r="K460" s="61" t="n">
        <v>0</v>
      </c>
      <c r="L460" s="61" t="n">
        <v>0.02</v>
      </c>
      <c r="M460" s="61" t="n">
        <v>0</v>
      </c>
      <c r="N460" s="61" t="n">
        <v>0</v>
      </c>
      <c r="O460" s="61" t="n">
        <v>0</v>
      </c>
      <c r="P460" s="62" t="n">
        <v>400</v>
      </c>
      <c r="Q460" s="0" t="n">
        <v>0</v>
      </c>
      <c r="R460" s="60" t="n">
        <f aca="false">G460+H460+I460</f>
        <v>0.03</v>
      </c>
      <c r="S460" s="60" t="n">
        <f aca="false">K460+L460+M460+N460+O460</f>
        <v>0.02</v>
      </c>
      <c r="T460" s="60" t="n">
        <f aca="false">L460+M460</f>
        <v>0.02</v>
      </c>
      <c r="U460" s="60" t="n">
        <f aca="false">S460+J460</f>
        <v>0.02</v>
      </c>
      <c r="V460" s="63" t="n">
        <f aca="false">IFERROR(S460/F460,0)</f>
        <v>0.4</v>
      </c>
      <c r="W460" s="63" t="n">
        <f aca="false">IFERROR(R460/F460,0)</f>
        <v>0.6</v>
      </c>
      <c r="X460" s="63" t="n">
        <f aca="false">IFERROR(T460/F460,0)</f>
        <v>0.4</v>
      </c>
      <c r="Y460" s="63" t="n">
        <f aca="false">IFERROR(G460/F460,0)</f>
        <v>0</v>
      </c>
      <c r="Z460" s="59" t="n">
        <f aca="false">IF(E460&gt;0,F460*1000000000/E460,"")</f>
        <v>3007.88064729592</v>
      </c>
      <c r="AA460" s="63" t="n">
        <f aca="false">IFERROR((R460+S460+J460)/F460,0)</f>
        <v>1</v>
      </c>
      <c r="AB460" s="0" t="str">
        <f aca="false">A460&amp;"|"&amp;D460</f>
        <v>Cook Islands|2018</v>
      </c>
    </row>
    <row r="461" customFormat="false" ht="15" hidden="false" customHeight="false" outlineLevel="0" collapsed="false">
      <c r="A461" s="0" t="s">
        <v>224</v>
      </c>
      <c r="B461" s="0" t="s">
        <v>462</v>
      </c>
      <c r="C461" s="0" t="s">
        <v>127</v>
      </c>
      <c r="D461" s="0" t="n">
        <v>2019</v>
      </c>
      <c r="E461" s="59" t="n">
        <v>16151</v>
      </c>
      <c r="F461" s="60" t="n">
        <v>0.04</v>
      </c>
      <c r="G461" s="61" t="n">
        <v>0</v>
      </c>
      <c r="H461" s="61" t="n">
        <v>0</v>
      </c>
      <c r="I461" s="61" t="n">
        <v>0.03</v>
      </c>
      <c r="J461" s="61" t="n">
        <v>0</v>
      </c>
      <c r="K461" s="61" t="n">
        <v>0</v>
      </c>
      <c r="L461" s="61" t="n">
        <v>0.01</v>
      </c>
      <c r="M461" s="61" t="n">
        <v>0</v>
      </c>
      <c r="N461" s="61" t="n">
        <v>0</v>
      </c>
      <c r="O461" s="61" t="n">
        <v>0</v>
      </c>
      <c r="P461" s="62" t="n">
        <v>500</v>
      </c>
      <c r="Q461" s="0" t="n">
        <v>0</v>
      </c>
      <c r="R461" s="60" t="n">
        <f aca="false">G461+H461+I461</f>
        <v>0.03</v>
      </c>
      <c r="S461" s="60" t="n">
        <f aca="false">K461+L461+M461+N461+O461</f>
        <v>0.01</v>
      </c>
      <c r="T461" s="60" t="n">
        <f aca="false">L461+M461</f>
        <v>0.01</v>
      </c>
      <c r="U461" s="60" t="n">
        <f aca="false">S461+J461</f>
        <v>0.01</v>
      </c>
      <c r="V461" s="63" t="n">
        <f aca="false">IFERROR(S461/F461,0)</f>
        <v>0.25</v>
      </c>
      <c r="W461" s="63" t="n">
        <f aca="false">IFERROR(R461/F461,0)</f>
        <v>0.75</v>
      </c>
      <c r="X461" s="63" t="n">
        <f aca="false">IFERROR(T461/F461,0)</f>
        <v>0.25</v>
      </c>
      <c r="Y461" s="63" t="n">
        <f aca="false">IFERROR(G461/F461,0)</f>
        <v>0</v>
      </c>
      <c r="Z461" s="59" t="n">
        <f aca="false">IF(E461&gt;0,F461*1000000000/E461,"")</f>
        <v>2476.62683425175</v>
      </c>
      <c r="AA461" s="63" t="n">
        <f aca="false">IFERROR((R461+S461+J461)/F461,0)</f>
        <v>1</v>
      </c>
      <c r="AB461" s="0" t="str">
        <f aca="false">A461&amp;"|"&amp;D461</f>
        <v>Cook Islands|2019</v>
      </c>
    </row>
    <row r="462" customFormat="false" ht="15" hidden="false" customHeight="false" outlineLevel="0" collapsed="false">
      <c r="A462" s="0" t="s">
        <v>224</v>
      </c>
      <c r="B462" s="0" t="s">
        <v>462</v>
      </c>
      <c r="C462" s="0" t="s">
        <v>127</v>
      </c>
      <c r="D462" s="0" t="n">
        <v>2020</v>
      </c>
      <c r="E462" s="59" t="n">
        <v>15664</v>
      </c>
      <c r="F462" s="60" t="n">
        <v>0.04</v>
      </c>
      <c r="G462" s="61" t="n">
        <v>0</v>
      </c>
      <c r="H462" s="61" t="n">
        <v>0</v>
      </c>
      <c r="I462" s="61" t="n">
        <v>0.03</v>
      </c>
      <c r="J462" s="61" t="n">
        <v>0</v>
      </c>
      <c r="K462" s="61" t="n">
        <v>0</v>
      </c>
      <c r="L462" s="61" t="n">
        <v>0.01</v>
      </c>
      <c r="M462" s="61" t="n">
        <v>0</v>
      </c>
      <c r="N462" s="61" t="n">
        <v>0</v>
      </c>
      <c r="O462" s="61" t="n">
        <v>0</v>
      </c>
      <c r="P462" s="62" t="n">
        <v>500</v>
      </c>
      <c r="Q462" s="0" t="n">
        <v>0</v>
      </c>
      <c r="R462" s="60" t="n">
        <f aca="false">G462+H462+I462</f>
        <v>0.03</v>
      </c>
      <c r="S462" s="60" t="n">
        <f aca="false">K462+L462+M462+N462+O462</f>
        <v>0.01</v>
      </c>
      <c r="T462" s="60" t="n">
        <f aca="false">L462+M462</f>
        <v>0.01</v>
      </c>
      <c r="U462" s="60" t="n">
        <f aca="false">S462+J462</f>
        <v>0.01</v>
      </c>
      <c r="V462" s="63" t="n">
        <f aca="false">IFERROR(S462/F462,0)</f>
        <v>0.25</v>
      </c>
      <c r="W462" s="63" t="n">
        <f aca="false">IFERROR(R462/F462,0)</f>
        <v>0.75</v>
      </c>
      <c r="X462" s="63" t="n">
        <f aca="false">IFERROR(T462/F462,0)</f>
        <v>0.25</v>
      </c>
      <c r="Y462" s="63" t="n">
        <f aca="false">IFERROR(G462/F462,0)</f>
        <v>0</v>
      </c>
      <c r="Z462" s="59" t="n">
        <f aca="false">IF(E462&gt;0,F462*1000000000/E462,"")</f>
        <v>2553.62614913177</v>
      </c>
      <c r="AA462" s="63" t="n">
        <f aca="false">IFERROR((R462+S462+J462)/F462,0)</f>
        <v>1</v>
      </c>
      <c r="AB462" s="0" t="str">
        <f aca="false">A462&amp;"|"&amp;D462</f>
        <v>Cook Islands|2020</v>
      </c>
    </row>
    <row r="463" customFormat="false" ht="15" hidden="false" customHeight="false" outlineLevel="0" collapsed="false">
      <c r="A463" s="0" t="s">
        <v>224</v>
      </c>
      <c r="B463" s="0" t="s">
        <v>462</v>
      </c>
      <c r="C463" s="0" t="s">
        <v>127</v>
      </c>
      <c r="D463" s="0" t="n">
        <v>2021</v>
      </c>
      <c r="E463" s="59" t="n">
        <v>15205</v>
      </c>
      <c r="F463" s="60" t="n">
        <v>0.04</v>
      </c>
      <c r="G463" s="61" t="n">
        <v>0</v>
      </c>
      <c r="H463" s="61" t="n">
        <v>0</v>
      </c>
      <c r="I463" s="61" t="n">
        <v>0.02</v>
      </c>
      <c r="J463" s="61" t="n">
        <v>0</v>
      </c>
      <c r="K463" s="61" t="n">
        <v>0</v>
      </c>
      <c r="L463" s="61" t="n">
        <v>0.02</v>
      </c>
      <c r="M463" s="61" t="n">
        <v>0</v>
      </c>
      <c r="N463" s="61" t="n">
        <v>0</v>
      </c>
      <c r="O463" s="61" t="n">
        <v>0</v>
      </c>
      <c r="P463" s="62" t="n">
        <v>250</v>
      </c>
      <c r="Q463" s="0" t="n">
        <v>0</v>
      </c>
      <c r="R463" s="60" t="n">
        <f aca="false">G463+H463+I463</f>
        <v>0.02</v>
      </c>
      <c r="S463" s="60" t="n">
        <f aca="false">K463+L463+M463+N463+O463</f>
        <v>0.02</v>
      </c>
      <c r="T463" s="60" t="n">
        <f aca="false">L463+M463</f>
        <v>0.02</v>
      </c>
      <c r="U463" s="60" t="n">
        <f aca="false">S463+J463</f>
        <v>0.02</v>
      </c>
      <c r="V463" s="63" t="n">
        <f aca="false">IFERROR(S463/F463,0)</f>
        <v>0.5</v>
      </c>
      <c r="W463" s="63" t="n">
        <f aca="false">IFERROR(R463/F463,0)</f>
        <v>0.5</v>
      </c>
      <c r="X463" s="63" t="n">
        <f aca="false">IFERROR(T463/F463,0)</f>
        <v>0.5</v>
      </c>
      <c r="Y463" s="63" t="n">
        <f aca="false">IFERROR(G463/F463,0)</f>
        <v>0</v>
      </c>
      <c r="Z463" s="59" t="n">
        <f aca="false">IF(E463&gt;0,F463*1000000000/E463,"")</f>
        <v>2630.71358105886</v>
      </c>
      <c r="AA463" s="63" t="n">
        <f aca="false">IFERROR((R463+S463+J463)/F463,0)</f>
        <v>1</v>
      </c>
      <c r="AB463" s="0" t="str">
        <f aca="false">A463&amp;"|"&amp;D463</f>
        <v>Cook Islands|2021</v>
      </c>
    </row>
    <row r="464" customFormat="false" ht="15" hidden="false" customHeight="false" outlineLevel="0" collapsed="false">
      <c r="A464" s="0" t="s">
        <v>224</v>
      </c>
      <c r="B464" s="0" t="s">
        <v>462</v>
      </c>
      <c r="C464" s="0" t="s">
        <v>127</v>
      </c>
      <c r="D464" s="0" t="n">
        <v>2022</v>
      </c>
      <c r="E464" s="59" t="n">
        <v>14747</v>
      </c>
      <c r="F464" s="60" t="n">
        <v>0.04</v>
      </c>
      <c r="G464" s="61" t="n">
        <v>0</v>
      </c>
      <c r="H464" s="61" t="n">
        <v>0</v>
      </c>
      <c r="I464" s="61" t="n">
        <v>0.02</v>
      </c>
      <c r="J464" s="61" t="n">
        <v>0</v>
      </c>
      <c r="K464" s="61" t="n">
        <v>0</v>
      </c>
      <c r="L464" s="61" t="n">
        <v>0.02</v>
      </c>
      <c r="M464" s="61" t="n">
        <v>0</v>
      </c>
      <c r="N464" s="61" t="n">
        <v>0</v>
      </c>
      <c r="O464" s="61" t="n">
        <v>0</v>
      </c>
      <c r="P464" s="62" t="n">
        <v>250</v>
      </c>
      <c r="Q464" s="0" t="n">
        <v>0</v>
      </c>
      <c r="R464" s="60" t="n">
        <f aca="false">G464+H464+I464</f>
        <v>0.02</v>
      </c>
      <c r="S464" s="60" t="n">
        <f aca="false">K464+L464+M464+N464+O464</f>
        <v>0.02</v>
      </c>
      <c r="T464" s="60" t="n">
        <f aca="false">L464+M464</f>
        <v>0.02</v>
      </c>
      <c r="U464" s="60" t="n">
        <f aca="false">S464+J464</f>
        <v>0.02</v>
      </c>
      <c r="V464" s="63" t="n">
        <f aca="false">IFERROR(S464/F464,0)</f>
        <v>0.5</v>
      </c>
      <c r="W464" s="63" t="n">
        <f aca="false">IFERROR(R464/F464,0)</f>
        <v>0.5</v>
      </c>
      <c r="X464" s="63" t="n">
        <f aca="false">IFERROR(T464/F464,0)</f>
        <v>0.5</v>
      </c>
      <c r="Y464" s="63" t="n">
        <f aca="false">IFERROR(G464/F464,0)</f>
        <v>0</v>
      </c>
      <c r="Z464" s="59" t="n">
        <f aca="false">IF(E464&gt;0,F464*1000000000/E464,"")</f>
        <v>2712.41608462738</v>
      </c>
      <c r="AA464" s="63" t="n">
        <f aca="false">IFERROR((R464+S464+J464)/F464,0)</f>
        <v>1</v>
      </c>
      <c r="AB464" s="0" t="str">
        <f aca="false">A464&amp;"|"&amp;D464</f>
        <v>Cook Islands|2022</v>
      </c>
    </row>
    <row r="465" customFormat="false" ht="15" hidden="false" customHeight="false" outlineLevel="0" collapsed="false">
      <c r="A465" s="0" t="s">
        <v>224</v>
      </c>
      <c r="B465" s="0" t="s">
        <v>462</v>
      </c>
      <c r="C465" s="0" t="s">
        <v>127</v>
      </c>
      <c r="D465" s="0" t="n">
        <v>2023</v>
      </c>
      <c r="E465" s="59" t="n">
        <v>14244</v>
      </c>
      <c r="F465" s="60" t="n">
        <v>0.04</v>
      </c>
      <c r="G465" s="61" t="n">
        <v>0</v>
      </c>
      <c r="H465" s="61" t="n">
        <v>0</v>
      </c>
      <c r="I465" s="61" t="n">
        <v>0.02</v>
      </c>
      <c r="J465" s="61" t="n">
        <v>0</v>
      </c>
      <c r="K465" s="61" t="n">
        <v>0</v>
      </c>
      <c r="L465" s="61" t="n">
        <v>0.02</v>
      </c>
      <c r="M465" s="61" t="n">
        <v>0</v>
      </c>
      <c r="N465" s="61" t="n">
        <v>0</v>
      </c>
      <c r="O465" s="61" t="n">
        <v>0</v>
      </c>
      <c r="P465" s="62" t="n">
        <v>250</v>
      </c>
      <c r="Q465" s="0" t="n">
        <v>0</v>
      </c>
      <c r="R465" s="60" t="n">
        <f aca="false">G465+H465+I465</f>
        <v>0.02</v>
      </c>
      <c r="S465" s="60" t="n">
        <f aca="false">K465+L465+M465+N465+O465</f>
        <v>0.02</v>
      </c>
      <c r="T465" s="60" t="n">
        <f aca="false">L465+M465</f>
        <v>0.02</v>
      </c>
      <c r="U465" s="60" t="n">
        <f aca="false">S465+J465</f>
        <v>0.02</v>
      </c>
      <c r="V465" s="63" t="n">
        <f aca="false">IFERROR(S465/F465,0)</f>
        <v>0.5</v>
      </c>
      <c r="W465" s="63" t="n">
        <f aca="false">IFERROR(R465/F465,0)</f>
        <v>0.5</v>
      </c>
      <c r="X465" s="63" t="n">
        <f aca="false">IFERROR(T465/F465,0)</f>
        <v>0.5</v>
      </c>
      <c r="Y465" s="63" t="n">
        <f aca="false">IFERROR(G465/F465,0)</f>
        <v>0</v>
      </c>
      <c r="Z465" s="59" t="n">
        <f aca="false">IF(E465&gt;0,F465*1000000000/E465,"")</f>
        <v>2808.199943836</v>
      </c>
      <c r="AA465" s="63" t="n">
        <f aca="false">IFERROR((R465+S465+J465)/F465,0)</f>
        <v>1</v>
      </c>
      <c r="AB465" s="0" t="str">
        <f aca="false">A465&amp;"|"&amp;D465</f>
        <v>Cook Islands|2023</v>
      </c>
    </row>
    <row r="466" customFormat="false" ht="15" hidden="false" customHeight="false" outlineLevel="0" collapsed="false">
      <c r="A466" s="0" t="s">
        <v>224</v>
      </c>
      <c r="B466" s="0" t="s">
        <v>462</v>
      </c>
      <c r="C466" s="0" t="s">
        <v>127</v>
      </c>
      <c r="D466" s="0" t="n">
        <v>2024</v>
      </c>
      <c r="E466" s="59" t="n">
        <v>13750</v>
      </c>
      <c r="F466" s="60" t="n">
        <v>0.04</v>
      </c>
      <c r="G466" s="61" t="n">
        <v>0</v>
      </c>
      <c r="H466" s="61" t="n">
        <v>0</v>
      </c>
      <c r="I466" s="61" t="n">
        <v>0.02</v>
      </c>
      <c r="J466" s="61" t="n">
        <v>0</v>
      </c>
      <c r="K466" s="61" t="n">
        <v>0</v>
      </c>
      <c r="L466" s="61" t="n">
        <v>0.02</v>
      </c>
      <c r="M466" s="61" t="n">
        <v>0</v>
      </c>
      <c r="N466" s="61" t="n">
        <v>0</v>
      </c>
      <c r="O466" s="61" t="n">
        <v>0</v>
      </c>
      <c r="P466" s="62" t="n">
        <v>250</v>
      </c>
      <c r="Q466" s="0" t="n">
        <v>0</v>
      </c>
      <c r="R466" s="60" t="n">
        <f aca="false">G466+H466+I466</f>
        <v>0.02</v>
      </c>
      <c r="S466" s="60" t="n">
        <f aca="false">K466+L466+M466+N466+O466</f>
        <v>0.02</v>
      </c>
      <c r="T466" s="60" t="n">
        <f aca="false">L466+M466</f>
        <v>0.02</v>
      </c>
      <c r="U466" s="60" t="n">
        <f aca="false">S466+J466</f>
        <v>0.02</v>
      </c>
      <c r="V466" s="63" t="n">
        <f aca="false">IFERROR(S466/F466,0)</f>
        <v>0.5</v>
      </c>
      <c r="W466" s="63" t="n">
        <f aca="false">IFERROR(R466/F466,0)</f>
        <v>0.5</v>
      </c>
      <c r="X466" s="63" t="n">
        <f aca="false">IFERROR(T466/F466,0)</f>
        <v>0.5</v>
      </c>
      <c r="Y466" s="63" t="n">
        <f aca="false">IFERROR(G466/F466,0)</f>
        <v>0</v>
      </c>
      <c r="Z466" s="59" t="n">
        <f aca="false">IF(E466&gt;0,F466*1000000000/E466,"")</f>
        <v>2909.09090909091</v>
      </c>
      <c r="AA466" s="63" t="n">
        <f aca="false">IFERROR((R466+S466+J466)/F466,0)</f>
        <v>1</v>
      </c>
      <c r="AB466" s="0" t="str">
        <f aca="false">A466&amp;"|"&amp;D466</f>
        <v>Cook Islands|2024</v>
      </c>
    </row>
    <row r="467" customFormat="false" ht="15" hidden="false" customHeight="false" outlineLevel="0" collapsed="false">
      <c r="A467" s="0" t="s">
        <v>225</v>
      </c>
      <c r="B467" s="0" t="s">
        <v>463</v>
      </c>
      <c r="C467" s="0" t="s">
        <v>127</v>
      </c>
      <c r="D467" s="0" t="n">
        <v>2015</v>
      </c>
      <c r="E467" s="59" t="n">
        <v>4818045</v>
      </c>
      <c r="F467" s="60" t="n">
        <v>10.77</v>
      </c>
      <c r="G467" s="61" t="n">
        <v>0</v>
      </c>
      <c r="H467" s="61" t="n">
        <v>0</v>
      </c>
      <c r="I467" s="61" t="n">
        <v>0.11</v>
      </c>
      <c r="J467" s="61" t="n">
        <v>0</v>
      </c>
      <c r="K467" s="61" t="n">
        <v>7.99</v>
      </c>
      <c r="L467" s="61" t="n">
        <v>0.03</v>
      </c>
      <c r="M467" s="61" t="n">
        <v>1.08</v>
      </c>
      <c r="N467" s="61" t="n">
        <v>0.18</v>
      </c>
      <c r="O467" s="61" t="n">
        <v>1.38</v>
      </c>
      <c r="P467" s="62" t="n">
        <v>33.4</v>
      </c>
      <c r="Q467" s="0" t="n">
        <v>0</v>
      </c>
      <c r="R467" s="60" t="n">
        <f aca="false">G467+H467+I467</f>
        <v>0.11</v>
      </c>
      <c r="S467" s="60" t="n">
        <f aca="false">K467+L467+M467+N467+O467</f>
        <v>10.66</v>
      </c>
      <c r="T467" s="60" t="n">
        <f aca="false">L467+M467</f>
        <v>1.11</v>
      </c>
      <c r="U467" s="60" t="n">
        <f aca="false">S467+J467</f>
        <v>10.66</v>
      </c>
      <c r="V467" s="63" t="n">
        <f aca="false">IFERROR(S467/F467,0)</f>
        <v>0.989786443825441</v>
      </c>
      <c r="W467" s="63" t="n">
        <f aca="false">IFERROR(R467/F467,0)</f>
        <v>0.010213556174559</v>
      </c>
      <c r="X467" s="63" t="n">
        <f aca="false">IFERROR(T467/F467,0)</f>
        <v>0.103064066852368</v>
      </c>
      <c r="Y467" s="63" t="n">
        <f aca="false">IFERROR(G467/F467,0)</f>
        <v>0</v>
      </c>
      <c r="Z467" s="59" t="n">
        <f aca="false">IF(E467&gt;0,F467*1000000000/E467,"")</f>
        <v>2235.34649427309</v>
      </c>
      <c r="AA467" s="63" t="n">
        <f aca="false">IFERROR((R467+S467+J467)/F467,0)</f>
        <v>1</v>
      </c>
      <c r="AB467" s="0" t="str">
        <f aca="false">A467&amp;"|"&amp;D467</f>
        <v>Costa Rica|2015</v>
      </c>
    </row>
    <row r="468" customFormat="false" ht="15" hidden="false" customHeight="false" outlineLevel="0" collapsed="false">
      <c r="A468" s="0" t="s">
        <v>225</v>
      </c>
      <c r="B468" s="0" t="s">
        <v>463</v>
      </c>
      <c r="C468" s="0" t="s">
        <v>127</v>
      </c>
      <c r="D468" s="0" t="n">
        <v>2016</v>
      </c>
      <c r="E468" s="59" t="n">
        <v>4867003</v>
      </c>
      <c r="F468" s="60" t="n">
        <v>10.86</v>
      </c>
      <c r="G468" s="61" t="n">
        <v>0</v>
      </c>
      <c r="H468" s="61" t="n">
        <v>0</v>
      </c>
      <c r="I468" s="61" t="n">
        <v>0.19</v>
      </c>
      <c r="J468" s="61" t="n">
        <v>0</v>
      </c>
      <c r="K468" s="61" t="n">
        <v>7.95</v>
      </c>
      <c r="L468" s="61" t="n">
        <v>0.03</v>
      </c>
      <c r="M468" s="61" t="n">
        <v>1.15</v>
      </c>
      <c r="N468" s="61" t="n">
        <v>0.2</v>
      </c>
      <c r="O468" s="61" t="n">
        <v>1.34</v>
      </c>
      <c r="P468" s="62" t="n">
        <v>38.7</v>
      </c>
      <c r="Q468" s="0" t="n">
        <v>0</v>
      </c>
      <c r="R468" s="60" t="n">
        <f aca="false">G468+H468+I468</f>
        <v>0.19</v>
      </c>
      <c r="S468" s="60" t="n">
        <f aca="false">K468+L468+M468+N468+O468</f>
        <v>10.67</v>
      </c>
      <c r="T468" s="60" t="n">
        <f aca="false">L468+M468</f>
        <v>1.18</v>
      </c>
      <c r="U468" s="60" t="n">
        <f aca="false">S468+J468</f>
        <v>10.67</v>
      </c>
      <c r="V468" s="63" t="n">
        <f aca="false">IFERROR(S468/F468,0)</f>
        <v>0.982504604051566</v>
      </c>
      <c r="W468" s="63" t="n">
        <f aca="false">IFERROR(R468/F468,0)</f>
        <v>0.0174953959484346</v>
      </c>
      <c r="X468" s="63" t="n">
        <f aca="false">IFERROR(T468/F468,0)</f>
        <v>0.10865561694291</v>
      </c>
      <c r="Y468" s="63" t="n">
        <f aca="false">IFERROR(G468/F468,0)</f>
        <v>0</v>
      </c>
      <c r="Z468" s="59" t="n">
        <f aca="false">IF(E468&gt;0,F468*1000000000/E468,"")</f>
        <v>2231.35264145101</v>
      </c>
      <c r="AA468" s="63" t="n">
        <f aca="false">IFERROR((R468+S468+J468)/F468,0)</f>
        <v>1</v>
      </c>
      <c r="AB468" s="0" t="str">
        <f aca="false">A468&amp;"|"&amp;D468</f>
        <v>Costa Rica|2016</v>
      </c>
    </row>
    <row r="469" customFormat="false" ht="15" hidden="false" customHeight="false" outlineLevel="0" collapsed="false">
      <c r="A469" s="0" t="s">
        <v>225</v>
      </c>
      <c r="B469" s="0" t="s">
        <v>463</v>
      </c>
      <c r="C469" s="0" t="s">
        <v>127</v>
      </c>
      <c r="D469" s="0" t="n">
        <v>2017</v>
      </c>
      <c r="E469" s="59" t="n">
        <v>4913177</v>
      </c>
      <c r="F469" s="60" t="n">
        <v>11.28</v>
      </c>
      <c r="G469" s="61" t="n">
        <v>0</v>
      </c>
      <c r="H469" s="61" t="n">
        <v>0</v>
      </c>
      <c r="I469" s="61" t="n">
        <v>0.04</v>
      </c>
      <c r="J469" s="61" t="n">
        <v>0</v>
      </c>
      <c r="K469" s="61" t="n">
        <v>8.59</v>
      </c>
      <c r="L469" s="61" t="n">
        <v>0.04</v>
      </c>
      <c r="M469" s="61" t="n">
        <v>1.29</v>
      </c>
      <c r="N469" s="61" t="n">
        <v>0.2</v>
      </c>
      <c r="O469" s="61" t="n">
        <v>1.12</v>
      </c>
      <c r="P469" s="62" t="n">
        <v>28.4</v>
      </c>
      <c r="Q469" s="0" t="n">
        <v>0</v>
      </c>
      <c r="R469" s="60" t="n">
        <f aca="false">G469+H469+I469</f>
        <v>0.04</v>
      </c>
      <c r="S469" s="60" t="n">
        <f aca="false">K469+L469+M469+N469+O469</f>
        <v>11.24</v>
      </c>
      <c r="T469" s="60" t="n">
        <f aca="false">L469+M469</f>
        <v>1.33</v>
      </c>
      <c r="U469" s="60" t="n">
        <f aca="false">S469+J469</f>
        <v>11.24</v>
      </c>
      <c r="V469" s="63" t="n">
        <f aca="false">IFERROR(S469/F469,0)</f>
        <v>0.99645390070922</v>
      </c>
      <c r="W469" s="63" t="n">
        <f aca="false">IFERROR(R469/F469,0)</f>
        <v>0.00354609929078014</v>
      </c>
      <c r="X469" s="63" t="n">
        <f aca="false">IFERROR(T469/F469,0)</f>
        <v>0.11790780141844</v>
      </c>
      <c r="Y469" s="63" t="n">
        <f aca="false">IFERROR(G469/F469,0)</f>
        <v>0</v>
      </c>
      <c r="Z469" s="59" t="n">
        <f aca="false">IF(E469&gt;0,F469*1000000000/E469,"")</f>
        <v>2295.86680878788</v>
      </c>
      <c r="AA469" s="63" t="n">
        <f aca="false">IFERROR((R469+S469+J469)/F469,0)</f>
        <v>1</v>
      </c>
      <c r="AB469" s="0" t="str">
        <f aca="false">A469&amp;"|"&amp;D469</f>
        <v>Costa Rica|2017</v>
      </c>
    </row>
    <row r="470" customFormat="false" ht="15" hidden="false" customHeight="false" outlineLevel="0" collapsed="false">
      <c r="A470" s="0" t="s">
        <v>225</v>
      </c>
      <c r="B470" s="0" t="s">
        <v>463</v>
      </c>
      <c r="C470" s="0" t="s">
        <v>127</v>
      </c>
      <c r="D470" s="0" t="n">
        <v>2018</v>
      </c>
      <c r="E470" s="59" t="n">
        <v>4957813</v>
      </c>
      <c r="F470" s="60" t="n">
        <v>11.44</v>
      </c>
      <c r="G470" s="61" t="n">
        <v>0</v>
      </c>
      <c r="H470" s="61" t="n">
        <v>0</v>
      </c>
      <c r="I470" s="61" t="n">
        <v>0.16</v>
      </c>
      <c r="J470" s="61" t="n">
        <v>0</v>
      </c>
      <c r="K470" s="61" t="n">
        <v>8.26</v>
      </c>
      <c r="L470" s="61" t="n">
        <v>0.06</v>
      </c>
      <c r="M470" s="61" t="n">
        <v>1.8</v>
      </c>
      <c r="N470" s="61" t="n">
        <v>0.19</v>
      </c>
      <c r="O470" s="61" t="n">
        <v>0.97</v>
      </c>
      <c r="P470" s="62" t="n">
        <v>35</v>
      </c>
      <c r="Q470" s="0" t="n">
        <v>0</v>
      </c>
      <c r="R470" s="60" t="n">
        <f aca="false">G470+H470+I470</f>
        <v>0.16</v>
      </c>
      <c r="S470" s="60" t="n">
        <f aca="false">K470+L470+M470+N470+O470</f>
        <v>11.28</v>
      </c>
      <c r="T470" s="60" t="n">
        <f aca="false">L470+M470</f>
        <v>1.86</v>
      </c>
      <c r="U470" s="60" t="n">
        <f aca="false">S470+J470</f>
        <v>11.28</v>
      </c>
      <c r="V470" s="63" t="n">
        <f aca="false">IFERROR(S470/F470,0)</f>
        <v>0.986013986013986</v>
      </c>
      <c r="W470" s="63" t="n">
        <f aca="false">IFERROR(R470/F470,0)</f>
        <v>0.013986013986014</v>
      </c>
      <c r="X470" s="63" t="n">
        <f aca="false">IFERROR(T470/F470,0)</f>
        <v>0.162587412587413</v>
      </c>
      <c r="Y470" s="63" t="n">
        <f aca="false">IFERROR(G470/F470,0)</f>
        <v>0</v>
      </c>
      <c r="Z470" s="59" t="n">
        <f aca="false">IF(E470&gt;0,F470*1000000000/E470,"")</f>
        <v>2307.46903927195</v>
      </c>
      <c r="AA470" s="63" t="n">
        <f aca="false">IFERROR((R470+S470+J470)/F470,0)</f>
        <v>1</v>
      </c>
      <c r="AB470" s="0" t="str">
        <f aca="false">A470&amp;"|"&amp;D470</f>
        <v>Costa Rica|2018</v>
      </c>
    </row>
    <row r="471" customFormat="false" ht="15" hidden="false" customHeight="false" outlineLevel="0" collapsed="false">
      <c r="A471" s="0" t="s">
        <v>225</v>
      </c>
      <c r="B471" s="0" t="s">
        <v>463</v>
      </c>
      <c r="C471" s="0" t="s">
        <v>127</v>
      </c>
      <c r="D471" s="0" t="n">
        <v>2019</v>
      </c>
      <c r="E471" s="59" t="n">
        <v>4999549</v>
      </c>
      <c r="F471" s="60" t="n">
        <v>11.42</v>
      </c>
      <c r="G471" s="61" t="n">
        <v>0</v>
      </c>
      <c r="H471" s="61" t="n">
        <v>0</v>
      </c>
      <c r="I471" s="61" t="n">
        <v>0.1</v>
      </c>
      <c r="J471" s="61" t="n">
        <v>0</v>
      </c>
      <c r="K471" s="61" t="n">
        <v>7.75</v>
      </c>
      <c r="L471" s="61" t="n">
        <v>0.07</v>
      </c>
      <c r="M471" s="61" t="n">
        <v>1.8</v>
      </c>
      <c r="N471" s="61" t="n">
        <v>0.19</v>
      </c>
      <c r="O471" s="61" t="n">
        <v>1.51</v>
      </c>
      <c r="P471" s="62" t="n">
        <v>31.5</v>
      </c>
      <c r="Q471" s="0" t="n">
        <v>0</v>
      </c>
      <c r="R471" s="60" t="n">
        <f aca="false">G471+H471+I471</f>
        <v>0.1</v>
      </c>
      <c r="S471" s="60" t="n">
        <f aca="false">K471+L471+M471+N471+O471</f>
        <v>11.32</v>
      </c>
      <c r="T471" s="60" t="n">
        <f aca="false">L471+M471</f>
        <v>1.87</v>
      </c>
      <c r="U471" s="60" t="n">
        <f aca="false">S471+J471</f>
        <v>11.32</v>
      </c>
      <c r="V471" s="63" t="n">
        <f aca="false">IFERROR(S471/F471,0)</f>
        <v>0.991243432574431</v>
      </c>
      <c r="W471" s="63" t="n">
        <f aca="false">IFERROR(R471/F471,0)</f>
        <v>0.00875656742556918</v>
      </c>
      <c r="X471" s="63" t="n">
        <f aca="false">IFERROR(T471/F471,0)</f>
        <v>0.163747810858144</v>
      </c>
      <c r="Y471" s="63" t="n">
        <f aca="false">IFERROR(G471/F471,0)</f>
        <v>0</v>
      </c>
      <c r="Z471" s="59" t="n">
        <f aca="false">IF(E471&gt;0,F471*1000000000/E471,"")</f>
        <v>2284.20603538439</v>
      </c>
      <c r="AA471" s="63" t="n">
        <f aca="false">IFERROR((R471+S471+J471)/F471,0)</f>
        <v>1</v>
      </c>
      <c r="AB471" s="0" t="str">
        <f aca="false">A471&amp;"|"&amp;D471</f>
        <v>Costa Rica|2019</v>
      </c>
    </row>
    <row r="472" customFormat="false" ht="15" hidden="false" customHeight="false" outlineLevel="0" collapsed="false">
      <c r="A472" s="0" t="s">
        <v>225</v>
      </c>
      <c r="B472" s="0" t="s">
        <v>463</v>
      </c>
      <c r="C472" s="0" t="s">
        <v>127</v>
      </c>
      <c r="D472" s="0" t="n">
        <v>2020</v>
      </c>
      <c r="E472" s="59" t="n">
        <v>5034323</v>
      </c>
      <c r="F472" s="60" t="n">
        <v>11.72</v>
      </c>
      <c r="G472" s="61" t="n">
        <v>0</v>
      </c>
      <c r="H472" s="61" t="n">
        <v>0</v>
      </c>
      <c r="I472" s="61" t="n">
        <v>0.02</v>
      </c>
      <c r="J472" s="61" t="n">
        <v>0</v>
      </c>
      <c r="K472" s="61" t="n">
        <v>8.29</v>
      </c>
      <c r="L472" s="61" t="n">
        <v>0.07</v>
      </c>
      <c r="M472" s="61" t="n">
        <v>1.46</v>
      </c>
      <c r="N472" s="61" t="n">
        <v>0.19</v>
      </c>
      <c r="O472" s="61" t="n">
        <v>1.69</v>
      </c>
      <c r="P472" s="62" t="n">
        <v>27.3</v>
      </c>
      <c r="Q472" s="0" t="n">
        <v>0</v>
      </c>
      <c r="R472" s="60" t="n">
        <f aca="false">G472+H472+I472</f>
        <v>0.02</v>
      </c>
      <c r="S472" s="60" t="n">
        <f aca="false">K472+L472+M472+N472+O472</f>
        <v>11.7</v>
      </c>
      <c r="T472" s="60" t="n">
        <f aca="false">L472+M472</f>
        <v>1.53</v>
      </c>
      <c r="U472" s="60" t="n">
        <f aca="false">S472+J472</f>
        <v>11.7</v>
      </c>
      <c r="V472" s="63" t="n">
        <f aca="false">IFERROR(S472/F472,0)</f>
        <v>0.998293515358362</v>
      </c>
      <c r="W472" s="63" t="n">
        <f aca="false">IFERROR(R472/F472,0)</f>
        <v>0.00170648464163823</v>
      </c>
      <c r="X472" s="63" t="n">
        <f aca="false">IFERROR(T472/F472,0)</f>
        <v>0.130546075085324</v>
      </c>
      <c r="Y472" s="63" t="n">
        <f aca="false">IFERROR(G472/F472,0)</f>
        <v>0</v>
      </c>
      <c r="Z472" s="59" t="n">
        <f aca="false">IF(E472&gt;0,F472*1000000000/E472,"")</f>
        <v>2328.01908022191</v>
      </c>
      <c r="AA472" s="63" t="n">
        <f aca="false">IFERROR((R472+S472+J472)/F472,0)</f>
        <v>1</v>
      </c>
      <c r="AB472" s="0" t="str">
        <f aca="false">A472&amp;"|"&amp;D472</f>
        <v>Costa Rica|2020</v>
      </c>
    </row>
    <row r="473" customFormat="false" ht="15" hidden="false" customHeight="false" outlineLevel="0" collapsed="false">
      <c r="A473" s="0" t="s">
        <v>225</v>
      </c>
      <c r="B473" s="0" t="s">
        <v>463</v>
      </c>
      <c r="C473" s="0" t="s">
        <v>127</v>
      </c>
      <c r="D473" s="0" t="n">
        <v>2021</v>
      </c>
      <c r="E473" s="59" t="n">
        <v>5059991</v>
      </c>
      <c r="F473" s="60" t="n">
        <v>12.73</v>
      </c>
      <c r="G473" s="61" t="n">
        <v>0</v>
      </c>
      <c r="H473" s="61" t="n">
        <v>0</v>
      </c>
      <c r="I473" s="61" t="n">
        <v>0</v>
      </c>
      <c r="J473" s="61" t="n">
        <v>0</v>
      </c>
      <c r="K473" s="61" t="n">
        <v>9.29</v>
      </c>
      <c r="L473" s="61" t="n">
        <v>0.08</v>
      </c>
      <c r="M473" s="61" t="n">
        <v>1.57</v>
      </c>
      <c r="N473" s="61" t="n">
        <v>0.19</v>
      </c>
      <c r="O473" s="61" t="n">
        <v>1.6</v>
      </c>
      <c r="P473" s="62" t="n">
        <v>25.9</v>
      </c>
      <c r="Q473" s="0" t="n">
        <v>0</v>
      </c>
      <c r="R473" s="60" t="n">
        <f aca="false">G473+H473+I473</f>
        <v>0</v>
      </c>
      <c r="S473" s="60" t="n">
        <f aca="false">K473+L473+M473+N473+O473</f>
        <v>12.73</v>
      </c>
      <c r="T473" s="60" t="n">
        <f aca="false">L473+M473</f>
        <v>1.65</v>
      </c>
      <c r="U473" s="60" t="n">
        <f aca="false">S473+J473</f>
        <v>12.73</v>
      </c>
      <c r="V473" s="63" t="n">
        <f aca="false">IFERROR(S473/F473,0)</f>
        <v>1</v>
      </c>
      <c r="W473" s="63" t="n">
        <f aca="false">IFERROR(R473/F473,0)</f>
        <v>0</v>
      </c>
      <c r="X473" s="63" t="n">
        <f aca="false">IFERROR(T473/F473,0)</f>
        <v>0.129615082482325</v>
      </c>
      <c r="Y473" s="63" t="n">
        <f aca="false">IFERROR(G473/F473,0)</f>
        <v>0</v>
      </c>
      <c r="Z473" s="59" t="n">
        <f aca="false">IF(E473&gt;0,F473*1000000000/E473,"")</f>
        <v>2515.81475144916</v>
      </c>
      <c r="AA473" s="63" t="n">
        <f aca="false">IFERROR((R473+S473+J473)/F473,0)</f>
        <v>1</v>
      </c>
      <c r="AB473" s="0" t="str">
        <f aca="false">A473&amp;"|"&amp;D473</f>
        <v>Costa Rica|2021</v>
      </c>
    </row>
    <row r="474" customFormat="false" ht="15" hidden="false" customHeight="false" outlineLevel="0" collapsed="false">
      <c r="A474" s="0" t="s">
        <v>225</v>
      </c>
      <c r="B474" s="0" t="s">
        <v>463</v>
      </c>
      <c r="C474" s="0" t="s">
        <v>127</v>
      </c>
      <c r="D474" s="0" t="n">
        <v>2022</v>
      </c>
      <c r="E474" s="59" t="n">
        <v>5081764</v>
      </c>
      <c r="F474" s="60" t="n">
        <v>12.44</v>
      </c>
      <c r="G474" s="61" t="n">
        <v>0</v>
      </c>
      <c r="H474" s="61" t="n">
        <v>0</v>
      </c>
      <c r="I474" s="61" t="n">
        <v>0</v>
      </c>
      <c r="J474" s="61" t="n">
        <v>0</v>
      </c>
      <c r="K474" s="61" t="n">
        <v>9.45</v>
      </c>
      <c r="L474" s="61" t="n">
        <v>0.08</v>
      </c>
      <c r="M474" s="61" t="n">
        <v>1.37</v>
      </c>
      <c r="N474" s="61" t="n">
        <v>0.06</v>
      </c>
      <c r="O474" s="61" t="n">
        <v>1.48</v>
      </c>
      <c r="P474" s="62" t="n">
        <v>24.1</v>
      </c>
      <c r="Q474" s="0" t="n">
        <v>0</v>
      </c>
      <c r="R474" s="60" t="n">
        <f aca="false">G474+H474+I474</f>
        <v>0</v>
      </c>
      <c r="S474" s="60" t="n">
        <f aca="false">K474+L474+M474+N474+O474</f>
        <v>12.44</v>
      </c>
      <c r="T474" s="60" t="n">
        <f aca="false">L474+M474</f>
        <v>1.45</v>
      </c>
      <c r="U474" s="60" t="n">
        <f aca="false">S474+J474</f>
        <v>12.44</v>
      </c>
      <c r="V474" s="63" t="n">
        <f aca="false">IFERROR(S474/F474,0)</f>
        <v>1</v>
      </c>
      <c r="W474" s="63" t="n">
        <f aca="false">IFERROR(R474/F474,0)</f>
        <v>0</v>
      </c>
      <c r="X474" s="63" t="n">
        <f aca="false">IFERROR(T474/F474,0)</f>
        <v>0.116559485530547</v>
      </c>
      <c r="Y474" s="63" t="n">
        <f aca="false">IFERROR(G474/F474,0)</f>
        <v>0</v>
      </c>
      <c r="Z474" s="59" t="n">
        <f aca="false">IF(E474&gt;0,F474*1000000000/E474,"")</f>
        <v>2447.96885490944</v>
      </c>
      <c r="AA474" s="63" t="n">
        <f aca="false">IFERROR((R474+S474+J474)/F474,0)</f>
        <v>1</v>
      </c>
      <c r="AB474" s="0" t="str">
        <f aca="false">A474&amp;"|"&amp;D474</f>
        <v>Costa Rica|2022</v>
      </c>
    </row>
    <row r="475" customFormat="false" ht="15" hidden="false" customHeight="false" outlineLevel="0" collapsed="false">
      <c r="A475" s="0" t="s">
        <v>225</v>
      </c>
      <c r="B475" s="0" t="s">
        <v>463</v>
      </c>
      <c r="C475" s="0" t="s">
        <v>127</v>
      </c>
      <c r="D475" s="0" t="n">
        <v>2023</v>
      </c>
      <c r="E475" s="59" t="n">
        <v>5105526</v>
      </c>
      <c r="F475" s="60" t="n">
        <v>11.72</v>
      </c>
      <c r="G475" s="61" t="n">
        <v>0</v>
      </c>
      <c r="H475" s="61" t="n">
        <v>0</v>
      </c>
      <c r="I475" s="61" t="n">
        <v>0.01</v>
      </c>
      <c r="J475" s="61" t="n">
        <v>0</v>
      </c>
      <c r="K475" s="61" t="n">
        <v>8.54</v>
      </c>
      <c r="L475" s="61" t="n">
        <v>0.09</v>
      </c>
      <c r="M475" s="61" t="n">
        <v>1.49</v>
      </c>
      <c r="N475" s="61" t="n">
        <v>0.06</v>
      </c>
      <c r="O475" s="61" t="n">
        <v>1.53</v>
      </c>
      <c r="P475" s="62" t="n">
        <v>24.7</v>
      </c>
      <c r="Q475" s="0" t="n">
        <v>0</v>
      </c>
      <c r="R475" s="60" t="n">
        <f aca="false">G475+H475+I475</f>
        <v>0.01</v>
      </c>
      <c r="S475" s="60" t="n">
        <f aca="false">K475+L475+M475+N475+O475</f>
        <v>11.71</v>
      </c>
      <c r="T475" s="60" t="n">
        <f aca="false">L475+M475</f>
        <v>1.58</v>
      </c>
      <c r="U475" s="60" t="n">
        <f aca="false">S475+J475</f>
        <v>11.71</v>
      </c>
      <c r="V475" s="63" t="n">
        <f aca="false">IFERROR(S475/F475,0)</f>
        <v>0.999146757679181</v>
      </c>
      <c r="W475" s="63" t="n">
        <f aca="false">IFERROR(R475/F475,0)</f>
        <v>0.000853242320819113</v>
      </c>
      <c r="X475" s="63" t="n">
        <f aca="false">IFERROR(T475/F475,0)</f>
        <v>0.13481228668942</v>
      </c>
      <c r="Y475" s="63" t="n">
        <f aca="false">IFERROR(G475/F475,0)</f>
        <v>0</v>
      </c>
      <c r="Z475" s="59" t="n">
        <f aca="false">IF(E475&gt;0,F475*1000000000/E475,"")</f>
        <v>2295.55191766725</v>
      </c>
      <c r="AA475" s="63" t="n">
        <f aca="false">IFERROR((R475+S475+J475)/F475,0)</f>
        <v>1</v>
      </c>
      <c r="AB475" s="0" t="str">
        <f aca="false">A475&amp;"|"&amp;D475</f>
        <v>Costa Rica|2023</v>
      </c>
    </row>
    <row r="476" customFormat="false" ht="15" hidden="false" customHeight="false" outlineLevel="0" collapsed="false">
      <c r="A476" s="0" t="s">
        <v>225</v>
      </c>
      <c r="B476" s="0" t="s">
        <v>463</v>
      </c>
      <c r="C476" s="0" t="s">
        <v>127</v>
      </c>
      <c r="D476" s="0" t="n">
        <v>2024</v>
      </c>
      <c r="E476" s="59" t="n">
        <v>5129909</v>
      </c>
      <c r="F476" s="60" t="n">
        <v>11</v>
      </c>
      <c r="G476" s="61" t="n">
        <v>0</v>
      </c>
      <c r="H476" s="61" t="n">
        <v>0</v>
      </c>
      <c r="I476" s="61" t="n">
        <v>0.01</v>
      </c>
      <c r="J476" s="61" t="n">
        <v>0</v>
      </c>
      <c r="K476" s="61" t="n">
        <v>8</v>
      </c>
      <c r="L476" s="61" t="n">
        <v>0.09</v>
      </c>
      <c r="M476" s="61" t="n">
        <v>1.24</v>
      </c>
      <c r="N476" s="61" t="n">
        <v>0.06</v>
      </c>
      <c r="O476" s="61" t="n">
        <v>1.6</v>
      </c>
      <c r="P476" s="62" t="n">
        <v>25.5</v>
      </c>
      <c r="Q476" s="0" t="n">
        <v>0</v>
      </c>
      <c r="R476" s="60" t="n">
        <f aca="false">G476+H476+I476</f>
        <v>0.01</v>
      </c>
      <c r="S476" s="60" t="n">
        <f aca="false">K476+L476+M476+N476+O476</f>
        <v>10.99</v>
      </c>
      <c r="T476" s="60" t="n">
        <f aca="false">L476+M476</f>
        <v>1.33</v>
      </c>
      <c r="U476" s="60" t="n">
        <f aca="false">S476+J476</f>
        <v>10.99</v>
      </c>
      <c r="V476" s="63" t="n">
        <f aca="false">IFERROR(S476/F476,0)</f>
        <v>0.999090909090909</v>
      </c>
      <c r="W476" s="63" t="n">
        <f aca="false">IFERROR(R476/F476,0)</f>
        <v>0.000909090909090909</v>
      </c>
      <c r="X476" s="63" t="n">
        <f aca="false">IFERROR(T476/F476,0)</f>
        <v>0.120909090909091</v>
      </c>
      <c r="Y476" s="63" t="n">
        <f aca="false">IFERROR(G476/F476,0)</f>
        <v>0</v>
      </c>
      <c r="Z476" s="59" t="n">
        <f aca="false">IF(E476&gt;0,F476*1000000000/E476,"")</f>
        <v>2144.28754974016</v>
      </c>
      <c r="AA476" s="63" t="n">
        <f aca="false">IFERROR((R476+S476+J476)/F476,0)</f>
        <v>1</v>
      </c>
      <c r="AB476" s="0" t="str">
        <f aca="false">A476&amp;"|"&amp;D476</f>
        <v>Costa Rica|2024</v>
      </c>
    </row>
    <row r="477" customFormat="false" ht="15" hidden="false" customHeight="false" outlineLevel="0" collapsed="false">
      <c r="A477" s="0" t="s">
        <v>225</v>
      </c>
      <c r="B477" s="0" t="s">
        <v>463</v>
      </c>
      <c r="C477" s="0" t="s">
        <v>127</v>
      </c>
      <c r="D477" s="0" t="n">
        <v>2025</v>
      </c>
      <c r="E477" s="59" t="n">
        <v>5152949</v>
      </c>
      <c r="F477" s="60" t="n">
        <v>12.81</v>
      </c>
      <c r="G477" s="61" t="n">
        <v>0</v>
      </c>
      <c r="H477" s="61" t="n">
        <v>0</v>
      </c>
      <c r="I477" s="61" t="n">
        <v>0</v>
      </c>
      <c r="J477" s="61" t="n">
        <v>0</v>
      </c>
      <c r="K477" s="61" t="n">
        <v>9.58</v>
      </c>
      <c r="L477" s="61" t="n">
        <v>0.09</v>
      </c>
      <c r="M477" s="61" t="n">
        <v>1.55</v>
      </c>
      <c r="N477" s="61" t="n">
        <v>0.06</v>
      </c>
      <c r="O477" s="61" t="n">
        <v>1.53</v>
      </c>
      <c r="P477" s="62" t="n">
        <v>24.2</v>
      </c>
      <c r="Q477" s="0" t="n">
        <v>0</v>
      </c>
      <c r="R477" s="60" t="n">
        <f aca="false">G477+H477+I477</f>
        <v>0</v>
      </c>
      <c r="S477" s="60" t="n">
        <f aca="false">K477+L477+M477+N477+O477</f>
        <v>12.81</v>
      </c>
      <c r="T477" s="60" t="n">
        <f aca="false">L477+M477</f>
        <v>1.64</v>
      </c>
      <c r="U477" s="60" t="n">
        <f aca="false">S477+J477</f>
        <v>12.81</v>
      </c>
      <c r="V477" s="63" t="n">
        <f aca="false">IFERROR(S477/F477,0)</f>
        <v>1</v>
      </c>
      <c r="W477" s="63" t="n">
        <f aca="false">IFERROR(R477/F477,0)</f>
        <v>0</v>
      </c>
      <c r="X477" s="63" t="n">
        <f aca="false">IFERROR(T477/F477,0)</f>
        <v>0.128024980483997</v>
      </c>
      <c r="Y477" s="63" t="n">
        <f aca="false">IFERROR(G477/F477,0)</f>
        <v>0</v>
      </c>
      <c r="Z477" s="59" t="n">
        <f aca="false">IF(E477&gt;0,F477*1000000000/E477,"")</f>
        <v>2485.95512977132</v>
      </c>
      <c r="AA477" s="63" t="n">
        <f aca="false">IFERROR((R477+S477+J477)/F477,0)</f>
        <v>1</v>
      </c>
      <c r="AB477" s="0" t="str">
        <f aca="false">A477&amp;"|"&amp;D477</f>
        <v>Costa Rica|2025</v>
      </c>
    </row>
    <row r="478" customFormat="false" ht="15" hidden="false" customHeight="false" outlineLevel="0" collapsed="false">
      <c r="A478" s="0" t="s">
        <v>226</v>
      </c>
      <c r="B478" s="0" t="s">
        <v>464</v>
      </c>
      <c r="C478" s="0" t="s">
        <v>127</v>
      </c>
      <c r="D478" s="0" t="n">
        <v>2015</v>
      </c>
      <c r="E478" s="59" t="n">
        <v>25246347</v>
      </c>
      <c r="F478" s="60" t="n">
        <v>8.7</v>
      </c>
      <c r="G478" s="61" t="n">
        <v>0</v>
      </c>
      <c r="H478" s="61" t="n">
        <v>6.8</v>
      </c>
      <c r="I478" s="61" t="n">
        <v>0.46</v>
      </c>
      <c r="J478" s="61" t="n">
        <v>0</v>
      </c>
      <c r="K478" s="61" t="n">
        <v>1.34</v>
      </c>
      <c r="L478" s="61" t="n">
        <v>0</v>
      </c>
      <c r="M478" s="61" t="n">
        <v>0</v>
      </c>
      <c r="N478" s="61" t="n">
        <v>0.1</v>
      </c>
      <c r="O478" s="61" t="n">
        <v>0</v>
      </c>
      <c r="P478" s="62" t="n">
        <v>475.9</v>
      </c>
      <c r="Q478" s="0" t="n">
        <v>0</v>
      </c>
      <c r="R478" s="60" t="n">
        <f aca="false">G478+H478+I478</f>
        <v>7.26</v>
      </c>
      <c r="S478" s="60" t="n">
        <f aca="false">K478+L478+M478+N478+O478</f>
        <v>1.44</v>
      </c>
      <c r="T478" s="60" t="n">
        <f aca="false">L478+M478</f>
        <v>0</v>
      </c>
      <c r="U478" s="60" t="n">
        <f aca="false">S478+J478</f>
        <v>1.44</v>
      </c>
      <c r="V478" s="63" t="n">
        <f aca="false">IFERROR(S478/F478,0)</f>
        <v>0.16551724137931</v>
      </c>
      <c r="W478" s="63" t="n">
        <f aca="false">IFERROR(R478/F478,0)</f>
        <v>0.83448275862069</v>
      </c>
      <c r="X478" s="63" t="n">
        <f aca="false">IFERROR(T478/F478,0)</f>
        <v>0</v>
      </c>
      <c r="Y478" s="63" t="n">
        <f aca="false">IFERROR(G478/F478,0)</f>
        <v>0</v>
      </c>
      <c r="Z478" s="59" t="n">
        <f aca="false">IF(E478&gt;0,F478*1000000000/E478,"")</f>
        <v>344.604310477076</v>
      </c>
      <c r="AA478" s="63" t="n">
        <f aca="false">IFERROR((R478+S478+J478)/F478,0)</f>
        <v>1</v>
      </c>
      <c r="AB478" s="0" t="str">
        <f aca="false">A478&amp;"|"&amp;D478</f>
        <v>Cote d'Ivoire|2015</v>
      </c>
    </row>
    <row r="479" customFormat="false" ht="15" hidden="false" customHeight="false" outlineLevel="0" collapsed="false">
      <c r="A479" s="0" t="s">
        <v>226</v>
      </c>
      <c r="B479" s="0" t="s">
        <v>464</v>
      </c>
      <c r="C479" s="0" t="s">
        <v>127</v>
      </c>
      <c r="D479" s="0" t="n">
        <v>2016</v>
      </c>
      <c r="E479" s="59" t="n">
        <v>25989404</v>
      </c>
      <c r="F479" s="60" t="n">
        <v>10.23</v>
      </c>
      <c r="G479" s="61" t="n">
        <v>0</v>
      </c>
      <c r="H479" s="61" t="n">
        <v>8.48</v>
      </c>
      <c r="I479" s="61" t="n">
        <v>0.07</v>
      </c>
      <c r="J479" s="61" t="n">
        <v>0</v>
      </c>
      <c r="K479" s="61" t="n">
        <v>1.51</v>
      </c>
      <c r="L479" s="61" t="n">
        <v>0</v>
      </c>
      <c r="M479" s="61" t="n">
        <v>0</v>
      </c>
      <c r="N479" s="61" t="n">
        <v>0.17</v>
      </c>
      <c r="O479" s="61" t="n">
        <v>0</v>
      </c>
      <c r="P479" s="62" t="n">
        <v>475.1</v>
      </c>
      <c r="Q479" s="0" t="n">
        <v>0</v>
      </c>
      <c r="R479" s="60" t="n">
        <f aca="false">G479+H479+I479</f>
        <v>8.55</v>
      </c>
      <c r="S479" s="60" t="n">
        <f aca="false">K479+L479+M479+N479+O479</f>
        <v>1.68</v>
      </c>
      <c r="T479" s="60" t="n">
        <f aca="false">L479+M479</f>
        <v>0</v>
      </c>
      <c r="U479" s="60" t="n">
        <f aca="false">S479+J479</f>
        <v>1.68</v>
      </c>
      <c r="V479" s="63" t="n">
        <f aca="false">IFERROR(S479/F479,0)</f>
        <v>0.164222873900293</v>
      </c>
      <c r="W479" s="63" t="n">
        <f aca="false">IFERROR(R479/F479,0)</f>
        <v>0.835777126099707</v>
      </c>
      <c r="X479" s="63" t="n">
        <f aca="false">IFERROR(T479/F479,0)</f>
        <v>0</v>
      </c>
      <c r="Y479" s="63" t="n">
        <f aca="false">IFERROR(G479/F479,0)</f>
        <v>0</v>
      </c>
      <c r="Z479" s="59" t="n">
        <f aca="false">IF(E479&gt;0,F479*1000000000/E479,"")</f>
        <v>393.621954547322</v>
      </c>
      <c r="AA479" s="63" t="n">
        <f aca="false">IFERROR((R479+S479+J479)/F479,0)</f>
        <v>1</v>
      </c>
      <c r="AB479" s="0" t="str">
        <f aca="false">A479&amp;"|"&amp;D479</f>
        <v>Cote d'Ivoire|2016</v>
      </c>
    </row>
    <row r="480" customFormat="false" ht="15" hidden="false" customHeight="false" outlineLevel="0" collapsed="false">
      <c r="A480" s="0" t="s">
        <v>226</v>
      </c>
      <c r="B480" s="0" t="s">
        <v>464</v>
      </c>
      <c r="C480" s="0" t="s">
        <v>127</v>
      </c>
      <c r="D480" s="0" t="n">
        <v>2017</v>
      </c>
      <c r="E480" s="59" t="n">
        <v>26733376</v>
      </c>
      <c r="F480" s="60" t="n">
        <v>10.12</v>
      </c>
      <c r="G480" s="61" t="n">
        <v>0</v>
      </c>
      <c r="H480" s="61" t="n">
        <v>7.89</v>
      </c>
      <c r="I480" s="61" t="n">
        <v>0.08</v>
      </c>
      <c r="J480" s="61" t="n">
        <v>0</v>
      </c>
      <c r="K480" s="61" t="n">
        <v>2.03</v>
      </c>
      <c r="L480" s="61" t="n">
        <v>0.01</v>
      </c>
      <c r="M480" s="61" t="n">
        <v>0</v>
      </c>
      <c r="N480" s="61" t="n">
        <v>0.11</v>
      </c>
      <c r="O480" s="61" t="n">
        <v>0</v>
      </c>
      <c r="P480" s="62" t="n">
        <v>446.6</v>
      </c>
      <c r="Q480" s="0" t="n">
        <v>0</v>
      </c>
      <c r="R480" s="60" t="n">
        <f aca="false">G480+H480+I480</f>
        <v>7.97</v>
      </c>
      <c r="S480" s="60" t="n">
        <f aca="false">K480+L480+M480+N480+O480</f>
        <v>2.15</v>
      </c>
      <c r="T480" s="60" t="n">
        <f aca="false">L480+M480</f>
        <v>0.01</v>
      </c>
      <c r="U480" s="60" t="n">
        <f aca="false">S480+J480</f>
        <v>2.15</v>
      </c>
      <c r="V480" s="63" t="n">
        <f aca="false">IFERROR(S480/F480,0)</f>
        <v>0.212450592885375</v>
      </c>
      <c r="W480" s="63" t="n">
        <f aca="false">IFERROR(R480/F480,0)</f>
        <v>0.787549407114625</v>
      </c>
      <c r="X480" s="63" t="n">
        <f aca="false">IFERROR(T480/F480,0)</f>
        <v>0.000988142292490119</v>
      </c>
      <c r="Y480" s="63" t="n">
        <f aca="false">IFERROR(G480/F480,0)</f>
        <v>0</v>
      </c>
      <c r="Z480" s="59" t="n">
        <f aca="false">IF(E480&gt;0,F480*1000000000/E480,"")</f>
        <v>378.553011785717</v>
      </c>
      <c r="AA480" s="63" t="n">
        <f aca="false">IFERROR((R480+S480+J480)/F480,0)</f>
        <v>1</v>
      </c>
      <c r="AB480" s="0" t="str">
        <f aca="false">A480&amp;"|"&amp;D480</f>
        <v>Cote d'Ivoire|2017</v>
      </c>
    </row>
    <row r="481" customFormat="false" ht="15" hidden="false" customHeight="false" outlineLevel="0" collapsed="false">
      <c r="A481" s="0" t="s">
        <v>226</v>
      </c>
      <c r="B481" s="0" t="s">
        <v>464</v>
      </c>
      <c r="C481" s="0" t="s">
        <v>127</v>
      </c>
      <c r="D481" s="0" t="n">
        <v>2018</v>
      </c>
      <c r="E481" s="59" t="n">
        <v>27464175</v>
      </c>
      <c r="F481" s="60" t="n">
        <v>10.04</v>
      </c>
      <c r="G481" s="61" t="n">
        <v>0</v>
      </c>
      <c r="H481" s="61" t="n">
        <v>7.03</v>
      </c>
      <c r="I481" s="61" t="n">
        <v>0.01</v>
      </c>
      <c r="J481" s="61" t="n">
        <v>0</v>
      </c>
      <c r="K481" s="61" t="n">
        <v>2.93</v>
      </c>
      <c r="L481" s="61" t="n">
        <v>0.01</v>
      </c>
      <c r="M481" s="61" t="n">
        <v>0</v>
      </c>
      <c r="N481" s="61" t="n">
        <v>0.06</v>
      </c>
      <c r="O481" s="61" t="n">
        <v>0</v>
      </c>
      <c r="P481" s="62" t="n">
        <v>399.4</v>
      </c>
      <c r="Q481" s="0" t="n">
        <v>0</v>
      </c>
      <c r="R481" s="60" t="n">
        <f aca="false">G481+H481+I481</f>
        <v>7.04</v>
      </c>
      <c r="S481" s="60" t="n">
        <f aca="false">K481+L481+M481+N481+O481</f>
        <v>3</v>
      </c>
      <c r="T481" s="60" t="n">
        <f aca="false">L481+M481</f>
        <v>0.01</v>
      </c>
      <c r="U481" s="60" t="n">
        <f aca="false">S481+J481</f>
        <v>3</v>
      </c>
      <c r="V481" s="63" t="n">
        <f aca="false">IFERROR(S481/F481,0)</f>
        <v>0.298804780876494</v>
      </c>
      <c r="W481" s="63" t="n">
        <f aca="false">IFERROR(R481/F481,0)</f>
        <v>0.701195219123506</v>
      </c>
      <c r="X481" s="63" t="n">
        <f aca="false">IFERROR(T481/F481,0)</f>
        <v>0.00099601593625498</v>
      </c>
      <c r="Y481" s="63" t="n">
        <f aca="false">IFERROR(G481/F481,0)</f>
        <v>0</v>
      </c>
      <c r="Z481" s="59" t="n">
        <f aca="false">IF(E481&gt;0,F481*1000000000/E481,"")</f>
        <v>365.567143378601</v>
      </c>
      <c r="AA481" s="63" t="n">
        <f aca="false">IFERROR((R481+S481+J481)/F481,0)</f>
        <v>1</v>
      </c>
      <c r="AB481" s="0" t="str">
        <f aca="false">A481&amp;"|"&amp;D481</f>
        <v>Cote d'Ivoire|2018</v>
      </c>
    </row>
    <row r="482" customFormat="false" ht="15" hidden="false" customHeight="false" outlineLevel="0" collapsed="false">
      <c r="A482" s="0" t="s">
        <v>226</v>
      </c>
      <c r="B482" s="0" t="s">
        <v>464</v>
      </c>
      <c r="C482" s="0" t="s">
        <v>127</v>
      </c>
      <c r="D482" s="0" t="n">
        <v>2019</v>
      </c>
      <c r="E482" s="59" t="n">
        <v>28193014</v>
      </c>
      <c r="F482" s="60" t="n">
        <v>10.66</v>
      </c>
      <c r="G482" s="61" t="n">
        <v>0</v>
      </c>
      <c r="H482" s="61" t="n">
        <v>7.12</v>
      </c>
      <c r="I482" s="61" t="n">
        <v>0.01</v>
      </c>
      <c r="J482" s="61" t="n">
        <v>0</v>
      </c>
      <c r="K482" s="61" t="n">
        <v>3.45</v>
      </c>
      <c r="L482" s="61" t="n">
        <v>0.01</v>
      </c>
      <c r="M482" s="61" t="n">
        <v>0</v>
      </c>
      <c r="N482" s="61" t="n">
        <v>0.07</v>
      </c>
      <c r="O482" s="61" t="n">
        <v>0</v>
      </c>
      <c r="P482" s="62" t="n">
        <v>382.7</v>
      </c>
      <c r="Q482" s="0" t="n">
        <v>0</v>
      </c>
      <c r="R482" s="60" t="n">
        <f aca="false">G482+H482+I482</f>
        <v>7.13</v>
      </c>
      <c r="S482" s="60" t="n">
        <f aca="false">K482+L482+M482+N482+O482</f>
        <v>3.53</v>
      </c>
      <c r="T482" s="60" t="n">
        <f aca="false">L482+M482</f>
        <v>0.01</v>
      </c>
      <c r="U482" s="60" t="n">
        <f aca="false">S482+J482</f>
        <v>3.53</v>
      </c>
      <c r="V482" s="63" t="n">
        <f aca="false">IFERROR(S482/F482,0)</f>
        <v>0.331144465290807</v>
      </c>
      <c r="W482" s="63" t="n">
        <f aca="false">IFERROR(R482/F482,0)</f>
        <v>0.668855534709193</v>
      </c>
      <c r="X482" s="63" t="n">
        <f aca="false">IFERROR(T482/F482,0)</f>
        <v>0.000938086303939963</v>
      </c>
      <c r="Y482" s="63" t="n">
        <f aca="false">IFERROR(G482/F482,0)</f>
        <v>0</v>
      </c>
      <c r="Z482" s="59" t="n">
        <f aca="false">IF(E482&gt;0,F482*1000000000/E482,"")</f>
        <v>378.10785324336</v>
      </c>
      <c r="AA482" s="63" t="n">
        <f aca="false">IFERROR((R482+S482+J482)/F482,0)</f>
        <v>1</v>
      </c>
      <c r="AB482" s="0" t="str">
        <f aca="false">A482&amp;"|"&amp;D482</f>
        <v>Cote d'Ivoire|2019</v>
      </c>
    </row>
    <row r="483" customFormat="false" ht="15" hidden="false" customHeight="false" outlineLevel="0" collapsed="false">
      <c r="A483" s="0" t="s">
        <v>226</v>
      </c>
      <c r="B483" s="0" t="s">
        <v>464</v>
      </c>
      <c r="C483" s="0" t="s">
        <v>127</v>
      </c>
      <c r="D483" s="0" t="n">
        <v>2020</v>
      </c>
      <c r="E483" s="59" t="n">
        <v>28915452</v>
      </c>
      <c r="F483" s="60" t="n">
        <v>11.26</v>
      </c>
      <c r="G483" s="61" t="n">
        <v>0</v>
      </c>
      <c r="H483" s="61" t="n">
        <v>7.8</v>
      </c>
      <c r="I483" s="61" t="n">
        <v>0.02</v>
      </c>
      <c r="J483" s="61" t="n">
        <v>0</v>
      </c>
      <c r="K483" s="61" t="n">
        <v>3.35</v>
      </c>
      <c r="L483" s="61" t="n">
        <v>0.02</v>
      </c>
      <c r="M483" s="61" t="n">
        <v>0</v>
      </c>
      <c r="N483" s="61" t="n">
        <v>0.07</v>
      </c>
      <c r="O483" s="61" t="n">
        <v>0</v>
      </c>
      <c r="P483" s="62" t="n">
        <v>396.1</v>
      </c>
      <c r="Q483" s="0" t="n">
        <v>0</v>
      </c>
      <c r="R483" s="60" t="n">
        <f aca="false">G483+H483+I483</f>
        <v>7.82</v>
      </c>
      <c r="S483" s="60" t="n">
        <f aca="false">K483+L483+M483+N483+O483</f>
        <v>3.44</v>
      </c>
      <c r="T483" s="60" t="n">
        <f aca="false">L483+M483</f>
        <v>0.02</v>
      </c>
      <c r="U483" s="60" t="n">
        <f aca="false">S483+J483</f>
        <v>3.44</v>
      </c>
      <c r="V483" s="63" t="n">
        <f aca="false">IFERROR(S483/F483,0)</f>
        <v>0.30550621669627</v>
      </c>
      <c r="W483" s="63" t="n">
        <f aca="false">IFERROR(R483/F483,0)</f>
        <v>0.69449378330373</v>
      </c>
      <c r="X483" s="63" t="n">
        <f aca="false">IFERROR(T483/F483,0)</f>
        <v>0.00177619893428064</v>
      </c>
      <c r="Y483" s="63" t="n">
        <f aca="false">IFERROR(G483/F483,0)</f>
        <v>0</v>
      </c>
      <c r="Z483" s="59" t="n">
        <f aca="false">IF(E483&gt;0,F483*1000000000/E483,"")</f>
        <v>389.411170193708</v>
      </c>
      <c r="AA483" s="63" t="n">
        <f aca="false">IFERROR((R483+S483+J483)/F483,0)</f>
        <v>1</v>
      </c>
      <c r="AB483" s="0" t="str">
        <f aca="false">A483&amp;"|"&amp;D483</f>
        <v>Cote d'Ivoire|2020</v>
      </c>
    </row>
    <row r="484" customFormat="false" ht="15" hidden="false" customHeight="false" outlineLevel="0" collapsed="false">
      <c r="A484" s="0" t="s">
        <v>226</v>
      </c>
      <c r="B484" s="0" t="s">
        <v>464</v>
      </c>
      <c r="C484" s="0" t="s">
        <v>127</v>
      </c>
      <c r="D484" s="0" t="n">
        <v>2021</v>
      </c>
      <c r="E484" s="59" t="n">
        <v>29639737</v>
      </c>
      <c r="F484" s="60" t="n">
        <v>11.35</v>
      </c>
      <c r="G484" s="61" t="n">
        <v>0</v>
      </c>
      <c r="H484" s="61" t="n">
        <v>8.62</v>
      </c>
      <c r="I484" s="61" t="n">
        <v>0.02</v>
      </c>
      <c r="J484" s="61" t="n">
        <v>0</v>
      </c>
      <c r="K484" s="61" t="n">
        <v>2.61</v>
      </c>
      <c r="L484" s="61" t="n">
        <v>0.02</v>
      </c>
      <c r="M484" s="61" t="n">
        <v>0</v>
      </c>
      <c r="N484" s="61" t="n">
        <v>0.08</v>
      </c>
      <c r="O484" s="61" t="n">
        <v>0</v>
      </c>
      <c r="P484" s="62" t="n">
        <v>431.7</v>
      </c>
      <c r="Q484" s="0" t="n">
        <v>0</v>
      </c>
      <c r="R484" s="60" t="n">
        <f aca="false">G484+H484+I484</f>
        <v>8.64</v>
      </c>
      <c r="S484" s="60" t="n">
        <f aca="false">K484+L484+M484+N484+O484</f>
        <v>2.71</v>
      </c>
      <c r="T484" s="60" t="n">
        <f aca="false">L484+M484</f>
        <v>0.02</v>
      </c>
      <c r="U484" s="60" t="n">
        <f aca="false">S484+J484</f>
        <v>2.71</v>
      </c>
      <c r="V484" s="63" t="n">
        <f aca="false">IFERROR(S484/F484,0)</f>
        <v>0.238766519823789</v>
      </c>
      <c r="W484" s="63" t="n">
        <f aca="false">IFERROR(R484/F484,0)</f>
        <v>0.761233480176211</v>
      </c>
      <c r="X484" s="63" t="n">
        <f aca="false">IFERROR(T484/F484,0)</f>
        <v>0.00176211453744493</v>
      </c>
      <c r="Y484" s="63" t="n">
        <f aca="false">IFERROR(G484/F484,0)</f>
        <v>0</v>
      </c>
      <c r="Z484" s="59" t="n">
        <f aca="false">IF(E484&gt;0,F484*1000000000/E484,"")</f>
        <v>382.931872843541</v>
      </c>
      <c r="AA484" s="63" t="n">
        <f aca="false">IFERROR((R484+S484+J484)/F484,0)</f>
        <v>1</v>
      </c>
      <c r="AB484" s="0" t="str">
        <f aca="false">A484&amp;"|"&amp;D484</f>
        <v>Cote d'Ivoire|2021</v>
      </c>
    </row>
    <row r="485" customFormat="false" ht="15" hidden="false" customHeight="false" outlineLevel="0" collapsed="false">
      <c r="A485" s="0" t="s">
        <v>226</v>
      </c>
      <c r="B485" s="0" t="s">
        <v>464</v>
      </c>
      <c r="C485" s="0" t="s">
        <v>127</v>
      </c>
      <c r="D485" s="0" t="n">
        <v>2022</v>
      </c>
      <c r="E485" s="59" t="n">
        <v>30395004</v>
      </c>
      <c r="F485" s="60" t="n">
        <v>12.61</v>
      </c>
      <c r="G485" s="61" t="n">
        <v>0</v>
      </c>
      <c r="H485" s="61" t="n">
        <v>9.14</v>
      </c>
      <c r="I485" s="61" t="n">
        <v>0.02</v>
      </c>
      <c r="J485" s="61" t="n">
        <v>0</v>
      </c>
      <c r="K485" s="61" t="n">
        <v>3.35</v>
      </c>
      <c r="L485" s="61" t="n">
        <v>0.02</v>
      </c>
      <c r="M485" s="61" t="n">
        <v>0</v>
      </c>
      <c r="N485" s="61" t="n">
        <v>0.08</v>
      </c>
      <c r="O485" s="61" t="n">
        <v>0</v>
      </c>
      <c r="P485" s="62" t="n">
        <v>413.2</v>
      </c>
      <c r="Q485" s="0" t="n">
        <v>0</v>
      </c>
      <c r="R485" s="60" t="n">
        <f aca="false">G485+H485+I485</f>
        <v>9.16</v>
      </c>
      <c r="S485" s="60" t="n">
        <f aca="false">K485+L485+M485+N485+O485</f>
        <v>3.45</v>
      </c>
      <c r="T485" s="60" t="n">
        <f aca="false">L485+M485</f>
        <v>0.02</v>
      </c>
      <c r="U485" s="60" t="n">
        <f aca="false">S485+J485</f>
        <v>3.45</v>
      </c>
      <c r="V485" s="63" t="n">
        <f aca="false">IFERROR(S485/F485,0)</f>
        <v>0.273592386994449</v>
      </c>
      <c r="W485" s="63" t="n">
        <f aca="false">IFERROR(R485/F485,0)</f>
        <v>0.726407613005551</v>
      </c>
      <c r="X485" s="63" t="n">
        <f aca="false">IFERROR(T485/F485,0)</f>
        <v>0.00158604282315623</v>
      </c>
      <c r="Y485" s="63" t="n">
        <f aca="false">IFERROR(G485/F485,0)</f>
        <v>0</v>
      </c>
      <c r="Z485" s="59" t="n">
        <f aca="false">IF(E485&gt;0,F485*1000000000/E485,"")</f>
        <v>414.870812321657</v>
      </c>
      <c r="AA485" s="63" t="n">
        <f aca="false">IFERROR((R485+S485+J485)/F485,0)</f>
        <v>1</v>
      </c>
      <c r="AB485" s="0" t="str">
        <f aca="false">A485&amp;"|"&amp;D485</f>
        <v>Cote d'Ivoire|2022</v>
      </c>
    </row>
    <row r="486" customFormat="false" ht="15" hidden="false" customHeight="false" outlineLevel="0" collapsed="false">
      <c r="A486" s="0" t="s">
        <v>226</v>
      </c>
      <c r="B486" s="0" t="s">
        <v>464</v>
      </c>
      <c r="C486" s="0" t="s">
        <v>127</v>
      </c>
      <c r="D486" s="0" t="n">
        <v>2023</v>
      </c>
      <c r="E486" s="59" t="n">
        <v>31165653</v>
      </c>
      <c r="F486" s="60" t="n">
        <v>10.98</v>
      </c>
      <c r="G486" s="61" t="n">
        <v>0</v>
      </c>
      <c r="H486" s="61" t="n">
        <v>7.65</v>
      </c>
      <c r="I486" s="61" t="n">
        <v>0.02</v>
      </c>
      <c r="J486" s="61" t="n">
        <v>0</v>
      </c>
      <c r="K486" s="61" t="n">
        <v>3.2</v>
      </c>
      <c r="L486" s="61" t="n">
        <v>0.02</v>
      </c>
      <c r="M486" s="61" t="n">
        <v>0</v>
      </c>
      <c r="N486" s="61" t="n">
        <v>0.09</v>
      </c>
      <c r="O486" s="61" t="n">
        <v>0</v>
      </c>
      <c r="P486" s="62" t="n">
        <v>398.9</v>
      </c>
      <c r="Q486" s="0" t="n">
        <v>0</v>
      </c>
      <c r="R486" s="60" t="n">
        <f aca="false">G486+H486+I486</f>
        <v>7.67</v>
      </c>
      <c r="S486" s="60" t="n">
        <f aca="false">K486+L486+M486+N486+O486</f>
        <v>3.31</v>
      </c>
      <c r="T486" s="60" t="n">
        <f aca="false">L486+M486</f>
        <v>0.02</v>
      </c>
      <c r="U486" s="60" t="n">
        <f aca="false">S486+J486</f>
        <v>3.31</v>
      </c>
      <c r="V486" s="63" t="n">
        <f aca="false">IFERROR(S486/F486,0)</f>
        <v>0.301457194899818</v>
      </c>
      <c r="W486" s="63" t="n">
        <f aca="false">IFERROR(R486/F486,0)</f>
        <v>0.698542805100182</v>
      </c>
      <c r="X486" s="63" t="n">
        <f aca="false">IFERROR(T486/F486,0)</f>
        <v>0.00182149362477231</v>
      </c>
      <c r="Y486" s="63" t="n">
        <f aca="false">IFERROR(G486/F486,0)</f>
        <v>0</v>
      </c>
      <c r="Z486" s="59" t="n">
        <f aca="false">IF(E486&gt;0,F486*1000000000/E486,"")</f>
        <v>352.310923823736</v>
      </c>
      <c r="AA486" s="63" t="n">
        <f aca="false">IFERROR((R486+S486+J486)/F486,0)</f>
        <v>1</v>
      </c>
      <c r="AB486" s="0" t="str">
        <f aca="false">A486&amp;"|"&amp;D486</f>
        <v>Cote d'Ivoire|2023</v>
      </c>
    </row>
    <row r="487" customFormat="false" ht="15" hidden="false" customHeight="false" outlineLevel="0" collapsed="false">
      <c r="A487" s="0" t="s">
        <v>226</v>
      </c>
      <c r="B487" s="0" t="s">
        <v>464</v>
      </c>
      <c r="C487" s="0" t="s">
        <v>127</v>
      </c>
      <c r="D487" s="0" t="n">
        <v>2024</v>
      </c>
      <c r="E487" s="59" t="n">
        <v>31934229</v>
      </c>
      <c r="F487" s="60" t="n">
        <v>10.79</v>
      </c>
      <c r="G487" s="61" t="n">
        <v>0</v>
      </c>
      <c r="H487" s="61" t="n">
        <v>7.65</v>
      </c>
      <c r="I487" s="61" t="n">
        <v>0.02</v>
      </c>
      <c r="J487" s="61" t="n">
        <v>0</v>
      </c>
      <c r="K487" s="61" t="n">
        <v>3</v>
      </c>
      <c r="L487" s="61" t="n">
        <v>0.02</v>
      </c>
      <c r="M487" s="61" t="n">
        <v>0</v>
      </c>
      <c r="N487" s="61" t="n">
        <v>0.1</v>
      </c>
      <c r="O487" s="61" t="n">
        <v>0</v>
      </c>
      <c r="P487" s="62" t="n">
        <v>405</v>
      </c>
      <c r="Q487" s="0" t="n">
        <v>0</v>
      </c>
      <c r="R487" s="60" t="n">
        <f aca="false">G487+H487+I487</f>
        <v>7.67</v>
      </c>
      <c r="S487" s="60" t="n">
        <f aca="false">K487+L487+M487+N487+O487</f>
        <v>3.12</v>
      </c>
      <c r="T487" s="60" t="n">
        <f aca="false">L487+M487</f>
        <v>0.02</v>
      </c>
      <c r="U487" s="60" t="n">
        <f aca="false">S487+J487</f>
        <v>3.12</v>
      </c>
      <c r="V487" s="63" t="n">
        <f aca="false">IFERROR(S487/F487,0)</f>
        <v>0.289156626506024</v>
      </c>
      <c r="W487" s="63" t="n">
        <f aca="false">IFERROR(R487/F487,0)</f>
        <v>0.710843373493976</v>
      </c>
      <c r="X487" s="63" t="n">
        <f aca="false">IFERROR(T487/F487,0)</f>
        <v>0.00185356811862836</v>
      </c>
      <c r="Y487" s="63" t="n">
        <f aca="false">IFERROR(G487/F487,0)</f>
        <v>0</v>
      </c>
      <c r="Z487" s="59" t="n">
        <f aca="false">IF(E487&gt;0,F487*1000000000/E487,"")</f>
        <v>337.881963582086</v>
      </c>
      <c r="AA487" s="63" t="n">
        <f aca="false">IFERROR((R487+S487+J487)/F487,0)</f>
        <v>1</v>
      </c>
      <c r="AB487" s="0" t="str">
        <f aca="false">A487&amp;"|"&amp;D487</f>
        <v>Cote d'Ivoire|2024</v>
      </c>
    </row>
    <row r="488" customFormat="false" ht="15" hidden="false" customHeight="false" outlineLevel="0" collapsed="false">
      <c r="A488" s="0" t="s">
        <v>227</v>
      </c>
      <c r="B488" s="0" t="s">
        <v>465</v>
      </c>
      <c r="C488" s="0" t="s">
        <v>127</v>
      </c>
      <c r="D488" s="0" t="n">
        <v>2015</v>
      </c>
      <c r="E488" s="59" t="n">
        <v>4183732</v>
      </c>
      <c r="F488" s="60" t="n">
        <v>11.24</v>
      </c>
      <c r="G488" s="61" t="n">
        <v>2.31</v>
      </c>
      <c r="H488" s="61" t="n">
        <v>1.2</v>
      </c>
      <c r="I488" s="61" t="n">
        <v>0.21</v>
      </c>
      <c r="J488" s="61" t="n">
        <v>0</v>
      </c>
      <c r="K488" s="61" t="n">
        <v>6.39</v>
      </c>
      <c r="L488" s="61" t="n">
        <v>0.06</v>
      </c>
      <c r="M488" s="61" t="n">
        <v>0.8</v>
      </c>
      <c r="N488" s="61" t="n">
        <v>0.27</v>
      </c>
      <c r="O488" s="61" t="n">
        <v>0</v>
      </c>
      <c r="P488" s="62" t="n">
        <v>274.9</v>
      </c>
      <c r="Q488" s="0" t="n">
        <v>0</v>
      </c>
      <c r="R488" s="60" t="n">
        <f aca="false">G488+H488+I488</f>
        <v>3.72</v>
      </c>
      <c r="S488" s="60" t="n">
        <f aca="false">K488+L488+M488+N488+O488</f>
        <v>7.52</v>
      </c>
      <c r="T488" s="60" t="n">
        <f aca="false">L488+M488</f>
        <v>0.86</v>
      </c>
      <c r="U488" s="60" t="n">
        <f aca="false">S488+J488</f>
        <v>7.52</v>
      </c>
      <c r="V488" s="63" t="n">
        <f aca="false">IFERROR(S488/F488,0)</f>
        <v>0.669039145907473</v>
      </c>
      <c r="W488" s="63" t="n">
        <f aca="false">IFERROR(R488/F488,0)</f>
        <v>0.330960854092527</v>
      </c>
      <c r="X488" s="63" t="n">
        <f aca="false">IFERROR(T488/F488,0)</f>
        <v>0.0765124555160142</v>
      </c>
      <c r="Y488" s="63" t="n">
        <f aca="false">IFERROR(G488/F488,0)</f>
        <v>0.205516014234875</v>
      </c>
      <c r="Z488" s="59" t="n">
        <f aca="false">IF(E488&gt;0,F488*1000000000/E488,"")</f>
        <v>2686.59656020032</v>
      </c>
      <c r="AA488" s="63" t="n">
        <f aca="false">IFERROR((R488+S488+J488)/F488,0)</f>
        <v>1</v>
      </c>
      <c r="AB488" s="0" t="str">
        <f aca="false">A488&amp;"|"&amp;D488</f>
        <v>Croatia|2015</v>
      </c>
    </row>
    <row r="489" customFormat="false" ht="15" hidden="false" customHeight="false" outlineLevel="0" collapsed="false">
      <c r="A489" s="0" t="s">
        <v>227</v>
      </c>
      <c r="B489" s="0" t="s">
        <v>465</v>
      </c>
      <c r="C489" s="0" t="s">
        <v>127</v>
      </c>
      <c r="D489" s="0" t="n">
        <v>2016</v>
      </c>
      <c r="E489" s="59" t="n">
        <v>4136438</v>
      </c>
      <c r="F489" s="60" t="n">
        <v>12.6</v>
      </c>
      <c r="G489" s="61" t="n">
        <v>2.6</v>
      </c>
      <c r="H489" s="61" t="n">
        <v>1.59</v>
      </c>
      <c r="I489" s="61" t="n">
        <v>0.05</v>
      </c>
      <c r="J489" s="61" t="n">
        <v>0</v>
      </c>
      <c r="K489" s="61" t="n">
        <v>6.85</v>
      </c>
      <c r="L489" s="61" t="n">
        <v>0.07</v>
      </c>
      <c r="M489" s="61" t="n">
        <v>1.01</v>
      </c>
      <c r="N489" s="61" t="n">
        <v>0.43</v>
      </c>
      <c r="O489" s="61" t="n">
        <v>0</v>
      </c>
      <c r="P489" s="62" t="n">
        <v>275.4</v>
      </c>
      <c r="Q489" s="0" t="n">
        <v>0</v>
      </c>
      <c r="R489" s="60" t="n">
        <f aca="false">G489+H489+I489</f>
        <v>4.24</v>
      </c>
      <c r="S489" s="60" t="n">
        <f aca="false">K489+L489+M489+N489+O489</f>
        <v>8.36</v>
      </c>
      <c r="T489" s="60" t="n">
        <f aca="false">L489+M489</f>
        <v>1.08</v>
      </c>
      <c r="U489" s="60" t="n">
        <f aca="false">S489+J489</f>
        <v>8.36</v>
      </c>
      <c r="V489" s="63" t="n">
        <f aca="false">IFERROR(S489/F489,0)</f>
        <v>0.663492063492064</v>
      </c>
      <c r="W489" s="63" t="n">
        <f aca="false">IFERROR(R489/F489,0)</f>
        <v>0.336507936507937</v>
      </c>
      <c r="X489" s="63" t="n">
        <f aca="false">IFERROR(T489/F489,0)</f>
        <v>0.0857142857142857</v>
      </c>
      <c r="Y489" s="63" t="n">
        <f aca="false">IFERROR(G489/F489,0)</f>
        <v>0.206349206349206</v>
      </c>
      <c r="Z489" s="59" t="n">
        <f aca="false">IF(E489&gt;0,F489*1000000000/E489,"")</f>
        <v>3046.09908331758</v>
      </c>
      <c r="AA489" s="63" t="n">
        <f aca="false">IFERROR((R489+S489+J489)/F489,0)</f>
        <v>1</v>
      </c>
      <c r="AB489" s="0" t="str">
        <f aca="false">A489&amp;"|"&amp;D489</f>
        <v>Croatia|2016</v>
      </c>
    </row>
    <row r="490" customFormat="false" ht="15" hidden="false" customHeight="false" outlineLevel="0" collapsed="false">
      <c r="A490" s="0" t="s">
        <v>227</v>
      </c>
      <c r="B490" s="0" t="s">
        <v>465</v>
      </c>
      <c r="C490" s="0" t="s">
        <v>127</v>
      </c>
      <c r="D490" s="0" t="n">
        <v>2017</v>
      </c>
      <c r="E490" s="59" t="n">
        <v>4079198</v>
      </c>
      <c r="F490" s="60" t="n">
        <v>11.77</v>
      </c>
      <c r="G490" s="61" t="n">
        <v>1.37</v>
      </c>
      <c r="H490" s="61" t="n">
        <v>3.09</v>
      </c>
      <c r="I490" s="61" t="n">
        <v>0.19</v>
      </c>
      <c r="J490" s="61" t="n">
        <v>0</v>
      </c>
      <c r="K490" s="61" t="n">
        <v>5.31</v>
      </c>
      <c r="L490" s="61" t="n">
        <v>0.08</v>
      </c>
      <c r="M490" s="61" t="n">
        <v>1.2</v>
      </c>
      <c r="N490" s="61" t="n">
        <v>0.53</v>
      </c>
      <c r="O490" s="61" t="n">
        <v>0</v>
      </c>
      <c r="P490" s="62" t="n">
        <v>255.7</v>
      </c>
      <c r="Q490" s="0" t="n">
        <v>0</v>
      </c>
      <c r="R490" s="60" t="n">
        <f aca="false">G490+H490+I490</f>
        <v>4.65</v>
      </c>
      <c r="S490" s="60" t="n">
        <f aca="false">K490+L490+M490+N490+O490</f>
        <v>7.12</v>
      </c>
      <c r="T490" s="60" t="n">
        <f aca="false">L490+M490</f>
        <v>1.28</v>
      </c>
      <c r="U490" s="60" t="n">
        <f aca="false">S490+J490</f>
        <v>7.12</v>
      </c>
      <c r="V490" s="63" t="n">
        <f aca="false">IFERROR(S490/F490,0)</f>
        <v>0.604927782497876</v>
      </c>
      <c r="W490" s="63" t="n">
        <f aca="false">IFERROR(R490/F490,0)</f>
        <v>0.395072217502124</v>
      </c>
      <c r="X490" s="63" t="n">
        <f aca="false">IFERROR(T490/F490,0)</f>
        <v>0.10875106202209</v>
      </c>
      <c r="Y490" s="63" t="n">
        <f aca="false">IFERROR(G490/F490,0)</f>
        <v>0.116397621070518</v>
      </c>
      <c r="Z490" s="59" t="n">
        <f aca="false">IF(E490&gt;0,F490*1000000000/E490,"")</f>
        <v>2885.37109500446</v>
      </c>
      <c r="AA490" s="63" t="n">
        <f aca="false">IFERROR((R490+S490+J490)/F490,0)</f>
        <v>1</v>
      </c>
      <c r="AB490" s="0" t="str">
        <f aca="false">A490&amp;"|"&amp;D490</f>
        <v>Croatia|2017</v>
      </c>
    </row>
    <row r="491" customFormat="false" ht="15" hidden="false" customHeight="false" outlineLevel="0" collapsed="false">
      <c r="A491" s="0" t="s">
        <v>227</v>
      </c>
      <c r="B491" s="0" t="s">
        <v>465</v>
      </c>
      <c r="C491" s="0" t="s">
        <v>127</v>
      </c>
      <c r="D491" s="0" t="n">
        <v>2018</v>
      </c>
      <c r="E491" s="59" t="n">
        <v>4024868</v>
      </c>
      <c r="F491" s="60" t="n">
        <v>13.52</v>
      </c>
      <c r="G491" s="61" t="n">
        <v>1.45</v>
      </c>
      <c r="H491" s="61" t="n">
        <v>2.25</v>
      </c>
      <c r="I491" s="61" t="n">
        <v>0.04</v>
      </c>
      <c r="J491" s="61" t="n">
        <v>0</v>
      </c>
      <c r="K491" s="61" t="n">
        <v>7.7</v>
      </c>
      <c r="L491" s="61" t="n">
        <v>0.07</v>
      </c>
      <c r="M491" s="61" t="n">
        <v>1.34</v>
      </c>
      <c r="N491" s="61" t="n">
        <v>0.67</v>
      </c>
      <c r="O491" s="61" t="n">
        <v>0</v>
      </c>
      <c r="P491" s="62" t="n">
        <v>201.2</v>
      </c>
      <c r="Q491" s="0" t="n">
        <v>0</v>
      </c>
      <c r="R491" s="60" t="n">
        <f aca="false">G491+H491+I491</f>
        <v>3.74</v>
      </c>
      <c r="S491" s="60" t="n">
        <f aca="false">K491+L491+M491+N491+O491</f>
        <v>9.78</v>
      </c>
      <c r="T491" s="60" t="n">
        <f aca="false">L491+M491</f>
        <v>1.41</v>
      </c>
      <c r="U491" s="60" t="n">
        <f aca="false">S491+J491</f>
        <v>9.78</v>
      </c>
      <c r="V491" s="63" t="n">
        <f aca="false">IFERROR(S491/F491,0)</f>
        <v>0.723372781065089</v>
      </c>
      <c r="W491" s="63" t="n">
        <f aca="false">IFERROR(R491/F491,0)</f>
        <v>0.276627218934911</v>
      </c>
      <c r="X491" s="63" t="n">
        <f aca="false">IFERROR(T491/F491,0)</f>
        <v>0.104289940828402</v>
      </c>
      <c r="Y491" s="63" t="n">
        <f aca="false">IFERROR(G491/F491,0)</f>
        <v>0.107248520710059</v>
      </c>
      <c r="Z491" s="59" t="n">
        <f aca="false">IF(E491&gt;0,F491*1000000000/E491,"")</f>
        <v>3359.11637350591</v>
      </c>
      <c r="AA491" s="63" t="n">
        <f aca="false">IFERROR((R491+S491+J491)/F491,0)</f>
        <v>1</v>
      </c>
      <c r="AB491" s="0" t="str">
        <f aca="false">A491&amp;"|"&amp;D491</f>
        <v>Croatia|2018</v>
      </c>
    </row>
    <row r="492" customFormat="false" ht="15" hidden="false" customHeight="false" outlineLevel="0" collapsed="false">
      <c r="A492" s="0" t="s">
        <v>227</v>
      </c>
      <c r="B492" s="0" t="s">
        <v>465</v>
      </c>
      <c r="C492" s="0" t="s">
        <v>127</v>
      </c>
      <c r="D492" s="0" t="n">
        <v>2019</v>
      </c>
      <c r="E492" s="59" t="n">
        <v>3986338</v>
      </c>
      <c r="F492" s="60" t="n">
        <v>12.65</v>
      </c>
      <c r="G492" s="61" t="n">
        <v>1.64</v>
      </c>
      <c r="H492" s="61" t="n">
        <v>2.63</v>
      </c>
      <c r="I492" s="61" t="n">
        <v>0.03</v>
      </c>
      <c r="J492" s="61" t="n">
        <v>0</v>
      </c>
      <c r="K492" s="61" t="n">
        <v>5.83</v>
      </c>
      <c r="L492" s="61" t="n">
        <v>0.08</v>
      </c>
      <c r="M492" s="61" t="n">
        <v>1.47</v>
      </c>
      <c r="N492" s="61" t="n">
        <v>0.88</v>
      </c>
      <c r="O492" s="61" t="n">
        <v>0.09</v>
      </c>
      <c r="P492" s="62" t="n">
        <v>242.7</v>
      </c>
      <c r="Q492" s="0" t="n">
        <v>0</v>
      </c>
      <c r="R492" s="60" t="n">
        <f aca="false">G492+H492+I492</f>
        <v>4.3</v>
      </c>
      <c r="S492" s="60" t="n">
        <f aca="false">K492+L492+M492+N492+O492</f>
        <v>8.35</v>
      </c>
      <c r="T492" s="60" t="n">
        <f aca="false">L492+M492</f>
        <v>1.55</v>
      </c>
      <c r="U492" s="60" t="n">
        <f aca="false">S492+J492</f>
        <v>8.35</v>
      </c>
      <c r="V492" s="63" t="n">
        <f aca="false">IFERROR(S492/F492,0)</f>
        <v>0.660079051383399</v>
      </c>
      <c r="W492" s="63" t="n">
        <f aca="false">IFERROR(R492/F492,0)</f>
        <v>0.339920948616601</v>
      </c>
      <c r="X492" s="63" t="n">
        <f aca="false">IFERROR(T492/F492,0)</f>
        <v>0.122529644268775</v>
      </c>
      <c r="Y492" s="63" t="n">
        <f aca="false">IFERROR(G492/F492,0)</f>
        <v>0.129644268774704</v>
      </c>
      <c r="Z492" s="59" t="n">
        <f aca="false">IF(E492&gt;0,F492*1000000000/E492,"")</f>
        <v>3173.33853777577</v>
      </c>
      <c r="AA492" s="63" t="n">
        <f aca="false">IFERROR((R492+S492+J492)/F492,0)</f>
        <v>1</v>
      </c>
      <c r="AB492" s="0" t="str">
        <f aca="false">A492&amp;"|"&amp;D492</f>
        <v>Croatia|2019</v>
      </c>
    </row>
    <row r="493" customFormat="false" ht="15" hidden="false" customHeight="false" outlineLevel="0" collapsed="false">
      <c r="A493" s="0" t="s">
        <v>227</v>
      </c>
      <c r="B493" s="0" t="s">
        <v>465</v>
      </c>
      <c r="C493" s="0" t="s">
        <v>127</v>
      </c>
      <c r="D493" s="0" t="n">
        <v>2020</v>
      </c>
      <c r="E493" s="59" t="n">
        <v>3953956</v>
      </c>
      <c r="F493" s="60" t="n">
        <v>13.23</v>
      </c>
      <c r="G493" s="61" t="n">
        <v>1.22</v>
      </c>
      <c r="H493" s="61" t="n">
        <v>3.44</v>
      </c>
      <c r="I493" s="61" t="n">
        <v>0.02</v>
      </c>
      <c r="J493" s="61" t="n">
        <v>0</v>
      </c>
      <c r="K493" s="61" t="n">
        <v>5.66</v>
      </c>
      <c r="L493" s="61" t="n">
        <v>0.1</v>
      </c>
      <c r="M493" s="61" t="n">
        <v>1.72</v>
      </c>
      <c r="N493" s="61" t="n">
        <v>0.98</v>
      </c>
      <c r="O493" s="61" t="n">
        <v>0.09</v>
      </c>
      <c r="P493" s="62" t="n">
        <v>226.8</v>
      </c>
      <c r="Q493" s="0" t="n">
        <v>0</v>
      </c>
      <c r="R493" s="60" t="n">
        <f aca="false">G493+H493+I493</f>
        <v>4.68</v>
      </c>
      <c r="S493" s="60" t="n">
        <f aca="false">K493+L493+M493+N493+O493</f>
        <v>8.55</v>
      </c>
      <c r="T493" s="60" t="n">
        <f aca="false">L493+M493</f>
        <v>1.82</v>
      </c>
      <c r="U493" s="60" t="n">
        <f aca="false">S493+J493</f>
        <v>8.55</v>
      </c>
      <c r="V493" s="63" t="n">
        <f aca="false">IFERROR(S493/F493,0)</f>
        <v>0.646258503401361</v>
      </c>
      <c r="W493" s="63" t="n">
        <f aca="false">IFERROR(R493/F493,0)</f>
        <v>0.353741496598639</v>
      </c>
      <c r="X493" s="63" t="n">
        <f aca="false">IFERROR(T493/F493,0)</f>
        <v>0.137566137566138</v>
      </c>
      <c r="Y493" s="63" t="n">
        <f aca="false">IFERROR(G493/F493,0)</f>
        <v>0.0922146636432351</v>
      </c>
      <c r="Z493" s="59" t="n">
        <f aca="false">IF(E493&gt;0,F493*1000000000/E493,"")</f>
        <v>3346.0159900616</v>
      </c>
      <c r="AA493" s="63" t="n">
        <f aca="false">IFERROR((R493+S493+J493)/F493,0)</f>
        <v>1</v>
      </c>
      <c r="AB493" s="0" t="str">
        <f aca="false">A493&amp;"|"&amp;D493</f>
        <v>Croatia|2020</v>
      </c>
    </row>
    <row r="494" customFormat="false" ht="15" hidden="false" customHeight="false" outlineLevel="0" collapsed="false">
      <c r="A494" s="0" t="s">
        <v>227</v>
      </c>
      <c r="B494" s="0" t="s">
        <v>465</v>
      </c>
      <c r="C494" s="0" t="s">
        <v>127</v>
      </c>
      <c r="D494" s="0" t="n">
        <v>2021</v>
      </c>
      <c r="E494" s="59" t="n">
        <v>3924607</v>
      </c>
      <c r="F494" s="60" t="n">
        <v>15.11</v>
      </c>
      <c r="G494" s="61" t="n">
        <v>1.46</v>
      </c>
      <c r="H494" s="61" t="n">
        <v>3.1</v>
      </c>
      <c r="I494" s="61" t="n">
        <v>0.02</v>
      </c>
      <c r="J494" s="61" t="n">
        <v>0</v>
      </c>
      <c r="K494" s="61" t="n">
        <v>7.13</v>
      </c>
      <c r="L494" s="61" t="n">
        <v>0.15</v>
      </c>
      <c r="M494" s="61" t="n">
        <v>2.06</v>
      </c>
      <c r="N494" s="61" t="n">
        <v>1.1</v>
      </c>
      <c r="O494" s="61" t="n">
        <v>0.09</v>
      </c>
      <c r="P494" s="62" t="n">
        <v>210.5</v>
      </c>
      <c r="Q494" s="0" t="n">
        <v>0</v>
      </c>
      <c r="R494" s="60" t="n">
        <f aca="false">G494+H494+I494</f>
        <v>4.58</v>
      </c>
      <c r="S494" s="60" t="n">
        <f aca="false">K494+L494+M494+N494+O494</f>
        <v>10.53</v>
      </c>
      <c r="T494" s="60" t="n">
        <f aca="false">L494+M494</f>
        <v>2.21</v>
      </c>
      <c r="U494" s="60" t="n">
        <f aca="false">S494+J494</f>
        <v>10.53</v>
      </c>
      <c r="V494" s="63" t="n">
        <f aca="false">IFERROR(S494/F494,0)</f>
        <v>0.696889477167439</v>
      </c>
      <c r="W494" s="63" t="n">
        <f aca="false">IFERROR(R494/F494,0)</f>
        <v>0.303110522832561</v>
      </c>
      <c r="X494" s="63" t="n">
        <f aca="false">IFERROR(T494/F494,0)</f>
        <v>0.14626075446724</v>
      </c>
      <c r="Y494" s="63" t="n">
        <f aca="false">IFERROR(G494/F494,0)</f>
        <v>0.0966247518199868</v>
      </c>
      <c r="Z494" s="59" t="n">
        <f aca="false">IF(E494&gt;0,F494*1000000000/E494,"")</f>
        <v>3850.0670258194</v>
      </c>
      <c r="AA494" s="63" t="n">
        <f aca="false">IFERROR((R494+S494+J494)/F494,0)</f>
        <v>1</v>
      </c>
      <c r="AB494" s="0" t="str">
        <f aca="false">A494&amp;"|"&amp;D494</f>
        <v>Croatia|2021</v>
      </c>
    </row>
    <row r="495" customFormat="false" ht="15" hidden="false" customHeight="false" outlineLevel="0" collapsed="false">
      <c r="A495" s="0" t="s">
        <v>227</v>
      </c>
      <c r="B495" s="0" t="s">
        <v>465</v>
      </c>
      <c r="C495" s="0" t="s">
        <v>127</v>
      </c>
      <c r="D495" s="0" t="n">
        <v>2022</v>
      </c>
      <c r="E495" s="59" t="n">
        <v>3907031</v>
      </c>
      <c r="F495" s="60" t="n">
        <v>14.1</v>
      </c>
      <c r="G495" s="61" t="n">
        <v>1.56</v>
      </c>
      <c r="H495" s="61" t="n">
        <v>3.51</v>
      </c>
      <c r="I495" s="61" t="n">
        <v>0.08</v>
      </c>
      <c r="J495" s="61" t="n">
        <v>0</v>
      </c>
      <c r="K495" s="61" t="n">
        <v>5.46</v>
      </c>
      <c r="L495" s="61" t="n">
        <v>0.15</v>
      </c>
      <c r="M495" s="61" t="n">
        <v>2.14</v>
      </c>
      <c r="N495" s="61" t="n">
        <v>1.13</v>
      </c>
      <c r="O495" s="61" t="n">
        <v>0.07</v>
      </c>
      <c r="P495" s="62" t="n">
        <v>244.7</v>
      </c>
      <c r="Q495" s="0" t="n">
        <v>0</v>
      </c>
      <c r="R495" s="60" t="n">
        <f aca="false">G495+H495+I495</f>
        <v>5.15</v>
      </c>
      <c r="S495" s="60" t="n">
        <f aca="false">K495+L495+M495+N495+O495</f>
        <v>8.95</v>
      </c>
      <c r="T495" s="60" t="n">
        <f aca="false">L495+M495</f>
        <v>2.29</v>
      </c>
      <c r="U495" s="60" t="n">
        <f aca="false">S495+J495</f>
        <v>8.95</v>
      </c>
      <c r="V495" s="63" t="n">
        <f aca="false">IFERROR(S495/F495,0)</f>
        <v>0.634751773049645</v>
      </c>
      <c r="W495" s="63" t="n">
        <f aca="false">IFERROR(R495/F495,0)</f>
        <v>0.365248226950355</v>
      </c>
      <c r="X495" s="63" t="n">
        <f aca="false">IFERROR(T495/F495,0)</f>
        <v>0.162411347517731</v>
      </c>
      <c r="Y495" s="63" t="n">
        <f aca="false">IFERROR(G495/F495,0)</f>
        <v>0.11063829787234</v>
      </c>
      <c r="Z495" s="59" t="n">
        <f aca="false">IF(E495&gt;0,F495*1000000000/E495,"")</f>
        <v>3608.87845527717</v>
      </c>
      <c r="AA495" s="63" t="n">
        <f aca="false">IFERROR((R495+S495+J495)/F495,0)</f>
        <v>1</v>
      </c>
      <c r="AB495" s="0" t="str">
        <f aca="false">A495&amp;"|"&amp;D495</f>
        <v>Croatia|2022</v>
      </c>
    </row>
    <row r="496" customFormat="false" ht="15" hidden="false" customHeight="false" outlineLevel="0" collapsed="false">
      <c r="A496" s="0" t="s">
        <v>227</v>
      </c>
      <c r="B496" s="0" t="s">
        <v>465</v>
      </c>
      <c r="C496" s="0" t="s">
        <v>127</v>
      </c>
      <c r="D496" s="0" t="n">
        <v>2023</v>
      </c>
      <c r="E496" s="59" t="n">
        <v>3896023</v>
      </c>
      <c r="F496" s="60" t="n">
        <v>17.44</v>
      </c>
      <c r="G496" s="61" t="n">
        <v>1.33</v>
      </c>
      <c r="H496" s="61" t="n">
        <v>3.86</v>
      </c>
      <c r="I496" s="61" t="n">
        <v>0.02</v>
      </c>
      <c r="J496" s="61" t="n">
        <v>0</v>
      </c>
      <c r="K496" s="61" t="n">
        <v>8.16</v>
      </c>
      <c r="L496" s="61" t="n">
        <v>0.41</v>
      </c>
      <c r="M496" s="61" t="n">
        <v>2.59</v>
      </c>
      <c r="N496" s="61" t="n">
        <v>1.05</v>
      </c>
      <c r="O496" s="61" t="n">
        <v>0.02</v>
      </c>
      <c r="P496" s="62" t="n">
        <v>194.9</v>
      </c>
      <c r="Q496" s="0" t="n">
        <v>0</v>
      </c>
      <c r="R496" s="60" t="n">
        <f aca="false">G496+H496+I496</f>
        <v>5.21</v>
      </c>
      <c r="S496" s="60" t="n">
        <f aca="false">K496+L496+M496+N496+O496</f>
        <v>12.23</v>
      </c>
      <c r="T496" s="60" t="n">
        <f aca="false">L496+M496</f>
        <v>3</v>
      </c>
      <c r="U496" s="60" t="n">
        <f aca="false">S496+J496</f>
        <v>12.23</v>
      </c>
      <c r="V496" s="63" t="n">
        <f aca="false">IFERROR(S496/F496,0)</f>
        <v>0.701261467889908</v>
      </c>
      <c r="W496" s="63" t="n">
        <f aca="false">IFERROR(R496/F496,0)</f>
        <v>0.298738532110092</v>
      </c>
      <c r="X496" s="63" t="n">
        <f aca="false">IFERROR(T496/F496,0)</f>
        <v>0.172018348623853</v>
      </c>
      <c r="Y496" s="63" t="n">
        <f aca="false">IFERROR(G496/F496,0)</f>
        <v>0.0762614678899083</v>
      </c>
      <c r="Z496" s="59" t="n">
        <f aca="false">IF(E496&gt;0,F496*1000000000/E496,"")</f>
        <v>4476.35961081339</v>
      </c>
      <c r="AA496" s="63" t="n">
        <f aca="false">IFERROR((R496+S496+J496)/F496,0)</f>
        <v>1</v>
      </c>
      <c r="AB496" s="0" t="str">
        <f aca="false">A496&amp;"|"&amp;D496</f>
        <v>Croatia|2023</v>
      </c>
    </row>
    <row r="497" customFormat="false" ht="15" hidden="false" customHeight="false" outlineLevel="0" collapsed="false">
      <c r="A497" s="0" t="s">
        <v>227</v>
      </c>
      <c r="B497" s="0" t="s">
        <v>465</v>
      </c>
      <c r="C497" s="0" t="s">
        <v>127</v>
      </c>
      <c r="D497" s="0" t="n">
        <v>2024</v>
      </c>
      <c r="E497" s="59" t="n">
        <v>3875325</v>
      </c>
      <c r="F497" s="60" t="n">
        <v>15.29</v>
      </c>
      <c r="G497" s="61" t="n">
        <v>0.8</v>
      </c>
      <c r="H497" s="61" t="n">
        <v>3.25</v>
      </c>
      <c r="I497" s="61" t="n">
        <v>0.01</v>
      </c>
      <c r="J497" s="61" t="n">
        <v>0</v>
      </c>
      <c r="K497" s="61" t="n">
        <v>6.73</v>
      </c>
      <c r="L497" s="61" t="n">
        <v>0.82</v>
      </c>
      <c r="M497" s="61" t="n">
        <v>2.68</v>
      </c>
      <c r="N497" s="61" t="n">
        <v>1</v>
      </c>
      <c r="O497" s="61" t="n">
        <v>0</v>
      </c>
      <c r="P497" s="62" t="n">
        <v>170.7</v>
      </c>
      <c r="Q497" s="0" t="n">
        <v>0</v>
      </c>
      <c r="R497" s="60" t="n">
        <f aca="false">G497+H497+I497</f>
        <v>4.06</v>
      </c>
      <c r="S497" s="60" t="n">
        <f aca="false">K497+L497+M497+N497+O497</f>
        <v>11.23</v>
      </c>
      <c r="T497" s="60" t="n">
        <f aca="false">L497+M497</f>
        <v>3.5</v>
      </c>
      <c r="U497" s="60" t="n">
        <f aca="false">S497+J497</f>
        <v>11.23</v>
      </c>
      <c r="V497" s="63" t="n">
        <f aca="false">IFERROR(S497/F497,0)</f>
        <v>0.734466971877044</v>
      </c>
      <c r="W497" s="63" t="n">
        <f aca="false">IFERROR(R497/F497,0)</f>
        <v>0.265533028122956</v>
      </c>
      <c r="X497" s="63" t="n">
        <f aca="false">IFERROR(T497/F497,0)</f>
        <v>0.228907782864617</v>
      </c>
      <c r="Y497" s="63" t="n">
        <f aca="false">IFERROR(G497/F497,0)</f>
        <v>0.052321778940484</v>
      </c>
      <c r="Z497" s="59" t="n">
        <f aca="false">IF(E497&gt;0,F497*1000000000/E497,"")</f>
        <v>3945.4755407611</v>
      </c>
      <c r="AA497" s="63" t="n">
        <f aca="false">IFERROR((R497+S497+J497)/F497,0)</f>
        <v>1</v>
      </c>
      <c r="AB497" s="0" t="str">
        <f aca="false">A497&amp;"|"&amp;D497</f>
        <v>Croatia|2024</v>
      </c>
    </row>
    <row r="498" customFormat="false" ht="15" hidden="false" customHeight="false" outlineLevel="0" collapsed="false">
      <c r="A498" s="0" t="s">
        <v>227</v>
      </c>
      <c r="B498" s="0" t="s">
        <v>465</v>
      </c>
      <c r="C498" s="0" t="s">
        <v>127</v>
      </c>
      <c r="D498" s="0" t="n">
        <v>2025</v>
      </c>
      <c r="E498" s="59" t="n">
        <v>3848164</v>
      </c>
      <c r="F498" s="60" t="n">
        <v>14.7</v>
      </c>
      <c r="G498" s="61" t="n">
        <v>0.73</v>
      </c>
      <c r="H498" s="61" t="n">
        <v>2.76</v>
      </c>
      <c r="I498" s="61" t="n">
        <v>0</v>
      </c>
      <c r="J498" s="61" t="n">
        <v>0</v>
      </c>
      <c r="K498" s="61" t="n">
        <v>5.77</v>
      </c>
      <c r="L498" s="61" t="n">
        <v>1.29</v>
      </c>
      <c r="M498" s="61" t="n">
        <v>3.15</v>
      </c>
      <c r="N498" s="61" t="n">
        <v>1</v>
      </c>
      <c r="O498" s="61" t="n">
        <v>0</v>
      </c>
      <c r="P498" s="62" t="n">
        <v>158.5</v>
      </c>
      <c r="Q498" s="0" t="n">
        <v>0</v>
      </c>
      <c r="R498" s="60" t="n">
        <f aca="false">G498+H498+I498</f>
        <v>3.49</v>
      </c>
      <c r="S498" s="60" t="n">
        <f aca="false">K498+L498+M498+N498+O498</f>
        <v>11.21</v>
      </c>
      <c r="T498" s="60" t="n">
        <f aca="false">L498+M498</f>
        <v>4.44</v>
      </c>
      <c r="U498" s="60" t="n">
        <f aca="false">S498+J498</f>
        <v>11.21</v>
      </c>
      <c r="V498" s="63" t="n">
        <f aca="false">IFERROR(S498/F498,0)</f>
        <v>0.762585034013605</v>
      </c>
      <c r="W498" s="63" t="n">
        <f aca="false">IFERROR(R498/F498,0)</f>
        <v>0.237414965986395</v>
      </c>
      <c r="X498" s="63" t="n">
        <f aca="false">IFERROR(T498/F498,0)</f>
        <v>0.302040816326531</v>
      </c>
      <c r="Y498" s="63" t="n">
        <f aca="false">IFERROR(G498/F498,0)</f>
        <v>0.0496598639455782</v>
      </c>
      <c r="Z498" s="59" t="n">
        <f aca="false">IF(E498&gt;0,F498*1000000000/E498,"")</f>
        <v>3820.00351336378</v>
      </c>
      <c r="AA498" s="63" t="n">
        <f aca="false">IFERROR((R498+S498+J498)/F498,0)</f>
        <v>1</v>
      </c>
      <c r="AB498" s="0" t="str">
        <f aca="false">A498&amp;"|"&amp;D498</f>
        <v>Croatia|2025</v>
      </c>
    </row>
    <row r="499" customFormat="false" ht="15" hidden="false" customHeight="false" outlineLevel="0" collapsed="false">
      <c r="A499" s="0" t="s">
        <v>228</v>
      </c>
      <c r="B499" s="0" t="s">
        <v>466</v>
      </c>
      <c r="C499" s="0" t="s">
        <v>127</v>
      </c>
      <c r="D499" s="0" t="n">
        <v>2015</v>
      </c>
      <c r="E499" s="59" t="n">
        <v>11275069</v>
      </c>
      <c r="F499" s="60" t="n">
        <v>20.39</v>
      </c>
      <c r="G499" s="61" t="n">
        <v>0</v>
      </c>
      <c r="H499" s="61" t="n">
        <v>2.95</v>
      </c>
      <c r="I499" s="61" t="n">
        <v>16.54</v>
      </c>
      <c r="J499" s="61" t="n">
        <v>0</v>
      </c>
      <c r="K499" s="61" t="n">
        <v>0.05</v>
      </c>
      <c r="L499" s="61" t="n">
        <v>0.13</v>
      </c>
      <c r="M499" s="61" t="n">
        <v>0.02</v>
      </c>
      <c r="N499" s="61" t="n">
        <v>0.7</v>
      </c>
      <c r="O499" s="61" t="n">
        <v>0</v>
      </c>
      <c r="P499" s="62" t="n">
        <v>643.9</v>
      </c>
      <c r="Q499" s="0" t="n">
        <v>0</v>
      </c>
      <c r="R499" s="60" t="n">
        <f aca="false">G499+H499+I499</f>
        <v>19.49</v>
      </c>
      <c r="S499" s="60" t="n">
        <f aca="false">K499+L499+M499+N499+O499</f>
        <v>0.9</v>
      </c>
      <c r="T499" s="60" t="n">
        <f aca="false">L499+M499</f>
        <v>0.15</v>
      </c>
      <c r="U499" s="60" t="n">
        <f aca="false">S499+J499</f>
        <v>0.9</v>
      </c>
      <c r="V499" s="63" t="n">
        <f aca="false">IFERROR(S499/F499,0)</f>
        <v>0.0441392839627268</v>
      </c>
      <c r="W499" s="63" t="n">
        <f aca="false">IFERROR(R499/F499,0)</f>
        <v>0.955860716037273</v>
      </c>
      <c r="X499" s="63" t="n">
        <f aca="false">IFERROR(T499/F499,0)</f>
        <v>0.00735654732712114</v>
      </c>
      <c r="Y499" s="63" t="n">
        <f aca="false">IFERROR(G499/F499,0)</f>
        <v>0</v>
      </c>
      <c r="Z499" s="59" t="n">
        <f aca="false">IF(E499&gt;0,F499*1000000000/E499,"")</f>
        <v>1808.41465360434</v>
      </c>
      <c r="AA499" s="63" t="n">
        <f aca="false">IFERROR((R499+S499+J499)/F499,0)</f>
        <v>1</v>
      </c>
      <c r="AB499" s="0" t="str">
        <f aca="false">A499&amp;"|"&amp;D499</f>
        <v>Cuba|2015</v>
      </c>
    </row>
    <row r="500" customFormat="false" ht="15" hidden="false" customHeight="false" outlineLevel="0" collapsed="false">
      <c r="A500" s="0" t="s">
        <v>228</v>
      </c>
      <c r="B500" s="0" t="s">
        <v>466</v>
      </c>
      <c r="C500" s="0" t="s">
        <v>127</v>
      </c>
      <c r="D500" s="0" t="n">
        <v>2016</v>
      </c>
      <c r="E500" s="59" t="n">
        <v>11265615</v>
      </c>
      <c r="F500" s="60" t="n">
        <v>20.55</v>
      </c>
      <c r="G500" s="61" t="n">
        <v>0</v>
      </c>
      <c r="H500" s="61" t="n">
        <v>2.92</v>
      </c>
      <c r="I500" s="61" t="n">
        <v>16.72</v>
      </c>
      <c r="J500" s="61" t="n">
        <v>0</v>
      </c>
      <c r="K500" s="61" t="n">
        <v>0.06</v>
      </c>
      <c r="L500" s="61" t="n">
        <v>0.14</v>
      </c>
      <c r="M500" s="61" t="n">
        <v>0.02</v>
      </c>
      <c r="N500" s="61" t="n">
        <v>0.69</v>
      </c>
      <c r="O500" s="61" t="n">
        <v>0</v>
      </c>
      <c r="P500" s="62" t="n">
        <v>643.3</v>
      </c>
      <c r="Q500" s="0" t="n">
        <v>0</v>
      </c>
      <c r="R500" s="60" t="n">
        <f aca="false">G500+H500+I500</f>
        <v>19.64</v>
      </c>
      <c r="S500" s="60" t="n">
        <f aca="false">K500+L500+M500+N500+O500</f>
        <v>0.91</v>
      </c>
      <c r="T500" s="60" t="n">
        <f aca="false">L500+M500</f>
        <v>0.16</v>
      </c>
      <c r="U500" s="60" t="n">
        <f aca="false">S500+J500</f>
        <v>0.91</v>
      </c>
      <c r="V500" s="63" t="n">
        <f aca="false">IFERROR(S500/F500,0)</f>
        <v>0.0442822384428224</v>
      </c>
      <c r="W500" s="63" t="n">
        <f aca="false">IFERROR(R500/F500,0)</f>
        <v>0.955717761557178</v>
      </c>
      <c r="X500" s="63" t="n">
        <f aca="false">IFERROR(T500/F500,0)</f>
        <v>0.00778588807785888</v>
      </c>
      <c r="Y500" s="63" t="n">
        <f aca="false">IFERROR(G500/F500,0)</f>
        <v>0</v>
      </c>
      <c r="Z500" s="59" t="n">
        <f aca="false">IF(E500&gt;0,F500*1000000000/E500,"")</f>
        <v>1824.13476760923</v>
      </c>
      <c r="AA500" s="63" t="n">
        <f aca="false">IFERROR((R500+S500+J500)/F500,0)</f>
        <v>1</v>
      </c>
      <c r="AB500" s="0" t="str">
        <f aca="false">A500&amp;"|"&amp;D500</f>
        <v>Cuba|2016</v>
      </c>
    </row>
    <row r="501" customFormat="false" ht="15" hidden="false" customHeight="false" outlineLevel="0" collapsed="false">
      <c r="A501" s="0" t="s">
        <v>228</v>
      </c>
      <c r="B501" s="0" t="s">
        <v>466</v>
      </c>
      <c r="C501" s="0" t="s">
        <v>127</v>
      </c>
      <c r="D501" s="0" t="n">
        <v>2017</v>
      </c>
      <c r="E501" s="59" t="n">
        <v>11247824</v>
      </c>
      <c r="F501" s="60" t="n">
        <v>20.57</v>
      </c>
      <c r="G501" s="61" t="n">
        <v>0</v>
      </c>
      <c r="H501" s="61" t="n">
        <v>2.8</v>
      </c>
      <c r="I501" s="61" t="n">
        <v>16.97</v>
      </c>
      <c r="J501" s="61" t="n">
        <v>0</v>
      </c>
      <c r="K501" s="61" t="n">
        <v>0.08</v>
      </c>
      <c r="L501" s="61" t="n">
        <v>0.08</v>
      </c>
      <c r="M501" s="61" t="n">
        <v>0.02</v>
      </c>
      <c r="N501" s="61" t="n">
        <v>0.62</v>
      </c>
      <c r="O501" s="61" t="n">
        <v>0</v>
      </c>
      <c r="P501" s="62" t="n">
        <v>645.6</v>
      </c>
      <c r="Q501" s="0" t="n">
        <v>0</v>
      </c>
      <c r="R501" s="60" t="n">
        <f aca="false">G501+H501+I501</f>
        <v>19.77</v>
      </c>
      <c r="S501" s="60" t="n">
        <f aca="false">K501+L501+M501+N501+O501</f>
        <v>0.8</v>
      </c>
      <c r="T501" s="60" t="n">
        <f aca="false">L501+M501</f>
        <v>0.1</v>
      </c>
      <c r="U501" s="60" t="n">
        <f aca="false">S501+J501</f>
        <v>0.8</v>
      </c>
      <c r="V501" s="63" t="n">
        <f aca="false">IFERROR(S501/F501,0)</f>
        <v>0.0388915896937287</v>
      </c>
      <c r="W501" s="63" t="n">
        <f aca="false">IFERROR(R501/F501,0)</f>
        <v>0.961108410306271</v>
      </c>
      <c r="X501" s="63" t="n">
        <f aca="false">IFERROR(T501/F501,0)</f>
        <v>0.00486144871171609</v>
      </c>
      <c r="Y501" s="63" t="n">
        <f aca="false">IFERROR(G501/F501,0)</f>
        <v>0</v>
      </c>
      <c r="Z501" s="59" t="n">
        <f aca="false">IF(E501&gt;0,F501*1000000000/E501,"")</f>
        <v>1828.79817465138</v>
      </c>
      <c r="AA501" s="63" t="n">
        <f aca="false">IFERROR((R501+S501+J501)/F501,0)</f>
        <v>1</v>
      </c>
      <c r="AB501" s="0" t="str">
        <f aca="false">A501&amp;"|"&amp;D501</f>
        <v>Cuba|2017</v>
      </c>
    </row>
    <row r="502" customFormat="false" ht="15" hidden="false" customHeight="false" outlineLevel="0" collapsed="false">
      <c r="A502" s="0" t="s">
        <v>228</v>
      </c>
      <c r="B502" s="0" t="s">
        <v>466</v>
      </c>
      <c r="C502" s="0" t="s">
        <v>127</v>
      </c>
      <c r="D502" s="0" t="n">
        <v>2018</v>
      </c>
      <c r="E502" s="59" t="n">
        <v>11227116</v>
      </c>
      <c r="F502" s="60" t="n">
        <v>20.8</v>
      </c>
      <c r="G502" s="61" t="n">
        <v>0</v>
      </c>
      <c r="H502" s="61" t="n">
        <v>2.64</v>
      </c>
      <c r="I502" s="61" t="n">
        <v>17.44</v>
      </c>
      <c r="J502" s="61" t="n">
        <v>0</v>
      </c>
      <c r="K502" s="61" t="n">
        <v>0.14</v>
      </c>
      <c r="L502" s="61" t="n">
        <v>0.12</v>
      </c>
      <c r="M502" s="61" t="n">
        <v>0.02</v>
      </c>
      <c r="N502" s="61" t="n">
        <v>0.44</v>
      </c>
      <c r="O502" s="61" t="n">
        <v>0</v>
      </c>
      <c r="P502" s="62" t="n">
        <v>647.1</v>
      </c>
      <c r="Q502" s="0" t="n">
        <v>0</v>
      </c>
      <c r="R502" s="60" t="n">
        <f aca="false">G502+H502+I502</f>
        <v>20.08</v>
      </c>
      <c r="S502" s="60" t="n">
        <f aca="false">K502+L502+M502+N502+O502</f>
        <v>0.72</v>
      </c>
      <c r="T502" s="60" t="n">
        <f aca="false">L502+M502</f>
        <v>0.14</v>
      </c>
      <c r="U502" s="60" t="n">
        <f aca="false">S502+J502</f>
        <v>0.72</v>
      </c>
      <c r="V502" s="63" t="n">
        <f aca="false">IFERROR(S502/F502,0)</f>
        <v>0.0346153846153846</v>
      </c>
      <c r="W502" s="63" t="n">
        <f aca="false">IFERROR(R502/F502,0)</f>
        <v>0.965384615384615</v>
      </c>
      <c r="X502" s="63" t="n">
        <f aca="false">IFERROR(T502/F502,0)</f>
        <v>0.00673076923076923</v>
      </c>
      <c r="Y502" s="63" t="n">
        <f aca="false">IFERROR(G502/F502,0)</f>
        <v>0</v>
      </c>
      <c r="Z502" s="59" t="n">
        <f aca="false">IF(E502&gt;0,F502*1000000000/E502,"")</f>
        <v>1852.65744114517</v>
      </c>
      <c r="AA502" s="63" t="n">
        <f aca="false">IFERROR((R502+S502+J502)/F502,0)</f>
        <v>1</v>
      </c>
      <c r="AB502" s="0" t="str">
        <f aca="false">A502&amp;"|"&amp;D502</f>
        <v>Cuba|2018</v>
      </c>
    </row>
    <row r="503" customFormat="false" ht="15" hidden="false" customHeight="false" outlineLevel="0" collapsed="false">
      <c r="A503" s="0" t="s">
        <v>228</v>
      </c>
      <c r="B503" s="0" t="s">
        <v>466</v>
      </c>
      <c r="C503" s="0" t="s">
        <v>127</v>
      </c>
      <c r="D503" s="0" t="n">
        <v>2019</v>
      </c>
      <c r="E503" s="59" t="n">
        <v>11202847</v>
      </c>
      <c r="F503" s="60" t="n">
        <v>20.7</v>
      </c>
      <c r="G503" s="61" t="n">
        <v>0</v>
      </c>
      <c r="H503" s="61" t="n">
        <v>2.45</v>
      </c>
      <c r="I503" s="61" t="n">
        <v>17.36</v>
      </c>
      <c r="J503" s="61" t="n">
        <v>0</v>
      </c>
      <c r="K503" s="61" t="n">
        <v>0.14</v>
      </c>
      <c r="L503" s="61" t="n">
        <v>0.21</v>
      </c>
      <c r="M503" s="61" t="n">
        <v>0.02</v>
      </c>
      <c r="N503" s="61" t="n">
        <v>0.52</v>
      </c>
      <c r="O503" s="61" t="n">
        <v>0</v>
      </c>
      <c r="P503" s="62" t="n">
        <v>641.1</v>
      </c>
      <c r="Q503" s="0" t="n">
        <v>0</v>
      </c>
      <c r="R503" s="60" t="n">
        <f aca="false">G503+H503+I503</f>
        <v>19.81</v>
      </c>
      <c r="S503" s="60" t="n">
        <f aca="false">K503+L503+M503+N503+O503</f>
        <v>0.89</v>
      </c>
      <c r="T503" s="60" t="n">
        <f aca="false">L503+M503</f>
        <v>0.23</v>
      </c>
      <c r="U503" s="60" t="n">
        <f aca="false">S503+J503</f>
        <v>0.89</v>
      </c>
      <c r="V503" s="63" t="n">
        <f aca="false">IFERROR(S503/F503,0)</f>
        <v>0.0429951690821256</v>
      </c>
      <c r="W503" s="63" t="n">
        <f aca="false">IFERROR(R503/F503,0)</f>
        <v>0.957004830917874</v>
      </c>
      <c r="X503" s="63" t="n">
        <f aca="false">IFERROR(T503/F503,0)</f>
        <v>0.0111111111111111</v>
      </c>
      <c r="Y503" s="63" t="n">
        <f aca="false">IFERROR(G503/F503,0)</f>
        <v>0</v>
      </c>
      <c r="Z503" s="59" t="n">
        <f aca="false">IF(E503&gt;0,F503*1000000000/E503,"")</f>
        <v>1847.74459563716</v>
      </c>
      <c r="AA503" s="63" t="n">
        <f aca="false">IFERROR((R503+S503+J503)/F503,0)</f>
        <v>1</v>
      </c>
      <c r="AB503" s="0" t="str">
        <f aca="false">A503&amp;"|"&amp;D503</f>
        <v>Cuba|2019</v>
      </c>
    </row>
    <row r="504" customFormat="false" ht="15" hidden="false" customHeight="false" outlineLevel="0" collapsed="false">
      <c r="A504" s="0" t="s">
        <v>228</v>
      </c>
      <c r="B504" s="0" t="s">
        <v>466</v>
      </c>
      <c r="C504" s="0" t="s">
        <v>127</v>
      </c>
      <c r="D504" s="0" t="n">
        <v>2020</v>
      </c>
      <c r="E504" s="59" t="n">
        <v>11176349</v>
      </c>
      <c r="F504" s="60" t="n">
        <v>19.03</v>
      </c>
      <c r="G504" s="61" t="n">
        <v>0</v>
      </c>
      <c r="H504" s="61" t="n">
        <v>2.01</v>
      </c>
      <c r="I504" s="61" t="n">
        <v>16.12</v>
      </c>
      <c r="J504" s="61" t="n">
        <v>0</v>
      </c>
      <c r="K504" s="61" t="n">
        <v>0.11</v>
      </c>
      <c r="L504" s="61" t="n">
        <v>0.22</v>
      </c>
      <c r="M504" s="61" t="n">
        <v>0.02</v>
      </c>
      <c r="N504" s="61" t="n">
        <v>0.55</v>
      </c>
      <c r="O504" s="61" t="n">
        <v>0</v>
      </c>
      <c r="P504" s="62" t="n">
        <v>639</v>
      </c>
      <c r="Q504" s="0" t="n">
        <v>0</v>
      </c>
      <c r="R504" s="60" t="n">
        <f aca="false">G504+H504+I504</f>
        <v>18.13</v>
      </c>
      <c r="S504" s="60" t="n">
        <f aca="false">K504+L504+M504+N504+O504</f>
        <v>0.9</v>
      </c>
      <c r="T504" s="60" t="n">
        <f aca="false">L504+M504</f>
        <v>0.24</v>
      </c>
      <c r="U504" s="60" t="n">
        <f aca="false">S504+J504</f>
        <v>0.9</v>
      </c>
      <c r="V504" s="63" t="n">
        <f aca="false">IFERROR(S504/F504,0)</f>
        <v>0.047293746715712</v>
      </c>
      <c r="W504" s="63" t="n">
        <f aca="false">IFERROR(R504/F504,0)</f>
        <v>0.952706253284288</v>
      </c>
      <c r="X504" s="63" t="n">
        <f aca="false">IFERROR(T504/F504,0)</f>
        <v>0.0126116657908565</v>
      </c>
      <c r="Y504" s="63" t="n">
        <f aca="false">IFERROR(G504/F504,0)</f>
        <v>0</v>
      </c>
      <c r="Z504" s="59" t="n">
        <f aca="false">IF(E504&gt;0,F504*1000000000/E504,"")</f>
        <v>1702.70273413974</v>
      </c>
      <c r="AA504" s="63" t="n">
        <f aca="false">IFERROR((R504+S504+J504)/F504,0)</f>
        <v>1</v>
      </c>
      <c r="AB504" s="0" t="str">
        <f aca="false">A504&amp;"|"&amp;D504</f>
        <v>Cuba|2020</v>
      </c>
    </row>
    <row r="505" customFormat="false" ht="15" hidden="false" customHeight="false" outlineLevel="0" collapsed="false">
      <c r="A505" s="0" t="s">
        <v>228</v>
      </c>
      <c r="B505" s="0" t="s">
        <v>466</v>
      </c>
      <c r="C505" s="0" t="s">
        <v>127</v>
      </c>
      <c r="D505" s="0" t="n">
        <v>2021</v>
      </c>
      <c r="E505" s="59" t="n">
        <v>11122169</v>
      </c>
      <c r="F505" s="60" t="n">
        <v>17.83</v>
      </c>
      <c r="G505" s="61" t="n">
        <v>0</v>
      </c>
      <c r="H505" s="61" t="n">
        <v>1.58</v>
      </c>
      <c r="I505" s="61" t="n">
        <v>15.46</v>
      </c>
      <c r="J505" s="61" t="n">
        <v>0</v>
      </c>
      <c r="K505" s="61" t="n">
        <v>0.12</v>
      </c>
      <c r="L505" s="61" t="n">
        <v>0.22</v>
      </c>
      <c r="M505" s="61" t="n">
        <v>0.02</v>
      </c>
      <c r="N505" s="61" t="n">
        <v>0.43</v>
      </c>
      <c r="O505" s="61" t="n">
        <v>0</v>
      </c>
      <c r="P505" s="62" t="n">
        <v>638.8</v>
      </c>
      <c r="Q505" s="0" t="n">
        <v>0</v>
      </c>
      <c r="R505" s="60" t="n">
        <f aca="false">G505+H505+I505</f>
        <v>17.04</v>
      </c>
      <c r="S505" s="60" t="n">
        <f aca="false">K505+L505+M505+N505+O505</f>
        <v>0.79</v>
      </c>
      <c r="T505" s="60" t="n">
        <f aca="false">L505+M505</f>
        <v>0.24</v>
      </c>
      <c r="U505" s="60" t="n">
        <f aca="false">S505+J505</f>
        <v>0.79</v>
      </c>
      <c r="V505" s="63" t="n">
        <f aca="false">IFERROR(S505/F505,0)</f>
        <v>0.0443073471676949</v>
      </c>
      <c r="W505" s="63" t="n">
        <f aca="false">IFERROR(R505/F505,0)</f>
        <v>0.955692652832305</v>
      </c>
      <c r="X505" s="63" t="n">
        <f aca="false">IFERROR(T505/F505,0)</f>
        <v>0.0134604598990466</v>
      </c>
      <c r="Y505" s="63" t="n">
        <f aca="false">IFERROR(G505/F505,0)</f>
        <v>0</v>
      </c>
      <c r="Z505" s="59" t="n">
        <f aca="false">IF(E505&gt;0,F505*1000000000/E505,"")</f>
        <v>1603.10457429661</v>
      </c>
      <c r="AA505" s="63" t="n">
        <f aca="false">IFERROR((R505+S505+J505)/F505,0)</f>
        <v>1</v>
      </c>
      <c r="AB505" s="0" t="str">
        <f aca="false">A505&amp;"|"&amp;D505</f>
        <v>Cuba|2021</v>
      </c>
    </row>
    <row r="506" customFormat="false" ht="15" hidden="false" customHeight="false" outlineLevel="0" collapsed="false">
      <c r="A506" s="0" t="s">
        <v>228</v>
      </c>
      <c r="B506" s="0" t="s">
        <v>466</v>
      </c>
      <c r="C506" s="0" t="s">
        <v>127</v>
      </c>
      <c r="D506" s="0" t="n">
        <v>2022</v>
      </c>
      <c r="E506" s="59" t="n">
        <v>11059822</v>
      </c>
      <c r="F506" s="60" t="n">
        <v>15.65</v>
      </c>
      <c r="G506" s="61" t="n">
        <v>0</v>
      </c>
      <c r="H506" s="61" t="n">
        <v>1.95</v>
      </c>
      <c r="I506" s="61" t="n">
        <v>13.03</v>
      </c>
      <c r="J506" s="61" t="n">
        <v>0</v>
      </c>
      <c r="K506" s="61" t="n">
        <v>0.12</v>
      </c>
      <c r="L506" s="61" t="n">
        <v>0.21</v>
      </c>
      <c r="M506" s="61" t="n">
        <v>0.06</v>
      </c>
      <c r="N506" s="61" t="n">
        <v>0.28</v>
      </c>
      <c r="O506" s="61" t="n">
        <v>0</v>
      </c>
      <c r="P506" s="62" t="n">
        <v>640.3</v>
      </c>
      <c r="Q506" s="0" t="n">
        <v>0</v>
      </c>
      <c r="R506" s="60" t="n">
        <f aca="false">G506+H506+I506</f>
        <v>14.98</v>
      </c>
      <c r="S506" s="60" t="n">
        <f aca="false">K506+L506+M506+N506+O506</f>
        <v>0.67</v>
      </c>
      <c r="T506" s="60" t="n">
        <f aca="false">L506+M506</f>
        <v>0.27</v>
      </c>
      <c r="U506" s="60" t="n">
        <f aca="false">S506+J506</f>
        <v>0.67</v>
      </c>
      <c r="V506" s="63" t="n">
        <f aca="false">IFERROR(S506/F506,0)</f>
        <v>0.0428115015974441</v>
      </c>
      <c r="W506" s="63" t="n">
        <f aca="false">IFERROR(R506/F506,0)</f>
        <v>0.957188498402556</v>
      </c>
      <c r="X506" s="63" t="n">
        <f aca="false">IFERROR(T506/F506,0)</f>
        <v>0.0172523961661342</v>
      </c>
      <c r="Y506" s="63" t="n">
        <f aca="false">IFERROR(G506/F506,0)</f>
        <v>0</v>
      </c>
      <c r="Z506" s="59" t="n">
        <f aca="false">IF(E506&gt;0,F506*1000000000/E506,"")</f>
        <v>1415.03181515941</v>
      </c>
      <c r="AA506" s="63" t="n">
        <f aca="false">IFERROR((R506+S506+J506)/F506,0)</f>
        <v>1</v>
      </c>
      <c r="AB506" s="0" t="str">
        <f aca="false">A506&amp;"|"&amp;D506</f>
        <v>Cuba|2022</v>
      </c>
    </row>
    <row r="507" customFormat="false" ht="15" hidden="false" customHeight="false" outlineLevel="0" collapsed="false">
      <c r="A507" s="0" t="s">
        <v>228</v>
      </c>
      <c r="B507" s="0" t="s">
        <v>466</v>
      </c>
      <c r="C507" s="0" t="s">
        <v>127</v>
      </c>
      <c r="D507" s="0" t="n">
        <v>2023</v>
      </c>
      <c r="E507" s="59" t="n">
        <v>11019932</v>
      </c>
      <c r="F507" s="60" t="n">
        <v>19.74</v>
      </c>
      <c r="G507" s="61" t="n">
        <v>0</v>
      </c>
      <c r="H507" s="61" t="n">
        <v>2.5</v>
      </c>
      <c r="I507" s="61" t="n">
        <v>16.52</v>
      </c>
      <c r="J507" s="61" t="n">
        <v>0</v>
      </c>
      <c r="K507" s="61" t="n">
        <v>0.12</v>
      </c>
      <c r="L507" s="61" t="n">
        <v>0.21</v>
      </c>
      <c r="M507" s="61" t="n">
        <v>0.06</v>
      </c>
      <c r="N507" s="61" t="n">
        <v>0.33</v>
      </c>
      <c r="O507" s="61" t="n">
        <v>0</v>
      </c>
      <c r="P507" s="62" t="n">
        <v>644.4</v>
      </c>
      <c r="Q507" s="0" t="n">
        <v>0</v>
      </c>
      <c r="R507" s="60" t="n">
        <f aca="false">G507+H507+I507</f>
        <v>19.02</v>
      </c>
      <c r="S507" s="60" t="n">
        <f aca="false">K507+L507+M507+N507+O507</f>
        <v>0.72</v>
      </c>
      <c r="T507" s="60" t="n">
        <f aca="false">L507+M507</f>
        <v>0.27</v>
      </c>
      <c r="U507" s="60" t="n">
        <f aca="false">S507+J507</f>
        <v>0.72</v>
      </c>
      <c r="V507" s="63" t="n">
        <f aca="false">IFERROR(S507/F507,0)</f>
        <v>0.0364741641337386</v>
      </c>
      <c r="W507" s="63" t="n">
        <f aca="false">IFERROR(R507/F507,0)</f>
        <v>0.963525835866262</v>
      </c>
      <c r="X507" s="63" t="n">
        <f aca="false">IFERROR(T507/F507,0)</f>
        <v>0.013677811550152</v>
      </c>
      <c r="Y507" s="63" t="n">
        <f aca="false">IFERROR(G507/F507,0)</f>
        <v>0</v>
      </c>
      <c r="Z507" s="59" t="n">
        <f aca="false">IF(E507&gt;0,F507*1000000000/E507,"")</f>
        <v>1791.29961963468</v>
      </c>
      <c r="AA507" s="63" t="n">
        <f aca="false">IFERROR((R507+S507+J507)/F507,0)</f>
        <v>1</v>
      </c>
      <c r="AB507" s="0" t="str">
        <f aca="false">A507&amp;"|"&amp;D507</f>
        <v>Cuba|2023</v>
      </c>
    </row>
    <row r="508" customFormat="false" ht="15" hidden="false" customHeight="false" outlineLevel="0" collapsed="false">
      <c r="A508" s="0" t="s">
        <v>228</v>
      </c>
      <c r="B508" s="0" t="s">
        <v>466</v>
      </c>
      <c r="C508" s="0" t="s">
        <v>127</v>
      </c>
      <c r="D508" s="0" t="n">
        <v>2024</v>
      </c>
      <c r="E508" s="59" t="n">
        <v>10979781</v>
      </c>
      <c r="F508" s="60" t="n">
        <v>19.43</v>
      </c>
      <c r="G508" s="61" t="n">
        <v>0</v>
      </c>
      <c r="H508" s="61" t="n">
        <v>2.65</v>
      </c>
      <c r="I508" s="61" t="n">
        <v>16</v>
      </c>
      <c r="J508" s="61" t="n">
        <v>0</v>
      </c>
      <c r="K508" s="61" t="n">
        <v>0.12</v>
      </c>
      <c r="L508" s="61" t="n">
        <v>0.24</v>
      </c>
      <c r="M508" s="61" t="n">
        <v>0.07</v>
      </c>
      <c r="N508" s="61" t="n">
        <v>0.35</v>
      </c>
      <c r="O508" s="61" t="n">
        <v>0</v>
      </c>
      <c r="P508" s="62" t="n">
        <v>642.8</v>
      </c>
      <c r="Q508" s="0" t="n">
        <v>0</v>
      </c>
      <c r="R508" s="60" t="n">
        <f aca="false">G508+H508+I508</f>
        <v>18.65</v>
      </c>
      <c r="S508" s="60" t="n">
        <f aca="false">K508+L508+M508+N508+O508</f>
        <v>0.78</v>
      </c>
      <c r="T508" s="60" t="n">
        <f aca="false">L508+M508</f>
        <v>0.31</v>
      </c>
      <c r="U508" s="60" t="n">
        <f aca="false">S508+J508</f>
        <v>0.78</v>
      </c>
      <c r="V508" s="63" t="n">
        <f aca="false">IFERROR(S508/F508,0)</f>
        <v>0.0401441070509521</v>
      </c>
      <c r="W508" s="63" t="n">
        <f aca="false">IFERROR(R508/F508,0)</f>
        <v>0.959855892949048</v>
      </c>
      <c r="X508" s="63" t="n">
        <f aca="false">IFERROR(T508/F508,0)</f>
        <v>0.0159547092125579</v>
      </c>
      <c r="Y508" s="63" t="n">
        <f aca="false">IFERROR(G508/F508,0)</f>
        <v>0</v>
      </c>
      <c r="Z508" s="59" t="n">
        <f aca="false">IF(E508&gt;0,F508*1000000000/E508,"")</f>
        <v>1769.616352093</v>
      </c>
      <c r="AA508" s="63" t="n">
        <f aca="false">IFERROR((R508+S508+J508)/F508,0)</f>
        <v>1</v>
      </c>
      <c r="AB508" s="0" t="str">
        <f aca="false">A508&amp;"|"&amp;D508</f>
        <v>Cuba|2024</v>
      </c>
    </row>
    <row r="509" customFormat="false" ht="15" hidden="false" customHeight="false" outlineLevel="0" collapsed="false">
      <c r="A509" s="0" t="s">
        <v>229</v>
      </c>
      <c r="B509" s="0" t="s">
        <v>467</v>
      </c>
      <c r="C509" s="0" t="s">
        <v>127</v>
      </c>
      <c r="D509" s="0" t="n">
        <v>2015</v>
      </c>
      <c r="E509" s="59" t="n">
        <v>1219504</v>
      </c>
      <c r="F509" s="60" t="n">
        <v>4.54</v>
      </c>
      <c r="G509" s="61" t="n">
        <v>0</v>
      </c>
      <c r="H509" s="61" t="n">
        <v>0</v>
      </c>
      <c r="I509" s="61" t="n">
        <v>4.14</v>
      </c>
      <c r="J509" s="61" t="n">
        <v>0</v>
      </c>
      <c r="K509" s="61" t="n">
        <v>0</v>
      </c>
      <c r="L509" s="61" t="n">
        <v>0.13</v>
      </c>
      <c r="M509" s="61" t="n">
        <v>0.22</v>
      </c>
      <c r="N509" s="61" t="n">
        <v>0.05</v>
      </c>
      <c r="O509" s="61" t="n">
        <v>0</v>
      </c>
      <c r="P509" s="62" t="n">
        <v>603.5</v>
      </c>
      <c r="Q509" s="0" t="n">
        <v>0</v>
      </c>
      <c r="R509" s="60" t="n">
        <f aca="false">G509+H509+I509</f>
        <v>4.14</v>
      </c>
      <c r="S509" s="60" t="n">
        <f aca="false">K509+L509+M509+N509+O509</f>
        <v>0.4</v>
      </c>
      <c r="T509" s="60" t="n">
        <f aca="false">L509+M509</f>
        <v>0.35</v>
      </c>
      <c r="U509" s="60" t="n">
        <f aca="false">S509+J509</f>
        <v>0.4</v>
      </c>
      <c r="V509" s="63" t="n">
        <f aca="false">IFERROR(S509/F509,0)</f>
        <v>0.0881057268722467</v>
      </c>
      <c r="W509" s="63" t="n">
        <f aca="false">IFERROR(R509/F509,0)</f>
        <v>0.911894273127753</v>
      </c>
      <c r="X509" s="63" t="n">
        <f aca="false">IFERROR(T509/F509,0)</f>
        <v>0.0770925110132159</v>
      </c>
      <c r="Y509" s="63" t="n">
        <f aca="false">IFERROR(G509/F509,0)</f>
        <v>0</v>
      </c>
      <c r="Z509" s="59" t="n">
        <f aca="false">IF(E509&gt;0,F509*1000000000/E509,"")</f>
        <v>3722.82501738412</v>
      </c>
      <c r="AA509" s="63" t="n">
        <f aca="false">IFERROR((R509+S509+J509)/F509,0)</f>
        <v>1</v>
      </c>
      <c r="AB509" s="0" t="str">
        <f aca="false">A509&amp;"|"&amp;D509</f>
        <v>Cyprus|2015</v>
      </c>
    </row>
    <row r="510" customFormat="false" ht="15" hidden="false" customHeight="false" outlineLevel="0" collapsed="false">
      <c r="A510" s="0" t="s">
        <v>229</v>
      </c>
      <c r="B510" s="0" t="s">
        <v>467</v>
      </c>
      <c r="C510" s="0" t="s">
        <v>127</v>
      </c>
      <c r="D510" s="0" t="n">
        <v>2016</v>
      </c>
      <c r="E510" s="59" t="n">
        <v>1237114</v>
      </c>
      <c r="F510" s="60" t="n">
        <v>4.89</v>
      </c>
      <c r="G510" s="61" t="n">
        <v>0</v>
      </c>
      <c r="H510" s="61" t="n">
        <v>0</v>
      </c>
      <c r="I510" s="61" t="n">
        <v>4.46</v>
      </c>
      <c r="J510" s="61" t="n">
        <v>0</v>
      </c>
      <c r="K510" s="61" t="n">
        <v>0</v>
      </c>
      <c r="L510" s="61" t="n">
        <v>0.15</v>
      </c>
      <c r="M510" s="61" t="n">
        <v>0.23</v>
      </c>
      <c r="N510" s="61" t="n">
        <v>0.05</v>
      </c>
      <c r="O510" s="61" t="n">
        <v>0</v>
      </c>
      <c r="P510" s="62" t="n">
        <v>603.3</v>
      </c>
      <c r="Q510" s="0" t="n">
        <v>0</v>
      </c>
      <c r="R510" s="60" t="n">
        <f aca="false">G510+H510+I510</f>
        <v>4.46</v>
      </c>
      <c r="S510" s="60" t="n">
        <f aca="false">K510+L510+M510+N510+O510</f>
        <v>0.43</v>
      </c>
      <c r="T510" s="60" t="n">
        <f aca="false">L510+M510</f>
        <v>0.38</v>
      </c>
      <c r="U510" s="60" t="n">
        <f aca="false">S510+J510</f>
        <v>0.43</v>
      </c>
      <c r="V510" s="63" t="n">
        <f aca="false">IFERROR(S510/F510,0)</f>
        <v>0.0879345603271984</v>
      </c>
      <c r="W510" s="63" t="n">
        <f aca="false">IFERROR(R510/F510,0)</f>
        <v>0.912065439672802</v>
      </c>
      <c r="X510" s="63" t="n">
        <f aca="false">IFERROR(T510/F510,0)</f>
        <v>0.0777096114519427</v>
      </c>
      <c r="Y510" s="63" t="n">
        <f aca="false">IFERROR(G510/F510,0)</f>
        <v>0</v>
      </c>
      <c r="Z510" s="59" t="n">
        <f aca="false">IF(E510&gt;0,F510*1000000000/E510,"")</f>
        <v>3952.74808950509</v>
      </c>
      <c r="AA510" s="63" t="n">
        <f aca="false">IFERROR((R510+S510+J510)/F510,0)</f>
        <v>1</v>
      </c>
      <c r="AB510" s="0" t="str">
        <f aca="false">A510&amp;"|"&amp;D510</f>
        <v>Cyprus|2016</v>
      </c>
    </row>
    <row r="511" customFormat="false" ht="15" hidden="false" customHeight="false" outlineLevel="0" collapsed="false">
      <c r="A511" s="0" t="s">
        <v>229</v>
      </c>
      <c r="B511" s="0" t="s">
        <v>467</v>
      </c>
      <c r="C511" s="0" t="s">
        <v>127</v>
      </c>
      <c r="D511" s="0" t="n">
        <v>2017</v>
      </c>
      <c r="E511" s="59" t="n">
        <v>1254274</v>
      </c>
      <c r="F511" s="60" t="n">
        <v>5</v>
      </c>
      <c r="G511" s="61" t="n">
        <v>0</v>
      </c>
      <c r="H511" s="61" t="n">
        <v>0</v>
      </c>
      <c r="I511" s="61" t="n">
        <v>4.57</v>
      </c>
      <c r="J511" s="61" t="n">
        <v>0</v>
      </c>
      <c r="K511" s="61" t="n">
        <v>0</v>
      </c>
      <c r="L511" s="61" t="n">
        <v>0.17</v>
      </c>
      <c r="M511" s="61" t="n">
        <v>0.21</v>
      </c>
      <c r="N511" s="61" t="n">
        <v>0.05</v>
      </c>
      <c r="O511" s="61" t="n">
        <v>0</v>
      </c>
      <c r="P511" s="62" t="n">
        <v>606</v>
      </c>
      <c r="Q511" s="0" t="n">
        <v>0</v>
      </c>
      <c r="R511" s="60" t="n">
        <f aca="false">G511+H511+I511</f>
        <v>4.57</v>
      </c>
      <c r="S511" s="60" t="n">
        <f aca="false">K511+L511+M511+N511+O511</f>
        <v>0.43</v>
      </c>
      <c r="T511" s="60" t="n">
        <f aca="false">L511+M511</f>
        <v>0.38</v>
      </c>
      <c r="U511" s="60" t="n">
        <f aca="false">S511+J511</f>
        <v>0.43</v>
      </c>
      <c r="V511" s="63" t="n">
        <f aca="false">IFERROR(S511/F511,0)</f>
        <v>0.086</v>
      </c>
      <c r="W511" s="63" t="n">
        <f aca="false">IFERROR(R511/F511,0)</f>
        <v>0.914</v>
      </c>
      <c r="X511" s="63" t="n">
        <f aca="false">IFERROR(T511/F511,0)</f>
        <v>0.076</v>
      </c>
      <c r="Y511" s="63" t="n">
        <f aca="false">IFERROR(G511/F511,0)</f>
        <v>0</v>
      </c>
      <c r="Z511" s="59" t="n">
        <f aca="false">IF(E511&gt;0,F511*1000000000/E511,"")</f>
        <v>3986.36980436492</v>
      </c>
      <c r="AA511" s="63" t="n">
        <f aca="false">IFERROR((R511+S511+J511)/F511,0)</f>
        <v>1</v>
      </c>
      <c r="AB511" s="0" t="str">
        <f aca="false">A511&amp;"|"&amp;D511</f>
        <v>Cyprus|2017</v>
      </c>
    </row>
    <row r="512" customFormat="false" ht="15" hidden="false" customHeight="false" outlineLevel="0" collapsed="false">
      <c r="A512" s="0" t="s">
        <v>229</v>
      </c>
      <c r="B512" s="0" t="s">
        <v>467</v>
      </c>
      <c r="C512" s="0" t="s">
        <v>127</v>
      </c>
      <c r="D512" s="0" t="n">
        <v>2018</v>
      </c>
      <c r="E512" s="59" t="n">
        <v>1270743</v>
      </c>
      <c r="F512" s="60" t="n">
        <v>5.06</v>
      </c>
      <c r="G512" s="61" t="n">
        <v>0</v>
      </c>
      <c r="H512" s="61" t="n">
        <v>0</v>
      </c>
      <c r="I512" s="61" t="n">
        <v>4.58</v>
      </c>
      <c r="J512" s="61" t="n">
        <v>0</v>
      </c>
      <c r="K512" s="61" t="n">
        <v>0</v>
      </c>
      <c r="L512" s="61" t="n">
        <v>0.2</v>
      </c>
      <c r="M512" s="61" t="n">
        <v>0.22</v>
      </c>
      <c r="N512" s="61" t="n">
        <v>0.06</v>
      </c>
      <c r="O512" s="61" t="n">
        <v>0</v>
      </c>
      <c r="P512" s="62" t="n">
        <v>598.8</v>
      </c>
      <c r="Q512" s="0" t="n">
        <v>0</v>
      </c>
      <c r="R512" s="60" t="n">
        <f aca="false">G512+H512+I512</f>
        <v>4.58</v>
      </c>
      <c r="S512" s="60" t="n">
        <f aca="false">K512+L512+M512+N512+O512</f>
        <v>0.48</v>
      </c>
      <c r="T512" s="60" t="n">
        <f aca="false">L512+M512</f>
        <v>0.42</v>
      </c>
      <c r="U512" s="60" t="n">
        <f aca="false">S512+J512</f>
        <v>0.48</v>
      </c>
      <c r="V512" s="63" t="n">
        <f aca="false">IFERROR(S512/F512,0)</f>
        <v>0.0948616600790514</v>
      </c>
      <c r="W512" s="63" t="n">
        <f aca="false">IFERROR(R512/F512,0)</f>
        <v>0.905138339920949</v>
      </c>
      <c r="X512" s="63" t="n">
        <f aca="false">IFERROR(T512/F512,0)</f>
        <v>0.08300395256917</v>
      </c>
      <c r="Y512" s="63" t="n">
        <f aca="false">IFERROR(G512/F512,0)</f>
        <v>0</v>
      </c>
      <c r="Z512" s="59" t="n">
        <f aca="false">IF(E512&gt;0,F512*1000000000/E512,"")</f>
        <v>3981.92238713886</v>
      </c>
      <c r="AA512" s="63" t="n">
        <f aca="false">IFERROR((R512+S512+J512)/F512,0)</f>
        <v>1</v>
      </c>
      <c r="AB512" s="0" t="str">
        <f aca="false">A512&amp;"|"&amp;D512</f>
        <v>Cyprus|2018</v>
      </c>
    </row>
    <row r="513" customFormat="false" ht="15" hidden="false" customHeight="false" outlineLevel="0" collapsed="false">
      <c r="A513" s="0" t="s">
        <v>229</v>
      </c>
      <c r="B513" s="0" t="s">
        <v>467</v>
      </c>
      <c r="C513" s="0" t="s">
        <v>127</v>
      </c>
      <c r="D513" s="0" t="n">
        <v>2019</v>
      </c>
      <c r="E513" s="59" t="n">
        <v>1286669</v>
      </c>
      <c r="F513" s="60" t="n">
        <v>5.15</v>
      </c>
      <c r="G513" s="61" t="n">
        <v>0</v>
      </c>
      <c r="H513" s="61" t="n">
        <v>0</v>
      </c>
      <c r="I513" s="61" t="n">
        <v>4.63</v>
      </c>
      <c r="J513" s="61" t="n">
        <v>0</v>
      </c>
      <c r="K513" s="61" t="n">
        <v>0</v>
      </c>
      <c r="L513" s="61" t="n">
        <v>0.22</v>
      </c>
      <c r="M513" s="61" t="n">
        <v>0.24</v>
      </c>
      <c r="N513" s="61" t="n">
        <v>0.06</v>
      </c>
      <c r="O513" s="61" t="n">
        <v>0</v>
      </c>
      <c r="P513" s="62" t="n">
        <v>596.1</v>
      </c>
      <c r="Q513" s="0" t="n">
        <v>0</v>
      </c>
      <c r="R513" s="60" t="n">
        <f aca="false">G513+H513+I513</f>
        <v>4.63</v>
      </c>
      <c r="S513" s="60" t="n">
        <f aca="false">K513+L513+M513+N513+O513</f>
        <v>0.52</v>
      </c>
      <c r="T513" s="60" t="n">
        <f aca="false">L513+M513</f>
        <v>0.46</v>
      </c>
      <c r="U513" s="60" t="n">
        <f aca="false">S513+J513</f>
        <v>0.52</v>
      </c>
      <c r="V513" s="63" t="n">
        <f aca="false">IFERROR(S513/F513,0)</f>
        <v>0.100970873786408</v>
      </c>
      <c r="W513" s="63" t="n">
        <f aca="false">IFERROR(R513/F513,0)</f>
        <v>0.899029126213592</v>
      </c>
      <c r="X513" s="63" t="n">
        <f aca="false">IFERROR(T513/F513,0)</f>
        <v>0.0893203883495146</v>
      </c>
      <c r="Y513" s="63" t="n">
        <f aca="false">IFERROR(G513/F513,0)</f>
        <v>0</v>
      </c>
      <c r="Z513" s="59" t="n">
        <f aca="false">IF(E513&gt;0,F513*1000000000/E513,"")</f>
        <v>4002.58341500417</v>
      </c>
      <c r="AA513" s="63" t="n">
        <f aca="false">IFERROR((R513+S513+J513)/F513,0)</f>
        <v>1</v>
      </c>
      <c r="AB513" s="0" t="str">
        <f aca="false">A513&amp;"|"&amp;D513</f>
        <v>Cyprus|2019</v>
      </c>
    </row>
    <row r="514" customFormat="false" ht="15" hidden="false" customHeight="false" outlineLevel="0" collapsed="false">
      <c r="A514" s="0" t="s">
        <v>229</v>
      </c>
      <c r="B514" s="0" t="s">
        <v>467</v>
      </c>
      <c r="C514" s="0" t="s">
        <v>127</v>
      </c>
      <c r="D514" s="0" t="n">
        <v>2020</v>
      </c>
      <c r="E514" s="59" t="n">
        <v>1302250</v>
      </c>
      <c r="F514" s="60" t="n">
        <v>4.85</v>
      </c>
      <c r="G514" s="61" t="n">
        <v>0</v>
      </c>
      <c r="H514" s="61" t="n">
        <v>0</v>
      </c>
      <c r="I514" s="61" t="n">
        <v>4.25</v>
      </c>
      <c r="J514" s="61" t="n">
        <v>0</v>
      </c>
      <c r="K514" s="61" t="n">
        <v>0</v>
      </c>
      <c r="L514" s="61" t="n">
        <v>0.3</v>
      </c>
      <c r="M514" s="61" t="n">
        <v>0.24</v>
      </c>
      <c r="N514" s="61" t="n">
        <v>0.06</v>
      </c>
      <c r="O514" s="61" t="n">
        <v>0</v>
      </c>
      <c r="P514" s="62" t="n">
        <v>581.4</v>
      </c>
      <c r="Q514" s="0" t="n">
        <v>0</v>
      </c>
      <c r="R514" s="60" t="n">
        <f aca="false">G514+H514+I514</f>
        <v>4.25</v>
      </c>
      <c r="S514" s="60" t="n">
        <f aca="false">K514+L514+M514+N514+O514</f>
        <v>0.6</v>
      </c>
      <c r="T514" s="60" t="n">
        <f aca="false">L514+M514</f>
        <v>0.54</v>
      </c>
      <c r="U514" s="60" t="n">
        <f aca="false">S514+J514</f>
        <v>0.6</v>
      </c>
      <c r="V514" s="63" t="n">
        <f aca="false">IFERROR(S514/F514,0)</f>
        <v>0.123711340206186</v>
      </c>
      <c r="W514" s="63" t="n">
        <f aca="false">IFERROR(R514/F514,0)</f>
        <v>0.876288659793815</v>
      </c>
      <c r="X514" s="63" t="n">
        <f aca="false">IFERROR(T514/F514,0)</f>
        <v>0.111340206185567</v>
      </c>
      <c r="Y514" s="63" t="n">
        <f aca="false">IFERROR(G514/F514,0)</f>
        <v>0</v>
      </c>
      <c r="Z514" s="59" t="n">
        <f aca="false">IF(E514&gt;0,F514*1000000000/E514,"")</f>
        <v>3724.32328661931</v>
      </c>
      <c r="AA514" s="63" t="n">
        <f aca="false">IFERROR((R514+S514+J514)/F514,0)</f>
        <v>1</v>
      </c>
      <c r="AB514" s="0" t="str">
        <f aca="false">A514&amp;"|"&amp;D514</f>
        <v>Cyprus|2020</v>
      </c>
    </row>
    <row r="515" customFormat="false" ht="15" hidden="false" customHeight="false" outlineLevel="0" collapsed="false">
      <c r="A515" s="0" t="s">
        <v>229</v>
      </c>
      <c r="B515" s="0" t="s">
        <v>467</v>
      </c>
      <c r="C515" s="0" t="s">
        <v>127</v>
      </c>
      <c r="D515" s="0" t="n">
        <v>2021</v>
      </c>
      <c r="E515" s="59" t="n">
        <v>1317311</v>
      </c>
      <c r="F515" s="60" t="n">
        <v>5.12</v>
      </c>
      <c r="G515" s="61" t="n">
        <v>0</v>
      </c>
      <c r="H515" s="61" t="n">
        <v>0</v>
      </c>
      <c r="I515" s="61" t="n">
        <v>4.34</v>
      </c>
      <c r="J515" s="61" t="n">
        <v>0</v>
      </c>
      <c r="K515" s="61" t="n">
        <v>0</v>
      </c>
      <c r="L515" s="61" t="n">
        <v>0.47</v>
      </c>
      <c r="M515" s="61" t="n">
        <v>0.25</v>
      </c>
      <c r="N515" s="61" t="n">
        <v>0.06</v>
      </c>
      <c r="O515" s="61" t="n">
        <v>0</v>
      </c>
      <c r="P515" s="62" t="n">
        <v>564.5</v>
      </c>
      <c r="Q515" s="0" t="n">
        <v>0</v>
      </c>
      <c r="R515" s="60" t="n">
        <f aca="false">G515+H515+I515</f>
        <v>4.34</v>
      </c>
      <c r="S515" s="60" t="n">
        <f aca="false">K515+L515+M515+N515+O515</f>
        <v>0.78</v>
      </c>
      <c r="T515" s="60" t="n">
        <f aca="false">L515+M515</f>
        <v>0.72</v>
      </c>
      <c r="U515" s="60" t="n">
        <f aca="false">S515+J515</f>
        <v>0.78</v>
      </c>
      <c r="V515" s="63" t="n">
        <f aca="false">IFERROR(S515/F515,0)</f>
        <v>0.15234375</v>
      </c>
      <c r="W515" s="63" t="n">
        <f aca="false">IFERROR(R515/F515,0)</f>
        <v>0.84765625</v>
      </c>
      <c r="X515" s="63" t="n">
        <f aca="false">IFERROR(T515/F515,0)</f>
        <v>0.140625</v>
      </c>
      <c r="Y515" s="63" t="n">
        <f aca="false">IFERROR(G515/F515,0)</f>
        <v>0</v>
      </c>
      <c r="Z515" s="59" t="n">
        <f aca="false">IF(E515&gt;0,F515*1000000000/E515,"")</f>
        <v>3886.70556914806</v>
      </c>
      <c r="AA515" s="63" t="n">
        <f aca="false">IFERROR((R515+S515+J515)/F515,0)</f>
        <v>1</v>
      </c>
      <c r="AB515" s="0" t="str">
        <f aca="false">A515&amp;"|"&amp;D515</f>
        <v>Cyprus|2021</v>
      </c>
    </row>
    <row r="516" customFormat="false" ht="15" hidden="false" customHeight="false" outlineLevel="0" collapsed="false">
      <c r="A516" s="0" t="s">
        <v>229</v>
      </c>
      <c r="B516" s="0" t="s">
        <v>467</v>
      </c>
      <c r="C516" s="0" t="s">
        <v>127</v>
      </c>
      <c r="D516" s="0" t="n">
        <v>2022</v>
      </c>
      <c r="E516" s="59" t="n">
        <v>1331376</v>
      </c>
      <c r="F516" s="60" t="n">
        <v>5.26</v>
      </c>
      <c r="G516" s="61" t="n">
        <v>0</v>
      </c>
      <c r="H516" s="61" t="n">
        <v>0</v>
      </c>
      <c r="I516" s="61" t="n">
        <v>4.38</v>
      </c>
      <c r="J516" s="61" t="n">
        <v>0</v>
      </c>
      <c r="K516" s="61" t="n">
        <v>0</v>
      </c>
      <c r="L516" s="61" t="n">
        <v>0.6</v>
      </c>
      <c r="M516" s="61" t="n">
        <v>0.22</v>
      </c>
      <c r="N516" s="61" t="n">
        <v>0.06</v>
      </c>
      <c r="O516" s="61" t="n">
        <v>0</v>
      </c>
      <c r="P516" s="62" t="n">
        <v>555.1</v>
      </c>
      <c r="Q516" s="0" t="n">
        <v>0</v>
      </c>
      <c r="R516" s="60" t="n">
        <f aca="false">G516+H516+I516</f>
        <v>4.38</v>
      </c>
      <c r="S516" s="60" t="n">
        <f aca="false">K516+L516+M516+N516+O516</f>
        <v>0.88</v>
      </c>
      <c r="T516" s="60" t="n">
        <f aca="false">L516+M516</f>
        <v>0.82</v>
      </c>
      <c r="U516" s="60" t="n">
        <f aca="false">S516+J516</f>
        <v>0.88</v>
      </c>
      <c r="V516" s="63" t="n">
        <f aca="false">IFERROR(S516/F516,0)</f>
        <v>0.167300380228137</v>
      </c>
      <c r="W516" s="63" t="n">
        <f aca="false">IFERROR(R516/F516,0)</f>
        <v>0.832699619771863</v>
      </c>
      <c r="X516" s="63" t="n">
        <f aca="false">IFERROR(T516/F516,0)</f>
        <v>0.155893536121673</v>
      </c>
      <c r="Y516" s="63" t="n">
        <f aca="false">IFERROR(G516/F516,0)</f>
        <v>0</v>
      </c>
      <c r="Z516" s="59" t="n">
        <f aca="false">IF(E516&gt;0,F516*1000000000/E516,"")</f>
        <v>3950.79977406833</v>
      </c>
      <c r="AA516" s="63" t="n">
        <f aca="false">IFERROR((R516+S516+J516)/F516,0)</f>
        <v>1</v>
      </c>
      <c r="AB516" s="0" t="str">
        <f aca="false">A516&amp;"|"&amp;D516</f>
        <v>Cyprus|2022</v>
      </c>
    </row>
    <row r="517" customFormat="false" ht="15" hidden="false" customHeight="false" outlineLevel="0" collapsed="false">
      <c r="A517" s="0" t="s">
        <v>229</v>
      </c>
      <c r="B517" s="0" t="s">
        <v>467</v>
      </c>
      <c r="C517" s="0" t="s">
        <v>127</v>
      </c>
      <c r="D517" s="0" t="n">
        <v>2023</v>
      </c>
      <c r="E517" s="59" t="n">
        <v>1344981</v>
      </c>
      <c r="F517" s="60" t="n">
        <v>5.33</v>
      </c>
      <c r="G517" s="61" t="n">
        <v>0</v>
      </c>
      <c r="H517" s="61" t="n">
        <v>0</v>
      </c>
      <c r="I517" s="61" t="n">
        <v>4.24</v>
      </c>
      <c r="J517" s="61" t="n">
        <v>0</v>
      </c>
      <c r="K517" s="61" t="n">
        <v>0</v>
      </c>
      <c r="L517" s="61" t="n">
        <v>0.83</v>
      </c>
      <c r="M517" s="61" t="n">
        <v>0.21</v>
      </c>
      <c r="N517" s="61" t="n">
        <v>0.05</v>
      </c>
      <c r="O517" s="61" t="n">
        <v>0</v>
      </c>
      <c r="P517" s="62" t="n">
        <v>532.8</v>
      </c>
      <c r="Q517" s="0" t="n">
        <v>0</v>
      </c>
      <c r="R517" s="60" t="n">
        <f aca="false">G517+H517+I517</f>
        <v>4.24</v>
      </c>
      <c r="S517" s="60" t="n">
        <f aca="false">K517+L517+M517+N517+O517</f>
        <v>1.09</v>
      </c>
      <c r="T517" s="60" t="n">
        <f aca="false">L517+M517</f>
        <v>1.04</v>
      </c>
      <c r="U517" s="60" t="n">
        <f aca="false">S517+J517</f>
        <v>1.09</v>
      </c>
      <c r="V517" s="63" t="n">
        <f aca="false">IFERROR(S517/F517,0)</f>
        <v>0.204502814258912</v>
      </c>
      <c r="W517" s="63" t="n">
        <f aca="false">IFERROR(R517/F517,0)</f>
        <v>0.795497185741088</v>
      </c>
      <c r="X517" s="63" t="n">
        <f aca="false">IFERROR(T517/F517,0)</f>
        <v>0.195121951219512</v>
      </c>
      <c r="Y517" s="63" t="n">
        <f aca="false">IFERROR(G517/F517,0)</f>
        <v>0</v>
      </c>
      <c r="Z517" s="59" t="n">
        <f aca="false">IF(E517&gt;0,F517*1000000000/E517,"")</f>
        <v>3962.88126003267</v>
      </c>
      <c r="AA517" s="63" t="n">
        <f aca="false">IFERROR((R517+S517+J517)/F517,0)</f>
        <v>1</v>
      </c>
      <c r="AB517" s="0" t="str">
        <f aca="false">A517&amp;"|"&amp;D517</f>
        <v>Cyprus|2023</v>
      </c>
    </row>
    <row r="518" customFormat="false" ht="15" hidden="false" customHeight="false" outlineLevel="0" collapsed="false">
      <c r="A518" s="0" t="s">
        <v>229</v>
      </c>
      <c r="B518" s="0" t="s">
        <v>467</v>
      </c>
      <c r="C518" s="0" t="s">
        <v>127</v>
      </c>
      <c r="D518" s="0" t="n">
        <v>2024</v>
      </c>
      <c r="E518" s="59" t="n">
        <v>1358287</v>
      </c>
      <c r="F518" s="60" t="n">
        <v>5.79</v>
      </c>
      <c r="G518" s="61" t="n">
        <v>0</v>
      </c>
      <c r="H518" s="61" t="n">
        <v>0</v>
      </c>
      <c r="I518" s="61" t="n">
        <v>4.4</v>
      </c>
      <c r="J518" s="61" t="n">
        <v>0</v>
      </c>
      <c r="K518" s="61" t="n">
        <v>0</v>
      </c>
      <c r="L518" s="61" t="n">
        <v>1.11</v>
      </c>
      <c r="M518" s="61" t="n">
        <v>0.22</v>
      </c>
      <c r="N518" s="61" t="n">
        <v>0.06</v>
      </c>
      <c r="O518" s="61" t="n">
        <v>0</v>
      </c>
      <c r="P518" s="62" t="n">
        <v>511.2</v>
      </c>
      <c r="Q518" s="0" t="n">
        <v>0</v>
      </c>
      <c r="R518" s="60" t="n">
        <f aca="false">G518+H518+I518</f>
        <v>4.4</v>
      </c>
      <c r="S518" s="60" t="n">
        <f aca="false">K518+L518+M518+N518+O518</f>
        <v>1.39</v>
      </c>
      <c r="T518" s="60" t="n">
        <f aca="false">L518+M518</f>
        <v>1.33</v>
      </c>
      <c r="U518" s="60" t="n">
        <f aca="false">S518+J518</f>
        <v>1.39</v>
      </c>
      <c r="V518" s="63" t="n">
        <f aca="false">IFERROR(S518/F518,0)</f>
        <v>0.24006908462867</v>
      </c>
      <c r="W518" s="63" t="n">
        <f aca="false">IFERROR(R518/F518,0)</f>
        <v>0.75993091537133</v>
      </c>
      <c r="X518" s="63" t="n">
        <f aca="false">IFERROR(T518/F518,0)</f>
        <v>0.229706390328152</v>
      </c>
      <c r="Y518" s="63" t="n">
        <f aca="false">IFERROR(G518/F518,0)</f>
        <v>0</v>
      </c>
      <c r="Z518" s="59" t="n">
        <f aca="false">IF(E518&gt;0,F518*1000000000/E518,"")</f>
        <v>4262.72209039769</v>
      </c>
      <c r="AA518" s="63" t="n">
        <f aca="false">IFERROR((R518+S518+J518)/F518,0)</f>
        <v>1</v>
      </c>
      <c r="AB518" s="0" t="str">
        <f aca="false">A518&amp;"|"&amp;D518</f>
        <v>Cyprus|2024</v>
      </c>
    </row>
    <row r="519" customFormat="false" ht="15" hidden="false" customHeight="false" outlineLevel="0" collapsed="false">
      <c r="A519" s="0" t="s">
        <v>229</v>
      </c>
      <c r="B519" s="0" t="s">
        <v>467</v>
      </c>
      <c r="C519" s="0" t="s">
        <v>127</v>
      </c>
      <c r="D519" s="0" t="n">
        <v>2025</v>
      </c>
      <c r="E519" s="59" t="n">
        <v>1370754</v>
      </c>
      <c r="F519" s="60" t="n">
        <v>5.91</v>
      </c>
      <c r="G519" s="61" t="n">
        <v>0</v>
      </c>
      <c r="H519" s="61" t="n">
        <v>0</v>
      </c>
      <c r="I519" s="61" t="n">
        <v>4.27</v>
      </c>
      <c r="J519" s="61" t="n">
        <v>0</v>
      </c>
      <c r="K519" s="61" t="n">
        <v>0</v>
      </c>
      <c r="L519" s="61" t="n">
        <v>1.37</v>
      </c>
      <c r="M519" s="61" t="n">
        <v>0.21</v>
      </c>
      <c r="N519" s="61" t="n">
        <v>0.06</v>
      </c>
      <c r="O519" s="61" t="n">
        <v>0</v>
      </c>
      <c r="P519" s="62" t="n">
        <v>489</v>
      </c>
      <c r="Q519" s="0" t="n">
        <v>0</v>
      </c>
      <c r="R519" s="60" t="n">
        <f aca="false">G519+H519+I519</f>
        <v>4.27</v>
      </c>
      <c r="S519" s="60" t="n">
        <f aca="false">K519+L519+M519+N519+O519</f>
        <v>1.64</v>
      </c>
      <c r="T519" s="60" t="n">
        <f aca="false">L519+M519</f>
        <v>1.58</v>
      </c>
      <c r="U519" s="60" t="n">
        <f aca="false">S519+J519</f>
        <v>1.64</v>
      </c>
      <c r="V519" s="63" t="n">
        <f aca="false">IFERROR(S519/F519,0)</f>
        <v>0.277495769881557</v>
      </c>
      <c r="W519" s="63" t="n">
        <f aca="false">IFERROR(R519/F519,0)</f>
        <v>0.722504230118443</v>
      </c>
      <c r="X519" s="63" t="n">
        <f aca="false">IFERROR(T519/F519,0)</f>
        <v>0.267343485617597</v>
      </c>
      <c r="Y519" s="63" t="n">
        <f aca="false">IFERROR(G519/F519,0)</f>
        <v>0</v>
      </c>
      <c r="Z519" s="59" t="n">
        <f aca="false">IF(E519&gt;0,F519*1000000000/E519,"")</f>
        <v>4311.49571695578</v>
      </c>
      <c r="AA519" s="63" t="n">
        <f aca="false">IFERROR((R519+S519+J519)/F519,0)</f>
        <v>1</v>
      </c>
      <c r="AB519" s="0" t="str">
        <f aca="false">A519&amp;"|"&amp;D519</f>
        <v>Cyprus|2025</v>
      </c>
    </row>
    <row r="520" customFormat="false" ht="15" hidden="false" customHeight="false" outlineLevel="0" collapsed="false">
      <c r="A520" s="0" t="s">
        <v>230</v>
      </c>
      <c r="B520" s="0" t="s">
        <v>468</v>
      </c>
      <c r="C520" s="0" t="s">
        <v>127</v>
      </c>
      <c r="D520" s="0" t="n">
        <v>2015</v>
      </c>
      <c r="E520" s="59" t="n">
        <v>10524418</v>
      </c>
      <c r="F520" s="60" t="n">
        <v>82.49</v>
      </c>
      <c r="G520" s="61" t="n">
        <v>41.14</v>
      </c>
      <c r="H520" s="61" t="n">
        <v>2.28</v>
      </c>
      <c r="I520" s="61" t="n">
        <v>2.82</v>
      </c>
      <c r="J520" s="61" t="n">
        <v>26.84</v>
      </c>
      <c r="K520" s="61" t="n">
        <v>1.79</v>
      </c>
      <c r="L520" s="61" t="n">
        <v>2.26</v>
      </c>
      <c r="M520" s="61" t="n">
        <v>0.57</v>
      </c>
      <c r="N520" s="61" t="n">
        <v>4.79</v>
      </c>
      <c r="O520" s="61" t="n">
        <v>0</v>
      </c>
      <c r="P520" s="62" t="n">
        <v>553.2</v>
      </c>
      <c r="Q520" s="0" t="n">
        <v>0</v>
      </c>
      <c r="R520" s="60" t="n">
        <f aca="false">G520+H520+I520</f>
        <v>46.24</v>
      </c>
      <c r="S520" s="60" t="n">
        <f aca="false">K520+L520+M520+N520+O520</f>
        <v>9.41</v>
      </c>
      <c r="T520" s="60" t="n">
        <f aca="false">L520+M520</f>
        <v>2.83</v>
      </c>
      <c r="U520" s="60" t="n">
        <f aca="false">S520+J520</f>
        <v>36.25</v>
      </c>
      <c r="V520" s="63" t="n">
        <f aca="false">IFERROR(S520/F520,0)</f>
        <v>0.114074433264638</v>
      </c>
      <c r="W520" s="63" t="n">
        <f aca="false">IFERROR(R520/F520,0)</f>
        <v>0.560552794278094</v>
      </c>
      <c r="X520" s="63" t="n">
        <f aca="false">IFERROR(T520/F520,0)</f>
        <v>0.0343071887501515</v>
      </c>
      <c r="Y520" s="63" t="n">
        <f aca="false">IFERROR(G520/F520,0)</f>
        <v>0.498727118438599</v>
      </c>
      <c r="Z520" s="59" t="n">
        <f aca="false">IF(E520&gt;0,F520*1000000000/E520,"")</f>
        <v>7837.96310636845</v>
      </c>
      <c r="AA520" s="63" t="n">
        <f aca="false">IFERROR((R520+S520+J520)/F520,0)</f>
        <v>1</v>
      </c>
      <c r="AB520" s="0" t="str">
        <f aca="false">A520&amp;"|"&amp;D520</f>
        <v>Czechia|2015</v>
      </c>
    </row>
    <row r="521" customFormat="false" ht="15" hidden="false" customHeight="false" outlineLevel="0" collapsed="false">
      <c r="A521" s="0" t="s">
        <v>230</v>
      </c>
      <c r="B521" s="0" t="s">
        <v>468</v>
      </c>
      <c r="C521" s="0" t="s">
        <v>127</v>
      </c>
      <c r="D521" s="0" t="n">
        <v>2016</v>
      </c>
      <c r="E521" s="59" t="n">
        <v>10531946</v>
      </c>
      <c r="F521" s="60" t="n">
        <v>82</v>
      </c>
      <c r="G521" s="61" t="n">
        <v>41.97</v>
      </c>
      <c r="H521" s="61" t="n">
        <v>3.73</v>
      </c>
      <c r="I521" s="61" t="n">
        <v>2.81</v>
      </c>
      <c r="J521" s="61" t="n">
        <v>24.1</v>
      </c>
      <c r="K521" s="61" t="n">
        <v>2</v>
      </c>
      <c r="L521" s="61" t="n">
        <v>2.13</v>
      </c>
      <c r="M521" s="61" t="n">
        <v>0.5</v>
      </c>
      <c r="N521" s="61" t="n">
        <v>4.76</v>
      </c>
      <c r="O521" s="61" t="n">
        <v>0</v>
      </c>
      <c r="P521" s="62" t="n">
        <v>573.9</v>
      </c>
      <c r="Q521" s="0" t="n">
        <v>0</v>
      </c>
      <c r="R521" s="60" t="n">
        <f aca="false">G521+H521+I521</f>
        <v>48.51</v>
      </c>
      <c r="S521" s="60" t="n">
        <f aca="false">K521+L521+M521+N521+O521</f>
        <v>9.39</v>
      </c>
      <c r="T521" s="60" t="n">
        <f aca="false">L521+M521</f>
        <v>2.63</v>
      </c>
      <c r="U521" s="60" t="n">
        <f aca="false">S521+J521</f>
        <v>33.49</v>
      </c>
      <c r="V521" s="63" t="n">
        <f aca="false">IFERROR(S521/F521,0)</f>
        <v>0.114512195121951</v>
      </c>
      <c r="W521" s="63" t="n">
        <f aca="false">IFERROR(R521/F521,0)</f>
        <v>0.591585365853659</v>
      </c>
      <c r="X521" s="63" t="n">
        <f aca="false">IFERROR(T521/F521,0)</f>
        <v>0.0320731707317073</v>
      </c>
      <c r="Y521" s="63" t="n">
        <f aca="false">IFERROR(G521/F521,0)</f>
        <v>0.511829268292683</v>
      </c>
      <c r="Z521" s="59" t="n">
        <f aca="false">IF(E521&gt;0,F521*1000000000/E521,"")</f>
        <v>7785.83559011791</v>
      </c>
      <c r="AA521" s="63" t="n">
        <f aca="false">IFERROR((R521+S521+J521)/F521,0)</f>
        <v>1</v>
      </c>
      <c r="AB521" s="0" t="str">
        <f aca="false">A521&amp;"|"&amp;D521</f>
        <v>Czechia|2016</v>
      </c>
    </row>
    <row r="522" customFormat="false" ht="15" hidden="false" customHeight="false" outlineLevel="0" collapsed="false">
      <c r="A522" s="0" t="s">
        <v>230</v>
      </c>
      <c r="B522" s="0" t="s">
        <v>468</v>
      </c>
      <c r="C522" s="0" t="s">
        <v>127</v>
      </c>
      <c r="D522" s="0" t="n">
        <v>2017</v>
      </c>
      <c r="E522" s="59" t="n">
        <v>10541343</v>
      </c>
      <c r="F522" s="60" t="n">
        <v>85.76</v>
      </c>
      <c r="G522" s="61" t="n">
        <v>41.44</v>
      </c>
      <c r="H522" s="61" t="n">
        <v>3.7</v>
      </c>
      <c r="I522" s="61" t="n">
        <v>2.65</v>
      </c>
      <c r="J522" s="61" t="n">
        <v>28.34</v>
      </c>
      <c r="K522" s="61" t="n">
        <v>1.87</v>
      </c>
      <c r="L522" s="61" t="n">
        <v>2.2</v>
      </c>
      <c r="M522" s="61" t="n">
        <v>0.59</v>
      </c>
      <c r="N522" s="61" t="n">
        <v>4.97</v>
      </c>
      <c r="O522" s="61" t="n">
        <v>0</v>
      </c>
      <c r="P522" s="62" t="n">
        <v>542.3</v>
      </c>
      <c r="Q522" s="0" t="n">
        <v>0</v>
      </c>
      <c r="R522" s="60" t="n">
        <f aca="false">G522+H522+I522</f>
        <v>47.79</v>
      </c>
      <c r="S522" s="60" t="n">
        <f aca="false">K522+L522+M522+N522+O522</f>
        <v>9.63</v>
      </c>
      <c r="T522" s="60" t="n">
        <f aca="false">L522+M522</f>
        <v>2.79</v>
      </c>
      <c r="U522" s="60" t="n">
        <f aca="false">S522+J522</f>
        <v>37.97</v>
      </c>
      <c r="V522" s="63" t="n">
        <f aca="false">IFERROR(S522/F522,0)</f>
        <v>0.112290111940298</v>
      </c>
      <c r="W522" s="63" t="n">
        <f aca="false">IFERROR(R522/F522,0)</f>
        <v>0.557252798507463</v>
      </c>
      <c r="X522" s="63" t="n">
        <f aca="false">IFERROR(T522/F522,0)</f>
        <v>0.0325326492537313</v>
      </c>
      <c r="Y522" s="63" t="n">
        <f aca="false">IFERROR(G522/F522,0)</f>
        <v>0.483208955223881</v>
      </c>
      <c r="Z522" s="59" t="n">
        <f aca="false">IF(E522&gt;0,F522*1000000000/E522,"")</f>
        <v>8135.58575980309</v>
      </c>
      <c r="AA522" s="63" t="n">
        <f aca="false">IFERROR((R522+S522+J522)/F522,0)</f>
        <v>1</v>
      </c>
      <c r="AB522" s="0" t="str">
        <f aca="false">A522&amp;"|"&amp;D522</f>
        <v>Czechia|2017</v>
      </c>
    </row>
    <row r="523" customFormat="false" ht="15" hidden="false" customHeight="false" outlineLevel="0" collapsed="false">
      <c r="A523" s="0" t="s">
        <v>230</v>
      </c>
      <c r="B523" s="0" t="s">
        <v>468</v>
      </c>
      <c r="C523" s="0" t="s">
        <v>127</v>
      </c>
      <c r="D523" s="0" t="n">
        <v>2018</v>
      </c>
      <c r="E523" s="59" t="n">
        <v>10548934</v>
      </c>
      <c r="F523" s="60" t="n">
        <v>86.84</v>
      </c>
      <c r="G523" s="61" t="n">
        <v>41.2</v>
      </c>
      <c r="H523" s="61" t="n">
        <v>3.77</v>
      </c>
      <c r="I523" s="61" t="n">
        <v>2.52</v>
      </c>
      <c r="J523" s="61" t="n">
        <v>29.92</v>
      </c>
      <c r="K523" s="61" t="n">
        <v>1.63</v>
      </c>
      <c r="L523" s="61" t="n">
        <v>2.36</v>
      </c>
      <c r="M523" s="61" t="n">
        <v>0.61</v>
      </c>
      <c r="N523" s="61" t="n">
        <v>4.83</v>
      </c>
      <c r="O523" s="61" t="n">
        <v>0</v>
      </c>
      <c r="P523" s="62" t="n">
        <v>532.6</v>
      </c>
      <c r="Q523" s="0" t="n">
        <v>0</v>
      </c>
      <c r="R523" s="60" t="n">
        <f aca="false">G523+H523+I523</f>
        <v>47.49</v>
      </c>
      <c r="S523" s="60" t="n">
        <f aca="false">K523+L523+M523+N523+O523</f>
        <v>9.43</v>
      </c>
      <c r="T523" s="60" t="n">
        <f aca="false">L523+M523</f>
        <v>2.97</v>
      </c>
      <c r="U523" s="60" t="n">
        <f aca="false">S523+J523</f>
        <v>39.35</v>
      </c>
      <c r="V523" s="63" t="n">
        <f aca="false">IFERROR(S523/F523,0)</f>
        <v>0.108590511285122</v>
      </c>
      <c r="W523" s="63" t="n">
        <f aca="false">IFERROR(R523/F523,0)</f>
        <v>0.546867802855827</v>
      </c>
      <c r="X523" s="63" t="n">
        <f aca="false">IFERROR(T523/F523,0)</f>
        <v>0.0342008291110087</v>
      </c>
      <c r="Y523" s="63" t="n">
        <f aca="false">IFERROR(G523/F523,0)</f>
        <v>0.474435743896822</v>
      </c>
      <c r="Z523" s="59" t="n">
        <f aca="false">IF(E523&gt;0,F523*1000000000/E523,"")</f>
        <v>8232.11141523873</v>
      </c>
      <c r="AA523" s="63" t="n">
        <f aca="false">IFERROR((R523+S523+J523)/F523,0)</f>
        <v>1</v>
      </c>
      <c r="AB523" s="0" t="str">
        <f aca="false">A523&amp;"|"&amp;D523</f>
        <v>Czechia|2018</v>
      </c>
    </row>
    <row r="524" customFormat="false" ht="15" hidden="false" customHeight="false" outlineLevel="0" collapsed="false">
      <c r="A524" s="0" t="s">
        <v>230</v>
      </c>
      <c r="B524" s="0" t="s">
        <v>468</v>
      </c>
      <c r="C524" s="0" t="s">
        <v>127</v>
      </c>
      <c r="D524" s="0" t="n">
        <v>2019</v>
      </c>
      <c r="E524" s="59" t="n">
        <v>10554872</v>
      </c>
      <c r="F524" s="60" t="n">
        <v>85.72</v>
      </c>
      <c r="G524" s="61" t="n">
        <v>37.33</v>
      </c>
      <c r="H524" s="61" t="n">
        <v>5.81</v>
      </c>
      <c r="I524" s="61" t="n">
        <v>2.27</v>
      </c>
      <c r="J524" s="61" t="n">
        <v>30.25</v>
      </c>
      <c r="K524" s="61" t="n">
        <v>2.01</v>
      </c>
      <c r="L524" s="61" t="n">
        <v>2.32</v>
      </c>
      <c r="M524" s="61" t="n">
        <v>0.7</v>
      </c>
      <c r="N524" s="61" t="n">
        <v>5.03</v>
      </c>
      <c r="O524" s="61" t="n">
        <v>0</v>
      </c>
      <c r="P524" s="62" t="n">
        <v>503.5</v>
      </c>
      <c r="Q524" s="0" t="n">
        <v>0</v>
      </c>
      <c r="R524" s="60" t="n">
        <f aca="false">G524+H524+I524</f>
        <v>45.41</v>
      </c>
      <c r="S524" s="60" t="n">
        <f aca="false">K524+L524+M524+N524+O524</f>
        <v>10.06</v>
      </c>
      <c r="T524" s="60" t="n">
        <f aca="false">L524+M524</f>
        <v>3.02</v>
      </c>
      <c r="U524" s="60" t="n">
        <f aca="false">S524+J524</f>
        <v>40.31</v>
      </c>
      <c r="V524" s="63" t="n">
        <f aca="false">IFERROR(S524/F524,0)</f>
        <v>0.117358842743817</v>
      </c>
      <c r="W524" s="63" t="n">
        <f aca="false">IFERROR(R524/F524,0)</f>
        <v>0.52974801679888</v>
      </c>
      <c r="X524" s="63" t="n">
        <f aca="false">IFERROR(T524/F524,0)</f>
        <v>0.0352309846010266</v>
      </c>
      <c r="Y524" s="63" t="n">
        <f aca="false">IFERROR(G524/F524,0)</f>
        <v>0.435487634157723</v>
      </c>
      <c r="Z524" s="59" t="n">
        <f aca="false">IF(E524&gt;0,F524*1000000000/E524,"")</f>
        <v>8121.36802795903</v>
      </c>
      <c r="AA524" s="63" t="n">
        <f aca="false">IFERROR((R524+S524+J524)/F524,0)</f>
        <v>1</v>
      </c>
      <c r="AB524" s="0" t="str">
        <f aca="false">A524&amp;"|"&amp;D524</f>
        <v>Czechia|2019</v>
      </c>
    </row>
    <row r="525" customFormat="false" ht="15" hidden="false" customHeight="false" outlineLevel="0" collapsed="false">
      <c r="A525" s="0" t="s">
        <v>230</v>
      </c>
      <c r="B525" s="0" t="s">
        <v>468</v>
      </c>
      <c r="C525" s="0" t="s">
        <v>127</v>
      </c>
      <c r="D525" s="0" t="n">
        <v>2020</v>
      </c>
      <c r="E525" s="59" t="n">
        <v>10550129</v>
      </c>
      <c r="F525" s="60" t="n">
        <v>80.1</v>
      </c>
      <c r="G525" s="61" t="n">
        <v>31</v>
      </c>
      <c r="H525" s="61" t="n">
        <v>6.87</v>
      </c>
      <c r="I525" s="61" t="n">
        <v>1.85</v>
      </c>
      <c r="J525" s="61" t="n">
        <v>30.04</v>
      </c>
      <c r="K525" s="61" t="n">
        <v>2.14</v>
      </c>
      <c r="L525" s="61" t="n">
        <v>2.29</v>
      </c>
      <c r="M525" s="61" t="n">
        <v>0.7</v>
      </c>
      <c r="N525" s="61" t="n">
        <v>5.21</v>
      </c>
      <c r="O525" s="61" t="n">
        <v>0</v>
      </c>
      <c r="P525" s="62" t="n">
        <v>460.2</v>
      </c>
      <c r="Q525" s="0" t="n">
        <v>0</v>
      </c>
      <c r="R525" s="60" t="n">
        <f aca="false">G525+H525+I525</f>
        <v>39.72</v>
      </c>
      <c r="S525" s="60" t="n">
        <f aca="false">K525+L525+M525+N525+O525</f>
        <v>10.34</v>
      </c>
      <c r="T525" s="60" t="n">
        <f aca="false">L525+M525</f>
        <v>2.99</v>
      </c>
      <c r="U525" s="60" t="n">
        <f aca="false">S525+J525</f>
        <v>40.38</v>
      </c>
      <c r="V525" s="63" t="n">
        <f aca="false">IFERROR(S525/F525,0)</f>
        <v>0.129088639200999</v>
      </c>
      <c r="W525" s="63" t="n">
        <f aca="false">IFERROR(R525/F525,0)</f>
        <v>0.495880149812734</v>
      </c>
      <c r="X525" s="63" t="n">
        <f aca="false">IFERROR(T525/F525,0)</f>
        <v>0.0373283395755306</v>
      </c>
      <c r="Y525" s="63" t="n">
        <f aca="false">IFERROR(G525/F525,0)</f>
        <v>0.387016229712859</v>
      </c>
      <c r="Z525" s="59" t="n">
        <f aca="false">IF(E525&gt;0,F525*1000000000/E525,"")</f>
        <v>7592.32422655685</v>
      </c>
      <c r="AA525" s="63" t="n">
        <f aca="false">IFERROR((R525+S525+J525)/F525,0)</f>
        <v>1</v>
      </c>
      <c r="AB525" s="0" t="str">
        <f aca="false">A525&amp;"|"&amp;D525</f>
        <v>Czechia|2020</v>
      </c>
    </row>
    <row r="526" customFormat="false" ht="15" hidden="false" customHeight="false" outlineLevel="0" collapsed="false">
      <c r="A526" s="0" t="s">
        <v>230</v>
      </c>
      <c r="B526" s="0" t="s">
        <v>468</v>
      </c>
      <c r="C526" s="0" t="s">
        <v>127</v>
      </c>
      <c r="D526" s="0" t="n">
        <v>2021</v>
      </c>
      <c r="E526" s="59" t="n">
        <v>10530683</v>
      </c>
      <c r="F526" s="60" t="n">
        <v>83.66</v>
      </c>
      <c r="G526" s="61" t="n">
        <v>34.18</v>
      </c>
      <c r="H526" s="61" t="n">
        <v>7.31</v>
      </c>
      <c r="I526" s="61" t="n">
        <v>0.8</v>
      </c>
      <c r="J526" s="61" t="n">
        <v>30.73</v>
      </c>
      <c r="K526" s="61" t="n">
        <v>2.41</v>
      </c>
      <c r="L526" s="61" t="n">
        <v>2.25</v>
      </c>
      <c r="M526" s="61" t="n">
        <v>0.6</v>
      </c>
      <c r="N526" s="61" t="n">
        <v>5.38</v>
      </c>
      <c r="O526" s="61" t="n">
        <v>0</v>
      </c>
      <c r="P526" s="62" t="n">
        <v>471.8</v>
      </c>
      <c r="Q526" s="0" t="n">
        <v>0</v>
      </c>
      <c r="R526" s="60" t="n">
        <f aca="false">G526+H526+I526</f>
        <v>42.29</v>
      </c>
      <c r="S526" s="60" t="n">
        <f aca="false">K526+L526+M526+N526+O526</f>
        <v>10.64</v>
      </c>
      <c r="T526" s="60" t="n">
        <f aca="false">L526+M526</f>
        <v>2.85</v>
      </c>
      <c r="U526" s="60" t="n">
        <f aca="false">S526+J526</f>
        <v>41.37</v>
      </c>
      <c r="V526" s="63" t="n">
        <f aca="false">IFERROR(S526/F526,0)</f>
        <v>0.127181448721014</v>
      </c>
      <c r="W526" s="63" t="n">
        <f aca="false">IFERROR(R526/F526,0)</f>
        <v>0.505498446091322</v>
      </c>
      <c r="X526" s="63" t="n">
        <f aca="false">IFERROR(T526/F526,0)</f>
        <v>0.0340664594788429</v>
      </c>
      <c r="Y526" s="63" t="n">
        <f aca="false">IFERROR(G526/F526,0)</f>
        <v>0.40855845087258</v>
      </c>
      <c r="Z526" s="59" t="n">
        <f aca="false">IF(E526&gt;0,F526*1000000000/E526,"")</f>
        <v>7944.40398595229</v>
      </c>
      <c r="AA526" s="63" t="n">
        <f aca="false">IFERROR((R526+S526+J526)/F526,0)</f>
        <v>1</v>
      </c>
      <c r="AB526" s="0" t="str">
        <f aca="false">A526&amp;"|"&amp;D526</f>
        <v>Czechia|2021</v>
      </c>
    </row>
    <row r="527" customFormat="false" ht="15" hidden="false" customHeight="false" outlineLevel="0" collapsed="false">
      <c r="A527" s="0" t="s">
        <v>230</v>
      </c>
      <c r="B527" s="0" t="s">
        <v>468</v>
      </c>
      <c r="C527" s="0" t="s">
        <v>127</v>
      </c>
      <c r="D527" s="0" t="n">
        <v>2022</v>
      </c>
      <c r="E527" s="59" t="n">
        <v>10673216</v>
      </c>
      <c r="F527" s="60" t="n">
        <v>83.73</v>
      </c>
      <c r="G527" s="61" t="n">
        <v>36.88</v>
      </c>
      <c r="H527" s="61" t="n">
        <v>4.33</v>
      </c>
      <c r="I527" s="61" t="n">
        <v>0.73</v>
      </c>
      <c r="J527" s="61" t="n">
        <v>31.02</v>
      </c>
      <c r="K527" s="61" t="n">
        <v>2.09</v>
      </c>
      <c r="L527" s="61" t="n">
        <v>2.63</v>
      </c>
      <c r="M527" s="61" t="n">
        <v>0.64</v>
      </c>
      <c r="N527" s="61" t="n">
        <v>5.41</v>
      </c>
      <c r="O527" s="61" t="n">
        <v>0</v>
      </c>
      <c r="P527" s="62" t="n">
        <v>488.4</v>
      </c>
      <c r="Q527" s="0" t="n">
        <v>0</v>
      </c>
      <c r="R527" s="60" t="n">
        <f aca="false">G527+H527+I527</f>
        <v>41.94</v>
      </c>
      <c r="S527" s="60" t="n">
        <f aca="false">K527+L527+M527+N527+O527</f>
        <v>10.77</v>
      </c>
      <c r="T527" s="60" t="n">
        <f aca="false">L527+M527</f>
        <v>3.27</v>
      </c>
      <c r="U527" s="60" t="n">
        <f aca="false">S527+J527</f>
        <v>41.79</v>
      </c>
      <c r="V527" s="63" t="n">
        <f aca="false">IFERROR(S527/F527,0)</f>
        <v>0.1286277319957</v>
      </c>
      <c r="W527" s="63" t="n">
        <f aca="false">IFERROR(R527/F527,0)</f>
        <v>0.500895736295235</v>
      </c>
      <c r="X527" s="63" t="n">
        <f aca="false">IFERROR(T527/F527,0)</f>
        <v>0.0390541024722322</v>
      </c>
      <c r="Y527" s="63" t="n">
        <f aca="false">IFERROR(G527/F527,0)</f>
        <v>0.440463394243401</v>
      </c>
      <c r="Z527" s="59" t="n">
        <f aca="false">IF(E527&gt;0,F527*1000000000/E527,"")</f>
        <v>7844.87074935989</v>
      </c>
      <c r="AA527" s="63" t="n">
        <f aca="false">IFERROR((R527+S527+J527)/F527,0)</f>
        <v>1</v>
      </c>
      <c r="AB527" s="0" t="str">
        <f aca="false">A527&amp;"|"&amp;D527</f>
        <v>Czechia|2022</v>
      </c>
    </row>
    <row r="528" customFormat="false" ht="15" hidden="false" customHeight="false" outlineLevel="0" collapsed="false">
      <c r="A528" s="0" t="s">
        <v>230</v>
      </c>
      <c r="B528" s="0" t="s">
        <v>468</v>
      </c>
      <c r="C528" s="0" t="s">
        <v>127</v>
      </c>
      <c r="D528" s="0" t="n">
        <v>2023</v>
      </c>
      <c r="E528" s="59" t="n">
        <v>10809722</v>
      </c>
      <c r="F528" s="60" t="n">
        <v>75.8</v>
      </c>
      <c r="G528" s="61" t="n">
        <v>29.94</v>
      </c>
      <c r="H528" s="61" t="n">
        <v>3.68</v>
      </c>
      <c r="I528" s="61" t="n">
        <v>0.63</v>
      </c>
      <c r="J528" s="61" t="n">
        <v>30.41</v>
      </c>
      <c r="K528" s="61" t="n">
        <v>2.36</v>
      </c>
      <c r="L528" s="61" t="n">
        <v>2.89</v>
      </c>
      <c r="M528" s="61" t="n">
        <v>0.7</v>
      </c>
      <c r="N528" s="61" t="n">
        <v>5.19</v>
      </c>
      <c r="O528" s="61" t="n">
        <v>0</v>
      </c>
      <c r="P528" s="62" t="n">
        <v>442.6</v>
      </c>
      <c r="Q528" s="0" t="n">
        <v>0</v>
      </c>
      <c r="R528" s="60" t="n">
        <f aca="false">G528+H528+I528</f>
        <v>34.25</v>
      </c>
      <c r="S528" s="60" t="n">
        <f aca="false">K528+L528+M528+N528+O528</f>
        <v>11.14</v>
      </c>
      <c r="T528" s="60" t="n">
        <f aca="false">L528+M528</f>
        <v>3.59</v>
      </c>
      <c r="U528" s="60" t="n">
        <f aca="false">S528+J528</f>
        <v>41.55</v>
      </c>
      <c r="V528" s="63" t="n">
        <f aca="false">IFERROR(S528/F528,0)</f>
        <v>0.146965699208443</v>
      </c>
      <c r="W528" s="63" t="n">
        <f aca="false">IFERROR(R528/F528,0)</f>
        <v>0.451846965699209</v>
      </c>
      <c r="X528" s="63" t="n">
        <f aca="false">IFERROR(T528/F528,0)</f>
        <v>0.0473614775725594</v>
      </c>
      <c r="Y528" s="63" t="n">
        <f aca="false">IFERROR(G528/F528,0)</f>
        <v>0.394986807387863</v>
      </c>
      <c r="Z528" s="59" t="n">
        <f aca="false">IF(E528&gt;0,F528*1000000000/E528,"")</f>
        <v>7012.20623435089</v>
      </c>
      <c r="AA528" s="63" t="n">
        <f aca="false">IFERROR((R528+S528+J528)/F528,0)</f>
        <v>1</v>
      </c>
      <c r="AB528" s="0" t="str">
        <f aca="false">A528&amp;"|"&amp;D528</f>
        <v>Czechia|2023</v>
      </c>
    </row>
    <row r="529" customFormat="false" ht="15" hidden="false" customHeight="false" outlineLevel="0" collapsed="false">
      <c r="A529" s="0" t="s">
        <v>230</v>
      </c>
      <c r="B529" s="0" t="s">
        <v>468</v>
      </c>
      <c r="C529" s="0" t="s">
        <v>127</v>
      </c>
      <c r="D529" s="0" t="n">
        <v>2024</v>
      </c>
      <c r="E529" s="59" t="n">
        <v>10735857</v>
      </c>
      <c r="F529" s="60" t="n">
        <v>72.81</v>
      </c>
      <c r="G529" s="61" t="n">
        <v>26.52</v>
      </c>
      <c r="H529" s="61" t="n">
        <v>3.79</v>
      </c>
      <c r="I529" s="61" t="n">
        <v>0.5</v>
      </c>
      <c r="J529" s="61" t="n">
        <v>29.7</v>
      </c>
      <c r="K529" s="61" t="n">
        <v>2.66</v>
      </c>
      <c r="L529" s="61" t="n">
        <v>3.59</v>
      </c>
      <c r="M529" s="61" t="n">
        <v>0.67</v>
      </c>
      <c r="N529" s="61" t="n">
        <v>5.38</v>
      </c>
      <c r="O529" s="61" t="n">
        <v>0</v>
      </c>
      <c r="P529" s="62" t="n">
        <v>414.2</v>
      </c>
      <c r="Q529" s="0" t="n">
        <v>0</v>
      </c>
      <c r="R529" s="60" t="n">
        <f aca="false">G529+H529+I529</f>
        <v>30.81</v>
      </c>
      <c r="S529" s="60" t="n">
        <f aca="false">K529+L529+M529+N529+O529</f>
        <v>12.3</v>
      </c>
      <c r="T529" s="60" t="n">
        <f aca="false">L529+M529</f>
        <v>4.26</v>
      </c>
      <c r="U529" s="60" t="n">
        <f aca="false">S529+J529</f>
        <v>42</v>
      </c>
      <c r="V529" s="63" t="n">
        <f aca="false">IFERROR(S529/F529,0)</f>
        <v>0.168932838895756</v>
      </c>
      <c r="W529" s="63" t="n">
        <f aca="false">IFERROR(R529/F529,0)</f>
        <v>0.42315615986815</v>
      </c>
      <c r="X529" s="63" t="n">
        <f aca="false">IFERROR(T529/F529,0)</f>
        <v>0.0585084466419448</v>
      </c>
      <c r="Y529" s="63" t="n">
        <f aca="false">IFERROR(G529/F529,0)</f>
        <v>0.364235681911825</v>
      </c>
      <c r="Z529" s="59" t="n">
        <f aca="false">IF(E529&gt;0,F529*1000000000/E529,"")</f>
        <v>6781.94577293643</v>
      </c>
      <c r="AA529" s="63" t="n">
        <f aca="false">IFERROR((R529+S529+J529)/F529,0)</f>
        <v>1</v>
      </c>
      <c r="AB529" s="0" t="str">
        <f aca="false">A529&amp;"|"&amp;D529</f>
        <v>Czechia|2024</v>
      </c>
    </row>
    <row r="530" customFormat="false" ht="15" hidden="false" customHeight="false" outlineLevel="0" collapsed="false">
      <c r="A530" s="0" t="s">
        <v>230</v>
      </c>
      <c r="B530" s="0" t="s">
        <v>468</v>
      </c>
      <c r="C530" s="0" t="s">
        <v>127</v>
      </c>
      <c r="D530" s="0" t="n">
        <v>2025</v>
      </c>
      <c r="E530" s="59" t="n">
        <v>10609241</v>
      </c>
      <c r="F530" s="60" t="n">
        <v>75.5</v>
      </c>
      <c r="G530" s="61" t="n">
        <v>26.6</v>
      </c>
      <c r="H530" s="61" t="n">
        <v>4.08</v>
      </c>
      <c r="I530" s="61" t="n">
        <v>0.16</v>
      </c>
      <c r="J530" s="61" t="n">
        <v>31.94</v>
      </c>
      <c r="K530" s="61" t="n">
        <v>1.71</v>
      </c>
      <c r="L530" s="61" t="n">
        <v>4.39</v>
      </c>
      <c r="M530" s="61" t="n">
        <v>0.57</v>
      </c>
      <c r="N530" s="61" t="n">
        <v>6.05</v>
      </c>
      <c r="O530" s="61" t="n">
        <v>0</v>
      </c>
      <c r="P530" s="62" t="n">
        <v>401.5</v>
      </c>
      <c r="Q530" s="0" t="n">
        <v>0</v>
      </c>
      <c r="R530" s="60" t="n">
        <f aca="false">G530+H530+I530</f>
        <v>30.84</v>
      </c>
      <c r="S530" s="60" t="n">
        <f aca="false">K530+L530+M530+N530+O530</f>
        <v>12.72</v>
      </c>
      <c r="T530" s="60" t="n">
        <f aca="false">L530+M530</f>
        <v>4.96</v>
      </c>
      <c r="U530" s="60" t="n">
        <f aca="false">S530+J530</f>
        <v>44.66</v>
      </c>
      <c r="V530" s="63" t="n">
        <f aca="false">IFERROR(S530/F530,0)</f>
        <v>0.168476821192053</v>
      </c>
      <c r="W530" s="63" t="n">
        <f aca="false">IFERROR(R530/F530,0)</f>
        <v>0.408476821192053</v>
      </c>
      <c r="X530" s="63" t="n">
        <f aca="false">IFERROR(T530/F530,0)</f>
        <v>0.0656953642384106</v>
      </c>
      <c r="Y530" s="63" t="n">
        <f aca="false">IFERROR(G530/F530,0)</f>
        <v>0.352317880794702</v>
      </c>
      <c r="Z530" s="59" t="n">
        <f aca="false">IF(E530&gt;0,F530*1000000000/E530,"")</f>
        <v>7116.43745297142</v>
      </c>
      <c r="AA530" s="63" t="n">
        <f aca="false">IFERROR((R530+S530+J530)/F530,0)</f>
        <v>1</v>
      </c>
      <c r="AB530" s="0" t="str">
        <f aca="false">A530&amp;"|"&amp;D530</f>
        <v>Czechia|2025</v>
      </c>
    </row>
    <row r="531" customFormat="false" ht="15" hidden="false" customHeight="false" outlineLevel="0" collapsed="false">
      <c r="A531" s="0" t="s">
        <v>231</v>
      </c>
      <c r="B531" s="0" t="s">
        <v>469</v>
      </c>
      <c r="C531" s="0" t="s">
        <v>127</v>
      </c>
      <c r="D531" s="0" t="n">
        <v>2015</v>
      </c>
      <c r="E531" s="59" t="n">
        <v>81035532</v>
      </c>
      <c r="F531" s="60" t="n">
        <v>8.84</v>
      </c>
      <c r="G531" s="61" t="n">
        <v>0</v>
      </c>
      <c r="H531" s="61" t="n">
        <v>0</v>
      </c>
      <c r="I531" s="61" t="n">
        <v>0.01</v>
      </c>
      <c r="J531" s="61" t="n">
        <v>0</v>
      </c>
      <c r="K531" s="61" t="n">
        <v>8.83</v>
      </c>
      <c r="L531" s="61" t="n">
        <v>0</v>
      </c>
      <c r="M531" s="61" t="n">
        <v>0</v>
      </c>
      <c r="N531" s="61" t="n">
        <v>0</v>
      </c>
      <c r="O531" s="61" t="n">
        <v>0</v>
      </c>
      <c r="P531" s="62" t="n">
        <v>24.9</v>
      </c>
      <c r="Q531" s="0" t="n">
        <v>0</v>
      </c>
      <c r="R531" s="60" t="n">
        <f aca="false">G531+H531+I531</f>
        <v>0.01</v>
      </c>
      <c r="S531" s="60" t="n">
        <f aca="false">K531+L531+M531+N531+O531</f>
        <v>8.83</v>
      </c>
      <c r="T531" s="60" t="n">
        <f aca="false">L531+M531</f>
        <v>0</v>
      </c>
      <c r="U531" s="60" t="n">
        <f aca="false">S531+J531</f>
        <v>8.83</v>
      </c>
      <c r="V531" s="63" t="n">
        <f aca="false">IFERROR(S531/F531,0)</f>
        <v>0.998868778280543</v>
      </c>
      <c r="W531" s="63" t="n">
        <f aca="false">IFERROR(R531/F531,0)</f>
        <v>0.00113122171945701</v>
      </c>
      <c r="X531" s="63" t="n">
        <f aca="false">IFERROR(T531/F531,0)</f>
        <v>0</v>
      </c>
      <c r="Y531" s="63" t="n">
        <f aca="false">IFERROR(G531/F531,0)</f>
        <v>0</v>
      </c>
      <c r="Z531" s="59" t="n">
        <f aca="false">IF(E531&gt;0,F531*1000000000/E531,"")</f>
        <v>109.087949222077</v>
      </c>
      <c r="AA531" s="63" t="n">
        <f aca="false">IFERROR((R531+S531+J531)/F531,0)</f>
        <v>1</v>
      </c>
      <c r="AB531" s="0" t="str">
        <f aca="false">A531&amp;"|"&amp;D531</f>
        <v>Democratic Republic of Congo|2015</v>
      </c>
    </row>
    <row r="532" customFormat="false" ht="15" hidden="false" customHeight="false" outlineLevel="0" collapsed="false">
      <c r="A532" s="0" t="s">
        <v>231</v>
      </c>
      <c r="B532" s="0" t="s">
        <v>469</v>
      </c>
      <c r="C532" s="0" t="s">
        <v>127</v>
      </c>
      <c r="D532" s="0" t="n">
        <v>2016</v>
      </c>
      <c r="E532" s="59" t="n">
        <v>83956416</v>
      </c>
      <c r="F532" s="60" t="n">
        <v>9.02</v>
      </c>
      <c r="G532" s="61" t="n">
        <v>0</v>
      </c>
      <c r="H532" s="61" t="n">
        <v>0</v>
      </c>
      <c r="I532" s="61" t="n">
        <v>0.01</v>
      </c>
      <c r="J532" s="61" t="n">
        <v>0</v>
      </c>
      <c r="K532" s="61" t="n">
        <v>9.01</v>
      </c>
      <c r="L532" s="61" t="n">
        <v>0</v>
      </c>
      <c r="M532" s="61" t="n">
        <v>0</v>
      </c>
      <c r="N532" s="61" t="n">
        <v>0</v>
      </c>
      <c r="O532" s="61" t="n">
        <v>0</v>
      </c>
      <c r="P532" s="62" t="n">
        <v>24.4</v>
      </c>
      <c r="Q532" s="0" t="n">
        <v>0</v>
      </c>
      <c r="R532" s="60" t="n">
        <f aca="false">G532+H532+I532</f>
        <v>0.01</v>
      </c>
      <c r="S532" s="60" t="n">
        <f aca="false">K532+L532+M532+N532+O532</f>
        <v>9.01</v>
      </c>
      <c r="T532" s="60" t="n">
        <f aca="false">L532+M532</f>
        <v>0</v>
      </c>
      <c r="U532" s="60" t="n">
        <f aca="false">S532+J532</f>
        <v>9.01</v>
      </c>
      <c r="V532" s="63" t="n">
        <f aca="false">IFERROR(S532/F532,0)</f>
        <v>0.998891352549889</v>
      </c>
      <c r="W532" s="63" t="n">
        <f aca="false">IFERROR(R532/F532,0)</f>
        <v>0.00110864745011086</v>
      </c>
      <c r="X532" s="63" t="n">
        <f aca="false">IFERROR(T532/F532,0)</f>
        <v>0</v>
      </c>
      <c r="Y532" s="63" t="n">
        <f aca="false">IFERROR(G532/F532,0)</f>
        <v>0</v>
      </c>
      <c r="Z532" s="59" t="n">
        <f aca="false">IF(E532&gt;0,F532*1000000000/E532,"")</f>
        <v>107.436696678429</v>
      </c>
      <c r="AA532" s="63" t="n">
        <f aca="false">IFERROR((R532+S532+J532)/F532,0)</f>
        <v>1</v>
      </c>
      <c r="AB532" s="0" t="str">
        <f aca="false">A532&amp;"|"&amp;D532</f>
        <v>Democratic Republic of Congo|2016</v>
      </c>
    </row>
    <row r="533" customFormat="false" ht="15" hidden="false" customHeight="false" outlineLevel="0" collapsed="false">
      <c r="A533" s="0" t="s">
        <v>231</v>
      </c>
      <c r="B533" s="0" t="s">
        <v>469</v>
      </c>
      <c r="C533" s="0" t="s">
        <v>127</v>
      </c>
      <c r="D533" s="0" t="n">
        <v>2017</v>
      </c>
      <c r="E533" s="59" t="n">
        <v>87083400</v>
      </c>
      <c r="F533" s="60" t="n">
        <v>9.42</v>
      </c>
      <c r="G533" s="61" t="n">
        <v>0</v>
      </c>
      <c r="H533" s="61" t="n">
        <v>0</v>
      </c>
      <c r="I533" s="61" t="n">
        <v>0.01</v>
      </c>
      <c r="J533" s="61" t="n">
        <v>0</v>
      </c>
      <c r="K533" s="61" t="n">
        <v>9.39</v>
      </c>
      <c r="L533" s="61" t="n">
        <v>0.01</v>
      </c>
      <c r="M533" s="61" t="n">
        <v>0</v>
      </c>
      <c r="N533" s="61" t="n">
        <v>0.01</v>
      </c>
      <c r="O533" s="61" t="n">
        <v>0</v>
      </c>
      <c r="P533" s="62" t="n">
        <v>24.4</v>
      </c>
      <c r="Q533" s="0" t="n">
        <v>0</v>
      </c>
      <c r="R533" s="60" t="n">
        <f aca="false">G533+H533+I533</f>
        <v>0.01</v>
      </c>
      <c r="S533" s="60" t="n">
        <f aca="false">K533+L533+M533+N533+O533</f>
        <v>9.41</v>
      </c>
      <c r="T533" s="60" t="n">
        <f aca="false">L533+M533</f>
        <v>0.01</v>
      </c>
      <c r="U533" s="60" t="n">
        <f aca="false">S533+J533</f>
        <v>9.41</v>
      </c>
      <c r="V533" s="63" t="n">
        <f aca="false">IFERROR(S533/F533,0)</f>
        <v>0.998938428874735</v>
      </c>
      <c r="W533" s="63" t="n">
        <f aca="false">IFERROR(R533/F533,0)</f>
        <v>0.00106157112526539</v>
      </c>
      <c r="X533" s="63" t="n">
        <f aca="false">IFERROR(T533/F533,0)</f>
        <v>0.00106157112526539</v>
      </c>
      <c r="Y533" s="63" t="n">
        <f aca="false">IFERROR(G533/F533,0)</f>
        <v>0</v>
      </c>
      <c r="Z533" s="59" t="n">
        <f aca="false">IF(E533&gt;0,F533*1000000000/E533,"")</f>
        <v>108.1721659926</v>
      </c>
      <c r="AA533" s="63" t="n">
        <f aca="false">IFERROR((R533+S533+J533)/F533,0)</f>
        <v>1</v>
      </c>
      <c r="AB533" s="0" t="str">
        <f aca="false">A533&amp;"|"&amp;D533</f>
        <v>Democratic Republic of Congo|2017</v>
      </c>
    </row>
    <row r="534" customFormat="false" ht="15" hidden="false" customHeight="false" outlineLevel="0" collapsed="false">
      <c r="A534" s="0" t="s">
        <v>231</v>
      </c>
      <c r="B534" s="0" t="s">
        <v>469</v>
      </c>
      <c r="C534" s="0" t="s">
        <v>127</v>
      </c>
      <c r="D534" s="0" t="n">
        <v>2018</v>
      </c>
      <c r="E534" s="59" t="n">
        <v>90047647</v>
      </c>
      <c r="F534" s="60" t="n">
        <v>10.46</v>
      </c>
      <c r="G534" s="61" t="n">
        <v>0</v>
      </c>
      <c r="H534" s="61" t="n">
        <v>0</v>
      </c>
      <c r="I534" s="61" t="n">
        <v>0.01</v>
      </c>
      <c r="J534" s="61" t="n">
        <v>0</v>
      </c>
      <c r="K534" s="61" t="n">
        <v>10.43</v>
      </c>
      <c r="L534" s="61" t="n">
        <v>0.01</v>
      </c>
      <c r="M534" s="61" t="n">
        <v>0</v>
      </c>
      <c r="N534" s="61" t="n">
        <v>0.01</v>
      </c>
      <c r="O534" s="61" t="n">
        <v>0</v>
      </c>
      <c r="P534" s="62" t="n">
        <v>24.9</v>
      </c>
      <c r="Q534" s="0" t="n">
        <v>0</v>
      </c>
      <c r="R534" s="60" t="n">
        <f aca="false">G534+H534+I534</f>
        <v>0.01</v>
      </c>
      <c r="S534" s="60" t="n">
        <f aca="false">K534+L534+M534+N534+O534</f>
        <v>10.45</v>
      </c>
      <c r="T534" s="60" t="n">
        <f aca="false">L534+M534</f>
        <v>0.01</v>
      </c>
      <c r="U534" s="60" t="n">
        <f aca="false">S534+J534</f>
        <v>10.45</v>
      </c>
      <c r="V534" s="63" t="n">
        <f aca="false">IFERROR(S534/F534,0)</f>
        <v>0.999043977055449</v>
      </c>
      <c r="W534" s="63" t="n">
        <f aca="false">IFERROR(R534/F534,0)</f>
        <v>0.000956022944550669</v>
      </c>
      <c r="X534" s="63" t="n">
        <f aca="false">IFERROR(T534/F534,0)</f>
        <v>0.000956022944550669</v>
      </c>
      <c r="Y534" s="63" t="n">
        <f aca="false">IFERROR(G534/F534,0)</f>
        <v>0</v>
      </c>
      <c r="Z534" s="59" t="n">
        <f aca="false">IF(E534&gt;0,F534*1000000000/E534,"")</f>
        <v>116.160725443498</v>
      </c>
      <c r="AA534" s="63" t="n">
        <f aca="false">IFERROR((R534+S534+J534)/F534,0)</f>
        <v>1</v>
      </c>
      <c r="AB534" s="0" t="str">
        <f aca="false">A534&amp;"|"&amp;D534</f>
        <v>Democratic Republic of Congo|2018</v>
      </c>
    </row>
    <row r="535" customFormat="false" ht="15" hidden="false" customHeight="false" outlineLevel="0" collapsed="false">
      <c r="A535" s="0" t="s">
        <v>231</v>
      </c>
      <c r="B535" s="0" t="s">
        <v>469</v>
      </c>
      <c r="C535" s="0" t="s">
        <v>127</v>
      </c>
      <c r="D535" s="0" t="n">
        <v>2019</v>
      </c>
      <c r="E535" s="59" t="n">
        <v>92947450</v>
      </c>
      <c r="F535" s="60" t="n">
        <v>11.79</v>
      </c>
      <c r="G535" s="61" t="n">
        <v>0</v>
      </c>
      <c r="H535" s="61" t="n">
        <v>0</v>
      </c>
      <c r="I535" s="61" t="n">
        <v>0.01</v>
      </c>
      <c r="J535" s="61" t="n">
        <v>0</v>
      </c>
      <c r="K535" s="61" t="n">
        <v>11.76</v>
      </c>
      <c r="L535" s="61" t="n">
        <v>0.01</v>
      </c>
      <c r="M535" s="61" t="n">
        <v>0</v>
      </c>
      <c r="N535" s="61" t="n">
        <v>0.01</v>
      </c>
      <c r="O535" s="61" t="n">
        <v>0</v>
      </c>
      <c r="P535" s="62" t="n">
        <v>24.6</v>
      </c>
      <c r="Q535" s="0" t="n">
        <v>0</v>
      </c>
      <c r="R535" s="60" t="n">
        <f aca="false">G535+H535+I535</f>
        <v>0.01</v>
      </c>
      <c r="S535" s="60" t="n">
        <f aca="false">K535+L535+M535+N535+O535</f>
        <v>11.78</v>
      </c>
      <c r="T535" s="60" t="n">
        <f aca="false">L535+M535</f>
        <v>0.01</v>
      </c>
      <c r="U535" s="60" t="n">
        <f aca="false">S535+J535</f>
        <v>11.78</v>
      </c>
      <c r="V535" s="63" t="n">
        <f aca="false">IFERROR(S535/F535,0)</f>
        <v>0.999151823579305</v>
      </c>
      <c r="W535" s="63" t="n">
        <f aca="false">IFERROR(R535/F535,0)</f>
        <v>0.000848176420695505</v>
      </c>
      <c r="X535" s="63" t="n">
        <f aca="false">IFERROR(T535/F535,0)</f>
        <v>0.000848176420695505</v>
      </c>
      <c r="Y535" s="63" t="n">
        <f aca="false">IFERROR(G535/F535,0)</f>
        <v>0</v>
      </c>
      <c r="Z535" s="59" t="n">
        <f aca="false">IF(E535&gt;0,F535*1000000000/E535,"")</f>
        <v>126.845868283638</v>
      </c>
      <c r="AA535" s="63" t="n">
        <f aca="false">IFERROR((R535+S535+J535)/F535,0)</f>
        <v>1</v>
      </c>
      <c r="AB535" s="0" t="str">
        <f aca="false">A535&amp;"|"&amp;D535</f>
        <v>Democratic Republic of Congo|2019</v>
      </c>
    </row>
    <row r="536" customFormat="false" ht="15" hidden="false" customHeight="false" outlineLevel="0" collapsed="false">
      <c r="A536" s="0" t="s">
        <v>231</v>
      </c>
      <c r="B536" s="0" t="s">
        <v>469</v>
      </c>
      <c r="C536" s="0" t="s">
        <v>127</v>
      </c>
      <c r="D536" s="0" t="n">
        <v>2020</v>
      </c>
      <c r="E536" s="59" t="n">
        <v>95990000</v>
      </c>
      <c r="F536" s="60" t="n">
        <v>12.49</v>
      </c>
      <c r="G536" s="61" t="n">
        <v>0</v>
      </c>
      <c r="H536" s="61" t="n">
        <v>0</v>
      </c>
      <c r="I536" s="61" t="n">
        <v>0.01</v>
      </c>
      <c r="J536" s="61" t="n">
        <v>0</v>
      </c>
      <c r="K536" s="61" t="n">
        <v>12.45</v>
      </c>
      <c r="L536" s="61" t="n">
        <v>0.02</v>
      </c>
      <c r="M536" s="61" t="n">
        <v>0</v>
      </c>
      <c r="N536" s="61" t="n">
        <v>0.01</v>
      </c>
      <c r="O536" s="61" t="n">
        <v>0</v>
      </c>
      <c r="P536" s="62" t="n">
        <v>24.8</v>
      </c>
      <c r="Q536" s="0" t="n">
        <v>0</v>
      </c>
      <c r="R536" s="60" t="n">
        <f aca="false">G536+H536+I536</f>
        <v>0.01</v>
      </c>
      <c r="S536" s="60" t="n">
        <f aca="false">K536+L536+M536+N536+O536</f>
        <v>12.48</v>
      </c>
      <c r="T536" s="60" t="n">
        <f aca="false">L536+M536</f>
        <v>0.02</v>
      </c>
      <c r="U536" s="60" t="n">
        <f aca="false">S536+J536</f>
        <v>12.48</v>
      </c>
      <c r="V536" s="63" t="n">
        <f aca="false">IFERROR(S536/F536,0)</f>
        <v>0.99919935948759</v>
      </c>
      <c r="W536" s="63" t="n">
        <f aca="false">IFERROR(R536/F536,0)</f>
        <v>0.000800640512409928</v>
      </c>
      <c r="X536" s="63" t="n">
        <f aca="false">IFERROR(T536/F536,0)</f>
        <v>0.00160128102481986</v>
      </c>
      <c r="Y536" s="63" t="n">
        <f aca="false">IFERROR(G536/F536,0)</f>
        <v>0</v>
      </c>
      <c r="Z536" s="59" t="n">
        <f aca="false">IF(E536&gt;0,F536*1000000000/E536,"")</f>
        <v>130.117720595895</v>
      </c>
      <c r="AA536" s="63" t="n">
        <f aca="false">IFERROR((R536+S536+J536)/F536,0)</f>
        <v>1</v>
      </c>
      <c r="AB536" s="0" t="str">
        <f aca="false">A536&amp;"|"&amp;D536</f>
        <v>Democratic Republic of Congo|2020</v>
      </c>
    </row>
    <row r="537" customFormat="false" ht="15" hidden="false" customHeight="false" outlineLevel="0" collapsed="false">
      <c r="A537" s="0" t="s">
        <v>231</v>
      </c>
      <c r="B537" s="0" t="s">
        <v>469</v>
      </c>
      <c r="C537" s="0" t="s">
        <v>127</v>
      </c>
      <c r="D537" s="0" t="n">
        <v>2021</v>
      </c>
      <c r="E537" s="59" t="n">
        <v>99148930</v>
      </c>
      <c r="F537" s="60" t="n">
        <v>14.19</v>
      </c>
      <c r="G537" s="61" t="n">
        <v>0</v>
      </c>
      <c r="H537" s="61" t="n">
        <v>0</v>
      </c>
      <c r="I537" s="61" t="n">
        <v>0</v>
      </c>
      <c r="J537" s="61" t="n">
        <v>0</v>
      </c>
      <c r="K537" s="61" t="n">
        <v>13.13</v>
      </c>
      <c r="L537" s="61" t="n">
        <v>1.05</v>
      </c>
      <c r="M537" s="61" t="n">
        <v>0</v>
      </c>
      <c r="N537" s="61" t="n">
        <v>0.01</v>
      </c>
      <c r="O537" s="61" t="n">
        <v>0</v>
      </c>
      <c r="P537" s="62" t="n">
        <v>25.4</v>
      </c>
      <c r="Q537" s="0" t="n">
        <v>0</v>
      </c>
      <c r="R537" s="60" t="n">
        <f aca="false">G537+H537+I537</f>
        <v>0</v>
      </c>
      <c r="S537" s="60" t="n">
        <f aca="false">K537+L537+M537+N537+O537</f>
        <v>14.19</v>
      </c>
      <c r="T537" s="60" t="n">
        <f aca="false">L537+M537</f>
        <v>1.05</v>
      </c>
      <c r="U537" s="60" t="n">
        <f aca="false">S537+J537</f>
        <v>14.19</v>
      </c>
      <c r="V537" s="63" t="n">
        <f aca="false">IFERROR(S537/F537,0)</f>
        <v>1</v>
      </c>
      <c r="W537" s="63" t="n">
        <f aca="false">IFERROR(R537/F537,0)</f>
        <v>0</v>
      </c>
      <c r="X537" s="63" t="n">
        <f aca="false">IFERROR(T537/F537,0)</f>
        <v>0.0739957716701903</v>
      </c>
      <c r="Y537" s="63" t="n">
        <f aca="false">IFERROR(G537/F537,0)</f>
        <v>0</v>
      </c>
      <c r="Z537" s="59" t="n">
        <f aca="false">IF(E537&gt;0,F537*1000000000/E537,"")</f>
        <v>143.11803465756</v>
      </c>
      <c r="AA537" s="63" t="n">
        <f aca="false">IFERROR((R537+S537+J537)/F537,0)</f>
        <v>1</v>
      </c>
      <c r="AB537" s="0" t="str">
        <f aca="false">A537&amp;"|"&amp;D537</f>
        <v>Democratic Republic of Congo|2021</v>
      </c>
    </row>
    <row r="538" customFormat="false" ht="15" hidden="false" customHeight="false" outlineLevel="0" collapsed="false">
      <c r="A538" s="0" t="s">
        <v>231</v>
      </c>
      <c r="B538" s="0" t="s">
        <v>469</v>
      </c>
      <c r="C538" s="0" t="s">
        <v>127</v>
      </c>
      <c r="D538" s="0" t="n">
        <v>2022</v>
      </c>
      <c r="E538" s="59" t="n">
        <v>102396974</v>
      </c>
      <c r="F538" s="60" t="n">
        <v>15.31</v>
      </c>
      <c r="G538" s="61" t="n">
        <v>0</v>
      </c>
      <c r="H538" s="61" t="n">
        <v>0</v>
      </c>
      <c r="I538" s="61" t="n">
        <v>0</v>
      </c>
      <c r="J538" s="61" t="n">
        <v>0</v>
      </c>
      <c r="K538" s="61" t="n">
        <v>13.19</v>
      </c>
      <c r="L538" s="61" t="n">
        <v>2.11</v>
      </c>
      <c r="M538" s="61" t="n">
        <v>0</v>
      </c>
      <c r="N538" s="61" t="n">
        <v>0.01</v>
      </c>
      <c r="O538" s="61" t="n">
        <v>0</v>
      </c>
      <c r="P538" s="62" t="n">
        <v>26.8</v>
      </c>
      <c r="Q538" s="0" t="n">
        <v>0</v>
      </c>
      <c r="R538" s="60" t="n">
        <f aca="false">G538+H538+I538</f>
        <v>0</v>
      </c>
      <c r="S538" s="60" t="n">
        <f aca="false">K538+L538+M538+N538+O538</f>
        <v>15.31</v>
      </c>
      <c r="T538" s="60" t="n">
        <f aca="false">L538+M538</f>
        <v>2.11</v>
      </c>
      <c r="U538" s="60" t="n">
        <f aca="false">S538+J538</f>
        <v>15.31</v>
      </c>
      <c r="V538" s="63" t="n">
        <f aca="false">IFERROR(S538/F538,0)</f>
        <v>1</v>
      </c>
      <c r="W538" s="63" t="n">
        <f aca="false">IFERROR(R538/F538,0)</f>
        <v>0</v>
      </c>
      <c r="X538" s="63" t="n">
        <f aca="false">IFERROR(T538/F538,0)</f>
        <v>0.137818419333769</v>
      </c>
      <c r="Y538" s="63" t="n">
        <f aca="false">IFERROR(G538/F538,0)</f>
        <v>0</v>
      </c>
      <c r="Z538" s="59" t="n">
        <f aca="false">IF(E538&gt;0,F538*1000000000/E538,"")</f>
        <v>149.51613706866</v>
      </c>
      <c r="AA538" s="63" t="n">
        <f aca="false">IFERROR((R538+S538+J538)/F538,0)</f>
        <v>1</v>
      </c>
      <c r="AB538" s="0" t="str">
        <f aca="false">A538&amp;"|"&amp;D538</f>
        <v>Democratic Republic of Congo|2022</v>
      </c>
    </row>
    <row r="539" customFormat="false" ht="15" hidden="false" customHeight="false" outlineLevel="0" collapsed="false">
      <c r="A539" s="0" t="s">
        <v>231</v>
      </c>
      <c r="B539" s="0" t="s">
        <v>469</v>
      </c>
      <c r="C539" s="0" t="s">
        <v>127</v>
      </c>
      <c r="D539" s="0" t="n">
        <v>2023</v>
      </c>
      <c r="E539" s="59" t="n">
        <v>105789733</v>
      </c>
      <c r="F539" s="60" t="n">
        <v>15.63</v>
      </c>
      <c r="G539" s="61" t="n">
        <v>0</v>
      </c>
      <c r="H539" s="61" t="n">
        <v>0</v>
      </c>
      <c r="I539" s="61" t="n">
        <v>0</v>
      </c>
      <c r="J539" s="61" t="n">
        <v>0</v>
      </c>
      <c r="K539" s="61" t="n">
        <v>13.42</v>
      </c>
      <c r="L539" s="61" t="n">
        <v>2.2</v>
      </c>
      <c r="M539" s="61" t="n">
        <v>0</v>
      </c>
      <c r="N539" s="61" t="n">
        <v>0.01</v>
      </c>
      <c r="O539" s="61" t="n">
        <v>0</v>
      </c>
      <c r="P539" s="62" t="n">
        <v>26.9</v>
      </c>
      <c r="Q539" s="0" t="n">
        <v>0</v>
      </c>
      <c r="R539" s="60" t="n">
        <f aca="false">G539+H539+I539</f>
        <v>0</v>
      </c>
      <c r="S539" s="60" t="n">
        <f aca="false">K539+L539+M539+N539+O539</f>
        <v>15.63</v>
      </c>
      <c r="T539" s="60" t="n">
        <f aca="false">L539+M539</f>
        <v>2.2</v>
      </c>
      <c r="U539" s="60" t="n">
        <f aca="false">S539+J539</f>
        <v>15.63</v>
      </c>
      <c r="V539" s="63" t="n">
        <f aca="false">IFERROR(S539/F539,0)</f>
        <v>1</v>
      </c>
      <c r="W539" s="63" t="n">
        <f aca="false">IFERROR(R539/F539,0)</f>
        <v>0</v>
      </c>
      <c r="X539" s="63" t="n">
        <f aca="false">IFERROR(T539/F539,0)</f>
        <v>0.140754958413308</v>
      </c>
      <c r="Y539" s="63" t="n">
        <f aca="false">IFERROR(G539/F539,0)</f>
        <v>0</v>
      </c>
      <c r="Z539" s="59" t="n">
        <f aca="false">IF(E539&gt;0,F539*1000000000/E539,"")</f>
        <v>147.745906495482</v>
      </c>
      <c r="AA539" s="63" t="n">
        <f aca="false">IFERROR((R539+S539+J539)/F539,0)</f>
        <v>1</v>
      </c>
      <c r="AB539" s="0" t="str">
        <f aca="false">A539&amp;"|"&amp;D539</f>
        <v>Democratic Republic of Congo|2023</v>
      </c>
    </row>
    <row r="540" customFormat="false" ht="15" hidden="false" customHeight="false" outlineLevel="0" collapsed="false">
      <c r="A540" s="0" t="s">
        <v>231</v>
      </c>
      <c r="B540" s="0" t="s">
        <v>469</v>
      </c>
      <c r="C540" s="0" t="s">
        <v>127</v>
      </c>
      <c r="D540" s="0" t="n">
        <v>2024</v>
      </c>
      <c r="E540" s="59" t="n">
        <v>109276264</v>
      </c>
      <c r="F540" s="60" t="n">
        <v>15.92</v>
      </c>
      <c r="G540" s="61" t="n">
        <v>0</v>
      </c>
      <c r="H540" s="61" t="n">
        <v>0</v>
      </c>
      <c r="I540" s="61" t="n">
        <v>0</v>
      </c>
      <c r="J540" s="61" t="n">
        <v>0</v>
      </c>
      <c r="K540" s="61" t="n">
        <v>13.4</v>
      </c>
      <c r="L540" s="61" t="n">
        <v>2.51</v>
      </c>
      <c r="M540" s="61" t="n">
        <v>0</v>
      </c>
      <c r="N540" s="61" t="n">
        <v>0.01</v>
      </c>
      <c r="O540" s="61" t="n">
        <v>0</v>
      </c>
      <c r="P540" s="62" t="n">
        <v>27.6</v>
      </c>
      <c r="Q540" s="0" t="n">
        <v>0</v>
      </c>
      <c r="R540" s="60" t="n">
        <f aca="false">G540+H540+I540</f>
        <v>0</v>
      </c>
      <c r="S540" s="60" t="n">
        <f aca="false">K540+L540+M540+N540+O540</f>
        <v>15.92</v>
      </c>
      <c r="T540" s="60" t="n">
        <f aca="false">L540+M540</f>
        <v>2.51</v>
      </c>
      <c r="U540" s="60" t="n">
        <f aca="false">S540+J540</f>
        <v>15.92</v>
      </c>
      <c r="V540" s="63" t="n">
        <f aca="false">IFERROR(S540/F540,0)</f>
        <v>1</v>
      </c>
      <c r="W540" s="63" t="n">
        <f aca="false">IFERROR(R540/F540,0)</f>
        <v>0</v>
      </c>
      <c r="X540" s="63" t="n">
        <f aca="false">IFERROR(T540/F540,0)</f>
        <v>0.157663316582915</v>
      </c>
      <c r="Y540" s="63" t="n">
        <f aca="false">IFERROR(G540/F540,0)</f>
        <v>0</v>
      </c>
      <c r="Z540" s="59" t="n">
        <f aca="false">IF(E540&gt;0,F540*1000000000/E540,"")</f>
        <v>145.685800532127</v>
      </c>
      <c r="AA540" s="63" t="n">
        <f aca="false">IFERROR((R540+S540+J540)/F540,0)</f>
        <v>1</v>
      </c>
      <c r="AB540" s="0" t="str">
        <f aca="false">A540&amp;"|"&amp;D540</f>
        <v>Democratic Republic of Congo|2024</v>
      </c>
    </row>
    <row r="541" customFormat="false" ht="15" hidden="false" customHeight="false" outlineLevel="0" collapsed="false">
      <c r="A541" s="0" t="s">
        <v>232</v>
      </c>
      <c r="B541" s="0" t="s">
        <v>470</v>
      </c>
      <c r="C541" s="0" t="s">
        <v>127</v>
      </c>
      <c r="D541" s="0" t="n">
        <v>2015</v>
      </c>
      <c r="E541" s="59" t="n">
        <v>5683698</v>
      </c>
      <c r="F541" s="60" t="n">
        <v>28.78</v>
      </c>
      <c r="G541" s="61" t="n">
        <v>7.11</v>
      </c>
      <c r="H541" s="61" t="n">
        <v>1.82</v>
      </c>
      <c r="I541" s="61" t="n">
        <v>0.92</v>
      </c>
      <c r="J541" s="61" t="n">
        <v>0</v>
      </c>
      <c r="K541" s="61" t="n">
        <v>0.02</v>
      </c>
      <c r="L541" s="61" t="n">
        <v>0.6</v>
      </c>
      <c r="M541" s="61" t="n">
        <v>14.13</v>
      </c>
      <c r="N541" s="61" t="n">
        <v>4.18</v>
      </c>
      <c r="O541" s="61" t="n">
        <v>0</v>
      </c>
      <c r="P541" s="62" t="n">
        <v>313.8</v>
      </c>
      <c r="Q541" s="0" t="n">
        <v>0</v>
      </c>
      <c r="R541" s="60" t="n">
        <f aca="false">G541+H541+I541</f>
        <v>9.85</v>
      </c>
      <c r="S541" s="60" t="n">
        <f aca="false">K541+L541+M541+N541+O541</f>
        <v>18.93</v>
      </c>
      <c r="T541" s="60" t="n">
        <f aca="false">L541+M541</f>
        <v>14.73</v>
      </c>
      <c r="U541" s="60" t="n">
        <f aca="false">S541+J541</f>
        <v>18.93</v>
      </c>
      <c r="V541" s="63" t="n">
        <f aca="false">IFERROR(S541/F541,0)</f>
        <v>0.657748436414177</v>
      </c>
      <c r="W541" s="63" t="n">
        <f aca="false">IFERROR(R541/F541,0)</f>
        <v>0.342251563585824</v>
      </c>
      <c r="X541" s="63" t="n">
        <f aca="false">IFERROR(T541/F541,0)</f>
        <v>0.511813759555247</v>
      </c>
      <c r="Y541" s="63" t="n">
        <f aca="false">IFERROR(G541/F541,0)</f>
        <v>0.247046560111188</v>
      </c>
      <c r="Z541" s="59" t="n">
        <f aca="false">IF(E541&gt;0,F541*1000000000/E541,"")</f>
        <v>5063.60471650675</v>
      </c>
      <c r="AA541" s="63" t="n">
        <f aca="false">IFERROR((R541+S541+J541)/F541,0)</f>
        <v>1</v>
      </c>
      <c r="AB541" s="0" t="str">
        <f aca="false">A541&amp;"|"&amp;D541</f>
        <v>Denmark|2015</v>
      </c>
    </row>
    <row r="542" customFormat="false" ht="15" hidden="false" customHeight="false" outlineLevel="0" collapsed="false">
      <c r="A542" s="0" t="s">
        <v>232</v>
      </c>
      <c r="B542" s="0" t="s">
        <v>470</v>
      </c>
      <c r="C542" s="0" t="s">
        <v>127</v>
      </c>
      <c r="D542" s="0" t="n">
        <v>2016</v>
      </c>
      <c r="E542" s="59" t="n">
        <v>5728196</v>
      </c>
      <c r="F542" s="60" t="n">
        <v>30.4</v>
      </c>
      <c r="G542" s="61" t="n">
        <v>8.87</v>
      </c>
      <c r="H542" s="61" t="n">
        <v>2.26</v>
      </c>
      <c r="I542" s="61" t="n">
        <v>0.88</v>
      </c>
      <c r="J542" s="61" t="n">
        <v>0</v>
      </c>
      <c r="K542" s="61" t="n">
        <v>0.02</v>
      </c>
      <c r="L542" s="61" t="n">
        <v>0.74</v>
      </c>
      <c r="M542" s="61" t="n">
        <v>12.78</v>
      </c>
      <c r="N542" s="61" t="n">
        <v>4.85</v>
      </c>
      <c r="O542" s="61" t="n">
        <v>0</v>
      </c>
      <c r="P542" s="62" t="n">
        <v>360.9</v>
      </c>
      <c r="Q542" s="0" t="n">
        <v>0</v>
      </c>
      <c r="R542" s="60" t="n">
        <f aca="false">G542+H542+I542</f>
        <v>12.01</v>
      </c>
      <c r="S542" s="60" t="n">
        <f aca="false">K542+L542+M542+N542+O542</f>
        <v>18.39</v>
      </c>
      <c r="T542" s="60" t="n">
        <f aca="false">L542+M542</f>
        <v>13.52</v>
      </c>
      <c r="U542" s="60" t="n">
        <f aca="false">S542+J542</f>
        <v>18.39</v>
      </c>
      <c r="V542" s="63" t="n">
        <f aca="false">IFERROR(S542/F542,0)</f>
        <v>0.604934210526316</v>
      </c>
      <c r="W542" s="63" t="n">
        <f aca="false">IFERROR(R542/F542,0)</f>
        <v>0.395065789473684</v>
      </c>
      <c r="X542" s="63" t="n">
        <f aca="false">IFERROR(T542/F542,0)</f>
        <v>0.444736842105263</v>
      </c>
      <c r="Y542" s="63" t="n">
        <f aca="false">IFERROR(G542/F542,0)</f>
        <v>0.291776315789474</v>
      </c>
      <c r="Z542" s="59" t="n">
        <f aca="false">IF(E542&gt;0,F542*1000000000/E542,"")</f>
        <v>5307.08097278794</v>
      </c>
      <c r="AA542" s="63" t="n">
        <f aca="false">IFERROR((R542+S542+J542)/F542,0)</f>
        <v>1</v>
      </c>
      <c r="AB542" s="0" t="str">
        <f aca="false">A542&amp;"|"&amp;D542</f>
        <v>Denmark|2016</v>
      </c>
    </row>
    <row r="543" customFormat="false" ht="15" hidden="false" customHeight="false" outlineLevel="0" collapsed="false">
      <c r="A543" s="0" t="s">
        <v>232</v>
      </c>
      <c r="B543" s="0" t="s">
        <v>470</v>
      </c>
      <c r="C543" s="0" t="s">
        <v>127</v>
      </c>
      <c r="D543" s="0" t="n">
        <v>2017</v>
      </c>
      <c r="E543" s="59" t="n">
        <v>5765164</v>
      </c>
      <c r="F543" s="60" t="n">
        <v>30.9</v>
      </c>
      <c r="G543" s="61" t="n">
        <v>6.21</v>
      </c>
      <c r="H543" s="61" t="n">
        <v>2.02</v>
      </c>
      <c r="I543" s="61" t="n">
        <v>0.87</v>
      </c>
      <c r="J543" s="61" t="n">
        <v>0</v>
      </c>
      <c r="K543" s="61" t="n">
        <v>0.02</v>
      </c>
      <c r="L543" s="61" t="n">
        <v>0.75</v>
      </c>
      <c r="M543" s="61" t="n">
        <v>14.78</v>
      </c>
      <c r="N543" s="61" t="n">
        <v>6.25</v>
      </c>
      <c r="O543" s="61" t="n">
        <v>0</v>
      </c>
      <c r="P543" s="62" t="n">
        <v>282.9</v>
      </c>
      <c r="Q543" s="0" t="n">
        <v>0</v>
      </c>
      <c r="R543" s="60" t="n">
        <f aca="false">G543+H543+I543</f>
        <v>9.1</v>
      </c>
      <c r="S543" s="60" t="n">
        <f aca="false">K543+L543+M543+N543+O543</f>
        <v>21.8</v>
      </c>
      <c r="T543" s="60" t="n">
        <f aca="false">L543+M543</f>
        <v>15.53</v>
      </c>
      <c r="U543" s="60" t="n">
        <f aca="false">S543+J543</f>
        <v>21.8</v>
      </c>
      <c r="V543" s="63" t="n">
        <f aca="false">IFERROR(S543/F543,0)</f>
        <v>0.705501618122977</v>
      </c>
      <c r="W543" s="63" t="n">
        <f aca="false">IFERROR(R543/F543,0)</f>
        <v>0.294498381877023</v>
      </c>
      <c r="X543" s="63" t="n">
        <f aca="false">IFERROR(T543/F543,0)</f>
        <v>0.502588996763754</v>
      </c>
      <c r="Y543" s="63" t="n">
        <f aca="false">IFERROR(G543/F543,0)</f>
        <v>0.200970873786408</v>
      </c>
      <c r="Z543" s="59" t="n">
        <f aca="false">IF(E543&gt;0,F543*1000000000/E543,"")</f>
        <v>5359.7781433451</v>
      </c>
      <c r="AA543" s="63" t="n">
        <f aca="false">IFERROR((R543+S543+J543)/F543,0)</f>
        <v>1</v>
      </c>
      <c r="AB543" s="0" t="str">
        <f aca="false">A543&amp;"|"&amp;D543</f>
        <v>Denmark|2017</v>
      </c>
    </row>
    <row r="544" customFormat="false" ht="15" hidden="false" customHeight="false" outlineLevel="0" collapsed="false">
      <c r="A544" s="0" t="s">
        <v>232</v>
      </c>
      <c r="B544" s="0" t="s">
        <v>470</v>
      </c>
      <c r="C544" s="0" t="s">
        <v>127</v>
      </c>
      <c r="D544" s="0" t="n">
        <v>2018</v>
      </c>
      <c r="E544" s="59" t="n">
        <v>5793824</v>
      </c>
      <c r="F544" s="60" t="n">
        <v>30.21</v>
      </c>
      <c r="G544" s="61" t="n">
        <v>6.57</v>
      </c>
      <c r="H544" s="61" t="n">
        <v>2.07</v>
      </c>
      <c r="I544" s="61" t="n">
        <v>0.82</v>
      </c>
      <c r="J544" s="61" t="n">
        <v>0</v>
      </c>
      <c r="K544" s="61" t="n">
        <v>0.01</v>
      </c>
      <c r="L544" s="61" t="n">
        <v>0.95</v>
      </c>
      <c r="M544" s="61" t="n">
        <v>13.9</v>
      </c>
      <c r="N544" s="61" t="n">
        <v>5.89</v>
      </c>
      <c r="O544" s="61" t="n">
        <v>0</v>
      </c>
      <c r="P544" s="62" t="n">
        <v>296.9</v>
      </c>
      <c r="Q544" s="0" t="n">
        <v>0</v>
      </c>
      <c r="R544" s="60" t="n">
        <f aca="false">G544+H544+I544</f>
        <v>9.46</v>
      </c>
      <c r="S544" s="60" t="n">
        <f aca="false">K544+L544+M544+N544+O544</f>
        <v>20.75</v>
      </c>
      <c r="T544" s="60" t="n">
        <f aca="false">L544+M544</f>
        <v>14.85</v>
      </c>
      <c r="U544" s="60" t="n">
        <f aca="false">S544+J544</f>
        <v>20.75</v>
      </c>
      <c r="V544" s="63" t="n">
        <f aca="false">IFERROR(S544/F544,0)</f>
        <v>0.686858656074148</v>
      </c>
      <c r="W544" s="63" t="n">
        <f aca="false">IFERROR(R544/F544,0)</f>
        <v>0.313141343925852</v>
      </c>
      <c r="X544" s="63" t="n">
        <f aca="false">IFERROR(T544/F544,0)</f>
        <v>0.491559086395233</v>
      </c>
      <c r="Y544" s="63" t="n">
        <f aca="false">IFERROR(G544/F544,0)</f>
        <v>0.217477656405164</v>
      </c>
      <c r="Z544" s="59" t="n">
        <f aca="false">IF(E544&gt;0,F544*1000000000/E544,"")</f>
        <v>5214.17288478214</v>
      </c>
      <c r="AA544" s="63" t="n">
        <f aca="false">IFERROR((R544+S544+J544)/F544,0)</f>
        <v>1</v>
      </c>
      <c r="AB544" s="0" t="str">
        <f aca="false">A544&amp;"|"&amp;D544</f>
        <v>Denmark|2018</v>
      </c>
    </row>
    <row r="545" customFormat="false" ht="15" hidden="false" customHeight="false" outlineLevel="0" collapsed="false">
      <c r="A545" s="0" t="s">
        <v>232</v>
      </c>
      <c r="B545" s="0" t="s">
        <v>470</v>
      </c>
      <c r="C545" s="0" t="s">
        <v>127</v>
      </c>
      <c r="D545" s="0" t="n">
        <v>2019</v>
      </c>
      <c r="E545" s="59" t="n">
        <v>5814618</v>
      </c>
      <c r="F545" s="60" t="n">
        <v>29.37</v>
      </c>
      <c r="G545" s="61" t="n">
        <v>3.31</v>
      </c>
      <c r="H545" s="61" t="n">
        <v>2.1</v>
      </c>
      <c r="I545" s="61" t="n">
        <v>0.89</v>
      </c>
      <c r="J545" s="61" t="n">
        <v>0</v>
      </c>
      <c r="K545" s="61" t="n">
        <v>0.02</v>
      </c>
      <c r="L545" s="61" t="n">
        <v>0.96</v>
      </c>
      <c r="M545" s="61" t="n">
        <v>16.15</v>
      </c>
      <c r="N545" s="61" t="n">
        <v>5.94</v>
      </c>
      <c r="O545" s="61" t="n">
        <v>0</v>
      </c>
      <c r="P545" s="62" t="n">
        <v>204.3</v>
      </c>
      <c r="Q545" s="0" t="n">
        <v>0</v>
      </c>
      <c r="R545" s="60" t="n">
        <f aca="false">G545+H545+I545</f>
        <v>6.3</v>
      </c>
      <c r="S545" s="60" t="n">
        <f aca="false">K545+L545+M545+N545+O545</f>
        <v>23.07</v>
      </c>
      <c r="T545" s="60" t="n">
        <f aca="false">L545+M545</f>
        <v>17.11</v>
      </c>
      <c r="U545" s="60" t="n">
        <f aca="false">S545+J545</f>
        <v>23.07</v>
      </c>
      <c r="V545" s="63" t="n">
        <f aca="false">IFERROR(S545/F545,0)</f>
        <v>0.785495403472932</v>
      </c>
      <c r="W545" s="63" t="n">
        <f aca="false">IFERROR(R545/F545,0)</f>
        <v>0.214504596527068</v>
      </c>
      <c r="X545" s="63" t="n">
        <f aca="false">IFERROR(T545/F545,0)</f>
        <v>0.582567245488594</v>
      </c>
      <c r="Y545" s="63" t="n">
        <f aca="false">IFERROR(G545/F545,0)</f>
        <v>0.112700034048349</v>
      </c>
      <c r="Z545" s="59" t="n">
        <f aca="false">IF(E545&gt;0,F545*1000000000/E545,"")</f>
        <v>5051.0626837395</v>
      </c>
      <c r="AA545" s="63" t="n">
        <f aca="false">IFERROR((R545+S545+J545)/F545,0)</f>
        <v>1</v>
      </c>
      <c r="AB545" s="0" t="str">
        <f aca="false">A545&amp;"|"&amp;D545</f>
        <v>Denmark|2019</v>
      </c>
    </row>
    <row r="546" customFormat="false" ht="15" hidden="false" customHeight="false" outlineLevel="0" collapsed="false">
      <c r="A546" s="0" t="s">
        <v>232</v>
      </c>
      <c r="B546" s="0" t="s">
        <v>470</v>
      </c>
      <c r="C546" s="0" t="s">
        <v>127</v>
      </c>
      <c r="D546" s="0" t="n">
        <v>2020</v>
      </c>
      <c r="E546" s="59" t="n">
        <v>5831529</v>
      </c>
      <c r="F546" s="60" t="n">
        <v>28.58</v>
      </c>
      <c r="G546" s="61" t="n">
        <v>3.06</v>
      </c>
      <c r="H546" s="61" t="n">
        <v>1.18</v>
      </c>
      <c r="I546" s="61" t="n">
        <v>0.89</v>
      </c>
      <c r="J546" s="61" t="n">
        <v>0</v>
      </c>
      <c r="K546" s="61" t="n">
        <v>0.02</v>
      </c>
      <c r="L546" s="61" t="n">
        <v>1.18</v>
      </c>
      <c r="M546" s="61" t="n">
        <v>16.33</v>
      </c>
      <c r="N546" s="61" t="n">
        <v>5.92</v>
      </c>
      <c r="O546" s="61" t="n">
        <v>0</v>
      </c>
      <c r="P546" s="62" t="n">
        <v>188.9</v>
      </c>
      <c r="Q546" s="0" t="n">
        <v>0</v>
      </c>
      <c r="R546" s="60" t="n">
        <f aca="false">G546+H546+I546</f>
        <v>5.13</v>
      </c>
      <c r="S546" s="60" t="n">
        <f aca="false">K546+L546+M546+N546+O546</f>
        <v>23.45</v>
      </c>
      <c r="T546" s="60" t="n">
        <f aca="false">L546+M546</f>
        <v>17.51</v>
      </c>
      <c r="U546" s="60" t="n">
        <f aca="false">S546+J546</f>
        <v>23.45</v>
      </c>
      <c r="V546" s="63" t="n">
        <f aca="false">IFERROR(S546/F546,0)</f>
        <v>0.820503848845346</v>
      </c>
      <c r="W546" s="63" t="n">
        <f aca="false">IFERROR(R546/F546,0)</f>
        <v>0.179496151154654</v>
      </c>
      <c r="X546" s="63" t="n">
        <f aca="false">IFERROR(T546/F546,0)</f>
        <v>0.612666200139958</v>
      </c>
      <c r="Y546" s="63" t="n">
        <f aca="false">IFERROR(G546/F546,0)</f>
        <v>0.107067879636109</v>
      </c>
      <c r="Z546" s="59" t="n">
        <f aca="false">IF(E546&gt;0,F546*1000000000/E546,"")</f>
        <v>4900.94450357702</v>
      </c>
      <c r="AA546" s="63" t="n">
        <f aca="false">IFERROR((R546+S546+J546)/F546,0)</f>
        <v>1</v>
      </c>
      <c r="AB546" s="0" t="str">
        <f aca="false">A546&amp;"|"&amp;D546</f>
        <v>Denmark|2020</v>
      </c>
    </row>
    <row r="547" customFormat="false" ht="15" hidden="false" customHeight="false" outlineLevel="0" collapsed="false">
      <c r="A547" s="0" t="s">
        <v>232</v>
      </c>
      <c r="B547" s="0" t="s">
        <v>470</v>
      </c>
      <c r="C547" s="0" t="s">
        <v>127</v>
      </c>
      <c r="D547" s="0" t="n">
        <v>2021</v>
      </c>
      <c r="E547" s="59" t="n">
        <v>5856774</v>
      </c>
      <c r="F547" s="60" t="n">
        <v>32.92</v>
      </c>
      <c r="G547" s="61" t="n">
        <v>4.37</v>
      </c>
      <c r="H547" s="61" t="n">
        <v>1.54</v>
      </c>
      <c r="I547" s="61" t="n">
        <v>0.91</v>
      </c>
      <c r="J547" s="61" t="n">
        <v>0</v>
      </c>
      <c r="K547" s="61" t="n">
        <v>0.02</v>
      </c>
      <c r="L547" s="61" t="n">
        <v>1.31</v>
      </c>
      <c r="M547" s="61" t="n">
        <v>16.05</v>
      </c>
      <c r="N547" s="61" t="n">
        <v>8.72</v>
      </c>
      <c r="O547" s="61" t="n">
        <v>0</v>
      </c>
      <c r="P547" s="62" t="n">
        <v>223</v>
      </c>
      <c r="Q547" s="0" t="n">
        <v>0</v>
      </c>
      <c r="R547" s="60" t="n">
        <f aca="false">G547+H547+I547</f>
        <v>6.82</v>
      </c>
      <c r="S547" s="60" t="n">
        <f aca="false">K547+L547+M547+N547+O547</f>
        <v>26.1</v>
      </c>
      <c r="T547" s="60" t="n">
        <f aca="false">L547+M547</f>
        <v>17.36</v>
      </c>
      <c r="U547" s="60" t="n">
        <f aca="false">S547+J547</f>
        <v>26.1</v>
      </c>
      <c r="V547" s="63" t="n">
        <f aca="false">IFERROR(S547/F547,0)</f>
        <v>0.792831105710814</v>
      </c>
      <c r="W547" s="63" t="n">
        <f aca="false">IFERROR(R547/F547,0)</f>
        <v>0.207168894289186</v>
      </c>
      <c r="X547" s="63" t="n">
        <f aca="false">IFERROR(T547/F547,0)</f>
        <v>0.527339003645201</v>
      </c>
      <c r="Y547" s="63" t="n">
        <f aca="false">IFERROR(G547/F547,0)</f>
        <v>0.132746051032807</v>
      </c>
      <c r="Z547" s="59" t="n">
        <f aca="false">IF(E547&gt;0,F547*1000000000/E547,"")</f>
        <v>5620.84178081654</v>
      </c>
      <c r="AA547" s="63" t="n">
        <f aca="false">IFERROR((R547+S547+J547)/F547,0)</f>
        <v>1</v>
      </c>
      <c r="AB547" s="0" t="str">
        <f aca="false">A547&amp;"|"&amp;D547</f>
        <v>Denmark|2021</v>
      </c>
    </row>
    <row r="548" customFormat="false" ht="15" hidden="false" customHeight="false" outlineLevel="0" collapsed="false">
      <c r="A548" s="0" t="s">
        <v>232</v>
      </c>
      <c r="B548" s="0" t="s">
        <v>470</v>
      </c>
      <c r="C548" s="0" t="s">
        <v>127</v>
      </c>
      <c r="D548" s="0" t="n">
        <v>2022</v>
      </c>
      <c r="E548" s="59" t="n">
        <v>5902901</v>
      </c>
      <c r="F548" s="60" t="n">
        <v>35.16</v>
      </c>
      <c r="G548" s="61" t="n">
        <v>4.43</v>
      </c>
      <c r="H548" s="61" t="n">
        <v>1.02</v>
      </c>
      <c r="I548" s="61" t="n">
        <v>1.28</v>
      </c>
      <c r="J548" s="61" t="n">
        <v>0</v>
      </c>
      <c r="K548" s="61" t="n">
        <v>0.01</v>
      </c>
      <c r="L548" s="61" t="n">
        <v>2.38</v>
      </c>
      <c r="M548" s="61" t="n">
        <v>19.02</v>
      </c>
      <c r="N548" s="61" t="n">
        <v>7.02</v>
      </c>
      <c r="O548" s="61" t="n">
        <v>0</v>
      </c>
      <c r="P548" s="62" t="n">
        <v>203.6</v>
      </c>
      <c r="Q548" s="0" t="n">
        <v>0</v>
      </c>
      <c r="R548" s="60" t="n">
        <f aca="false">G548+H548+I548</f>
        <v>6.73</v>
      </c>
      <c r="S548" s="60" t="n">
        <f aca="false">K548+L548+M548+N548+O548</f>
        <v>28.43</v>
      </c>
      <c r="T548" s="60" t="n">
        <f aca="false">L548+M548</f>
        <v>21.4</v>
      </c>
      <c r="U548" s="60" t="n">
        <f aca="false">S548+J548</f>
        <v>28.43</v>
      </c>
      <c r="V548" s="63" t="n">
        <f aca="false">IFERROR(S548/F548,0)</f>
        <v>0.808589306029579</v>
      </c>
      <c r="W548" s="63" t="n">
        <f aca="false">IFERROR(R548/F548,0)</f>
        <v>0.191410693970421</v>
      </c>
      <c r="X548" s="63" t="n">
        <f aca="false">IFERROR(T548/F548,0)</f>
        <v>0.608646188850967</v>
      </c>
      <c r="Y548" s="63" t="n">
        <f aca="false">IFERROR(G548/F548,0)</f>
        <v>0.125995449374289</v>
      </c>
      <c r="Z548" s="59" t="n">
        <f aca="false">IF(E548&gt;0,F548*1000000000/E548,"")</f>
        <v>5956.39330559669</v>
      </c>
      <c r="AA548" s="63" t="n">
        <f aca="false">IFERROR((R548+S548+J548)/F548,0)</f>
        <v>1</v>
      </c>
      <c r="AB548" s="0" t="str">
        <f aca="false">A548&amp;"|"&amp;D548</f>
        <v>Denmark|2022</v>
      </c>
    </row>
    <row r="549" customFormat="false" ht="15" hidden="false" customHeight="false" outlineLevel="0" collapsed="false">
      <c r="A549" s="0" t="s">
        <v>232</v>
      </c>
      <c r="B549" s="0" t="s">
        <v>470</v>
      </c>
      <c r="C549" s="0" t="s">
        <v>127</v>
      </c>
      <c r="D549" s="0" t="n">
        <v>2023</v>
      </c>
      <c r="E549" s="59" t="n">
        <v>5948134</v>
      </c>
      <c r="F549" s="60" t="n">
        <v>33.89</v>
      </c>
      <c r="G549" s="61" t="n">
        <v>2.53</v>
      </c>
      <c r="H549" s="61" t="n">
        <v>1</v>
      </c>
      <c r="I549" s="61" t="n">
        <v>1.08</v>
      </c>
      <c r="J549" s="61" t="n">
        <v>0</v>
      </c>
      <c r="K549" s="61" t="n">
        <v>0.02</v>
      </c>
      <c r="L549" s="61" t="n">
        <v>3.66</v>
      </c>
      <c r="M549" s="61" t="n">
        <v>19.39</v>
      </c>
      <c r="N549" s="61" t="n">
        <v>6.21</v>
      </c>
      <c r="O549" s="61" t="n">
        <v>0</v>
      </c>
      <c r="P549" s="62" t="n">
        <v>152</v>
      </c>
      <c r="Q549" s="0" t="n">
        <v>0</v>
      </c>
      <c r="R549" s="60" t="n">
        <f aca="false">G549+H549+I549</f>
        <v>4.61</v>
      </c>
      <c r="S549" s="60" t="n">
        <f aca="false">K549+L549+M549+N549+O549</f>
        <v>29.28</v>
      </c>
      <c r="T549" s="60" t="n">
        <f aca="false">L549+M549</f>
        <v>23.05</v>
      </c>
      <c r="U549" s="60" t="n">
        <f aca="false">S549+J549</f>
        <v>29.28</v>
      </c>
      <c r="V549" s="63" t="n">
        <f aca="false">IFERROR(S549/F549,0)</f>
        <v>0.8639716730599</v>
      </c>
      <c r="W549" s="63" t="n">
        <f aca="false">IFERROR(R549/F549,0)</f>
        <v>0.1360283269401</v>
      </c>
      <c r="X549" s="63" t="n">
        <f aca="false">IFERROR(T549/F549,0)</f>
        <v>0.680141634700502</v>
      </c>
      <c r="Y549" s="63" t="n">
        <f aca="false">IFERROR(G549/F549,0)</f>
        <v>0.0746532900560637</v>
      </c>
      <c r="Z549" s="59" t="n">
        <f aca="false">IF(E549&gt;0,F549*1000000000/E549,"")</f>
        <v>5697.58515863967</v>
      </c>
      <c r="AA549" s="63" t="n">
        <f aca="false">IFERROR((R549+S549+J549)/F549,0)</f>
        <v>1</v>
      </c>
      <c r="AB549" s="0" t="str">
        <f aca="false">A549&amp;"|"&amp;D549</f>
        <v>Denmark|2023</v>
      </c>
    </row>
    <row r="550" customFormat="false" ht="15" hidden="false" customHeight="false" outlineLevel="0" collapsed="false">
      <c r="A550" s="0" t="s">
        <v>232</v>
      </c>
      <c r="B550" s="0" t="s">
        <v>470</v>
      </c>
      <c r="C550" s="0" t="s">
        <v>127</v>
      </c>
      <c r="D550" s="0" t="n">
        <v>2024</v>
      </c>
      <c r="E550" s="59" t="n">
        <v>5977417</v>
      </c>
      <c r="F550" s="60" t="n">
        <v>35.06</v>
      </c>
      <c r="G550" s="61" t="n">
        <v>1.75</v>
      </c>
      <c r="H550" s="61" t="n">
        <v>0.91</v>
      </c>
      <c r="I550" s="61" t="n">
        <v>1.13</v>
      </c>
      <c r="J550" s="61" t="n">
        <v>0</v>
      </c>
      <c r="K550" s="61" t="n">
        <v>0.02</v>
      </c>
      <c r="L550" s="61" t="n">
        <v>3.78</v>
      </c>
      <c r="M550" s="61" t="n">
        <v>20.41</v>
      </c>
      <c r="N550" s="61" t="n">
        <v>7.06</v>
      </c>
      <c r="O550" s="61" t="n">
        <v>0</v>
      </c>
      <c r="P550" s="62" t="n">
        <v>131.8</v>
      </c>
      <c r="Q550" s="0" t="n">
        <v>0</v>
      </c>
      <c r="R550" s="60" t="n">
        <f aca="false">G550+H550+I550</f>
        <v>3.79</v>
      </c>
      <c r="S550" s="60" t="n">
        <f aca="false">K550+L550+M550+N550+O550</f>
        <v>31.27</v>
      </c>
      <c r="T550" s="60" t="n">
        <f aca="false">L550+M550</f>
        <v>24.19</v>
      </c>
      <c r="U550" s="60" t="n">
        <f aca="false">S550+J550</f>
        <v>31.27</v>
      </c>
      <c r="V550" s="63" t="n">
        <f aca="false">IFERROR(S550/F550,0)</f>
        <v>0.891899600684541</v>
      </c>
      <c r="W550" s="63" t="n">
        <f aca="false">IFERROR(R550/F550,0)</f>
        <v>0.108100399315459</v>
      </c>
      <c r="X550" s="63" t="n">
        <f aca="false">IFERROR(T550/F550,0)</f>
        <v>0.689960068454079</v>
      </c>
      <c r="Y550" s="63" t="n">
        <f aca="false">IFERROR(G550/F550,0)</f>
        <v>0.0499144324015973</v>
      </c>
      <c r="Z550" s="59" t="n">
        <f aca="false">IF(E550&gt;0,F550*1000000000/E550,"")</f>
        <v>5865.40975809451</v>
      </c>
      <c r="AA550" s="63" t="n">
        <f aca="false">IFERROR((R550+S550+J550)/F550,0)</f>
        <v>1</v>
      </c>
      <c r="AB550" s="0" t="str">
        <f aca="false">A550&amp;"|"&amp;D550</f>
        <v>Denmark|2024</v>
      </c>
    </row>
    <row r="551" customFormat="false" ht="15" hidden="false" customHeight="false" outlineLevel="0" collapsed="false">
      <c r="A551" s="0" t="s">
        <v>232</v>
      </c>
      <c r="B551" s="0" t="s">
        <v>470</v>
      </c>
      <c r="C551" s="0" t="s">
        <v>127</v>
      </c>
      <c r="D551" s="0" t="n">
        <v>2025</v>
      </c>
      <c r="E551" s="59" t="n">
        <v>6002515</v>
      </c>
      <c r="F551" s="60" t="n">
        <v>33.3</v>
      </c>
      <c r="G551" s="61" t="n">
        <v>0.89</v>
      </c>
      <c r="H551" s="61" t="n">
        <v>0.81</v>
      </c>
      <c r="I551" s="61" t="n">
        <v>1.24</v>
      </c>
      <c r="J551" s="61" t="n">
        <v>0</v>
      </c>
      <c r="K551" s="61" t="n">
        <v>0.02</v>
      </c>
      <c r="L551" s="61" t="n">
        <v>4.45</v>
      </c>
      <c r="M551" s="61" t="n">
        <v>19.21</v>
      </c>
      <c r="N551" s="61" t="n">
        <v>6.68</v>
      </c>
      <c r="O551" s="61" t="n">
        <v>0</v>
      </c>
      <c r="P551" s="62" t="n">
        <v>114.4</v>
      </c>
      <c r="Q551" s="0" t="n">
        <v>0</v>
      </c>
      <c r="R551" s="60" t="n">
        <f aca="false">G551+H551+I551</f>
        <v>2.94</v>
      </c>
      <c r="S551" s="60" t="n">
        <f aca="false">K551+L551+M551+N551+O551</f>
        <v>30.36</v>
      </c>
      <c r="T551" s="60" t="n">
        <f aca="false">L551+M551</f>
        <v>23.66</v>
      </c>
      <c r="U551" s="60" t="n">
        <f aca="false">S551+J551</f>
        <v>30.36</v>
      </c>
      <c r="V551" s="63" t="n">
        <f aca="false">IFERROR(S551/F551,0)</f>
        <v>0.911711711711712</v>
      </c>
      <c r="W551" s="63" t="n">
        <f aca="false">IFERROR(R551/F551,0)</f>
        <v>0.0882882882882883</v>
      </c>
      <c r="X551" s="63" t="n">
        <f aca="false">IFERROR(T551/F551,0)</f>
        <v>0.710510510510511</v>
      </c>
      <c r="Y551" s="63" t="n">
        <f aca="false">IFERROR(G551/F551,0)</f>
        <v>0.0267267267267267</v>
      </c>
      <c r="Z551" s="59" t="n">
        <f aca="false">IF(E551&gt;0,F551*1000000000/E551,"")</f>
        <v>5547.67459973028</v>
      </c>
      <c r="AA551" s="63" t="n">
        <f aca="false">IFERROR((R551+S551+J551)/F551,0)</f>
        <v>1</v>
      </c>
      <c r="AB551" s="0" t="str">
        <f aca="false">A551&amp;"|"&amp;D551</f>
        <v>Denmark|2025</v>
      </c>
    </row>
    <row r="552" customFormat="false" ht="15" hidden="false" customHeight="false" outlineLevel="0" collapsed="false">
      <c r="A552" s="0" t="s">
        <v>233</v>
      </c>
      <c r="B552" s="0" t="s">
        <v>471</v>
      </c>
      <c r="C552" s="0" t="s">
        <v>127</v>
      </c>
      <c r="D552" s="0" t="n">
        <v>2015</v>
      </c>
      <c r="E552" s="59" t="n">
        <v>1020316</v>
      </c>
      <c r="F552" s="60" t="n">
        <v>0.18</v>
      </c>
      <c r="G552" s="61" t="n">
        <v>0</v>
      </c>
      <c r="H552" s="61" t="n">
        <v>0</v>
      </c>
      <c r="I552" s="61" t="n">
        <v>0.18</v>
      </c>
      <c r="J552" s="61" t="n">
        <v>0</v>
      </c>
      <c r="K552" s="61" t="n">
        <v>0</v>
      </c>
      <c r="L552" s="61" t="n">
        <v>0</v>
      </c>
      <c r="M552" s="61" t="n">
        <v>0</v>
      </c>
      <c r="N552" s="61" t="n">
        <v>0</v>
      </c>
      <c r="O552" s="61" t="n">
        <v>0</v>
      </c>
      <c r="P552" s="62" t="n">
        <v>666.7</v>
      </c>
      <c r="Q552" s="0" t="n">
        <v>0</v>
      </c>
      <c r="R552" s="60" t="n">
        <f aca="false">G552+H552+I552</f>
        <v>0.18</v>
      </c>
      <c r="S552" s="60" t="n">
        <f aca="false">K552+L552+M552+N552+O552</f>
        <v>0</v>
      </c>
      <c r="T552" s="60" t="n">
        <f aca="false">L552+M552</f>
        <v>0</v>
      </c>
      <c r="U552" s="60" t="n">
        <f aca="false">S552+J552</f>
        <v>0</v>
      </c>
      <c r="V552" s="63" t="n">
        <f aca="false">IFERROR(S552/F552,0)</f>
        <v>0</v>
      </c>
      <c r="W552" s="63" t="n">
        <f aca="false">IFERROR(R552/F552,0)</f>
        <v>1</v>
      </c>
      <c r="X552" s="63" t="n">
        <f aca="false">IFERROR(T552/F552,0)</f>
        <v>0</v>
      </c>
      <c r="Y552" s="63" t="n">
        <f aca="false">IFERROR(G552/F552,0)</f>
        <v>0</v>
      </c>
      <c r="Z552" s="59" t="n">
        <f aca="false">IF(E552&gt;0,F552*1000000000/E552,"")</f>
        <v>176.415933887149</v>
      </c>
      <c r="AA552" s="63" t="n">
        <f aca="false">IFERROR((R552+S552+J552)/F552,0)</f>
        <v>1</v>
      </c>
      <c r="AB552" s="0" t="str">
        <f aca="false">A552&amp;"|"&amp;D552</f>
        <v>Djibouti|2015</v>
      </c>
    </row>
    <row r="553" customFormat="false" ht="15" hidden="false" customHeight="false" outlineLevel="0" collapsed="false">
      <c r="A553" s="0" t="s">
        <v>233</v>
      </c>
      <c r="B553" s="0" t="s">
        <v>471</v>
      </c>
      <c r="C553" s="0" t="s">
        <v>127</v>
      </c>
      <c r="D553" s="0" t="n">
        <v>2016</v>
      </c>
      <c r="E553" s="59" t="n">
        <v>1037660</v>
      </c>
      <c r="F553" s="60" t="n">
        <v>0.09</v>
      </c>
      <c r="G553" s="61" t="n">
        <v>0</v>
      </c>
      <c r="H553" s="61" t="n">
        <v>0</v>
      </c>
      <c r="I553" s="61" t="n">
        <v>0.09</v>
      </c>
      <c r="J553" s="61" t="n">
        <v>0</v>
      </c>
      <c r="K553" s="61" t="n">
        <v>0</v>
      </c>
      <c r="L553" s="61" t="n">
        <v>0</v>
      </c>
      <c r="M553" s="61" t="n">
        <v>0</v>
      </c>
      <c r="N553" s="61" t="n">
        <v>0</v>
      </c>
      <c r="O553" s="61" t="n">
        <v>0</v>
      </c>
      <c r="P553" s="62" t="n">
        <v>666.7</v>
      </c>
      <c r="Q553" s="0" t="n">
        <v>0</v>
      </c>
      <c r="R553" s="60" t="n">
        <f aca="false">G553+H553+I553</f>
        <v>0.09</v>
      </c>
      <c r="S553" s="60" t="n">
        <f aca="false">K553+L553+M553+N553+O553</f>
        <v>0</v>
      </c>
      <c r="T553" s="60" t="n">
        <f aca="false">L553+M553</f>
        <v>0</v>
      </c>
      <c r="U553" s="60" t="n">
        <f aca="false">S553+J553</f>
        <v>0</v>
      </c>
      <c r="V553" s="63" t="n">
        <f aca="false">IFERROR(S553/F553,0)</f>
        <v>0</v>
      </c>
      <c r="W553" s="63" t="n">
        <f aca="false">IFERROR(R553/F553,0)</f>
        <v>1</v>
      </c>
      <c r="X553" s="63" t="n">
        <f aca="false">IFERROR(T553/F553,0)</f>
        <v>0</v>
      </c>
      <c r="Y553" s="63" t="n">
        <f aca="false">IFERROR(G553/F553,0)</f>
        <v>0</v>
      </c>
      <c r="Z553" s="59" t="n">
        <f aca="false">IF(E553&gt;0,F553*1000000000/E553,"")</f>
        <v>86.7336121658347</v>
      </c>
      <c r="AA553" s="63" t="n">
        <f aca="false">IFERROR((R553+S553+J553)/F553,0)</f>
        <v>1</v>
      </c>
      <c r="AB553" s="0" t="str">
        <f aca="false">A553&amp;"|"&amp;D553</f>
        <v>Djibouti|2016</v>
      </c>
    </row>
    <row r="554" customFormat="false" ht="15" hidden="false" customHeight="false" outlineLevel="0" collapsed="false">
      <c r="A554" s="0" t="s">
        <v>233</v>
      </c>
      <c r="B554" s="0" t="s">
        <v>471</v>
      </c>
      <c r="C554" s="0" t="s">
        <v>127</v>
      </c>
      <c r="D554" s="0" t="n">
        <v>2017</v>
      </c>
      <c r="E554" s="59" t="n">
        <v>1054844</v>
      </c>
      <c r="F554" s="60" t="n">
        <v>0.06</v>
      </c>
      <c r="G554" s="61" t="n">
        <v>0</v>
      </c>
      <c r="H554" s="61" t="n">
        <v>0</v>
      </c>
      <c r="I554" s="61" t="n">
        <v>0.06</v>
      </c>
      <c r="J554" s="61" t="n">
        <v>0</v>
      </c>
      <c r="K554" s="61" t="n">
        <v>0</v>
      </c>
      <c r="L554" s="61" t="n">
        <v>0</v>
      </c>
      <c r="M554" s="61" t="n">
        <v>0</v>
      </c>
      <c r="N554" s="61" t="n">
        <v>0</v>
      </c>
      <c r="O554" s="61" t="n">
        <v>0</v>
      </c>
      <c r="P554" s="62" t="n">
        <v>666.7</v>
      </c>
      <c r="Q554" s="0" t="n">
        <v>0</v>
      </c>
      <c r="R554" s="60" t="n">
        <f aca="false">G554+H554+I554</f>
        <v>0.06</v>
      </c>
      <c r="S554" s="60" t="n">
        <f aca="false">K554+L554+M554+N554+O554</f>
        <v>0</v>
      </c>
      <c r="T554" s="60" t="n">
        <f aca="false">L554+M554</f>
        <v>0</v>
      </c>
      <c r="U554" s="60" t="n">
        <f aca="false">S554+J554</f>
        <v>0</v>
      </c>
      <c r="V554" s="63" t="n">
        <f aca="false">IFERROR(S554/F554,0)</f>
        <v>0</v>
      </c>
      <c r="W554" s="63" t="n">
        <f aca="false">IFERROR(R554/F554,0)</f>
        <v>1</v>
      </c>
      <c r="X554" s="63" t="n">
        <f aca="false">IFERROR(T554/F554,0)</f>
        <v>0</v>
      </c>
      <c r="Y554" s="63" t="n">
        <f aca="false">IFERROR(G554/F554,0)</f>
        <v>0</v>
      </c>
      <c r="Z554" s="59" t="n">
        <f aca="false">IF(E554&gt;0,F554*1000000000/E554,"")</f>
        <v>56.8804486729791</v>
      </c>
      <c r="AA554" s="63" t="n">
        <f aca="false">IFERROR((R554+S554+J554)/F554,0)</f>
        <v>1</v>
      </c>
      <c r="AB554" s="0" t="str">
        <f aca="false">A554&amp;"|"&amp;D554</f>
        <v>Djibouti|2017</v>
      </c>
    </row>
    <row r="555" customFormat="false" ht="15" hidden="false" customHeight="false" outlineLevel="0" collapsed="false">
      <c r="A555" s="0" t="s">
        <v>233</v>
      </c>
      <c r="B555" s="0" t="s">
        <v>471</v>
      </c>
      <c r="C555" s="0" t="s">
        <v>127</v>
      </c>
      <c r="D555" s="0" t="n">
        <v>2018</v>
      </c>
      <c r="E555" s="59" t="n">
        <v>1071886</v>
      </c>
      <c r="F555" s="60" t="n">
        <v>0.05</v>
      </c>
      <c r="G555" s="61" t="n">
        <v>0</v>
      </c>
      <c r="H555" s="61" t="n">
        <v>0</v>
      </c>
      <c r="I555" s="61" t="n">
        <v>0.05</v>
      </c>
      <c r="J555" s="61" t="n">
        <v>0</v>
      </c>
      <c r="K555" s="61" t="n">
        <v>0</v>
      </c>
      <c r="L555" s="61" t="n">
        <v>0</v>
      </c>
      <c r="M555" s="61" t="n">
        <v>0</v>
      </c>
      <c r="N555" s="61" t="n">
        <v>0</v>
      </c>
      <c r="O555" s="61" t="n">
        <v>0</v>
      </c>
      <c r="P555" s="62" t="n">
        <v>600</v>
      </c>
      <c r="Q555" s="0" t="n">
        <v>0</v>
      </c>
      <c r="R555" s="60" t="n">
        <f aca="false">G555+H555+I555</f>
        <v>0.05</v>
      </c>
      <c r="S555" s="60" t="n">
        <f aca="false">K555+L555+M555+N555+O555</f>
        <v>0</v>
      </c>
      <c r="T555" s="60" t="n">
        <f aca="false">L555+M555</f>
        <v>0</v>
      </c>
      <c r="U555" s="60" t="n">
        <f aca="false">S555+J555</f>
        <v>0</v>
      </c>
      <c r="V555" s="63" t="n">
        <f aca="false">IFERROR(S555/F555,0)</f>
        <v>0</v>
      </c>
      <c r="W555" s="63" t="n">
        <f aca="false">IFERROR(R555/F555,0)</f>
        <v>1</v>
      </c>
      <c r="X555" s="63" t="n">
        <f aca="false">IFERROR(T555/F555,0)</f>
        <v>0</v>
      </c>
      <c r="Y555" s="63" t="n">
        <f aca="false">IFERROR(G555/F555,0)</f>
        <v>0</v>
      </c>
      <c r="Z555" s="59" t="n">
        <f aca="false">IF(E555&gt;0,F555*1000000000/E555,"")</f>
        <v>46.6467516135111</v>
      </c>
      <c r="AA555" s="63" t="n">
        <f aca="false">IFERROR((R555+S555+J555)/F555,0)</f>
        <v>1</v>
      </c>
      <c r="AB555" s="0" t="str">
        <f aca="false">A555&amp;"|"&amp;D555</f>
        <v>Djibouti|2018</v>
      </c>
    </row>
    <row r="556" customFormat="false" ht="15" hidden="false" customHeight="false" outlineLevel="0" collapsed="false">
      <c r="A556" s="0" t="s">
        <v>233</v>
      </c>
      <c r="B556" s="0" t="s">
        <v>471</v>
      </c>
      <c r="C556" s="0" t="s">
        <v>127</v>
      </c>
      <c r="D556" s="0" t="n">
        <v>2019</v>
      </c>
      <c r="E556" s="59" t="n">
        <v>1088710</v>
      </c>
      <c r="F556" s="60" t="n">
        <v>0.09</v>
      </c>
      <c r="G556" s="61" t="n">
        <v>0</v>
      </c>
      <c r="H556" s="61" t="n">
        <v>0</v>
      </c>
      <c r="I556" s="61" t="n">
        <v>0.09</v>
      </c>
      <c r="J556" s="61" t="n">
        <v>0</v>
      </c>
      <c r="K556" s="61" t="n">
        <v>0</v>
      </c>
      <c r="L556" s="61" t="n">
        <v>0</v>
      </c>
      <c r="M556" s="61" t="n">
        <v>0</v>
      </c>
      <c r="N556" s="61" t="n">
        <v>0</v>
      </c>
      <c r="O556" s="61" t="n">
        <v>0</v>
      </c>
      <c r="P556" s="62" t="n">
        <v>666.7</v>
      </c>
      <c r="Q556" s="0" t="n">
        <v>0</v>
      </c>
      <c r="R556" s="60" t="n">
        <f aca="false">G556+H556+I556</f>
        <v>0.09</v>
      </c>
      <c r="S556" s="60" t="n">
        <f aca="false">K556+L556+M556+N556+O556</f>
        <v>0</v>
      </c>
      <c r="T556" s="60" t="n">
        <f aca="false">L556+M556</f>
        <v>0</v>
      </c>
      <c r="U556" s="60" t="n">
        <f aca="false">S556+J556</f>
        <v>0</v>
      </c>
      <c r="V556" s="63" t="n">
        <f aca="false">IFERROR(S556/F556,0)</f>
        <v>0</v>
      </c>
      <c r="W556" s="63" t="n">
        <f aca="false">IFERROR(R556/F556,0)</f>
        <v>1</v>
      </c>
      <c r="X556" s="63" t="n">
        <f aca="false">IFERROR(T556/F556,0)</f>
        <v>0</v>
      </c>
      <c r="Y556" s="63" t="n">
        <f aca="false">IFERROR(G556/F556,0)</f>
        <v>0</v>
      </c>
      <c r="Z556" s="59" t="n">
        <f aca="false">IF(E556&gt;0,F556*1000000000/E556,"")</f>
        <v>82.6666421728468</v>
      </c>
      <c r="AA556" s="63" t="n">
        <f aca="false">IFERROR((R556+S556+J556)/F556,0)</f>
        <v>1</v>
      </c>
      <c r="AB556" s="0" t="str">
        <f aca="false">A556&amp;"|"&amp;D556</f>
        <v>Djibouti|2019</v>
      </c>
    </row>
    <row r="557" customFormat="false" ht="15" hidden="false" customHeight="false" outlineLevel="0" collapsed="false">
      <c r="A557" s="0" t="s">
        <v>233</v>
      </c>
      <c r="B557" s="0" t="s">
        <v>471</v>
      </c>
      <c r="C557" s="0" t="s">
        <v>127</v>
      </c>
      <c r="D557" s="0" t="n">
        <v>2020</v>
      </c>
      <c r="E557" s="59" t="n">
        <v>1105193</v>
      </c>
      <c r="F557" s="60" t="n">
        <v>0.13</v>
      </c>
      <c r="G557" s="61" t="n">
        <v>0</v>
      </c>
      <c r="H557" s="61" t="n">
        <v>0</v>
      </c>
      <c r="I557" s="61" t="n">
        <v>0.13</v>
      </c>
      <c r="J557" s="61" t="n">
        <v>0</v>
      </c>
      <c r="K557" s="61" t="n">
        <v>0</v>
      </c>
      <c r="L557" s="61" t="n">
        <v>0</v>
      </c>
      <c r="M557" s="61" t="n">
        <v>0</v>
      </c>
      <c r="N557" s="61" t="n">
        <v>0</v>
      </c>
      <c r="O557" s="61" t="n">
        <v>0</v>
      </c>
      <c r="P557" s="62" t="n">
        <v>692.3</v>
      </c>
      <c r="Q557" s="0" t="n">
        <v>0</v>
      </c>
      <c r="R557" s="60" t="n">
        <f aca="false">G557+H557+I557</f>
        <v>0.13</v>
      </c>
      <c r="S557" s="60" t="n">
        <f aca="false">K557+L557+M557+N557+O557</f>
        <v>0</v>
      </c>
      <c r="T557" s="60" t="n">
        <f aca="false">L557+M557</f>
        <v>0</v>
      </c>
      <c r="U557" s="60" t="n">
        <f aca="false">S557+J557</f>
        <v>0</v>
      </c>
      <c r="V557" s="63" t="n">
        <f aca="false">IFERROR(S557/F557,0)</f>
        <v>0</v>
      </c>
      <c r="W557" s="63" t="n">
        <f aca="false">IFERROR(R557/F557,0)</f>
        <v>1</v>
      </c>
      <c r="X557" s="63" t="n">
        <f aca="false">IFERROR(T557/F557,0)</f>
        <v>0</v>
      </c>
      <c r="Y557" s="63" t="n">
        <f aca="false">IFERROR(G557/F557,0)</f>
        <v>0</v>
      </c>
      <c r="Z557" s="59" t="n">
        <f aca="false">IF(E557&gt;0,F557*1000000000/E557,"")</f>
        <v>117.626514102062</v>
      </c>
      <c r="AA557" s="63" t="n">
        <f aca="false">IFERROR((R557+S557+J557)/F557,0)</f>
        <v>1</v>
      </c>
      <c r="AB557" s="0" t="str">
        <f aca="false">A557&amp;"|"&amp;D557</f>
        <v>Djibouti|2020</v>
      </c>
    </row>
    <row r="558" customFormat="false" ht="15" hidden="false" customHeight="false" outlineLevel="0" collapsed="false">
      <c r="A558" s="0" t="s">
        <v>233</v>
      </c>
      <c r="B558" s="0" t="s">
        <v>471</v>
      </c>
      <c r="C558" s="0" t="s">
        <v>127</v>
      </c>
      <c r="D558" s="0" t="n">
        <v>2021</v>
      </c>
      <c r="E558" s="59" t="n">
        <v>1121251</v>
      </c>
      <c r="F558" s="60" t="n">
        <v>0.2</v>
      </c>
      <c r="G558" s="61" t="n">
        <v>0</v>
      </c>
      <c r="H558" s="61" t="n">
        <v>0</v>
      </c>
      <c r="I558" s="61" t="n">
        <v>0.13</v>
      </c>
      <c r="J558" s="61" t="n">
        <v>0</v>
      </c>
      <c r="K558" s="61" t="n">
        <v>0</v>
      </c>
      <c r="L558" s="61" t="n">
        <v>0</v>
      </c>
      <c r="M558" s="61" t="n">
        <v>0.07</v>
      </c>
      <c r="N558" s="61" t="n">
        <v>0</v>
      </c>
      <c r="O558" s="61" t="n">
        <v>0</v>
      </c>
      <c r="P558" s="62" t="n">
        <v>450</v>
      </c>
      <c r="Q558" s="0" t="n">
        <v>0</v>
      </c>
      <c r="R558" s="60" t="n">
        <f aca="false">G558+H558+I558</f>
        <v>0.13</v>
      </c>
      <c r="S558" s="60" t="n">
        <f aca="false">K558+L558+M558+N558+O558</f>
        <v>0.07</v>
      </c>
      <c r="T558" s="60" t="n">
        <f aca="false">L558+M558</f>
        <v>0.07</v>
      </c>
      <c r="U558" s="60" t="n">
        <f aca="false">S558+J558</f>
        <v>0.07</v>
      </c>
      <c r="V558" s="63" t="n">
        <f aca="false">IFERROR(S558/F558,0)</f>
        <v>0.35</v>
      </c>
      <c r="W558" s="63" t="n">
        <f aca="false">IFERROR(R558/F558,0)</f>
        <v>0.65</v>
      </c>
      <c r="X558" s="63" t="n">
        <f aca="false">IFERROR(T558/F558,0)</f>
        <v>0.35</v>
      </c>
      <c r="Y558" s="63" t="n">
        <f aca="false">IFERROR(G558/F558,0)</f>
        <v>0</v>
      </c>
      <c r="Z558" s="59" t="n">
        <f aca="false">IF(E558&gt;0,F558*1000000000/E558,"")</f>
        <v>178.372193202057</v>
      </c>
      <c r="AA558" s="63" t="n">
        <f aca="false">IFERROR((R558+S558+J558)/F558,0)</f>
        <v>1</v>
      </c>
      <c r="AB558" s="0" t="str">
        <f aca="false">A558&amp;"|"&amp;D558</f>
        <v>Djibouti|2021</v>
      </c>
    </row>
    <row r="559" customFormat="false" ht="15" hidden="false" customHeight="false" outlineLevel="0" collapsed="false">
      <c r="A559" s="0" t="s">
        <v>233</v>
      </c>
      <c r="B559" s="0" t="s">
        <v>471</v>
      </c>
      <c r="C559" s="0" t="s">
        <v>127</v>
      </c>
      <c r="D559" s="0" t="n">
        <v>2022</v>
      </c>
      <c r="E559" s="59" t="n">
        <v>1137101</v>
      </c>
      <c r="F559" s="60" t="n">
        <v>0.2</v>
      </c>
      <c r="G559" s="61" t="n">
        <v>0</v>
      </c>
      <c r="H559" s="61" t="n">
        <v>0</v>
      </c>
      <c r="I559" s="61" t="n">
        <v>0.13</v>
      </c>
      <c r="J559" s="61" t="n">
        <v>0</v>
      </c>
      <c r="K559" s="61" t="n">
        <v>0</v>
      </c>
      <c r="L559" s="61" t="n">
        <v>0</v>
      </c>
      <c r="M559" s="61" t="n">
        <v>0.07</v>
      </c>
      <c r="N559" s="61" t="n">
        <v>0</v>
      </c>
      <c r="O559" s="61" t="n">
        <v>0</v>
      </c>
      <c r="P559" s="62" t="n">
        <v>450</v>
      </c>
      <c r="Q559" s="0" t="n">
        <v>0</v>
      </c>
      <c r="R559" s="60" t="n">
        <f aca="false">G559+H559+I559</f>
        <v>0.13</v>
      </c>
      <c r="S559" s="60" t="n">
        <f aca="false">K559+L559+M559+N559+O559</f>
        <v>0.07</v>
      </c>
      <c r="T559" s="60" t="n">
        <f aca="false">L559+M559</f>
        <v>0.07</v>
      </c>
      <c r="U559" s="60" t="n">
        <f aca="false">S559+J559</f>
        <v>0.07</v>
      </c>
      <c r="V559" s="63" t="n">
        <f aca="false">IFERROR(S559/F559,0)</f>
        <v>0.35</v>
      </c>
      <c r="W559" s="63" t="n">
        <f aca="false">IFERROR(R559/F559,0)</f>
        <v>0.65</v>
      </c>
      <c r="X559" s="63" t="n">
        <f aca="false">IFERROR(T559/F559,0)</f>
        <v>0.35</v>
      </c>
      <c r="Y559" s="63" t="n">
        <f aca="false">IFERROR(G559/F559,0)</f>
        <v>0</v>
      </c>
      <c r="Z559" s="59" t="n">
        <f aca="false">IF(E559&gt;0,F559*1000000000/E559,"")</f>
        <v>175.885871175911</v>
      </c>
      <c r="AA559" s="63" t="n">
        <f aca="false">IFERROR((R559+S559+J559)/F559,0)</f>
        <v>1</v>
      </c>
      <c r="AB559" s="0" t="str">
        <f aca="false">A559&amp;"|"&amp;D559</f>
        <v>Djibouti|2022</v>
      </c>
    </row>
    <row r="560" customFormat="false" ht="15" hidden="false" customHeight="false" outlineLevel="0" collapsed="false">
      <c r="A560" s="0" t="s">
        <v>233</v>
      </c>
      <c r="B560" s="0" t="s">
        <v>471</v>
      </c>
      <c r="C560" s="0" t="s">
        <v>127</v>
      </c>
      <c r="D560" s="0" t="n">
        <v>2023</v>
      </c>
      <c r="E560" s="59" t="n">
        <v>1152951</v>
      </c>
      <c r="F560" s="60" t="n">
        <v>0.2</v>
      </c>
      <c r="G560" s="61" t="n">
        <v>0</v>
      </c>
      <c r="H560" s="61" t="n">
        <v>0</v>
      </c>
      <c r="I560" s="61" t="n">
        <v>0.13</v>
      </c>
      <c r="J560" s="61" t="n">
        <v>0</v>
      </c>
      <c r="K560" s="61" t="n">
        <v>0</v>
      </c>
      <c r="L560" s="61" t="n">
        <v>0</v>
      </c>
      <c r="M560" s="61" t="n">
        <v>0.07</v>
      </c>
      <c r="N560" s="61" t="n">
        <v>0</v>
      </c>
      <c r="O560" s="61" t="n">
        <v>0</v>
      </c>
      <c r="P560" s="62" t="n">
        <v>450</v>
      </c>
      <c r="Q560" s="0" t="n">
        <v>0</v>
      </c>
      <c r="R560" s="60" t="n">
        <f aca="false">G560+H560+I560</f>
        <v>0.13</v>
      </c>
      <c r="S560" s="60" t="n">
        <f aca="false">K560+L560+M560+N560+O560</f>
        <v>0.07</v>
      </c>
      <c r="T560" s="60" t="n">
        <f aca="false">L560+M560</f>
        <v>0.07</v>
      </c>
      <c r="U560" s="60" t="n">
        <f aca="false">S560+J560</f>
        <v>0.07</v>
      </c>
      <c r="V560" s="63" t="n">
        <f aca="false">IFERROR(S560/F560,0)</f>
        <v>0.35</v>
      </c>
      <c r="W560" s="63" t="n">
        <f aca="false">IFERROR(R560/F560,0)</f>
        <v>0.65</v>
      </c>
      <c r="X560" s="63" t="n">
        <f aca="false">IFERROR(T560/F560,0)</f>
        <v>0.35</v>
      </c>
      <c r="Y560" s="63" t="n">
        <f aca="false">IFERROR(G560/F560,0)</f>
        <v>0</v>
      </c>
      <c r="Z560" s="59" t="n">
        <f aca="false">IF(E560&gt;0,F560*1000000000/E560,"")</f>
        <v>173.467909737708</v>
      </c>
      <c r="AA560" s="63" t="n">
        <f aca="false">IFERROR((R560+S560+J560)/F560,0)</f>
        <v>1</v>
      </c>
      <c r="AB560" s="0" t="str">
        <f aca="false">A560&amp;"|"&amp;D560</f>
        <v>Djibouti|2023</v>
      </c>
    </row>
    <row r="561" customFormat="false" ht="15" hidden="false" customHeight="false" outlineLevel="0" collapsed="false">
      <c r="A561" s="0" t="s">
        <v>233</v>
      </c>
      <c r="B561" s="0" t="s">
        <v>471</v>
      </c>
      <c r="C561" s="0" t="s">
        <v>127</v>
      </c>
      <c r="D561" s="0" t="n">
        <v>2024</v>
      </c>
      <c r="E561" s="59" t="n">
        <v>1168726</v>
      </c>
      <c r="F561" s="60" t="n">
        <v>0.2</v>
      </c>
      <c r="G561" s="61" t="n">
        <v>0</v>
      </c>
      <c r="H561" s="61" t="n">
        <v>0</v>
      </c>
      <c r="I561" s="61" t="n">
        <v>0.13</v>
      </c>
      <c r="J561" s="61" t="n">
        <v>0</v>
      </c>
      <c r="K561" s="61" t="n">
        <v>0</v>
      </c>
      <c r="L561" s="61" t="n">
        <v>0</v>
      </c>
      <c r="M561" s="61" t="n">
        <v>0.07</v>
      </c>
      <c r="N561" s="61" t="n">
        <v>0</v>
      </c>
      <c r="O561" s="61" t="n">
        <v>0</v>
      </c>
      <c r="P561" s="62" t="n">
        <v>450</v>
      </c>
      <c r="Q561" s="0" t="n">
        <v>0</v>
      </c>
      <c r="R561" s="60" t="n">
        <f aca="false">G561+H561+I561</f>
        <v>0.13</v>
      </c>
      <c r="S561" s="60" t="n">
        <f aca="false">K561+L561+M561+N561+O561</f>
        <v>0.07</v>
      </c>
      <c r="T561" s="60" t="n">
        <f aca="false">L561+M561</f>
        <v>0.07</v>
      </c>
      <c r="U561" s="60" t="n">
        <f aca="false">S561+J561</f>
        <v>0.07</v>
      </c>
      <c r="V561" s="63" t="n">
        <f aca="false">IFERROR(S561/F561,0)</f>
        <v>0.35</v>
      </c>
      <c r="W561" s="63" t="n">
        <f aca="false">IFERROR(R561/F561,0)</f>
        <v>0.65</v>
      </c>
      <c r="X561" s="63" t="n">
        <f aca="false">IFERROR(T561/F561,0)</f>
        <v>0.35</v>
      </c>
      <c r="Y561" s="63" t="n">
        <f aca="false">IFERROR(G561/F561,0)</f>
        <v>0</v>
      </c>
      <c r="Z561" s="59" t="n">
        <f aca="false">IF(E561&gt;0,F561*1000000000/E561,"")</f>
        <v>171.126508694082</v>
      </c>
      <c r="AA561" s="63" t="n">
        <f aca="false">IFERROR((R561+S561+J561)/F561,0)</f>
        <v>1</v>
      </c>
      <c r="AB561" s="0" t="str">
        <f aca="false">A561&amp;"|"&amp;D561</f>
        <v>Djibouti|2024</v>
      </c>
    </row>
    <row r="562" customFormat="false" ht="15" hidden="false" customHeight="false" outlineLevel="0" collapsed="false">
      <c r="A562" s="0" t="s">
        <v>234</v>
      </c>
      <c r="B562" s="0" t="s">
        <v>472</v>
      </c>
      <c r="C562" s="0" t="s">
        <v>127</v>
      </c>
      <c r="D562" s="0" t="n">
        <v>2015</v>
      </c>
      <c r="E562" s="59" t="n">
        <v>70429</v>
      </c>
      <c r="F562" s="60" t="n">
        <v>0.15</v>
      </c>
      <c r="G562" s="61" t="n">
        <v>0</v>
      </c>
      <c r="H562" s="61" t="n">
        <v>0</v>
      </c>
      <c r="I562" s="61" t="n">
        <v>0.13</v>
      </c>
      <c r="J562" s="61" t="n">
        <v>0</v>
      </c>
      <c r="K562" s="61" t="n">
        <v>0.02</v>
      </c>
      <c r="L562" s="61" t="n">
        <v>0</v>
      </c>
      <c r="M562" s="61" t="n">
        <v>0</v>
      </c>
      <c r="N562" s="61" t="n">
        <v>0</v>
      </c>
      <c r="O562" s="61" t="n">
        <v>0</v>
      </c>
      <c r="P562" s="62" t="n">
        <v>600</v>
      </c>
      <c r="Q562" s="0" t="n">
        <v>0</v>
      </c>
      <c r="R562" s="60" t="n">
        <f aca="false">G562+H562+I562</f>
        <v>0.13</v>
      </c>
      <c r="S562" s="60" t="n">
        <f aca="false">K562+L562+M562+N562+O562</f>
        <v>0.02</v>
      </c>
      <c r="T562" s="60" t="n">
        <f aca="false">L562+M562</f>
        <v>0</v>
      </c>
      <c r="U562" s="60" t="n">
        <f aca="false">S562+J562</f>
        <v>0.02</v>
      </c>
      <c r="V562" s="63" t="n">
        <f aca="false">IFERROR(S562/F562,0)</f>
        <v>0.133333333333333</v>
      </c>
      <c r="W562" s="63" t="n">
        <f aca="false">IFERROR(R562/F562,0)</f>
        <v>0.866666666666667</v>
      </c>
      <c r="X562" s="63" t="n">
        <f aca="false">IFERROR(T562/F562,0)</f>
        <v>0</v>
      </c>
      <c r="Y562" s="63" t="n">
        <f aca="false">IFERROR(G562/F562,0)</f>
        <v>0</v>
      </c>
      <c r="Z562" s="59" t="n">
        <f aca="false">IF(E562&gt;0,F562*1000000000/E562,"")</f>
        <v>2129.80448394837</v>
      </c>
      <c r="AA562" s="63" t="n">
        <f aca="false">IFERROR((R562+S562+J562)/F562,0)</f>
        <v>1</v>
      </c>
      <c r="AB562" s="0" t="str">
        <f aca="false">A562&amp;"|"&amp;D562</f>
        <v>Dominica|2015</v>
      </c>
    </row>
    <row r="563" customFormat="false" ht="15" hidden="false" customHeight="false" outlineLevel="0" collapsed="false">
      <c r="A563" s="0" t="s">
        <v>234</v>
      </c>
      <c r="B563" s="0" t="s">
        <v>472</v>
      </c>
      <c r="C563" s="0" t="s">
        <v>127</v>
      </c>
      <c r="D563" s="0" t="n">
        <v>2016</v>
      </c>
      <c r="E563" s="59" t="n">
        <v>69627</v>
      </c>
      <c r="F563" s="60" t="n">
        <v>0.16</v>
      </c>
      <c r="G563" s="61" t="n">
        <v>0</v>
      </c>
      <c r="H563" s="61" t="n">
        <v>0</v>
      </c>
      <c r="I563" s="61" t="n">
        <v>0.12</v>
      </c>
      <c r="J563" s="61" t="n">
        <v>0</v>
      </c>
      <c r="K563" s="61" t="n">
        <v>0.04</v>
      </c>
      <c r="L563" s="61" t="n">
        <v>0</v>
      </c>
      <c r="M563" s="61" t="n">
        <v>0</v>
      </c>
      <c r="N563" s="61" t="n">
        <v>0</v>
      </c>
      <c r="O563" s="61" t="n">
        <v>0</v>
      </c>
      <c r="P563" s="62" t="n">
        <v>500</v>
      </c>
      <c r="Q563" s="0" t="n">
        <v>0</v>
      </c>
      <c r="R563" s="60" t="n">
        <f aca="false">G563+H563+I563</f>
        <v>0.12</v>
      </c>
      <c r="S563" s="60" t="n">
        <f aca="false">K563+L563+M563+N563+O563</f>
        <v>0.04</v>
      </c>
      <c r="T563" s="60" t="n">
        <f aca="false">L563+M563</f>
        <v>0</v>
      </c>
      <c r="U563" s="60" t="n">
        <f aca="false">S563+J563</f>
        <v>0.04</v>
      </c>
      <c r="V563" s="63" t="n">
        <f aca="false">IFERROR(S563/F563,0)</f>
        <v>0.25</v>
      </c>
      <c r="W563" s="63" t="n">
        <f aca="false">IFERROR(R563/F563,0)</f>
        <v>0.75</v>
      </c>
      <c r="X563" s="63" t="n">
        <f aca="false">IFERROR(T563/F563,0)</f>
        <v>0</v>
      </c>
      <c r="Y563" s="63" t="n">
        <f aca="false">IFERROR(G563/F563,0)</f>
        <v>0</v>
      </c>
      <c r="Z563" s="59" t="n">
        <f aca="false">IF(E563&gt;0,F563*1000000000/E563,"")</f>
        <v>2297.95912505206</v>
      </c>
      <c r="AA563" s="63" t="n">
        <f aca="false">IFERROR((R563+S563+J563)/F563,0)</f>
        <v>1</v>
      </c>
      <c r="AB563" s="0" t="str">
        <f aca="false">A563&amp;"|"&amp;D563</f>
        <v>Dominica|2016</v>
      </c>
    </row>
    <row r="564" customFormat="false" ht="15" hidden="false" customHeight="false" outlineLevel="0" collapsed="false">
      <c r="A564" s="0" t="s">
        <v>234</v>
      </c>
      <c r="B564" s="0" t="s">
        <v>472</v>
      </c>
      <c r="C564" s="0" t="s">
        <v>127</v>
      </c>
      <c r="D564" s="0" t="n">
        <v>2017</v>
      </c>
      <c r="E564" s="59" t="n">
        <v>68514</v>
      </c>
      <c r="F564" s="60" t="n">
        <v>0.13</v>
      </c>
      <c r="G564" s="61" t="n">
        <v>0</v>
      </c>
      <c r="H564" s="61" t="n">
        <v>0</v>
      </c>
      <c r="I564" s="61" t="n">
        <v>0.1</v>
      </c>
      <c r="J564" s="61" t="n">
        <v>0</v>
      </c>
      <c r="K564" s="61" t="n">
        <v>0.03</v>
      </c>
      <c r="L564" s="61" t="n">
        <v>0</v>
      </c>
      <c r="M564" s="61" t="n">
        <v>0</v>
      </c>
      <c r="N564" s="61" t="n">
        <v>0</v>
      </c>
      <c r="O564" s="61" t="n">
        <v>0</v>
      </c>
      <c r="P564" s="62" t="n">
        <v>538.5</v>
      </c>
      <c r="Q564" s="0" t="n">
        <v>0</v>
      </c>
      <c r="R564" s="60" t="n">
        <f aca="false">G564+H564+I564</f>
        <v>0.1</v>
      </c>
      <c r="S564" s="60" t="n">
        <f aca="false">K564+L564+M564+N564+O564</f>
        <v>0.03</v>
      </c>
      <c r="T564" s="60" t="n">
        <f aca="false">L564+M564</f>
        <v>0</v>
      </c>
      <c r="U564" s="60" t="n">
        <f aca="false">S564+J564</f>
        <v>0.03</v>
      </c>
      <c r="V564" s="63" t="n">
        <f aca="false">IFERROR(S564/F564,0)</f>
        <v>0.230769230769231</v>
      </c>
      <c r="W564" s="63" t="n">
        <f aca="false">IFERROR(R564/F564,0)</f>
        <v>0.769230769230769</v>
      </c>
      <c r="X564" s="63" t="n">
        <f aca="false">IFERROR(T564/F564,0)</f>
        <v>0</v>
      </c>
      <c r="Y564" s="63" t="n">
        <f aca="false">IFERROR(G564/F564,0)</f>
        <v>0</v>
      </c>
      <c r="Z564" s="59" t="n">
        <f aca="false">IF(E564&gt;0,F564*1000000000/E564,"")</f>
        <v>1897.42242461395</v>
      </c>
      <c r="AA564" s="63" t="n">
        <f aca="false">IFERROR((R564+S564+J564)/F564,0)</f>
        <v>1</v>
      </c>
      <c r="AB564" s="0" t="str">
        <f aca="false">A564&amp;"|"&amp;D564</f>
        <v>Dominica|2017</v>
      </c>
    </row>
    <row r="565" customFormat="false" ht="15" hidden="false" customHeight="false" outlineLevel="0" collapsed="false">
      <c r="A565" s="0" t="s">
        <v>234</v>
      </c>
      <c r="B565" s="0" t="s">
        <v>472</v>
      </c>
      <c r="C565" s="0" t="s">
        <v>127</v>
      </c>
      <c r="D565" s="0" t="n">
        <v>2018</v>
      </c>
      <c r="E565" s="59" t="n">
        <v>68195</v>
      </c>
      <c r="F565" s="60" t="n">
        <v>0.11</v>
      </c>
      <c r="G565" s="61" t="n">
        <v>0</v>
      </c>
      <c r="H565" s="61" t="n">
        <v>0</v>
      </c>
      <c r="I565" s="61" t="n">
        <v>0.09</v>
      </c>
      <c r="J565" s="61" t="n">
        <v>0</v>
      </c>
      <c r="K565" s="61" t="n">
        <v>0.02</v>
      </c>
      <c r="L565" s="61" t="n">
        <v>0</v>
      </c>
      <c r="M565" s="61" t="n">
        <v>0</v>
      </c>
      <c r="N565" s="61" t="n">
        <v>0</v>
      </c>
      <c r="O565" s="61" t="n">
        <v>0</v>
      </c>
      <c r="P565" s="62" t="n">
        <v>545.5</v>
      </c>
      <c r="Q565" s="0" t="n">
        <v>0</v>
      </c>
      <c r="R565" s="60" t="n">
        <f aca="false">G565+H565+I565</f>
        <v>0.09</v>
      </c>
      <c r="S565" s="60" t="n">
        <f aca="false">K565+L565+M565+N565+O565</f>
        <v>0.02</v>
      </c>
      <c r="T565" s="60" t="n">
        <f aca="false">L565+M565</f>
        <v>0</v>
      </c>
      <c r="U565" s="60" t="n">
        <f aca="false">S565+J565</f>
        <v>0.02</v>
      </c>
      <c r="V565" s="63" t="n">
        <f aca="false">IFERROR(S565/F565,0)</f>
        <v>0.181818181818182</v>
      </c>
      <c r="W565" s="63" t="n">
        <f aca="false">IFERROR(R565/F565,0)</f>
        <v>0.818181818181818</v>
      </c>
      <c r="X565" s="63" t="n">
        <f aca="false">IFERROR(T565/F565,0)</f>
        <v>0</v>
      </c>
      <c r="Y565" s="63" t="n">
        <f aca="false">IFERROR(G565/F565,0)</f>
        <v>0</v>
      </c>
      <c r="Z565" s="59" t="n">
        <f aca="false">IF(E565&gt;0,F565*1000000000/E565,"")</f>
        <v>1613.02148251338</v>
      </c>
      <c r="AA565" s="63" t="n">
        <f aca="false">IFERROR((R565+S565+J565)/F565,0)</f>
        <v>1</v>
      </c>
      <c r="AB565" s="0" t="str">
        <f aca="false">A565&amp;"|"&amp;D565</f>
        <v>Dominica|2018</v>
      </c>
    </row>
    <row r="566" customFormat="false" ht="15" hidden="false" customHeight="false" outlineLevel="0" collapsed="false">
      <c r="A566" s="0" t="s">
        <v>234</v>
      </c>
      <c r="B566" s="0" t="s">
        <v>472</v>
      </c>
      <c r="C566" s="0" t="s">
        <v>127</v>
      </c>
      <c r="D566" s="0" t="n">
        <v>2019</v>
      </c>
      <c r="E566" s="59" t="n">
        <v>67901</v>
      </c>
      <c r="F566" s="60" t="n">
        <v>0.14</v>
      </c>
      <c r="G566" s="61" t="n">
        <v>0</v>
      </c>
      <c r="H566" s="61" t="n">
        <v>0</v>
      </c>
      <c r="I566" s="61" t="n">
        <v>0.12</v>
      </c>
      <c r="J566" s="61" t="n">
        <v>0</v>
      </c>
      <c r="K566" s="61" t="n">
        <v>0.02</v>
      </c>
      <c r="L566" s="61" t="n">
        <v>0</v>
      </c>
      <c r="M566" s="61" t="n">
        <v>0</v>
      </c>
      <c r="N566" s="61" t="n">
        <v>0</v>
      </c>
      <c r="O566" s="61" t="n">
        <v>0</v>
      </c>
      <c r="P566" s="62" t="n">
        <v>571.4</v>
      </c>
      <c r="Q566" s="0" t="n">
        <v>0</v>
      </c>
      <c r="R566" s="60" t="n">
        <f aca="false">G566+H566+I566</f>
        <v>0.12</v>
      </c>
      <c r="S566" s="60" t="n">
        <f aca="false">K566+L566+M566+N566+O566</f>
        <v>0.02</v>
      </c>
      <c r="T566" s="60" t="n">
        <f aca="false">L566+M566</f>
        <v>0</v>
      </c>
      <c r="U566" s="60" t="n">
        <f aca="false">S566+J566</f>
        <v>0.02</v>
      </c>
      <c r="V566" s="63" t="n">
        <f aca="false">IFERROR(S566/F566,0)</f>
        <v>0.142857142857143</v>
      </c>
      <c r="W566" s="63" t="n">
        <f aca="false">IFERROR(R566/F566,0)</f>
        <v>0.857142857142857</v>
      </c>
      <c r="X566" s="63" t="n">
        <f aca="false">IFERROR(T566/F566,0)</f>
        <v>0</v>
      </c>
      <c r="Y566" s="63" t="n">
        <f aca="false">IFERROR(G566/F566,0)</f>
        <v>0</v>
      </c>
      <c r="Z566" s="59" t="n">
        <f aca="false">IF(E566&gt;0,F566*1000000000/E566,"")</f>
        <v>2061.82530448742</v>
      </c>
      <c r="AA566" s="63" t="n">
        <f aca="false">IFERROR((R566+S566+J566)/F566,0)</f>
        <v>1</v>
      </c>
      <c r="AB566" s="0" t="str">
        <f aca="false">A566&amp;"|"&amp;D566</f>
        <v>Dominica|2019</v>
      </c>
    </row>
    <row r="567" customFormat="false" ht="15" hidden="false" customHeight="false" outlineLevel="0" collapsed="false">
      <c r="A567" s="0" t="s">
        <v>234</v>
      </c>
      <c r="B567" s="0" t="s">
        <v>472</v>
      </c>
      <c r="C567" s="0" t="s">
        <v>127</v>
      </c>
      <c r="D567" s="0" t="n">
        <v>2020</v>
      </c>
      <c r="E567" s="59" t="n">
        <v>67588</v>
      </c>
      <c r="F567" s="60" t="n">
        <v>0.14</v>
      </c>
      <c r="G567" s="61" t="n">
        <v>0</v>
      </c>
      <c r="H567" s="61" t="n">
        <v>0</v>
      </c>
      <c r="I567" s="61" t="n">
        <v>0.12</v>
      </c>
      <c r="J567" s="61" t="n">
        <v>0</v>
      </c>
      <c r="K567" s="61" t="n">
        <v>0.02</v>
      </c>
      <c r="L567" s="61" t="n">
        <v>0</v>
      </c>
      <c r="M567" s="61" t="n">
        <v>0</v>
      </c>
      <c r="N567" s="61" t="n">
        <v>0</v>
      </c>
      <c r="O567" s="61" t="n">
        <v>0</v>
      </c>
      <c r="P567" s="62" t="n">
        <v>571.4</v>
      </c>
      <c r="Q567" s="0" t="n">
        <v>0</v>
      </c>
      <c r="R567" s="60" t="n">
        <f aca="false">G567+H567+I567</f>
        <v>0.12</v>
      </c>
      <c r="S567" s="60" t="n">
        <f aca="false">K567+L567+M567+N567+O567</f>
        <v>0.02</v>
      </c>
      <c r="T567" s="60" t="n">
        <f aca="false">L567+M567</f>
        <v>0</v>
      </c>
      <c r="U567" s="60" t="n">
        <f aca="false">S567+J567</f>
        <v>0.02</v>
      </c>
      <c r="V567" s="63" t="n">
        <f aca="false">IFERROR(S567/F567,0)</f>
        <v>0.142857142857143</v>
      </c>
      <c r="W567" s="63" t="n">
        <f aca="false">IFERROR(R567/F567,0)</f>
        <v>0.857142857142857</v>
      </c>
      <c r="X567" s="63" t="n">
        <f aca="false">IFERROR(T567/F567,0)</f>
        <v>0</v>
      </c>
      <c r="Y567" s="63" t="n">
        <f aca="false">IFERROR(G567/F567,0)</f>
        <v>0</v>
      </c>
      <c r="Z567" s="59" t="n">
        <f aca="false">IF(E567&gt;0,F567*1000000000/E567,"")</f>
        <v>2071.37361661834</v>
      </c>
      <c r="AA567" s="63" t="n">
        <f aca="false">IFERROR((R567+S567+J567)/F567,0)</f>
        <v>1</v>
      </c>
      <c r="AB567" s="0" t="str">
        <f aca="false">A567&amp;"|"&amp;D567</f>
        <v>Dominica|2020</v>
      </c>
    </row>
    <row r="568" customFormat="false" ht="15" hidden="false" customHeight="false" outlineLevel="0" collapsed="false">
      <c r="A568" s="0" t="s">
        <v>234</v>
      </c>
      <c r="B568" s="0" t="s">
        <v>472</v>
      </c>
      <c r="C568" s="0" t="s">
        <v>127</v>
      </c>
      <c r="D568" s="0" t="n">
        <v>2021</v>
      </c>
      <c r="E568" s="59" t="n">
        <v>67222</v>
      </c>
      <c r="F568" s="60" t="n">
        <v>0.14</v>
      </c>
      <c r="G568" s="61" t="n">
        <v>0</v>
      </c>
      <c r="H568" s="61" t="n">
        <v>0</v>
      </c>
      <c r="I568" s="61" t="n">
        <v>0.12</v>
      </c>
      <c r="J568" s="61" t="n">
        <v>0</v>
      </c>
      <c r="K568" s="61" t="n">
        <v>0.02</v>
      </c>
      <c r="L568" s="61" t="n">
        <v>0</v>
      </c>
      <c r="M568" s="61" t="n">
        <v>0</v>
      </c>
      <c r="N568" s="61" t="n">
        <v>0</v>
      </c>
      <c r="O568" s="61" t="n">
        <v>0</v>
      </c>
      <c r="P568" s="62" t="n">
        <v>571.4</v>
      </c>
      <c r="Q568" s="0" t="n">
        <v>0</v>
      </c>
      <c r="R568" s="60" t="n">
        <f aca="false">G568+H568+I568</f>
        <v>0.12</v>
      </c>
      <c r="S568" s="60" t="n">
        <f aca="false">K568+L568+M568+N568+O568</f>
        <v>0.02</v>
      </c>
      <c r="T568" s="60" t="n">
        <f aca="false">L568+M568</f>
        <v>0</v>
      </c>
      <c r="U568" s="60" t="n">
        <f aca="false">S568+J568</f>
        <v>0.02</v>
      </c>
      <c r="V568" s="63" t="n">
        <f aca="false">IFERROR(S568/F568,0)</f>
        <v>0.142857142857143</v>
      </c>
      <c r="W568" s="63" t="n">
        <f aca="false">IFERROR(R568/F568,0)</f>
        <v>0.857142857142857</v>
      </c>
      <c r="X568" s="63" t="n">
        <f aca="false">IFERROR(T568/F568,0)</f>
        <v>0</v>
      </c>
      <c r="Y568" s="63" t="n">
        <f aca="false">IFERROR(G568/F568,0)</f>
        <v>0</v>
      </c>
      <c r="Z568" s="59" t="n">
        <f aca="false">IF(E568&gt;0,F568*1000000000/E568,"")</f>
        <v>2082.65151289756</v>
      </c>
      <c r="AA568" s="63" t="n">
        <f aca="false">IFERROR((R568+S568+J568)/F568,0)</f>
        <v>1</v>
      </c>
      <c r="AB568" s="0" t="str">
        <f aca="false">A568&amp;"|"&amp;D568</f>
        <v>Dominica|2021</v>
      </c>
    </row>
    <row r="569" customFormat="false" ht="15" hidden="false" customHeight="false" outlineLevel="0" collapsed="false">
      <c r="A569" s="0" t="s">
        <v>234</v>
      </c>
      <c r="B569" s="0" t="s">
        <v>472</v>
      </c>
      <c r="C569" s="0" t="s">
        <v>127</v>
      </c>
      <c r="D569" s="0" t="n">
        <v>2022</v>
      </c>
      <c r="E569" s="59" t="n">
        <v>66847</v>
      </c>
      <c r="F569" s="60" t="n">
        <v>0.15</v>
      </c>
      <c r="G569" s="61" t="n">
        <v>0</v>
      </c>
      <c r="H569" s="61" t="n">
        <v>0</v>
      </c>
      <c r="I569" s="61" t="n">
        <v>0.13</v>
      </c>
      <c r="J569" s="61" t="n">
        <v>0</v>
      </c>
      <c r="K569" s="61" t="n">
        <v>0.02</v>
      </c>
      <c r="L569" s="61" t="n">
        <v>0</v>
      </c>
      <c r="M569" s="61" t="n">
        <v>0</v>
      </c>
      <c r="N569" s="61" t="n">
        <v>0</v>
      </c>
      <c r="O569" s="61" t="n">
        <v>0</v>
      </c>
      <c r="P569" s="62" t="n">
        <v>600</v>
      </c>
      <c r="Q569" s="0" t="n">
        <v>0</v>
      </c>
      <c r="R569" s="60" t="n">
        <f aca="false">G569+H569+I569</f>
        <v>0.13</v>
      </c>
      <c r="S569" s="60" t="n">
        <f aca="false">K569+L569+M569+N569+O569</f>
        <v>0.02</v>
      </c>
      <c r="T569" s="60" t="n">
        <f aca="false">L569+M569</f>
        <v>0</v>
      </c>
      <c r="U569" s="60" t="n">
        <f aca="false">S569+J569</f>
        <v>0.02</v>
      </c>
      <c r="V569" s="63" t="n">
        <f aca="false">IFERROR(S569/F569,0)</f>
        <v>0.133333333333333</v>
      </c>
      <c r="W569" s="63" t="n">
        <f aca="false">IFERROR(R569/F569,0)</f>
        <v>0.866666666666667</v>
      </c>
      <c r="X569" s="63" t="n">
        <f aca="false">IFERROR(T569/F569,0)</f>
        <v>0</v>
      </c>
      <c r="Y569" s="63" t="n">
        <f aca="false">IFERROR(G569/F569,0)</f>
        <v>0</v>
      </c>
      <c r="Z569" s="59" t="n">
        <f aca="false">IF(E569&gt;0,F569*1000000000/E569,"")</f>
        <v>2243.93016889314</v>
      </c>
      <c r="AA569" s="63" t="n">
        <f aca="false">IFERROR((R569+S569+J569)/F569,0)</f>
        <v>1</v>
      </c>
      <c r="AB569" s="0" t="str">
        <f aca="false">A569&amp;"|"&amp;D569</f>
        <v>Dominica|2022</v>
      </c>
    </row>
    <row r="570" customFormat="false" ht="15" hidden="false" customHeight="false" outlineLevel="0" collapsed="false">
      <c r="A570" s="0" t="s">
        <v>234</v>
      </c>
      <c r="B570" s="0" t="s">
        <v>472</v>
      </c>
      <c r="C570" s="0" t="s">
        <v>127</v>
      </c>
      <c r="D570" s="0" t="n">
        <v>2023</v>
      </c>
      <c r="E570" s="59" t="n">
        <v>66531</v>
      </c>
      <c r="F570" s="60" t="n">
        <v>0.15</v>
      </c>
      <c r="G570" s="61" t="n">
        <v>0</v>
      </c>
      <c r="H570" s="61" t="n">
        <v>0</v>
      </c>
      <c r="I570" s="61" t="n">
        <v>0.13</v>
      </c>
      <c r="J570" s="61" t="n">
        <v>0</v>
      </c>
      <c r="K570" s="61" t="n">
        <v>0.02</v>
      </c>
      <c r="L570" s="61" t="n">
        <v>0</v>
      </c>
      <c r="M570" s="61" t="n">
        <v>0</v>
      </c>
      <c r="N570" s="61" t="n">
        <v>0</v>
      </c>
      <c r="O570" s="61" t="n">
        <v>0</v>
      </c>
      <c r="P570" s="62" t="n">
        <v>600</v>
      </c>
      <c r="Q570" s="0" t="n">
        <v>0</v>
      </c>
      <c r="R570" s="60" t="n">
        <f aca="false">G570+H570+I570</f>
        <v>0.13</v>
      </c>
      <c r="S570" s="60" t="n">
        <f aca="false">K570+L570+M570+N570+O570</f>
        <v>0.02</v>
      </c>
      <c r="T570" s="60" t="n">
        <f aca="false">L570+M570</f>
        <v>0</v>
      </c>
      <c r="U570" s="60" t="n">
        <f aca="false">S570+J570</f>
        <v>0.02</v>
      </c>
      <c r="V570" s="63" t="n">
        <f aca="false">IFERROR(S570/F570,0)</f>
        <v>0.133333333333333</v>
      </c>
      <c r="W570" s="63" t="n">
        <f aca="false">IFERROR(R570/F570,0)</f>
        <v>0.866666666666667</v>
      </c>
      <c r="X570" s="63" t="n">
        <f aca="false">IFERROR(T570/F570,0)</f>
        <v>0</v>
      </c>
      <c r="Y570" s="63" t="n">
        <f aca="false">IFERROR(G570/F570,0)</f>
        <v>0</v>
      </c>
      <c r="Z570" s="59" t="n">
        <f aca="false">IF(E570&gt;0,F570*1000000000/E570,"")</f>
        <v>2254.58808675655</v>
      </c>
      <c r="AA570" s="63" t="n">
        <f aca="false">IFERROR((R570+S570+J570)/F570,0)</f>
        <v>1</v>
      </c>
      <c r="AB570" s="0" t="str">
        <f aca="false">A570&amp;"|"&amp;D570</f>
        <v>Dominica|2023</v>
      </c>
    </row>
    <row r="571" customFormat="false" ht="15" hidden="false" customHeight="false" outlineLevel="0" collapsed="false">
      <c r="A571" s="0" t="s">
        <v>235</v>
      </c>
      <c r="B571" s="0" t="s">
        <v>473</v>
      </c>
      <c r="C571" s="0" t="s">
        <v>127</v>
      </c>
      <c r="D571" s="0" t="n">
        <v>2015</v>
      </c>
      <c r="E571" s="59" t="n">
        <v>10434826</v>
      </c>
      <c r="F571" s="60" t="n">
        <v>18</v>
      </c>
      <c r="G571" s="61" t="n">
        <v>2.31</v>
      </c>
      <c r="H571" s="61" t="n">
        <v>4.28</v>
      </c>
      <c r="I571" s="61" t="n">
        <v>9.99</v>
      </c>
      <c r="J571" s="61" t="n">
        <v>0</v>
      </c>
      <c r="K571" s="61" t="n">
        <v>0.93</v>
      </c>
      <c r="L571" s="61" t="n">
        <v>0.03</v>
      </c>
      <c r="M571" s="61" t="n">
        <v>0.29</v>
      </c>
      <c r="N571" s="61" t="n">
        <v>0.17</v>
      </c>
      <c r="O571" s="61" t="n">
        <v>0</v>
      </c>
      <c r="P571" s="62" t="n">
        <v>606.1</v>
      </c>
      <c r="Q571" s="0" t="n">
        <v>0</v>
      </c>
      <c r="R571" s="60" t="n">
        <f aca="false">G571+H571+I571</f>
        <v>16.58</v>
      </c>
      <c r="S571" s="60" t="n">
        <f aca="false">K571+L571+M571+N571+O571</f>
        <v>1.42</v>
      </c>
      <c r="T571" s="60" t="n">
        <f aca="false">L571+M571</f>
        <v>0.32</v>
      </c>
      <c r="U571" s="60" t="n">
        <f aca="false">S571+J571</f>
        <v>1.42</v>
      </c>
      <c r="V571" s="63" t="n">
        <f aca="false">IFERROR(S571/F571,0)</f>
        <v>0.0788888888888889</v>
      </c>
      <c r="W571" s="63" t="n">
        <f aca="false">IFERROR(R571/F571,0)</f>
        <v>0.921111111111111</v>
      </c>
      <c r="X571" s="63" t="n">
        <f aca="false">IFERROR(T571/F571,0)</f>
        <v>0.0177777777777778</v>
      </c>
      <c r="Y571" s="63" t="n">
        <f aca="false">IFERROR(G571/F571,0)</f>
        <v>0.128333333333333</v>
      </c>
      <c r="Z571" s="59" t="n">
        <f aca="false">IF(E571&gt;0,F571*1000000000/E571,"")</f>
        <v>1724.99282690483</v>
      </c>
      <c r="AA571" s="63" t="n">
        <f aca="false">IFERROR((R571+S571+J571)/F571,0)</f>
        <v>1</v>
      </c>
      <c r="AB571" s="0" t="str">
        <f aca="false">A571&amp;"|"&amp;D571</f>
        <v>Dominican Republic|2015</v>
      </c>
    </row>
    <row r="572" customFormat="false" ht="15" hidden="false" customHeight="false" outlineLevel="0" collapsed="false">
      <c r="A572" s="0" t="s">
        <v>235</v>
      </c>
      <c r="B572" s="0" t="s">
        <v>473</v>
      </c>
      <c r="C572" s="0" t="s">
        <v>127</v>
      </c>
      <c r="D572" s="0" t="n">
        <v>2016</v>
      </c>
      <c r="E572" s="59" t="n">
        <v>10551430</v>
      </c>
      <c r="F572" s="60" t="n">
        <v>18.78</v>
      </c>
      <c r="G572" s="61" t="n">
        <v>2.36</v>
      </c>
      <c r="H572" s="61" t="n">
        <v>3.82</v>
      </c>
      <c r="I572" s="61" t="n">
        <v>10.52</v>
      </c>
      <c r="J572" s="61" t="n">
        <v>0</v>
      </c>
      <c r="K572" s="61" t="n">
        <v>1.5</v>
      </c>
      <c r="L572" s="61" t="n">
        <v>0.08</v>
      </c>
      <c r="M572" s="61" t="n">
        <v>0.32</v>
      </c>
      <c r="N572" s="61" t="n">
        <v>0.18</v>
      </c>
      <c r="O572" s="61" t="n">
        <v>0</v>
      </c>
      <c r="P572" s="62" t="n">
        <v>590</v>
      </c>
      <c r="Q572" s="0" t="n">
        <v>0</v>
      </c>
      <c r="R572" s="60" t="n">
        <f aca="false">G572+H572+I572</f>
        <v>16.7</v>
      </c>
      <c r="S572" s="60" t="n">
        <f aca="false">K572+L572+M572+N572+O572</f>
        <v>2.08</v>
      </c>
      <c r="T572" s="60" t="n">
        <f aca="false">L572+M572</f>
        <v>0.4</v>
      </c>
      <c r="U572" s="60" t="n">
        <f aca="false">S572+J572</f>
        <v>2.08</v>
      </c>
      <c r="V572" s="63" t="n">
        <f aca="false">IFERROR(S572/F572,0)</f>
        <v>0.110756123535676</v>
      </c>
      <c r="W572" s="63" t="n">
        <f aca="false">IFERROR(R572/F572,0)</f>
        <v>0.889243876464324</v>
      </c>
      <c r="X572" s="63" t="n">
        <f aca="false">IFERROR(T572/F572,0)</f>
        <v>0.0212992545260916</v>
      </c>
      <c r="Y572" s="63" t="n">
        <f aca="false">IFERROR(G572/F572,0)</f>
        <v>0.12566560170394</v>
      </c>
      <c r="Z572" s="59" t="n">
        <f aca="false">IF(E572&gt;0,F572*1000000000/E572,"")</f>
        <v>1779.85353644008</v>
      </c>
      <c r="AA572" s="63" t="n">
        <f aca="false">IFERROR((R572+S572+J572)/F572,0)</f>
        <v>1</v>
      </c>
      <c r="AB572" s="0" t="str">
        <f aca="false">A572&amp;"|"&amp;D572</f>
        <v>Dominican Republic|2016</v>
      </c>
    </row>
    <row r="573" customFormat="false" ht="15" hidden="false" customHeight="false" outlineLevel="0" collapsed="false">
      <c r="A573" s="0" t="s">
        <v>235</v>
      </c>
      <c r="B573" s="0" t="s">
        <v>473</v>
      </c>
      <c r="C573" s="0" t="s">
        <v>127</v>
      </c>
      <c r="D573" s="0" t="n">
        <v>2017</v>
      </c>
      <c r="E573" s="59" t="n">
        <v>10666846</v>
      </c>
      <c r="F573" s="60" t="n">
        <v>19.2</v>
      </c>
      <c r="G573" s="61" t="n">
        <v>2.41</v>
      </c>
      <c r="H573" s="61" t="n">
        <v>5.5</v>
      </c>
      <c r="I573" s="61" t="n">
        <v>8.25</v>
      </c>
      <c r="J573" s="61" t="n">
        <v>0</v>
      </c>
      <c r="K573" s="61" t="n">
        <v>2.17</v>
      </c>
      <c r="L573" s="61" t="n">
        <v>0.14</v>
      </c>
      <c r="M573" s="61" t="n">
        <v>0.39</v>
      </c>
      <c r="N573" s="61" t="n">
        <v>0.34</v>
      </c>
      <c r="O573" s="61" t="n">
        <v>0</v>
      </c>
      <c r="P573" s="62" t="n">
        <v>550.5</v>
      </c>
      <c r="Q573" s="0" t="n">
        <v>0</v>
      </c>
      <c r="R573" s="60" t="n">
        <f aca="false">G573+H573+I573</f>
        <v>16.16</v>
      </c>
      <c r="S573" s="60" t="n">
        <f aca="false">K573+L573+M573+N573+O573</f>
        <v>3.04</v>
      </c>
      <c r="T573" s="60" t="n">
        <f aca="false">L573+M573</f>
        <v>0.53</v>
      </c>
      <c r="U573" s="60" t="n">
        <f aca="false">S573+J573</f>
        <v>3.04</v>
      </c>
      <c r="V573" s="63" t="n">
        <f aca="false">IFERROR(S573/F573,0)</f>
        <v>0.158333333333333</v>
      </c>
      <c r="W573" s="63" t="n">
        <f aca="false">IFERROR(R573/F573,0)</f>
        <v>0.841666666666667</v>
      </c>
      <c r="X573" s="63" t="n">
        <f aca="false">IFERROR(T573/F573,0)</f>
        <v>0.0276041666666667</v>
      </c>
      <c r="Y573" s="63" t="n">
        <f aca="false">IFERROR(G573/F573,0)</f>
        <v>0.125520833333333</v>
      </c>
      <c r="Z573" s="59" t="n">
        <f aca="false">IF(E573&gt;0,F573*1000000000/E573,"")</f>
        <v>1799.96973800878</v>
      </c>
      <c r="AA573" s="63" t="n">
        <f aca="false">IFERROR((R573+S573+J573)/F573,0)</f>
        <v>1</v>
      </c>
      <c r="AB573" s="0" t="str">
        <f aca="false">A573&amp;"|"&amp;D573</f>
        <v>Dominican Republic|2017</v>
      </c>
    </row>
    <row r="574" customFormat="false" ht="15" hidden="false" customHeight="false" outlineLevel="0" collapsed="false">
      <c r="A574" s="0" t="s">
        <v>235</v>
      </c>
      <c r="B574" s="0" t="s">
        <v>473</v>
      </c>
      <c r="C574" s="0" t="s">
        <v>127</v>
      </c>
      <c r="D574" s="0" t="n">
        <v>2018</v>
      </c>
      <c r="E574" s="59" t="n">
        <v>10782048</v>
      </c>
      <c r="F574" s="60" t="n">
        <v>19.6</v>
      </c>
      <c r="G574" s="61" t="n">
        <v>2.28</v>
      </c>
      <c r="H574" s="61" t="n">
        <v>4.74</v>
      </c>
      <c r="I574" s="61" t="n">
        <v>9.88</v>
      </c>
      <c r="J574" s="61" t="n">
        <v>0</v>
      </c>
      <c r="K574" s="61" t="n">
        <v>1.76</v>
      </c>
      <c r="L574" s="61" t="n">
        <v>0.23</v>
      </c>
      <c r="M574" s="61" t="n">
        <v>0.5</v>
      </c>
      <c r="N574" s="61" t="n">
        <v>0.21</v>
      </c>
      <c r="O574" s="61" t="n">
        <v>0</v>
      </c>
      <c r="P574" s="62" t="n">
        <v>566.3</v>
      </c>
      <c r="Q574" s="0" t="n">
        <v>0</v>
      </c>
      <c r="R574" s="60" t="n">
        <f aca="false">G574+H574+I574</f>
        <v>16.9</v>
      </c>
      <c r="S574" s="60" t="n">
        <f aca="false">K574+L574+M574+N574+O574</f>
        <v>2.7</v>
      </c>
      <c r="T574" s="60" t="n">
        <f aca="false">L574+M574</f>
        <v>0.73</v>
      </c>
      <c r="U574" s="60" t="n">
        <f aca="false">S574+J574</f>
        <v>2.7</v>
      </c>
      <c r="V574" s="63" t="n">
        <f aca="false">IFERROR(S574/F574,0)</f>
        <v>0.137755102040816</v>
      </c>
      <c r="W574" s="63" t="n">
        <f aca="false">IFERROR(R574/F574,0)</f>
        <v>0.862244897959184</v>
      </c>
      <c r="X574" s="63" t="n">
        <f aca="false">IFERROR(T574/F574,0)</f>
        <v>0.0372448979591837</v>
      </c>
      <c r="Y574" s="63" t="n">
        <f aca="false">IFERROR(G574/F574,0)</f>
        <v>0.116326530612245</v>
      </c>
      <c r="Z574" s="59" t="n">
        <f aca="false">IF(E574&gt;0,F574*1000000000/E574,"")</f>
        <v>1817.83646297995</v>
      </c>
      <c r="AA574" s="63" t="n">
        <f aca="false">IFERROR((R574+S574+J574)/F574,0)</f>
        <v>1</v>
      </c>
      <c r="AB574" s="0" t="str">
        <f aca="false">A574&amp;"|"&amp;D574</f>
        <v>Dominican Republic|2018</v>
      </c>
    </row>
    <row r="575" customFormat="false" ht="15" hidden="false" customHeight="false" outlineLevel="0" collapsed="false">
      <c r="A575" s="0" t="s">
        <v>235</v>
      </c>
      <c r="B575" s="0" t="s">
        <v>473</v>
      </c>
      <c r="C575" s="0" t="s">
        <v>127</v>
      </c>
      <c r="D575" s="0" t="n">
        <v>2019</v>
      </c>
      <c r="E575" s="59" t="n">
        <v>10894043</v>
      </c>
      <c r="F575" s="60" t="n">
        <v>21.28</v>
      </c>
      <c r="G575" s="61" t="n">
        <v>3.56</v>
      </c>
      <c r="H575" s="61" t="n">
        <v>5.55</v>
      </c>
      <c r="I575" s="61" t="n">
        <v>9.5</v>
      </c>
      <c r="J575" s="61" t="n">
        <v>0</v>
      </c>
      <c r="K575" s="61" t="n">
        <v>1.3</v>
      </c>
      <c r="L575" s="61" t="n">
        <v>0.37</v>
      </c>
      <c r="M575" s="61" t="n">
        <v>0.79</v>
      </c>
      <c r="N575" s="61" t="n">
        <v>0.21</v>
      </c>
      <c r="O575" s="61" t="n">
        <v>0</v>
      </c>
      <c r="P575" s="62" t="n">
        <v>582.7</v>
      </c>
      <c r="Q575" s="0" t="n">
        <v>0</v>
      </c>
      <c r="R575" s="60" t="n">
        <f aca="false">G575+H575+I575</f>
        <v>18.61</v>
      </c>
      <c r="S575" s="60" t="n">
        <f aca="false">K575+L575+M575+N575+O575</f>
        <v>2.67</v>
      </c>
      <c r="T575" s="60" t="n">
        <f aca="false">L575+M575</f>
        <v>1.16</v>
      </c>
      <c r="U575" s="60" t="n">
        <f aca="false">S575+J575</f>
        <v>2.67</v>
      </c>
      <c r="V575" s="63" t="n">
        <f aca="false">IFERROR(S575/F575,0)</f>
        <v>0.12546992481203</v>
      </c>
      <c r="W575" s="63" t="n">
        <f aca="false">IFERROR(R575/F575,0)</f>
        <v>0.87453007518797</v>
      </c>
      <c r="X575" s="63" t="n">
        <f aca="false">IFERROR(T575/F575,0)</f>
        <v>0.0545112781954887</v>
      </c>
      <c r="Y575" s="63" t="n">
        <f aca="false">IFERROR(G575/F575,0)</f>
        <v>0.167293233082707</v>
      </c>
      <c r="Z575" s="59" t="n">
        <f aca="false">IF(E575&gt;0,F575*1000000000/E575,"")</f>
        <v>1953.36111671305</v>
      </c>
      <c r="AA575" s="63" t="n">
        <f aca="false">IFERROR((R575+S575+J575)/F575,0)</f>
        <v>1</v>
      </c>
      <c r="AB575" s="0" t="str">
        <f aca="false">A575&amp;"|"&amp;D575</f>
        <v>Dominican Republic|2019</v>
      </c>
    </row>
    <row r="576" customFormat="false" ht="15" hidden="false" customHeight="false" outlineLevel="0" collapsed="false">
      <c r="A576" s="0" t="s">
        <v>235</v>
      </c>
      <c r="B576" s="0" t="s">
        <v>473</v>
      </c>
      <c r="C576" s="0" t="s">
        <v>127</v>
      </c>
      <c r="D576" s="0" t="n">
        <v>2020</v>
      </c>
      <c r="E576" s="59" t="n">
        <v>11008298</v>
      </c>
      <c r="F576" s="60" t="n">
        <v>19.49</v>
      </c>
      <c r="G576" s="61" t="n">
        <v>5.97</v>
      </c>
      <c r="H576" s="61" t="n">
        <v>6.25</v>
      </c>
      <c r="I576" s="61" t="n">
        <v>4.12</v>
      </c>
      <c r="J576" s="61" t="n">
        <v>0</v>
      </c>
      <c r="K576" s="61" t="n">
        <v>1.29</v>
      </c>
      <c r="L576" s="61" t="n">
        <v>0.6</v>
      </c>
      <c r="M576" s="61" t="n">
        <v>1.07</v>
      </c>
      <c r="N576" s="61" t="n">
        <v>0.19</v>
      </c>
      <c r="O576" s="61" t="n">
        <v>0</v>
      </c>
      <c r="P576" s="62" t="n">
        <v>581.3</v>
      </c>
      <c r="Q576" s="0" t="n">
        <v>0</v>
      </c>
      <c r="R576" s="60" t="n">
        <f aca="false">G576+H576+I576</f>
        <v>16.34</v>
      </c>
      <c r="S576" s="60" t="n">
        <f aca="false">K576+L576+M576+N576+O576</f>
        <v>3.15</v>
      </c>
      <c r="T576" s="60" t="n">
        <f aca="false">L576+M576</f>
        <v>1.67</v>
      </c>
      <c r="U576" s="60" t="n">
        <f aca="false">S576+J576</f>
        <v>3.15</v>
      </c>
      <c r="V576" s="63" t="n">
        <f aca="false">IFERROR(S576/F576,0)</f>
        <v>0.161621344279118</v>
      </c>
      <c r="W576" s="63" t="n">
        <f aca="false">IFERROR(R576/F576,0)</f>
        <v>0.838378655720883</v>
      </c>
      <c r="X576" s="63" t="n">
        <f aca="false">IFERROR(T576/F576,0)</f>
        <v>0.0856849666495639</v>
      </c>
      <c r="Y576" s="63" t="n">
        <f aca="false">IFERROR(G576/F576,0)</f>
        <v>0.306310928681375</v>
      </c>
      <c r="Z576" s="59" t="n">
        <f aca="false">IF(E576&gt;0,F576*1000000000/E576,"")</f>
        <v>1770.48259413036</v>
      </c>
      <c r="AA576" s="63" t="n">
        <f aca="false">IFERROR((R576+S576+J576)/F576,0)</f>
        <v>1</v>
      </c>
      <c r="AB576" s="0" t="str">
        <f aca="false">A576&amp;"|"&amp;D576</f>
        <v>Dominican Republic|2020</v>
      </c>
    </row>
    <row r="577" customFormat="false" ht="15" hidden="false" customHeight="false" outlineLevel="0" collapsed="false">
      <c r="A577" s="0" t="s">
        <v>235</v>
      </c>
      <c r="B577" s="0" t="s">
        <v>473</v>
      </c>
      <c r="C577" s="0" t="s">
        <v>127</v>
      </c>
      <c r="D577" s="0" t="n">
        <v>2021</v>
      </c>
      <c r="E577" s="59" t="n">
        <v>11123480</v>
      </c>
      <c r="F577" s="60" t="n">
        <v>21.43</v>
      </c>
      <c r="G577" s="61" t="n">
        <v>5.76</v>
      </c>
      <c r="H577" s="61" t="n">
        <v>7.71</v>
      </c>
      <c r="I577" s="61" t="n">
        <v>4.15</v>
      </c>
      <c r="J577" s="61" t="n">
        <v>0</v>
      </c>
      <c r="K577" s="61" t="n">
        <v>1.5</v>
      </c>
      <c r="L577" s="61" t="n">
        <v>0.85</v>
      </c>
      <c r="M577" s="61" t="n">
        <v>1.22</v>
      </c>
      <c r="N577" s="61" t="n">
        <v>0.24</v>
      </c>
      <c r="O577" s="61" t="n">
        <v>0</v>
      </c>
      <c r="P577" s="62" t="n">
        <v>558.6</v>
      </c>
      <c r="Q577" s="0" t="n">
        <v>0</v>
      </c>
      <c r="R577" s="60" t="n">
        <f aca="false">G577+H577+I577</f>
        <v>17.62</v>
      </c>
      <c r="S577" s="60" t="n">
        <f aca="false">K577+L577+M577+N577+O577</f>
        <v>3.81</v>
      </c>
      <c r="T577" s="60" t="n">
        <f aca="false">L577+M577</f>
        <v>2.07</v>
      </c>
      <c r="U577" s="60" t="n">
        <f aca="false">S577+J577</f>
        <v>3.81</v>
      </c>
      <c r="V577" s="63" t="n">
        <f aca="false">IFERROR(S577/F577,0)</f>
        <v>0.177788147456836</v>
      </c>
      <c r="W577" s="63" t="n">
        <f aca="false">IFERROR(R577/F577,0)</f>
        <v>0.822211852543164</v>
      </c>
      <c r="X577" s="63" t="n">
        <f aca="false">IFERROR(T577/F577,0)</f>
        <v>0.0965935604293047</v>
      </c>
      <c r="Y577" s="63" t="n">
        <f aca="false">IFERROR(G577/F577,0)</f>
        <v>0.268782081194587</v>
      </c>
      <c r="Z577" s="59" t="n">
        <f aca="false">IF(E577&gt;0,F577*1000000000/E577,"")</f>
        <v>1926.55535857483</v>
      </c>
      <c r="AA577" s="63" t="n">
        <f aca="false">IFERROR((R577+S577+J577)/F577,0)</f>
        <v>1</v>
      </c>
      <c r="AB577" s="0" t="str">
        <f aca="false">A577&amp;"|"&amp;D577</f>
        <v>Dominican Republic|2021</v>
      </c>
    </row>
    <row r="578" customFormat="false" ht="15" hidden="false" customHeight="false" outlineLevel="0" collapsed="false">
      <c r="A578" s="0" t="s">
        <v>235</v>
      </c>
      <c r="B578" s="0" t="s">
        <v>473</v>
      </c>
      <c r="C578" s="0" t="s">
        <v>127</v>
      </c>
      <c r="D578" s="0" t="n">
        <v>2022</v>
      </c>
      <c r="E578" s="59" t="n">
        <v>11230734</v>
      </c>
      <c r="F578" s="60" t="n">
        <v>22.17</v>
      </c>
      <c r="G578" s="61" t="n">
        <v>7.16</v>
      </c>
      <c r="H578" s="61" t="n">
        <v>5.55</v>
      </c>
      <c r="I578" s="61" t="n">
        <v>5.37</v>
      </c>
      <c r="J578" s="61" t="n">
        <v>0</v>
      </c>
      <c r="K578" s="61" t="n">
        <v>1.47</v>
      </c>
      <c r="L578" s="61" t="n">
        <v>1.24</v>
      </c>
      <c r="M578" s="61" t="n">
        <v>1.17</v>
      </c>
      <c r="N578" s="61" t="n">
        <v>0.21</v>
      </c>
      <c r="O578" s="61" t="n">
        <v>0</v>
      </c>
      <c r="P578" s="62" t="n">
        <v>580.1</v>
      </c>
      <c r="Q578" s="0" t="n">
        <v>0</v>
      </c>
      <c r="R578" s="60" t="n">
        <f aca="false">G578+H578+I578</f>
        <v>18.08</v>
      </c>
      <c r="S578" s="60" t="n">
        <f aca="false">K578+L578+M578+N578+O578</f>
        <v>4.09</v>
      </c>
      <c r="T578" s="60" t="n">
        <f aca="false">L578+M578</f>
        <v>2.41</v>
      </c>
      <c r="U578" s="60" t="n">
        <f aca="false">S578+J578</f>
        <v>4.09</v>
      </c>
      <c r="V578" s="63" t="n">
        <f aca="false">IFERROR(S578/F578,0)</f>
        <v>0.184483536310329</v>
      </c>
      <c r="W578" s="63" t="n">
        <f aca="false">IFERROR(R578/F578,0)</f>
        <v>0.815516463689671</v>
      </c>
      <c r="X578" s="63" t="n">
        <f aca="false">IFERROR(T578/F578,0)</f>
        <v>0.108705457825891</v>
      </c>
      <c r="Y578" s="63" t="n">
        <f aca="false">IFERROR(G578/F578,0)</f>
        <v>0.322958953540821</v>
      </c>
      <c r="Z578" s="59" t="n">
        <f aca="false">IF(E578&gt;0,F578*1000000000/E578,"")</f>
        <v>1974.04728844971</v>
      </c>
      <c r="AA578" s="63" t="n">
        <f aca="false">IFERROR((R578+S578+J578)/F578,0)</f>
        <v>1</v>
      </c>
      <c r="AB578" s="0" t="str">
        <f aca="false">A578&amp;"|"&amp;D578</f>
        <v>Dominican Republic|2022</v>
      </c>
    </row>
    <row r="579" customFormat="false" ht="15" hidden="false" customHeight="false" outlineLevel="0" collapsed="false">
      <c r="A579" s="0" t="s">
        <v>235</v>
      </c>
      <c r="B579" s="0" t="s">
        <v>473</v>
      </c>
      <c r="C579" s="0" t="s">
        <v>127</v>
      </c>
      <c r="D579" s="0" t="n">
        <v>2023</v>
      </c>
      <c r="E579" s="59" t="n">
        <v>11331269</v>
      </c>
      <c r="F579" s="60" t="n">
        <v>24.56</v>
      </c>
      <c r="G579" s="61" t="n">
        <v>7.72</v>
      </c>
      <c r="H579" s="61" t="n">
        <v>7.3</v>
      </c>
      <c r="I579" s="61" t="n">
        <v>5.3</v>
      </c>
      <c r="J579" s="61" t="n">
        <v>0</v>
      </c>
      <c r="K579" s="61" t="n">
        <v>1.47</v>
      </c>
      <c r="L579" s="61" t="n">
        <v>1.36</v>
      </c>
      <c r="M579" s="61" t="n">
        <v>1.2</v>
      </c>
      <c r="N579" s="61" t="n">
        <v>0.21</v>
      </c>
      <c r="O579" s="61" t="n">
        <v>0</v>
      </c>
      <c r="P579" s="62" t="n">
        <v>579.4</v>
      </c>
      <c r="Q579" s="0" t="n">
        <v>0</v>
      </c>
      <c r="R579" s="60" t="n">
        <f aca="false">G579+H579+I579</f>
        <v>20.32</v>
      </c>
      <c r="S579" s="60" t="n">
        <f aca="false">K579+L579+M579+N579+O579</f>
        <v>4.24</v>
      </c>
      <c r="T579" s="60" t="n">
        <f aca="false">L579+M579</f>
        <v>2.56</v>
      </c>
      <c r="U579" s="60" t="n">
        <f aca="false">S579+J579</f>
        <v>4.24</v>
      </c>
      <c r="V579" s="63" t="n">
        <f aca="false">IFERROR(S579/F579,0)</f>
        <v>0.172638436482085</v>
      </c>
      <c r="W579" s="63" t="n">
        <f aca="false">IFERROR(R579/F579,0)</f>
        <v>0.827361563517915</v>
      </c>
      <c r="X579" s="63" t="n">
        <f aca="false">IFERROR(T579/F579,0)</f>
        <v>0.104234527687296</v>
      </c>
      <c r="Y579" s="63" t="n">
        <f aca="false">IFERROR(G579/F579,0)</f>
        <v>0.314332247557003</v>
      </c>
      <c r="Z579" s="59" t="n">
        <f aca="false">IF(E579&gt;0,F579*1000000000/E579,"")</f>
        <v>2167.45361883122</v>
      </c>
      <c r="AA579" s="63" t="n">
        <f aca="false">IFERROR((R579+S579+J579)/F579,0)</f>
        <v>1</v>
      </c>
      <c r="AB579" s="0" t="str">
        <f aca="false">A579&amp;"|"&amp;D579</f>
        <v>Dominican Republic|2023</v>
      </c>
    </row>
    <row r="580" customFormat="false" ht="15" hidden="false" customHeight="false" outlineLevel="0" collapsed="false">
      <c r="A580" s="0" t="s">
        <v>235</v>
      </c>
      <c r="B580" s="0" t="s">
        <v>473</v>
      </c>
      <c r="C580" s="0" t="s">
        <v>127</v>
      </c>
      <c r="D580" s="0" t="n">
        <v>2024</v>
      </c>
      <c r="E580" s="59" t="n">
        <v>11427558</v>
      </c>
      <c r="F580" s="60" t="n">
        <v>24.03</v>
      </c>
      <c r="G580" s="61" t="n">
        <v>7.2</v>
      </c>
      <c r="H580" s="61" t="n">
        <v>7</v>
      </c>
      <c r="I580" s="61" t="n">
        <v>5.3</v>
      </c>
      <c r="J580" s="61" t="n">
        <v>0</v>
      </c>
      <c r="K580" s="61" t="n">
        <v>1.47</v>
      </c>
      <c r="L580" s="61" t="n">
        <v>1.55</v>
      </c>
      <c r="M580" s="61" t="n">
        <v>1.3</v>
      </c>
      <c r="N580" s="61" t="n">
        <v>0.21</v>
      </c>
      <c r="O580" s="61" t="n">
        <v>0</v>
      </c>
      <c r="P580" s="62" t="n">
        <v>567.6</v>
      </c>
      <c r="Q580" s="0" t="n">
        <v>0</v>
      </c>
      <c r="R580" s="60" t="n">
        <f aca="false">G580+H580+I580</f>
        <v>19.5</v>
      </c>
      <c r="S580" s="60" t="n">
        <f aca="false">K580+L580+M580+N580+O580</f>
        <v>4.53</v>
      </c>
      <c r="T580" s="60" t="n">
        <f aca="false">L580+M580</f>
        <v>2.85</v>
      </c>
      <c r="U580" s="60" t="n">
        <f aca="false">S580+J580</f>
        <v>4.53</v>
      </c>
      <c r="V580" s="63" t="n">
        <f aca="false">IFERROR(S580/F580,0)</f>
        <v>0.188514357053683</v>
      </c>
      <c r="W580" s="63" t="n">
        <f aca="false">IFERROR(R580/F580,0)</f>
        <v>0.811485642946317</v>
      </c>
      <c r="X580" s="63" t="n">
        <f aca="false">IFERROR(T580/F580,0)</f>
        <v>0.118601747815231</v>
      </c>
      <c r="Y580" s="63" t="n">
        <f aca="false">IFERROR(G580/F580,0)</f>
        <v>0.299625468164794</v>
      </c>
      <c r="Z580" s="59" t="n">
        <f aca="false">IF(E580&gt;0,F580*1000000000/E580,"")</f>
        <v>2102.81146680682</v>
      </c>
      <c r="AA580" s="63" t="n">
        <f aca="false">IFERROR((R580+S580+J580)/F580,0)</f>
        <v>1</v>
      </c>
      <c r="AB580" s="0" t="str">
        <f aca="false">A580&amp;"|"&amp;D580</f>
        <v>Dominican Republic|2024</v>
      </c>
    </row>
    <row r="581" customFormat="false" ht="15" hidden="false" customHeight="false" outlineLevel="0" collapsed="false">
      <c r="A581" s="0" t="s">
        <v>235</v>
      </c>
      <c r="B581" s="0" t="s">
        <v>473</v>
      </c>
      <c r="C581" s="0" t="s">
        <v>127</v>
      </c>
      <c r="D581" s="0" t="n">
        <v>2025</v>
      </c>
      <c r="E581" s="59" t="n">
        <v>11520483</v>
      </c>
      <c r="F581" s="60" t="n">
        <v>22.68</v>
      </c>
      <c r="G581" s="61" t="n">
        <v>6.59</v>
      </c>
      <c r="H581" s="61" t="n">
        <v>6.07</v>
      </c>
      <c r="I581" s="61" t="n">
        <v>4.62</v>
      </c>
      <c r="J581" s="61" t="n">
        <v>0</v>
      </c>
      <c r="K581" s="61" t="n">
        <v>1.53</v>
      </c>
      <c r="L581" s="61" t="n">
        <v>2.25</v>
      </c>
      <c r="M581" s="61" t="n">
        <v>1.42</v>
      </c>
      <c r="N581" s="61" t="n">
        <v>0.2</v>
      </c>
      <c r="O581" s="61" t="n">
        <v>0</v>
      </c>
      <c r="P581" s="62" t="n">
        <v>537.5</v>
      </c>
      <c r="Q581" s="0" t="n">
        <v>0</v>
      </c>
      <c r="R581" s="60" t="n">
        <f aca="false">G581+H581+I581</f>
        <v>17.28</v>
      </c>
      <c r="S581" s="60" t="n">
        <f aca="false">K581+L581+M581+N581+O581</f>
        <v>5.4</v>
      </c>
      <c r="T581" s="60" t="n">
        <f aca="false">L581+M581</f>
        <v>3.67</v>
      </c>
      <c r="U581" s="60" t="n">
        <f aca="false">S581+J581</f>
        <v>5.4</v>
      </c>
      <c r="V581" s="63" t="n">
        <f aca="false">IFERROR(S581/F581,0)</f>
        <v>0.238095238095238</v>
      </c>
      <c r="W581" s="63" t="n">
        <f aca="false">IFERROR(R581/F581,0)</f>
        <v>0.761904761904762</v>
      </c>
      <c r="X581" s="63" t="n">
        <f aca="false">IFERROR(T581/F581,0)</f>
        <v>0.161816578483245</v>
      </c>
      <c r="Y581" s="63" t="n">
        <f aca="false">IFERROR(G581/F581,0)</f>
        <v>0.290564373897707</v>
      </c>
      <c r="Z581" s="59" t="n">
        <f aca="false">IF(E581&gt;0,F581*1000000000/E581,"")</f>
        <v>1968.66745951537</v>
      </c>
      <c r="AA581" s="63" t="n">
        <f aca="false">IFERROR((R581+S581+J581)/F581,0)</f>
        <v>1</v>
      </c>
      <c r="AB581" s="0" t="str">
        <f aca="false">A581&amp;"|"&amp;D581</f>
        <v>Dominican Republic|2025</v>
      </c>
    </row>
    <row r="582" customFormat="false" ht="15" hidden="false" customHeight="false" outlineLevel="0" collapsed="false">
      <c r="A582" s="0" t="s">
        <v>236</v>
      </c>
      <c r="B582" s="0" t="s">
        <v>474</v>
      </c>
      <c r="C582" s="0" t="s">
        <v>127</v>
      </c>
      <c r="D582" s="0" t="n">
        <v>2015</v>
      </c>
      <c r="E582" s="59" t="n">
        <v>1205133</v>
      </c>
      <c r="F582" s="60" t="n">
        <v>0.35</v>
      </c>
      <c r="G582" s="61" t="n">
        <v>0</v>
      </c>
      <c r="H582" s="61" t="n">
        <v>0</v>
      </c>
      <c r="I582" s="61" t="n">
        <v>0.35</v>
      </c>
      <c r="J582" s="61" t="n">
        <v>0</v>
      </c>
      <c r="K582" s="61" t="n">
        <v>0</v>
      </c>
      <c r="L582" s="61" t="n">
        <v>0</v>
      </c>
      <c r="M582" s="61" t="n">
        <v>0</v>
      </c>
      <c r="N582" s="61" t="n">
        <v>0</v>
      </c>
      <c r="O582" s="61" t="n">
        <v>0</v>
      </c>
      <c r="P582" s="62" t="n">
        <v>657.1</v>
      </c>
      <c r="Q582" s="0" t="n">
        <v>0</v>
      </c>
      <c r="R582" s="60" t="n">
        <f aca="false">G582+H582+I582</f>
        <v>0.35</v>
      </c>
      <c r="S582" s="60" t="n">
        <f aca="false">K582+L582+M582+N582+O582</f>
        <v>0</v>
      </c>
      <c r="T582" s="60" t="n">
        <f aca="false">L582+M582</f>
        <v>0</v>
      </c>
      <c r="U582" s="60" t="n">
        <f aca="false">S582+J582</f>
        <v>0</v>
      </c>
      <c r="V582" s="63" t="n">
        <f aca="false">IFERROR(S582/F582,0)</f>
        <v>0</v>
      </c>
      <c r="W582" s="63" t="n">
        <f aca="false">IFERROR(R582/F582,0)</f>
        <v>1</v>
      </c>
      <c r="X582" s="63" t="n">
        <f aca="false">IFERROR(T582/F582,0)</f>
        <v>0</v>
      </c>
      <c r="Y582" s="63" t="n">
        <f aca="false">IFERROR(G582/F582,0)</f>
        <v>0</v>
      </c>
      <c r="Z582" s="59" t="n">
        <f aca="false">IF(E582&gt;0,F582*1000000000/E582,"")</f>
        <v>290.42437639663</v>
      </c>
      <c r="AA582" s="63" t="n">
        <f aca="false">IFERROR((R582+S582+J582)/F582,0)</f>
        <v>1</v>
      </c>
      <c r="AB582" s="0" t="str">
        <f aca="false">A582&amp;"|"&amp;D582</f>
        <v>East Timor|2015</v>
      </c>
    </row>
    <row r="583" customFormat="false" ht="15" hidden="false" customHeight="false" outlineLevel="0" collapsed="false">
      <c r="A583" s="0" t="s">
        <v>236</v>
      </c>
      <c r="B583" s="0" t="s">
        <v>474</v>
      </c>
      <c r="C583" s="0" t="s">
        <v>127</v>
      </c>
      <c r="D583" s="0" t="n">
        <v>2016</v>
      </c>
      <c r="E583" s="59" t="n">
        <v>1228314</v>
      </c>
      <c r="F583" s="60" t="n">
        <v>0.41</v>
      </c>
      <c r="G583" s="61" t="n">
        <v>0</v>
      </c>
      <c r="H583" s="61" t="n">
        <v>0</v>
      </c>
      <c r="I583" s="61" t="n">
        <v>0.41</v>
      </c>
      <c r="J583" s="61" t="n">
        <v>0</v>
      </c>
      <c r="K583" s="61" t="n">
        <v>0</v>
      </c>
      <c r="L583" s="61" t="n">
        <v>0</v>
      </c>
      <c r="M583" s="61" t="n">
        <v>0</v>
      </c>
      <c r="N583" s="61" t="n">
        <v>0</v>
      </c>
      <c r="O583" s="61" t="n">
        <v>0</v>
      </c>
      <c r="P583" s="62" t="n">
        <v>658.5</v>
      </c>
      <c r="Q583" s="0" t="n">
        <v>0</v>
      </c>
      <c r="R583" s="60" t="n">
        <f aca="false">G583+H583+I583</f>
        <v>0.41</v>
      </c>
      <c r="S583" s="60" t="n">
        <f aca="false">K583+L583+M583+N583+O583</f>
        <v>0</v>
      </c>
      <c r="T583" s="60" t="n">
        <f aca="false">L583+M583</f>
        <v>0</v>
      </c>
      <c r="U583" s="60" t="n">
        <f aca="false">S583+J583</f>
        <v>0</v>
      </c>
      <c r="V583" s="63" t="n">
        <f aca="false">IFERROR(S583/F583,0)</f>
        <v>0</v>
      </c>
      <c r="W583" s="63" t="n">
        <f aca="false">IFERROR(R583/F583,0)</f>
        <v>1</v>
      </c>
      <c r="X583" s="63" t="n">
        <f aca="false">IFERROR(T583/F583,0)</f>
        <v>0</v>
      </c>
      <c r="Y583" s="63" t="n">
        <f aca="false">IFERROR(G583/F583,0)</f>
        <v>0</v>
      </c>
      <c r="Z583" s="59" t="n">
        <f aca="false">IF(E583&gt;0,F583*1000000000/E583,"")</f>
        <v>333.790871063914</v>
      </c>
      <c r="AA583" s="63" t="n">
        <f aca="false">IFERROR((R583+S583+J583)/F583,0)</f>
        <v>1</v>
      </c>
      <c r="AB583" s="0" t="str">
        <f aca="false">A583&amp;"|"&amp;D583</f>
        <v>East Timor|2016</v>
      </c>
    </row>
    <row r="584" customFormat="false" ht="15" hidden="false" customHeight="false" outlineLevel="0" collapsed="false">
      <c r="A584" s="0" t="s">
        <v>236</v>
      </c>
      <c r="B584" s="0" t="s">
        <v>474</v>
      </c>
      <c r="C584" s="0" t="s">
        <v>127</v>
      </c>
      <c r="D584" s="0" t="n">
        <v>2017</v>
      </c>
      <c r="E584" s="59" t="n">
        <v>1251711</v>
      </c>
      <c r="F584" s="60" t="n">
        <v>0.43</v>
      </c>
      <c r="G584" s="61" t="n">
        <v>0</v>
      </c>
      <c r="H584" s="61" t="n">
        <v>0</v>
      </c>
      <c r="I584" s="61" t="n">
        <v>0.43</v>
      </c>
      <c r="J584" s="61" t="n">
        <v>0</v>
      </c>
      <c r="K584" s="61" t="n">
        <v>0</v>
      </c>
      <c r="L584" s="61" t="n">
        <v>0</v>
      </c>
      <c r="M584" s="61" t="n">
        <v>0</v>
      </c>
      <c r="N584" s="61" t="n">
        <v>0</v>
      </c>
      <c r="O584" s="61" t="n">
        <v>0</v>
      </c>
      <c r="P584" s="62" t="n">
        <v>651.2</v>
      </c>
      <c r="Q584" s="0" t="n">
        <v>0</v>
      </c>
      <c r="R584" s="60" t="n">
        <f aca="false">G584+H584+I584</f>
        <v>0.43</v>
      </c>
      <c r="S584" s="60" t="n">
        <f aca="false">K584+L584+M584+N584+O584</f>
        <v>0</v>
      </c>
      <c r="T584" s="60" t="n">
        <f aca="false">L584+M584</f>
        <v>0</v>
      </c>
      <c r="U584" s="60" t="n">
        <f aca="false">S584+J584</f>
        <v>0</v>
      </c>
      <c r="V584" s="63" t="n">
        <f aca="false">IFERROR(S584/F584,0)</f>
        <v>0</v>
      </c>
      <c r="W584" s="63" t="n">
        <f aca="false">IFERROR(R584/F584,0)</f>
        <v>1</v>
      </c>
      <c r="X584" s="63" t="n">
        <f aca="false">IFERROR(T584/F584,0)</f>
        <v>0</v>
      </c>
      <c r="Y584" s="63" t="n">
        <f aca="false">IFERROR(G584/F584,0)</f>
        <v>0</v>
      </c>
      <c r="Z584" s="59" t="n">
        <f aca="false">IF(E584&gt;0,F584*1000000000/E584,"")</f>
        <v>343.529776442006</v>
      </c>
      <c r="AA584" s="63" t="n">
        <f aca="false">IFERROR((R584+S584+J584)/F584,0)</f>
        <v>1</v>
      </c>
      <c r="AB584" s="0" t="str">
        <f aca="false">A584&amp;"|"&amp;D584</f>
        <v>East Timor|2017</v>
      </c>
    </row>
    <row r="585" customFormat="false" ht="15" hidden="false" customHeight="false" outlineLevel="0" collapsed="false">
      <c r="A585" s="0" t="s">
        <v>236</v>
      </c>
      <c r="B585" s="0" t="s">
        <v>474</v>
      </c>
      <c r="C585" s="0" t="s">
        <v>127</v>
      </c>
      <c r="D585" s="0" t="n">
        <v>2018</v>
      </c>
      <c r="E585" s="59" t="n">
        <v>1275962</v>
      </c>
      <c r="F585" s="60" t="n">
        <v>0.45</v>
      </c>
      <c r="G585" s="61" t="n">
        <v>0</v>
      </c>
      <c r="H585" s="61" t="n">
        <v>0</v>
      </c>
      <c r="I585" s="61" t="n">
        <v>0.45</v>
      </c>
      <c r="J585" s="61" t="n">
        <v>0</v>
      </c>
      <c r="K585" s="61" t="n">
        <v>0</v>
      </c>
      <c r="L585" s="61" t="n">
        <v>0</v>
      </c>
      <c r="M585" s="61" t="n">
        <v>0</v>
      </c>
      <c r="N585" s="61" t="n">
        <v>0</v>
      </c>
      <c r="O585" s="61" t="n">
        <v>0</v>
      </c>
      <c r="P585" s="62" t="n">
        <v>666.7</v>
      </c>
      <c r="Q585" s="0" t="n">
        <v>0</v>
      </c>
      <c r="R585" s="60" t="n">
        <f aca="false">G585+H585+I585</f>
        <v>0.45</v>
      </c>
      <c r="S585" s="60" t="n">
        <f aca="false">K585+L585+M585+N585+O585</f>
        <v>0</v>
      </c>
      <c r="T585" s="60" t="n">
        <f aca="false">L585+M585</f>
        <v>0</v>
      </c>
      <c r="U585" s="60" t="n">
        <f aca="false">S585+J585</f>
        <v>0</v>
      </c>
      <c r="V585" s="63" t="n">
        <f aca="false">IFERROR(S585/F585,0)</f>
        <v>0</v>
      </c>
      <c r="W585" s="63" t="n">
        <f aca="false">IFERROR(R585/F585,0)</f>
        <v>1</v>
      </c>
      <c r="X585" s="63" t="n">
        <f aca="false">IFERROR(T585/F585,0)</f>
        <v>0</v>
      </c>
      <c r="Y585" s="63" t="n">
        <f aca="false">IFERROR(G585/F585,0)</f>
        <v>0</v>
      </c>
      <c r="Z585" s="59" t="n">
        <f aca="false">IF(E585&gt;0,F585*1000000000/E585,"")</f>
        <v>352.675079665382</v>
      </c>
      <c r="AA585" s="63" t="n">
        <f aca="false">IFERROR((R585+S585+J585)/F585,0)</f>
        <v>1</v>
      </c>
      <c r="AB585" s="0" t="str">
        <f aca="false">A585&amp;"|"&amp;D585</f>
        <v>East Timor|2018</v>
      </c>
    </row>
    <row r="586" customFormat="false" ht="15" hidden="false" customHeight="false" outlineLevel="0" collapsed="false">
      <c r="A586" s="0" t="s">
        <v>236</v>
      </c>
      <c r="B586" s="0" t="s">
        <v>474</v>
      </c>
      <c r="C586" s="0" t="s">
        <v>127</v>
      </c>
      <c r="D586" s="0" t="n">
        <v>2019</v>
      </c>
      <c r="E586" s="59" t="n">
        <v>1300946</v>
      </c>
      <c r="F586" s="60" t="n">
        <v>0.52</v>
      </c>
      <c r="G586" s="61" t="n">
        <v>0</v>
      </c>
      <c r="H586" s="61" t="n">
        <v>0</v>
      </c>
      <c r="I586" s="61" t="n">
        <v>0.52</v>
      </c>
      <c r="J586" s="61" t="n">
        <v>0</v>
      </c>
      <c r="K586" s="61" t="n">
        <v>0</v>
      </c>
      <c r="L586" s="61" t="n">
        <v>0</v>
      </c>
      <c r="M586" s="61" t="n">
        <v>0</v>
      </c>
      <c r="N586" s="61" t="n">
        <v>0</v>
      </c>
      <c r="O586" s="61" t="n">
        <v>0</v>
      </c>
      <c r="P586" s="62" t="n">
        <v>653.9</v>
      </c>
      <c r="Q586" s="0" t="n">
        <v>0</v>
      </c>
      <c r="R586" s="60" t="n">
        <f aca="false">G586+H586+I586</f>
        <v>0.52</v>
      </c>
      <c r="S586" s="60" t="n">
        <f aca="false">K586+L586+M586+N586+O586</f>
        <v>0</v>
      </c>
      <c r="T586" s="60" t="n">
        <f aca="false">L586+M586</f>
        <v>0</v>
      </c>
      <c r="U586" s="60" t="n">
        <f aca="false">S586+J586</f>
        <v>0</v>
      </c>
      <c r="V586" s="63" t="n">
        <f aca="false">IFERROR(S586/F586,0)</f>
        <v>0</v>
      </c>
      <c r="W586" s="63" t="n">
        <f aca="false">IFERROR(R586/F586,0)</f>
        <v>1</v>
      </c>
      <c r="X586" s="63" t="n">
        <f aca="false">IFERROR(T586/F586,0)</f>
        <v>0</v>
      </c>
      <c r="Y586" s="63" t="n">
        <f aca="false">IFERROR(G586/F586,0)</f>
        <v>0</v>
      </c>
      <c r="Z586" s="59" t="n">
        <f aca="false">IF(E586&gt;0,F586*1000000000/E586,"")</f>
        <v>399.709134737337</v>
      </c>
      <c r="AA586" s="63" t="n">
        <f aca="false">IFERROR((R586+S586+J586)/F586,0)</f>
        <v>1</v>
      </c>
      <c r="AB586" s="0" t="str">
        <f aca="false">A586&amp;"|"&amp;D586</f>
        <v>East Timor|2019</v>
      </c>
    </row>
    <row r="587" customFormat="false" ht="15" hidden="false" customHeight="false" outlineLevel="0" collapsed="false">
      <c r="A587" s="0" t="s">
        <v>236</v>
      </c>
      <c r="B587" s="0" t="s">
        <v>474</v>
      </c>
      <c r="C587" s="0" t="s">
        <v>127</v>
      </c>
      <c r="D587" s="0" t="n">
        <v>2020</v>
      </c>
      <c r="E587" s="59" t="n">
        <v>1326051</v>
      </c>
      <c r="F587" s="60" t="n">
        <v>0.5</v>
      </c>
      <c r="G587" s="61" t="n">
        <v>0</v>
      </c>
      <c r="H587" s="61" t="n">
        <v>0</v>
      </c>
      <c r="I587" s="61" t="n">
        <v>0.5</v>
      </c>
      <c r="J587" s="61" t="n">
        <v>0</v>
      </c>
      <c r="K587" s="61" t="n">
        <v>0</v>
      </c>
      <c r="L587" s="61" t="n">
        <v>0</v>
      </c>
      <c r="M587" s="61" t="n">
        <v>0</v>
      </c>
      <c r="N587" s="61" t="n">
        <v>0</v>
      </c>
      <c r="O587" s="61" t="n">
        <v>0</v>
      </c>
      <c r="P587" s="62" t="n">
        <v>660</v>
      </c>
      <c r="Q587" s="0" t="n">
        <v>0</v>
      </c>
      <c r="R587" s="60" t="n">
        <f aca="false">G587+H587+I587</f>
        <v>0.5</v>
      </c>
      <c r="S587" s="60" t="n">
        <f aca="false">K587+L587+M587+N587+O587</f>
        <v>0</v>
      </c>
      <c r="T587" s="60" t="n">
        <f aca="false">L587+M587</f>
        <v>0</v>
      </c>
      <c r="U587" s="60" t="n">
        <f aca="false">S587+J587</f>
        <v>0</v>
      </c>
      <c r="V587" s="63" t="n">
        <f aca="false">IFERROR(S587/F587,0)</f>
        <v>0</v>
      </c>
      <c r="W587" s="63" t="n">
        <f aca="false">IFERROR(R587/F587,0)</f>
        <v>1</v>
      </c>
      <c r="X587" s="63" t="n">
        <f aca="false">IFERROR(T587/F587,0)</f>
        <v>0</v>
      </c>
      <c r="Y587" s="63" t="n">
        <f aca="false">IFERROR(G587/F587,0)</f>
        <v>0</v>
      </c>
      <c r="Z587" s="59" t="n">
        <f aca="false">IF(E587&gt;0,F587*1000000000/E587,"")</f>
        <v>377.059404200894</v>
      </c>
      <c r="AA587" s="63" t="n">
        <f aca="false">IFERROR((R587+S587+J587)/F587,0)</f>
        <v>1</v>
      </c>
      <c r="AB587" s="0" t="str">
        <f aca="false">A587&amp;"|"&amp;D587</f>
        <v>East Timor|2020</v>
      </c>
    </row>
    <row r="588" customFormat="false" ht="15" hidden="false" customHeight="false" outlineLevel="0" collapsed="false">
      <c r="A588" s="0" t="s">
        <v>236</v>
      </c>
      <c r="B588" s="0" t="s">
        <v>474</v>
      </c>
      <c r="C588" s="0" t="s">
        <v>127</v>
      </c>
      <c r="D588" s="0" t="n">
        <v>2021</v>
      </c>
      <c r="E588" s="59" t="n">
        <v>1350142</v>
      </c>
      <c r="F588" s="60" t="n">
        <v>0.51</v>
      </c>
      <c r="G588" s="61" t="n">
        <v>0</v>
      </c>
      <c r="H588" s="61" t="n">
        <v>0</v>
      </c>
      <c r="I588" s="61" t="n">
        <v>0.51</v>
      </c>
      <c r="J588" s="61" t="n">
        <v>0</v>
      </c>
      <c r="K588" s="61" t="n">
        <v>0</v>
      </c>
      <c r="L588" s="61" t="n">
        <v>0</v>
      </c>
      <c r="M588" s="61" t="n">
        <v>0</v>
      </c>
      <c r="N588" s="61" t="n">
        <v>0</v>
      </c>
      <c r="O588" s="61" t="n">
        <v>0</v>
      </c>
      <c r="P588" s="62" t="n">
        <v>666.7</v>
      </c>
      <c r="Q588" s="0" t="n">
        <v>0</v>
      </c>
      <c r="R588" s="60" t="n">
        <f aca="false">G588+H588+I588</f>
        <v>0.51</v>
      </c>
      <c r="S588" s="60" t="n">
        <f aca="false">K588+L588+M588+N588+O588</f>
        <v>0</v>
      </c>
      <c r="T588" s="60" t="n">
        <f aca="false">L588+M588</f>
        <v>0</v>
      </c>
      <c r="U588" s="60" t="n">
        <f aca="false">S588+J588</f>
        <v>0</v>
      </c>
      <c r="V588" s="63" t="n">
        <f aca="false">IFERROR(S588/F588,0)</f>
        <v>0</v>
      </c>
      <c r="W588" s="63" t="n">
        <f aca="false">IFERROR(R588/F588,0)</f>
        <v>1</v>
      </c>
      <c r="X588" s="63" t="n">
        <f aca="false">IFERROR(T588/F588,0)</f>
        <v>0</v>
      </c>
      <c r="Y588" s="63" t="n">
        <f aca="false">IFERROR(G588/F588,0)</f>
        <v>0</v>
      </c>
      <c r="Z588" s="59" t="n">
        <f aca="false">IF(E588&gt;0,F588*1000000000/E588,"")</f>
        <v>377.738045331528</v>
      </c>
      <c r="AA588" s="63" t="n">
        <f aca="false">IFERROR((R588+S588+J588)/F588,0)</f>
        <v>1</v>
      </c>
      <c r="AB588" s="0" t="str">
        <f aca="false">A588&amp;"|"&amp;D588</f>
        <v>East Timor|2021</v>
      </c>
    </row>
    <row r="589" customFormat="false" ht="15" hidden="false" customHeight="false" outlineLevel="0" collapsed="false">
      <c r="A589" s="0" t="s">
        <v>236</v>
      </c>
      <c r="B589" s="0" t="s">
        <v>474</v>
      </c>
      <c r="C589" s="0" t="s">
        <v>127</v>
      </c>
      <c r="D589" s="0" t="n">
        <v>2022</v>
      </c>
      <c r="E589" s="59" t="n">
        <v>1369299</v>
      </c>
      <c r="F589" s="60" t="n">
        <v>0.51</v>
      </c>
      <c r="G589" s="61" t="n">
        <v>0</v>
      </c>
      <c r="H589" s="61" t="n">
        <v>0</v>
      </c>
      <c r="I589" s="61" t="n">
        <v>0.51</v>
      </c>
      <c r="J589" s="61" t="n">
        <v>0</v>
      </c>
      <c r="K589" s="61" t="n">
        <v>0</v>
      </c>
      <c r="L589" s="61" t="n">
        <v>0</v>
      </c>
      <c r="M589" s="61" t="n">
        <v>0</v>
      </c>
      <c r="N589" s="61" t="n">
        <v>0</v>
      </c>
      <c r="O589" s="61" t="n">
        <v>0</v>
      </c>
      <c r="P589" s="62" t="n">
        <v>666.7</v>
      </c>
      <c r="Q589" s="0" t="n">
        <v>0</v>
      </c>
      <c r="R589" s="60" t="n">
        <f aca="false">G589+H589+I589</f>
        <v>0.51</v>
      </c>
      <c r="S589" s="60" t="n">
        <f aca="false">K589+L589+M589+N589+O589</f>
        <v>0</v>
      </c>
      <c r="T589" s="60" t="n">
        <f aca="false">L589+M589</f>
        <v>0</v>
      </c>
      <c r="U589" s="60" t="n">
        <f aca="false">S589+J589</f>
        <v>0</v>
      </c>
      <c r="V589" s="63" t="n">
        <f aca="false">IFERROR(S589/F589,0)</f>
        <v>0</v>
      </c>
      <c r="W589" s="63" t="n">
        <f aca="false">IFERROR(R589/F589,0)</f>
        <v>1</v>
      </c>
      <c r="X589" s="63" t="n">
        <f aca="false">IFERROR(T589/F589,0)</f>
        <v>0</v>
      </c>
      <c r="Y589" s="63" t="n">
        <f aca="false">IFERROR(G589/F589,0)</f>
        <v>0</v>
      </c>
      <c r="Z589" s="59" t="n">
        <f aca="false">IF(E589&gt;0,F589*1000000000/E589,"")</f>
        <v>372.453350217885</v>
      </c>
      <c r="AA589" s="63" t="n">
        <f aca="false">IFERROR((R589+S589+J589)/F589,0)</f>
        <v>1</v>
      </c>
      <c r="AB589" s="0" t="str">
        <f aca="false">A589&amp;"|"&amp;D589</f>
        <v>East Timor|2022</v>
      </c>
    </row>
    <row r="590" customFormat="false" ht="15" hidden="false" customHeight="false" outlineLevel="0" collapsed="false">
      <c r="A590" s="0" t="s">
        <v>236</v>
      </c>
      <c r="B590" s="0" t="s">
        <v>474</v>
      </c>
      <c r="C590" s="0" t="s">
        <v>127</v>
      </c>
      <c r="D590" s="0" t="n">
        <v>2023</v>
      </c>
      <c r="E590" s="59" t="n">
        <v>1384292</v>
      </c>
      <c r="F590" s="60" t="n">
        <v>0.51</v>
      </c>
      <c r="G590" s="61" t="n">
        <v>0</v>
      </c>
      <c r="H590" s="61" t="n">
        <v>0</v>
      </c>
      <c r="I590" s="61" t="n">
        <v>0.51</v>
      </c>
      <c r="J590" s="61" t="n">
        <v>0</v>
      </c>
      <c r="K590" s="61" t="n">
        <v>0</v>
      </c>
      <c r="L590" s="61" t="n">
        <v>0</v>
      </c>
      <c r="M590" s="61" t="n">
        <v>0</v>
      </c>
      <c r="N590" s="61" t="n">
        <v>0</v>
      </c>
      <c r="O590" s="61" t="n">
        <v>0</v>
      </c>
      <c r="P590" s="62" t="n">
        <v>666.7</v>
      </c>
      <c r="Q590" s="0" t="n">
        <v>0</v>
      </c>
      <c r="R590" s="60" t="n">
        <f aca="false">G590+H590+I590</f>
        <v>0.51</v>
      </c>
      <c r="S590" s="60" t="n">
        <f aca="false">K590+L590+M590+N590+O590</f>
        <v>0</v>
      </c>
      <c r="T590" s="60" t="n">
        <f aca="false">L590+M590</f>
        <v>0</v>
      </c>
      <c r="U590" s="60" t="n">
        <f aca="false">S590+J590</f>
        <v>0</v>
      </c>
      <c r="V590" s="63" t="n">
        <f aca="false">IFERROR(S590/F590,0)</f>
        <v>0</v>
      </c>
      <c r="W590" s="63" t="n">
        <f aca="false">IFERROR(R590/F590,0)</f>
        <v>1</v>
      </c>
      <c r="X590" s="63" t="n">
        <f aca="false">IFERROR(T590/F590,0)</f>
        <v>0</v>
      </c>
      <c r="Y590" s="63" t="n">
        <f aca="false">IFERROR(G590/F590,0)</f>
        <v>0</v>
      </c>
      <c r="Z590" s="59" t="n">
        <f aca="false">IF(E590&gt;0,F590*1000000000/E590,"")</f>
        <v>368.419379726243</v>
      </c>
      <c r="AA590" s="63" t="n">
        <f aca="false">IFERROR((R590+S590+J590)/F590,0)</f>
        <v>1</v>
      </c>
      <c r="AB590" s="0" t="str">
        <f aca="false">A590&amp;"|"&amp;D590</f>
        <v>East Timor|2023</v>
      </c>
    </row>
    <row r="591" customFormat="false" ht="15" hidden="false" customHeight="false" outlineLevel="0" collapsed="false">
      <c r="A591" s="0" t="s">
        <v>236</v>
      </c>
      <c r="B591" s="0" t="s">
        <v>474</v>
      </c>
      <c r="C591" s="0" t="s">
        <v>127</v>
      </c>
      <c r="D591" s="0" t="n">
        <v>2024</v>
      </c>
      <c r="E591" s="59" t="n">
        <v>1400638</v>
      </c>
      <c r="F591" s="60" t="n">
        <v>0.51</v>
      </c>
      <c r="G591" s="61" t="n">
        <v>0</v>
      </c>
      <c r="H591" s="61" t="n">
        <v>0</v>
      </c>
      <c r="I591" s="61" t="n">
        <v>0.51</v>
      </c>
      <c r="J591" s="61" t="n">
        <v>0</v>
      </c>
      <c r="K591" s="61" t="n">
        <v>0</v>
      </c>
      <c r="L591" s="61" t="n">
        <v>0</v>
      </c>
      <c r="M591" s="61" t="n">
        <v>0</v>
      </c>
      <c r="N591" s="61" t="n">
        <v>0</v>
      </c>
      <c r="O591" s="61" t="n">
        <v>0</v>
      </c>
      <c r="P591" s="62" t="n">
        <v>666.7</v>
      </c>
      <c r="Q591" s="0" t="n">
        <v>0</v>
      </c>
      <c r="R591" s="60" t="n">
        <f aca="false">G591+H591+I591</f>
        <v>0.51</v>
      </c>
      <c r="S591" s="60" t="n">
        <f aca="false">K591+L591+M591+N591+O591</f>
        <v>0</v>
      </c>
      <c r="T591" s="60" t="n">
        <f aca="false">L591+M591</f>
        <v>0</v>
      </c>
      <c r="U591" s="60" t="n">
        <f aca="false">S591+J591</f>
        <v>0</v>
      </c>
      <c r="V591" s="63" t="n">
        <f aca="false">IFERROR(S591/F591,0)</f>
        <v>0</v>
      </c>
      <c r="W591" s="63" t="n">
        <f aca="false">IFERROR(R591/F591,0)</f>
        <v>1</v>
      </c>
      <c r="X591" s="63" t="n">
        <f aca="false">IFERROR(T591/F591,0)</f>
        <v>0</v>
      </c>
      <c r="Y591" s="63" t="n">
        <f aca="false">IFERROR(G591/F591,0)</f>
        <v>0</v>
      </c>
      <c r="Z591" s="59" t="n">
        <f aca="false">IF(E591&gt;0,F591*1000000000/E591,"")</f>
        <v>364.119779700394</v>
      </c>
      <c r="AA591" s="63" t="n">
        <f aca="false">IFERROR((R591+S591+J591)/F591,0)</f>
        <v>1</v>
      </c>
      <c r="AB591" s="0" t="str">
        <f aca="false">A591&amp;"|"&amp;D591</f>
        <v>East Timor|2024</v>
      </c>
    </row>
    <row r="592" customFormat="false" ht="15" hidden="false" customHeight="false" outlineLevel="0" collapsed="false">
      <c r="A592" s="0" t="s">
        <v>237</v>
      </c>
      <c r="B592" s="0" t="s">
        <v>475</v>
      </c>
      <c r="C592" s="0" t="s">
        <v>127</v>
      </c>
      <c r="D592" s="0" t="n">
        <v>2015</v>
      </c>
      <c r="E592" s="59" t="n">
        <v>16266229</v>
      </c>
      <c r="F592" s="60" t="n">
        <v>25.83</v>
      </c>
      <c r="G592" s="61" t="n">
        <v>0</v>
      </c>
      <c r="H592" s="61" t="n">
        <v>2.81</v>
      </c>
      <c r="I592" s="61" t="n">
        <v>9.82</v>
      </c>
      <c r="J592" s="61" t="n">
        <v>0</v>
      </c>
      <c r="K592" s="61" t="n">
        <v>12.97</v>
      </c>
      <c r="L592" s="61" t="n">
        <v>0.04</v>
      </c>
      <c r="M592" s="61" t="n">
        <v>0.1</v>
      </c>
      <c r="N592" s="61" t="n">
        <v>0.09</v>
      </c>
      <c r="O592" s="61" t="n">
        <v>0</v>
      </c>
      <c r="P592" s="62" t="n">
        <v>345.7</v>
      </c>
      <c r="Q592" s="0" t="n">
        <v>0</v>
      </c>
      <c r="R592" s="60" t="n">
        <f aca="false">G592+H592+I592</f>
        <v>12.63</v>
      </c>
      <c r="S592" s="60" t="n">
        <f aca="false">K592+L592+M592+N592+O592</f>
        <v>13.2</v>
      </c>
      <c r="T592" s="60" t="n">
        <f aca="false">L592+M592</f>
        <v>0.14</v>
      </c>
      <c r="U592" s="60" t="n">
        <f aca="false">S592+J592</f>
        <v>13.2</v>
      </c>
      <c r="V592" s="63" t="n">
        <f aca="false">IFERROR(S592/F592,0)</f>
        <v>0.511033681765389</v>
      </c>
      <c r="W592" s="63" t="n">
        <f aca="false">IFERROR(R592/F592,0)</f>
        <v>0.488966318234611</v>
      </c>
      <c r="X592" s="63" t="n">
        <f aca="false">IFERROR(T592/F592,0)</f>
        <v>0.00542005420054201</v>
      </c>
      <c r="Y592" s="63" t="n">
        <f aca="false">IFERROR(G592/F592,0)</f>
        <v>0</v>
      </c>
      <c r="Z592" s="59" t="n">
        <f aca="false">IF(E592&gt;0,F592*1000000000/E592,"")</f>
        <v>1587.95256110067</v>
      </c>
      <c r="AA592" s="63" t="n">
        <f aca="false">IFERROR((R592+S592+J592)/F592,0)</f>
        <v>1</v>
      </c>
      <c r="AB592" s="0" t="str">
        <f aca="false">A592&amp;"|"&amp;D592</f>
        <v>Ecuador|2015</v>
      </c>
    </row>
    <row r="593" customFormat="false" ht="15" hidden="false" customHeight="false" outlineLevel="0" collapsed="false">
      <c r="A593" s="0" t="s">
        <v>237</v>
      </c>
      <c r="B593" s="0" t="s">
        <v>475</v>
      </c>
      <c r="C593" s="0" t="s">
        <v>127</v>
      </c>
      <c r="D593" s="0" t="n">
        <v>2016</v>
      </c>
      <c r="E593" s="59" t="n">
        <v>16505142</v>
      </c>
      <c r="F593" s="60" t="n">
        <v>27.16</v>
      </c>
      <c r="G593" s="61" t="n">
        <v>0</v>
      </c>
      <c r="H593" s="61" t="n">
        <v>2.02</v>
      </c>
      <c r="I593" s="61" t="n">
        <v>8.85</v>
      </c>
      <c r="J593" s="61" t="n">
        <v>0</v>
      </c>
      <c r="K593" s="61" t="n">
        <v>15.68</v>
      </c>
      <c r="L593" s="61" t="n">
        <v>0.04</v>
      </c>
      <c r="M593" s="61" t="n">
        <v>0.08</v>
      </c>
      <c r="N593" s="61" t="n">
        <v>0.49</v>
      </c>
      <c r="O593" s="61" t="n">
        <v>0</v>
      </c>
      <c r="P593" s="62" t="n">
        <v>288.7</v>
      </c>
      <c r="Q593" s="0" t="n">
        <v>0</v>
      </c>
      <c r="R593" s="60" t="n">
        <f aca="false">G593+H593+I593</f>
        <v>10.87</v>
      </c>
      <c r="S593" s="60" t="n">
        <f aca="false">K593+L593+M593+N593+O593</f>
        <v>16.29</v>
      </c>
      <c r="T593" s="60" t="n">
        <f aca="false">L593+M593</f>
        <v>0.12</v>
      </c>
      <c r="U593" s="60" t="n">
        <f aca="false">S593+J593</f>
        <v>16.29</v>
      </c>
      <c r="V593" s="63" t="n">
        <f aca="false">IFERROR(S593/F593,0)</f>
        <v>0.599779086892489</v>
      </c>
      <c r="W593" s="63" t="n">
        <f aca="false">IFERROR(R593/F593,0)</f>
        <v>0.400220913107511</v>
      </c>
      <c r="X593" s="63" t="n">
        <f aca="false">IFERROR(T593/F593,0)</f>
        <v>0.00441826215022091</v>
      </c>
      <c r="Y593" s="63" t="n">
        <f aca="false">IFERROR(G593/F593,0)</f>
        <v>0</v>
      </c>
      <c r="Z593" s="59" t="n">
        <f aca="false">IF(E593&gt;0,F593*1000000000/E593,"")</f>
        <v>1645.54779353004</v>
      </c>
      <c r="AA593" s="63" t="n">
        <f aca="false">IFERROR((R593+S593+J593)/F593,0)</f>
        <v>1</v>
      </c>
      <c r="AB593" s="0" t="str">
        <f aca="false">A593&amp;"|"&amp;D593</f>
        <v>Ecuador|2016</v>
      </c>
    </row>
    <row r="594" customFormat="false" ht="15" hidden="false" customHeight="false" outlineLevel="0" collapsed="false">
      <c r="A594" s="0" t="s">
        <v>237</v>
      </c>
      <c r="B594" s="0" t="s">
        <v>475</v>
      </c>
      <c r="C594" s="0" t="s">
        <v>127</v>
      </c>
      <c r="D594" s="0" t="n">
        <v>2017</v>
      </c>
      <c r="E594" s="59" t="n">
        <v>16759515</v>
      </c>
      <c r="F594" s="60" t="n">
        <v>27.83</v>
      </c>
      <c r="G594" s="61" t="n">
        <v>0</v>
      </c>
      <c r="H594" s="61" t="n">
        <v>1.73</v>
      </c>
      <c r="I594" s="61" t="n">
        <v>5.64</v>
      </c>
      <c r="J594" s="61" t="n">
        <v>0</v>
      </c>
      <c r="K594" s="61" t="n">
        <v>19.89</v>
      </c>
      <c r="L594" s="61" t="n">
        <v>0.04</v>
      </c>
      <c r="M594" s="61" t="n">
        <v>0.07</v>
      </c>
      <c r="N594" s="61" t="n">
        <v>0.46</v>
      </c>
      <c r="O594" s="61" t="n">
        <v>0</v>
      </c>
      <c r="P594" s="62" t="n">
        <v>201.2</v>
      </c>
      <c r="Q594" s="0" t="n">
        <v>0</v>
      </c>
      <c r="R594" s="60" t="n">
        <f aca="false">G594+H594+I594</f>
        <v>7.37</v>
      </c>
      <c r="S594" s="60" t="n">
        <f aca="false">K594+L594+M594+N594+O594</f>
        <v>20.46</v>
      </c>
      <c r="T594" s="60" t="n">
        <f aca="false">L594+M594</f>
        <v>0.11</v>
      </c>
      <c r="U594" s="60" t="n">
        <f aca="false">S594+J594</f>
        <v>20.46</v>
      </c>
      <c r="V594" s="63" t="n">
        <f aca="false">IFERROR(S594/F594,0)</f>
        <v>0.735177865612648</v>
      </c>
      <c r="W594" s="63" t="n">
        <f aca="false">IFERROR(R594/F594,0)</f>
        <v>0.264822134387352</v>
      </c>
      <c r="X594" s="63" t="n">
        <f aca="false">IFERROR(T594/F594,0)</f>
        <v>0.00395256916996048</v>
      </c>
      <c r="Y594" s="63" t="n">
        <f aca="false">IFERROR(G594/F594,0)</f>
        <v>0</v>
      </c>
      <c r="Z594" s="59" t="n">
        <f aca="false">IF(E594&gt;0,F594*1000000000/E594,"")</f>
        <v>1660.54924620432</v>
      </c>
      <c r="AA594" s="63" t="n">
        <f aca="false">IFERROR((R594+S594+J594)/F594,0)</f>
        <v>1</v>
      </c>
      <c r="AB594" s="0" t="str">
        <f aca="false">A594&amp;"|"&amp;D594</f>
        <v>Ecuador|2017</v>
      </c>
    </row>
    <row r="595" customFormat="false" ht="15" hidden="false" customHeight="false" outlineLevel="0" collapsed="false">
      <c r="A595" s="0" t="s">
        <v>237</v>
      </c>
      <c r="B595" s="0" t="s">
        <v>475</v>
      </c>
      <c r="C595" s="0" t="s">
        <v>127</v>
      </c>
      <c r="D595" s="0" t="n">
        <v>2018</v>
      </c>
      <c r="E595" s="59" t="n">
        <v>17049542</v>
      </c>
      <c r="F595" s="60" t="n">
        <v>29.23</v>
      </c>
      <c r="G595" s="61" t="n">
        <v>0</v>
      </c>
      <c r="H595" s="61" t="n">
        <v>1.53</v>
      </c>
      <c r="I595" s="61" t="n">
        <v>6.68</v>
      </c>
      <c r="J595" s="61" t="n">
        <v>0</v>
      </c>
      <c r="K595" s="61" t="n">
        <v>20.47</v>
      </c>
      <c r="L595" s="61" t="n">
        <v>0.04</v>
      </c>
      <c r="M595" s="61" t="n">
        <v>0.08</v>
      </c>
      <c r="N595" s="61" t="n">
        <v>0.43</v>
      </c>
      <c r="O595" s="61" t="n">
        <v>0</v>
      </c>
      <c r="P595" s="62" t="n">
        <v>210.1</v>
      </c>
      <c r="Q595" s="0" t="n">
        <v>0</v>
      </c>
      <c r="R595" s="60" t="n">
        <f aca="false">G595+H595+I595</f>
        <v>8.21</v>
      </c>
      <c r="S595" s="60" t="n">
        <f aca="false">K595+L595+M595+N595+O595</f>
        <v>21.02</v>
      </c>
      <c r="T595" s="60" t="n">
        <f aca="false">L595+M595</f>
        <v>0.12</v>
      </c>
      <c r="U595" s="60" t="n">
        <f aca="false">S595+J595</f>
        <v>21.02</v>
      </c>
      <c r="V595" s="63" t="n">
        <f aca="false">IFERROR(S595/F595,0)</f>
        <v>0.719124187478618</v>
      </c>
      <c r="W595" s="63" t="n">
        <f aca="false">IFERROR(R595/F595,0)</f>
        <v>0.280875812521382</v>
      </c>
      <c r="X595" s="63" t="n">
        <f aca="false">IFERROR(T595/F595,0)</f>
        <v>0.00410537119397879</v>
      </c>
      <c r="Y595" s="63" t="n">
        <f aca="false">IFERROR(G595/F595,0)</f>
        <v>0</v>
      </c>
      <c r="Z595" s="59" t="n">
        <f aca="false">IF(E595&gt;0,F595*1000000000/E595,"")</f>
        <v>1714.4155543885</v>
      </c>
      <c r="AA595" s="63" t="n">
        <f aca="false">IFERROR((R595+S595+J595)/F595,0)</f>
        <v>1</v>
      </c>
      <c r="AB595" s="0" t="str">
        <f aca="false">A595&amp;"|"&amp;D595</f>
        <v>Ecuador|2018</v>
      </c>
    </row>
    <row r="596" customFormat="false" ht="15" hidden="false" customHeight="false" outlineLevel="0" collapsed="false">
      <c r="A596" s="0" t="s">
        <v>237</v>
      </c>
      <c r="B596" s="0" t="s">
        <v>475</v>
      </c>
      <c r="C596" s="0" t="s">
        <v>127</v>
      </c>
      <c r="D596" s="0" t="n">
        <v>2019</v>
      </c>
      <c r="E596" s="59" t="n">
        <v>17340017</v>
      </c>
      <c r="F596" s="60" t="n">
        <v>32.45</v>
      </c>
      <c r="G596" s="61" t="n">
        <v>0</v>
      </c>
      <c r="H596" s="61" t="n">
        <v>1.39</v>
      </c>
      <c r="I596" s="61" t="n">
        <v>5.82</v>
      </c>
      <c r="J596" s="61" t="n">
        <v>0</v>
      </c>
      <c r="K596" s="61" t="n">
        <v>24.66</v>
      </c>
      <c r="L596" s="61" t="n">
        <v>0.04</v>
      </c>
      <c r="M596" s="61" t="n">
        <v>0.09</v>
      </c>
      <c r="N596" s="61" t="n">
        <v>0.45</v>
      </c>
      <c r="O596" s="61" t="n">
        <v>0</v>
      </c>
      <c r="P596" s="62" t="n">
        <v>172</v>
      </c>
      <c r="Q596" s="0" t="n">
        <v>0</v>
      </c>
      <c r="R596" s="60" t="n">
        <f aca="false">G596+H596+I596</f>
        <v>7.21</v>
      </c>
      <c r="S596" s="60" t="n">
        <f aca="false">K596+L596+M596+N596+O596</f>
        <v>25.24</v>
      </c>
      <c r="T596" s="60" t="n">
        <f aca="false">L596+M596</f>
        <v>0.13</v>
      </c>
      <c r="U596" s="60" t="n">
        <f aca="false">S596+J596</f>
        <v>25.24</v>
      </c>
      <c r="V596" s="63" t="n">
        <f aca="false">IFERROR(S596/F596,0)</f>
        <v>0.777812018489985</v>
      </c>
      <c r="W596" s="63" t="n">
        <f aca="false">IFERROR(R596/F596,0)</f>
        <v>0.222187981510015</v>
      </c>
      <c r="X596" s="63" t="n">
        <f aca="false">IFERROR(T596/F596,0)</f>
        <v>0.00400616332819723</v>
      </c>
      <c r="Y596" s="63" t="n">
        <f aca="false">IFERROR(G596/F596,0)</f>
        <v>0</v>
      </c>
      <c r="Z596" s="59" t="n">
        <f aca="false">IF(E596&gt;0,F596*1000000000/E596,"")</f>
        <v>1871.39378237057</v>
      </c>
      <c r="AA596" s="63" t="n">
        <f aca="false">IFERROR((R596+S596+J596)/F596,0)</f>
        <v>1</v>
      </c>
      <c r="AB596" s="0" t="str">
        <f aca="false">A596&amp;"|"&amp;D596</f>
        <v>Ecuador|2019</v>
      </c>
    </row>
    <row r="597" customFormat="false" ht="15" hidden="false" customHeight="false" outlineLevel="0" collapsed="false">
      <c r="A597" s="0" t="s">
        <v>237</v>
      </c>
      <c r="B597" s="0" t="s">
        <v>475</v>
      </c>
      <c r="C597" s="0" t="s">
        <v>127</v>
      </c>
      <c r="D597" s="0" t="n">
        <v>2020</v>
      </c>
      <c r="E597" s="59" t="n">
        <v>17546058</v>
      </c>
      <c r="F597" s="60" t="n">
        <v>31.29</v>
      </c>
      <c r="G597" s="61" t="n">
        <v>0</v>
      </c>
      <c r="H597" s="61" t="n">
        <v>1.15</v>
      </c>
      <c r="I597" s="61" t="n">
        <v>5.22</v>
      </c>
      <c r="J597" s="61" t="n">
        <v>0</v>
      </c>
      <c r="K597" s="61" t="n">
        <v>24.33</v>
      </c>
      <c r="L597" s="61" t="n">
        <v>0.04</v>
      </c>
      <c r="M597" s="61" t="n">
        <v>0.08</v>
      </c>
      <c r="N597" s="61" t="n">
        <v>0.47</v>
      </c>
      <c r="O597" s="61" t="n">
        <v>0</v>
      </c>
      <c r="P597" s="62" t="n">
        <v>159.5</v>
      </c>
      <c r="Q597" s="0" t="n">
        <v>0</v>
      </c>
      <c r="R597" s="60" t="n">
        <f aca="false">G597+H597+I597</f>
        <v>6.37</v>
      </c>
      <c r="S597" s="60" t="n">
        <f aca="false">K597+L597+M597+N597+O597</f>
        <v>24.92</v>
      </c>
      <c r="T597" s="60" t="n">
        <f aca="false">L597+M597</f>
        <v>0.12</v>
      </c>
      <c r="U597" s="60" t="n">
        <f aca="false">S597+J597</f>
        <v>24.92</v>
      </c>
      <c r="V597" s="63" t="n">
        <f aca="false">IFERROR(S597/F597,0)</f>
        <v>0.796420581655481</v>
      </c>
      <c r="W597" s="63" t="n">
        <f aca="false">IFERROR(R597/F597,0)</f>
        <v>0.203579418344519</v>
      </c>
      <c r="X597" s="63" t="n">
        <f aca="false">IFERROR(T597/F597,0)</f>
        <v>0.00383509108341323</v>
      </c>
      <c r="Y597" s="63" t="n">
        <f aca="false">IFERROR(G597/F597,0)</f>
        <v>0</v>
      </c>
      <c r="Z597" s="59" t="n">
        <f aca="false">IF(E597&gt;0,F597*1000000000/E597,"")</f>
        <v>1783.30654099057</v>
      </c>
      <c r="AA597" s="63" t="n">
        <f aca="false">IFERROR((R597+S597+J597)/F597,0)</f>
        <v>1</v>
      </c>
      <c r="AB597" s="0" t="str">
        <f aca="false">A597&amp;"|"&amp;D597</f>
        <v>Ecuador|2020</v>
      </c>
    </row>
    <row r="598" customFormat="false" ht="15" hidden="false" customHeight="false" outlineLevel="0" collapsed="false">
      <c r="A598" s="0" t="s">
        <v>237</v>
      </c>
      <c r="B598" s="0" t="s">
        <v>475</v>
      </c>
      <c r="C598" s="0" t="s">
        <v>127</v>
      </c>
      <c r="D598" s="0" t="n">
        <v>2021</v>
      </c>
      <c r="E598" s="59" t="n">
        <v>17682454</v>
      </c>
      <c r="F598" s="60" t="n">
        <v>32.12</v>
      </c>
      <c r="G598" s="61" t="n">
        <v>0</v>
      </c>
      <c r="H598" s="61" t="n">
        <v>1.13</v>
      </c>
      <c r="I598" s="61" t="n">
        <v>4.91</v>
      </c>
      <c r="J598" s="61" t="n">
        <v>0</v>
      </c>
      <c r="K598" s="61" t="n">
        <v>25.57</v>
      </c>
      <c r="L598" s="61" t="n">
        <v>0.04</v>
      </c>
      <c r="M598" s="61" t="n">
        <v>0.06</v>
      </c>
      <c r="N598" s="61" t="n">
        <v>0.41</v>
      </c>
      <c r="O598" s="61" t="n">
        <v>0</v>
      </c>
      <c r="P598" s="62" t="n">
        <v>149.1</v>
      </c>
      <c r="Q598" s="0" t="n">
        <v>0</v>
      </c>
      <c r="R598" s="60" t="n">
        <f aca="false">G598+H598+I598</f>
        <v>6.04</v>
      </c>
      <c r="S598" s="60" t="n">
        <f aca="false">K598+L598+M598+N598+O598</f>
        <v>26.08</v>
      </c>
      <c r="T598" s="60" t="n">
        <f aca="false">L598+M598</f>
        <v>0.1</v>
      </c>
      <c r="U598" s="60" t="n">
        <f aca="false">S598+J598</f>
        <v>26.08</v>
      </c>
      <c r="V598" s="63" t="n">
        <f aca="false">IFERROR(S598/F598,0)</f>
        <v>0.811955168119552</v>
      </c>
      <c r="W598" s="63" t="n">
        <f aca="false">IFERROR(R598/F598,0)</f>
        <v>0.188044831880448</v>
      </c>
      <c r="X598" s="63" t="n">
        <f aca="false">IFERROR(T598/F598,0)</f>
        <v>0.00311332503113325</v>
      </c>
      <c r="Y598" s="63" t="n">
        <f aca="false">IFERROR(G598/F598,0)</f>
        <v>0</v>
      </c>
      <c r="Z598" s="59" t="n">
        <f aca="false">IF(E598&gt;0,F598*1000000000/E598,"")</f>
        <v>1816.48995099888</v>
      </c>
      <c r="AA598" s="63" t="n">
        <f aca="false">IFERROR((R598+S598+J598)/F598,0)</f>
        <v>1</v>
      </c>
      <c r="AB598" s="0" t="str">
        <f aca="false">A598&amp;"|"&amp;D598</f>
        <v>Ecuador|2021</v>
      </c>
    </row>
    <row r="599" customFormat="false" ht="15" hidden="false" customHeight="false" outlineLevel="0" collapsed="false">
      <c r="A599" s="0" t="s">
        <v>237</v>
      </c>
      <c r="B599" s="0" t="s">
        <v>475</v>
      </c>
      <c r="C599" s="0" t="s">
        <v>127</v>
      </c>
      <c r="D599" s="0" t="n">
        <v>2022</v>
      </c>
      <c r="E599" s="59" t="n">
        <v>17823900</v>
      </c>
      <c r="F599" s="60" t="n">
        <v>33.06</v>
      </c>
      <c r="G599" s="61" t="n">
        <v>0</v>
      </c>
      <c r="H599" s="61" t="n">
        <v>1.04</v>
      </c>
      <c r="I599" s="61" t="n">
        <v>6.89</v>
      </c>
      <c r="J599" s="61" t="n">
        <v>0</v>
      </c>
      <c r="K599" s="61" t="n">
        <v>24.64</v>
      </c>
      <c r="L599" s="61" t="n">
        <v>0.04</v>
      </c>
      <c r="M599" s="61" t="n">
        <v>0.06</v>
      </c>
      <c r="N599" s="61" t="n">
        <v>0.39</v>
      </c>
      <c r="O599" s="61" t="n">
        <v>0</v>
      </c>
      <c r="P599" s="62" t="n">
        <v>181.2</v>
      </c>
      <c r="Q599" s="0" t="n">
        <v>0</v>
      </c>
      <c r="R599" s="60" t="n">
        <f aca="false">G599+H599+I599</f>
        <v>7.93</v>
      </c>
      <c r="S599" s="60" t="n">
        <f aca="false">K599+L599+M599+N599+O599</f>
        <v>25.13</v>
      </c>
      <c r="T599" s="60" t="n">
        <f aca="false">L599+M599</f>
        <v>0.1</v>
      </c>
      <c r="U599" s="60" t="n">
        <f aca="false">S599+J599</f>
        <v>25.13</v>
      </c>
      <c r="V599" s="63" t="n">
        <f aca="false">IFERROR(S599/F599,0)</f>
        <v>0.760133091349062</v>
      </c>
      <c r="W599" s="63" t="n">
        <f aca="false">IFERROR(R599/F599,0)</f>
        <v>0.239866908650938</v>
      </c>
      <c r="X599" s="63" t="n">
        <f aca="false">IFERROR(T599/F599,0)</f>
        <v>0.00302480338777979</v>
      </c>
      <c r="Y599" s="63" t="n">
        <f aca="false">IFERROR(G599/F599,0)</f>
        <v>0</v>
      </c>
      <c r="Z599" s="59" t="n">
        <f aca="false">IF(E599&gt;0,F599*1000000000/E599,"")</f>
        <v>1854.81291973137</v>
      </c>
      <c r="AA599" s="63" t="n">
        <f aca="false">IFERROR((R599+S599+J599)/F599,0)</f>
        <v>1</v>
      </c>
      <c r="AB599" s="0" t="str">
        <f aca="false">A599&amp;"|"&amp;D599</f>
        <v>Ecuador|2022</v>
      </c>
    </row>
    <row r="600" customFormat="false" ht="15" hidden="false" customHeight="false" outlineLevel="0" collapsed="false">
      <c r="A600" s="0" t="s">
        <v>237</v>
      </c>
      <c r="B600" s="0" t="s">
        <v>475</v>
      </c>
      <c r="C600" s="0" t="s">
        <v>127</v>
      </c>
      <c r="D600" s="0" t="n">
        <v>2023</v>
      </c>
      <c r="E600" s="59" t="n">
        <v>17980079</v>
      </c>
      <c r="F600" s="60" t="n">
        <v>35.82</v>
      </c>
      <c r="G600" s="61" t="n">
        <v>0</v>
      </c>
      <c r="H600" s="61" t="n">
        <v>0.95</v>
      </c>
      <c r="I600" s="61" t="n">
        <v>8.5</v>
      </c>
      <c r="J600" s="61" t="n">
        <v>0</v>
      </c>
      <c r="K600" s="61" t="n">
        <v>25.73</v>
      </c>
      <c r="L600" s="61" t="n">
        <v>0.04</v>
      </c>
      <c r="M600" s="61" t="n">
        <v>0.21</v>
      </c>
      <c r="N600" s="61" t="n">
        <v>0.39</v>
      </c>
      <c r="O600" s="61" t="n">
        <v>0</v>
      </c>
      <c r="P600" s="62" t="n">
        <v>195.4</v>
      </c>
      <c r="Q600" s="0" t="n">
        <v>0</v>
      </c>
      <c r="R600" s="60" t="n">
        <f aca="false">G600+H600+I600</f>
        <v>9.45</v>
      </c>
      <c r="S600" s="60" t="n">
        <f aca="false">K600+L600+M600+N600+O600</f>
        <v>26.37</v>
      </c>
      <c r="T600" s="60" t="n">
        <f aca="false">L600+M600</f>
        <v>0.25</v>
      </c>
      <c r="U600" s="60" t="n">
        <f aca="false">S600+J600</f>
        <v>26.37</v>
      </c>
      <c r="V600" s="63" t="n">
        <f aca="false">IFERROR(S600/F600,0)</f>
        <v>0.736180904522613</v>
      </c>
      <c r="W600" s="63" t="n">
        <f aca="false">IFERROR(R600/F600,0)</f>
        <v>0.263819095477387</v>
      </c>
      <c r="X600" s="63" t="n">
        <f aca="false">IFERROR(T600/F600,0)</f>
        <v>0.00697934115019542</v>
      </c>
      <c r="Y600" s="63" t="n">
        <f aca="false">IFERROR(G600/F600,0)</f>
        <v>0</v>
      </c>
      <c r="Z600" s="59" t="n">
        <f aca="false">IF(E600&gt;0,F600*1000000000/E600,"")</f>
        <v>1992.20481734257</v>
      </c>
      <c r="AA600" s="63" t="n">
        <f aca="false">IFERROR((R600+S600+J600)/F600,0)</f>
        <v>1</v>
      </c>
      <c r="AB600" s="0" t="str">
        <f aca="false">A600&amp;"|"&amp;D600</f>
        <v>Ecuador|2023</v>
      </c>
    </row>
    <row r="601" customFormat="false" ht="15" hidden="false" customHeight="false" outlineLevel="0" collapsed="false">
      <c r="A601" s="0" t="s">
        <v>237</v>
      </c>
      <c r="B601" s="0" t="s">
        <v>475</v>
      </c>
      <c r="C601" s="0" t="s">
        <v>127</v>
      </c>
      <c r="D601" s="0" t="n">
        <v>2024</v>
      </c>
      <c r="E601" s="59" t="n">
        <v>18135478</v>
      </c>
      <c r="F601" s="60" t="n">
        <v>32.66</v>
      </c>
      <c r="G601" s="61" t="n">
        <v>0</v>
      </c>
      <c r="H601" s="61" t="n">
        <v>0.95</v>
      </c>
      <c r="I601" s="61" t="n">
        <v>8.05</v>
      </c>
      <c r="J601" s="61" t="n">
        <v>0</v>
      </c>
      <c r="K601" s="61" t="n">
        <v>23</v>
      </c>
      <c r="L601" s="61" t="n">
        <v>0.04</v>
      </c>
      <c r="M601" s="61" t="n">
        <v>0.23</v>
      </c>
      <c r="N601" s="61" t="n">
        <v>0.39</v>
      </c>
      <c r="O601" s="61" t="n">
        <v>0</v>
      </c>
      <c r="P601" s="62" t="n">
        <v>203.6</v>
      </c>
      <c r="Q601" s="0" t="n">
        <v>0</v>
      </c>
      <c r="R601" s="60" t="n">
        <f aca="false">G601+H601+I601</f>
        <v>9</v>
      </c>
      <c r="S601" s="60" t="n">
        <f aca="false">K601+L601+M601+N601+O601</f>
        <v>23.66</v>
      </c>
      <c r="T601" s="60" t="n">
        <f aca="false">L601+M601</f>
        <v>0.27</v>
      </c>
      <c r="U601" s="60" t="n">
        <f aca="false">S601+J601</f>
        <v>23.66</v>
      </c>
      <c r="V601" s="63" t="n">
        <f aca="false">IFERROR(S601/F601,0)</f>
        <v>0.724433557868953</v>
      </c>
      <c r="W601" s="63" t="n">
        <f aca="false">IFERROR(R601/F601,0)</f>
        <v>0.275566442131047</v>
      </c>
      <c r="X601" s="63" t="n">
        <f aca="false">IFERROR(T601/F601,0)</f>
        <v>0.00826699326393142</v>
      </c>
      <c r="Y601" s="63" t="n">
        <f aca="false">IFERROR(G601/F601,0)</f>
        <v>0</v>
      </c>
      <c r="Z601" s="59" t="n">
        <f aca="false">IF(E601&gt;0,F601*1000000000/E601,"")</f>
        <v>1800.88994621482</v>
      </c>
      <c r="AA601" s="63" t="n">
        <f aca="false">IFERROR((R601+S601+J601)/F601,0)</f>
        <v>1</v>
      </c>
      <c r="AB601" s="0" t="str">
        <f aca="false">A601&amp;"|"&amp;D601</f>
        <v>Ecuador|2024</v>
      </c>
    </row>
    <row r="602" customFormat="false" ht="15" hidden="false" customHeight="false" outlineLevel="0" collapsed="false">
      <c r="A602" s="0" t="s">
        <v>237</v>
      </c>
      <c r="B602" s="0" t="s">
        <v>475</v>
      </c>
      <c r="C602" s="0" t="s">
        <v>127</v>
      </c>
      <c r="D602" s="0" t="n">
        <v>2025</v>
      </c>
      <c r="E602" s="59" t="n">
        <v>18289898</v>
      </c>
      <c r="F602" s="60" t="n">
        <v>36.6</v>
      </c>
      <c r="G602" s="61" t="n">
        <v>0</v>
      </c>
      <c r="H602" s="61" t="n">
        <v>0.98</v>
      </c>
      <c r="I602" s="61" t="n">
        <v>6.56</v>
      </c>
      <c r="J602" s="61" t="n">
        <v>0</v>
      </c>
      <c r="K602" s="61" t="n">
        <v>28.51</v>
      </c>
      <c r="L602" s="61" t="n">
        <v>0.04</v>
      </c>
      <c r="M602" s="61" t="n">
        <v>0.19</v>
      </c>
      <c r="N602" s="61" t="n">
        <v>0.32</v>
      </c>
      <c r="O602" s="61" t="n">
        <v>0</v>
      </c>
      <c r="P602" s="62" t="n">
        <v>159</v>
      </c>
      <c r="Q602" s="0" t="n">
        <v>0</v>
      </c>
      <c r="R602" s="60" t="n">
        <f aca="false">G602+H602+I602</f>
        <v>7.54</v>
      </c>
      <c r="S602" s="60" t="n">
        <f aca="false">K602+L602+M602+N602+O602</f>
        <v>29.06</v>
      </c>
      <c r="T602" s="60" t="n">
        <f aca="false">L602+M602</f>
        <v>0.23</v>
      </c>
      <c r="U602" s="60" t="n">
        <f aca="false">S602+J602</f>
        <v>29.06</v>
      </c>
      <c r="V602" s="63" t="n">
        <f aca="false">IFERROR(S602/F602,0)</f>
        <v>0.793989071038251</v>
      </c>
      <c r="W602" s="63" t="n">
        <f aca="false">IFERROR(R602/F602,0)</f>
        <v>0.206010928961749</v>
      </c>
      <c r="X602" s="63" t="n">
        <f aca="false">IFERROR(T602/F602,0)</f>
        <v>0.00628415300546448</v>
      </c>
      <c r="Y602" s="63" t="n">
        <f aca="false">IFERROR(G602/F602,0)</f>
        <v>0</v>
      </c>
      <c r="Z602" s="59" t="n">
        <f aca="false">IF(E602&gt;0,F602*1000000000/E602,"")</f>
        <v>2001.10465350873</v>
      </c>
      <c r="AA602" s="63" t="n">
        <f aca="false">IFERROR((R602+S602+J602)/F602,0)</f>
        <v>1</v>
      </c>
      <c r="AB602" s="0" t="str">
        <f aca="false">A602&amp;"|"&amp;D602</f>
        <v>Ecuador|2025</v>
      </c>
    </row>
    <row r="603" customFormat="false" ht="15" hidden="false" customHeight="false" outlineLevel="0" collapsed="false">
      <c r="A603" s="0" t="s">
        <v>238</v>
      </c>
      <c r="B603" s="0" t="s">
        <v>476</v>
      </c>
      <c r="C603" s="0" t="s">
        <v>127</v>
      </c>
      <c r="D603" s="0" t="n">
        <v>2015</v>
      </c>
      <c r="E603" s="59" t="n">
        <v>99597334</v>
      </c>
      <c r="F603" s="60" t="n">
        <v>181.83</v>
      </c>
      <c r="G603" s="61" t="n">
        <v>0</v>
      </c>
      <c r="H603" s="61" t="n">
        <v>129.81</v>
      </c>
      <c r="I603" s="61" t="n">
        <v>36.41</v>
      </c>
      <c r="J603" s="61" t="n">
        <v>0</v>
      </c>
      <c r="K603" s="61" t="n">
        <v>13.68</v>
      </c>
      <c r="L603" s="61" t="n">
        <v>0.04</v>
      </c>
      <c r="M603" s="61" t="n">
        <v>1.89</v>
      </c>
      <c r="N603" s="61" t="n">
        <v>0</v>
      </c>
      <c r="O603" s="61" t="n">
        <v>0</v>
      </c>
      <c r="P603" s="62" t="n">
        <v>592.3</v>
      </c>
      <c r="Q603" s="0" t="n">
        <v>1</v>
      </c>
      <c r="R603" s="60" t="n">
        <f aca="false">G603+H603+I603</f>
        <v>166.22</v>
      </c>
      <c r="S603" s="60" t="n">
        <f aca="false">K603+L603+M603+N603+O603</f>
        <v>15.61</v>
      </c>
      <c r="T603" s="60" t="n">
        <f aca="false">L603+M603</f>
        <v>1.93</v>
      </c>
      <c r="U603" s="60" t="n">
        <f aca="false">S603+J603</f>
        <v>15.61</v>
      </c>
      <c r="V603" s="63" t="n">
        <f aca="false">IFERROR(S603/F603,0)</f>
        <v>0.0858494197877138</v>
      </c>
      <c r="W603" s="63" t="n">
        <f aca="false">IFERROR(R603/F603,0)</f>
        <v>0.914150580212286</v>
      </c>
      <c r="X603" s="63" t="n">
        <f aca="false">IFERROR(T603/F603,0)</f>
        <v>0.0106143100698455</v>
      </c>
      <c r="Y603" s="63" t="n">
        <f aca="false">IFERROR(G603/F603,0)</f>
        <v>0</v>
      </c>
      <c r="Z603" s="59" t="n">
        <f aca="false">IF(E603&gt;0,F603*1000000000/E603,"")</f>
        <v>1825.65127697093</v>
      </c>
      <c r="AA603" s="63" t="n">
        <f aca="false">IFERROR((R603+S603+J603)/F603,0)</f>
        <v>1</v>
      </c>
      <c r="AB603" s="0" t="str">
        <f aca="false">A603&amp;"|"&amp;D603</f>
        <v>Egypt|2015</v>
      </c>
    </row>
    <row r="604" customFormat="false" ht="15" hidden="false" customHeight="false" outlineLevel="0" collapsed="false">
      <c r="A604" s="0" t="s">
        <v>238</v>
      </c>
      <c r="B604" s="0" t="s">
        <v>476</v>
      </c>
      <c r="C604" s="0" t="s">
        <v>127</v>
      </c>
      <c r="D604" s="0" t="n">
        <v>2016</v>
      </c>
      <c r="E604" s="59" t="n">
        <v>101644583</v>
      </c>
      <c r="F604" s="60" t="n">
        <v>188.19</v>
      </c>
      <c r="G604" s="61" t="n">
        <v>0</v>
      </c>
      <c r="H604" s="61" t="n">
        <v>138.47</v>
      </c>
      <c r="I604" s="61" t="n">
        <v>33.89</v>
      </c>
      <c r="J604" s="61" t="n">
        <v>0</v>
      </c>
      <c r="K604" s="61" t="n">
        <v>13.2</v>
      </c>
      <c r="L604" s="61" t="n">
        <v>0.23</v>
      </c>
      <c r="M604" s="61" t="n">
        <v>2.4</v>
      </c>
      <c r="N604" s="61" t="n">
        <v>0</v>
      </c>
      <c r="O604" s="61" t="n">
        <v>0</v>
      </c>
      <c r="P604" s="62" t="n">
        <v>593</v>
      </c>
      <c r="Q604" s="0" t="n">
        <v>1</v>
      </c>
      <c r="R604" s="60" t="n">
        <f aca="false">G604+H604+I604</f>
        <v>172.36</v>
      </c>
      <c r="S604" s="60" t="n">
        <f aca="false">K604+L604+M604+N604+O604</f>
        <v>15.83</v>
      </c>
      <c r="T604" s="60" t="n">
        <f aca="false">L604+M604</f>
        <v>2.63</v>
      </c>
      <c r="U604" s="60" t="n">
        <f aca="false">S604+J604</f>
        <v>15.83</v>
      </c>
      <c r="V604" s="63" t="n">
        <f aca="false">IFERROR(S604/F604,0)</f>
        <v>0.0841171156809607</v>
      </c>
      <c r="W604" s="63" t="n">
        <f aca="false">IFERROR(R604/F604,0)</f>
        <v>0.915882884319039</v>
      </c>
      <c r="X604" s="63" t="n">
        <f aca="false">IFERROR(T604/F604,0)</f>
        <v>0.0139752377915936</v>
      </c>
      <c r="Y604" s="63" t="n">
        <f aca="false">IFERROR(G604/F604,0)</f>
        <v>0</v>
      </c>
      <c r="Z604" s="59" t="n">
        <f aca="false">IF(E604&gt;0,F604*1000000000/E604,"")</f>
        <v>1851.45134591186</v>
      </c>
      <c r="AA604" s="63" t="n">
        <f aca="false">IFERROR((R604+S604+J604)/F604,0)</f>
        <v>1</v>
      </c>
      <c r="AB604" s="0" t="str">
        <f aca="false">A604&amp;"|"&amp;D604</f>
        <v>Egypt|2016</v>
      </c>
    </row>
    <row r="605" customFormat="false" ht="15" hidden="false" customHeight="false" outlineLevel="0" collapsed="false">
      <c r="A605" s="0" t="s">
        <v>238</v>
      </c>
      <c r="B605" s="0" t="s">
        <v>476</v>
      </c>
      <c r="C605" s="0" t="s">
        <v>127</v>
      </c>
      <c r="D605" s="0" t="n">
        <v>2017</v>
      </c>
      <c r="E605" s="59" t="n">
        <v>103696055</v>
      </c>
      <c r="F605" s="60" t="n">
        <v>193.21</v>
      </c>
      <c r="G605" s="61" t="n">
        <v>0</v>
      </c>
      <c r="H605" s="61" t="n">
        <v>151.93</v>
      </c>
      <c r="I605" s="61" t="n">
        <v>25.78</v>
      </c>
      <c r="J605" s="61" t="n">
        <v>0</v>
      </c>
      <c r="K605" s="61" t="n">
        <v>12.79</v>
      </c>
      <c r="L605" s="61" t="n">
        <v>0.6</v>
      </c>
      <c r="M605" s="61" t="n">
        <v>2.11</v>
      </c>
      <c r="N605" s="61" t="n">
        <v>0</v>
      </c>
      <c r="O605" s="61" t="n">
        <v>0</v>
      </c>
      <c r="P605" s="62" t="n">
        <v>594.7</v>
      </c>
      <c r="Q605" s="0" t="n">
        <v>1</v>
      </c>
      <c r="R605" s="60" t="n">
        <f aca="false">G605+H605+I605</f>
        <v>177.71</v>
      </c>
      <c r="S605" s="60" t="n">
        <f aca="false">K605+L605+M605+N605+O605</f>
        <v>15.5</v>
      </c>
      <c r="T605" s="60" t="n">
        <f aca="false">L605+M605</f>
        <v>2.71</v>
      </c>
      <c r="U605" s="60" t="n">
        <f aca="false">S605+J605</f>
        <v>15.5</v>
      </c>
      <c r="V605" s="63" t="n">
        <f aca="false">IFERROR(S605/F605,0)</f>
        <v>0.0802235909114435</v>
      </c>
      <c r="W605" s="63" t="n">
        <f aca="false">IFERROR(R605/F605,0)</f>
        <v>0.919776409088557</v>
      </c>
      <c r="X605" s="63" t="n">
        <f aca="false">IFERROR(T605/F605,0)</f>
        <v>0.0140261891206459</v>
      </c>
      <c r="Y605" s="63" t="n">
        <f aca="false">IFERROR(G605/F605,0)</f>
        <v>0</v>
      </c>
      <c r="Z605" s="59" t="n">
        <f aca="false">IF(E605&gt;0,F605*1000000000/E605,"")</f>
        <v>1863.23385204963</v>
      </c>
      <c r="AA605" s="63" t="n">
        <f aca="false">IFERROR((R605+S605+J605)/F605,0)</f>
        <v>1</v>
      </c>
      <c r="AB605" s="0" t="str">
        <f aca="false">A605&amp;"|"&amp;D605</f>
        <v>Egypt|2017</v>
      </c>
    </row>
    <row r="606" customFormat="false" ht="15" hidden="false" customHeight="false" outlineLevel="0" collapsed="false">
      <c r="A606" s="0" t="s">
        <v>238</v>
      </c>
      <c r="B606" s="0" t="s">
        <v>476</v>
      </c>
      <c r="C606" s="0" t="s">
        <v>127</v>
      </c>
      <c r="D606" s="0" t="n">
        <v>2018</v>
      </c>
      <c r="E606" s="59" t="n">
        <v>105682092</v>
      </c>
      <c r="F606" s="60" t="n">
        <v>199.39</v>
      </c>
      <c r="G606" s="61" t="n">
        <v>0</v>
      </c>
      <c r="H606" s="61" t="n">
        <v>167.18</v>
      </c>
      <c r="I606" s="61" t="n">
        <v>15.75</v>
      </c>
      <c r="J606" s="61" t="n">
        <v>0</v>
      </c>
      <c r="K606" s="61" t="n">
        <v>12.92</v>
      </c>
      <c r="L606" s="61" t="n">
        <v>0.55</v>
      </c>
      <c r="M606" s="61" t="n">
        <v>2.99</v>
      </c>
      <c r="N606" s="61" t="n">
        <v>0</v>
      </c>
      <c r="O606" s="61" t="n">
        <v>0</v>
      </c>
      <c r="P606" s="62" t="n">
        <v>592.4</v>
      </c>
      <c r="Q606" s="0" t="n">
        <v>1</v>
      </c>
      <c r="R606" s="60" t="n">
        <f aca="false">G606+H606+I606</f>
        <v>182.93</v>
      </c>
      <c r="S606" s="60" t="n">
        <f aca="false">K606+L606+M606+N606+O606</f>
        <v>16.46</v>
      </c>
      <c r="T606" s="60" t="n">
        <f aca="false">L606+M606</f>
        <v>3.54</v>
      </c>
      <c r="U606" s="60" t="n">
        <f aca="false">S606+J606</f>
        <v>16.46</v>
      </c>
      <c r="V606" s="63" t="n">
        <f aca="false">IFERROR(S606/F606,0)</f>
        <v>0.0825517829379608</v>
      </c>
      <c r="W606" s="63" t="n">
        <f aca="false">IFERROR(R606/F606,0)</f>
        <v>0.917448217062039</v>
      </c>
      <c r="X606" s="63" t="n">
        <f aca="false">IFERROR(T606/F606,0)</f>
        <v>0.0177541501579818</v>
      </c>
      <c r="Y606" s="63" t="n">
        <f aca="false">IFERROR(G606/F606,0)</f>
        <v>0</v>
      </c>
      <c r="Z606" s="59" t="n">
        <f aca="false">IF(E606&gt;0,F606*1000000000/E606,"")</f>
        <v>1886.69618689986</v>
      </c>
      <c r="AA606" s="63" t="n">
        <f aca="false">IFERROR((R606+S606+J606)/F606,0)</f>
        <v>1</v>
      </c>
      <c r="AB606" s="0" t="str">
        <f aca="false">A606&amp;"|"&amp;D606</f>
        <v>Egypt|2018</v>
      </c>
    </row>
    <row r="607" customFormat="false" ht="15" hidden="false" customHeight="false" outlineLevel="0" collapsed="false">
      <c r="A607" s="0" t="s">
        <v>238</v>
      </c>
      <c r="B607" s="0" t="s">
        <v>476</v>
      </c>
      <c r="C607" s="0" t="s">
        <v>127</v>
      </c>
      <c r="D607" s="0" t="n">
        <v>2019</v>
      </c>
      <c r="E607" s="59" t="n">
        <v>107553159</v>
      </c>
      <c r="F607" s="60" t="n">
        <v>200.57</v>
      </c>
      <c r="G607" s="61" t="n">
        <v>0</v>
      </c>
      <c r="H607" s="61" t="n">
        <v>171.82</v>
      </c>
      <c r="I607" s="61" t="n">
        <v>9.16</v>
      </c>
      <c r="J607" s="61" t="n">
        <v>0</v>
      </c>
      <c r="K607" s="61" t="n">
        <v>13.12</v>
      </c>
      <c r="L607" s="61" t="n">
        <v>1.49</v>
      </c>
      <c r="M607" s="61" t="n">
        <v>4.98</v>
      </c>
      <c r="N607" s="61" t="n">
        <v>0</v>
      </c>
      <c r="O607" s="61" t="n">
        <v>0</v>
      </c>
      <c r="P607" s="62" t="n">
        <v>582.5</v>
      </c>
      <c r="Q607" s="0" t="n">
        <v>1</v>
      </c>
      <c r="R607" s="60" t="n">
        <f aca="false">G607+H607+I607</f>
        <v>180.98</v>
      </c>
      <c r="S607" s="60" t="n">
        <f aca="false">K607+L607+M607+N607+O607</f>
        <v>19.59</v>
      </c>
      <c r="T607" s="60" t="n">
        <f aca="false">L607+M607</f>
        <v>6.47</v>
      </c>
      <c r="U607" s="60" t="n">
        <f aca="false">S607+J607</f>
        <v>19.59</v>
      </c>
      <c r="V607" s="63" t="n">
        <f aca="false">IFERROR(S607/F607,0)</f>
        <v>0.0976716358378621</v>
      </c>
      <c r="W607" s="63" t="n">
        <f aca="false">IFERROR(R607/F607,0)</f>
        <v>0.902328364162138</v>
      </c>
      <c r="X607" s="63" t="n">
        <f aca="false">IFERROR(T607/F607,0)</f>
        <v>0.032258064516129</v>
      </c>
      <c r="Y607" s="63" t="n">
        <f aca="false">IFERROR(G607/F607,0)</f>
        <v>0</v>
      </c>
      <c r="Z607" s="59" t="n">
        <f aca="false">IF(E607&gt;0,F607*1000000000/E607,"")</f>
        <v>1864.84527153684</v>
      </c>
      <c r="AA607" s="63" t="n">
        <f aca="false">IFERROR((R607+S607+J607)/F607,0)</f>
        <v>1</v>
      </c>
      <c r="AB607" s="0" t="str">
        <f aca="false">A607&amp;"|"&amp;D607</f>
        <v>Egypt|2019</v>
      </c>
    </row>
    <row r="608" customFormat="false" ht="15" hidden="false" customHeight="false" outlineLevel="0" collapsed="false">
      <c r="A608" s="0" t="s">
        <v>238</v>
      </c>
      <c r="B608" s="0" t="s">
        <v>476</v>
      </c>
      <c r="C608" s="0" t="s">
        <v>127</v>
      </c>
      <c r="D608" s="0" t="n">
        <v>2020</v>
      </c>
      <c r="E608" s="59" t="n">
        <v>109315118</v>
      </c>
      <c r="F608" s="60" t="n">
        <v>198.6</v>
      </c>
      <c r="G608" s="61" t="n">
        <v>0</v>
      </c>
      <c r="H608" s="61" t="n">
        <v>166.86</v>
      </c>
      <c r="I608" s="61" t="n">
        <v>7.98</v>
      </c>
      <c r="J608" s="61" t="n">
        <v>0</v>
      </c>
      <c r="K608" s="61" t="n">
        <v>14.08</v>
      </c>
      <c r="L608" s="61" t="n">
        <v>4.45</v>
      </c>
      <c r="M608" s="61" t="n">
        <v>5.23</v>
      </c>
      <c r="N608" s="61" t="n">
        <v>0</v>
      </c>
      <c r="O608" s="61" t="n">
        <v>0</v>
      </c>
      <c r="P608" s="62" t="n">
        <v>569.1</v>
      </c>
      <c r="Q608" s="0" t="n">
        <v>1</v>
      </c>
      <c r="R608" s="60" t="n">
        <f aca="false">G608+H608+I608</f>
        <v>174.84</v>
      </c>
      <c r="S608" s="60" t="n">
        <f aca="false">K608+L608+M608+N608+O608</f>
        <v>23.76</v>
      </c>
      <c r="T608" s="60" t="n">
        <f aca="false">L608+M608</f>
        <v>9.68</v>
      </c>
      <c r="U608" s="60" t="n">
        <f aca="false">S608+J608</f>
        <v>23.76</v>
      </c>
      <c r="V608" s="63" t="n">
        <f aca="false">IFERROR(S608/F608,0)</f>
        <v>0.11963746223565</v>
      </c>
      <c r="W608" s="63" t="n">
        <f aca="false">IFERROR(R608/F608,0)</f>
        <v>0.880362537764351</v>
      </c>
      <c r="X608" s="63" t="n">
        <f aca="false">IFERROR(T608/F608,0)</f>
        <v>0.0487411883182276</v>
      </c>
      <c r="Y608" s="63" t="n">
        <f aca="false">IFERROR(G608/F608,0)</f>
        <v>0</v>
      </c>
      <c r="Z608" s="59" t="n">
        <f aca="false">IF(E608&gt;0,F608*1000000000/E608,"")</f>
        <v>1816.7660945122</v>
      </c>
      <c r="AA608" s="63" t="n">
        <f aca="false">IFERROR((R608+S608+J608)/F608,0)</f>
        <v>1</v>
      </c>
      <c r="AB608" s="0" t="str">
        <f aca="false">A608&amp;"|"&amp;D608</f>
        <v>Egypt|2020</v>
      </c>
    </row>
    <row r="609" customFormat="false" ht="15" hidden="false" customHeight="false" outlineLevel="0" collapsed="false">
      <c r="A609" s="0" t="s">
        <v>238</v>
      </c>
      <c r="B609" s="0" t="s">
        <v>476</v>
      </c>
      <c r="C609" s="0" t="s">
        <v>127</v>
      </c>
      <c r="D609" s="0" t="n">
        <v>2021</v>
      </c>
      <c r="E609" s="59" t="n">
        <v>110957005</v>
      </c>
      <c r="F609" s="60" t="n">
        <v>209.66</v>
      </c>
      <c r="G609" s="61" t="n">
        <v>0</v>
      </c>
      <c r="H609" s="61" t="n">
        <v>179.45</v>
      </c>
      <c r="I609" s="61" t="n">
        <v>4.85</v>
      </c>
      <c r="J609" s="61" t="n">
        <v>0</v>
      </c>
      <c r="K609" s="61" t="n">
        <v>14.9</v>
      </c>
      <c r="L609" s="61" t="n">
        <v>4.97</v>
      </c>
      <c r="M609" s="61" t="n">
        <v>5.49</v>
      </c>
      <c r="N609" s="61" t="n">
        <v>0</v>
      </c>
      <c r="O609" s="61" t="n">
        <v>0</v>
      </c>
      <c r="P609" s="62" t="n">
        <v>568.1</v>
      </c>
      <c r="Q609" s="0" t="n">
        <v>1</v>
      </c>
      <c r="R609" s="60" t="n">
        <f aca="false">G609+H609+I609</f>
        <v>184.3</v>
      </c>
      <c r="S609" s="60" t="n">
        <f aca="false">K609+L609+M609+N609+O609</f>
        <v>25.36</v>
      </c>
      <c r="T609" s="60" t="n">
        <f aca="false">L609+M609</f>
        <v>10.46</v>
      </c>
      <c r="U609" s="60" t="n">
        <f aca="false">S609+J609</f>
        <v>25.36</v>
      </c>
      <c r="V609" s="63" t="n">
        <f aca="false">IFERROR(S609/F609,0)</f>
        <v>0.120957741104646</v>
      </c>
      <c r="W609" s="63" t="n">
        <f aca="false">IFERROR(R609/F609,0)</f>
        <v>0.879042258895354</v>
      </c>
      <c r="X609" s="63" t="n">
        <f aca="false">IFERROR(T609/F609,0)</f>
        <v>0.0498902985786512</v>
      </c>
      <c r="Y609" s="63" t="n">
        <f aca="false">IFERROR(G609/F609,0)</f>
        <v>0</v>
      </c>
      <c r="Z609" s="59" t="n">
        <f aca="false">IF(E609&gt;0,F609*1000000000/E609,"")</f>
        <v>1889.5607357102</v>
      </c>
      <c r="AA609" s="63" t="n">
        <f aca="false">IFERROR((R609+S609+J609)/F609,0)</f>
        <v>1</v>
      </c>
      <c r="AB609" s="0" t="str">
        <f aca="false">A609&amp;"|"&amp;D609</f>
        <v>Egypt|2021</v>
      </c>
    </row>
    <row r="610" customFormat="false" ht="15" hidden="false" customHeight="false" outlineLevel="0" collapsed="false">
      <c r="A610" s="0" t="s">
        <v>238</v>
      </c>
      <c r="B610" s="0" t="s">
        <v>476</v>
      </c>
      <c r="C610" s="0" t="s">
        <v>127</v>
      </c>
      <c r="D610" s="0" t="n">
        <v>2022</v>
      </c>
      <c r="E610" s="59" t="n">
        <v>112618252</v>
      </c>
      <c r="F610" s="60" t="n">
        <v>216.72</v>
      </c>
      <c r="G610" s="61" t="n">
        <v>0</v>
      </c>
      <c r="H610" s="61" t="n">
        <v>183.07</v>
      </c>
      <c r="I610" s="61" t="n">
        <v>8.04</v>
      </c>
      <c r="J610" s="61" t="n">
        <v>0</v>
      </c>
      <c r="K610" s="61" t="n">
        <v>14.71</v>
      </c>
      <c r="L610" s="61" t="n">
        <v>5</v>
      </c>
      <c r="M610" s="61" t="n">
        <v>5.9</v>
      </c>
      <c r="N610" s="61" t="n">
        <v>0</v>
      </c>
      <c r="O610" s="61" t="n">
        <v>0</v>
      </c>
      <c r="P610" s="62" t="n">
        <v>570</v>
      </c>
      <c r="Q610" s="0" t="n">
        <v>1</v>
      </c>
      <c r="R610" s="60" t="n">
        <f aca="false">G610+H610+I610</f>
        <v>191.11</v>
      </c>
      <c r="S610" s="60" t="n">
        <f aca="false">K610+L610+M610+N610+O610</f>
        <v>25.61</v>
      </c>
      <c r="T610" s="60" t="n">
        <f aca="false">L610+M610</f>
        <v>10.9</v>
      </c>
      <c r="U610" s="60" t="n">
        <f aca="false">S610+J610</f>
        <v>25.61</v>
      </c>
      <c r="V610" s="63" t="n">
        <f aca="false">IFERROR(S610/F610,0)</f>
        <v>0.118170911775563</v>
      </c>
      <c r="W610" s="63" t="n">
        <f aca="false">IFERROR(R610/F610,0)</f>
        <v>0.881829088224437</v>
      </c>
      <c r="X610" s="63" t="n">
        <f aca="false">IFERROR(T610/F610,0)</f>
        <v>0.0502953119232189</v>
      </c>
      <c r="Y610" s="63" t="n">
        <f aca="false">IFERROR(G610/F610,0)</f>
        <v>0</v>
      </c>
      <c r="Z610" s="59" t="n">
        <f aca="false">IF(E610&gt;0,F610*1000000000/E610,"")</f>
        <v>1924.37723149885</v>
      </c>
      <c r="AA610" s="63" t="n">
        <f aca="false">IFERROR((R610+S610+J610)/F610,0)</f>
        <v>1</v>
      </c>
      <c r="AB610" s="0" t="str">
        <f aca="false">A610&amp;"|"&amp;D610</f>
        <v>Egypt|2022</v>
      </c>
    </row>
    <row r="611" customFormat="false" ht="15" hidden="false" customHeight="false" outlineLevel="0" collapsed="false">
      <c r="A611" s="0" t="s">
        <v>238</v>
      </c>
      <c r="B611" s="0" t="s">
        <v>476</v>
      </c>
      <c r="C611" s="0" t="s">
        <v>127</v>
      </c>
      <c r="D611" s="0" t="n">
        <v>2023</v>
      </c>
      <c r="E611" s="59" t="n">
        <v>114535772</v>
      </c>
      <c r="F611" s="60" t="n">
        <v>221.92</v>
      </c>
      <c r="G611" s="61" t="n">
        <v>0</v>
      </c>
      <c r="H611" s="61" t="n">
        <v>179.37</v>
      </c>
      <c r="I611" s="61" t="n">
        <v>16.58</v>
      </c>
      <c r="J611" s="61" t="n">
        <v>0</v>
      </c>
      <c r="K611" s="61" t="n">
        <v>15.05</v>
      </c>
      <c r="L611" s="61" t="n">
        <v>4.93</v>
      </c>
      <c r="M611" s="61" t="n">
        <v>5.99</v>
      </c>
      <c r="N611" s="61" t="n">
        <v>0</v>
      </c>
      <c r="O611" s="61" t="n">
        <v>0</v>
      </c>
      <c r="P611" s="62" t="n">
        <v>571.3</v>
      </c>
      <c r="Q611" s="0" t="n">
        <v>1</v>
      </c>
      <c r="R611" s="60" t="n">
        <f aca="false">G611+H611+I611</f>
        <v>195.95</v>
      </c>
      <c r="S611" s="60" t="n">
        <f aca="false">K611+L611+M611+N611+O611</f>
        <v>25.97</v>
      </c>
      <c r="T611" s="60" t="n">
        <f aca="false">L611+M611</f>
        <v>10.92</v>
      </c>
      <c r="U611" s="60" t="n">
        <f aca="false">S611+J611</f>
        <v>25.97</v>
      </c>
      <c r="V611" s="63" t="n">
        <f aca="false">IFERROR(S611/F611,0)</f>
        <v>0.117024152847873</v>
      </c>
      <c r="W611" s="63" t="n">
        <f aca="false">IFERROR(R611/F611,0)</f>
        <v>0.882975847152127</v>
      </c>
      <c r="X611" s="63" t="n">
        <f aca="false">IFERROR(T611/F611,0)</f>
        <v>0.0492069214131219</v>
      </c>
      <c r="Y611" s="63" t="n">
        <f aca="false">IFERROR(G611/F611,0)</f>
        <v>0</v>
      </c>
      <c r="Z611" s="59" t="n">
        <f aca="false">IF(E611&gt;0,F611*1000000000/E611,"")</f>
        <v>1937.56060770254</v>
      </c>
      <c r="AA611" s="63" t="n">
        <f aca="false">IFERROR((R611+S611+J611)/F611,0)</f>
        <v>1</v>
      </c>
      <c r="AB611" s="0" t="str">
        <f aca="false">A611&amp;"|"&amp;D611</f>
        <v>Egypt|2023</v>
      </c>
    </row>
    <row r="612" customFormat="false" ht="15" hidden="false" customHeight="false" outlineLevel="0" collapsed="false">
      <c r="A612" s="0" t="s">
        <v>238</v>
      </c>
      <c r="B612" s="0" t="s">
        <v>476</v>
      </c>
      <c r="C612" s="0" t="s">
        <v>127</v>
      </c>
      <c r="D612" s="0" t="n">
        <v>2024</v>
      </c>
      <c r="E612" s="59" t="n">
        <v>116538256</v>
      </c>
      <c r="F612" s="60" t="n">
        <v>237.39</v>
      </c>
      <c r="G612" s="61" t="n">
        <v>0</v>
      </c>
      <c r="H612" s="61" t="n">
        <v>192.98</v>
      </c>
      <c r="I612" s="61" t="n">
        <v>17.83</v>
      </c>
      <c r="J612" s="61" t="n">
        <v>0</v>
      </c>
      <c r="K612" s="61" t="n">
        <v>14.37</v>
      </c>
      <c r="L612" s="61" t="n">
        <v>6.07</v>
      </c>
      <c r="M612" s="61" t="n">
        <v>6.14</v>
      </c>
      <c r="N612" s="61" t="n">
        <v>0</v>
      </c>
      <c r="O612" s="61" t="n">
        <v>0</v>
      </c>
      <c r="P612" s="62" t="n">
        <v>574.5</v>
      </c>
      <c r="Q612" s="0" t="n">
        <v>1</v>
      </c>
      <c r="R612" s="60" t="n">
        <f aca="false">G612+H612+I612</f>
        <v>210.81</v>
      </c>
      <c r="S612" s="60" t="n">
        <f aca="false">K612+L612+M612+N612+O612</f>
        <v>26.58</v>
      </c>
      <c r="T612" s="60" t="n">
        <f aca="false">L612+M612</f>
        <v>12.21</v>
      </c>
      <c r="U612" s="60" t="n">
        <f aca="false">S612+J612</f>
        <v>26.58</v>
      </c>
      <c r="V612" s="63" t="n">
        <f aca="false">IFERROR(S612/F612,0)</f>
        <v>0.111967648173891</v>
      </c>
      <c r="W612" s="63" t="n">
        <f aca="false">IFERROR(R612/F612,0)</f>
        <v>0.888032351826109</v>
      </c>
      <c r="X612" s="63" t="n">
        <f aca="false">IFERROR(T612/F612,0)</f>
        <v>0.0514343485403766</v>
      </c>
      <c r="Y612" s="63" t="n">
        <f aca="false">IFERROR(G612/F612,0)</f>
        <v>0</v>
      </c>
      <c r="Z612" s="59" t="n">
        <f aca="false">IF(E612&gt;0,F612*1000000000/E612,"")</f>
        <v>2037.0134936634</v>
      </c>
      <c r="AA612" s="63" t="n">
        <f aca="false">IFERROR((R612+S612+J612)/F612,0)</f>
        <v>1</v>
      </c>
      <c r="AB612" s="0" t="str">
        <f aca="false">A612&amp;"|"&amp;D612</f>
        <v>Egypt|2024</v>
      </c>
    </row>
    <row r="613" customFormat="false" ht="15" hidden="false" customHeight="false" outlineLevel="0" collapsed="false">
      <c r="A613" s="0" t="s">
        <v>238</v>
      </c>
      <c r="B613" s="0" t="s">
        <v>476</v>
      </c>
      <c r="C613" s="0" t="s">
        <v>127</v>
      </c>
      <c r="D613" s="0" t="n">
        <v>2025</v>
      </c>
      <c r="E613" s="59" t="n">
        <v>118365995</v>
      </c>
      <c r="F613" s="60" t="n">
        <v>245.71</v>
      </c>
      <c r="G613" s="61" t="n">
        <v>0</v>
      </c>
      <c r="H613" s="61" t="n">
        <v>195.65</v>
      </c>
      <c r="I613" s="61" t="n">
        <v>18.08</v>
      </c>
      <c r="J613" s="61" t="n">
        <v>0</v>
      </c>
      <c r="K613" s="61" t="n">
        <v>15.07</v>
      </c>
      <c r="L613" s="61" t="n">
        <v>7.61</v>
      </c>
      <c r="M613" s="61" t="n">
        <v>9.3</v>
      </c>
      <c r="N613" s="61" t="n">
        <v>0</v>
      </c>
      <c r="O613" s="61" t="n">
        <v>0</v>
      </c>
      <c r="P613" s="62" t="n">
        <v>563.2</v>
      </c>
      <c r="Q613" s="0" t="n">
        <v>2</v>
      </c>
      <c r="R613" s="60" t="n">
        <f aca="false">G613+H613+I613</f>
        <v>213.73</v>
      </c>
      <c r="S613" s="60" t="n">
        <f aca="false">K613+L613+M613+N613+O613</f>
        <v>31.98</v>
      </c>
      <c r="T613" s="60" t="n">
        <f aca="false">L613+M613</f>
        <v>16.91</v>
      </c>
      <c r="U613" s="60" t="n">
        <f aca="false">S613+J613</f>
        <v>31.98</v>
      </c>
      <c r="V613" s="63" t="n">
        <f aca="false">IFERROR(S613/F613,0)</f>
        <v>0.130153432908714</v>
      </c>
      <c r="W613" s="63" t="n">
        <f aca="false">IFERROR(R613/F613,0)</f>
        <v>0.869846567091287</v>
      </c>
      <c r="X613" s="63" t="n">
        <f aca="false">IFERROR(T613/F613,0)</f>
        <v>0.068820967807578</v>
      </c>
      <c r="Y613" s="63" t="n">
        <f aca="false">IFERROR(G613/F613,0)</f>
        <v>0</v>
      </c>
      <c r="Z613" s="59" t="n">
        <f aca="false">IF(E613&gt;0,F613*1000000000/E613,"")</f>
        <v>2075.84957149222</v>
      </c>
      <c r="AA613" s="63" t="n">
        <f aca="false">IFERROR((R613+S613+J613)/F613,0)</f>
        <v>1</v>
      </c>
      <c r="AB613" s="0" t="str">
        <f aca="false">A613&amp;"|"&amp;D613</f>
        <v>Egypt|2025</v>
      </c>
    </row>
    <row r="614" customFormat="false" ht="15" hidden="false" customHeight="false" outlineLevel="0" collapsed="false">
      <c r="A614" s="0" t="s">
        <v>239</v>
      </c>
      <c r="B614" s="0" t="s">
        <v>477</v>
      </c>
      <c r="C614" s="0" t="s">
        <v>127</v>
      </c>
      <c r="D614" s="0" t="n">
        <v>2015</v>
      </c>
      <c r="E614" s="59" t="n">
        <v>6183675</v>
      </c>
      <c r="F614" s="60" t="n">
        <v>6.07</v>
      </c>
      <c r="G614" s="61" t="n">
        <v>0</v>
      </c>
      <c r="H614" s="61" t="n">
        <v>0</v>
      </c>
      <c r="I614" s="61" t="n">
        <v>2.53</v>
      </c>
      <c r="J614" s="61" t="n">
        <v>0</v>
      </c>
      <c r="K614" s="61" t="n">
        <v>1.42</v>
      </c>
      <c r="L614" s="61" t="n">
        <v>0.01</v>
      </c>
      <c r="M614" s="61" t="n">
        <v>0</v>
      </c>
      <c r="N614" s="61" t="n">
        <v>0.57</v>
      </c>
      <c r="O614" s="61" t="n">
        <v>1.54</v>
      </c>
      <c r="P614" s="62" t="n">
        <v>308.1</v>
      </c>
      <c r="Q614" s="0" t="n">
        <v>4</v>
      </c>
      <c r="R614" s="60" t="n">
        <f aca="false">G614+H614+I614</f>
        <v>2.53</v>
      </c>
      <c r="S614" s="60" t="n">
        <f aca="false">K614+L614+M614+N614+O614</f>
        <v>3.54</v>
      </c>
      <c r="T614" s="60" t="n">
        <f aca="false">L614+M614</f>
        <v>0.01</v>
      </c>
      <c r="U614" s="60" t="n">
        <f aca="false">S614+J614</f>
        <v>3.54</v>
      </c>
      <c r="V614" s="63" t="n">
        <f aca="false">IFERROR(S614/F614,0)</f>
        <v>0.583196046128501</v>
      </c>
      <c r="W614" s="63" t="n">
        <f aca="false">IFERROR(R614/F614,0)</f>
        <v>0.416803953871499</v>
      </c>
      <c r="X614" s="63" t="n">
        <f aca="false">IFERROR(T614/F614,0)</f>
        <v>0.00164744645799012</v>
      </c>
      <c r="Y614" s="63" t="n">
        <f aca="false">IFERROR(G614/F614,0)</f>
        <v>0</v>
      </c>
      <c r="Z614" s="59" t="n">
        <f aca="false">IF(E614&gt;0,F614*1000000000/E614,"")</f>
        <v>981.616918741687</v>
      </c>
      <c r="AA614" s="63" t="n">
        <f aca="false">IFERROR((R614+S614+J614)/F614,0)</f>
        <v>1</v>
      </c>
      <c r="AB614" s="0" t="str">
        <f aca="false">A614&amp;"|"&amp;D614</f>
        <v>El Salvador|2015</v>
      </c>
    </row>
    <row r="615" customFormat="false" ht="15" hidden="false" customHeight="false" outlineLevel="0" collapsed="false">
      <c r="A615" s="0" t="s">
        <v>239</v>
      </c>
      <c r="B615" s="0" t="s">
        <v>477</v>
      </c>
      <c r="C615" s="0" t="s">
        <v>127</v>
      </c>
      <c r="D615" s="0" t="n">
        <v>2016</v>
      </c>
      <c r="E615" s="59" t="n">
        <v>6200808</v>
      </c>
      <c r="F615" s="60" t="n">
        <v>6.16</v>
      </c>
      <c r="G615" s="61" t="n">
        <v>0</v>
      </c>
      <c r="H615" s="61" t="n">
        <v>0</v>
      </c>
      <c r="I615" s="61" t="n">
        <v>2.5</v>
      </c>
      <c r="J615" s="61" t="n">
        <v>0</v>
      </c>
      <c r="K615" s="61" t="n">
        <v>1.34</v>
      </c>
      <c r="L615" s="61" t="n">
        <v>0.02</v>
      </c>
      <c r="M615" s="61" t="n">
        <v>0</v>
      </c>
      <c r="N615" s="61" t="n">
        <v>0.72</v>
      </c>
      <c r="O615" s="61" t="n">
        <v>1.58</v>
      </c>
      <c r="P615" s="62" t="n">
        <v>308.4</v>
      </c>
      <c r="Q615" s="0" t="n">
        <v>4</v>
      </c>
      <c r="R615" s="60" t="n">
        <f aca="false">G615+H615+I615</f>
        <v>2.5</v>
      </c>
      <c r="S615" s="60" t="n">
        <f aca="false">K615+L615+M615+N615+O615</f>
        <v>3.66</v>
      </c>
      <c r="T615" s="60" t="n">
        <f aca="false">L615+M615</f>
        <v>0.02</v>
      </c>
      <c r="U615" s="60" t="n">
        <f aca="false">S615+J615</f>
        <v>3.66</v>
      </c>
      <c r="V615" s="63" t="n">
        <f aca="false">IFERROR(S615/F615,0)</f>
        <v>0.594155844155844</v>
      </c>
      <c r="W615" s="63" t="n">
        <f aca="false">IFERROR(R615/F615,0)</f>
        <v>0.405844155844156</v>
      </c>
      <c r="X615" s="63" t="n">
        <f aca="false">IFERROR(T615/F615,0)</f>
        <v>0.00324675324675325</v>
      </c>
      <c r="Y615" s="63" t="n">
        <f aca="false">IFERROR(G615/F615,0)</f>
        <v>0</v>
      </c>
      <c r="Z615" s="59" t="n">
        <f aca="false">IF(E615&gt;0,F615*1000000000/E615,"")</f>
        <v>993.418922179174</v>
      </c>
      <c r="AA615" s="63" t="n">
        <f aca="false">IFERROR((R615+S615+J615)/F615,0)</f>
        <v>1</v>
      </c>
      <c r="AB615" s="0" t="str">
        <f aca="false">A615&amp;"|"&amp;D615</f>
        <v>El Salvador|2016</v>
      </c>
    </row>
    <row r="616" customFormat="false" ht="15" hidden="false" customHeight="false" outlineLevel="0" collapsed="false">
      <c r="A616" s="0" t="s">
        <v>239</v>
      </c>
      <c r="B616" s="0" t="s">
        <v>477</v>
      </c>
      <c r="C616" s="0" t="s">
        <v>127</v>
      </c>
      <c r="D616" s="0" t="n">
        <v>2017</v>
      </c>
      <c r="E616" s="59" t="n">
        <v>6213538</v>
      </c>
      <c r="F616" s="60" t="n">
        <v>5.55</v>
      </c>
      <c r="G616" s="61" t="n">
        <v>0</v>
      </c>
      <c r="H616" s="61" t="n">
        <v>0</v>
      </c>
      <c r="I616" s="61" t="n">
        <v>1.4</v>
      </c>
      <c r="J616" s="61" t="n">
        <v>0</v>
      </c>
      <c r="K616" s="61" t="n">
        <v>1.71</v>
      </c>
      <c r="L616" s="61" t="n">
        <v>0.16</v>
      </c>
      <c r="M616" s="61" t="n">
        <v>0</v>
      </c>
      <c r="N616" s="61" t="n">
        <v>0.71</v>
      </c>
      <c r="O616" s="61" t="n">
        <v>1.57</v>
      </c>
      <c r="P616" s="62" t="n">
        <v>212.6</v>
      </c>
      <c r="Q616" s="0" t="n">
        <v>4</v>
      </c>
      <c r="R616" s="60" t="n">
        <f aca="false">G616+H616+I616</f>
        <v>1.4</v>
      </c>
      <c r="S616" s="60" t="n">
        <f aca="false">K616+L616+M616+N616+O616</f>
        <v>4.15</v>
      </c>
      <c r="T616" s="60" t="n">
        <f aca="false">L616+M616</f>
        <v>0.16</v>
      </c>
      <c r="U616" s="60" t="n">
        <f aca="false">S616+J616</f>
        <v>4.15</v>
      </c>
      <c r="V616" s="63" t="n">
        <f aca="false">IFERROR(S616/F616,0)</f>
        <v>0.747747747747748</v>
      </c>
      <c r="W616" s="63" t="n">
        <f aca="false">IFERROR(R616/F616,0)</f>
        <v>0.252252252252252</v>
      </c>
      <c r="X616" s="63" t="n">
        <f aca="false">IFERROR(T616/F616,0)</f>
        <v>0.0288288288288288</v>
      </c>
      <c r="Y616" s="63" t="n">
        <f aca="false">IFERROR(G616/F616,0)</f>
        <v>0</v>
      </c>
      <c r="Z616" s="59" t="n">
        <f aca="false">IF(E616&gt;0,F616*1000000000/E616,"")</f>
        <v>893.21092105657</v>
      </c>
      <c r="AA616" s="63" t="n">
        <f aca="false">IFERROR((R616+S616+J616)/F616,0)</f>
        <v>1</v>
      </c>
      <c r="AB616" s="0" t="str">
        <f aca="false">A616&amp;"|"&amp;D616</f>
        <v>El Salvador|2017</v>
      </c>
    </row>
    <row r="617" customFormat="false" ht="15" hidden="false" customHeight="false" outlineLevel="0" collapsed="false">
      <c r="A617" s="0" t="s">
        <v>239</v>
      </c>
      <c r="B617" s="0" t="s">
        <v>477</v>
      </c>
      <c r="C617" s="0" t="s">
        <v>127</v>
      </c>
      <c r="D617" s="0" t="n">
        <v>2018</v>
      </c>
      <c r="E617" s="59" t="n">
        <v>6219803</v>
      </c>
      <c r="F617" s="60" t="n">
        <v>5.44</v>
      </c>
      <c r="G617" s="61" t="n">
        <v>0</v>
      </c>
      <c r="H617" s="61" t="n">
        <v>0</v>
      </c>
      <c r="I617" s="61" t="n">
        <v>1.2</v>
      </c>
      <c r="J617" s="61" t="n">
        <v>0</v>
      </c>
      <c r="K617" s="61" t="n">
        <v>1.63</v>
      </c>
      <c r="L617" s="61" t="n">
        <v>0.31</v>
      </c>
      <c r="M617" s="61" t="n">
        <v>0</v>
      </c>
      <c r="N617" s="61" t="n">
        <v>0.75</v>
      </c>
      <c r="O617" s="61" t="n">
        <v>1.55</v>
      </c>
      <c r="P617" s="62" t="n">
        <v>194.8</v>
      </c>
      <c r="Q617" s="0" t="n">
        <v>4</v>
      </c>
      <c r="R617" s="60" t="n">
        <f aca="false">G617+H617+I617</f>
        <v>1.2</v>
      </c>
      <c r="S617" s="60" t="n">
        <f aca="false">K617+L617+M617+N617+O617</f>
        <v>4.24</v>
      </c>
      <c r="T617" s="60" t="n">
        <f aca="false">L617+M617</f>
        <v>0.31</v>
      </c>
      <c r="U617" s="60" t="n">
        <f aca="false">S617+J617</f>
        <v>4.24</v>
      </c>
      <c r="V617" s="63" t="n">
        <f aca="false">IFERROR(S617/F617,0)</f>
        <v>0.779411764705882</v>
      </c>
      <c r="W617" s="63" t="n">
        <f aca="false">IFERROR(R617/F617,0)</f>
        <v>0.220588235294118</v>
      </c>
      <c r="X617" s="63" t="n">
        <f aca="false">IFERROR(T617/F617,0)</f>
        <v>0.0569852941176471</v>
      </c>
      <c r="Y617" s="63" t="n">
        <f aca="false">IFERROR(G617/F617,0)</f>
        <v>0</v>
      </c>
      <c r="Z617" s="59" t="n">
        <f aca="false">IF(E617&gt;0,F617*1000000000/E617,"")</f>
        <v>874.625771909496</v>
      </c>
      <c r="AA617" s="63" t="n">
        <f aca="false">IFERROR((R617+S617+J617)/F617,0)</f>
        <v>1</v>
      </c>
      <c r="AB617" s="0" t="str">
        <f aca="false">A617&amp;"|"&amp;D617</f>
        <v>El Salvador|2018</v>
      </c>
    </row>
    <row r="618" customFormat="false" ht="15" hidden="false" customHeight="false" outlineLevel="0" collapsed="false">
      <c r="A618" s="0" t="s">
        <v>239</v>
      </c>
      <c r="B618" s="0" t="s">
        <v>477</v>
      </c>
      <c r="C618" s="0" t="s">
        <v>127</v>
      </c>
      <c r="D618" s="0" t="n">
        <v>2019</v>
      </c>
      <c r="E618" s="59" t="n">
        <v>6222316</v>
      </c>
      <c r="F618" s="60" t="n">
        <v>6.17</v>
      </c>
      <c r="G618" s="61" t="n">
        <v>0</v>
      </c>
      <c r="H618" s="61" t="n">
        <v>0</v>
      </c>
      <c r="I618" s="61" t="n">
        <v>1.76</v>
      </c>
      <c r="J618" s="61" t="n">
        <v>0</v>
      </c>
      <c r="K618" s="61" t="n">
        <v>1.53</v>
      </c>
      <c r="L618" s="61" t="n">
        <v>0.58</v>
      </c>
      <c r="M618" s="61" t="n">
        <v>0</v>
      </c>
      <c r="N618" s="61" t="n">
        <v>0.83</v>
      </c>
      <c r="O618" s="61" t="n">
        <v>1.47</v>
      </c>
      <c r="P618" s="62" t="n">
        <v>238.2</v>
      </c>
      <c r="Q618" s="0" t="n">
        <v>4</v>
      </c>
      <c r="R618" s="60" t="n">
        <f aca="false">G618+H618+I618</f>
        <v>1.76</v>
      </c>
      <c r="S618" s="60" t="n">
        <f aca="false">K618+L618+M618+N618+O618</f>
        <v>4.41</v>
      </c>
      <c r="T618" s="60" t="n">
        <f aca="false">L618+M618</f>
        <v>0.58</v>
      </c>
      <c r="U618" s="60" t="n">
        <f aca="false">S618+J618</f>
        <v>4.41</v>
      </c>
      <c r="V618" s="63" t="n">
        <f aca="false">IFERROR(S618/F618,0)</f>
        <v>0.714748784440843</v>
      </c>
      <c r="W618" s="63" t="n">
        <f aca="false">IFERROR(R618/F618,0)</f>
        <v>0.285251215559157</v>
      </c>
      <c r="X618" s="63" t="n">
        <f aca="false">IFERROR(T618/F618,0)</f>
        <v>0.0940032414910859</v>
      </c>
      <c r="Y618" s="63" t="n">
        <f aca="false">IFERROR(G618/F618,0)</f>
        <v>0</v>
      </c>
      <c r="Z618" s="59" t="n">
        <f aca="false">IF(E618&gt;0,F618*1000000000/E618,"")</f>
        <v>991.592198146157</v>
      </c>
      <c r="AA618" s="63" t="n">
        <f aca="false">IFERROR((R618+S618+J618)/F618,0)</f>
        <v>1</v>
      </c>
      <c r="AB618" s="0" t="str">
        <f aca="false">A618&amp;"|"&amp;D618</f>
        <v>El Salvador|2019</v>
      </c>
    </row>
    <row r="619" customFormat="false" ht="15" hidden="false" customHeight="false" outlineLevel="0" collapsed="false">
      <c r="A619" s="0" t="s">
        <v>239</v>
      </c>
      <c r="B619" s="0" t="s">
        <v>477</v>
      </c>
      <c r="C619" s="0" t="s">
        <v>127</v>
      </c>
      <c r="D619" s="0" t="n">
        <v>2020</v>
      </c>
      <c r="E619" s="59" t="n">
        <v>6234679</v>
      </c>
      <c r="F619" s="60" t="n">
        <v>6.43</v>
      </c>
      <c r="G619" s="61" t="n">
        <v>0</v>
      </c>
      <c r="H619" s="61" t="n">
        <v>0</v>
      </c>
      <c r="I619" s="61" t="n">
        <v>0.98</v>
      </c>
      <c r="J619" s="61" t="n">
        <v>0</v>
      </c>
      <c r="K619" s="61" t="n">
        <v>2.07</v>
      </c>
      <c r="L619" s="61" t="n">
        <v>0.99</v>
      </c>
      <c r="M619" s="61" t="n">
        <v>0.01</v>
      </c>
      <c r="N619" s="61" t="n">
        <v>0.82</v>
      </c>
      <c r="O619" s="61" t="n">
        <v>1.56</v>
      </c>
      <c r="P619" s="62" t="n">
        <v>152.4</v>
      </c>
      <c r="Q619" s="0" t="n">
        <v>3</v>
      </c>
      <c r="R619" s="60" t="n">
        <f aca="false">G619+H619+I619</f>
        <v>0.98</v>
      </c>
      <c r="S619" s="60" t="n">
        <f aca="false">K619+L619+M619+N619+O619</f>
        <v>5.45</v>
      </c>
      <c r="T619" s="60" t="n">
        <f aca="false">L619+M619</f>
        <v>1</v>
      </c>
      <c r="U619" s="60" t="n">
        <f aca="false">S619+J619</f>
        <v>5.45</v>
      </c>
      <c r="V619" s="63" t="n">
        <f aca="false">IFERROR(S619/F619,0)</f>
        <v>0.847589424572317</v>
      </c>
      <c r="W619" s="63" t="n">
        <f aca="false">IFERROR(R619/F619,0)</f>
        <v>0.152410575427683</v>
      </c>
      <c r="X619" s="63" t="n">
        <f aca="false">IFERROR(T619/F619,0)</f>
        <v>0.15552099533437</v>
      </c>
      <c r="Y619" s="63" t="n">
        <f aca="false">IFERROR(G619/F619,0)</f>
        <v>0</v>
      </c>
      <c r="Z619" s="59" t="n">
        <f aca="false">IF(E619&gt;0,F619*1000000000/E619,"")</f>
        <v>1031.32815658994</v>
      </c>
      <c r="AA619" s="63" t="n">
        <f aca="false">IFERROR((R619+S619+J619)/F619,0)</f>
        <v>1</v>
      </c>
      <c r="AB619" s="0" t="str">
        <f aca="false">A619&amp;"|"&amp;D619</f>
        <v>El Salvador|2020</v>
      </c>
    </row>
    <row r="620" customFormat="false" ht="15" hidden="false" customHeight="false" outlineLevel="0" collapsed="false">
      <c r="A620" s="0" t="s">
        <v>239</v>
      </c>
      <c r="B620" s="0" t="s">
        <v>477</v>
      </c>
      <c r="C620" s="0" t="s">
        <v>127</v>
      </c>
      <c r="D620" s="0" t="n">
        <v>2021</v>
      </c>
      <c r="E620" s="59" t="n">
        <v>6255780</v>
      </c>
      <c r="F620" s="60" t="n">
        <v>7.09</v>
      </c>
      <c r="G620" s="61" t="n">
        <v>0</v>
      </c>
      <c r="H620" s="61" t="n">
        <v>0</v>
      </c>
      <c r="I620" s="61" t="n">
        <v>0.99</v>
      </c>
      <c r="J620" s="61" t="n">
        <v>0</v>
      </c>
      <c r="K620" s="61" t="n">
        <v>1.82</v>
      </c>
      <c r="L620" s="61" t="n">
        <v>1.69</v>
      </c>
      <c r="M620" s="61" t="n">
        <v>0.13</v>
      </c>
      <c r="N620" s="61" t="n">
        <v>0.9</v>
      </c>
      <c r="O620" s="61" t="n">
        <v>1.56</v>
      </c>
      <c r="P620" s="62" t="n">
        <v>143.9</v>
      </c>
      <c r="Q620" s="0" t="n">
        <v>3</v>
      </c>
      <c r="R620" s="60" t="n">
        <f aca="false">G620+H620+I620</f>
        <v>0.99</v>
      </c>
      <c r="S620" s="60" t="n">
        <f aca="false">K620+L620+M620+N620+O620</f>
        <v>6.1</v>
      </c>
      <c r="T620" s="60" t="n">
        <f aca="false">L620+M620</f>
        <v>1.82</v>
      </c>
      <c r="U620" s="60" t="n">
        <f aca="false">S620+J620</f>
        <v>6.1</v>
      </c>
      <c r="V620" s="63" t="n">
        <f aca="false">IFERROR(S620/F620,0)</f>
        <v>0.860366713681241</v>
      </c>
      <c r="W620" s="63" t="n">
        <f aca="false">IFERROR(R620/F620,0)</f>
        <v>0.139633286318759</v>
      </c>
      <c r="X620" s="63" t="n">
        <f aca="false">IFERROR(T620/F620,0)</f>
        <v>0.256699576868829</v>
      </c>
      <c r="Y620" s="63" t="n">
        <f aca="false">IFERROR(G620/F620,0)</f>
        <v>0</v>
      </c>
      <c r="Z620" s="59" t="n">
        <f aca="false">IF(E620&gt;0,F620*1000000000/E620,"")</f>
        <v>1133.3518761849</v>
      </c>
      <c r="AA620" s="63" t="n">
        <f aca="false">IFERROR((R620+S620+J620)/F620,0)</f>
        <v>1</v>
      </c>
      <c r="AB620" s="0" t="str">
        <f aca="false">A620&amp;"|"&amp;D620</f>
        <v>El Salvador|2021</v>
      </c>
    </row>
    <row r="621" customFormat="false" ht="15" hidden="false" customHeight="false" outlineLevel="0" collapsed="false">
      <c r="A621" s="0" t="s">
        <v>239</v>
      </c>
      <c r="B621" s="0" t="s">
        <v>477</v>
      </c>
      <c r="C621" s="0" t="s">
        <v>127</v>
      </c>
      <c r="D621" s="0" t="n">
        <v>2022</v>
      </c>
      <c r="E621" s="59" t="n">
        <v>6280316</v>
      </c>
      <c r="F621" s="60" t="n">
        <v>6.63</v>
      </c>
      <c r="G621" s="61" t="n">
        <v>0</v>
      </c>
      <c r="H621" s="61" t="n">
        <v>0</v>
      </c>
      <c r="I621" s="61" t="n">
        <v>0.61</v>
      </c>
      <c r="J621" s="61" t="n">
        <v>0</v>
      </c>
      <c r="K621" s="61" t="n">
        <v>2.24</v>
      </c>
      <c r="L621" s="61" t="n">
        <v>1.24</v>
      </c>
      <c r="M621" s="61" t="n">
        <v>0.14</v>
      </c>
      <c r="N621" s="61" t="n">
        <v>0.82</v>
      </c>
      <c r="O621" s="61" t="n">
        <v>1.58</v>
      </c>
      <c r="P621" s="62" t="n">
        <v>113.1</v>
      </c>
      <c r="Q621" s="0" t="n">
        <v>3</v>
      </c>
      <c r="R621" s="60" t="n">
        <f aca="false">G621+H621+I621</f>
        <v>0.61</v>
      </c>
      <c r="S621" s="60" t="n">
        <f aca="false">K621+L621+M621+N621+O621</f>
        <v>6.02</v>
      </c>
      <c r="T621" s="60" t="n">
        <f aca="false">L621+M621</f>
        <v>1.38</v>
      </c>
      <c r="U621" s="60" t="n">
        <f aca="false">S621+J621</f>
        <v>6.02</v>
      </c>
      <c r="V621" s="63" t="n">
        <f aca="false">IFERROR(S621/F621,0)</f>
        <v>0.907993966817496</v>
      </c>
      <c r="W621" s="63" t="n">
        <f aca="false">IFERROR(R621/F621,0)</f>
        <v>0.0920060331825038</v>
      </c>
      <c r="X621" s="63" t="n">
        <f aca="false">IFERROR(T621/F621,0)</f>
        <v>0.20814479638009</v>
      </c>
      <c r="Y621" s="63" t="n">
        <f aca="false">IFERROR(G621/F621,0)</f>
        <v>0</v>
      </c>
      <c r="Z621" s="59" t="n">
        <f aca="false">IF(E621&gt;0,F621*1000000000/E621,"")</f>
        <v>1055.67936390462</v>
      </c>
      <c r="AA621" s="63" t="n">
        <f aca="false">IFERROR((R621+S621+J621)/F621,0)</f>
        <v>1</v>
      </c>
      <c r="AB621" s="0" t="str">
        <f aca="false">A621&amp;"|"&amp;D621</f>
        <v>El Salvador|2022</v>
      </c>
    </row>
    <row r="622" customFormat="false" ht="15" hidden="false" customHeight="false" outlineLevel="0" collapsed="false">
      <c r="A622" s="0" t="s">
        <v>239</v>
      </c>
      <c r="B622" s="0" t="s">
        <v>477</v>
      </c>
      <c r="C622" s="0" t="s">
        <v>127</v>
      </c>
      <c r="D622" s="0" t="n">
        <v>2023</v>
      </c>
      <c r="E622" s="59" t="n">
        <v>6309629</v>
      </c>
      <c r="F622" s="60" t="n">
        <v>5.98</v>
      </c>
      <c r="G622" s="61" t="n">
        <v>0</v>
      </c>
      <c r="H622" s="61" t="n">
        <v>0</v>
      </c>
      <c r="I622" s="61" t="n">
        <v>0.73</v>
      </c>
      <c r="J622" s="61" t="n">
        <v>0</v>
      </c>
      <c r="K622" s="61" t="n">
        <v>1.49</v>
      </c>
      <c r="L622" s="61" t="n">
        <v>1.2</v>
      </c>
      <c r="M622" s="61" t="n">
        <v>0.17</v>
      </c>
      <c r="N622" s="61" t="n">
        <v>0.8</v>
      </c>
      <c r="O622" s="61" t="n">
        <v>1.59</v>
      </c>
      <c r="P622" s="62" t="n">
        <v>135.4</v>
      </c>
      <c r="Q622" s="0" t="n">
        <v>3</v>
      </c>
      <c r="R622" s="60" t="n">
        <f aca="false">G622+H622+I622</f>
        <v>0.73</v>
      </c>
      <c r="S622" s="60" t="n">
        <f aca="false">K622+L622+M622+N622+O622</f>
        <v>5.25</v>
      </c>
      <c r="T622" s="60" t="n">
        <f aca="false">L622+M622</f>
        <v>1.37</v>
      </c>
      <c r="U622" s="60" t="n">
        <f aca="false">S622+J622</f>
        <v>5.25</v>
      </c>
      <c r="V622" s="63" t="n">
        <f aca="false">IFERROR(S622/F622,0)</f>
        <v>0.877926421404682</v>
      </c>
      <c r="W622" s="63" t="n">
        <f aca="false">IFERROR(R622/F622,0)</f>
        <v>0.122073578595318</v>
      </c>
      <c r="X622" s="63" t="n">
        <f aca="false">IFERROR(T622/F622,0)</f>
        <v>0.229096989966555</v>
      </c>
      <c r="Y622" s="63" t="n">
        <f aca="false">IFERROR(G622/F622,0)</f>
        <v>0</v>
      </c>
      <c r="Z622" s="59" t="n">
        <f aca="false">IF(E622&gt;0,F622*1000000000/E622,"")</f>
        <v>947.757784173998</v>
      </c>
      <c r="AA622" s="63" t="n">
        <f aca="false">IFERROR((R622+S622+J622)/F622,0)</f>
        <v>1</v>
      </c>
      <c r="AB622" s="0" t="str">
        <f aca="false">A622&amp;"|"&amp;D622</f>
        <v>El Salvador|2023</v>
      </c>
    </row>
    <row r="623" customFormat="false" ht="15" hidden="false" customHeight="false" outlineLevel="0" collapsed="false">
      <c r="A623" s="0" t="s">
        <v>239</v>
      </c>
      <c r="B623" s="0" t="s">
        <v>477</v>
      </c>
      <c r="C623" s="0" t="s">
        <v>127</v>
      </c>
      <c r="D623" s="0" t="n">
        <v>2024</v>
      </c>
      <c r="E623" s="59" t="n">
        <v>6338197</v>
      </c>
      <c r="F623" s="60" t="n">
        <v>6.53</v>
      </c>
      <c r="G623" s="61" t="n">
        <v>0</v>
      </c>
      <c r="H623" s="61" t="n">
        <v>0</v>
      </c>
      <c r="I623" s="61" t="n">
        <v>0.6</v>
      </c>
      <c r="J623" s="61" t="n">
        <v>0</v>
      </c>
      <c r="K623" s="61" t="n">
        <v>2.13</v>
      </c>
      <c r="L623" s="61" t="n">
        <v>1.25</v>
      </c>
      <c r="M623" s="61" t="n">
        <v>0.14</v>
      </c>
      <c r="N623" s="61" t="n">
        <v>0.83</v>
      </c>
      <c r="O623" s="61" t="n">
        <v>1.58</v>
      </c>
      <c r="P623" s="62" t="n">
        <v>113.3</v>
      </c>
      <c r="Q623" s="0" t="n">
        <v>3</v>
      </c>
      <c r="R623" s="60" t="n">
        <f aca="false">G623+H623+I623</f>
        <v>0.6</v>
      </c>
      <c r="S623" s="60" t="n">
        <f aca="false">K623+L623+M623+N623+O623</f>
        <v>5.93</v>
      </c>
      <c r="T623" s="60" t="n">
        <f aca="false">L623+M623</f>
        <v>1.39</v>
      </c>
      <c r="U623" s="60" t="n">
        <f aca="false">S623+J623</f>
        <v>5.93</v>
      </c>
      <c r="V623" s="63" t="n">
        <f aca="false">IFERROR(S623/F623,0)</f>
        <v>0.908116385911179</v>
      </c>
      <c r="W623" s="63" t="n">
        <f aca="false">IFERROR(R623/F623,0)</f>
        <v>0.0918836140888208</v>
      </c>
      <c r="X623" s="63" t="n">
        <f aca="false">IFERROR(T623/F623,0)</f>
        <v>0.212863705972435</v>
      </c>
      <c r="Y623" s="63" t="n">
        <f aca="false">IFERROR(G623/F623,0)</f>
        <v>0</v>
      </c>
      <c r="Z623" s="59" t="n">
        <f aca="false">IF(E623&gt;0,F623*1000000000/E623,"")</f>
        <v>1030.26144501346</v>
      </c>
      <c r="AA623" s="63" t="n">
        <f aca="false">IFERROR((R623+S623+J623)/F623,0)</f>
        <v>1</v>
      </c>
      <c r="AB623" s="0" t="str">
        <f aca="false">A623&amp;"|"&amp;D623</f>
        <v>El Salvador|2024</v>
      </c>
    </row>
    <row r="624" customFormat="false" ht="15" hidden="false" customHeight="false" outlineLevel="0" collapsed="false">
      <c r="A624" s="0" t="s">
        <v>239</v>
      </c>
      <c r="B624" s="0" t="s">
        <v>477</v>
      </c>
      <c r="C624" s="0" t="s">
        <v>127</v>
      </c>
      <c r="D624" s="0" t="n">
        <v>2025</v>
      </c>
      <c r="E624" s="59" t="n">
        <v>6365506</v>
      </c>
      <c r="F624" s="60" t="n">
        <v>6.46</v>
      </c>
      <c r="G624" s="61" t="n">
        <v>0</v>
      </c>
      <c r="H624" s="61" t="n">
        <v>0</v>
      </c>
      <c r="I624" s="61" t="n">
        <v>0.87</v>
      </c>
      <c r="J624" s="61" t="n">
        <v>0</v>
      </c>
      <c r="K624" s="61" t="n">
        <v>1.96</v>
      </c>
      <c r="L624" s="61" t="n">
        <v>1.31</v>
      </c>
      <c r="M624" s="61" t="n">
        <v>0.2</v>
      </c>
      <c r="N624" s="61" t="n">
        <v>0.78</v>
      </c>
      <c r="O624" s="61" t="n">
        <v>1.34</v>
      </c>
      <c r="P624" s="62" t="n">
        <v>139.3</v>
      </c>
      <c r="Q624" s="0" t="n">
        <v>3</v>
      </c>
      <c r="R624" s="60" t="n">
        <f aca="false">G624+H624+I624</f>
        <v>0.87</v>
      </c>
      <c r="S624" s="60" t="n">
        <f aca="false">K624+L624+M624+N624+O624</f>
        <v>5.59</v>
      </c>
      <c r="T624" s="60" t="n">
        <f aca="false">L624+M624</f>
        <v>1.51</v>
      </c>
      <c r="U624" s="60" t="n">
        <f aca="false">S624+J624</f>
        <v>5.59</v>
      </c>
      <c r="V624" s="63" t="n">
        <f aca="false">IFERROR(S624/F624,0)</f>
        <v>0.865325077399381</v>
      </c>
      <c r="W624" s="63" t="n">
        <f aca="false">IFERROR(R624/F624,0)</f>
        <v>0.134674922600619</v>
      </c>
      <c r="X624" s="63" t="n">
        <f aca="false">IFERROR(T624/F624,0)</f>
        <v>0.23374613003096</v>
      </c>
      <c r="Y624" s="63" t="n">
        <f aca="false">IFERROR(G624/F624,0)</f>
        <v>0</v>
      </c>
      <c r="Z624" s="59" t="n">
        <f aca="false">IF(E624&gt;0,F624*1000000000/E624,"")</f>
        <v>1014.84469577124</v>
      </c>
      <c r="AA624" s="63" t="n">
        <f aca="false">IFERROR((R624+S624+J624)/F624,0)</f>
        <v>1</v>
      </c>
      <c r="AB624" s="0" t="str">
        <f aca="false">A624&amp;"|"&amp;D624</f>
        <v>El Salvador|2025</v>
      </c>
    </row>
    <row r="625" customFormat="false" ht="15" hidden="false" customHeight="false" outlineLevel="0" collapsed="false">
      <c r="A625" s="0" t="s">
        <v>240</v>
      </c>
      <c r="B625" s="0" t="s">
        <v>478</v>
      </c>
      <c r="C625" s="0" t="s">
        <v>127</v>
      </c>
      <c r="D625" s="0" t="n">
        <v>2015</v>
      </c>
      <c r="E625" s="59" t="n">
        <v>1453925</v>
      </c>
      <c r="F625" s="60" t="n">
        <v>1.3</v>
      </c>
      <c r="G625" s="61" t="n">
        <v>0</v>
      </c>
      <c r="H625" s="61" t="n">
        <v>0.82</v>
      </c>
      <c r="I625" s="61" t="n">
        <v>0.01</v>
      </c>
      <c r="J625" s="61" t="n">
        <v>0</v>
      </c>
      <c r="K625" s="61" t="n">
        <v>0.47</v>
      </c>
      <c r="L625" s="61" t="n">
        <v>0</v>
      </c>
      <c r="M625" s="61" t="n">
        <v>0</v>
      </c>
      <c r="N625" s="61" t="n">
        <v>0</v>
      </c>
      <c r="O625" s="61" t="n">
        <v>0</v>
      </c>
      <c r="P625" s="62" t="n">
        <v>569.2</v>
      </c>
      <c r="Q625" s="0" t="n">
        <v>0</v>
      </c>
      <c r="R625" s="60" t="n">
        <f aca="false">G625+H625+I625</f>
        <v>0.83</v>
      </c>
      <c r="S625" s="60" t="n">
        <f aca="false">K625+L625+M625+N625+O625</f>
        <v>0.47</v>
      </c>
      <c r="T625" s="60" t="n">
        <f aca="false">L625+M625</f>
        <v>0</v>
      </c>
      <c r="U625" s="60" t="n">
        <f aca="false">S625+J625</f>
        <v>0.47</v>
      </c>
      <c r="V625" s="63" t="n">
        <f aca="false">IFERROR(S625/F625,0)</f>
        <v>0.361538461538462</v>
      </c>
      <c r="W625" s="63" t="n">
        <f aca="false">IFERROR(R625/F625,0)</f>
        <v>0.638461538461538</v>
      </c>
      <c r="X625" s="63" t="n">
        <f aca="false">IFERROR(T625/F625,0)</f>
        <v>0</v>
      </c>
      <c r="Y625" s="63" t="n">
        <f aca="false">IFERROR(G625/F625,0)</f>
        <v>0</v>
      </c>
      <c r="Z625" s="59" t="n">
        <f aca="false">IF(E625&gt;0,F625*1000000000/E625,"")</f>
        <v>894.131402926561</v>
      </c>
      <c r="AA625" s="63" t="n">
        <f aca="false">IFERROR((R625+S625+J625)/F625,0)</f>
        <v>1</v>
      </c>
      <c r="AB625" s="0" t="str">
        <f aca="false">A625&amp;"|"&amp;D625</f>
        <v>Equatorial Guinea|2015</v>
      </c>
    </row>
    <row r="626" customFormat="false" ht="15" hidden="false" customHeight="false" outlineLevel="0" collapsed="false">
      <c r="A626" s="0" t="s">
        <v>240</v>
      </c>
      <c r="B626" s="0" t="s">
        <v>478</v>
      </c>
      <c r="C626" s="0" t="s">
        <v>127</v>
      </c>
      <c r="D626" s="0" t="n">
        <v>2016</v>
      </c>
      <c r="E626" s="59" t="n">
        <v>1508192</v>
      </c>
      <c r="F626" s="60" t="n">
        <v>1.4</v>
      </c>
      <c r="G626" s="61" t="n">
        <v>0</v>
      </c>
      <c r="H626" s="61" t="n">
        <v>0.92</v>
      </c>
      <c r="I626" s="61" t="n">
        <v>0.01</v>
      </c>
      <c r="J626" s="61" t="n">
        <v>0</v>
      </c>
      <c r="K626" s="61" t="n">
        <v>0.47</v>
      </c>
      <c r="L626" s="61" t="n">
        <v>0</v>
      </c>
      <c r="M626" s="61" t="n">
        <v>0</v>
      </c>
      <c r="N626" s="61" t="n">
        <v>0</v>
      </c>
      <c r="O626" s="61" t="n">
        <v>0</v>
      </c>
      <c r="P626" s="62" t="n">
        <v>585.7</v>
      </c>
      <c r="Q626" s="0" t="n">
        <v>0</v>
      </c>
      <c r="R626" s="60" t="n">
        <f aca="false">G626+H626+I626</f>
        <v>0.93</v>
      </c>
      <c r="S626" s="60" t="n">
        <f aca="false">K626+L626+M626+N626+O626</f>
        <v>0.47</v>
      </c>
      <c r="T626" s="60" t="n">
        <f aca="false">L626+M626</f>
        <v>0</v>
      </c>
      <c r="U626" s="60" t="n">
        <f aca="false">S626+J626</f>
        <v>0.47</v>
      </c>
      <c r="V626" s="63" t="n">
        <f aca="false">IFERROR(S626/F626,0)</f>
        <v>0.335714285714286</v>
      </c>
      <c r="W626" s="63" t="n">
        <f aca="false">IFERROR(R626/F626,0)</f>
        <v>0.664285714285714</v>
      </c>
      <c r="X626" s="63" t="n">
        <f aca="false">IFERROR(T626/F626,0)</f>
        <v>0</v>
      </c>
      <c r="Y626" s="63" t="n">
        <f aca="false">IFERROR(G626/F626,0)</f>
        <v>0</v>
      </c>
      <c r="Z626" s="59" t="n">
        <f aca="false">IF(E626&gt;0,F626*1000000000/E626,"")</f>
        <v>928.263775434427</v>
      </c>
      <c r="AA626" s="63" t="n">
        <f aca="false">IFERROR((R626+S626+J626)/F626,0)</f>
        <v>1</v>
      </c>
      <c r="AB626" s="0" t="str">
        <f aca="false">A626&amp;"|"&amp;D626</f>
        <v>Equatorial Guinea|2016</v>
      </c>
    </row>
    <row r="627" customFormat="false" ht="15" hidden="false" customHeight="false" outlineLevel="0" collapsed="false">
      <c r="A627" s="0" t="s">
        <v>240</v>
      </c>
      <c r="B627" s="0" t="s">
        <v>478</v>
      </c>
      <c r="C627" s="0" t="s">
        <v>127</v>
      </c>
      <c r="D627" s="0" t="n">
        <v>2017</v>
      </c>
      <c r="E627" s="59" t="n">
        <v>1562401</v>
      </c>
      <c r="F627" s="60" t="n">
        <v>1.34</v>
      </c>
      <c r="G627" s="61" t="n">
        <v>0</v>
      </c>
      <c r="H627" s="61" t="n">
        <v>0.89</v>
      </c>
      <c r="I627" s="61" t="n">
        <v>0.01</v>
      </c>
      <c r="J627" s="61" t="n">
        <v>0</v>
      </c>
      <c r="K627" s="61" t="n">
        <v>0.44</v>
      </c>
      <c r="L627" s="61" t="n">
        <v>0</v>
      </c>
      <c r="M627" s="61" t="n">
        <v>0</v>
      </c>
      <c r="N627" s="61" t="n">
        <v>0</v>
      </c>
      <c r="O627" s="61" t="n">
        <v>0</v>
      </c>
      <c r="P627" s="62" t="n">
        <v>597</v>
      </c>
      <c r="Q627" s="0" t="n">
        <v>0</v>
      </c>
      <c r="R627" s="60" t="n">
        <f aca="false">G627+H627+I627</f>
        <v>0.9</v>
      </c>
      <c r="S627" s="60" t="n">
        <f aca="false">K627+L627+M627+N627+O627</f>
        <v>0.44</v>
      </c>
      <c r="T627" s="60" t="n">
        <f aca="false">L627+M627</f>
        <v>0</v>
      </c>
      <c r="U627" s="60" t="n">
        <f aca="false">S627+J627</f>
        <v>0.44</v>
      </c>
      <c r="V627" s="63" t="n">
        <f aca="false">IFERROR(S627/F627,0)</f>
        <v>0.328358208955224</v>
      </c>
      <c r="W627" s="63" t="n">
        <f aca="false">IFERROR(R627/F627,0)</f>
        <v>0.671641791044776</v>
      </c>
      <c r="X627" s="63" t="n">
        <f aca="false">IFERROR(T627/F627,0)</f>
        <v>0</v>
      </c>
      <c r="Y627" s="63" t="n">
        <f aca="false">IFERROR(G627/F627,0)</f>
        <v>0</v>
      </c>
      <c r="Z627" s="59" t="n">
        <f aca="false">IF(E627&gt;0,F627*1000000000/E627,"")</f>
        <v>857.654340979044</v>
      </c>
      <c r="AA627" s="63" t="n">
        <f aca="false">IFERROR((R627+S627+J627)/F627,0)</f>
        <v>1</v>
      </c>
      <c r="AB627" s="0" t="str">
        <f aca="false">A627&amp;"|"&amp;D627</f>
        <v>Equatorial Guinea|2017</v>
      </c>
    </row>
    <row r="628" customFormat="false" ht="15" hidden="false" customHeight="false" outlineLevel="0" collapsed="false">
      <c r="A628" s="0" t="s">
        <v>240</v>
      </c>
      <c r="B628" s="0" t="s">
        <v>478</v>
      </c>
      <c r="C628" s="0" t="s">
        <v>127</v>
      </c>
      <c r="D628" s="0" t="n">
        <v>2018</v>
      </c>
      <c r="E628" s="59" t="n">
        <v>1616425</v>
      </c>
      <c r="F628" s="60" t="n">
        <v>1.35</v>
      </c>
      <c r="G628" s="61" t="n">
        <v>0</v>
      </c>
      <c r="H628" s="61" t="n">
        <v>0.9</v>
      </c>
      <c r="I628" s="61" t="n">
        <v>0.01</v>
      </c>
      <c r="J628" s="61" t="n">
        <v>0</v>
      </c>
      <c r="K628" s="61" t="n">
        <v>0.44</v>
      </c>
      <c r="L628" s="61" t="n">
        <v>0</v>
      </c>
      <c r="M628" s="61" t="n">
        <v>0</v>
      </c>
      <c r="N628" s="61" t="n">
        <v>0</v>
      </c>
      <c r="O628" s="61" t="n">
        <v>0</v>
      </c>
      <c r="P628" s="62" t="n">
        <v>592.6</v>
      </c>
      <c r="Q628" s="0" t="n">
        <v>0</v>
      </c>
      <c r="R628" s="60" t="n">
        <f aca="false">G628+H628+I628</f>
        <v>0.91</v>
      </c>
      <c r="S628" s="60" t="n">
        <f aca="false">K628+L628+M628+N628+O628</f>
        <v>0.44</v>
      </c>
      <c r="T628" s="60" t="n">
        <f aca="false">L628+M628</f>
        <v>0</v>
      </c>
      <c r="U628" s="60" t="n">
        <f aca="false">S628+J628</f>
        <v>0.44</v>
      </c>
      <c r="V628" s="63" t="n">
        <f aca="false">IFERROR(S628/F628,0)</f>
        <v>0.325925925925926</v>
      </c>
      <c r="W628" s="63" t="n">
        <f aca="false">IFERROR(R628/F628,0)</f>
        <v>0.674074074074074</v>
      </c>
      <c r="X628" s="63" t="n">
        <f aca="false">IFERROR(T628/F628,0)</f>
        <v>0</v>
      </c>
      <c r="Y628" s="63" t="n">
        <f aca="false">IFERROR(G628/F628,0)</f>
        <v>0</v>
      </c>
      <c r="Z628" s="59" t="n">
        <f aca="false">IF(E628&gt;0,F628*1000000000/E628,"")</f>
        <v>835.17639234731</v>
      </c>
      <c r="AA628" s="63" t="n">
        <f aca="false">IFERROR((R628+S628+J628)/F628,0)</f>
        <v>1</v>
      </c>
      <c r="AB628" s="0" t="str">
        <f aca="false">A628&amp;"|"&amp;D628</f>
        <v>Equatorial Guinea|2018</v>
      </c>
    </row>
    <row r="629" customFormat="false" ht="15" hidden="false" customHeight="false" outlineLevel="0" collapsed="false">
      <c r="A629" s="0" t="s">
        <v>240</v>
      </c>
      <c r="B629" s="0" t="s">
        <v>478</v>
      </c>
      <c r="C629" s="0" t="s">
        <v>127</v>
      </c>
      <c r="D629" s="0" t="n">
        <v>2019</v>
      </c>
      <c r="E629" s="59" t="n">
        <v>1670184</v>
      </c>
      <c r="F629" s="60" t="n">
        <v>1.4</v>
      </c>
      <c r="G629" s="61" t="n">
        <v>0</v>
      </c>
      <c r="H629" s="61" t="n">
        <v>0.94</v>
      </c>
      <c r="I629" s="61" t="n">
        <v>0.01</v>
      </c>
      <c r="J629" s="61" t="n">
        <v>0</v>
      </c>
      <c r="K629" s="61" t="n">
        <v>0.45</v>
      </c>
      <c r="L629" s="61" t="n">
        <v>0</v>
      </c>
      <c r="M629" s="61" t="n">
        <v>0</v>
      </c>
      <c r="N629" s="61" t="n">
        <v>0</v>
      </c>
      <c r="O629" s="61" t="n">
        <v>0</v>
      </c>
      <c r="P629" s="62" t="n">
        <v>600</v>
      </c>
      <c r="Q629" s="0" t="n">
        <v>0</v>
      </c>
      <c r="R629" s="60" t="n">
        <f aca="false">G629+H629+I629</f>
        <v>0.95</v>
      </c>
      <c r="S629" s="60" t="n">
        <f aca="false">K629+L629+M629+N629+O629</f>
        <v>0.45</v>
      </c>
      <c r="T629" s="60" t="n">
        <f aca="false">L629+M629</f>
        <v>0</v>
      </c>
      <c r="U629" s="60" t="n">
        <f aca="false">S629+J629</f>
        <v>0.45</v>
      </c>
      <c r="V629" s="63" t="n">
        <f aca="false">IFERROR(S629/F629,0)</f>
        <v>0.321428571428571</v>
      </c>
      <c r="W629" s="63" t="n">
        <f aca="false">IFERROR(R629/F629,0)</f>
        <v>0.678571428571429</v>
      </c>
      <c r="X629" s="63" t="n">
        <f aca="false">IFERROR(T629/F629,0)</f>
        <v>0</v>
      </c>
      <c r="Y629" s="63" t="n">
        <f aca="false">IFERROR(G629/F629,0)</f>
        <v>0</v>
      </c>
      <c r="Z629" s="59" t="n">
        <f aca="false">IF(E629&gt;0,F629*1000000000/E629,"")</f>
        <v>838.230997303291</v>
      </c>
      <c r="AA629" s="63" t="n">
        <f aca="false">IFERROR((R629+S629+J629)/F629,0)</f>
        <v>1</v>
      </c>
      <c r="AB629" s="0" t="str">
        <f aca="false">A629&amp;"|"&amp;D629</f>
        <v>Equatorial Guinea|2019</v>
      </c>
    </row>
    <row r="630" customFormat="false" ht="15" hidden="false" customHeight="false" outlineLevel="0" collapsed="false">
      <c r="A630" s="0" t="s">
        <v>240</v>
      </c>
      <c r="B630" s="0" t="s">
        <v>478</v>
      </c>
      <c r="C630" s="0" t="s">
        <v>127</v>
      </c>
      <c r="D630" s="0" t="n">
        <v>2020</v>
      </c>
      <c r="E630" s="59" t="n">
        <v>1716479</v>
      </c>
      <c r="F630" s="60" t="n">
        <v>1.41</v>
      </c>
      <c r="G630" s="61" t="n">
        <v>0</v>
      </c>
      <c r="H630" s="61" t="n">
        <v>0.91</v>
      </c>
      <c r="I630" s="61" t="n">
        <v>0.01</v>
      </c>
      <c r="J630" s="61" t="n">
        <v>0</v>
      </c>
      <c r="K630" s="61" t="n">
        <v>0.49</v>
      </c>
      <c r="L630" s="61" t="n">
        <v>0</v>
      </c>
      <c r="M630" s="61" t="n">
        <v>0</v>
      </c>
      <c r="N630" s="61" t="n">
        <v>0</v>
      </c>
      <c r="O630" s="61" t="n">
        <v>0</v>
      </c>
      <c r="P630" s="62" t="n">
        <v>574.5</v>
      </c>
      <c r="Q630" s="0" t="n">
        <v>0</v>
      </c>
      <c r="R630" s="60" t="n">
        <f aca="false">G630+H630+I630</f>
        <v>0.92</v>
      </c>
      <c r="S630" s="60" t="n">
        <f aca="false">K630+L630+M630+N630+O630</f>
        <v>0.49</v>
      </c>
      <c r="T630" s="60" t="n">
        <f aca="false">L630+M630</f>
        <v>0</v>
      </c>
      <c r="U630" s="60" t="n">
        <f aca="false">S630+J630</f>
        <v>0.49</v>
      </c>
      <c r="V630" s="63" t="n">
        <f aca="false">IFERROR(S630/F630,0)</f>
        <v>0.347517730496454</v>
      </c>
      <c r="W630" s="63" t="n">
        <f aca="false">IFERROR(R630/F630,0)</f>
        <v>0.652482269503546</v>
      </c>
      <c r="X630" s="63" t="n">
        <f aca="false">IFERROR(T630/F630,0)</f>
        <v>0</v>
      </c>
      <c r="Y630" s="63" t="n">
        <f aca="false">IFERROR(G630/F630,0)</f>
        <v>0</v>
      </c>
      <c r="Z630" s="59" t="n">
        <f aca="false">IF(E630&gt;0,F630*1000000000/E630,"")</f>
        <v>821.449024427331</v>
      </c>
      <c r="AA630" s="63" t="n">
        <f aca="false">IFERROR((R630+S630+J630)/F630,0)</f>
        <v>1</v>
      </c>
      <c r="AB630" s="0" t="str">
        <f aca="false">A630&amp;"|"&amp;D630</f>
        <v>Equatorial Guinea|2020</v>
      </c>
    </row>
    <row r="631" customFormat="false" ht="15" hidden="false" customHeight="false" outlineLevel="0" collapsed="false">
      <c r="A631" s="0" t="s">
        <v>240</v>
      </c>
      <c r="B631" s="0" t="s">
        <v>478</v>
      </c>
      <c r="C631" s="0" t="s">
        <v>127</v>
      </c>
      <c r="D631" s="0" t="n">
        <v>2021</v>
      </c>
      <c r="E631" s="59" t="n">
        <v>1758796</v>
      </c>
      <c r="F631" s="60" t="n">
        <v>1.43</v>
      </c>
      <c r="G631" s="61" t="n">
        <v>0</v>
      </c>
      <c r="H631" s="61" t="n">
        <v>0.95</v>
      </c>
      <c r="I631" s="61" t="n">
        <v>0.01</v>
      </c>
      <c r="J631" s="61" t="n">
        <v>0</v>
      </c>
      <c r="K631" s="61" t="n">
        <v>0.47</v>
      </c>
      <c r="L631" s="61" t="n">
        <v>0</v>
      </c>
      <c r="M631" s="61" t="n">
        <v>0</v>
      </c>
      <c r="N631" s="61" t="n">
        <v>0</v>
      </c>
      <c r="O631" s="61" t="n">
        <v>0</v>
      </c>
      <c r="P631" s="62" t="n">
        <v>594.4</v>
      </c>
      <c r="Q631" s="0" t="n">
        <v>0</v>
      </c>
      <c r="R631" s="60" t="n">
        <f aca="false">G631+H631+I631</f>
        <v>0.96</v>
      </c>
      <c r="S631" s="60" t="n">
        <f aca="false">K631+L631+M631+N631+O631</f>
        <v>0.47</v>
      </c>
      <c r="T631" s="60" t="n">
        <f aca="false">L631+M631</f>
        <v>0</v>
      </c>
      <c r="U631" s="60" t="n">
        <f aca="false">S631+J631</f>
        <v>0.47</v>
      </c>
      <c r="V631" s="63" t="n">
        <f aca="false">IFERROR(S631/F631,0)</f>
        <v>0.328671328671329</v>
      </c>
      <c r="W631" s="63" t="n">
        <f aca="false">IFERROR(R631/F631,0)</f>
        <v>0.671328671328671</v>
      </c>
      <c r="X631" s="63" t="n">
        <f aca="false">IFERROR(T631/F631,0)</f>
        <v>0</v>
      </c>
      <c r="Y631" s="63" t="n">
        <f aca="false">IFERROR(G631/F631,0)</f>
        <v>0</v>
      </c>
      <c r="Z631" s="59" t="n">
        <f aca="false">IF(E631&gt;0,F631*1000000000/E631,"")</f>
        <v>813.056204357981</v>
      </c>
      <c r="AA631" s="63" t="n">
        <f aca="false">IFERROR((R631+S631+J631)/F631,0)</f>
        <v>1</v>
      </c>
      <c r="AB631" s="0" t="str">
        <f aca="false">A631&amp;"|"&amp;D631</f>
        <v>Equatorial Guinea|2021</v>
      </c>
    </row>
    <row r="632" customFormat="false" ht="15" hidden="false" customHeight="false" outlineLevel="0" collapsed="false">
      <c r="A632" s="0" t="s">
        <v>240</v>
      </c>
      <c r="B632" s="0" t="s">
        <v>478</v>
      </c>
      <c r="C632" s="0" t="s">
        <v>127</v>
      </c>
      <c r="D632" s="0" t="n">
        <v>2022</v>
      </c>
      <c r="E632" s="59" t="n">
        <v>1803549</v>
      </c>
      <c r="F632" s="60" t="n">
        <v>1.51</v>
      </c>
      <c r="G632" s="61" t="n">
        <v>0</v>
      </c>
      <c r="H632" s="61" t="n">
        <v>1.02</v>
      </c>
      <c r="I632" s="61" t="n">
        <v>0.01</v>
      </c>
      <c r="J632" s="61" t="n">
        <v>0</v>
      </c>
      <c r="K632" s="61" t="n">
        <v>0.48</v>
      </c>
      <c r="L632" s="61" t="n">
        <v>0</v>
      </c>
      <c r="M632" s="61" t="n">
        <v>0</v>
      </c>
      <c r="N632" s="61" t="n">
        <v>0</v>
      </c>
      <c r="O632" s="61" t="n">
        <v>0</v>
      </c>
      <c r="P632" s="62" t="n">
        <v>602.6</v>
      </c>
      <c r="Q632" s="0" t="n">
        <v>0</v>
      </c>
      <c r="R632" s="60" t="n">
        <f aca="false">G632+H632+I632</f>
        <v>1.03</v>
      </c>
      <c r="S632" s="60" t="n">
        <f aca="false">K632+L632+M632+N632+O632</f>
        <v>0.48</v>
      </c>
      <c r="T632" s="60" t="n">
        <f aca="false">L632+M632</f>
        <v>0</v>
      </c>
      <c r="U632" s="60" t="n">
        <f aca="false">S632+J632</f>
        <v>0.48</v>
      </c>
      <c r="V632" s="63" t="n">
        <f aca="false">IFERROR(S632/F632,0)</f>
        <v>0.317880794701987</v>
      </c>
      <c r="W632" s="63" t="n">
        <f aca="false">IFERROR(R632/F632,0)</f>
        <v>0.682119205298013</v>
      </c>
      <c r="X632" s="63" t="n">
        <f aca="false">IFERROR(T632/F632,0)</f>
        <v>0</v>
      </c>
      <c r="Y632" s="63" t="n">
        <f aca="false">IFERROR(G632/F632,0)</f>
        <v>0</v>
      </c>
      <c r="Z632" s="59" t="n">
        <f aca="false">IF(E632&gt;0,F632*1000000000/E632,"")</f>
        <v>837.238134367295</v>
      </c>
      <c r="AA632" s="63" t="n">
        <f aca="false">IFERROR((R632+S632+J632)/F632,0)</f>
        <v>1</v>
      </c>
      <c r="AB632" s="0" t="str">
        <f aca="false">A632&amp;"|"&amp;D632</f>
        <v>Equatorial Guinea|2022</v>
      </c>
    </row>
    <row r="633" customFormat="false" ht="15" hidden="false" customHeight="false" outlineLevel="0" collapsed="false">
      <c r="A633" s="0" t="s">
        <v>240</v>
      </c>
      <c r="B633" s="0" t="s">
        <v>478</v>
      </c>
      <c r="C633" s="0" t="s">
        <v>127</v>
      </c>
      <c r="D633" s="0" t="n">
        <v>2023</v>
      </c>
      <c r="E633" s="59" t="n">
        <v>1847556</v>
      </c>
      <c r="F633" s="60" t="n">
        <v>1.43</v>
      </c>
      <c r="G633" s="61" t="n">
        <v>0</v>
      </c>
      <c r="H633" s="61" t="n">
        <v>1.07</v>
      </c>
      <c r="I633" s="61" t="n">
        <v>0.01</v>
      </c>
      <c r="J633" s="61" t="n">
        <v>0</v>
      </c>
      <c r="K633" s="61" t="n">
        <v>0.35</v>
      </c>
      <c r="L633" s="61" t="n">
        <v>0</v>
      </c>
      <c r="M633" s="61" t="n">
        <v>0</v>
      </c>
      <c r="N633" s="61" t="n">
        <v>0</v>
      </c>
      <c r="O633" s="61" t="n">
        <v>0</v>
      </c>
      <c r="P633" s="62" t="n">
        <v>664.3</v>
      </c>
      <c r="Q633" s="0" t="n">
        <v>0</v>
      </c>
      <c r="R633" s="60" t="n">
        <f aca="false">G633+H633+I633</f>
        <v>1.08</v>
      </c>
      <c r="S633" s="60" t="n">
        <f aca="false">K633+L633+M633+N633+O633</f>
        <v>0.35</v>
      </c>
      <c r="T633" s="60" t="n">
        <f aca="false">L633+M633</f>
        <v>0</v>
      </c>
      <c r="U633" s="60" t="n">
        <f aca="false">S633+J633</f>
        <v>0.35</v>
      </c>
      <c r="V633" s="63" t="n">
        <f aca="false">IFERROR(S633/F633,0)</f>
        <v>0.244755244755245</v>
      </c>
      <c r="W633" s="63" t="n">
        <f aca="false">IFERROR(R633/F633,0)</f>
        <v>0.755244755244755</v>
      </c>
      <c r="X633" s="63" t="n">
        <f aca="false">IFERROR(T633/F633,0)</f>
        <v>0</v>
      </c>
      <c r="Y633" s="63" t="n">
        <f aca="false">IFERROR(G633/F633,0)</f>
        <v>0</v>
      </c>
      <c r="Z633" s="59" t="n">
        <f aca="false">IF(E633&gt;0,F633*1000000000/E633,"")</f>
        <v>773.995483763415</v>
      </c>
      <c r="AA633" s="63" t="n">
        <f aca="false">IFERROR((R633+S633+J633)/F633,0)</f>
        <v>1</v>
      </c>
      <c r="AB633" s="0" t="str">
        <f aca="false">A633&amp;"|"&amp;D633</f>
        <v>Equatorial Guinea|2023</v>
      </c>
    </row>
    <row r="634" customFormat="false" ht="15" hidden="false" customHeight="false" outlineLevel="0" collapsed="false">
      <c r="A634" s="0" t="s">
        <v>240</v>
      </c>
      <c r="B634" s="0" t="s">
        <v>478</v>
      </c>
      <c r="C634" s="0" t="s">
        <v>127</v>
      </c>
      <c r="D634" s="0" t="n">
        <v>2024</v>
      </c>
      <c r="E634" s="59" t="n">
        <v>1892523</v>
      </c>
      <c r="F634" s="60" t="n">
        <v>1.49</v>
      </c>
      <c r="G634" s="61" t="n">
        <v>0</v>
      </c>
      <c r="H634" s="61" t="n">
        <v>1.08</v>
      </c>
      <c r="I634" s="61" t="n">
        <v>0.01</v>
      </c>
      <c r="J634" s="61" t="n">
        <v>0</v>
      </c>
      <c r="K634" s="61" t="n">
        <v>0.4</v>
      </c>
      <c r="L634" s="61" t="n">
        <v>0</v>
      </c>
      <c r="M634" s="61" t="n">
        <v>0</v>
      </c>
      <c r="N634" s="61" t="n">
        <v>0</v>
      </c>
      <c r="O634" s="61" t="n">
        <v>0</v>
      </c>
      <c r="P634" s="62" t="n">
        <v>644.3</v>
      </c>
      <c r="Q634" s="0" t="n">
        <v>0</v>
      </c>
      <c r="R634" s="60" t="n">
        <f aca="false">G634+H634+I634</f>
        <v>1.09</v>
      </c>
      <c r="S634" s="60" t="n">
        <f aca="false">K634+L634+M634+N634+O634</f>
        <v>0.4</v>
      </c>
      <c r="T634" s="60" t="n">
        <f aca="false">L634+M634</f>
        <v>0</v>
      </c>
      <c r="U634" s="60" t="n">
        <f aca="false">S634+J634</f>
        <v>0.4</v>
      </c>
      <c r="V634" s="63" t="n">
        <f aca="false">IFERROR(S634/F634,0)</f>
        <v>0.268456375838926</v>
      </c>
      <c r="W634" s="63" t="n">
        <f aca="false">IFERROR(R634/F634,0)</f>
        <v>0.731543624161074</v>
      </c>
      <c r="X634" s="63" t="n">
        <f aca="false">IFERROR(T634/F634,0)</f>
        <v>0</v>
      </c>
      <c r="Y634" s="63" t="n">
        <f aca="false">IFERROR(G634/F634,0)</f>
        <v>0</v>
      </c>
      <c r="Z634" s="59" t="n">
        <f aca="false">IF(E634&gt;0,F634*1000000000/E634,"")</f>
        <v>787.30879360515</v>
      </c>
      <c r="AA634" s="63" t="n">
        <f aca="false">IFERROR((R634+S634+J634)/F634,0)</f>
        <v>1</v>
      </c>
      <c r="AB634" s="0" t="str">
        <f aca="false">A634&amp;"|"&amp;D634</f>
        <v>Equatorial Guinea|2024</v>
      </c>
    </row>
    <row r="635" customFormat="false" ht="15" hidden="false" customHeight="false" outlineLevel="0" collapsed="false">
      <c r="A635" s="0" t="s">
        <v>241</v>
      </c>
      <c r="B635" s="0" t="s">
        <v>479</v>
      </c>
      <c r="C635" s="0" t="s">
        <v>127</v>
      </c>
      <c r="D635" s="0" t="n">
        <v>2015</v>
      </c>
      <c r="E635" s="59" t="n">
        <v>3105554</v>
      </c>
      <c r="F635" s="60" t="n">
        <v>0.26</v>
      </c>
      <c r="G635" s="61" t="n">
        <v>0</v>
      </c>
      <c r="H635" s="61" t="n">
        <v>0</v>
      </c>
      <c r="I635" s="61" t="n">
        <v>0.26</v>
      </c>
      <c r="J635" s="61" t="n">
        <v>0</v>
      </c>
      <c r="K635" s="61" t="n">
        <v>0</v>
      </c>
      <c r="L635" s="61" t="n">
        <v>0</v>
      </c>
      <c r="M635" s="61" t="n">
        <v>0</v>
      </c>
      <c r="N635" s="61" t="n">
        <v>0</v>
      </c>
      <c r="O635" s="61" t="n">
        <v>0</v>
      </c>
      <c r="P635" s="62" t="n">
        <v>653.9</v>
      </c>
      <c r="Q635" s="0" t="n">
        <v>0</v>
      </c>
      <c r="R635" s="60" t="n">
        <f aca="false">G635+H635+I635</f>
        <v>0.26</v>
      </c>
      <c r="S635" s="60" t="n">
        <f aca="false">K635+L635+M635+N635+O635</f>
        <v>0</v>
      </c>
      <c r="T635" s="60" t="n">
        <f aca="false">L635+M635</f>
        <v>0</v>
      </c>
      <c r="U635" s="60" t="n">
        <f aca="false">S635+J635</f>
        <v>0</v>
      </c>
      <c r="V635" s="63" t="n">
        <f aca="false">IFERROR(S635/F635,0)</f>
        <v>0</v>
      </c>
      <c r="W635" s="63" t="n">
        <f aca="false">IFERROR(R635/F635,0)</f>
        <v>1</v>
      </c>
      <c r="X635" s="63" t="n">
        <f aca="false">IFERROR(T635/F635,0)</f>
        <v>0</v>
      </c>
      <c r="Y635" s="63" t="n">
        <f aca="false">IFERROR(G635/F635,0)</f>
        <v>0</v>
      </c>
      <c r="Z635" s="59" t="n">
        <f aca="false">IF(E635&gt;0,F635*1000000000/E635,"")</f>
        <v>83.7209721679288</v>
      </c>
      <c r="AA635" s="63" t="n">
        <f aca="false">IFERROR((R635+S635+J635)/F635,0)</f>
        <v>1</v>
      </c>
      <c r="AB635" s="0" t="str">
        <f aca="false">A635&amp;"|"&amp;D635</f>
        <v>Eritrea|2015</v>
      </c>
    </row>
    <row r="636" customFormat="false" ht="15" hidden="false" customHeight="false" outlineLevel="0" collapsed="false">
      <c r="A636" s="0" t="s">
        <v>241</v>
      </c>
      <c r="B636" s="0" t="s">
        <v>479</v>
      </c>
      <c r="C636" s="0" t="s">
        <v>127</v>
      </c>
      <c r="D636" s="0" t="n">
        <v>2016</v>
      </c>
      <c r="E636" s="59" t="n">
        <v>3124700</v>
      </c>
      <c r="F636" s="60" t="n">
        <v>0.27</v>
      </c>
      <c r="G636" s="61" t="n">
        <v>0</v>
      </c>
      <c r="H636" s="61" t="n">
        <v>0</v>
      </c>
      <c r="I636" s="61" t="n">
        <v>0.27</v>
      </c>
      <c r="J636" s="61" t="n">
        <v>0</v>
      </c>
      <c r="K636" s="61" t="n">
        <v>0</v>
      </c>
      <c r="L636" s="61" t="n">
        <v>0</v>
      </c>
      <c r="M636" s="61" t="n">
        <v>0</v>
      </c>
      <c r="N636" s="61" t="n">
        <v>0</v>
      </c>
      <c r="O636" s="61" t="n">
        <v>0</v>
      </c>
      <c r="P636" s="62" t="n">
        <v>666.7</v>
      </c>
      <c r="Q636" s="0" t="n">
        <v>0</v>
      </c>
      <c r="R636" s="60" t="n">
        <f aca="false">G636+H636+I636</f>
        <v>0.27</v>
      </c>
      <c r="S636" s="60" t="n">
        <f aca="false">K636+L636+M636+N636+O636</f>
        <v>0</v>
      </c>
      <c r="T636" s="60" t="n">
        <f aca="false">L636+M636</f>
        <v>0</v>
      </c>
      <c r="U636" s="60" t="n">
        <f aca="false">S636+J636</f>
        <v>0</v>
      </c>
      <c r="V636" s="63" t="n">
        <f aca="false">IFERROR(S636/F636,0)</f>
        <v>0</v>
      </c>
      <c r="W636" s="63" t="n">
        <f aca="false">IFERROR(R636/F636,0)</f>
        <v>1</v>
      </c>
      <c r="X636" s="63" t="n">
        <f aca="false">IFERROR(T636/F636,0)</f>
        <v>0</v>
      </c>
      <c r="Y636" s="63" t="n">
        <f aca="false">IFERROR(G636/F636,0)</f>
        <v>0</v>
      </c>
      <c r="Z636" s="59" t="n">
        <f aca="false">IF(E636&gt;0,F636*1000000000/E636,"")</f>
        <v>86.4082951963389</v>
      </c>
      <c r="AA636" s="63" t="n">
        <f aca="false">IFERROR((R636+S636+J636)/F636,0)</f>
        <v>1</v>
      </c>
      <c r="AB636" s="0" t="str">
        <f aca="false">A636&amp;"|"&amp;D636</f>
        <v>Eritrea|2016</v>
      </c>
    </row>
    <row r="637" customFormat="false" ht="15" hidden="false" customHeight="false" outlineLevel="0" collapsed="false">
      <c r="A637" s="0" t="s">
        <v>241</v>
      </c>
      <c r="B637" s="0" t="s">
        <v>479</v>
      </c>
      <c r="C637" s="0" t="s">
        <v>127</v>
      </c>
      <c r="D637" s="0" t="n">
        <v>2017</v>
      </c>
      <c r="E637" s="59" t="n">
        <v>3150350</v>
      </c>
      <c r="F637" s="60" t="n">
        <v>0.34</v>
      </c>
      <c r="G637" s="61" t="n">
        <v>0</v>
      </c>
      <c r="H637" s="61" t="n">
        <v>0</v>
      </c>
      <c r="I637" s="61" t="n">
        <v>0.33</v>
      </c>
      <c r="J637" s="61" t="n">
        <v>0</v>
      </c>
      <c r="K637" s="61" t="n">
        <v>0</v>
      </c>
      <c r="L637" s="61" t="n">
        <v>0.01</v>
      </c>
      <c r="M637" s="61" t="n">
        <v>0</v>
      </c>
      <c r="N637" s="61" t="n">
        <v>0</v>
      </c>
      <c r="O637" s="61" t="n">
        <v>0</v>
      </c>
      <c r="P637" s="62" t="n">
        <v>647.1</v>
      </c>
      <c r="Q637" s="0" t="n">
        <v>0</v>
      </c>
      <c r="R637" s="60" t="n">
        <f aca="false">G637+H637+I637</f>
        <v>0.33</v>
      </c>
      <c r="S637" s="60" t="n">
        <f aca="false">K637+L637+M637+N637+O637</f>
        <v>0.01</v>
      </c>
      <c r="T637" s="60" t="n">
        <f aca="false">L637+M637</f>
        <v>0.01</v>
      </c>
      <c r="U637" s="60" t="n">
        <f aca="false">S637+J637</f>
        <v>0.01</v>
      </c>
      <c r="V637" s="63" t="n">
        <f aca="false">IFERROR(S637/F637,0)</f>
        <v>0.0294117647058824</v>
      </c>
      <c r="W637" s="63" t="n">
        <f aca="false">IFERROR(R637/F637,0)</f>
        <v>0.970588235294118</v>
      </c>
      <c r="X637" s="63" t="n">
        <f aca="false">IFERROR(T637/F637,0)</f>
        <v>0.0294117647058824</v>
      </c>
      <c r="Y637" s="63" t="n">
        <f aca="false">IFERROR(G637/F637,0)</f>
        <v>0</v>
      </c>
      <c r="Z637" s="59" t="n">
        <f aca="false">IF(E637&gt;0,F637*1000000000/E637,"")</f>
        <v>107.924516323583</v>
      </c>
      <c r="AA637" s="63" t="n">
        <f aca="false">IFERROR((R637+S637+J637)/F637,0)</f>
        <v>1</v>
      </c>
      <c r="AB637" s="0" t="str">
        <f aca="false">A637&amp;"|"&amp;D637</f>
        <v>Eritrea|2017</v>
      </c>
    </row>
    <row r="638" customFormat="false" ht="15" hidden="false" customHeight="false" outlineLevel="0" collapsed="false">
      <c r="A638" s="0" t="s">
        <v>241</v>
      </c>
      <c r="B638" s="0" t="s">
        <v>479</v>
      </c>
      <c r="C638" s="0" t="s">
        <v>127</v>
      </c>
      <c r="D638" s="0" t="n">
        <v>2018</v>
      </c>
      <c r="E638" s="59" t="n">
        <v>3192763</v>
      </c>
      <c r="F638" s="60" t="n">
        <v>0.39</v>
      </c>
      <c r="G638" s="61" t="n">
        <v>0</v>
      </c>
      <c r="H638" s="61" t="n">
        <v>0</v>
      </c>
      <c r="I638" s="61" t="n">
        <v>0.34</v>
      </c>
      <c r="J638" s="61" t="n">
        <v>0</v>
      </c>
      <c r="K638" s="61" t="n">
        <v>0</v>
      </c>
      <c r="L638" s="61" t="n">
        <v>0.05</v>
      </c>
      <c r="M638" s="61" t="n">
        <v>0</v>
      </c>
      <c r="N638" s="61" t="n">
        <v>0</v>
      </c>
      <c r="O638" s="61" t="n">
        <v>0</v>
      </c>
      <c r="P638" s="62" t="n">
        <v>564.1</v>
      </c>
      <c r="Q638" s="0" t="n">
        <v>0</v>
      </c>
      <c r="R638" s="60" t="n">
        <f aca="false">G638+H638+I638</f>
        <v>0.34</v>
      </c>
      <c r="S638" s="60" t="n">
        <f aca="false">K638+L638+M638+N638+O638</f>
        <v>0.05</v>
      </c>
      <c r="T638" s="60" t="n">
        <f aca="false">L638+M638</f>
        <v>0.05</v>
      </c>
      <c r="U638" s="60" t="n">
        <f aca="false">S638+J638</f>
        <v>0.05</v>
      </c>
      <c r="V638" s="63" t="n">
        <f aca="false">IFERROR(S638/F638,0)</f>
        <v>0.128205128205128</v>
      </c>
      <c r="W638" s="63" t="n">
        <f aca="false">IFERROR(R638/F638,0)</f>
        <v>0.871794871794872</v>
      </c>
      <c r="X638" s="63" t="n">
        <f aca="false">IFERROR(T638/F638,0)</f>
        <v>0.128205128205128</v>
      </c>
      <c r="Y638" s="63" t="n">
        <f aca="false">IFERROR(G638/F638,0)</f>
        <v>0</v>
      </c>
      <c r="Z638" s="59" t="n">
        <f aca="false">IF(E638&gt;0,F638*1000000000/E638,"")</f>
        <v>122.151252692417</v>
      </c>
      <c r="AA638" s="63" t="n">
        <f aca="false">IFERROR((R638+S638+J638)/F638,0)</f>
        <v>1</v>
      </c>
      <c r="AB638" s="0" t="str">
        <f aca="false">A638&amp;"|"&amp;D638</f>
        <v>Eritrea|2018</v>
      </c>
    </row>
    <row r="639" customFormat="false" ht="15" hidden="false" customHeight="false" outlineLevel="0" collapsed="false">
      <c r="A639" s="0" t="s">
        <v>241</v>
      </c>
      <c r="B639" s="0" t="s">
        <v>479</v>
      </c>
      <c r="C639" s="0" t="s">
        <v>127</v>
      </c>
      <c r="D639" s="0" t="n">
        <v>2019</v>
      </c>
      <c r="E639" s="59" t="n">
        <v>3240194</v>
      </c>
      <c r="F639" s="60" t="n">
        <v>0.4</v>
      </c>
      <c r="G639" s="61" t="n">
        <v>0</v>
      </c>
      <c r="H639" s="61" t="n">
        <v>0</v>
      </c>
      <c r="I639" s="61" t="n">
        <v>0.35</v>
      </c>
      <c r="J639" s="61" t="n">
        <v>0</v>
      </c>
      <c r="K639" s="61" t="n">
        <v>0</v>
      </c>
      <c r="L639" s="61" t="n">
        <v>0.05</v>
      </c>
      <c r="M639" s="61" t="n">
        <v>0</v>
      </c>
      <c r="N639" s="61" t="n">
        <v>0</v>
      </c>
      <c r="O639" s="61" t="n">
        <v>0</v>
      </c>
      <c r="P639" s="62" t="n">
        <v>575</v>
      </c>
      <c r="Q639" s="0" t="n">
        <v>0</v>
      </c>
      <c r="R639" s="60" t="n">
        <f aca="false">G639+H639+I639</f>
        <v>0.35</v>
      </c>
      <c r="S639" s="60" t="n">
        <f aca="false">K639+L639+M639+N639+O639</f>
        <v>0.05</v>
      </c>
      <c r="T639" s="60" t="n">
        <f aca="false">L639+M639</f>
        <v>0.05</v>
      </c>
      <c r="U639" s="60" t="n">
        <f aca="false">S639+J639</f>
        <v>0.05</v>
      </c>
      <c r="V639" s="63" t="n">
        <f aca="false">IFERROR(S639/F639,0)</f>
        <v>0.125</v>
      </c>
      <c r="W639" s="63" t="n">
        <f aca="false">IFERROR(R639/F639,0)</f>
        <v>0.875</v>
      </c>
      <c r="X639" s="63" t="n">
        <f aca="false">IFERROR(T639/F639,0)</f>
        <v>0.125</v>
      </c>
      <c r="Y639" s="63" t="n">
        <f aca="false">IFERROR(G639/F639,0)</f>
        <v>0</v>
      </c>
      <c r="Z639" s="59" t="n">
        <f aca="false">IF(E639&gt;0,F639*1000000000/E639,"")</f>
        <v>123.449398400219</v>
      </c>
      <c r="AA639" s="63" t="n">
        <f aca="false">IFERROR((R639+S639+J639)/F639,0)</f>
        <v>1</v>
      </c>
      <c r="AB639" s="0" t="str">
        <f aca="false">A639&amp;"|"&amp;D639</f>
        <v>Eritrea|2019</v>
      </c>
    </row>
    <row r="640" customFormat="false" ht="15" hidden="false" customHeight="false" outlineLevel="0" collapsed="false">
      <c r="A640" s="0" t="s">
        <v>241</v>
      </c>
      <c r="B640" s="0" t="s">
        <v>479</v>
      </c>
      <c r="C640" s="0" t="s">
        <v>127</v>
      </c>
      <c r="D640" s="0" t="n">
        <v>2020</v>
      </c>
      <c r="E640" s="59" t="n">
        <v>3291277</v>
      </c>
      <c r="F640" s="60" t="n">
        <v>0.41</v>
      </c>
      <c r="G640" s="61" t="n">
        <v>0</v>
      </c>
      <c r="H640" s="61" t="n">
        <v>0</v>
      </c>
      <c r="I640" s="61" t="n">
        <v>0.36</v>
      </c>
      <c r="J640" s="61" t="n">
        <v>0</v>
      </c>
      <c r="K640" s="61" t="n">
        <v>0</v>
      </c>
      <c r="L640" s="61" t="n">
        <v>0.05</v>
      </c>
      <c r="M640" s="61" t="n">
        <v>0</v>
      </c>
      <c r="N640" s="61" t="n">
        <v>0</v>
      </c>
      <c r="O640" s="61" t="n">
        <v>0</v>
      </c>
      <c r="P640" s="62" t="n">
        <v>585.4</v>
      </c>
      <c r="Q640" s="0" t="n">
        <v>0</v>
      </c>
      <c r="R640" s="60" t="n">
        <f aca="false">G640+H640+I640</f>
        <v>0.36</v>
      </c>
      <c r="S640" s="60" t="n">
        <f aca="false">K640+L640+M640+N640+O640</f>
        <v>0.05</v>
      </c>
      <c r="T640" s="60" t="n">
        <f aca="false">L640+M640</f>
        <v>0.05</v>
      </c>
      <c r="U640" s="60" t="n">
        <f aca="false">S640+J640</f>
        <v>0.05</v>
      </c>
      <c r="V640" s="63" t="n">
        <f aca="false">IFERROR(S640/F640,0)</f>
        <v>0.121951219512195</v>
      </c>
      <c r="W640" s="63" t="n">
        <f aca="false">IFERROR(R640/F640,0)</f>
        <v>0.878048780487805</v>
      </c>
      <c r="X640" s="63" t="n">
        <f aca="false">IFERROR(T640/F640,0)</f>
        <v>0.121951219512195</v>
      </c>
      <c r="Y640" s="63" t="n">
        <f aca="false">IFERROR(G640/F640,0)</f>
        <v>0</v>
      </c>
      <c r="Z640" s="59" t="n">
        <f aca="false">IF(E640&gt;0,F640*1000000000/E640,"")</f>
        <v>124.571708792666</v>
      </c>
      <c r="AA640" s="63" t="n">
        <f aca="false">IFERROR((R640+S640+J640)/F640,0)</f>
        <v>1</v>
      </c>
      <c r="AB640" s="0" t="str">
        <f aca="false">A640&amp;"|"&amp;D640</f>
        <v>Eritrea|2020</v>
      </c>
    </row>
    <row r="641" customFormat="false" ht="15" hidden="false" customHeight="false" outlineLevel="0" collapsed="false">
      <c r="A641" s="0" t="s">
        <v>241</v>
      </c>
      <c r="B641" s="0" t="s">
        <v>479</v>
      </c>
      <c r="C641" s="0" t="s">
        <v>127</v>
      </c>
      <c r="D641" s="0" t="n">
        <v>2021</v>
      </c>
      <c r="E641" s="59" t="n">
        <v>3350185</v>
      </c>
      <c r="F641" s="60" t="n">
        <v>0.42</v>
      </c>
      <c r="G641" s="61" t="n">
        <v>0</v>
      </c>
      <c r="H641" s="61" t="n">
        <v>0</v>
      </c>
      <c r="I641" s="61" t="n">
        <v>0.37</v>
      </c>
      <c r="J641" s="61" t="n">
        <v>0</v>
      </c>
      <c r="K641" s="61" t="n">
        <v>0</v>
      </c>
      <c r="L641" s="61" t="n">
        <v>0.05</v>
      </c>
      <c r="M641" s="61" t="n">
        <v>0</v>
      </c>
      <c r="N641" s="61" t="n">
        <v>0</v>
      </c>
      <c r="O641" s="61" t="n">
        <v>0</v>
      </c>
      <c r="P641" s="62" t="n">
        <v>571.4</v>
      </c>
      <c r="Q641" s="0" t="n">
        <v>0</v>
      </c>
      <c r="R641" s="60" t="n">
        <f aca="false">G641+H641+I641</f>
        <v>0.37</v>
      </c>
      <c r="S641" s="60" t="n">
        <f aca="false">K641+L641+M641+N641+O641</f>
        <v>0.05</v>
      </c>
      <c r="T641" s="60" t="n">
        <f aca="false">L641+M641</f>
        <v>0.05</v>
      </c>
      <c r="U641" s="60" t="n">
        <f aca="false">S641+J641</f>
        <v>0.05</v>
      </c>
      <c r="V641" s="63" t="n">
        <f aca="false">IFERROR(S641/F641,0)</f>
        <v>0.119047619047619</v>
      </c>
      <c r="W641" s="63" t="n">
        <f aca="false">IFERROR(R641/F641,0)</f>
        <v>0.880952380952381</v>
      </c>
      <c r="X641" s="63" t="n">
        <f aca="false">IFERROR(T641/F641,0)</f>
        <v>0.119047619047619</v>
      </c>
      <c r="Y641" s="63" t="n">
        <f aca="false">IFERROR(G641/F641,0)</f>
        <v>0</v>
      </c>
      <c r="Z641" s="59" t="n">
        <f aca="false">IF(E641&gt;0,F641*1000000000/E641,"")</f>
        <v>125.366211119684</v>
      </c>
      <c r="AA641" s="63" t="n">
        <f aca="false">IFERROR((R641+S641+J641)/F641,0)</f>
        <v>1</v>
      </c>
      <c r="AB641" s="0" t="str">
        <f aca="false">A641&amp;"|"&amp;D641</f>
        <v>Eritrea|2021</v>
      </c>
    </row>
    <row r="642" customFormat="false" ht="15" hidden="false" customHeight="false" outlineLevel="0" collapsed="false">
      <c r="A642" s="0" t="s">
        <v>241</v>
      </c>
      <c r="B642" s="0" t="s">
        <v>479</v>
      </c>
      <c r="C642" s="0" t="s">
        <v>127</v>
      </c>
      <c r="D642" s="0" t="n">
        <v>2022</v>
      </c>
      <c r="E642" s="59" t="n">
        <v>3409450</v>
      </c>
      <c r="F642" s="60" t="n">
        <v>0.44</v>
      </c>
      <c r="G642" s="61" t="n">
        <v>0</v>
      </c>
      <c r="H642" s="61" t="n">
        <v>0</v>
      </c>
      <c r="I642" s="61" t="n">
        <v>0.39</v>
      </c>
      <c r="J642" s="61" t="n">
        <v>0</v>
      </c>
      <c r="K642" s="61" t="n">
        <v>0</v>
      </c>
      <c r="L642" s="61" t="n">
        <v>0.05</v>
      </c>
      <c r="M642" s="61" t="n">
        <v>0</v>
      </c>
      <c r="N642" s="61" t="n">
        <v>0</v>
      </c>
      <c r="O642" s="61" t="n">
        <v>0</v>
      </c>
      <c r="P642" s="62" t="n">
        <v>590.9</v>
      </c>
      <c r="Q642" s="0" t="n">
        <v>0</v>
      </c>
      <c r="R642" s="60" t="n">
        <f aca="false">G642+H642+I642</f>
        <v>0.39</v>
      </c>
      <c r="S642" s="60" t="n">
        <f aca="false">K642+L642+M642+N642+O642</f>
        <v>0.05</v>
      </c>
      <c r="T642" s="60" t="n">
        <f aca="false">L642+M642</f>
        <v>0.05</v>
      </c>
      <c r="U642" s="60" t="n">
        <f aca="false">S642+J642</f>
        <v>0.05</v>
      </c>
      <c r="V642" s="63" t="n">
        <f aca="false">IFERROR(S642/F642,0)</f>
        <v>0.113636363636364</v>
      </c>
      <c r="W642" s="63" t="n">
        <f aca="false">IFERROR(R642/F642,0)</f>
        <v>0.886363636363636</v>
      </c>
      <c r="X642" s="63" t="n">
        <f aca="false">IFERROR(T642/F642,0)</f>
        <v>0.113636363636364</v>
      </c>
      <c r="Y642" s="63" t="n">
        <f aca="false">IFERROR(G642/F642,0)</f>
        <v>0</v>
      </c>
      <c r="Z642" s="59" t="n">
        <f aca="false">IF(E642&gt;0,F642*1000000000/E642,"")</f>
        <v>129.053073076303</v>
      </c>
      <c r="AA642" s="63" t="n">
        <f aca="false">IFERROR((R642+S642+J642)/F642,0)</f>
        <v>1</v>
      </c>
      <c r="AB642" s="0" t="str">
        <f aca="false">A642&amp;"|"&amp;D642</f>
        <v>Eritrea|2022</v>
      </c>
    </row>
    <row r="643" customFormat="false" ht="15" hidden="false" customHeight="false" outlineLevel="0" collapsed="false">
      <c r="A643" s="0" t="s">
        <v>241</v>
      </c>
      <c r="B643" s="0" t="s">
        <v>479</v>
      </c>
      <c r="C643" s="0" t="s">
        <v>127</v>
      </c>
      <c r="D643" s="0" t="n">
        <v>2023</v>
      </c>
      <c r="E643" s="59" t="n">
        <v>3470391</v>
      </c>
      <c r="F643" s="60" t="n">
        <v>0.49</v>
      </c>
      <c r="G643" s="61" t="n">
        <v>0</v>
      </c>
      <c r="H643" s="61" t="n">
        <v>0</v>
      </c>
      <c r="I643" s="61" t="n">
        <v>0.44</v>
      </c>
      <c r="J643" s="61" t="n">
        <v>0</v>
      </c>
      <c r="K643" s="61" t="n">
        <v>0</v>
      </c>
      <c r="L643" s="61" t="n">
        <v>0.05</v>
      </c>
      <c r="M643" s="61" t="n">
        <v>0</v>
      </c>
      <c r="N643" s="61" t="n">
        <v>0</v>
      </c>
      <c r="O643" s="61" t="n">
        <v>0</v>
      </c>
      <c r="P643" s="62" t="n">
        <v>591.8</v>
      </c>
      <c r="Q643" s="0" t="n">
        <v>0</v>
      </c>
      <c r="R643" s="60" t="n">
        <f aca="false">G643+H643+I643</f>
        <v>0.44</v>
      </c>
      <c r="S643" s="60" t="n">
        <f aca="false">K643+L643+M643+N643+O643</f>
        <v>0.05</v>
      </c>
      <c r="T643" s="60" t="n">
        <f aca="false">L643+M643</f>
        <v>0.05</v>
      </c>
      <c r="U643" s="60" t="n">
        <f aca="false">S643+J643</f>
        <v>0.05</v>
      </c>
      <c r="V643" s="63" t="n">
        <f aca="false">IFERROR(S643/F643,0)</f>
        <v>0.102040816326531</v>
      </c>
      <c r="W643" s="63" t="n">
        <f aca="false">IFERROR(R643/F643,0)</f>
        <v>0.897959183673469</v>
      </c>
      <c r="X643" s="63" t="n">
        <f aca="false">IFERROR(T643/F643,0)</f>
        <v>0.102040816326531</v>
      </c>
      <c r="Y643" s="63" t="n">
        <f aca="false">IFERROR(G643/F643,0)</f>
        <v>0</v>
      </c>
      <c r="Z643" s="59" t="n">
        <f aca="false">IF(E643&gt;0,F643*1000000000/E643,"")</f>
        <v>141.194464831196</v>
      </c>
      <c r="AA643" s="63" t="n">
        <f aca="false">IFERROR((R643+S643+J643)/F643,0)</f>
        <v>1</v>
      </c>
      <c r="AB643" s="0" t="str">
        <f aca="false">A643&amp;"|"&amp;D643</f>
        <v>Eritrea|2023</v>
      </c>
    </row>
    <row r="644" customFormat="false" ht="15" hidden="false" customHeight="false" outlineLevel="0" collapsed="false">
      <c r="A644" s="0" t="s">
        <v>241</v>
      </c>
      <c r="B644" s="0" t="s">
        <v>479</v>
      </c>
      <c r="C644" s="0" t="s">
        <v>127</v>
      </c>
      <c r="D644" s="0" t="n">
        <v>2024</v>
      </c>
      <c r="E644" s="59" t="n">
        <v>3535610</v>
      </c>
      <c r="F644" s="60" t="n">
        <v>0.45</v>
      </c>
      <c r="G644" s="61" t="n">
        <v>0</v>
      </c>
      <c r="H644" s="61" t="n">
        <v>0</v>
      </c>
      <c r="I644" s="61" t="n">
        <v>0.4</v>
      </c>
      <c r="J644" s="61" t="n">
        <v>0</v>
      </c>
      <c r="K644" s="61" t="n">
        <v>0</v>
      </c>
      <c r="L644" s="61" t="n">
        <v>0.05</v>
      </c>
      <c r="M644" s="61" t="n">
        <v>0</v>
      </c>
      <c r="N644" s="61" t="n">
        <v>0</v>
      </c>
      <c r="O644" s="61" t="n">
        <v>0</v>
      </c>
      <c r="P644" s="62" t="n">
        <v>577.8</v>
      </c>
      <c r="Q644" s="0" t="n">
        <v>0</v>
      </c>
      <c r="R644" s="60" t="n">
        <f aca="false">G644+H644+I644</f>
        <v>0.4</v>
      </c>
      <c r="S644" s="60" t="n">
        <f aca="false">K644+L644+M644+N644+O644</f>
        <v>0.05</v>
      </c>
      <c r="T644" s="60" t="n">
        <f aca="false">L644+M644</f>
        <v>0.05</v>
      </c>
      <c r="U644" s="60" t="n">
        <f aca="false">S644+J644</f>
        <v>0.05</v>
      </c>
      <c r="V644" s="63" t="n">
        <f aca="false">IFERROR(S644/F644,0)</f>
        <v>0.111111111111111</v>
      </c>
      <c r="W644" s="63" t="n">
        <f aca="false">IFERROR(R644/F644,0)</f>
        <v>0.888888888888889</v>
      </c>
      <c r="X644" s="63" t="n">
        <f aca="false">IFERROR(T644/F644,0)</f>
        <v>0.111111111111111</v>
      </c>
      <c r="Y644" s="63" t="n">
        <f aca="false">IFERROR(G644/F644,0)</f>
        <v>0</v>
      </c>
      <c r="Z644" s="59" t="n">
        <f aca="false">IF(E644&gt;0,F644*1000000000/E644,"")</f>
        <v>127.276481286115</v>
      </c>
      <c r="AA644" s="63" t="n">
        <f aca="false">IFERROR((R644+S644+J644)/F644,0)</f>
        <v>1</v>
      </c>
      <c r="AB644" s="0" t="str">
        <f aca="false">A644&amp;"|"&amp;D644</f>
        <v>Eritrea|2024</v>
      </c>
    </row>
    <row r="645" customFormat="false" ht="15" hidden="false" customHeight="false" outlineLevel="0" collapsed="false">
      <c r="A645" s="0" t="s">
        <v>242</v>
      </c>
      <c r="B645" s="0" t="s">
        <v>480</v>
      </c>
      <c r="C645" s="0" t="s">
        <v>127</v>
      </c>
      <c r="D645" s="0" t="n">
        <v>2015</v>
      </c>
      <c r="E645" s="59" t="n">
        <v>1314580</v>
      </c>
      <c r="F645" s="60" t="n">
        <v>10.15</v>
      </c>
      <c r="G645" s="61" t="n">
        <v>0</v>
      </c>
      <c r="H645" s="61" t="n">
        <v>0.06</v>
      </c>
      <c r="I645" s="61" t="n">
        <v>8.53</v>
      </c>
      <c r="J645" s="61" t="n">
        <v>0</v>
      </c>
      <c r="K645" s="61" t="n">
        <v>0.03</v>
      </c>
      <c r="L645" s="61" t="n">
        <v>0</v>
      </c>
      <c r="M645" s="61" t="n">
        <v>0.71</v>
      </c>
      <c r="N645" s="61" t="n">
        <v>0.82</v>
      </c>
      <c r="O645" s="61" t="n">
        <v>0</v>
      </c>
      <c r="P645" s="62" t="n">
        <v>573.4</v>
      </c>
      <c r="Q645" s="0" t="n">
        <v>0</v>
      </c>
      <c r="R645" s="60" t="n">
        <f aca="false">G645+H645+I645</f>
        <v>8.59</v>
      </c>
      <c r="S645" s="60" t="n">
        <f aca="false">K645+L645+M645+N645+O645</f>
        <v>1.56</v>
      </c>
      <c r="T645" s="60" t="n">
        <f aca="false">L645+M645</f>
        <v>0.71</v>
      </c>
      <c r="U645" s="60" t="n">
        <f aca="false">S645+J645</f>
        <v>1.56</v>
      </c>
      <c r="V645" s="63" t="n">
        <f aca="false">IFERROR(S645/F645,0)</f>
        <v>0.153694581280788</v>
      </c>
      <c r="W645" s="63" t="n">
        <f aca="false">IFERROR(R645/F645,0)</f>
        <v>0.846305418719212</v>
      </c>
      <c r="X645" s="63" t="n">
        <f aca="false">IFERROR(T645/F645,0)</f>
        <v>0.0699507389162562</v>
      </c>
      <c r="Y645" s="63" t="n">
        <f aca="false">IFERROR(G645/F645,0)</f>
        <v>0</v>
      </c>
      <c r="Z645" s="59" t="n">
        <f aca="false">IF(E645&gt;0,F645*1000000000/E645,"")</f>
        <v>7721.09723257618</v>
      </c>
      <c r="AA645" s="63" t="n">
        <f aca="false">IFERROR((R645+S645+J645)/F645,0)</f>
        <v>1</v>
      </c>
      <c r="AB645" s="0" t="str">
        <f aca="false">A645&amp;"|"&amp;D645</f>
        <v>Estonia|2015</v>
      </c>
    </row>
    <row r="646" customFormat="false" ht="15" hidden="false" customHeight="false" outlineLevel="0" collapsed="false">
      <c r="A646" s="0" t="s">
        <v>242</v>
      </c>
      <c r="B646" s="0" t="s">
        <v>480</v>
      </c>
      <c r="C646" s="0" t="s">
        <v>127</v>
      </c>
      <c r="D646" s="0" t="n">
        <v>2016</v>
      </c>
      <c r="E646" s="59" t="n">
        <v>1315850</v>
      </c>
      <c r="F646" s="60" t="n">
        <v>12.17</v>
      </c>
      <c r="G646" s="61" t="n">
        <v>0</v>
      </c>
      <c r="H646" s="61" t="n">
        <v>0.07</v>
      </c>
      <c r="I646" s="61" t="n">
        <v>10.51</v>
      </c>
      <c r="J646" s="61" t="n">
        <v>0</v>
      </c>
      <c r="K646" s="61" t="n">
        <v>0.04</v>
      </c>
      <c r="L646" s="61" t="n">
        <v>0.01</v>
      </c>
      <c r="M646" s="61" t="n">
        <v>0.59</v>
      </c>
      <c r="N646" s="61" t="n">
        <v>0.95</v>
      </c>
      <c r="O646" s="61" t="n">
        <v>0</v>
      </c>
      <c r="P646" s="62" t="n">
        <v>588.3</v>
      </c>
      <c r="Q646" s="0" t="n">
        <v>0</v>
      </c>
      <c r="R646" s="60" t="n">
        <f aca="false">G646+H646+I646</f>
        <v>10.58</v>
      </c>
      <c r="S646" s="60" t="n">
        <f aca="false">K646+L646+M646+N646+O646</f>
        <v>1.59</v>
      </c>
      <c r="T646" s="60" t="n">
        <f aca="false">L646+M646</f>
        <v>0.6</v>
      </c>
      <c r="U646" s="60" t="n">
        <f aca="false">S646+J646</f>
        <v>1.59</v>
      </c>
      <c r="V646" s="63" t="n">
        <f aca="false">IFERROR(S646/F646,0)</f>
        <v>0.130649137222679</v>
      </c>
      <c r="W646" s="63" t="n">
        <f aca="false">IFERROR(R646/F646,0)</f>
        <v>0.869350862777321</v>
      </c>
      <c r="X646" s="63" t="n">
        <f aca="false">IFERROR(T646/F646,0)</f>
        <v>0.0493015612161052</v>
      </c>
      <c r="Y646" s="63" t="n">
        <f aca="false">IFERROR(G646/F646,0)</f>
        <v>0</v>
      </c>
      <c r="Z646" s="59" t="n">
        <f aca="false">IF(E646&gt;0,F646*1000000000/E646,"")</f>
        <v>9248.77455637041</v>
      </c>
      <c r="AA646" s="63" t="n">
        <f aca="false">IFERROR((R646+S646+J646)/F646,0)</f>
        <v>1</v>
      </c>
      <c r="AB646" s="0" t="str">
        <f aca="false">A646&amp;"|"&amp;D646</f>
        <v>Estonia|2016</v>
      </c>
    </row>
    <row r="647" customFormat="false" ht="15" hidden="false" customHeight="false" outlineLevel="0" collapsed="false">
      <c r="A647" s="0" t="s">
        <v>242</v>
      </c>
      <c r="B647" s="0" t="s">
        <v>480</v>
      </c>
      <c r="C647" s="0" t="s">
        <v>127</v>
      </c>
      <c r="D647" s="0" t="n">
        <v>2017</v>
      </c>
      <c r="E647" s="59" t="n">
        <v>1317430</v>
      </c>
      <c r="F647" s="60" t="n">
        <v>13.16</v>
      </c>
      <c r="G647" s="61" t="n">
        <v>0.02</v>
      </c>
      <c r="H647" s="61" t="n">
        <v>0.06</v>
      </c>
      <c r="I647" s="61" t="n">
        <v>11.22</v>
      </c>
      <c r="J647" s="61" t="n">
        <v>0</v>
      </c>
      <c r="K647" s="61" t="n">
        <v>0.03</v>
      </c>
      <c r="L647" s="61" t="n">
        <v>0.01</v>
      </c>
      <c r="M647" s="61" t="n">
        <v>0.72</v>
      </c>
      <c r="N647" s="61" t="n">
        <v>1.1</v>
      </c>
      <c r="O647" s="61" t="n">
        <v>0</v>
      </c>
      <c r="P647" s="62" t="n">
        <v>582.8</v>
      </c>
      <c r="Q647" s="0" t="n">
        <v>0</v>
      </c>
      <c r="R647" s="60" t="n">
        <f aca="false">G647+H647+I647</f>
        <v>11.3</v>
      </c>
      <c r="S647" s="60" t="n">
        <f aca="false">K647+L647+M647+N647+O647</f>
        <v>1.86</v>
      </c>
      <c r="T647" s="60" t="n">
        <f aca="false">L647+M647</f>
        <v>0.73</v>
      </c>
      <c r="U647" s="60" t="n">
        <f aca="false">S647+J647</f>
        <v>1.86</v>
      </c>
      <c r="V647" s="63" t="n">
        <f aca="false">IFERROR(S647/F647,0)</f>
        <v>0.141337386018237</v>
      </c>
      <c r="W647" s="63" t="n">
        <f aca="false">IFERROR(R647/F647,0)</f>
        <v>0.858662613981763</v>
      </c>
      <c r="X647" s="63" t="n">
        <f aca="false">IFERROR(T647/F647,0)</f>
        <v>0.0554711246200608</v>
      </c>
      <c r="Y647" s="63" t="n">
        <f aca="false">IFERROR(G647/F647,0)</f>
        <v>0.00151975683890578</v>
      </c>
      <c r="Z647" s="59" t="n">
        <f aca="false">IF(E647&gt;0,F647*1000000000/E647,"")</f>
        <v>9989.14553334902</v>
      </c>
      <c r="AA647" s="63" t="n">
        <f aca="false">IFERROR((R647+S647+J647)/F647,0)</f>
        <v>1</v>
      </c>
      <c r="AB647" s="0" t="str">
        <f aca="false">A647&amp;"|"&amp;D647</f>
        <v>Estonia|2017</v>
      </c>
    </row>
    <row r="648" customFormat="false" ht="15" hidden="false" customHeight="false" outlineLevel="0" collapsed="false">
      <c r="A648" s="0" t="s">
        <v>242</v>
      </c>
      <c r="B648" s="0" t="s">
        <v>480</v>
      </c>
      <c r="C648" s="0" t="s">
        <v>127</v>
      </c>
      <c r="D648" s="0" t="n">
        <v>2018</v>
      </c>
      <c r="E648" s="59" t="n">
        <v>1321972</v>
      </c>
      <c r="F648" s="60" t="n">
        <v>12.37</v>
      </c>
      <c r="G648" s="61" t="n">
        <v>0</v>
      </c>
      <c r="H648" s="61" t="n">
        <v>0.06</v>
      </c>
      <c r="I648" s="61" t="n">
        <v>10.32</v>
      </c>
      <c r="J648" s="61" t="n">
        <v>0</v>
      </c>
      <c r="K648" s="61" t="n">
        <v>0.01</v>
      </c>
      <c r="L648" s="61" t="n">
        <v>0.03</v>
      </c>
      <c r="M648" s="61" t="n">
        <v>0.64</v>
      </c>
      <c r="N648" s="61" t="n">
        <v>1.31</v>
      </c>
      <c r="O648" s="61" t="n">
        <v>0</v>
      </c>
      <c r="P648" s="62" t="n">
        <v>574</v>
      </c>
      <c r="Q648" s="0" t="n">
        <v>0</v>
      </c>
      <c r="R648" s="60" t="n">
        <f aca="false">G648+H648+I648</f>
        <v>10.38</v>
      </c>
      <c r="S648" s="60" t="n">
        <f aca="false">K648+L648+M648+N648+O648</f>
        <v>1.99</v>
      </c>
      <c r="T648" s="60" t="n">
        <f aca="false">L648+M648</f>
        <v>0.67</v>
      </c>
      <c r="U648" s="60" t="n">
        <f aca="false">S648+J648</f>
        <v>1.99</v>
      </c>
      <c r="V648" s="63" t="n">
        <f aca="false">IFERROR(S648/F648,0)</f>
        <v>0.160873080032336</v>
      </c>
      <c r="W648" s="63" t="n">
        <f aca="false">IFERROR(R648/F648,0)</f>
        <v>0.839126919967664</v>
      </c>
      <c r="X648" s="63" t="n">
        <f aca="false">IFERROR(T648/F648,0)</f>
        <v>0.0541632983023444</v>
      </c>
      <c r="Y648" s="63" t="n">
        <f aca="false">IFERROR(G648/F648,0)</f>
        <v>0</v>
      </c>
      <c r="Z648" s="59" t="n">
        <f aca="false">IF(E648&gt;0,F648*1000000000/E648,"")</f>
        <v>9357.23298224168</v>
      </c>
      <c r="AA648" s="63" t="n">
        <f aca="false">IFERROR((R648+S648+J648)/F648,0)</f>
        <v>1</v>
      </c>
      <c r="AB648" s="0" t="str">
        <f aca="false">A648&amp;"|"&amp;D648</f>
        <v>Estonia|2018</v>
      </c>
    </row>
    <row r="649" customFormat="false" ht="15" hidden="false" customHeight="false" outlineLevel="0" collapsed="false">
      <c r="A649" s="0" t="s">
        <v>242</v>
      </c>
      <c r="B649" s="0" t="s">
        <v>480</v>
      </c>
      <c r="C649" s="0" t="s">
        <v>127</v>
      </c>
      <c r="D649" s="0" t="n">
        <v>2019</v>
      </c>
      <c r="E649" s="59" t="n">
        <v>1326822</v>
      </c>
      <c r="F649" s="60" t="n">
        <v>7.61</v>
      </c>
      <c r="G649" s="61" t="n">
        <v>0</v>
      </c>
      <c r="H649" s="61" t="n">
        <v>0.04</v>
      </c>
      <c r="I649" s="61" t="n">
        <v>5.43</v>
      </c>
      <c r="J649" s="61" t="n">
        <v>0</v>
      </c>
      <c r="K649" s="61" t="n">
        <v>0.02</v>
      </c>
      <c r="L649" s="61" t="n">
        <v>0.07</v>
      </c>
      <c r="M649" s="61" t="n">
        <v>0.69</v>
      </c>
      <c r="N649" s="61" t="n">
        <v>1.36</v>
      </c>
      <c r="O649" s="61" t="n">
        <v>0</v>
      </c>
      <c r="P649" s="62" t="n">
        <v>509.9</v>
      </c>
      <c r="Q649" s="0" t="n">
        <v>0</v>
      </c>
      <c r="R649" s="60" t="n">
        <f aca="false">G649+H649+I649</f>
        <v>5.47</v>
      </c>
      <c r="S649" s="60" t="n">
        <f aca="false">K649+L649+M649+N649+O649</f>
        <v>2.14</v>
      </c>
      <c r="T649" s="60" t="n">
        <f aca="false">L649+M649</f>
        <v>0.76</v>
      </c>
      <c r="U649" s="60" t="n">
        <f aca="false">S649+J649</f>
        <v>2.14</v>
      </c>
      <c r="V649" s="63" t="n">
        <f aca="false">IFERROR(S649/F649,0)</f>
        <v>0.281208935611038</v>
      </c>
      <c r="W649" s="63" t="n">
        <f aca="false">IFERROR(R649/F649,0)</f>
        <v>0.718791064388962</v>
      </c>
      <c r="X649" s="63" t="n">
        <f aca="false">IFERROR(T649/F649,0)</f>
        <v>0.0998685939553219</v>
      </c>
      <c r="Y649" s="63" t="n">
        <f aca="false">IFERROR(G649/F649,0)</f>
        <v>0</v>
      </c>
      <c r="Z649" s="59" t="n">
        <f aca="false">IF(E649&gt;0,F649*1000000000/E649,"")</f>
        <v>5735.50935995936</v>
      </c>
      <c r="AA649" s="63" t="n">
        <f aca="false">IFERROR((R649+S649+J649)/F649,0)</f>
        <v>1</v>
      </c>
      <c r="AB649" s="0" t="str">
        <f aca="false">A649&amp;"|"&amp;D649</f>
        <v>Estonia|2019</v>
      </c>
    </row>
    <row r="650" customFormat="false" ht="15" hidden="false" customHeight="false" outlineLevel="0" collapsed="false">
      <c r="A650" s="0" t="s">
        <v>242</v>
      </c>
      <c r="B650" s="0" t="s">
        <v>480</v>
      </c>
      <c r="C650" s="0" t="s">
        <v>127</v>
      </c>
      <c r="D650" s="0" t="n">
        <v>2020</v>
      </c>
      <c r="E650" s="59" t="n">
        <v>1329675</v>
      </c>
      <c r="F650" s="60" t="n">
        <v>6.08</v>
      </c>
      <c r="G650" s="61" t="n">
        <v>0</v>
      </c>
      <c r="H650" s="61" t="n">
        <v>0.03</v>
      </c>
      <c r="I650" s="61" t="n">
        <v>3.08</v>
      </c>
      <c r="J650" s="61" t="n">
        <v>0</v>
      </c>
      <c r="K650" s="61" t="n">
        <v>0.03</v>
      </c>
      <c r="L650" s="61" t="n">
        <v>0.25</v>
      </c>
      <c r="M650" s="61" t="n">
        <v>0.84</v>
      </c>
      <c r="N650" s="61" t="n">
        <v>1.85</v>
      </c>
      <c r="O650" s="61" t="n">
        <v>0</v>
      </c>
      <c r="P650" s="62" t="n">
        <v>404.6</v>
      </c>
      <c r="Q650" s="0" t="n">
        <v>0</v>
      </c>
      <c r="R650" s="60" t="n">
        <f aca="false">G650+H650+I650</f>
        <v>3.11</v>
      </c>
      <c r="S650" s="60" t="n">
        <f aca="false">K650+L650+M650+N650+O650</f>
        <v>2.97</v>
      </c>
      <c r="T650" s="60" t="n">
        <f aca="false">L650+M650</f>
        <v>1.09</v>
      </c>
      <c r="U650" s="60" t="n">
        <f aca="false">S650+J650</f>
        <v>2.97</v>
      </c>
      <c r="V650" s="63" t="n">
        <f aca="false">IFERROR(S650/F650,0)</f>
        <v>0.488486842105263</v>
      </c>
      <c r="W650" s="63" t="n">
        <f aca="false">IFERROR(R650/F650,0)</f>
        <v>0.511513157894737</v>
      </c>
      <c r="X650" s="63" t="n">
        <f aca="false">IFERROR(T650/F650,0)</f>
        <v>0.179276315789474</v>
      </c>
      <c r="Y650" s="63" t="n">
        <f aca="false">IFERROR(G650/F650,0)</f>
        <v>0</v>
      </c>
      <c r="Z650" s="59" t="n">
        <f aca="false">IF(E650&gt;0,F650*1000000000/E650,"")</f>
        <v>4572.54592287589</v>
      </c>
      <c r="AA650" s="63" t="n">
        <f aca="false">IFERROR((R650+S650+J650)/F650,0)</f>
        <v>1</v>
      </c>
      <c r="AB650" s="0" t="str">
        <f aca="false">A650&amp;"|"&amp;D650</f>
        <v>Estonia|2020</v>
      </c>
    </row>
    <row r="651" customFormat="false" ht="15" hidden="false" customHeight="false" outlineLevel="0" collapsed="false">
      <c r="A651" s="0" t="s">
        <v>242</v>
      </c>
      <c r="B651" s="0" t="s">
        <v>480</v>
      </c>
      <c r="C651" s="0" t="s">
        <v>127</v>
      </c>
      <c r="D651" s="0" t="n">
        <v>2021</v>
      </c>
      <c r="E651" s="59" t="n">
        <v>1331750</v>
      </c>
      <c r="F651" s="60" t="n">
        <v>7.19</v>
      </c>
      <c r="G651" s="61" t="n">
        <v>0</v>
      </c>
      <c r="H651" s="61" t="n">
        <v>0.04</v>
      </c>
      <c r="I651" s="61" t="n">
        <v>4.28</v>
      </c>
      <c r="J651" s="61" t="n">
        <v>0</v>
      </c>
      <c r="K651" s="61" t="n">
        <v>0.02</v>
      </c>
      <c r="L651" s="61" t="n">
        <v>0.35</v>
      </c>
      <c r="M651" s="61" t="n">
        <v>0.73</v>
      </c>
      <c r="N651" s="61" t="n">
        <v>1.77</v>
      </c>
      <c r="O651" s="61" t="n">
        <v>0</v>
      </c>
      <c r="P651" s="62" t="n">
        <v>450.6</v>
      </c>
      <c r="Q651" s="0" t="n">
        <v>0</v>
      </c>
      <c r="R651" s="60" t="n">
        <f aca="false">G651+H651+I651</f>
        <v>4.32</v>
      </c>
      <c r="S651" s="60" t="n">
        <f aca="false">K651+L651+M651+N651+O651</f>
        <v>2.87</v>
      </c>
      <c r="T651" s="60" t="n">
        <f aca="false">L651+M651</f>
        <v>1.08</v>
      </c>
      <c r="U651" s="60" t="n">
        <f aca="false">S651+J651</f>
        <v>2.87</v>
      </c>
      <c r="V651" s="63" t="n">
        <f aca="false">IFERROR(S651/F651,0)</f>
        <v>0.399165507649513</v>
      </c>
      <c r="W651" s="63" t="n">
        <f aca="false">IFERROR(R651/F651,0)</f>
        <v>0.600834492350487</v>
      </c>
      <c r="X651" s="63" t="n">
        <f aca="false">IFERROR(T651/F651,0)</f>
        <v>0.150208623087622</v>
      </c>
      <c r="Y651" s="63" t="n">
        <f aca="false">IFERROR(G651/F651,0)</f>
        <v>0</v>
      </c>
      <c r="Z651" s="59" t="n">
        <f aca="false">IF(E651&gt;0,F651*1000000000/E651,"")</f>
        <v>5398.91120705838</v>
      </c>
      <c r="AA651" s="63" t="n">
        <f aca="false">IFERROR((R651+S651+J651)/F651,0)</f>
        <v>1</v>
      </c>
      <c r="AB651" s="0" t="str">
        <f aca="false">A651&amp;"|"&amp;D651</f>
        <v>Estonia|2021</v>
      </c>
    </row>
    <row r="652" customFormat="false" ht="15" hidden="false" customHeight="false" outlineLevel="0" collapsed="false">
      <c r="A652" s="0" t="s">
        <v>242</v>
      </c>
      <c r="B652" s="0" t="s">
        <v>480</v>
      </c>
      <c r="C652" s="0" t="s">
        <v>127</v>
      </c>
      <c r="D652" s="0" t="n">
        <v>2022</v>
      </c>
      <c r="E652" s="59" t="n">
        <v>1350093</v>
      </c>
      <c r="F652" s="60" t="n">
        <v>8.94</v>
      </c>
      <c r="G652" s="61" t="n">
        <v>0</v>
      </c>
      <c r="H652" s="61" t="n">
        <v>0.06</v>
      </c>
      <c r="I652" s="61" t="n">
        <v>6.02</v>
      </c>
      <c r="J652" s="61" t="n">
        <v>0</v>
      </c>
      <c r="K652" s="61" t="n">
        <v>0.02</v>
      </c>
      <c r="L652" s="61" t="n">
        <v>0.6</v>
      </c>
      <c r="M652" s="61" t="n">
        <v>0.67</v>
      </c>
      <c r="N652" s="61" t="n">
        <v>1.57</v>
      </c>
      <c r="O652" s="61" t="n">
        <v>0</v>
      </c>
      <c r="P652" s="62" t="n">
        <v>487.7</v>
      </c>
      <c r="Q652" s="0" t="n">
        <v>0</v>
      </c>
      <c r="R652" s="60" t="n">
        <f aca="false">G652+H652+I652</f>
        <v>6.08</v>
      </c>
      <c r="S652" s="60" t="n">
        <f aca="false">K652+L652+M652+N652+O652</f>
        <v>2.86</v>
      </c>
      <c r="T652" s="60" t="n">
        <f aca="false">L652+M652</f>
        <v>1.27</v>
      </c>
      <c r="U652" s="60" t="n">
        <f aca="false">S652+J652</f>
        <v>2.86</v>
      </c>
      <c r="V652" s="63" t="n">
        <f aca="false">IFERROR(S652/F652,0)</f>
        <v>0.319910514541387</v>
      </c>
      <c r="W652" s="63" t="n">
        <f aca="false">IFERROR(R652/F652,0)</f>
        <v>0.680089485458613</v>
      </c>
      <c r="X652" s="63" t="n">
        <f aca="false">IFERROR(T652/F652,0)</f>
        <v>0.142058165548098</v>
      </c>
      <c r="Y652" s="63" t="n">
        <f aca="false">IFERROR(G652/F652,0)</f>
        <v>0</v>
      </c>
      <c r="Z652" s="59" t="n">
        <f aca="false">IF(E652&gt;0,F652*1000000000/E652,"")</f>
        <v>6621.76605611613</v>
      </c>
      <c r="AA652" s="63" t="n">
        <f aca="false">IFERROR((R652+S652+J652)/F652,0)</f>
        <v>1</v>
      </c>
      <c r="AB652" s="0" t="str">
        <f aca="false">A652&amp;"|"&amp;D652</f>
        <v>Estonia|2022</v>
      </c>
    </row>
    <row r="653" customFormat="false" ht="15" hidden="false" customHeight="false" outlineLevel="0" collapsed="false">
      <c r="A653" s="0" t="s">
        <v>242</v>
      </c>
      <c r="B653" s="0" t="s">
        <v>480</v>
      </c>
      <c r="C653" s="0" t="s">
        <v>127</v>
      </c>
      <c r="D653" s="0" t="n">
        <v>2023</v>
      </c>
      <c r="E653" s="59" t="n">
        <v>1367195</v>
      </c>
      <c r="F653" s="60" t="n">
        <v>5.74</v>
      </c>
      <c r="G653" s="61" t="n">
        <v>0</v>
      </c>
      <c r="H653" s="61" t="n">
        <v>0.02</v>
      </c>
      <c r="I653" s="61" t="n">
        <v>2.92</v>
      </c>
      <c r="J653" s="61" t="n">
        <v>0</v>
      </c>
      <c r="K653" s="61" t="n">
        <v>0.02</v>
      </c>
      <c r="L653" s="61" t="n">
        <v>0.72</v>
      </c>
      <c r="M653" s="61" t="n">
        <v>0.68</v>
      </c>
      <c r="N653" s="61" t="n">
        <v>1.38</v>
      </c>
      <c r="O653" s="61" t="n">
        <v>0</v>
      </c>
      <c r="P653" s="62" t="n">
        <v>395.5</v>
      </c>
      <c r="Q653" s="0" t="n">
        <v>0</v>
      </c>
      <c r="R653" s="60" t="n">
        <f aca="false">G653+H653+I653</f>
        <v>2.94</v>
      </c>
      <c r="S653" s="60" t="n">
        <f aca="false">K653+L653+M653+N653+O653</f>
        <v>2.8</v>
      </c>
      <c r="T653" s="60" t="n">
        <f aca="false">L653+M653</f>
        <v>1.4</v>
      </c>
      <c r="U653" s="60" t="n">
        <f aca="false">S653+J653</f>
        <v>2.8</v>
      </c>
      <c r="V653" s="63" t="n">
        <f aca="false">IFERROR(S653/F653,0)</f>
        <v>0.48780487804878</v>
      </c>
      <c r="W653" s="63" t="n">
        <f aca="false">IFERROR(R653/F653,0)</f>
        <v>0.51219512195122</v>
      </c>
      <c r="X653" s="63" t="n">
        <f aca="false">IFERROR(T653/F653,0)</f>
        <v>0.24390243902439</v>
      </c>
      <c r="Y653" s="63" t="n">
        <f aca="false">IFERROR(G653/F653,0)</f>
        <v>0</v>
      </c>
      <c r="Z653" s="59" t="n">
        <f aca="false">IF(E653&gt;0,F653*1000000000/E653,"")</f>
        <v>4198.37696890349</v>
      </c>
      <c r="AA653" s="63" t="n">
        <f aca="false">IFERROR((R653+S653+J653)/F653,0)</f>
        <v>1</v>
      </c>
      <c r="AB653" s="0" t="str">
        <f aca="false">A653&amp;"|"&amp;D653</f>
        <v>Estonia|2023</v>
      </c>
    </row>
    <row r="654" customFormat="false" ht="15" hidden="false" customHeight="false" outlineLevel="0" collapsed="false">
      <c r="A654" s="0" t="s">
        <v>242</v>
      </c>
      <c r="B654" s="0" t="s">
        <v>480</v>
      </c>
      <c r="C654" s="0" t="s">
        <v>127</v>
      </c>
      <c r="D654" s="0" t="n">
        <v>2024</v>
      </c>
      <c r="E654" s="59" t="n">
        <v>1360548</v>
      </c>
      <c r="F654" s="60" t="n">
        <v>6.26</v>
      </c>
      <c r="G654" s="61" t="n">
        <v>0</v>
      </c>
      <c r="H654" s="61" t="n">
        <v>0.08</v>
      </c>
      <c r="I654" s="61" t="n">
        <v>2.69</v>
      </c>
      <c r="J654" s="61" t="n">
        <v>0</v>
      </c>
      <c r="K654" s="61" t="n">
        <v>0.03</v>
      </c>
      <c r="L654" s="61" t="n">
        <v>1.07</v>
      </c>
      <c r="M654" s="61" t="n">
        <v>1.05</v>
      </c>
      <c r="N654" s="61" t="n">
        <v>1.34</v>
      </c>
      <c r="O654" s="61" t="n">
        <v>0</v>
      </c>
      <c r="P654" s="62" t="n">
        <v>343.4</v>
      </c>
      <c r="Q654" s="0" t="n">
        <v>0</v>
      </c>
      <c r="R654" s="60" t="n">
        <f aca="false">G654+H654+I654</f>
        <v>2.77</v>
      </c>
      <c r="S654" s="60" t="n">
        <f aca="false">K654+L654+M654+N654+O654</f>
        <v>3.49</v>
      </c>
      <c r="T654" s="60" t="n">
        <f aca="false">L654+M654</f>
        <v>2.12</v>
      </c>
      <c r="U654" s="60" t="n">
        <f aca="false">S654+J654</f>
        <v>3.49</v>
      </c>
      <c r="V654" s="63" t="n">
        <f aca="false">IFERROR(S654/F654,0)</f>
        <v>0.557507987220447</v>
      </c>
      <c r="W654" s="63" t="n">
        <f aca="false">IFERROR(R654/F654,0)</f>
        <v>0.442492012779553</v>
      </c>
      <c r="X654" s="63" t="n">
        <f aca="false">IFERROR(T654/F654,0)</f>
        <v>0.338658146964856</v>
      </c>
      <c r="Y654" s="63" t="n">
        <f aca="false">IFERROR(G654/F654,0)</f>
        <v>0</v>
      </c>
      <c r="Z654" s="59" t="n">
        <f aca="false">IF(E654&gt;0,F654*1000000000/E654,"")</f>
        <v>4601.08720897756</v>
      </c>
      <c r="AA654" s="63" t="n">
        <f aca="false">IFERROR((R654+S654+J654)/F654,0)</f>
        <v>1</v>
      </c>
      <c r="AB654" s="0" t="str">
        <f aca="false">A654&amp;"|"&amp;D654</f>
        <v>Estonia|2024</v>
      </c>
    </row>
    <row r="655" customFormat="false" ht="15" hidden="false" customHeight="false" outlineLevel="0" collapsed="false">
      <c r="A655" s="0" t="s">
        <v>242</v>
      </c>
      <c r="B655" s="0" t="s">
        <v>480</v>
      </c>
      <c r="C655" s="0" t="s">
        <v>127</v>
      </c>
      <c r="D655" s="0" t="n">
        <v>2025</v>
      </c>
      <c r="E655" s="59" t="n">
        <v>1344236</v>
      </c>
      <c r="F655" s="60" t="n">
        <v>6.11</v>
      </c>
      <c r="G655" s="61" t="n">
        <v>0</v>
      </c>
      <c r="H655" s="61" t="n">
        <v>0.08</v>
      </c>
      <c r="I655" s="61" t="n">
        <v>2.39</v>
      </c>
      <c r="J655" s="61" t="n">
        <v>0</v>
      </c>
      <c r="K655" s="61" t="n">
        <v>0.03</v>
      </c>
      <c r="L655" s="61" t="n">
        <v>1.13</v>
      </c>
      <c r="M655" s="61" t="n">
        <v>1.15</v>
      </c>
      <c r="N655" s="61" t="n">
        <v>1.33</v>
      </c>
      <c r="O655" s="61" t="n">
        <v>0</v>
      </c>
      <c r="P655" s="62" t="n">
        <v>319.1</v>
      </c>
      <c r="Q655" s="0" t="n">
        <v>0</v>
      </c>
      <c r="R655" s="60" t="n">
        <f aca="false">G655+H655+I655</f>
        <v>2.47</v>
      </c>
      <c r="S655" s="60" t="n">
        <f aca="false">K655+L655+M655+N655+O655</f>
        <v>3.64</v>
      </c>
      <c r="T655" s="60" t="n">
        <f aca="false">L655+M655</f>
        <v>2.28</v>
      </c>
      <c r="U655" s="60" t="n">
        <f aca="false">S655+J655</f>
        <v>3.64</v>
      </c>
      <c r="V655" s="63" t="n">
        <f aca="false">IFERROR(S655/F655,0)</f>
        <v>0.595744680851064</v>
      </c>
      <c r="W655" s="63" t="n">
        <f aca="false">IFERROR(R655/F655,0)</f>
        <v>0.404255319148936</v>
      </c>
      <c r="X655" s="63" t="n">
        <f aca="false">IFERROR(T655/F655,0)</f>
        <v>0.37315875613748</v>
      </c>
      <c r="Y655" s="63" t="n">
        <f aca="false">IFERROR(G655/F655,0)</f>
        <v>0</v>
      </c>
      <c r="Z655" s="59" t="n">
        <f aca="false">IF(E655&gt;0,F655*1000000000/E655,"")</f>
        <v>4545.33281358333</v>
      </c>
      <c r="AA655" s="63" t="n">
        <f aca="false">IFERROR((R655+S655+J655)/F655,0)</f>
        <v>1</v>
      </c>
      <c r="AB655" s="0" t="str">
        <f aca="false">A655&amp;"|"&amp;D655</f>
        <v>Estonia|2025</v>
      </c>
    </row>
    <row r="656" customFormat="false" ht="15" hidden="false" customHeight="false" outlineLevel="0" collapsed="false">
      <c r="A656" s="0" t="s">
        <v>243</v>
      </c>
      <c r="B656" s="0" t="s">
        <v>481</v>
      </c>
      <c r="C656" s="0" t="s">
        <v>127</v>
      </c>
      <c r="D656" s="0" t="n">
        <v>2015</v>
      </c>
      <c r="E656" s="59" t="n">
        <v>1142822</v>
      </c>
      <c r="F656" s="60" t="n">
        <v>0.38</v>
      </c>
      <c r="G656" s="61" t="n">
        <v>0.02</v>
      </c>
      <c r="H656" s="61" t="n">
        <v>0</v>
      </c>
      <c r="I656" s="61" t="n">
        <v>0</v>
      </c>
      <c r="J656" s="61" t="n">
        <v>0</v>
      </c>
      <c r="K656" s="61" t="n">
        <v>0.12</v>
      </c>
      <c r="L656" s="61" t="n">
        <v>0</v>
      </c>
      <c r="M656" s="61" t="n">
        <v>0</v>
      </c>
      <c r="N656" s="61" t="n">
        <v>0.24</v>
      </c>
      <c r="O656" s="61" t="n">
        <v>0</v>
      </c>
      <c r="P656" s="62" t="n">
        <v>184.2</v>
      </c>
      <c r="Q656" s="0" t="n">
        <v>0</v>
      </c>
      <c r="R656" s="60" t="n">
        <f aca="false">G656+H656+I656</f>
        <v>0.02</v>
      </c>
      <c r="S656" s="60" t="n">
        <f aca="false">K656+L656+M656+N656+O656</f>
        <v>0.36</v>
      </c>
      <c r="T656" s="60" t="n">
        <f aca="false">L656+M656</f>
        <v>0</v>
      </c>
      <c r="U656" s="60" t="n">
        <f aca="false">S656+J656</f>
        <v>0.36</v>
      </c>
      <c r="V656" s="63" t="n">
        <f aca="false">IFERROR(S656/F656,0)</f>
        <v>0.947368421052632</v>
      </c>
      <c r="W656" s="63" t="n">
        <f aca="false">IFERROR(R656/F656,0)</f>
        <v>0.0526315789473684</v>
      </c>
      <c r="X656" s="63" t="n">
        <f aca="false">IFERROR(T656/F656,0)</f>
        <v>0</v>
      </c>
      <c r="Y656" s="63" t="n">
        <f aca="false">IFERROR(G656/F656,0)</f>
        <v>0.0526315789473684</v>
      </c>
      <c r="Z656" s="59" t="n">
        <f aca="false">IF(E656&gt;0,F656*1000000000/E656,"")</f>
        <v>332.510224689409</v>
      </c>
      <c r="AA656" s="63" t="n">
        <f aca="false">IFERROR((R656+S656+J656)/F656,0)</f>
        <v>1</v>
      </c>
      <c r="AB656" s="0" t="str">
        <f aca="false">A656&amp;"|"&amp;D656</f>
        <v>Eswatini|2015</v>
      </c>
    </row>
    <row r="657" customFormat="false" ht="15" hidden="false" customHeight="false" outlineLevel="0" collapsed="false">
      <c r="A657" s="0" t="s">
        <v>243</v>
      </c>
      <c r="B657" s="0" t="s">
        <v>481</v>
      </c>
      <c r="C657" s="0" t="s">
        <v>127</v>
      </c>
      <c r="D657" s="0" t="n">
        <v>2016</v>
      </c>
      <c r="E657" s="59" t="n">
        <v>1149516</v>
      </c>
      <c r="F657" s="60" t="n">
        <v>0.36</v>
      </c>
      <c r="G657" s="61" t="n">
        <v>0.03</v>
      </c>
      <c r="H657" s="61" t="n">
        <v>0</v>
      </c>
      <c r="I657" s="61" t="n">
        <v>0</v>
      </c>
      <c r="J657" s="61" t="n">
        <v>0</v>
      </c>
      <c r="K657" s="61" t="n">
        <v>0.12</v>
      </c>
      <c r="L657" s="61" t="n">
        <v>0</v>
      </c>
      <c r="M657" s="61" t="n">
        <v>0</v>
      </c>
      <c r="N657" s="61" t="n">
        <v>0.21</v>
      </c>
      <c r="O657" s="61" t="n">
        <v>0</v>
      </c>
      <c r="P657" s="62" t="n">
        <v>222.2</v>
      </c>
      <c r="Q657" s="0" t="n">
        <v>0</v>
      </c>
      <c r="R657" s="60" t="n">
        <f aca="false">G657+H657+I657</f>
        <v>0.03</v>
      </c>
      <c r="S657" s="60" t="n">
        <f aca="false">K657+L657+M657+N657+O657</f>
        <v>0.33</v>
      </c>
      <c r="T657" s="60" t="n">
        <f aca="false">L657+M657</f>
        <v>0</v>
      </c>
      <c r="U657" s="60" t="n">
        <f aca="false">S657+J657</f>
        <v>0.33</v>
      </c>
      <c r="V657" s="63" t="n">
        <f aca="false">IFERROR(S657/F657,0)</f>
        <v>0.916666666666667</v>
      </c>
      <c r="W657" s="63" t="n">
        <f aca="false">IFERROR(R657/F657,0)</f>
        <v>0.0833333333333333</v>
      </c>
      <c r="X657" s="63" t="n">
        <f aca="false">IFERROR(T657/F657,0)</f>
        <v>0</v>
      </c>
      <c r="Y657" s="63" t="n">
        <f aca="false">IFERROR(G657/F657,0)</f>
        <v>0.0833333333333333</v>
      </c>
      <c r="Z657" s="59" t="n">
        <f aca="false">IF(E657&gt;0,F657*1000000000/E657,"")</f>
        <v>313.17528420657</v>
      </c>
      <c r="AA657" s="63" t="n">
        <f aca="false">IFERROR((R657+S657+J657)/F657,0)</f>
        <v>1</v>
      </c>
      <c r="AB657" s="0" t="str">
        <f aca="false">A657&amp;"|"&amp;D657</f>
        <v>Eswatini|2016</v>
      </c>
    </row>
    <row r="658" customFormat="false" ht="15" hidden="false" customHeight="false" outlineLevel="0" collapsed="false">
      <c r="A658" s="0" t="s">
        <v>243</v>
      </c>
      <c r="B658" s="0" t="s">
        <v>481</v>
      </c>
      <c r="C658" s="0" t="s">
        <v>127</v>
      </c>
      <c r="D658" s="0" t="n">
        <v>2017</v>
      </c>
      <c r="E658" s="59" t="n">
        <v>1158198</v>
      </c>
      <c r="F658" s="60" t="n">
        <v>0.43</v>
      </c>
      <c r="G658" s="61" t="n">
        <v>0.02</v>
      </c>
      <c r="H658" s="61" t="n">
        <v>0</v>
      </c>
      <c r="I658" s="61" t="n">
        <v>0</v>
      </c>
      <c r="J658" s="61" t="n">
        <v>0</v>
      </c>
      <c r="K658" s="61" t="n">
        <v>0.21</v>
      </c>
      <c r="L658" s="61" t="n">
        <v>0</v>
      </c>
      <c r="M658" s="61" t="n">
        <v>0</v>
      </c>
      <c r="N658" s="61" t="n">
        <v>0.2</v>
      </c>
      <c r="O658" s="61" t="n">
        <v>0</v>
      </c>
      <c r="P658" s="62" t="n">
        <v>139.5</v>
      </c>
      <c r="Q658" s="0" t="n">
        <v>0</v>
      </c>
      <c r="R658" s="60" t="n">
        <f aca="false">G658+H658+I658</f>
        <v>0.02</v>
      </c>
      <c r="S658" s="60" t="n">
        <f aca="false">K658+L658+M658+N658+O658</f>
        <v>0.41</v>
      </c>
      <c r="T658" s="60" t="n">
        <f aca="false">L658+M658</f>
        <v>0</v>
      </c>
      <c r="U658" s="60" t="n">
        <f aca="false">S658+J658</f>
        <v>0.41</v>
      </c>
      <c r="V658" s="63" t="n">
        <f aca="false">IFERROR(S658/F658,0)</f>
        <v>0.953488372093023</v>
      </c>
      <c r="W658" s="63" t="n">
        <f aca="false">IFERROR(R658/F658,0)</f>
        <v>0.0465116279069767</v>
      </c>
      <c r="X658" s="63" t="n">
        <f aca="false">IFERROR(T658/F658,0)</f>
        <v>0</v>
      </c>
      <c r="Y658" s="63" t="n">
        <f aca="false">IFERROR(G658/F658,0)</f>
        <v>0.0465116279069767</v>
      </c>
      <c r="Z658" s="59" t="n">
        <f aca="false">IF(E658&gt;0,F658*1000000000/E658,"")</f>
        <v>371.266398318768</v>
      </c>
      <c r="AA658" s="63" t="n">
        <f aca="false">IFERROR((R658+S658+J658)/F658,0)</f>
        <v>1</v>
      </c>
      <c r="AB658" s="0" t="str">
        <f aca="false">A658&amp;"|"&amp;D658</f>
        <v>Eswatini|2017</v>
      </c>
    </row>
    <row r="659" customFormat="false" ht="15" hidden="false" customHeight="false" outlineLevel="0" collapsed="false">
      <c r="A659" s="0" t="s">
        <v>243</v>
      </c>
      <c r="B659" s="0" t="s">
        <v>481</v>
      </c>
      <c r="C659" s="0" t="s">
        <v>127</v>
      </c>
      <c r="D659" s="0" t="n">
        <v>2018</v>
      </c>
      <c r="E659" s="59" t="n">
        <v>1168933</v>
      </c>
      <c r="F659" s="60" t="n">
        <v>0.49</v>
      </c>
      <c r="G659" s="61" t="n">
        <v>0.02</v>
      </c>
      <c r="H659" s="61" t="n">
        <v>0</v>
      </c>
      <c r="I659" s="61" t="n">
        <v>0</v>
      </c>
      <c r="J659" s="61" t="n">
        <v>0</v>
      </c>
      <c r="K659" s="61" t="n">
        <v>0.27</v>
      </c>
      <c r="L659" s="61" t="n">
        <v>0</v>
      </c>
      <c r="M659" s="61" t="n">
        <v>0</v>
      </c>
      <c r="N659" s="61" t="n">
        <v>0.2</v>
      </c>
      <c r="O659" s="61" t="n">
        <v>0</v>
      </c>
      <c r="P659" s="62" t="n">
        <v>142.9</v>
      </c>
      <c r="Q659" s="0" t="n">
        <v>0</v>
      </c>
      <c r="R659" s="60" t="n">
        <f aca="false">G659+H659+I659</f>
        <v>0.02</v>
      </c>
      <c r="S659" s="60" t="n">
        <f aca="false">K659+L659+M659+N659+O659</f>
        <v>0.47</v>
      </c>
      <c r="T659" s="60" t="n">
        <f aca="false">L659+M659</f>
        <v>0</v>
      </c>
      <c r="U659" s="60" t="n">
        <f aca="false">S659+J659</f>
        <v>0.47</v>
      </c>
      <c r="V659" s="63" t="n">
        <f aca="false">IFERROR(S659/F659,0)</f>
        <v>0.959183673469388</v>
      </c>
      <c r="W659" s="63" t="n">
        <f aca="false">IFERROR(R659/F659,0)</f>
        <v>0.0408163265306123</v>
      </c>
      <c r="X659" s="63" t="n">
        <f aca="false">IFERROR(T659/F659,0)</f>
        <v>0</v>
      </c>
      <c r="Y659" s="63" t="n">
        <f aca="false">IFERROR(G659/F659,0)</f>
        <v>0.0408163265306123</v>
      </c>
      <c r="Z659" s="59" t="n">
        <f aca="false">IF(E659&gt;0,F659*1000000000/E659,"")</f>
        <v>419.185701832355</v>
      </c>
      <c r="AA659" s="63" t="n">
        <f aca="false">IFERROR((R659+S659+J659)/F659,0)</f>
        <v>1</v>
      </c>
      <c r="AB659" s="0" t="str">
        <f aca="false">A659&amp;"|"&amp;D659</f>
        <v>Eswatini|2018</v>
      </c>
    </row>
    <row r="660" customFormat="false" ht="15" hidden="false" customHeight="false" outlineLevel="0" collapsed="false">
      <c r="A660" s="0" t="s">
        <v>243</v>
      </c>
      <c r="B660" s="0" t="s">
        <v>481</v>
      </c>
      <c r="C660" s="0" t="s">
        <v>127</v>
      </c>
      <c r="D660" s="0" t="n">
        <v>2019</v>
      </c>
      <c r="E660" s="59" t="n">
        <v>1179885</v>
      </c>
      <c r="F660" s="60" t="n">
        <v>0.49</v>
      </c>
      <c r="G660" s="61" t="n">
        <v>0.04</v>
      </c>
      <c r="H660" s="61" t="n">
        <v>0</v>
      </c>
      <c r="I660" s="61" t="n">
        <v>0</v>
      </c>
      <c r="J660" s="61" t="n">
        <v>0</v>
      </c>
      <c r="K660" s="61" t="n">
        <v>0.23</v>
      </c>
      <c r="L660" s="61" t="n">
        <v>0</v>
      </c>
      <c r="M660" s="61" t="n">
        <v>0</v>
      </c>
      <c r="N660" s="61" t="n">
        <v>0.22</v>
      </c>
      <c r="O660" s="61" t="n">
        <v>0</v>
      </c>
      <c r="P660" s="62" t="n">
        <v>204.1</v>
      </c>
      <c r="Q660" s="0" t="n">
        <v>0</v>
      </c>
      <c r="R660" s="60" t="n">
        <f aca="false">G660+H660+I660</f>
        <v>0.04</v>
      </c>
      <c r="S660" s="60" t="n">
        <f aca="false">K660+L660+M660+N660+O660</f>
        <v>0.45</v>
      </c>
      <c r="T660" s="60" t="n">
        <f aca="false">L660+M660</f>
        <v>0</v>
      </c>
      <c r="U660" s="60" t="n">
        <f aca="false">S660+J660</f>
        <v>0.45</v>
      </c>
      <c r="V660" s="63" t="n">
        <f aca="false">IFERROR(S660/F660,0)</f>
        <v>0.918367346938776</v>
      </c>
      <c r="W660" s="63" t="n">
        <f aca="false">IFERROR(R660/F660,0)</f>
        <v>0.0816326530612245</v>
      </c>
      <c r="X660" s="63" t="n">
        <f aca="false">IFERROR(T660/F660,0)</f>
        <v>0</v>
      </c>
      <c r="Y660" s="63" t="n">
        <f aca="false">IFERROR(G660/F660,0)</f>
        <v>0.0816326530612245</v>
      </c>
      <c r="Z660" s="59" t="n">
        <f aca="false">IF(E660&gt;0,F660*1000000000/E660,"")</f>
        <v>415.294710925217</v>
      </c>
      <c r="AA660" s="63" t="n">
        <f aca="false">IFERROR((R660+S660+J660)/F660,0)</f>
        <v>1</v>
      </c>
      <c r="AB660" s="0" t="str">
        <f aca="false">A660&amp;"|"&amp;D660</f>
        <v>Eswatini|2019</v>
      </c>
    </row>
    <row r="661" customFormat="false" ht="15" hidden="false" customHeight="false" outlineLevel="0" collapsed="false">
      <c r="A661" s="0" t="s">
        <v>243</v>
      </c>
      <c r="B661" s="0" t="s">
        <v>481</v>
      </c>
      <c r="C661" s="0" t="s">
        <v>127</v>
      </c>
      <c r="D661" s="0" t="n">
        <v>2020</v>
      </c>
      <c r="E661" s="59" t="n">
        <v>1192734</v>
      </c>
      <c r="F661" s="60" t="n">
        <v>0.49</v>
      </c>
      <c r="G661" s="61" t="n">
        <v>0.02</v>
      </c>
      <c r="H661" s="61" t="n">
        <v>0</v>
      </c>
      <c r="I661" s="61" t="n">
        <v>0</v>
      </c>
      <c r="J661" s="61" t="n">
        <v>0</v>
      </c>
      <c r="K661" s="61" t="n">
        <v>0.23</v>
      </c>
      <c r="L661" s="61" t="n">
        <v>0</v>
      </c>
      <c r="M661" s="61" t="n">
        <v>0</v>
      </c>
      <c r="N661" s="61" t="n">
        <v>0.24</v>
      </c>
      <c r="O661" s="61" t="n">
        <v>0</v>
      </c>
      <c r="P661" s="62" t="n">
        <v>163.3</v>
      </c>
      <c r="Q661" s="0" t="n">
        <v>0</v>
      </c>
      <c r="R661" s="60" t="n">
        <f aca="false">G661+H661+I661</f>
        <v>0.02</v>
      </c>
      <c r="S661" s="60" t="n">
        <f aca="false">K661+L661+M661+N661+O661</f>
        <v>0.47</v>
      </c>
      <c r="T661" s="60" t="n">
        <f aca="false">L661+M661</f>
        <v>0</v>
      </c>
      <c r="U661" s="60" t="n">
        <f aca="false">S661+J661</f>
        <v>0.47</v>
      </c>
      <c r="V661" s="63" t="n">
        <f aca="false">IFERROR(S661/F661,0)</f>
        <v>0.959183673469388</v>
      </c>
      <c r="W661" s="63" t="n">
        <f aca="false">IFERROR(R661/F661,0)</f>
        <v>0.0408163265306123</v>
      </c>
      <c r="X661" s="63" t="n">
        <f aca="false">IFERROR(T661/F661,0)</f>
        <v>0</v>
      </c>
      <c r="Y661" s="63" t="n">
        <f aca="false">IFERROR(G661/F661,0)</f>
        <v>0.0408163265306123</v>
      </c>
      <c r="Z661" s="59" t="n">
        <f aca="false">IF(E661&gt;0,F661*1000000000/E661,"")</f>
        <v>410.820853601893</v>
      </c>
      <c r="AA661" s="63" t="n">
        <f aca="false">IFERROR((R661+S661+J661)/F661,0)</f>
        <v>1</v>
      </c>
      <c r="AB661" s="0" t="str">
        <f aca="false">A661&amp;"|"&amp;D661</f>
        <v>Eswatini|2020</v>
      </c>
    </row>
    <row r="662" customFormat="false" ht="15" hidden="false" customHeight="false" outlineLevel="0" collapsed="false">
      <c r="A662" s="0" t="s">
        <v>243</v>
      </c>
      <c r="B662" s="0" t="s">
        <v>481</v>
      </c>
      <c r="C662" s="0" t="s">
        <v>127</v>
      </c>
      <c r="D662" s="0" t="n">
        <v>2021</v>
      </c>
      <c r="E662" s="59" t="n">
        <v>1206598</v>
      </c>
      <c r="F662" s="60" t="n">
        <v>0.51</v>
      </c>
      <c r="G662" s="61" t="n">
        <v>0.02</v>
      </c>
      <c r="H662" s="61" t="n">
        <v>0</v>
      </c>
      <c r="I662" s="61" t="n">
        <v>0</v>
      </c>
      <c r="J662" s="61" t="n">
        <v>0</v>
      </c>
      <c r="K662" s="61" t="n">
        <v>0.26</v>
      </c>
      <c r="L662" s="61" t="n">
        <v>0.03</v>
      </c>
      <c r="M662" s="61" t="n">
        <v>0</v>
      </c>
      <c r="N662" s="61" t="n">
        <v>0.2</v>
      </c>
      <c r="O662" s="61" t="n">
        <v>0</v>
      </c>
      <c r="P662" s="62" t="n">
        <v>137.3</v>
      </c>
      <c r="Q662" s="0" t="n">
        <v>0</v>
      </c>
      <c r="R662" s="60" t="n">
        <f aca="false">G662+H662+I662</f>
        <v>0.02</v>
      </c>
      <c r="S662" s="60" t="n">
        <f aca="false">K662+L662+M662+N662+O662</f>
        <v>0.49</v>
      </c>
      <c r="T662" s="60" t="n">
        <f aca="false">L662+M662</f>
        <v>0.03</v>
      </c>
      <c r="U662" s="60" t="n">
        <f aca="false">S662+J662</f>
        <v>0.49</v>
      </c>
      <c r="V662" s="63" t="n">
        <f aca="false">IFERROR(S662/F662,0)</f>
        <v>0.96078431372549</v>
      </c>
      <c r="W662" s="63" t="n">
        <f aca="false">IFERROR(R662/F662,0)</f>
        <v>0.0392156862745098</v>
      </c>
      <c r="X662" s="63" t="n">
        <f aca="false">IFERROR(T662/F662,0)</f>
        <v>0.0588235294117647</v>
      </c>
      <c r="Y662" s="63" t="n">
        <f aca="false">IFERROR(G662/F662,0)</f>
        <v>0.0392156862745098</v>
      </c>
      <c r="Z662" s="59" t="n">
        <f aca="false">IF(E662&gt;0,F662*1000000000/E662,"")</f>
        <v>422.67598653404</v>
      </c>
      <c r="AA662" s="63" t="n">
        <f aca="false">IFERROR((R662+S662+J662)/F662,0)</f>
        <v>1</v>
      </c>
      <c r="AB662" s="0" t="str">
        <f aca="false">A662&amp;"|"&amp;D662</f>
        <v>Eswatini|2021</v>
      </c>
    </row>
    <row r="663" customFormat="false" ht="15" hidden="false" customHeight="false" outlineLevel="0" collapsed="false">
      <c r="A663" s="0" t="s">
        <v>243</v>
      </c>
      <c r="B663" s="0" t="s">
        <v>481</v>
      </c>
      <c r="C663" s="0" t="s">
        <v>127</v>
      </c>
      <c r="D663" s="0" t="n">
        <v>2022</v>
      </c>
      <c r="E663" s="59" t="n">
        <v>1218921</v>
      </c>
      <c r="F663" s="60" t="n">
        <v>0.55</v>
      </c>
      <c r="G663" s="61" t="n">
        <v>0.02</v>
      </c>
      <c r="H663" s="61" t="n">
        <v>0</v>
      </c>
      <c r="I663" s="61" t="n">
        <v>0</v>
      </c>
      <c r="J663" s="61" t="n">
        <v>0</v>
      </c>
      <c r="K663" s="61" t="n">
        <v>0.3</v>
      </c>
      <c r="L663" s="61" t="n">
        <v>0.03</v>
      </c>
      <c r="M663" s="61" t="n">
        <v>0</v>
      </c>
      <c r="N663" s="61" t="n">
        <v>0.2</v>
      </c>
      <c r="O663" s="61" t="n">
        <v>0</v>
      </c>
      <c r="P663" s="62" t="n">
        <v>127.3</v>
      </c>
      <c r="Q663" s="0" t="n">
        <v>0</v>
      </c>
      <c r="R663" s="60" t="n">
        <f aca="false">G663+H663+I663</f>
        <v>0.02</v>
      </c>
      <c r="S663" s="60" t="n">
        <f aca="false">K663+L663+M663+N663+O663</f>
        <v>0.53</v>
      </c>
      <c r="T663" s="60" t="n">
        <f aca="false">L663+M663</f>
        <v>0.03</v>
      </c>
      <c r="U663" s="60" t="n">
        <f aca="false">S663+J663</f>
        <v>0.53</v>
      </c>
      <c r="V663" s="63" t="n">
        <f aca="false">IFERROR(S663/F663,0)</f>
        <v>0.963636363636364</v>
      </c>
      <c r="W663" s="63" t="n">
        <f aca="false">IFERROR(R663/F663,0)</f>
        <v>0.0363636363636364</v>
      </c>
      <c r="X663" s="63" t="n">
        <f aca="false">IFERROR(T663/F663,0)</f>
        <v>0.0545454545454545</v>
      </c>
      <c r="Y663" s="63" t="n">
        <f aca="false">IFERROR(G663/F663,0)</f>
        <v>0.0363636363636364</v>
      </c>
      <c r="Z663" s="59" t="n">
        <f aca="false">IF(E663&gt;0,F663*1000000000/E663,"")</f>
        <v>451.21874182166</v>
      </c>
      <c r="AA663" s="63" t="n">
        <f aca="false">IFERROR((R663+S663+J663)/F663,0)</f>
        <v>1</v>
      </c>
      <c r="AB663" s="0" t="str">
        <f aca="false">A663&amp;"|"&amp;D663</f>
        <v>Eswatini|2022</v>
      </c>
    </row>
    <row r="664" customFormat="false" ht="15" hidden="false" customHeight="false" outlineLevel="0" collapsed="false">
      <c r="A664" s="0" t="s">
        <v>243</v>
      </c>
      <c r="B664" s="0" t="s">
        <v>481</v>
      </c>
      <c r="C664" s="0" t="s">
        <v>127</v>
      </c>
      <c r="D664" s="0" t="n">
        <v>2023</v>
      </c>
      <c r="E664" s="59" t="n">
        <v>1230507</v>
      </c>
      <c r="F664" s="60" t="n">
        <v>0.66</v>
      </c>
      <c r="G664" s="61" t="n">
        <v>0.02</v>
      </c>
      <c r="H664" s="61" t="n">
        <v>0</v>
      </c>
      <c r="I664" s="61" t="n">
        <v>0</v>
      </c>
      <c r="J664" s="61" t="n">
        <v>0</v>
      </c>
      <c r="K664" s="61" t="n">
        <v>0.4</v>
      </c>
      <c r="L664" s="61" t="n">
        <v>0.03</v>
      </c>
      <c r="M664" s="61" t="n">
        <v>0</v>
      </c>
      <c r="N664" s="61" t="n">
        <v>0.21</v>
      </c>
      <c r="O664" s="61" t="n">
        <v>0</v>
      </c>
      <c r="P664" s="62" t="n">
        <v>121.2</v>
      </c>
      <c r="Q664" s="0" t="n">
        <v>0</v>
      </c>
      <c r="R664" s="60" t="n">
        <f aca="false">G664+H664+I664</f>
        <v>0.02</v>
      </c>
      <c r="S664" s="60" t="n">
        <f aca="false">K664+L664+M664+N664+O664</f>
        <v>0.64</v>
      </c>
      <c r="T664" s="60" t="n">
        <f aca="false">L664+M664</f>
        <v>0.03</v>
      </c>
      <c r="U664" s="60" t="n">
        <f aca="false">S664+J664</f>
        <v>0.64</v>
      </c>
      <c r="V664" s="63" t="n">
        <f aca="false">IFERROR(S664/F664,0)</f>
        <v>0.96969696969697</v>
      </c>
      <c r="W664" s="63" t="n">
        <f aca="false">IFERROR(R664/F664,0)</f>
        <v>0.0303030303030303</v>
      </c>
      <c r="X664" s="63" t="n">
        <f aca="false">IFERROR(T664/F664,0)</f>
        <v>0.0454545454545455</v>
      </c>
      <c r="Y664" s="63" t="n">
        <f aca="false">IFERROR(G664/F664,0)</f>
        <v>0.0303030303030303</v>
      </c>
      <c r="Z664" s="59" t="n">
        <f aca="false">IF(E664&gt;0,F664*1000000000/E664,"")</f>
        <v>536.364279114219</v>
      </c>
      <c r="AA664" s="63" t="n">
        <f aca="false">IFERROR((R664+S664+J664)/F664,0)</f>
        <v>1</v>
      </c>
      <c r="AB664" s="0" t="str">
        <f aca="false">A664&amp;"|"&amp;D664</f>
        <v>Eswatini|2023</v>
      </c>
    </row>
    <row r="665" customFormat="false" ht="15" hidden="false" customHeight="false" outlineLevel="0" collapsed="false">
      <c r="A665" s="0" t="s">
        <v>243</v>
      </c>
      <c r="B665" s="0" t="s">
        <v>481</v>
      </c>
      <c r="C665" s="0" t="s">
        <v>127</v>
      </c>
      <c r="D665" s="0" t="n">
        <v>2024</v>
      </c>
      <c r="E665" s="59" t="n">
        <v>1242829</v>
      </c>
      <c r="F665" s="60" t="n">
        <v>0.61</v>
      </c>
      <c r="G665" s="61" t="n">
        <v>0.02</v>
      </c>
      <c r="H665" s="61" t="n">
        <v>0</v>
      </c>
      <c r="I665" s="61" t="n">
        <v>0</v>
      </c>
      <c r="J665" s="61" t="n">
        <v>0</v>
      </c>
      <c r="K665" s="61" t="n">
        <v>0.35</v>
      </c>
      <c r="L665" s="61" t="n">
        <v>0.03</v>
      </c>
      <c r="M665" s="61" t="n">
        <v>0</v>
      </c>
      <c r="N665" s="61" t="n">
        <v>0.21</v>
      </c>
      <c r="O665" s="61" t="n">
        <v>0</v>
      </c>
      <c r="P665" s="62" t="n">
        <v>131.2</v>
      </c>
      <c r="Q665" s="0" t="n">
        <v>0</v>
      </c>
      <c r="R665" s="60" t="n">
        <f aca="false">G665+H665+I665</f>
        <v>0.02</v>
      </c>
      <c r="S665" s="60" t="n">
        <f aca="false">K665+L665+M665+N665+O665</f>
        <v>0.59</v>
      </c>
      <c r="T665" s="60" t="n">
        <f aca="false">L665+M665</f>
        <v>0.03</v>
      </c>
      <c r="U665" s="60" t="n">
        <f aca="false">S665+J665</f>
        <v>0.59</v>
      </c>
      <c r="V665" s="63" t="n">
        <f aca="false">IFERROR(S665/F665,0)</f>
        <v>0.967213114754098</v>
      </c>
      <c r="W665" s="63" t="n">
        <f aca="false">IFERROR(R665/F665,0)</f>
        <v>0.0327868852459016</v>
      </c>
      <c r="X665" s="63" t="n">
        <f aca="false">IFERROR(T665/F665,0)</f>
        <v>0.0491803278688525</v>
      </c>
      <c r="Y665" s="63" t="n">
        <f aca="false">IFERROR(G665/F665,0)</f>
        <v>0.0327868852459016</v>
      </c>
      <c r="Z665" s="59" t="n">
        <f aca="false">IF(E665&gt;0,F665*1000000000/E665,"")</f>
        <v>490.815711574159</v>
      </c>
      <c r="AA665" s="63" t="n">
        <f aca="false">IFERROR((R665+S665+J665)/F665,0)</f>
        <v>1</v>
      </c>
      <c r="AB665" s="0" t="str">
        <f aca="false">A665&amp;"|"&amp;D665</f>
        <v>Eswatini|2024</v>
      </c>
    </row>
    <row r="666" customFormat="false" ht="15" hidden="false" customHeight="false" outlineLevel="0" collapsed="false">
      <c r="A666" s="0" t="s">
        <v>244</v>
      </c>
      <c r="B666" s="0" t="s">
        <v>482</v>
      </c>
      <c r="C666" s="0" t="s">
        <v>127</v>
      </c>
      <c r="D666" s="0" t="n">
        <v>2015</v>
      </c>
      <c r="E666" s="59" t="n">
        <v>103867140</v>
      </c>
      <c r="F666" s="60" t="n">
        <v>10.39</v>
      </c>
      <c r="G666" s="61" t="n">
        <v>0</v>
      </c>
      <c r="H666" s="61" t="n">
        <v>0</v>
      </c>
      <c r="I666" s="61" t="n">
        <v>0</v>
      </c>
      <c r="J666" s="61" t="n">
        <v>0</v>
      </c>
      <c r="K666" s="61" t="n">
        <v>9.58</v>
      </c>
      <c r="L666" s="61" t="n">
        <v>0.02</v>
      </c>
      <c r="M666" s="61" t="n">
        <v>0.76</v>
      </c>
      <c r="N666" s="61" t="n">
        <v>0.03</v>
      </c>
      <c r="O666" s="61" t="n">
        <v>0</v>
      </c>
      <c r="P666" s="62" t="n">
        <v>24.1</v>
      </c>
      <c r="Q666" s="0" t="n">
        <v>0</v>
      </c>
      <c r="R666" s="60" t="n">
        <f aca="false">G666+H666+I666</f>
        <v>0</v>
      </c>
      <c r="S666" s="60" t="n">
        <f aca="false">K666+L666+M666+N666+O666</f>
        <v>10.39</v>
      </c>
      <c r="T666" s="60" t="n">
        <f aca="false">L666+M666</f>
        <v>0.78</v>
      </c>
      <c r="U666" s="60" t="n">
        <f aca="false">S666+J666</f>
        <v>10.39</v>
      </c>
      <c r="V666" s="63" t="n">
        <f aca="false">IFERROR(S666/F666,0)</f>
        <v>1</v>
      </c>
      <c r="W666" s="63" t="n">
        <f aca="false">IFERROR(R666/F666,0)</f>
        <v>0</v>
      </c>
      <c r="X666" s="63" t="n">
        <f aca="false">IFERROR(T666/F666,0)</f>
        <v>0.0750721847930703</v>
      </c>
      <c r="Y666" s="63" t="n">
        <f aca="false">IFERROR(G666/F666,0)</f>
        <v>0</v>
      </c>
      <c r="Z666" s="59" t="n">
        <f aca="false">IF(E666&gt;0,F666*1000000000/E666,"")</f>
        <v>100.031636569564</v>
      </c>
      <c r="AA666" s="63" t="n">
        <f aca="false">IFERROR((R666+S666+J666)/F666,0)</f>
        <v>1</v>
      </c>
      <c r="AB666" s="0" t="str">
        <f aca="false">A666&amp;"|"&amp;D666</f>
        <v>Ethiopia|2015</v>
      </c>
    </row>
    <row r="667" customFormat="false" ht="15" hidden="false" customHeight="false" outlineLevel="0" collapsed="false">
      <c r="A667" s="0" t="s">
        <v>244</v>
      </c>
      <c r="B667" s="0" t="s">
        <v>482</v>
      </c>
      <c r="C667" s="0" t="s">
        <v>127</v>
      </c>
      <c r="D667" s="0" t="n">
        <v>2016</v>
      </c>
      <c r="E667" s="59" t="n">
        <v>106718163</v>
      </c>
      <c r="F667" s="60" t="n">
        <v>12.47</v>
      </c>
      <c r="G667" s="61" t="n">
        <v>0</v>
      </c>
      <c r="H667" s="61" t="n">
        <v>0</v>
      </c>
      <c r="I667" s="61" t="n">
        <v>0</v>
      </c>
      <c r="J667" s="61" t="n">
        <v>0</v>
      </c>
      <c r="K667" s="61" t="n">
        <v>11.64</v>
      </c>
      <c r="L667" s="61" t="n">
        <v>0.02</v>
      </c>
      <c r="M667" s="61" t="n">
        <v>0.78</v>
      </c>
      <c r="N667" s="61" t="n">
        <v>0.03</v>
      </c>
      <c r="O667" s="61" t="n">
        <v>0</v>
      </c>
      <c r="P667" s="62" t="n">
        <v>24.1</v>
      </c>
      <c r="Q667" s="0" t="n">
        <v>0</v>
      </c>
      <c r="R667" s="60" t="n">
        <f aca="false">G667+H667+I667</f>
        <v>0</v>
      </c>
      <c r="S667" s="60" t="n">
        <f aca="false">K667+L667+M667+N667+O667</f>
        <v>12.47</v>
      </c>
      <c r="T667" s="60" t="n">
        <f aca="false">L667+M667</f>
        <v>0.8</v>
      </c>
      <c r="U667" s="60" t="n">
        <f aca="false">S667+J667</f>
        <v>12.47</v>
      </c>
      <c r="V667" s="63" t="n">
        <f aca="false">IFERROR(S667/F667,0)</f>
        <v>1</v>
      </c>
      <c r="W667" s="63" t="n">
        <f aca="false">IFERROR(R667/F667,0)</f>
        <v>0</v>
      </c>
      <c r="X667" s="63" t="n">
        <f aca="false">IFERROR(T667/F667,0)</f>
        <v>0.0641539695268645</v>
      </c>
      <c r="Y667" s="63" t="n">
        <f aca="false">IFERROR(G667/F667,0)</f>
        <v>0</v>
      </c>
      <c r="Z667" s="59" t="n">
        <f aca="false">IF(E667&gt;0,F667*1000000000/E667,"")</f>
        <v>116.849837454567</v>
      </c>
      <c r="AA667" s="63" t="n">
        <f aca="false">IFERROR((R667+S667+J667)/F667,0)</f>
        <v>1</v>
      </c>
      <c r="AB667" s="0" t="str">
        <f aca="false">A667&amp;"|"&amp;D667</f>
        <v>Ethiopia|2016</v>
      </c>
    </row>
    <row r="668" customFormat="false" ht="15" hidden="false" customHeight="false" outlineLevel="0" collapsed="false">
      <c r="A668" s="0" t="s">
        <v>244</v>
      </c>
      <c r="B668" s="0" t="s">
        <v>482</v>
      </c>
      <c r="C668" s="0" t="s">
        <v>127</v>
      </c>
      <c r="D668" s="0" t="n">
        <v>2017</v>
      </c>
      <c r="E668" s="59" t="n">
        <v>109666482</v>
      </c>
      <c r="F668" s="60" t="n">
        <v>13.12</v>
      </c>
      <c r="G668" s="61" t="n">
        <v>0</v>
      </c>
      <c r="H668" s="61" t="n">
        <v>0</v>
      </c>
      <c r="I668" s="61" t="n">
        <v>0</v>
      </c>
      <c r="J668" s="61" t="n">
        <v>0</v>
      </c>
      <c r="K668" s="61" t="n">
        <v>12.55</v>
      </c>
      <c r="L668" s="61" t="n">
        <v>0.02</v>
      </c>
      <c r="M668" s="61" t="n">
        <v>0.53</v>
      </c>
      <c r="N668" s="61" t="n">
        <v>0.02</v>
      </c>
      <c r="O668" s="61" t="n">
        <v>0</v>
      </c>
      <c r="P668" s="62" t="n">
        <v>23.6</v>
      </c>
      <c r="Q668" s="0" t="n">
        <v>0</v>
      </c>
      <c r="R668" s="60" t="n">
        <f aca="false">G668+H668+I668</f>
        <v>0</v>
      </c>
      <c r="S668" s="60" t="n">
        <f aca="false">K668+L668+M668+N668+O668</f>
        <v>13.12</v>
      </c>
      <c r="T668" s="60" t="n">
        <f aca="false">L668+M668</f>
        <v>0.55</v>
      </c>
      <c r="U668" s="60" t="n">
        <f aca="false">S668+J668</f>
        <v>13.12</v>
      </c>
      <c r="V668" s="63" t="n">
        <f aca="false">IFERROR(S668/F668,0)</f>
        <v>1</v>
      </c>
      <c r="W668" s="63" t="n">
        <f aca="false">IFERROR(R668/F668,0)</f>
        <v>0</v>
      </c>
      <c r="X668" s="63" t="n">
        <f aca="false">IFERROR(T668/F668,0)</f>
        <v>0.0419207317073171</v>
      </c>
      <c r="Y668" s="63" t="n">
        <f aca="false">IFERROR(G668/F668,0)</f>
        <v>0</v>
      </c>
      <c r="Z668" s="59" t="n">
        <f aca="false">IF(E668&gt;0,F668*1000000000/E668,"")</f>
        <v>119.635459811686</v>
      </c>
      <c r="AA668" s="63" t="n">
        <f aca="false">IFERROR((R668+S668+J668)/F668,0)</f>
        <v>1</v>
      </c>
      <c r="AB668" s="0" t="str">
        <f aca="false">A668&amp;"|"&amp;D668</f>
        <v>Ethiopia|2017</v>
      </c>
    </row>
    <row r="669" customFormat="false" ht="15" hidden="false" customHeight="false" outlineLevel="0" collapsed="false">
      <c r="A669" s="0" t="s">
        <v>244</v>
      </c>
      <c r="B669" s="0" t="s">
        <v>482</v>
      </c>
      <c r="C669" s="0" t="s">
        <v>127</v>
      </c>
      <c r="D669" s="0" t="n">
        <v>2018</v>
      </c>
      <c r="E669" s="59" t="n">
        <v>112664157</v>
      </c>
      <c r="F669" s="60" t="n">
        <v>14.23</v>
      </c>
      <c r="G669" s="61" t="n">
        <v>0</v>
      </c>
      <c r="H669" s="61" t="n">
        <v>0</v>
      </c>
      <c r="I669" s="61" t="n">
        <v>0</v>
      </c>
      <c r="J669" s="61" t="n">
        <v>0</v>
      </c>
      <c r="K669" s="61" t="n">
        <v>13.65</v>
      </c>
      <c r="L669" s="61" t="n">
        <v>0.02</v>
      </c>
      <c r="M669" s="61" t="n">
        <v>0.53</v>
      </c>
      <c r="N669" s="61" t="n">
        <v>0.03</v>
      </c>
      <c r="O669" s="61" t="n">
        <v>0</v>
      </c>
      <c r="P669" s="62" t="n">
        <v>23.9</v>
      </c>
      <c r="Q669" s="0" t="n">
        <v>0</v>
      </c>
      <c r="R669" s="60" t="n">
        <f aca="false">G669+H669+I669</f>
        <v>0</v>
      </c>
      <c r="S669" s="60" t="n">
        <f aca="false">K669+L669+M669+N669+O669</f>
        <v>14.23</v>
      </c>
      <c r="T669" s="60" t="n">
        <f aca="false">L669+M669</f>
        <v>0.55</v>
      </c>
      <c r="U669" s="60" t="n">
        <f aca="false">S669+J669</f>
        <v>14.23</v>
      </c>
      <c r="V669" s="63" t="n">
        <f aca="false">IFERROR(S669/F669,0)</f>
        <v>1</v>
      </c>
      <c r="W669" s="63" t="n">
        <f aca="false">IFERROR(R669/F669,0)</f>
        <v>0</v>
      </c>
      <c r="X669" s="63" t="n">
        <f aca="false">IFERROR(T669/F669,0)</f>
        <v>0.0386507378777231</v>
      </c>
      <c r="Y669" s="63" t="n">
        <f aca="false">IFERROR(G669/F669,0)</f>
        <v>0</v>
      </c>
      <c r="Z669" s="59" t="n">
        <f aca="false">IF(E669&gt;0,F669*1000000000/E669,"")</f>
        <v>126.304588601324</v>
      </c>
      <c r="AA669" s="63" t="n">
        <f aca="false">IFERROR((R669+S669+J669)/F669,0)</f>
        <v>1</v>
      </c>
      <c r="AB669" s="0" t="str">
        <f aca="false">A669&amp;"|"&amp;D669</f>
        <v>Ethiopia|2018</v>
      </c>
    </row>
    <row r="670" customFormat="false" ht="15" hidden="false" customHeight="false" outlineLevel="0" collapsed="false">
      <c r="A670" s="0" t="s">
        <v>244</v>
      </c>
      <c r="B670" s="0" t="s">
        <v>482</v>
      </c>
      <c r="C670" s="0" t="s">
        <v>127</v>
      </c>
      <c r="D670" s="0" t="n">
        <v>2019</v>
      </c>
      <c r="E670" s="59" t="n">
        <v>115737384</v>
      </c>
      <c r="F670" s="60" t="n">
        <v>15.31</v>
      </c>
      <c r="G670" s="61" t="n">
        <v>0</v>
      </c>
      <c r="H670" s="61" t="n">
        <v>0</v>
      </c>
      <c r="I670" s="61" t="n">
        <v>0.01</v>
      </c>
      <c r="J670" s="61" t="n">
        <v>0</v>
      </c>
      <c r="K670" s="61" t="n">
        <v>14.4</v>
      </c>
      <c r="L670" s="61" t="n">
        <v>0.02</v>
      </c>
      <c r="M670" s="61" t="n">
        <v>0.85</v>
      </c>
      <c r="N670" s="61" t="n">
        <v>0.03</v>
      </c>
      <c r="O670" s="61" t="n">
        <v>0</v>
      </c>
      <c r="P670" s="62" t="n">
        <v>24.2</v>
      </c>
      <c r="Q670" s="0" t="n">
        <v>0</v>
      </c>
      <c r="R670" s="60" t="n">
        <f aca="false">G670+H670+I670</f>
        <v>0.01</v>
      </c>
      <c r="S670" s="60" t="n">
        <f aca="false">K670+L670+M670+N670+O670</f>
        <v>15.3</v>
      </c>
      <c r="T670" s="60" t="n">
        <f aca="false">L670+M670</f>
        <v>0.87</v>
      </c>
      <c r="U670" s="60" t="n">
        <f aca="false">S670+J670</f>
        <v>15.3</v>
      </c>
      <c r="V670" s="63" t="n">
        <f aca="false">IFERROR(S670/F670,0)</f>
        <v>0.999346832135859</v>
      </c>
      <c r="W670" s="63" t="n">
        <f aca="false">IFERROR(R670/F670,0)</f>
        <v>0.000653167864141084</v>
      </c>
      <c r="X670" s="63" t="n">
        <f aca="false">IFERROR(T670/F670,0)</f>
        <v>0.0568256041802743</v>
      </c>
      <c r="Y670" s="63" t="n">
        <f aca="false">IFERROR(G670/F670,0)</f>
        <v>0</v>
      </c>
      <c r="Z670" s="59" t="n">
        <f aca="false">IF(E670&gt;0,F670*1000000000/E670,"")</f>
        <v>132.28223648117</v>
      </c>
      <c r="AA670" s="63" t="n">
        <f aca="false">IFERROR((R670+S670+J670)/F670,0)</f>
        <v>1</v>
      </c>
      <c r="AB670" s="0" t="str">
        <f aca="false">A670&amp;"|"&amp;D670</f>
        <v>Ethiopia|2019</v>
      </c>
    </row>
    <row r="671" customFormat="false" ht="15" hidden="false" customHeight="false" outlineLevel="0" collapsed="false">
      <c r="A671" s="0" t="s">
        <v>244</v>
      </c>
      <c r="B671" s="0" t="s">
        <v>482</v>
      </c>
      <c r="C671" s="0" t="s">
        <v>127</v>
      </c>
      <c r="D671" s="0" t="n">
        <v>2020</v>
      </c>
      <c r="E671" s="59" t="n">
        <v>118917670</v>
      </c>
      <c r="F671" s="60" t="n">
        <v>15.62</v>
      </c>
      <c r="G671" s="61" t="n">
        <v>0</v>
      </c>
      <c r="H671" s="61" t="n">
        <v>0</v>
      </c>
      <c r="I671" s="61" t="n">
        <v>0.01</v>
      </c>
      <c r="J671" s="61" t="n">
        <v>0</v>
      </c>
      <c r="K671" s="61" t="n">
        <v>14.94</v>
      </c>
      <c r="L671" s="61" t="n">
        <v>0.03</v>
      </c>
      <c r="M671" s="61" t="n">
        <v>0.61</v>
      </c>
      <c r="N671" s="61" t="n">
        <v>0.03</v>
      </c>
      <c r="O671" s="61" t="n">
        <v>0</v>
      </c>
      <c r="P671" s="62" t="n">
        <v>24.3</v>
      </c>
      <c r="Q671" s="0" t="n">
        <v>0</v>
      </c>
      <c r="R671" s="60" t="n">
        <f aca="false">G671+H671+I671</f>
        <v>0.01</v>
      </c>
      <c r="S671" s="60" t="n">
        <f aca="false">K671+L671+M671+N671+O671</f>
        <v>15.61</v>
      </c>
      <c r="T671" s="60" t="n">
        <f aca="false">L671+M671</f>
        <v>0.64</v>
      </c>
      <c r="U671" s="60" t="n">
        <f aca="false">S671+J671</f>
        <v>15.61</v>
      </c>
      <c r="V671" s="63" t="n">
        <f aca="false">IFERROR(S671/F671,0)</f>
        <v>0.999359795134443</v>
      </c>
      <c r="W671" s="63" t="n">
        <f aca="false">IFERROR(R671/F671,0)</f>
        <v>0.000640204865556978</v>
      </c>
      <c r="X671" s="63" t="n">
        <f aca="false">IFERROR(T671/F671,0)</f>
        <v>0.0409731113956466</v>
      </c>
      <c r="Y671" s="63" t="n">
        <f aca="false">IFERROR(G671/F671,0)</f>
        <v>0</v>
      </c>
      <c r="Z671" s="59" t="n">
        <f aca="false">IF(E671&gt;0,F671*1000000000/E671,"")</f>
        <v>131.35137948801</v>
      </c>
      <c r="AA671" s="63" t="n">
        <f aca="false">IFERROR((R671+S671+J671)/F671,0)</f>
        <v>1</v>
      </c>
      <c r="AB671" s="0" t="str">
        <f aca="false">A671&amp;"|"&amp;D671</f>
        <v>Ethiopia|2020</v>
      </c>
    </row>
    <row r="672" customFormat="false" ht="15" hidden="false" customHeight="false" outlineLevel="0" collapsed="false">
      <c r="A672" s="0" t="s">
        <v>244</v>
      </c>
      <c r="B672" s="0" t="s">
        <v>482</v>
      </c>
      <c r="C672" s="0" t="s">
        <v>127</v>
      </c>
      <c r="D672" s="0" t="n">
        <v>2021</v>
      </c>
      <c r="E672" s="59" t="n">
        <v>122138588</v>
      </c>
      <c r="F672" s="60" t="n">
        <v>15.78</v>
      </c>
      <c r="G672" s="61" t="n">
        <v>0</v>
      </c>
      <c r="H672" s="61" t="n">
        <v>0</v>
      </c>
      <c r="I672" s="61" t="n">
        <v>0</v>
      </c>
      <c r="J672" s="61" t="n">
        <v>0</v>
      </c>
      <c r="K672" s="61" t="n">
        <v>14.91</v>
      </c>
      <c r="L672" s="61" t="n">
        <v>0.03</v>
      </c>
      <c r="M672" s="61" t="n">
        <v>0.82</v>
      </c>
      <c r="N672" s="61" t="n">
        <v>0.02</v>
      </c>
      <c r="O672" s="61" t="n">
        <v>0</v>
      </c>
      <c r="P672" s="62" t="n">
        <v>22.8</v>
      </c>
      <c r="Q672" s="0" t="n">
        <v>0</v>
      </c>
      <c r="R672" s="60" t="n">
        <f aca="false">G672+H672+I672</f>
        <v>0</v>
      </c>
      <c r="S672" s="60" t="n">
        <f aca="false">K672+L672+M672+N672+O672</f>
        <v>15.78</v>
      </c>
      <c r="T672" s="60" t="n">
        <f aca="false">L672+M672</f>
        <v>0.85</v>
      </c>
      <c r="U672" s="60" t="n">
        <f aca="false">S672+J672</f>
        <v>15.78</v>
      </c>
      <c r="V672" s="63" t="n">
        <f aca="false">IFERROR(S672/F672,0)</f>
        <v>1</v>
      </c>
      <c r="W672" s="63" t="n">
        <f aca="false">IFERROR(R672/F672,0)</f>
        <v>0</v>
      </c>
      <c r="X672" s="63" t="n">
        <f aca="false">IFERROR(T672/F672,0)</f>
        <v>0.0538656527249683</v>
      </c>
      <c r="Y672" s="63" t="n">
        <f aca="false">IFERROR(G672/F672,0)</f>
        <v>0</v>
      </c>
      <c r="Z672" s="59" t="n">
        <f aca="false">IF(E672&gt;0,F672*1000000000/E672,"")</f>
        <v>129.197498173141</v>
      </c>
      <c r="AA672" s="63" t="n">
        <f aca="false">IFERROR((R672+S672+J672)/F672,0)</f>
        <v>1</v>
      </c>
      <c r="AB672" s="0" t="str">
        <f aca="false">A672&amp;"|"&amp;D672</f>
        <v>Ethiopia|2021</v>
      </c>
    </row>
    <row r="673" customFormat="false" ht="15" hidden="false" customHeight="false" outlineLevel="0" collapsed="false">
      <c r="A673" s="0" t="s">
        <v>244</v>
      </c>
      <c r="B673" s="0" t="s">
        <v>482</v>
      </c>
      <c r="C673" s="0" t="s">
        <v>127</v>
      </c>
      <c r="D673" s="0" t="n">
        <v>2022</v>
      </c>
      <c r="E673" s="59" t="n">
        <v>125384285</v>
      </c>
      <c r="F673" s="60" t="n">
        <v>17.41</v>
      </c>
      <c r="G673" s="61" t="n">
        <v>0</v>
      </c>
      <c r="H673" s="61" t="n">
        <v>0</v>
      </c>
      <c r="I673" s="61" t="n">
        <v>0</v>
      </c>
      <c r="J673" s="61" t="n">
        <v>0</v>
      </c>
      <c r="K673" s="61" t="n">
        <v>16.77</v>
      </c>
      <c r="L673" s="61" t="n">
        <v>0.04</v>
      </c>
      <c r="M673" s="61" t="n">
        <v>0.56</v>
      </c>
      <c r="N673" s="61" t="n">
        <v>0.01</v>
      </c>
      <c r="O673" s="61" t="n">
        <v>0.03</v>
      </c>
      <c r="P673" s="62" t="n">
        <v>23.6</v>
      </c>
      <c r="Q673" s="0" t="n">
        <v>0</v>
      </c>
      <c r="R673" s="60" t="n">
        <f aca="false">G673+H673+I673</f>
        <v>0</v>
      </c>
      <c r="S673" s="60" t="n">
        <f aca="false">K673+L673+M673+N673+O673</f>
        <v>17.41</v>
      </c>
      <c r="T673" s="60" t="n">
        <f aca="false">L673+M673</f>
        <v>0.6</v>
      </c>
      <c r="U673" s="60" t="n">
        <f aca="false">S673+J673</f>
        <v>17.41</v>
      </c>
      <c r="V673" s="63" t="n">
        <f aca="false">IFERROR(S673/F673,0)</f>
        <v>1</v>
      </c>
      <c r="W673" s="63" t="n">
        <f aca="false">IFERROR(R673/F673,0)</f>
        <v>0</v>
      </c>
      <c r="X673" s="63" t="n">
        <f aca="false">IFERROR(T673/F673,0)</f>
        <v>0.0344629523262493</v>
      </c>
      <c r="Y673" s="63" t="n">
        <f aca="false">IFERROR(G673/F673,0)</f>
        <v>0</v>
      </c>
      <c r="Z673" s="59" t="n">
        <f aca="false">IF(E673&gt;0,F673*1000000000/E673,"")</f>
        <v>138.853126609926</v>
      </c>
      <c r="AA673" s="63" t="n">
        <f aca="false">IFERROR((R673+S673+J673)/F673,0)</f>
        <v>1</v>
      </c>
      <c r="AB673" s="0" t="str">
        <f aca="false">A673&amp;"|"&amp;D673</f>
        <v>Ethiopia|2022</v>
      </c>
    </row>
    <row r="674" customFormat="false" ht="15" hidden="false" customHeight="false" outlineLevel="0" collapsed="false">
      <c r="A674" s="0" t="s">
        <v>244</v>
      </c>
      <c r="B674" s="0" t="s">
        <v>482</v>
      </c>
      <c r="C674" s="0" t="s">
        <v>127</v>
      </c>
      <c r="D674" s="0" t="n">
        <v>2023</v>
      </c>
      <c r="E674" s="59" t="n">
        <v>128691695</v>
      </c>
      <c r="F674" s="60" t="n">
        <v>17.77</v>
      </c>
      <c r="G674" s="61" t="n">
        <v>0</v>
      </c>
      <c r="H674" s="61" t="n">
        <v>0</v>
      </c>
      <c r="I674" s="61" t="n">
        <v>0</v>
      </c>
      <c r="J674" s="61" t="n">
        <v>0</v>
      </c>
      <c r="K674" s="61" t="n">
        <v>17.13</v>
      </c>
      <c r="L674" s="61" t="n">
        <v>0.04</v>
      </c>
      <c r="M674" s="61" t="n">
        <v>0.56</v>
      </c>
      <c r="N674" s="61" t="n">
        <v>0.01</v>
      </c>
      <c r="O674" s="61" t="n">
        <v>0.03</v>
      </c>
      <c r="P674" s="62" t="n">
        <v>23.6</v>
      </c>
      <c r="Q674" s="0" t="n">
        <v>0</v>
      </c>
      <c r="R674" s="60" t="n">
        <f aca="false">G674+H674+I674</f>
        <v>0</v>
      </c>
      <c r="S674" s="60" t="n">
        <f aca="false">K674+L674+M674+N674+O674</f>
        <v>17.77</v>
      </c>
      <c r="T674" s="60" t="n">
        <f aca="false">L674+M674</f>
        <v>0.6</v>
      </c>
      <c r="U674" s="60" t="n">
        <f aca="false">S674+J674</f>
        <v>17.77</v>
      </c>
      <c r="V674" s="63" t="n">
        <f aca="false">IFERROR(S674/F674,0)</f>
        <v>1</v>
      </c>
      <c r="W674" s="63" t="n">
        <f aca="false">IFERROR(R674/F674,0)</f>
        <v>0</v>
      </c>
      <c r="X674" s="63" t="n">
        <f aca="false">IFERROR(T674/F674,0)</f>
        <v>0.0337647720877884</v>
      </c>
      <c r="Y674" s="63" t="n">
        <f aca="false">IFERROR(G674/F674,0)</f>
        <v>0</v>
      </c>
      <c r="Z674" s="59" t="n">
        <f aca="false">IF(E674&gt;0,F674*1000000000/E674,"")</f>
        <v>138.081948489372</v>
      </c>
      <c r="AA674" s="63" t="n">
        <f aca="false">IFERROR((R674+S674+J674)/F674,0)</f>
        <v>1</v>
      </c>
      <c r="AB674" s="0" t="str">
        <f aca="false">A674&amp;"|"&amp;D674</f>
        <v>Ethiopia|2023</v>
      </c>
    </row>
    <row r="675" customFormat="false" ht="15" hidden="false" customHeight="false" outlineLevel="0" collapsed="false">
      <c r="A675" s="0" t="s">
        <v>244</v>
      </c>
      <c r="B675" s="0" t="s">
        <v>482</v>
      </c>
      <c r="C675" s="0" t="s">
        <v>127</v>
      </c>
      <c r="D675" s="0" t="n">
        <v>2024</v>
      </c>
      <c r="E675" s="59" t="n">
        <v>132059770</v>
      </c>
      <c r="F675" s="60" t="n">
        <v>25.2</v>
      </c>
      <c r="G675" s="61" t="n">
        <v>0</v>
      </c>
      <c r="H675" s="61" t="n">
        <v>0</v>
      </c>
      <c r="I675" s="61" t="n">
        <v>0</v>
      </c>
      <c r="J675" s="61" t="n">
        <v>0</v>
      </c>
      <c r="K675" s="61" t="n">
        <v>24.42</v>
      </c>
      <c r="L675" s="61" t="n">
        <v>0.04</v>
      </c>
      <c r="M675" s="61" t="n">
        <v>0.7</v>
      </c>
      <c r="N675" s="61" t="n">
        <v>0.01</v>
      </c>
      <c r="O675" s="61" t="n">
        <v>0.03</v>
      </c>
      <c r="P675" s="62" t="n">
        <v>23.4</v>
      </c>
      <c r="Q675" s="0" t="n">
        <v>0</v>
      </c>
      <c r="R675" s="60" t="n">
        <f aca="false">G675+H675+I675</f>
        <v>0</v>
      </c>
      <c r="S675" s="60" t="n">
        <f aca="false">K675+L675+M675+N675+O675</f>
        <v>25.2</v>
      </c>
      <c r="T675" s="60" t="n">
        <f aca="false">L675+M675</f>
        <v>0.74</v>
      </c>
      <c r="U675" s="60" t="n">
        <f aca="false">S675+J675</f>
        <v>25.2</v>
      </c>
      <c r="V675" s="63" t="n">
        <f aca="false">IFERROR(S675/F675,0)</f>
        <v>1</v>
      </c>
      <c r="W675" s="63" t="n">
        <f aca="false">IFERROR(R675/F675,0)</f>
        <v>0</v>
      </c>
      <c r="X675" s="63" t="n">
        <f aca="false">IFERROR(T675/F675,0)</f>
        <v>0.0293650793650794</v>
      </c>
      <c r="Y675" s="63" t="n">
        <f aca="false">IFERROR(G675/F675,0)</f>
        <v>0</v>
      </c>
      <c r="Z675" s="59" t="n">
        <f aca="false">IF(E675&gt;0,F675*1000000000/E675,"")</f>
        <v>190.822685818702</v>
      </c>
      <c r="AA675" s="63" t="n">
        <f aca="false">IFERROR((R675+S675+J675)/F675,0)</f>
        <v>1</v>
      </c>
      <c r="AB675" s="0" t="str">
        <f aca="false">A675&amp;"|"&amp;D675</f>
        <v>Ethiopia|2024</v>
      </c>
    </row>
    <row r="676" customFormat="false" ht="15" hidden="false" customHeight="false" outlineLevel="0" collapsed="false">
      <c r="A676" s="0" t="s">
        <v>244</v>
      </c>
      <c r="B676" s="0" t="s">
        <v>482</v>
      </c>
      <c r="C676" s="0" t="s">
        <v>127</v>
      </c>
      <c r="D676" s="0" t="n">
        <v>2025</v>
      </c>
      <c r="E676" s="59" t="n">
        <v>135472048</v>
      </c>
      <c r="F676" s="60" t="n">
        <v>33.37</v>
      </c>
      <c r="G676" s="61" t="n">
        <v>0</v>
      </c>
      <c r="H676" s="61" t="n">
        <v>0</v>
      </c>
      <c r="I676" s="61" t="n">
        <v>0</v>
      </c>
      <c r="J676" s="61" t="n">
        <v>0</v>
      </c>
      <c r="K676" s="61" t="n">
        <v>32.19</v>
      </c>
      <c r="L676" s="61" t="n">
        <v>0.04</v>
      </c>
      <c r="M676" s="61" t="n">
        <v>1.1</v>
      </c>
      <c r="N676" s="61" t="n">
        <v>0.01</v>
      </c>
      <c r="O676" s="61" t="n">
        <v>0.03</v>
      </c>
      <c r="P676" s="62" t="n">
        <v>23.1</v>
      </c>
      <c r="Q676" s="0" t="n">
        <v>0</v>
      </c>
      <c r="R676" s="60" t="n">
        <f aca="false">G676+H676+I676</f>
        <v>0</v>
      </c>
      <c r="S676" s="60" t="n">
        <f aca="false">K676+L676+M676+N676+O676</f>
        <v>33.37</v>
      </c>
      <c r="T676" s="60" t="n">
        <f aca="false">L676+M676</f>
        <v>1.14</v>
      </c>
      <c r="U676" s="60" t="n">
        <f aca="false">S676+J676</f>
        <v>33.37</v>
      </c>
      <c r="V676" s="63" t="n">
        <f aca="false">IFERROR(S676/F676,0)</f>
        <v>1</v>
      </c>
      <c r="W676" s="63" t="n">
        <f aca="false">IFERROR(R676/F676,0)</f>
        <v>0</v>
      </c>
      <c r="X676" s="63" t="n">
        <f aca="false">IFERROR(T676/F676,0)</f>
        <v>0.0341624213365298</v>
      </c>
      <c r="Y676" s="63" t="n">
        <f aca="false">IFERROR(G676/F676,0)</f>
        <v>0</v>
      </c>
      <c r="Z676" s="59" t="n">
        <f aca="false">IF(E676&gt;0,F676*1000000000/E676,"")</f>
        <v>246.323876346802</v>
      </c>
      <c r="AA676" s="63" t="n">
        <f aca="false">IFERROR((R676+S676+J676)/F676,0)</f>
        <v>1</v>
      </c>
      <c r="AB676" s="0" t="str">
        <f aca="false">A676&amp;"|"&amp;D676</f>
        <v>Ethiopia|2025</v>
      </c>
    </row>
    <row r="677" customFormat="false" ht="15" hidden="false" customHeight="false" outlineLevel="0" collapsed="false">
      <c r="A677" s="0" t="s">
        <v>245</v>
      </c>
      <c r="B677" s="0" t="s">
        <v>483</v>
      </c>
      <c r="C677" s="0" t="s">
        <v>127</v>
      </c>
      <c r="D677" s="0" t="n">
        <v>2015</v>
      </c>
      <c r="E677" s="59" t="n">
        <v>3432</v>
      </c>
      <c r="F677" s="60" t="n">
        <v>0.02</v>
      </c>
      <c r="G677" s="61" t="n">
        <v>0</v>
      </c>
      <c r="H677" s="61" t="n">
        <v>0</v>
      </c>
      <c r="I677" s="61" t="n">
        <v>0.01</v>
      </c>
      <c r="J677" s="61" t="n">
        <v>0</v>
      </c>
      <c r="K677" s="61" t="n">
        <v>0</v>
      </c>
      <c r="L677" s="61" t="n">
        <v>0</v>
      </c>
      <c r="M677" s="61" t="n">
        <v>0.01</v>
      </c>
      <c r="N677" s="61" t="n">
        <v>0</v>
      </c>
      <c r="O677" s="61" t="n">
        <v>0</v>
      </c>
      <c r="P677" s="62" t="n">
        <v>500</v>
      </c>
      <c r="Q677" s="0" t="n">
        <v>0</v>
      </c>
      <c r="R677" s="60" t="n">
        <f aca="false">G677+H677+I677</f>
        <v>0.01</v>
      </c>
      <c r="S677" s="60" t="n">
        <f aca="false">K677+L677+M677+N677+O677</f>
        <v>0.01</v>
      </c>
      <c r="T677" s="60" t="n">
        <f aca="false">L677+M677</f>
        <v>0.01</v>
      </c>
      <c r="U677" s="60" t="n">
        <f aca="false">S677+J677</f>
        <v>0.01</v>
      </c>
      <c r="V677" s="63" t="n">
        <f aca="false">IFERROR(S677/F677,0)</f>
        <v>0.5</v>
      </c>
      <c r="W677" s="63" t="n">
        <f aca="false">IFERROR(R677/F677,0)</f>
        <v>0.5</v>
      </c>
      <c r="X677" s="63" t="n">
        <f aca="false">IFERROR(T677/F677,0)</f>
        <v>0.5</v>
      </c>
      <c r="Y677" s="63" t="n">
        <f aca="false">IFERROR(G677/F677,0)</f>
        <v>0</v>
      </c>
      <c r="Z677" s="59" t="n">
        <f aca="false">IF(E677&gt;0,F677*1000000000/E677,"")</f>
        <v>5827.50582750583</v>
      </c>
      <c r="AA677" s="63" t="n">
        <f aca="false">IFERROR((R677+S677+J677)/F677,0)</f>
        <v>1</v>
      </c>
      <c r="AB677" s="0" t="str">
        <f aca="false">A677&amp;"|"&amp;D677</f>
        <v>Falkland Islands|2015</v>
      </c>
    </row>
    <row r="678" customFormat="false" ht="15" hidden="false" customHeight="false" outlineLevel="0" collapsed="false">
      <c r="A678" s="0" t="s">
        <v>245</v>
      </c>
      <c r="B678" s="0" t="s">
        <v>483</v>
      </c>
      <c r="C678" s="0" t="s">
        <v>127</v>
      </c>
      <c r="D678" s="0" t="n">
        <v>2016</v>
      </c>
      <c r="E678" s="59" t="n">
        <v>3499</v>
      </c>
      <c r="F678" s="60" t="n">
        <v>0.02</v>
      </c>
      <c r="G678" s="61" t="n">
        <v>0</v>
      </c>
      <c r="H678" s="61" t="n">
        <v>0</v>
      </c>
      <c r="I678" s="61" t="n">
        <v>0.01</v>
      </c>
      <c r="J678" s="61" t="n">
        <v>0</v>
      </c>
      <c r="K678" s="61" t="n">
        <v>0</v>
      </c>
      <c r="L678" s="61" t="n">
        <v>0</v>
      </c>
      <c r="M678" s="61" t="n">
        <v>0.01</v>
      </c>
      <c r="N678" s="61" t="n">
        <v>0</v>
      </c>
      <c r="O678" s="61" t="n">
        <v>0</v>
      </c>
      <c r="P678" s="62" t="n">
        <v>500</v>
      </c>
      <c r="Q678" s="0" t="n">
        <v>0</v>
      </c>
      <c r="R678" s="60" t="n">
        <f aca="false">G678+H678+I678</f>
        <v>0.01</v>
      </c>
      <c r="S678" s="60" t="n">
        <f aca="false">K678+L678+M678+N678+O678</f>
        <v>0.01</v>
      </c>
      <c r="T678" s="60" t="n">
        <f aca="false">L678+M678</f>
        <v>0.01</v>
      </c>
      <c r="U678" s="60" t="n">
        <f aca="false">S678+J678</f>
        <v>0.01</v>
      </c>
      <c r="V678" s="63" t="n">
        <f aca="false">IFERROR(S678/F678,0)</f>
        <v>0.5</v>
      </c>
      <c r="W678" s="63" t="n">
        <f aca="false">IFERROR(R678/F678,0)</f>
        <v>0.5</v>
      </c>
      <c r="X678" s="63" t="n">
        <f aca="false">IFERROR(T678/F678,0)</f>
        <v>0.5</v>
      </c>
      <c r="Y678" s="63" t="n">
        <f aca="false">IFERROR(G678/F678,0)</f>
        <v>0</v>
      </c>
      <c r="Z678" s="59" t="n">
        <f aca="false">IF(E678&gt;0,F678*1000000000/E678,"")</f>
        <v>5715.91883395256</v>
      </c>
      <c r="AA678" s="63" t="n">
        <f aca="false">IFERROR((R678+S678+J678)/F678,0)</f>
        <v>1</v>
      </c>
      <c r="AB678" s="0" t="str">
        <f aca="false">A678&amp;"|"&amp;D678</f>
        <v>Falkland Islands|2016</v>
      </c>
    </row>
    <row r="679" customFormat="false" ht="15" hidden="false" customHeight="false" outlineLevel="0" collapsed="false">
      <c r="A679" s="0" t="s">
        <v>245</v>
      </c>
      <c r="B679" s="0" t="s">
        <v>483</v>
      </c>
      <c r="C679" s="0" t="s">
        <v>127</v>
      </c>
      <c r="D679" s="0" t="n">
        <v>2017</v>
      </c>
      <c r="E679" s="59" t="n">
        <v>3541</v>
      </c>
      <c r="F679" s="60" t="n">
        <v>0.01</v>
      </c>
      <c r="G679" s="61" t="n">
        <v>0</v>
      </c>
      <c r="H679" s="61" t="n">
        <v>0</v>
      </c>
      <c r="I679" s="61" t="n">
        <v>0.01</v>
      </c>
      <c r="J679" s="61" t="n">
        <v>0</v>
      </c>
      <c r="K679" s="61" t="n">
        <v>0</v>
      </c>
      <c r="L679" s="61" t="n">
        <v>0</v>
      </c>
      <c r="M679" s="61" t="n">
        <v>0</v>
      </c>
      <c r="N679" s="61" t="n">
        <v>0</v>
      </c>
      <c r="O679" s="61" t="n">
        <v>0</v>
      </c>
      <c r="P679" s="62" t="n">
        <v>1000</v>
      </c>
      <c r="Q679" s="0" t="n">
        <v>0</v>
      </c>
      <c r="R679" s="60" t="n">
        <f aca="false">G679+H679+I679</f>
        <v>0.01</v>
      </c>
      <c r="S679" s="60" t="n">
        <f aca="false">K679+L679+M679+N679+O679</f>
        <v>0</v>
      </c>
      <c r="T679" s="60" t="n">
        <f aca="false">L679+M679</f>
        <v>0</v>
      </c>
      <c r="U679" s="60" t="n">
        <f aca="false">S679+J679</f>
        <v>0</v>
      </c>
      <c r="V679" s="63" t="n">
        <f aca="false">IFERROR(S679/F679,0)</f>
        <v>0</v>
      </c>
      <c r="W679" s="63" t="n">
        <f aca="false">IFERROR(R679/F679,0)</f>
        <v>1</v>
      </c>
      <c r="X679" s="63" t="n">
        <f aca="false">IFERROR(T679/F679,0)</f>
        <v>0</v>
      </c>
      <c r="Y679" s="63" t="n">
        <f aca="false">IFERROR(G679/F679,0)</f>
        <v>0</v>
      </c>
      <c r="Z679" s="59" t="n">
        <f aca="false">IF(E679&gt;0,F679*1000000000/E679,"")</f>
        <v>2824.06099971759</v>
      </c>
      <c r="AA679" s="63" t="n">
        <f aca="false">IFERROR((R679+S679+J679)/F679,0)</f>
        <v>1</v>
      </c>
      <c r="AB679" s="0" t="str">
        <f aca="false">A679&amp;"|"&amp;D679</f>
        <v>Falkland Islands|2017</v>
      </c>
    </row>
    <row r="680" customFormat="false" ht="15" hidden="false" customHeight="false" outlineLevel="0" collapsed="false">
      <c r="A680" s="0" t="s">
        <v>245</v>
      </c>
      <c r="B680" s="0" t="s">
        <v>483</v>
      </c>
      <c r="C680" s="0" t="s">
        <v>127</v>
      </c>
      <c r="D680" s="0" t="n">
        <v>2018</v>
      </c>
      <c r="E680" s="59" t="n">
        <v>3549</v>
      </c>
      <c r="F680" s="60" t="n">
        <v>0.01</v>
      </c>
      <c r="G680" s="61" t="n">
        <v>0</v>
      </c>
      <c r="H680" s="61" t="n">
        <v>0</v>
      </c>
      <c r="I680" s="61" t="n">
        <v>0.01</v>
      </c>
      <c r="J680" s="61" t="n">
        <v>0</v>
      </c>
      <c r="K680" s="61" t="n">
        <v>0</v>
      </c>
      <c r="L680" s="61" t="n">
        <v>0</v>
      </c>
      <c r="M680" s="61" t="n">
        <v>0</v>
      </c>
      <c r="N680" s="61" t="n">
        <v>0</v>
      </c>
      <c r="O680" s="61" t="n">
        <v>0</v>
      </c>
      <c r="P680" s="62" t="n">
        <v>1000</v>
      </c>
      <c r="Q680" s="0" t="n">
        <v>0</v>
      </c>
      <c r="R680" s="60" t="n">
        <f aca="false">G680+H680+I680</f>
        <v>0.01</v>
      </c>
      <c r="S680" s="60" t="n">
        <f aca="false">K680+L680+M680+N680+O680</f>
        <v>0</v>
      </c>
      <c r="T680" s="60" t="n">
        <f aca="false">L680+M680</f>
        <v>0</v>
      </c>
      <c r="U680" s="60" t="n">
        <f aca="false">S680+J680</f>
        <v>0</v>
      </c>
      <c r="V680" s="63" t="n">
        <f aca="false">IFERROR(S680/F680,0)</f>
        <v>0</v>
      </c>
      <c r="W680" s="63" t="n">
        <f aca="false">IFERROR(R680/F680,0)</f>
        <v>1</v>
      </c>
      <c r="X680" s="63" t="n">
        <f aca="false">IFERROR(T680/F680,0)</f>
        <v>0</v>
      </c>
      <c r="Y680" s="63" t="n">
        <f aca="false">IFERROR(G680/F680,0)</f>
        <v>0</v>
      </c>
      <c r="Z680" s="59" t="n">
        <f aca="false">IF(E680&gt;0,F680*1000000000/E680,"")</f>
        <v>2817.69512538743</v>
      </c>
      <c r="AA680" s="63" t="n">
        <f aca="false">IFERROR((R680+S680+J680)/F680,0)</f>
        <v>1</v>
      </c>
      <c r="AB680" s="0" t="str">
        <f aca="false">A680&amp;"|"&amp;D680</f>
        <v>Falkland Islands|2018</v>
      </c>
    </row>
    <row r="681" customFormat="false" ht="15" hidden="false" customHeight="false" outlineLevel="0" collapsed="false">
      <c r="A681" s="0" t="s">
        <v>245</v>
      </c>
      <c r="B681" s="0" t="s">
        <v>483</v>
      </c>
      <c r="C681" s="0" t="s">
        <v>127</v>
      </c>
      <c r="D681" s="0" t="n">
        <v>2019</v>
      </c>
      <c r="E681" s="59" t="n">
        <v>3541</v>
      </c>
      <c r="F681" s="60" t="n">
        <v>0.01</v>
      </c>
      <c r="G681" s="61" t="n">
        <v>0</v>
      </c>
      <c r="H681" s="61" t="n">
        <v>0</v>
      </c>
      <c r="I681" s="61" t="n">
        <v>0.01</v>
      </c>
      <c r="J681" s="61" t="n">
        <v>0</v>
      </c>
      <c r="K681" s="61" t="n">
        <v>0</v>
      </c>
      <c r="L681" s="61" t="n">
        <v>0</v>
      </c>
      <c r="M681" s="61" t="n">
        <v>0</v>
      </c>
      <c r="N681" s="61" t="n">
        <v>0</v>
      </c>
      <c r="O681" s="61" t="n">
        <v>0</v>
      </c>
      <c r="P681" s="62" t="n">
        <v>1000</v>
      </c>
      <c r="Q681" s="0" t="n">
        <v>0</v>
      </c>
      <c r="R681" s="60" t="n">
        <f aca="false">G681+H681+I681</f>
        <v>0.01</v>
      </c>
      <c r="S681" s="60" t="n">
        <f aca="false">K681+L681+M681+N681+O681</f>
        <v>0</v>
      </c>
      <c r="T681" s="60" t="n">
        <f aca="false">L681+M681</f>
        <v>0</v>
      </c>
      <c r="U681" s="60" t="n">
        <f aca="false">S681+J681</f>
        <v>0</v>
      </c>
      <c r="V681" s="63" t="n">
        <f aca="false">IFERROR(S681/F681,0)</f>
        <v>0</v>
      </c>
      <c r="W681" s="63" t="n">
        <f aca="false">IFERROR(R681/F681,0)</f>
        <v>1</v>
      </c>
      <c r="X681" s="63" t="n">
        <f aca="false">IFERROR(T681/F681,0)</f>
        <v>0</v>
      </c>
      <c r="Y681" s="63" t="n">
        <f aca="false">IFERROR(G681/F681,0)</f>
        <v>0</v>
      </c>
      <c r="Z681" s="59" t="n">
        <f aca="false">IF(E681&gt;0,F681*1000000000/E681,"")</f>
        <v>2824.06099971759</v>
      </c>
      <c r="AA681" s="63" t="n">
        <f aca="false">IFERROR((R681+S681+J681)/F681,0)</f>
        <v>1</v>
      </c>
      <c r="AB681" s="0" t="str">
        <f aca="false">A681&amp;"|"&amp;D681</f>
        <v>Falkland Islands|2019</v>
      </c>
    </row>
    <row r="682" customFormat="false" ht="15" hidden="false" customHeight="false" outlineLevel="0" collapsed="false">
      <c r="A682" s="0" t="s">
        <v>245</v>
      </c>
      <c r="B682" s="0" t="s">
        <v>483</v>
      </c>
      <c r="C682" s="0" t="s">
        <v>127</v>
      </c>
      <c r="D682" s="0" t="n">
        <v>2020</v>
      </c>
      <c r="E682" s="59" t="n">
        <v>3537</v>
      </c>
      <c r="F682" s="60" t="n">
        <v>0.01</v>
      </c>
      <c r="G682" s="61" t="n">
        <v>0</v>
      </c>
      <c r="H682" s="61" t="n">
        <v>0</v>
      </c>
      <c r="I682" s="61" t="n">
        <v>0.01</v>
      </c>
      <c r="J682" s="61" t="n">
        <v>0</v>
      </c>
      <c r="K682" s="61" t="n">
        <v>0</v>
      </c>
      <c r="L682" s="61" t="n">
        <v>0</v>
      </c>
      <c r="M682" s="61" t="n">
        <v>0</v>
      </c>
      <c r="N682" s="61" t="n">
        <v>0</v>
      </c>
      <c r="O682" s="61" t="n">
        <v>0</v>
      </c>
      <c r="P682" s="62" t="n">
        <v>1000</v>
      </c>
      <c r="Q682" s="0" t="n">
        <v>0</v>
      </c>
      <c r="R682" s="60" t="n">
        <f aca="false">G682+H682+I682</f>
        <v>0.01</v>
      </c>
      <c r="S682" s="60" t="n">
        <f aca="false">K682+L682+M682+N682+O682</f>
        <v>0</v>
      </c>
      <c r="T682" s="60" t="n">
        <f aca="false">L682+M682</f>
        <v>0</v>
      </c>
      <c r="U682" s="60" t="n">
        <f aca="false">S682+J682</f>
        <v>0</v>
      </c>
      <c r="V682" s="63" t="n">
        <f aca="false">IFERROR(S682/F682,0)</f>
        <v>0</v>
      </c>
      <c r="W682" s="63" t="n">
        <f aca="false">IFERROR(R682/F682,0)</f>
        <v>1</v>
      </c>
      <c r="X682" s="63" t="n">
        <f aca="false">IFERROR(T682/F682,0)</f>
        <v>0</v>
      </c>
      <c r="Y682" s="63" t="n">
        <f aca="false">IFERROR(G682/F682,0)</f>
        <v>0</v>
      </c>
      <c r="Z682" s="59" t="n">
        <f aca="false">IF(E682&gt;0,F682*1000000000/E682,"")</f>
        <v>2827.25473565168</v>
      </c>
      <c r="AA682" s="63" t="n">
        <f aca="false">IFERROR((R682+S682+J682)/F682,0)</f>
        <v>1</v>
      </c>
      <c r="AB682" s="0" t="str">
        <f aca="false">A682&amp;"|"&amp;D682</f>
        <v>Falkland Islands|2020</v>
      </c>
    </row>
    <row r="683" customFormat="false" ht="15" hidden="false" customHeight="false" outlineLevel="0" collapsed="false">
      <c r="A683" s="0" t="s">
        <v>245</v>
      </c>
      <c r="B683" s="0" t="s">
        <v>483</v>
      </c>
      <c r="C683" s="0" t="s">
        <v>127</v>
      </c>
      <c r="D683" s="0" t="n">
        <v>2021</v>
      </c>
      <c r="E683" s="59" t="n">
        <v>3524</v>
      </c>
      <c r="F683" s="60" t="n">
        <v>0.01</v>
      </c>
      <c r="G683" s="61" t="n">
        <v>0</v>
      </c>
      <c r="H683" s="61" t="n">
        <v>0</v>
      </c>
      <c r="I683" s="61" t="n">
        <v>0.01</v>
      </c>
      <c r="J683" s="61" t="n">
        <v>0</v>
      </c>
      <c r="K683" s="61" t="n">
        <v>0</v>
      </c>
      <c r="L683" s="61" t="n">
        <v>0</v>
      </c>
      <c r="M683" s="61" t="n">
        <v>0</v>
      </c>
      <c r="N683" s="61" t="n">
        <v>0</v>
      </c>
      <c r="O683" s="61" t="n">
        <v>0</v>
      </c>
      <c r="P683" s="62" t="n">
        <v>1000</v>
      </c>
      <c r="Q683" s="0" t="n">
        <v>0</v>
      </c>
      <c r="R683" s="60" t="n">
        <f aca="false">G683+H683+I683</f>
        <v>0.01</v>
      </c>
      <c r="S683" s="60" t="n">
        <f aca="false">K683+L683+M683+N683+O683</f>
        <v>0</v>
      </c>
      <c r="T683" s="60" t="n">
        <f aca="false">L683+M683</f>
        <v>0</v>
      </c>
      <c r="U683" s="60" t="n">
        <f aca="false">S683+J683</f>
        <v>0</v>
      </c>
      <c r="V683" s="63" t="n">
        <f aca="false">IFERROR(S683/F683,0)</f>
        <v>0</v>
      </c>
      <c r="W683" s="63" t="n">
        <f aca="false">IFERROR(R683/F683,0)</f>
        <v>1</v>
      </c>
      <c r="X683" s="63" t="n">
        <f aca="false">IFERROR(T683/F683,0)</f>
        <v>0</v>
      </c>
      <c r="Y683" s="63" t="n">
        <f aca="false">IFERROR(G683/F683,0)</f>
        <v>0</v>
      </c>
      <c r="Z683" s="59" t="n">
        <f aca="false">IF(E683&gt;0,F683*1000000000/E683,"")</f>
        <v>2837.68444948922</v>
      </c>
      <c r="AA683" s="63" t="n">
        <f aca="false">IFERROR((R683+S683+J683)/F683,0)</f>
        <v>1</v>
      </c>
      <c r="AB683" s="0" t="str">
        <f aca="false">A683&amp;"|"&amp;D683</f>
        <v>Falkland Islands|2021</v>
      </c>
    </row>
    <row r="684" customFormat="false" ht="15" hidden="false" customHeight="false" outlineLevel="0" collapsed="false">
      <c r="A684" s="0" t="s">
        <v>245</v>
      </c>
      <c r="B684" s="0" t="s">
        <v>483</v>
      </c>
      <c r="C684" s="0" t="s">
        <v>127</v>
      </c>
      <c r="D684" s="0" t="n">
        <v>2022</v>
      </c>
      <c r="E684" s="59" t="n">
        <v>3515</v>
      </c>
      <c r="F684" s="60" t="n">
        <v>0.01</v>
      </c>
      <c r="G684" s="61" t="n">
        <v>0</v>
      </c>
      <c r="H684" s="61" t="n">
        <v>0</v>
      </c>
      <c r="I684" s="61" t="n">
        <v>0.01</v>
      </c>
      <c r="J684" s="61" t="n">
        <v>0</v>
      </c>
      <c r="K684" s="61" t="n">
        <v>0</v>
      </c>
      <c r="L684" s="61" t="n">
        <v>0</v>
      </c>
      <c r="M684" s="61" t="n">
        <v>0</v>
      </c>
      <c r="N684" s="61" t="n">
        <v>0</v>
      </c>
      <c r="O684" s="61" t="n">
        <v>0</v>
      </c>
      <c r="P684" s="62" t="n">
        <v>1000</v>
      </c>
      <c r="Q684" s="0" t="n">
        <v>0</v>
      </c>
      <c r="R684" s="60" t="n">
        <f aca="false">G684+H684+I684</f>
        <v>0.01</v>
      </c>
      <c r="S684" s="60" t="n">
        <f aca="false">K684+L684+M684+N684+O684</f>
        <v>0</v>
      </c>
      <c r="T684" s="60" t="n">
        <f aca="false">L684+M684</f>
        <v>0</v>
      </c>
      <c r="U684" s="60" t="n">
        <f aca="false">S684+J684</f>
        <v>0</v>
      </c>
      <c r="V684" s="63" t="n">
        <f aca="false">IFERROR(S684/F684,0)</f>
        <v>0</v>
      </c>
      <c r="W684" s="63" t="n">
        <f aca="false">IFERROR(R684/F684,0)</f>
        <v>1</v>
      </c>
      <c r="X684" s="63" t="n">
        <f aca="false">IFERROR(T684/F684,0)</f>
        <v>0</v>
      </c>
      <c r="Y684" s="63" t="n">
        <f aca="false">IFERROR(G684/F684,0)</f>
        <v>0</v>
      </c>
      <c r="Z684" s="59" t="n">
        <f aca="false">IF(E684&gt;0,F684*1000000000/E684,"")</f>
        <v>2844.95021337127</v>
      </c>
      <c r="AA684" s="63" t="n">
        <f aca="false">IFERROR((R684+S684+J684)/F684,0)</f>
        <v>1</v>
      </c>
      <c r="AB684" s="0" t="str">
        <f aca="false">A684&amp;"|"&amp;D684</f>
        <v>Falkland Islands|2022</v>
      </c>
    </row>
    <row r="685" customFormat="false" ht="15" hidden="false" customHeight="false" outlineLevel="0" collapsed="false">
      <c r="A685" s="0" t="s">
        <v>245</v>
      </c>
      <c r="B685" s="0" t="s">
        <v>483</v>
      </c>
      <c r="C685" s="0" t="s">
        <v>127</v>
      </c>
      <c r="D685" s="0" t="n">
        <v>2023</v>
      </c>
      <c r="E685" s="59" t="n">
        <v>3498</v>
      </c>
      <c r="F685" s="60" t="n">
        <v>0.01</v>
      </c>
      <c r="G685" s="61" t="n">
        <v>0</v>
      </c>
      <c r="H685" s="61" t="n">
        <v>0</v>
      </c>
      <c r="I685" s="61" t="n">
        <v>0.01</v>
      </c>
      <c r="J685" s="61" t="n">
        <v>0</v>
      </c>
      <c r="K685" s="61" t="n">
        <v>0</v>
      </c>
      <c r="L685" s="61" t="n">
        <v>0</v>
      </c>
      <c r="M685" s="61" t="n">
        <v>0</v>
      </c>
      <c r="N685" s="61" t="n">
        <v>0</v>
      </c>
      <c r="O685" s="61" t="n">
        <v>0</v>
      </c>
      <c r="P685" s="62" t="n">
        <v>1000</v>
      </c>
      <c r="Q685" s="0" t="n">
        <v>0</v>
      </c>
      <c r="R685" s="60" t="n">
        <f aca="false">G685+H685+I685</f>
        <v>0.01</v>
      </c>
      <c r="S685" s="60" t="n">
        <f aca="false">K685+L685+M685+N685+O685</f>
        <v>0</v>
      </c>
      <c r="T685" s="60" t="n">
        <f aca="false">L685+M685</f>
        <v>0</v>
      </c>
      <c r="U685" s="60" t="n">
        <f aca="false">S685+J685</f>
        <v>0</v>
      </c>
      <c r="V685" s="63" t="n">
        <f aca="false">IFERROR(S685/F685,0)</f>
        <v>0</v>
      </c>
      <c r="W685" s="63" t="n">
        <f aca="false">IFERROR(R685/F685,0)</f>
        <v>1</v>
      </c>
      <c r="X685" s="63" t="n">
        <f aca="false">IFERROR(T685/F685,0)</f>
        <v>0</v>
      </c>
      <c r="Y685" s="63" t="n">
        <f aca="false">IFERROR(G685/F685,0)</f>
        <v>0</v>
      </c>
      <c r="Z685" s="59" t="n">
        <f aca="false">IF(E685&gt;0,F685*1000000000/E685,"")</f>
        <v>2858.7764436821</v>
      </c>
      <c r="AA685" s="63" t="n">
        <f aca="false">IFERROR((R685+S685+J685)/F685,0)</f>
        <v>1</v>
      </c>
      <c r="AB685" s="0" t="str">
        <f aca="false">A685&amp;"|"&amp;D685</f>
        <v>Falkland Islands|2023</v>
      </c>
    </row>
    <row r="686" customFormat="false" ht="15" hidden="false" customHeight="false" outlineLevel="0" collapsed="false">
      <c r="A686" s="0" t="s">
        <v>246</v>
      </c>
      <c r="B686" s="0" t="s">
        <v>484</v>
      </c>
      <c r="C686" s="0" t="s">
        <v>127</v>
      </c>
      <c r="D686" s="0" t="n">
        <v>2015</v>
      </c>
      <c r="E686" s="59" t="n">
        <v>48916</v>
      </c>
      <c r="F686" s="60" t="n">
        <v>0.32</v>
      </c>
      <c r="G686" s="61" t="n">
        <v>0</v>
      </c>
      <c r="H686" s="61" t="n">
        <v>0</v>
      </c>
      <c r="I686" s="61" t="n">
        <v>0.13</v>
      </c>
      <c r="J686" s="61" t="n">
        <v>0</v>
      </c>
      <c r="K686" s="61" t="n">
        <v>0.13</v>
      </c>
      <c r="L686" s="61" t="n">
        <v>0</v>
      </c>
      <c r="M686" s="61" t="n">
        <v>0.06</v>
      </c>
      <c r="N686" s="61" t="n">
        <v>0</v>
      </c>
      <c r="O686" s="61" t="n">
        <v>0</v>
      </c>
      <c r="P686" s="62" t="n">
        <v>281.2</v>
      </c>
      <c r="Q686" s="0" t="n">
        <v>0</v>
      </c>
      <c r="R686" s="60" t="n">
        <f aca="false">G686+H686+I686</f>
        <v>0.13</v>
      </c>
      <c r="S686" s="60" t="n">
        <f aca="false">K686+L686+M686+N686+O686</f>
        <v>0.19</v>
      </c>
      <c r="T686" s="60" t="n">
        <f aca="false">L686+M686</f>
        <v>0.06</v>
      </c>
      <c r="U686" s="60" t="n">
        <f aca="false">S686+J686</f>
        <v>0.19</v>
      </c>
      <c r="V686" s="63" t="n">
        <f aca="false">IFERROR(S686/F686,0)</f>
        <v>0.59375</v>
      </c>
      <c r="W686" s="63" t="n">
        <f aca="false">IFERROR(R686/F686,0)</f>
        <v>0.40625</v>
      </c>
      <c r="X686" s="63" t="n">
        <f aca="false">IFERROR(T686/F686,0)</f>
        <v>0.1875</v>
      </c>
      <c r="Y686" s="63" t="n">
        <f aca="false">IFERROR(G686/F686,0)</f>
        <v>0</v>
      </c>
      <c r="Z686" s="59" t="n">
        <f aca="false">IF(E686&gt;0,F686*1000000000/E686,"")</f>
        <v>6541.82680513533</v>
      </c>
      <c r="AA686" s="63" t="n">
        <f aca="false">IFERROR((R686+S686+J686)/F686,0)</f>
        <v>1</v>
      </c>
      <c r="AB686" s="0" t="str">
        <f aca="false">A686&amp;"|"&amp;D686</f>
        <v>Faroe Islands|2015</v>
      </c>
    </row>
    <row r="687" customFormat="false" ht="15" hidden="false" customHeight="false" outlineLevel="0" collapsed="false">
      <c r="A687" s="0" t="s">
        <v>246</v>
      </c>
      <c r="B687" s="0" t="s">
        <v>484</v>
      </c>
      <c r="C687" s="0" t="s">
        <v>127</v>
      </c>
      <c r="D687" s="0" t="n">
        <v>2016</v>
      </c>
      <c r="E687" s="59" t="n">
        <v>49554</v>
      </c>
      <c r="F687" s="60" t="n">
        <v>0.31</v>
      </c>
      <c r="G687" s="61" t="n">
        <v>0</v>
      </c>
      <c r="H687" s="61" t="n">
        <v>0</v>
      </c>
      <c r="I687" s="61" t="n">
        <v>0.16</v>
      </c>
      <c r="J687" s="61" t="n">
        <v>0</v>
      </c>
      <c r="K687" s="61" t="n">
        <v>0.1</v>
      </c>
      <c r="L687" s="61" t="n">
        <v>0</v>
      </c>
      <c r="M687" s="61" t="n">
        <v>0.05</v>
      </c>
      <c r="N687" s="61" t="n">
        <v>0</v>
      </c>
      <c r="O687" s="61" t="n">
        <v>0</v>
      </c>
      <c r="P687" s="62" t="n">
        <v>354.8</v>
      </c>
      <c r="Q687" s="0" t="n">
        <v>0</v>
      </c>
      <c r="R687" s="60" t="n">
        <f aca="false">G687+H687+I687</f>
        <v>0.16</v>
      </c>
      <c r="S687" s="60" t="n">
        <f aca="false">K687+L687+M687+N687+O687</f>
        <v>0.15</v>
      </c>
      <c r="T687" s="60" t="n">
        <f aca="false">L687+M687</f>
        <v>0.05</v>
      </c>
      <c r="U687" s="60" t="n">
        <f aca="false">S687+J687</f>
        <v>0.15</v>
      </c>
      <c r="V687" s="63" t="n">
        <f aca="false">IFERROR(S687/F687,0)</f>
        <v>0.483870967741936</v>
      </c>
      <c r="W687" s="63" t="n">
        <f aca="false">IFERROR(R687/F687,0)</f>
        <v>0.516129032258065</v>
      </c>
      <c r="X687" s="63" t="n">
        <f aca="false">IFERROR(T687/F687,0)</f>
        <v>0.161290322580645</v>
      </c>
      <c r="Y687" s="63" t="n">
        <f aca="false">IFERROR(G687/F687,0)</f>
        <v>0</v>
      </c>
      <c r="Z687" s="59" t="n">
        <f aca="false">IF(E687&gt;0,F687*1000000000/E687,"")</f>
        <v>6255.80175162449</v>
      </c>
      <c r="AA687" s="63" t="n">
        <f aca="false">IFERROR((R687+S687+J687)/F687,0)</f>
        <v>1</v>
      </c>
      <c r="AB687" s="0" t="str">
        <f aca="false">A687&amp;"|"&amp;D687</f>
        <v>Faroe Islands|2016</v>
      </c>
    </row>
    <row r="688" customFormat="false" ht="15" hidden="false" customHeight="false" outlineLevel="0" collapsed="false">
      <c r="A688" s="0" t="s">
        <v>246</v>
      </c>
      <c r="B688" s="0" t="s">
        <v>484</v>
      </c>
      <c r="C688" s="0" t="s">
        <v>127</v>
      </c>
      <c r="D688" s="0" t="n">
        <v>2017</v>
      </c>
      <c r="E688" s="59" t="n">
        <v>50268</v>
      </c>
      <c r="F688" s="60" t="n">
        <v>0.33</v>
      </c>
      <c r="G688" s="61" t="n">
        <v>0</v>
      </c>
      <c r="H688" s="61" t="n">
        <v>0</v>
      </c>
      <c r="I688" s="61" t="n">
        <v>0.16</v>
      </c>
      <c r="J688" s="61" t="n">
        <v>0</v>
      </c>
      <c r="K688" s="61" t="n">
        <v>0.11</v>
      </c>
      <c r="L688" s="61" t="n">
        <v>0</v>
      </c>
      <c r="M688" s="61" t="n">
        <v>0.06</v>
      </c>
      <c r="N688" s="61" t="n">
        <v>0</v>
      </c>
      <c r="O688" s="61" t="n">
        <v>0</v>
      </c>
      <c r="P688" s="62" t="n">
        <v>333.3</v>
      </c>
      <c r="Q688" s="0" t="n">
        <v>0</v>
      </c>
      <c r="R688" s="60" t="n">
        <f aca="false">G688+H688+I688</f>
        <v>0.16</v>
      </c>
      <c r="S688" s="60" t="n">
        <f aca="false">K688+L688+M688+N688+O688</f>
        <v>0.17</v>
      </c>
      <c r="T688" s="60" t="n">
        <f aca="false">L688+M688</f>
        <v>0.06</v>
      </c>
      <c r="U688" s="60" t="n">
        <f aca="false">S688+J688</f>
        <v>0.17</v>
      </c>
      <c r="V688" s="63" t="n">
        <f aca="false">IFERROR(S688/F688,0)</f>
        <v>0.515151515151515</v>
      </c>
      <c r="W688" s="63" t="n">
        <f aca="false">IFERROR(R688/F688,0)</f>
        <v>0.484848484848485</v>
      </c>
      <c r="X688" s="63" t="n">
        <f aca="false">IFERROR(T688/F688,0)</f>
        <v>0.181818181818182</v>
      </c>
      <c r="Y688" s="63" t="n">
        <f aca="false">IFERROR(G688/F688,0)</f>
        <v>0</v>
      </c>
      <c r="Z688" s="59" t="n">
        <f aca="false">IF(E688&gt;0,F688*1000000000/E688,"")</f>
        <v>6564.8126044402</v>
      </c>
      <c r="AA688" s="63" t="n">
        <f aca="false">IFERROR((R688+S688+J688)/F688,0)</f>
        <v>1</v>
      </c>
      <c r="AB688" s="0" t="str">
        <f aca="false">A688&amp;"|"&amp;D688</f>
        <v>Faroe Islands|2017</v>
      </c>
    </row>
    <row r="689" customFormat="false" ht="15" hidden="false" customHeight="false" outlineLevel="0" collapsed="false">
      <c r="A689" s="0" t="s">
        <v>246</v>
      </c>
      <c r="B689" s="0" t="s">
        <v>484</v>
      </c>
      <c r="C689" s="0" t="s">
        <v>127</v>
      </c>
      <c r="D689" s="0" t="n">
        <v>2018</v>
      </c>
      <c r="E689" s="59" t="n">
        <v>51062</v>
      </c>
      <c r="F689" s="60" t="n">
        <v>0.35</v>
      </c>
      <c r="G689" s="61" t="n">
        <v>0</v>
      </c>
      <c r="H689" s="61" t="n">
        <v>0</v>
      </c>
      <c r="I689" s="61" t="n">
        <v>0.18</v>
      </c>
      <c r="J689" s="61" t="n">
        <v>0</v>
      </c>
      <c r="K689" s="61" t="n">
        <v>0.11</v>
      </c>
      <c r="L689" s="61" t="n">
        <v>0</v>
      </c>
      <c r="M689" s="61" t="n">
        <v>0.06</v>
      </c>
      <c r="N689" s="61" t="n">
        <v>0</v>
      </c>
      <c r="O689" s="61" t="n">
        <v>0</v>
      </c>
      <c r="P689" s="62" t="n">
        <v>342.9</v>
      </c>
      <c r="Q689" s="0" t="n">
        <v>0</v>
      </c>
      <c r="R689" s="60" t="n">
        <f aca="false">G689+H689+I689</f>
        <v>0.18</v>
      </c>
      <c r="S689" s="60" t="n">
        <f aca="false">K689+L689+M689+N689+O689</f>
        <v>0.17</v>
      </c>
      <c r="T689" s="60" t="n">
        <f aca="false">L689+M689</f>
        <v>0.06</v>
      </c>
      <c r="U689" s="60" t="n">
        <f aca="false">S689+J689</f>
        <v>0.17</v>
      </c>
      <c r="V689" s="63" t="n">
        <f aca="false">IFERROR(S689/F689,0)</f>
        <v>0.485714285714286</v>
      </c>
      <c r="W689" s="63" t="n">
        <f aca="false">IFERROR(R689/F689,0)</f>
        <v>0.514285714285714</v>
      </c>
      <c r="X689" s="63" t="n">
        <f aca="false">IFERROR(T689/F689,0)</f>
        <v>0.171428571428571</v>
      </c>
      <c r="Y689" s="63" t="n">
        <f aca="false">IFERROR(G689/F689,0)</f>
        <v>0</v>
      </c>
      <c r="Z689" s="59" t="n">
        <f aca="false">IF(E689&gt;0,F689*1000000000/E689,"")</f>
        <v>6854.41228310681</v>
      </c>
      <c r="AA689" s="63" t="n">
        <f aca="false">IFERROR((R689+S689+J689)/F689,0)</f>
        <v>1</v>
      </c>
      <c r="AB689" s="0" t="str">
        <f aca="false">A689&amp;"|"&amp;D689</f>
        <v>Faroe Islands|2018</v>
      </c>
    </row>
    <row r="690" customFormat="false" ht="15" hidden="false" customHeight="false" outlineLevel="0" collapsed="false">
      <c r="A690" s="0" t="s">
        <v>246</v>
      </c>
      <c r="B690" s="0" t="s">
        <v>484</v>
      </c>
      <c r="C690" s="0" t="s">
        <v>127</v>
      </c>
      <c r="D690" s="0" t="n">
        <v>2019</v>
      </c>
      <c r="E690" s="59" t="n">
        <v>51868</v>
      </c>
      <c r="F690" s="60" t="n">
        <v>0.38</v>
      </c>
      <c r="G690" s="61" t="n">
        <v>0</v>
      </c>
      <c r="H690" s="61" t="n">
        <v>0</v>
      </c>
      <c r="I690" s="61" t="n">
        <v>0.23</v>
      </c>
      <c r="J690" s="61" t="n">
        <v>0</v>
      </c>
      <c r="K690" s="61" t="n">
        <v>0.1</v>
      </c>
      <c r="L690" s="61" t="n">
        <v>0</v>
      </c>
      <c r="M690" s="61" t="n">
        <v>0.05</v>
      </c>
      <c r="N690" s="61" t="n">
        <v>0</v>
      </c>
      <c r="O690" s="61" t="n">
        <v>0</v>
      </c>
      <c r="P690" s="62" t="n">
        <v>394.7</v>
      </c>
      <c r="Q690" s="0" t="n">
        <v>0</v>
      </c>
      <c r="R690" s="60" t="n">
        <f aca="false">G690+H690+I690</f>
        <v>0.23</v>
      </c>
      <c r="S690" s="60" t="n">
        <f aca="false">K690+L690+M690+N690+O690</f>
        <v>0.15</v>
      </c>
      <c r="T690" s="60" t="n">
        <f aca="false">L690+M690</f>
        <v>0.05</v>
      </c>
      <c r="U690" s="60" t="n">
        <f aca="false">S690+J690</f>
        <v>0.15</v>
      </c>
      <c r="V690" s="63" t="n">
        <f aca="false">IFERROR(S690/F690,0)</f>
        <v>0.394736842105263</v>
      </c>
      <c r="W690" s="63" t="n">
        <f aca="false">IFERROR(R690/F690,0)</f>
        <v>0.605263157894737</v>
      </c>
      <c r="X690" s="63" t="n">
        <f aca="false">IFERROR(T690/F690,0)</f>
        <v>0.131578947368421</v>
      </c>
      <c r="Y690" s="63" t="n">
        <f aca="false">IFERROR(G690/F690,0)</f>
        <v>0</v>
      </c>
      <c r="Z690" s="59" t="n">
        <f aca="false">IF(E690&gt;0,F690*1000000000/E690,"")</f>
        <v>7326.28981260122</v>
      </c>
      <c r="AA690" s="63" t="n">
        <f aca="false">IFERROR((R690+S690+J690)/F690,0)</f>
        <v>1</v>
      </c>
      <c r="AB690" s="0" t="str">
        <f aca="false">A690&amp;"|"&amp;D690</f>
        <v>Faroe Islands|2019</v>
      </c>
    </row>
    <row r="691" customFormat="false" ht="15" hidden="false" customHeight="false" outlineLevel="0" collapsed="false">
      <c r="A691" s="0" t="s">
        <v>246</v>
      </c>
      <c r="B691" s="0" t="s">
        <v>484</v>
      </c>
      <c r="C691" s="0" t="s">
        <v>127</v>
      </c>
      <c r="D691" s="0" t="n">
        <v>2020</v>
      </c>
      <c r="E691" s="59" t="n">
        <v>52615</v>
      </c>
      <c r="F691" s="60" t="n">
        <v>0.41</v>
      </c>
      <c r="G691" s="61" t="n">
        <v>0</v>
      </c>
      <c r="H691" s="61" t="n">
        <v>0</v>
      </c>
      <c r="I691" s="61" t="n">
        <v>0.25</v>
      </c>
      <c r="J691" s="61" t="n">
        <v>0</v>
      </c>
      <c r="K691" s="61" t="n">
        <v>0.11</v>
      </c>
      <c r="L691" s="61" t="n">
        <v>0</v>
      </c>
      <c r="M691" s="61" t="n">
        <v>0.05</v>
      </c>
      <c r="N691" s="61" t="n">
        <v>0</v>
      </c>
      <c r="O691" s="61" t="n">
        <v>0</v>
      </c>
      <c r="P691" s="62" t="n">
        <v>390.2</v>
      </c>
      <c r="Q691" s="0" t="n">
        <v>0</v>
      </c>
      <c r="R691" s="60" t="n">
        <f aca="false">G691+H691+I691</f>
        <v>0.25</v>
      </c>
      <c r="S691" s="60" t="n">
        <f aca="false">K691+L691+M691+N691+O691</f>
        <v>0.16</v>
      </c>
      <c r="T691" s="60" t="n">
        <f aca="false">L691+M691</f>
        <v>0.05</v>
      </c>
      <c r="U691" s="60" t="n">
        <f aca="false">S691+J691</f>
        <v>0.16</v>
      </c>
      <c r="V691" s="63" t="n">
        <f aca="false">IFERROR(S691/F691,0)</f>
        <v>0.390243902439024</v>
      </c>
      <c r="W691" s="63" t="n">
        <f aca="false">IFERROR(R691/F691,0)</f>
        <v>0.609756097560976</v>
      </c>
      <c r="X691" s="63" t="n">
        <f aca="false">IFERROR(T691/F691,0)</f>
        <v>0.121951219512195</v>
      </c>
      <c r="Y691" s="63" t="n">
        <f aca="false">IFERROR(G691/F691,0)</f>
        <v>0</v>
      </c>
      <c r="Z691" s="59" t="n">
        <f aca="false">IF(E691&gt;0,F691*1000000000/E691,"")</f>
        <v>7792.45462320631</v>
      </c>
      <c r="AA691" s="63" t="n">
        <f aca="false">IFERROR((R691+S691+J691)/F691,0)</f>
        <v>1</v>
      </c>
      <c r="AB691" s="0" t="str">
        <f aca="false">A691&amp;"|"&amp;D691</f>
        <v>Faroe Islands|2020</v>
      </c>
    </row>
    <row r="692" customFormat="false" ht="15" hidden="false" customHeight="false" outlineLevel="0" collapsed="false">
      <c r="A692" s="0" t="s">
        <v>246</v>
      </c>
      <c r="B692" s="0" t="s">
        <v>484</v>
      </c>
      <c r="C692" s="0" t="s">
        <v>127</v>
      </c>
      <c r="D692" s="0" t="n">
        <v>2021</v>
      </c>
      <c r="E692" s="59" t="n">
        <v>53324</v>
      </c>
      <c r="F692" s="60" t="n">
        <v>0.43</v>
      </c>
      <c r="G692" s="61" t="n">
        <v>0</v>
      </c>
      <c r="H692" s="61" t="n">
        <v>0</v>
      </c>
      <c r="I692" s="61" t="n">
        <v>0.26</v>
      </c>
      <c r="J692" s="61" t="n">
        <v>0</v>
      </c>
      <c r="K692" s="61" t="n">
        <v>0.11</v>
      </c>
      <c r="L692" s="61" t="n">
        <v>0</v>
      </c>
      <c r="M692" s="61" t="n">
        <v>0.05</v>
      </c>
      <c r="N692" s="61" t="n">
        <v>0.01</v>
      </c>
      <c r="O692" s="61" t="n">
        <v>0</v>
      </c>
      <c r="P692" s="62" t="n">
        <v>395.4</v>
      </c>
      <c r="Q692" s="0" t="n">
        <v>0</v>
      </c>
      <c r="R692" s="60" t="n">
        <f aca="false">G692+H692+I692</f>
        <v>0.26</v>
      </c>
      <c r="S692" s="60" t="n">
        <f aca="false">K692+L692+M692+N692+O692</f>
        <v>0.17</v>
      </c>
      <c r="T692" s="60" t="n">
        <f aca="false">L692+M692</f>
        <v>0.05</v>
      </c>
      <c r="U692" s="60" t="n">
        <f aca="false">S692+J692</f>
        <v>0.17</v>
      </c>
      <c r="V692" s="63" t="n">
        <f aca="false">IFERROR(S692/F692,0)</f>
        <v>0.395348837209302</v>
      </c>
      <c r="W692" s="63" t="n">
        <f aca="false">IFERROR(R692/F692,0)</f>
        <v>0.604651162790698</v>
      </c>
      <c r="X692" s="63" t="n">
        <f aca="false">IFERROR(T692/F692,0)</f>
        <v>0.116279069767442</v>
      </c>
      <c r="Y692" s="63" t="n">
        <f aca="false">IFERROR(G692/F692,0)</f>
        <v>0</v>
      </c>
      <c r="Z692" s="59" t="n">
        <f aca="false">IF(E692&gt;0,F692*1000000000/E692,"")</f>
        <v>8063.91118445728</v>
      </c>
      <c r="AA692" s="63" t="n">
        <f aca="false">IFERROR((R692+S692+J692)/F692,0)</f>
        <v>1</v>
      </c>
      <c r="AB692" s="0" t="str">
        <f aca="false">A692&amp;"|"&amp;D692</f>
        <v>Faroe Islands|2021</v>
      </c>
    </row>
    <row r="693" customFormat="false" ht="15" hidden="false" customHeight="false" outlineLevel="0" collapsed="false">
      <c r="A693" s="0" t="s">
        <v>246</v>
      </c>
      <c r="B693" s="0" t="s">
        <v>484</v>
      </c>
      <c r="C693" s="0" t="s">
        <v>127</v>
      </c>
      <c r="D693" s="0" t="n">
        <v>2022</v>
      </c>
      <c r="E693" s="59" t="n">
        <v>54039</v>
      </c>
      <c r="F693" s="60" t="n">
        <v>0.48</v>
      </c>
      <c r="G693" s="61" t="n">
        <v>0</v>
      </c>
      <c r="H693" s="61" t="n">
        <v>0</v>
      </c>
      <c r="I693" s="61" t="n">
        <v>0.26</v>
      </c>
      <c r="J693" s="61" t="n">
        <v>0</v>
      </c>
      <c r="K693" s="61" t="n">
        <v>0.13</v>
      </c>
      <c r="L693" s="61" t="n">
        <v>0</v>
      </c>
      <c r="M693" s="61" t="n">
        <v>0.09</v>
      </c>
      <c r="N693" s="61" t="n">
        <v>0</v>
      </c>
      <c r="O693" s="61" t="n">
        <v>0</v>
      </c>
      <c r="P693" s="62" t="n">
        <v>354.2</v>
      </c>
      <c r="Q693" s="0" t="n">
        <v>0</v>
      </c>
      <c r="R693" s="60" t="n">
        <f aca="false">G693+H693+I693</f>
        <v>0.26</v>
      </c>
      <c r="S693" s="60" t="n">
        <f aca="false">K693+L693+M693+N693+O693</f>
        <v>0.22</v>
      </c>
      <c r="T693" s="60" t="n">
        <f aca="false">L693+M693</f>
        <v>0.09</v>
      </c>
      <c r="U693" s="60" t="n">
        <f aca="false">S693+J693</f>
        <v>0.22</v>
      </c>
      <c r="V693" s="63" t="n">
        <f aca="false">IFERROR(S693/F693,0)</f>
        <v>0.458333333333333</v>
      </c>
      <c r="W693" s="63" t="n">
        <f aca="false">IFERROR(R693/F693,0)</f>
        <v>0.541666666666667</v>
      </c>
      <c r="X693" s="63" t="n">
        <f aca="false">IFERROR(T693/F693,0)</f>
        <v>0.1875</v>
      </c>
      <c r="Y693" s="63" t="n">
        <f aca="false">IFERROR(G693/F693,0)</f>
        <v>0</v>
      </c>
      <c r="Z693" s="59" t="n">
        <f aca="false">IF(E693&gt;0,F693*1000000000/E693,"")</f>
        <v>8882.47376894465</v>
      </c>
      <c r="AA693" s="63" t="n">
        <f aca="false">IFERROR((R693+S693+J693)/F693,0)</f>
        <v>1</v>
      </c>
      <c r="AB693" s="0" t="str">
        <f aca="false">A693&amp;"|"&amp;D693</f>
        <v>Faroe Islands|2022</v>
      </c>
    </row>
    <row r="694" customFormat="false" ht="15" hidden="false" customHeight="false" outlineLevel="0" collapsed="false">
      <c r="A694" s="0" t="s">
        <v>246</v>
      </c>
      <c r="B694" s="0" t="s">
        <v>484</v>
      </c>
      <c r="C694" s="0" t="s">
        <v>127</v>
      </c>
      <c r="D694" s="0" t="n">
        <v>2023</v>
      </c>
      <c r="E694" s="59" t="n">
        <v>54738</v>
      </c>
      <c r="F694" s="60" t="n">
        <v>0.49</v>
      </c>
      <c r="G694" s="61" t="n">
        <v>0</v>
      </c>
      <c r="H694" s="61" t="n">
        <v>0</v>
      </c>
      <c r="I694" s="61" t="n">
        <v>0.26</v>
      </c>
      <c r="J694" s="61" t="n">
        <v>0</v>
      </c>
      <c r="K694" s="61" t="n">
        <v>0.13</v>
      </c>
      <c r="L694" s="61" t="n">
        <v>0</v>
      </c>
      <c r="M694" s="61" t="n">
        <v>0.09</v>
      </c>
      <c r="N694" s="61" t="n">
        <v>0.01</v>
      </c>
      <c r="O694" s="61" t="n">
        <v>0</v>
      </c>
      <c r="P694" s="62" t="n">
        <v>346.9</v>
      </c>
      <c r="Q694" s="0" t="n">
        <v>0</v>
      </c>
      <c r="R694" s="60" t="n">
        <f aca="false">G694+H694+I694</f>
        <v>0.26</v>
      </c>
      <c r="S694" s="60" t="n">
        <f aca="false">K694+L694+M694+N694+O694</f>
        <v>0.23</v>
      </c>
      <c r="T694" s="60" t="n">
        <f aca="false">L694+M694</f>
        <v>0.09</v>
      </c>
      <c r="U694" s="60" t="n">
        <f aca="false">S694+J694</f>
        <v>0.23</v>
      </c>
      <c r="V694" s="63" t="n">
        <f aca="false">IFERROR(S694/F694,0)</f>
        <v>0.469387755102041</v>
      </c>
      <c r="W694" s="63" t="n">
        <f aca="false">IFERROR(R694/F694,0)</f>
        <v>0.530612244897959</v>
      </c>
      <c r="X694" s="63" t="n">
        <f aca="false">IFERROR(T694/F694,0)</f>
        <v>0.183673469387755</v>
      </c>
      <c r="Y694" s="63" t="n">
        <f aca="false">IFERROR(G694/F694,0)</f>
        <v>0</v>
      </c>
      <c r="Z694" s="59" t="n">
        <f aca="false">IF(E694&gt;0,F694*1000000000/E694,"")</f>
        <v>8951.7337133253</v>
      </c>
      <c r="AA694" s="63" t="n">
        <f aca="false">IFERROR((R694+S694+J694)/F694,0)</f>
        <v>1</v>
      </c>
      <c r="AB694" s="0" t="str">
        <f aca="false">A694&amp;"|"&amp;D694</f>
        <v>Faroe Islands|2023</v>
      </c>
    </row>
    <row r="695" customFormat="false" ht="15" hidden="false" customHeight="false" outlineLevel="0" collapsed="false">
      <c r="A695" s="0" t="s">
        <v>247</v>
      </c>
      <c r="B695" s="0" t="s">
        <v>485</v>
      </c>
      <c r="C695" s="0" t="s">
        <v>127</v>
      </c>
      <c r="D695" s="0" t="n">
        <v>2015</v>
      </c>
      <c r="E695" s="59" t="n">
        <v>918585</v>
      </c>
      <c r="F695" s="60" t="n">
        <v>0.93</v>
      </c>
      <c r="G695" s="61" t="n">
        <v>0</v>
      </c>
      <c r="H695" s="61" t="n">
        <v>0</v>
      </c>
      <c r="I695" s="61" t="n">
        <v>0.48</v>
      </c>
      <c r="J695" s="61" t="n">
        <v>0</v>
      </c>
      <c r="K695" s="61" t="n">
        <v>0.4</v>
      </c>
      <c r="L695" s="61" t="n">
        <v>0</v>
      </c>
      <c r="M695" s="61" t="n">
        <v>0.01</v>
      </c>
      <c r="N695" s="61" t="n">
        <v>0.04</v>
      </c>
      <c r="O695" s="61" t="n">
        <v>0</v>
      </c>
      <c r="P695" s="62" t="n">
        <v>365.6</v>
      </c>
      <c r="Q695" s="0" t="n">
        <v>0</v>
      </c>
      <c r="R695" s="60" t="n">
        <f aca="false">G695+H695+I695</f>
        <v>0.48</v>
      </c>
      <c r="S695" s="60" t="n">
        <f aca="false">K695+L695+M695+N695+O695</f>
        <v>0.45</v>
      </c>
      <c r="T695" s="60" t="n">
        <f aca="false">L695+M695</f>
        <v>0.01</v>
      </c>
      <c r="U695" s="60" t="n">
        <f aca="false">S695+J695</f>
        <v>0.45</v>
      </c>
      <c r="V695" s="63" t="n">
        <f aca="false">IFERROR(S695/F695,0)</f>
        <v>0.483870967741935</v>
      </c>
      <c r="W695" s="63" t="n">
        <f aca="false">IFERROR(R695/F695,0)</f>
        <v>0.516129032258065</v>
      </c>
      <c r="X695" s="63" t="n">
        <f aca="false">IFERROR(T695/F695,0)</f>
        <v>0.010752688172043</v>
      </c>
      <c r="Y695" s="63" t="n">
        <f aca="false">IFERROR(G695/F695,0)</f>
        <v>0</v>
      </c>
      <c r="Z695" s="59" t="n">
        <f aca="false">IF(E695&gt;0,F695*1000000000/E695,"")</f>
        <v>1012.42672153366</v>
      </c>
      <c r="AA695" s="63" t="n">
        <f aca="false">IFERROR((R695+S695+J695)/F695,0)</f>
        <v>1</v>
      </c>
      <c r="AB695" s="0" t="str">
        <f aca="false">A695&amp;"|"&amp;D695</f>
        <v>Fiji|2015</v>
      </c>
    </row>
    <row r="696" customFormat="false" ht="15" hidden="false" customHeight="false" outlineLevel="0" collapsed="false">
      <c r="A696" s="0" t="s">
        <v>247</v>
      </c>
      <c r="B696" s="0" t="s">
        <v>485</v>
      </c>
      <c r="C696" s="0" t="s">
        <v>127</v>
      </c>
      <c r="D696" s="0" t="n">
        <v>2016</v>
      </c>
      <c r="E696" s="59" t="n">
        <v>919167</v>
      </c>
      <c r="F696" s="60" t="n">
        <v>0.95</v>
      </c>
      <c r="G696" s="61" t="n">
        <v>0</v>
      </c>
      <c r="H696" s="61" t="n">
        <v>0</v>
      </c>
      <c r="I696" s="61" t="n">
        <v>0.43</v>
      </c>
      <c r="J696" s="61" t="n">
        <v>0</v>
      </c>
      <c r="K696" s="61" t="n">
        <v>0.49</v>
      </c>
      <c r="L696" s="61" t="n">
        <v>0.01</v>
      </c>
      <c r="M696" s="61" t="n">
        <v>0</v>
      </c>
      <c r="N696" s="61" t="n">
        <v>0.02</v>
      </c>
      <c r="O696" s="61" t="n">
        <v>0</v>
      </c>
      <c r="P696" s="62" t="n">
        <v>305.3</v>
      </c>
      <c r="Q696" s="0" t="n">
        <v>0</v>
      </c>
      <c r="R696" s="60" t="n">
        <f aca="false">G696+H696+I696</f>
        <v>0.43</v>
      </c>
      <c r="S696" s="60" t="n">
        <f aca="false">K696+L696+M696+N696+O696</f>
        <v>0.52</v>
      </c>
      <c r="T696" s="60" t="n">
        <f aca="false">L696+M696</f>
        <v>0.01</v>
      </c>
      <c r="U696" s="60" t="n">
        <f aca="false">S696+J696</f>
        <v>0.52</v>
      </c>
      <c r="V696" s="63" t="n">
        <f aca="false">IFERROR(S696/F696,0)</f>
        <v>0.547368421052632</v>
      </c>
      <c r="W696" s="63" t="n">
        <f aca="false">IFERROR(R696/F696,0)</f>
        <v>0.452631578947368</v>
      </c>
      <c r="X696" s="63" t="n">
        <f aca="false">IFERROR(T696/F696,0)</f>
        <v>0.0105263157894737</v>
      </c>
      <c r="Y696" s="63" t="n">
        <f aca="false">IFERROR(G696/F696,0)</f>
        <v>0</v>
      </c>
      <c r="Z696" s="59" t="n">
        <f aca="false">IF(E696&gt;0,F696*1000000000/E696,"")</f>
        <v>1033.54450279438</v>
      </c>
      <c r="AA696" s="63" t="n">
        <f aca="false">IFERROR((R696+S696+J696)/F696,0)</f>
        <v>1</v>
      </c>
      <c r="AB696" s="0" t="str">
        <f aca="false">A696&amp;"|"&amp;D696</f>
        <v>Fiji|2016</v>
      </c>
    </row>
    <row r="697" customFormat="false" ht="15" hidden="false" customHeight="false" outlineLevel="0" collapsed="false">
      <c r="A697" s="0" t="s">
        <v>247</v>
      </c>
      <c r="B697" s="0" t="s">
        <v>485</v>
      </c>
      <c r="C697" s="0" t="s">
        <v>127</v>
      </c>
      <c r="D697" s="0" t="n">
        <v>2017</v>
      </c>
      <c r="E697" s="59" t="n">
        <v>918762</v>
      </c>
      <c r="F697" s="60" t="n">
        <v>1.02</v>
      </c>
      <c r="G697" s="61" t="n">
        <v>0</v>
      </c>
      <c r="H697" s="61" t="n">
        <v>0</v>
      </c>
      <c r="I697" s="61" t="n">
        <v>0.51</v>
      </c>
      <c r="J697" s="61" t="n">
        <v>0</v>
      </c>
      <c r="K697" s="61" t="n">
        <v>0.49</v>
      </c>
      <c r="L697" s="61" t="n">
        <v>0.01</v>
      </c>
      <c r="M697" s="61" t="n">
        <v>0</v>
      </c>
      <c r="N697" s="61" t="n">
        <v>0.01</v>
      </c>
      <c r="O697" s="61" t="n">
        <v>0</v>
      </c>
      <c r="P697" s="62" t="n">
        <v>343.1</v>
      </c>
      <c r="Q697" s="0" t="n">
        <v>0</v>
      </c>
      <c r="R697" s="60" t="n">
        <f aca="false">G697+H697+I697</f>
        <v>0.51</v>
      </c>
      <c r="S697" s="60" t="n">
        <f aca="false">K697+L697+M697+N697+O697</f>
        <v>0.51</v>
      </c>
      <c r="T697" s="60" t="n">
        <f aca="false">L697+M697</f>
        <v>0.01</v>
      </c>
      <c r="U697" s="60" t="n">
        <f aca="false">S697+J697</f>
        <v>0.51</v>
      </c>
      <c r="V697" s="63" t="n">
        <f aca="false">IFERROR(S697/F697,0)</f>
        <v>0.5</v>
      </c>
      <c r="W697" s="63" t="n">
        <f aca="false">IFERROR(R697/F697,0)</f>
        <v>0.5</v>
      </c>
      <c r="X697" s="63" t="n">
        <f aca="false">IFERROR(T697/F697,0)</f>
        <v>0.00980392156862745</v>
      </c>
      <c r="Y697" s="63" t="n">
        <f aca="false">IFERROR(G697/F697,0)</f>
        <v>0</v>
      </c>
      <c r="Z697" s="59" t="n">
        <f aca="false">IF(E697&gt;0,F697*1000000000/E697,"")</f>
        <v>1110.18958119731</v>
      </c>
      <c r="AA697" s="63" t="n">
        <f aca="false">IFERROR((R697+S697+J697)/F697,0)</f>
        <v>1</v>
      </c>
      <c r="AB697" s="0" t="str">
        <f aca="false">A697&amp;"|"&amp;D697</f>
        <v>Fiji|2017</v>
      </c>
    </row>
    <row r="698" customFormat="false" ht="15" hidden="false" customHeight="false" outlineLevel="0" collapsed="false">
      <c r="A698" s="0" t="s">
        <v>247</v>
      </c>
      <c r="B698" s="0" t="s">
        <v>485</v>
      </c>
      <c r="C698" s="0" t="s">
        <v>127</v>
      </c>
      <c r="D698" s="0" t="n">
        <v>2018</v>
      </c>
      <c r="E698" s="59" t="n">
        <v>917185</v>
      </c>
      <c r="F698" s="60" t="n">
        <v>1.1</v>
      </c>
      <c r="G698" s="61" t="n">
        <v>0</v>
      </c>
      <c r="H698" s="61" t="n">
        <v>0</v>
      </c>
      <c r="I698" s="61" t="n">
        <v>0.45</v>
      </c>
      <c r="J698" s="61" t="n">
        <v>0</v>
      </c>
      <c r="K698" s="61" t="n">
        <v>0.56</v>
      </c>
      <c r="L698" s="61" t="n">
        <v>0.01</v>
      </c>
      <c r="M698" s="61" t="n">
        <v>0</v>
      </c>
      <c r="N698" s="61" t="n">
        <v>0.08</v>
      </c>
      <c r="O698" s="61" t="n">
        <v>0</v>
      </c>
      <c r="P698" s="62" t="n">
        <v>300</v>
      </c>
      <c r="Q698" s="0" t="n">
        <v>0</v>
      </c>
      <c r="R698" s="60" t="n">
        <f aca="false">G698+H698+I698</f>
        <v>0.45</v>
      </c>
      <c r="S698" s="60" t="n">
        <f aca="false">K698+L698+M698+N698+O698</f>
        <v>0.65</v>
      </c>
      <c r="T698" s="60" t="n">
        <f aca="false">L698+M698</f>
        <v>0.01</v>
      </c>
      <c r="U698" s="60" t="n">
        <f aca="false">S698+J698</f>
        <v>0.65</v>
      </c>
      <c r="V698" s="63" t="n">
        <f aca="false">IFERROR(S698/F698,0)</f>
        <v>0.590909090909091</v>
      </c>
      <c r="W698" s="63" t="n">
        <f aca="false">IFERROR(R698/F698,0)</f>
        <v>0.409090909090909</v>
      </c>
      <c r="X698" s="63" t="n">
        <f aca="false">IFERROR(T698/F698,0)</f>
        <v>0.00909090909090909</v>
      </c>
      <c r="Y698" s="63" t="n">
        <f aca="false">IFERROR(G698/F698,0)</f>
        <v>0</v>
      </c>
      <c r="Z698" s="59" t="n">
        <f aca="false">IF(E698&gt;0,F698*1000000000/E698,"")</f>
        <v>1199.32183801523</v>
      </c>
      <c r="AA698" s="63" t="n">
        <f aca="false">IFERROR((R698+S698+J698)/F698,0)</f>
        <v>1</v>
      </c>
      <c r="AB698" s="0" t="str">
        <f aca="false">A698&amp;"|"&amp;D698</f>
        <v>Fiji|2018</v>
      </c>
    </row>
    <row r="699" customFormat="false" ht="15" hidden="false" customHeight="false" outlineLevel="0" collapsed="false">
      <c r="A699" s="0" t="s">
        <v>247</v>
      </c>
      <c r="B699" s="0" t="s">
        <v>485</v>
      </c>
      <c r="C699" s="0" t="s">
        <v>127</v>
      </c>
      <c r="D699" s="0" t="n">
        <v>2019</v>
      </c>
      <c r="E699" s="59" t="n">
        <v>914906</v>
      </c>
      <c r="F699" s="60" t="n">
        <v>1.14</v>
      </c>
      <c r="G699" s="61" t="n">
        <v>0</v>
      </c>
      <c r="H699" s="61" t="n">
        <v>0</v>
      </c>
      <c r="I699" s="61" t="n">
        <v>0.48</v>
      </c>
      <c r="J699" s="61" t="n">
        <v>0</v>
      </c>
      <c r="K699" s="61" t="n">
        <v>0.56</v>
      </c>
      <c r="L699" s="61" t="n">
        <v>0.01</v>
      </c>
      <c r="M699" s="61" t="n">
        <v>0</v>
      </c>
      <c r="N699" s="61" t="n">
        <v>0.09</v>
      </c>
      <c r="O699" s="61" t="n">
        <v>0</v>
      </c>
      <c r="P699" s="62" t="n">
        <v>307</v>
      </c>
      <c r="Q699" s="0" t="n">
        <v>0</v>
      </c>
      <c r="R699" s="60" t="n">
        <f aca="false">G699+H699+I699</f>
        <v>0.48</v>
      </c>
      <c r="S699" s="60" t="n">
        <f aca="false">K699+L699+M699+N699+O699</f>
        <v>0.66</v>
      </c>
      <c r="T699" s="60" t="n">
        <f aca="false">L699+M699</f>
        <v>0.01</v>
      </c>
      <c r="U699" s="60" t="n">
        <f aca="false">S699+J699</f>
        <v>0.66</v>
      </c>
      <c r="V699" s="63" t="n">
        <f aca="false">IFERROR(S699/F699,0)</f>
        <v>0.578947368421053</v>
      </c>
      <c r="W699" s="63" t="n">
        <f aca="false">IFERROR(R699/F699,0)</f>
        <v>0.421052631578947</v>
      </c>
      <c r="X699" s="63" t="n">
        <f aca="false">IFERROR(T699/F699,0)</f>
        <v>0.00877192982456141</v>
      </c>
      <c r="Y699" s="63" t="n">
        <f aca="false">IFERROR(G699/F699,0)</f>
        <v>0</v>
      </c>
      <c r="Z699" s="59" t="n">
        <f aca="false">IF(E699&gt;0,F699*1000000000/E699,"")</f>
        <v>1246.02964676153</v>
      </c>
      <c r="AA699" s="63" t="n">
        <f aca="false">IFERROR((R699+S699+J699)/F699,0)</f>
        <v>1</v>
      </c>
      <c r="AB699" s="0" t="str">
        <f aca="false">A699&amp;"|"&amp;D699</f>
        <v>Fiji|2019</v>
      </c>
    </row>
    <row r="700" customFormat="false" ht="15" hidden="false" customHeight="false" outlineLevel="0" collapsed="false">
      <c r="A700" s="0" t="s">
        <v>247</v>
      </c>
      <c r="B700" s="0" t="s">
        <v>485</v>
      </c>
      <c r="C700" s="0" t="s">
        <v>127</v>
      </c>
      <c r="D700" s="0" t="n">
        <v>2020</v>
      </c>
      <c r="E700" s="59" t="n">
        <v>914971</v>
      </c>
      <c r="F700" s="60" t="n">
        <v>1.08</v>
      </c>
      <c r="G700" s="61" t="n">
        <v>0</v>
      </c>
      <c r="H700" s="61" t="n">
        <v>0</v>
      </c>
      <c r="I700" s="61" t="n">
        <v>0.4</v>
      </c>
      <c r="J700" s="61" t="n">
        <v>0</v>
      </c>
      <c r="K700" s="61" t="n">
        <v>0.56</v>
      </c>
      <c r="L700" s="61" t="n">
        <v>0.01</v>
      </c>
      <c r="M700" s="61" t="n">
        <v>0</v>
      </c>
      <c r="N700" s="61" t="n">
        <v>0.11</v>
      </c>
      <c r="O700" s="61" t="n">
        <v>0</v>
      </c>
      <c r="P700" s="62" t="n">
        <v>268.5</v>
      </c>
      <c r="Q700" s="0" t="n">
        <v>0</v>
      </c>
      <c r="R700" s="60" t="n">
        <f aca="false">G700+H700+I700</f>
        <v>0.4</v>
      </c>
      <c r="S700" s="60" t="n">
        <f aca="false">K700+L700+M700+N700+O700</f>
        <v>0.68</v>
      </c>
      <c r="T700" s="60" t="n">
        <f aca="false">L700+M700</f>
        <v>0.01</v>
      </c>
      <c r="U700" s="60" t="n">
        <f aca="false">S700+J700</f>
        <v>0.68</v>
      </c>
      <c r="V700" s="63" t="n">
        <f aca="false">IFERROR(S700/F700,0)</f>
        <v>0.62962962962963</v>
      </c>
      <c r="W700" s="63" t="n">
        <f aca="false">IFERROR(R700/F700,0)</f>
        <v>0.37037037037037</v>
      </c>
      <c r="X700" s="63" t="n">
        <f aca="false">IFERROR(T700/F700,0)</f>
        <v>0.00925925925925926</v>
      </c>
      <c r="Y700" s="63" t="n">
        <f aca="false">IFERROR(G700/F700,0)</f>
        <v>0</v>
      </c>
      <c r="Z700" s="59" t="n">
        <f aca="false">IF(E700&gt;0,F700*1000000000/E700,"")</f>
        <v>1180.36527933672</v>
      </c>
      <c r="AA700" s="63" t="n">
        <f aca="false">IFERROR((R700+S700+J700)/F700,0)</f>
        <v>1</v>
      </c>
      <c r="AB700" s="0" t="str">
        <f aca="false">A700&amp;"|"&amp;D700</f>
        <v>Fiji|2020</v>
      </c>
    </row>
    <row r="701" customFormat="false" ht="15" hidden="false" customHeight="false" outlineLevel="0" collapsed="false">
      <c r="A701" s="0" t="s">
        <v>247</v>
      </c>
      <c r="B701" s="0" t="s">
        <v>485</v>
      </c>
      <c r="C701" s="0" t="s">
        <v>127</v>
      </c>
      <c r="D701" s="0" t="n">
        <v>2021</v>
      </c>
      <c r="E701" s="59" t="n">
        <v>916718</v>
      </c>
      <c r="F701" s="60" t="n">
        <v>1.06</v>
      </c>
      <c r="G701" s="61" t="n">
        <v>0</v>
      </c>
      <c r="H701" s="61" t="n">
        <v>0</v>
      </c>
      <c r="I701" s="61" t="n">
        <v>0.4</v>
      </c>
      <c r="J701" s="61" t="n">
        <v>0</v>
      </c>
      <c r="K701" s="61" t="n">
        <v>0.55</v>
      </c>
      <c r="L701" s="61" t="n">
        <v>0.01</v>
      </c>
      <c r="M701" s="61" t="n">
        <v>0</v>
      </c>
      <c r="N701" s="61" t="n">
        <v>0.1</v>
      </c>
      <c r="O701" s="61" t="n">
        <v>0</v>
      </c>
      <c r="P701" s="62" t="n">
        <v>273.6</v>
      </c>
      <c r="Q701" s="0" t="n">
        <v>0</v>
      </c>
      <c r="R701" s="60" t="n">
        <f aca="false">G701+H701+I701</f>
        <v>0.4</v>
      </c>
      <c r="S701" s="60" t="n">
        <f aca="false">K701+L701+M701+N701+O701</f>
        <v>0.66</v>
      </c>
      <c r="T701" s="60" t="n">
        <f aca="false">L701+M701</f>
        <v>0.01</v>
      </c>
      <c r="U701" s="60" t="n">
        <f aca="false">S701+J701</f>
        <v>0.66</v>
      </c>
      <c r="V701" s="63" t="n">
        <f aca="false">IFERROR(S701/F701,0)</f>
        <v>0.622641509433962</v>
      </c>
      <c r="W701" s="63" t="n">
        <f aca="false">IFERROR(R701/F701,0)</f>
        <v>0.377358490566038</v>
      </c>
      <c r="X701" s="63" t="n">
        <f aca="false">IFERROR(T701/F701,0)</f>
        <v>0.00943396226415094</v>
      </c>
      <c r="Y701" s="63" t="n">
        <f aca="false">IFERROR(G701/F701,0)</f>
        <v>0</v>
      </c>
      <c r="Z701" s="59" t="n">
        <f aca="false">IF(E701&gt;0,F701*1000000000/E701,"")</f>
        <v>1156.29888362615</v>
      </c>
      <c r="AA701" s="63" t="n">
        <f aca="false">IFERROR((R701+S701+J701)/F701,0)</f>
        <v>1</v>
      </c>
      <c r="AB701" s="0" t="str">
        <f aca="false">A701&amp;"|"&amp;D701</f>
        <v>Fiji|2021</v>
      </c>
    </row>
    <row r="702" customFormat="false" ht="15" hidden="false" customHeight="false" outlineLevel="0" collapsed="false">
      <c r="A702" s="0" t="s">
        <v>247</v>
      </c>
      <c r="B702" s="0" t="s">
        <v>485</v>
      </c>
      <c r="C702" s="0" t="s">
        <v>127</v>
      </c>
      <c r="D702" s="0" t="n">
        <v>2022</v>
      </c>
      <c r="E702" s="59" t="n">
        <v>919428</v>
      </c>
      <c r="F702" s="60" t="n">
        <v>1.07</v>
      </c>
      <c r="G702" s="61" t="n">
        <v>0</v>
      </c>
      <c r="H702" s="61" t="n">
        <v>0</v>
      </c>
      <c r="I702" s="61" t="n">
        <v>0.42</v>
      </c>
      <c r="J702" s="61" t="n">
        <v>0</v>
      </c>
      <c r="K702" s="61" t="n">
        <v>0.6</v>
      </c>
      <c r="L702" s="61" t="n">
        <v>0.01</v>
      </c>
      <c r="M702" s="61" t="n">
        <v>0</v>
      </c>
      <c r="N702" s="61" t="n">
        <v>0.04</v>
      </c>
      <c r="O702" s="61" t="n">
        <v>0</v>
      </c>
      <c r="P702" s="62" t="n">
        <v>280.4</v>
      </c>
      <c r="Q702" s="0" t="n">
        <v>0</v>
      </c>
      <c r="R702" s="60" t="n">
        <f aca="false">G702+H702+I702</f>
        <v>0.42</v>
      </c>
      <c r="S702" s="60" t="n">
        <f aca="false">K702+L702+M702+N702+O702</f>
        <v>0.65</v>
      </c>
      <c r="T702" s="60" t="n">
        <f aca="false">L702+M702</f>
        <v>0.01</v>
      </c>
      <c r="U702" s="60" t="n">
        <f aca="false">S702+J702</f>
        <v>0.65</v>
      </c>
      <c r="V702" s="63" t="n">
        <f aca="false">IFERROR(S702/F702,0)</f>
        <v>0.607476635514019</v>
      </c>
      <c r="W702" s="63" t="n">
        <f aca="false">IFERROR(R702/F702,0)</f>
        <v>0.392523364485981</v>
      </c>
      <c r="X702" s="63" t="n">
        <f aca="false">IFERROR(T702/F702,0)</f>
        <v>0.00934579439252336</v>
      </c>
      <c r="Y702" s="63" t="n">
        <f aca="false">IFERROR(G702/F702,0)</f>
        <v>0</v>
      </c>
      <c r="Z702" s="59" t="n">
        <f aca="false">IF(E702&gt;0,F702*1000000000/E702,"")</f>
        <v>1163.76703776696</v>
      </c>
      <c r="AA702" s="63" t="n">
        <f aca="false">IFERROR((R702+S702+J702)/F702,0)</f>
        <v>1</v>
      </c>
      <c r="AB702" s="0" t="str">
        <f aca="false">A702&amp;"|"&amp;D702</f>
        <v>Fiji|2022</v>
      </c>
    </row>
    <row r="703" customFormat="false" ht="15" hidden="false" customHeight="false" outlineLevel="0" collapsed="false">
      <c r="A703" s="0" t="s">
        <v>247</v>
      </c>
      <c r="B703" s="0" t="s">
        <v>485</v>
      </c>
      <c r="C703" s="0" t="s">
        <v>127</v>
      </c>
      <c r="D703" s="0" t="n">
        <v>2023</v>
      </c>
      <c r="E703" s="59" t="n">
        <v>924150</v>
      </c>
      <c r="F703" s="60" t="n">
        <v>1.15</v>
      </c>
      <c r="G703" s="61" t="n">
        <v>0</v>
      </c>
      <c r="H703" s="61" t="n">
        <v>0</v>
      </c>
      <c r="I703" s="61" t="n">
        <v>0.42</v>
      </c>
      <c r="J703" s="61" t="n">
        <v>0</v>
      </c>
      <c r="K703" s="61" t="n">
        <v>0.6</v>
      </c>
      <c r="L703" s="61" t="n">
        <v>0.01</v>
      </c>
      <c r="M703" s="61" t="n">
        <v>0</v>
      </c>
      <c r="N703" s="61" t="n">
        <v>0.12</v>
      </c>
      <c r="O703" s="61" t="n">
        <v>0</v>
      </c>
      <c r="P703" s="62" t="n">
        <v>278.3</v>
      </c>
      <c r="Q703" s="0" t="n">
        <v>0</v>
      </c>
      <c r="R703" s="60" t="n">
        <f aca="false">G703+H703+I703</f>
        <v>0.42</v>
      </c>
      <c r="S703" s="60" t="n">
        <f aca="false">K703+L703+M703+N703+O703</f>
        <v>0.73</v>
      </c>
      <c r="T703" s="60" t="n">
        <f aca="false">L703+M703</f>
        <v>0.01</v>
      </c>
      <c r="U703" s="60" t="n">
        <f aca="false">S703+J703</f>
        <v>0.73</v>
      </c>
      <c r="V703" s="63" t="n">
        <f aca="false">IFERROR(S703/F703,0)</f>
        <v>0.634782608695652</v>
      </c>
      <c r="W703" s="63" t="n">
        <f aca="false">IFERROR(R703/F703,0)</f>
        <v>0.365217391304348</v>
      </c>
      <c r="X703" s="63" t="n">
        <f aca="false">IFERROR(T703/F703,0)</f>
        <v>0.00869565217391304</v>
      </c>
      <c r="Y703" s="63" t="n">
        <f aca="false">IFERROR(G703/F703,0)</f>
        <v>0</v>
      </c>
      <c r="Z703" s="59" t="n">
        <f aca="false">IF(E703&gt;0,F703*1000000000/E703,"")</f>
        <v>1244.38673375534</v>
      </c>
      <c r="AA703" s="63" t="n">
        <f aca="false">IFERROR((R703+S703+J703)/F703,0)</f>
        <v>1</v>
      </c>
      <c r="AB703" s="0" t="str">
        <f aca="false">A703&amp;"|"&amp;D703</f>
        <v>Fiji|2023</v>
      </c>
    </row>
    <row r="704" customFormat="false" ht="15" hidden="false" customHeight="false" outlineLevel="0" collapsed="false">
      <c r="A704" s="0" t="s">
        <v>247</v>
      </c>
      <c r="B704" s="0" t="s">
        <v>485</v>
      </c>
      <c r="C704" s="0" t="s">
        <v>127</v>
      </c>
      <c r="D704" s="0" t="n">
        <v>2024</v>
      </c>
      <c r="E704" s="59" t="n">
        <v>928800</v>
      </c>
      <c r="F704" s="60" t="n">
        <v>1.15</v>
      </c>
      <c r="G704" s="61" t="n">
        <v>0</v>
      </c>
      <c r="H704" s="61" t="n">
        <v>0</v>
      </c>
      <c r="I704" s="61" t="n">
        <v>0.42</v>
      </c>
      <c r="J704" s="61" t="n">
        <v>0</v>
      </c>
      <c r="K704" s="61" t="n">
        <v>0.6</v>
      </c>
      <c r="L704" s="61" t="n">
        <v>0.01</v>
      </c>
      <c r="M704" s="61" t="n">
        <v>0</v>
      </c>
      <c r="N704" s="61" t="n">
        <v>0.12</v>
      </c>
      <c r="O704" s="61" t="n">
        <v>0</v>
      </c>
      <c r="P704" s="62" t="n">
        <v>278.3</v>
      </c>
      <c r="Q704" s="0" t="n">
        <v>0</v>
      </c>
      <c r="R704" s="60" t="n">
        <f aca="false">G704+H704+I704</f>
        <v>0.42</v>
      </c>
      <c r="S704" s="60" t="n">
        <f aca="false">K704+L704+M704+N704+O704</f>
        <v>0.73</v>
      </c>
      <c r="T704" s="60" t="n">
        <f aca="false">L704+M704</f>
        <v>0.01</v>
      </c>
      <c r="U704" s="60" t="n">
        <f aca="false">S704+J704</f>
        <v>0.73</v>
      </c>
      <c r="V704" s="63" t="n">
        <f aca="false">IFERROR(S704/F704,0)</f>
        <v>0.634782608695652</v>
      </c>
      <c r="W704" s="63" t="n">
        <f aca="false">IFERROR(R704/F704,0)</f>
        <v>0.365217391304348</v>
      </c>
      <c r="X704" s="63" t="n">
        <f aca="false">IFERROR(T704/F704,0)</f>
        <v>0.00869565217391304</v>
      </c>
      <c r="Y704" s="63" t="n">
        <f aca="false">IFERROR(G704/F704,0)</f>
        <v>0</v>
      </c>
      <c r="Z704" s="59" t="n">
        <f aca="false">IF(E704&gt;0,F704*1000000000/E704,"")</f>
        <v>1238.15676141258</v>
      </c>
      <c r="AA704" s="63" t="n">
        <f aca="false">IFERROR((R704+S704+J704)/F704,0)</f>
        <v>1</v>
      </c>
      <c r="AB704" s="0" t="str">
        <f aca="false">A704&amp;"|"&amp;D704</f>
        <v>Fiji|2024</v>
      </c>
    </row>
    <row r="705" customFormat="false" ht="15" hidden="false" customHeight="false" outlineLevel="0" collapsed="false">
      <c r="A705" s="0" t="s">
        <v>248</v>
      </c>
      <c r="B705" s="0" t="s">
        <v>486</v>
      </c>
      <c r="C705" s="0" t="s">
        <v>127</v>
      </c>
      <c r="D705" s="0" t="n">
        <v>2015</v>
      </c>
      <c r="E705" s="59" t="n">
        <v>5479719</v>
      </c>
      <c r="F705" s="60" t="n">
        <v>68.61</v>
      </c>
      <c r="G705" s="61" t="n">
        <v>5.12</v>
      </c>
      <c r="H705" s="61" t="n">
        <v>5.2</v>
      </c>
      <c r="I705" s="61" t="n">
        <v>4.51</v>
      </c>
      <c r="J705" s="61" t="n">
        <v>23.25</v>
      </c>
      <c r="K705" s="61" t="n">
        <v>16.77</v>
      </c>
      <c r="L705" s="61" t="n">
        <v>0.01</v>
      </c>
      <c r="M705" s="61" t="n">
        <v>2.33</v>
      </c>
      <c r="N705" s="61" t="n">
        <v>11.42</v>
      </c>
      <c r="O705" s="61" t="n">
        <v>0</v>
      </c>
      <c r="P705" s="62" t="n">
        <v>182</v>
      </c>
      <c r="Q705" s="0" t="n">
        <v>0</v>
      </c>
      <c r="R705" s="60" t="n">
        <f aca="false">G705+H705+I705</f>
        <v>14.83</v>
      </c>
      <c r="S705" s="60" t="n">
        <f aca="false">K705+L705+M705+N705+O705</f>
        <v>30.53</v>
      </c>
      <c r="T705" s="60" t="n">
        <f aca="false">L705+M705</f>
        <v>2.34</v>
      </c>
      <c r="U705" s="60" t="n">
        <f aca="false">S705+J705</f>
        <v>53.78</v>
      </c>
      <c r="V705" s="63" t="n">
        <f aca="false">IFERROR(S705/F705,0)</f>
        <v>0.444978866054511</v>
      </c>
      <c r="W705" s="63" t="n">
        <f aca="false">IFERROR(R705/F705,0)</f>
        <v>0.216149249380557</v>
      </c>
      <c r="X705" s="63" t="n">
        <f aca="false">IFERROR(T705/F705,0)</f>
        <v>0.0341058154787932</v>
      </c>
      <c r="Y705" s="63" t="n">
        <f aca="false">IFERROR(G705/F705,0)</f>
        <v>0.0746246902783851</v>
      </c>
      <c r="Z705" s="59" t="n">
        <f aca="false">IF(E705&gt;0,F705*1000000000/E705,"")</f>
        <v>12520.7150220659</v>
      </c>
      <c r="AA705" s="63" t="n">
        <f aca="false">IFERROR((R705+S705+J705)/F705,0)</f>
        <v>1</v>
      </c>
      <c r="AB705" s="0" t="str">
        <f aca="false">A705&amp;"|"&amp;D705</f>
        <v>Finland|2015</v>
      </c>
    </row>
    <row r="706" customFormat="false" ht="15" hidden="false" customHeight="false" outlineLevel="0" collapsed="false">
      <c r="A706" s="0" t="s">
        <v>248</v>
      </c>
      <c r="B706" s="0" t="s">
        <v>486</v>
      </c>
      <c r="C706" s="0" t="s">
        <v>127</v>
      </c>
      <c r="D706" s="0" t="n">
        <v>2016</v>
      </c>
      <c r="E706" s="59" t="n">
        <v>5495468</v>
      </c>
      <c r="F706" s="60" t="n">
        <v>68.75</v>
      </c>
      <c r="G706" s="61" t="n">
        <v>6.97</v>
      </c>
      <c r="H706" s="61" t="n">
        <v>3.74</v>
      </c>
      <c r="I706" s="61" t="n">
        <v>4.43</v>
      </c>
      <c r="J706" s="61" t="n">
        <v>23.2</v>
      </c>
      <c r="K706" s="61" t="n">
        <v>15.8</v>
      </c>
      <c r="L706" s="61" t="n">
        <v>0.02</v>
      </c>
      <c r="M706" s="61" t="n">
        <v>3.07</v>
      </c>
      <c r="N706" s="61" t="n">
        <v>11.52</v>
      </c>
      <c r="O706" s="61" t="n">
        <v>0</v>
      </c>
      <c r="P706" s="62" t="n">
        <v>199.6</v>
      </c>
      <c r="Q706" s="0" t="n">
        <v>0</v>
      </c>
      <c r="R706" s="60" t="n">
        <f aca="false">G706+H706+I706</f>
        <v>15.14</v>
      </c>
      <c r="S706" s="60" t="n">
        <f aca="false">K706+L706+M706+N706+O706</f>
        <v>30.41</v>
      </c>
      <c r="T706" s="60" t="n">
        <f aca="false">L706+M706</f>
        <v>3.09</v>
      </c>
      <c r="U706" s="60" t="n">
        <f aca="false">S706+J706</f>
        <v>53.61</v>
      </c>
      <c r="V706" s="63" t="n">
        <f aca="false">IFERROR(S706/F706,0)</f>
        <v>0.442327272727273</v>
      </c>
      <c r="W706" s="63" t="n">
        <f aca="false">IFERROR(R706/F706,0)</f>
        <v>0.220218181818182</v>
      </c>
      <c r="X706" s="63" t="n">
        <f aca="false">IFERROR(T706/F706,0)</f>
        <v>0.0449454545454545</v>
      </c>
      <c r="Y706" s="63" t="n">
        <f aca="false">IFERROR(G706/F706,0)</f>
        <v>0.101381818181818</v>
      </c>
      <c r="Z706" s="59" t="n">
        <f aca="false">IF(E706&gt;0,F706*1000000000/E706,"")</f>
        <v>12510.3084941992</v>
      </c>
      <c r="AA706" s="63" t="n">
        <f aca="false">IFERROR((R706+S706+J706)/F706,0)</f>
        <v>1</v>
      </c>
      <c r="AB706" s="0" t="str">
        <f aca="false">A706&amp;"|"&amp;D706</f>
        <v>Finland|2016</v>
      </c>
    </row>
    <row r="707" customFormat="false" ht="15" hidden="false" customHeight="false" outlineLevel="0" collapsed="false">
      <c r="A707" s="0" t="s">
        <v>248</v>
      </c>
      <c r="B707" s="0" t="s">
        <v>486</v>
      </c>
      <c r="C707" s="0" t="s">
        <v>127</v>
      </c>
      <c r="D707" s="0" t="n">
        <v>2017</v>
      </c>
      <c r="E707" s="59" t="n">
        <v>5508398</v>
      </c>
      <c r="F707" s="60" t="n">
        <v>67.52</v>
      </c>
      <c r="G707" s="61" t="n">
        <v>5.86</v>
      </c>
      <c r="H707" s="61" t="n">
        <v>3.3</v>
      </c>
      <c r="I707" s="61" t="n">
        <v>4.41</v>
      </c>
      <c r="J707" s="61" t="n">
        <v>22.48</v>
      </c>
      <c r="K707" s="61" t="n">
        <v>14.77</v>
      </c>
      <c r="L707" s="61" t="n">
        <v>0.05</v>
      </c>
      <c r="M707" s="61" t="n">
        <v>4.79</v>
      </c>
      <c r="N707" s="61" t="n">
        <v>11.86</v>
      </c>
      <c r="O707" s="61" t="n">
        <v>0</v>
      </c>
      <c r="P707" s="62" t="n">
        <v>186.2</v>
      </c>
      <c r="Q707" s="0" t="n">
        <v>0</v>
      </c>
      <c r="R707" s="60" t="n">
        <f aca="false">G707+H707+I707</f>
        <v>13.57</v>
      </c>
      <c r="S707" s="60" t="n">
        <f aca="false">K707+L707+M707+N707+O707</f>
        <v>31.47</v>
      </c>
      <c r="T707" s="60" t="n">
        <f aca="false">L707+M707</f>
        <v>4.84</v>
      </c>
      <c r="U707" s="60" t="n">
        <f aca="false">S707+J707</f>
        <v>53.95</v>
      </c>
      <c r="V707" s="63" t="n">
        <f aca="false">IFERROR(S707/F707,0)</f>
        <v>0.466084123222749</v>
      </c>
      <c r="W707" s="63" t="n">
        <f aca="false">IFERROR(R707/F707,0)</f>
        <v>0.200977488151659</v>
      </c>
      <c r="X707" s="63" t="n">
        <f aca="false">IFERROR(T707/F707,0)</f>
        <v>0.0716824644549763</v>
      </c>
      <c r="Y707" s="63" t="n">
        <f aca="false">IFERROR(G707/F707,0)</f>
        <v>0.0867890995260664</v>
      </c>
      <c r="Z707" s="59" t="n">
        <f aca="false">IF(E707&gt;0,F707*1000000000/E707,"")</f>
        <v>12257.6473232326</v>
      </c>
      <c r="AA707" s="63" t="n">
        <f aca="false">IFERROR((R707+S707+J707)/F707,0)</f>
        <v>1</v>
      </c>
      <c r="AB707" s="0" t="str">
        <f aca="false">A707&amp;"|"&amp;D707</f>
        <v>Finland|2017</v>
      </c>
    </row>
    <row r="708" customFormat="false" ht="15" hidden="false" customHeight="false" outlineLevel="0" collapsed="false">
      <c r="A708" s="0" t="s">
        <v>248</v>
      </c>
      <c r="B708" s="0" t="s">
        <v>486</v>
      </c>
      <c r="C708" s="0" t="s">
        <v>127</v>
      </c>
      <c r="D708" s="0" t="n">
        <v>2018</v>
      </c>
      <c r="E708" s="59" t="n">
        <v>5515730</v>
      </c>
      <c r="F708" s="60" t="n">
        <v>70.23</v>
      </c>
      <c r="G708" s="61" t="n">
        <v>5.79</v>
      </c>
      <c r="H708" s="61" t="n">
        <v>4.2</v>
      </c>
      <c r="I708" s="61" t="n">
        <v>5.31</v>
      </c>
      <c r="J708" s="61" t="n">
        <v>22.79</v>
      </c>
      <c r="K708" s="61" t="n">
        <v>13.3</v>
      </c>
      <c r="L708" s="61" t="n">
        <v>0.09</v>
      </c>
      <c r="M708" s="61" t="n">
        <v>5.84</v>
      </c>
      <c r="N708" s="61" t="n">
        <v>12.91</v>
      </c>
      <c r="O708" s="61" t="n">
        <v>0</v>
      </c>
      <c r="P708" s="62" t="n">
        <v>193.4</v>
      </c>
      <c r="Q708" s="0" t="n">
        <v>0</v>
      </c>
      <c r="R708" s="60" t="n">
        <f aca="false">G708+H708+I708</f>
        <v>15.3</v>
      </c>
      <c r="S708" s="60" t="n">
        <f aca="false">K708+L708+M708+N708+O708</f>
        <v>32.14</v>
      </c>
      <c r="T708" s="60" t="n">
        <f aca="false">L708+M708</f>
        <v>5.93</v>
      </c>
      <c r="U708" s="60" t="n">
        <f aca="false">S708+J708</f>
        <v>54.93</v>
      </c>
      <c r="V708" s="63" t="n">
        <f aca="false">IFERROR(S708/F708,0)</f>
        <v>0.457639185533248</v>
      </c>
      <c r="W708" s="63" t="n">
        <f aca="false">IFERROR(R708/F708,0)</f>
        <v>0.217855617257582</v>
      </c>
      <c r="X708" s="63" t="n">
        <f aca="false">IFERROR(T708/F708,0)</f>
        <v>0.0844368503488538</v>
      </c>
      <c r="Y708" s="63" t="n">
        <f aca="false">IFERROR(G708/F708,0)</f>
        <v>0.0824434002563007</v>
      </c>
      <c r="Z708" s="59" t="n">
        <f aca="false">IF(E708&gt;0,F708*1000000000/E708,"")</f>
        <v>12732.6754572831</v>
      </c>
      <c r="AA708" s="63" t="n">
        <f aca="false">IFERROR((R708+S708+J708)/F708,0)</f>
        <v>1</v>
      </c>
      <c r="AB708" s="0" t="str">
        <f aca="false">A708&amp;"|"&amp;D708</f>
        <v>Finland|2018</v>
      </c>
    </row>
    <row r="709" customFormat="false" ht="15" hidden="false" customHeight="false" outlineLevel="0" collapsed="false">
      <c r="A709" s="0" t="s">
        <v>248</v>
      </c>
      <c r="B709" s="0" t="s">
        <v>486</v>
      </c>
      <c r="C709" s="0" t="s">
        <v>127</v>
      </c>
      <c r="D709" s="0" t="n">
        <v>2019</v>
      </c>
      <c r="E709" s="59" t="n">
        <v>5521754</v>
      </c>
      <c r="F709" s="60" t="n">
        <v>68.61</v>
      </c>
      <c r="G709" s="61" t="n">
        <v>4.36</v>
      </c>
      <c r="H709" s="61" t="n">
        <v>3.85</v>
      </c>
      <c r="I709" s="61" t="n">
        <v>4.65</v>
      </c>
      <c r="J709" s="61" t="n">
        <v>23.87</v>
      </c>
      <c r="K709" s="61" t="n">
        <v>12.42</v>
      </c>
      <c r="L709" s="61" t="n">
        <v>0.15</v>
      </c>
      <c r="M709" s="61" t="n">
        <v>6.02</v>
      </c>
      <c r="N709" s="61" t="n">
        <v>13.29</v>
      </c>
      <c r="O709" s="61" t="n">
        <v>0</v>
      </c>
      <c r="P709" s="62" t="n">
        <v>171.6</v>
      </c>
      <c r="Q709" s="0" t="n">
        <v>0</v>
      </c>
      <c r="R709" s="60" t="n">
        <f aca="false">G709+H709+I709</f>
        <v>12.86</v>
      </c>
      <c r="S709" s="60" t="n">
        <f aca="false">K709+L709+M709+N709+O709</f>
        <v>31.88</v>
      </c>
      <c r="T709" s="60" t="n">
        <f aca="false">L709+M709</f>
        <v>6.17</v>
      </c>
      <c r="U709" s="60" t="n">
        <f aca="false">S709+J709</f>
        <v>55.75</v>
      </c>
      <c r="V709" s="63" t="n">
        <f aca="false">IFERROR(S709/F709,0)</f>
        <v>0.464655298061507</v>
      </c>
      <c r="W709" s="63" t="n">
        <f aca="false">IFERROR(R709/F709,0)</f>
        <v>0.187436233785163</v>
      </c>
      <c r="X709" s="63" t="n">
        <f aca="false">IFERROR(T709/F709,0)</f>
        <v>0.089928581839382</v>
      </c>
      <c r="Y709" s="63" t="n">
        <f aca="false">IFERROR(G709/F709,0)</f>
        <v>0.0635475878151873</v>
      </c>
      <c r="Z709" s="59" t="n">
        <f aca="false">IF(E709&gt;0,F709*1000000000/E709,"")</f>
        <v>12425.3996103412</v>
      </c>
      <c r="AA709" s="63" t="n">
        <f aca="false">IFERROR((R709+S709+J709)/F709,0)</f>
        <v>1</v>
      </c>
      <c r="AB709" s="0" t="str">
        <f aca="false">A709&amp;"|"&amp;D709</f>
        <v>Finland|2019</v>
      </c>
    </row>
    <row r="710" customFormat="false" ht="15" hidden="false" customHeight="false" outlineLevel="0" collapsed="false">
      <c r="A710" s="0" t="s">
        <v>248</v>
      </c>
      <c r="B710" s="0" t="s">
        <v>486</v>
      </c>
      <c r="C710" s="0" t="s">
        <v>127</v>
      </c>
      <c r="D710" s="0" t="n">
        <v>2020</v>
      </c>
      <c r="E710" s="59" t="n">
        <v>5529616</v>
      </c>
      <c r="F710" s="60" t="n">
        <v>69.24</v>
      </c>
      <c r="G710" s="61" t="n">
        <v>2.44</v>
      </c>
      <c r="H710" s="61" t="n">
        <v>3.99</v>
      </c>
      <c r="I710" s="61" t="n">
        <v>3.59</v>
      </c>
      <c r="J710" s="61" t="n">
        <v>23.29</v>
      </c>
      <c r="K710" s="61" t="n">
        <v>15.88</v>
      </c>
      <c r="L710" s="61" t="n">
        <v>0.22</v>
      </c>
      <c r="M710" s="61" t="n">
        <v>8.26</v>
      </c>
      <c r="N710" s="61" t="n">
        <v>11.57</v>
      </c>
      <c r="O710" s="61" t="n">
        <v>0</v>
      </c>
      <c r="P710" s="62" t="n">
        <v>130.3</v>
      </c>
      <c r="Q710" s="0" t="n">
        <v>0</v>
      </c>
      <c r="R710" s="60" t="n">
        <f aca="false">G710+H710+I710</f>
        <v>10.02</v>
      </c>
      <c r="S710" s="60" t="n">
        <f aca="false">K710+L710+M710+N710+O710</f>
        <v>35.93</v>
      </c>
      <c r="T710" s="60" t="n">
        <f aca="false">L710+M710</f>
        <v>8.48</v>
      </c>
      <c r="U710" s="60" t="n">
        <f aca="false">S710+J710</f>
        <v>59.22</v>
      </c>
      <c r="V710" s="63" t="n">
        <f aca="false">IFERROR(S710/F710,0)</f>
        <v>0.51891969959561</v>
      </c>
      <c r="W710" s="63" t="n">
        <f aca="false">IFERROR(R710/F710,0)</f>
        <v>0.14471403812825</v>
      </c>
      <c r="X710" s="63" t="n">
        <f aca="false">IFERROR(T710/F710,0)</f>
        <v>0.122472559214327</v>
      </c>
      <c r="Y710" s="63" t="n">
        <f aca="false">IFERROR(G710/F710,0)</f>
        <v>0.0352397458116696</v>
      </c>
      <c r="Z710" s="59" t="n">
        <f aca="false">IF(E710&gt;0,F710*1000000000/E710,"")</f>
        <v>12521.6651572189</v>
      </c>
      <c r="AA710" s="63" t="n">
        <f aca="false">IFERROR((R710+S710+J710)/F710,0)</f>
        <v>1</v>
      </c>
      <c r="AB710" s="0" t="str">
        <f aca="false">A710&amp;"|"&amp;D710</f>
        <v>Finland|2020</v>
      </c>
    </row>
    <row r="711" customFormat="false" ht="15" hidden="false" customHeight="false" outlineLevel="0" collapsed="false">
      <c r="A711" s="0" t="s">
        <v>248</v>
      </c>
      <c r="B711" s="0" t="s">
        <v>486</v>
      </c>
      <c r="C711" s="0" t="s">
        <v>127</v>
      </c>
      <c r="D711" s="0" t="n">
        <v>2021</v>
      </c>
      <c r="E711" s="59" t="n">
        <v>5541069</v>
      </c>
      <c r="F711" s="60" t="n">
        <v>72.11</v>
      </c>
      <c r="G711" s="61" t="n">
        <v>2.67</v>
      </c>
      <c r="H711" s="61" t="n">
        <v>3.83</v>
      </c>
      <c r="I711" s="61" t="n">
        <v>3.83</v>
      </c>
      <c r="J711" s="61" t="n">
        <v>23.6</v>
      </c>
      <c r="K711" s="61" t="n">
        <v>15.79</v>
      </c>
      <c r="L711" s="61" t="n">
        <v>0.3</v>
      </c>
      <c r="M711" s="61" t="n">
        <v>8.51</v>
      </c>
      <c r="N711" s="61" t="n">
        <v>13.58</v>
      </c>
      <c r="O711" s="61" t="n">
        <v>0</v>
      </c>
      <c r="P711" s="62" t="n">
        <v>135.6</v>
      </c>
      <c r="Q711" s="0" t="n">
        <v>0</v>
      </c>
      <c r="R711" s="60" t="n">
        <f aca="false">G711+H711+I711</f>
        <v>10.33</v>
      </c>
      <c r="S711" s="60" t="n">
        <f aca="false">K711+L711+M711+N711+O711</f>
        <v>38.18</v>
      </c>
      <c r="T711" s="60" t="n">
        <f aca="false">L711+M711</f>
        <v>8.81</v>
      </c>
      <c r="U711" s="60" t="n">
        <f aca="false">S711+J711</f>
        <v>61.78</v>
      </c>
      <c r="V711" s="63" t="n">
        <f aca="false">IFERROR(S711/F711,0)</f>
        <v>0.529468867008737</v>
      </c>
      <c r="W711" s="63" t="n">
        <f aca="false">IFERROR(R711/F711,0)</f>
        <v>0.143253362917765</v>
      </c>
      <c r="X711" s="63" t="n">
        <f aca="false">IFERROR(T711/F711,0)</f>
        <v>0.122174455692692</v>
      </c>
      <c r="Y711" s="63" t="n">
        <f aca="false">IFERROR(G711/F711,0)</f>
        <v>0.037026764665095</v>
      </c>
      <c r="Z711" s="59" t="n">
        <f aca="false">IF(E711&gt;0,F711*1000000000/E711,"")</f>
        <v>13013.7343534253</v>
      </c>
      <c r="AA711" s="63" t="n">
        <f aca="false">IFERROR((R711+S711+J711)/F711,0)</f>
        <v>1</v>
      </c>
      <c r="AB711" s="0" t="str">
        <f aca="false">A711&amp;"|"&amp;D711</f>
        <v>Finland|2021</v>
      </c>
    </row>
    <row r="712" customFormat="false" ht="15" hidden="false" customHeight="false" outlineLevel="0" collapsed="false">
      <c r="A712" s="0" t="s">
        <v>248</v>
      </c>
      <c r="B712" s="0" t="s">
        <v>486</v>
      </c>
      <c r="C712" s="0" t="s">
        <v>127</v>
      </c>
      <c r="D712" s="0" t="n">
        <v>2022</v>
      </c>
      <c r="E712" s="59" t="n">
        <v>5569300</v>
      </c>
      <c r="F712" s="60" t="n">
        <v>72.17</v>
      </c>
      <c r="G712" s="61" t="n">
        <v>3.44</v>
      </c>
      <c r="H712" s="61" t="n">
        <v>0.96</v>
      </c>
      <c r="I712" s="61" t="n">
        <v>3.77</v>
      </c>
      <c r="J712" s="61" t="n">
        <v>25.34</v>
      </c>
      <c r="K712" s="61" t="n">
        <v>13.49</v>
      </c>
      <c r="L712" s="61" t="n">
        <v>0.39</v>
      </c>
      <c r="M712" s="61" t="n">
        <v>12.02</v>
      </c>
      <c r="N712" s="61" t="n">
        <v>12.76</v>
      </c>
      <c r="O712" s="61" t="n">
        <v>0</v>
      </c>
      <c r="P712" s="62" t="n">
        <v>130</v>
      </c>
      <c r="Q712" s="0" t="n">
        <v>0</v>
      </c>
      <c r="R712" s="60" t="n">
        <f aca="false">G712+H712+I712</f>
        <v>8.17</v>
      </c>
      <c r="S712" s="60" t="n">
        <f aca="false">K712+L712+M712+N712+O712</f>
        <v>38.66</v>
      </c>
      <c r="T712" s="60" t="n">
        <f aca="false">L712+M712</f>
        <v>12.41</v>
      </c>
      <c r="U712" s="60" t="n">
        <f aca="false">S712+J712</f>
        <v>64</v>
      </c>
      <c r="V712" s="63" t="n">
        <f aca="false">IFERROR(S712/F712,0)</f>
        <v>0.535679645281973</v>
      </c>
      <c r="W712" s="63" t="n">
        <f aca="false">IFERROR(R712/F712,0)</f>
        <v>0.113204932797561</v>
      </c>
      <c r="X712" s="63" t="n">
        <f aca="false">IFERROR(T712/F712,0)</f>
        <v>0.171955105999723</v>
      </c>
      <c r="Y712" s="63" t="n">
        <f aca="false">IFERROR(G712/F712,0)</f>
        <v>0.0476652348621311</v>
      </c>
      <c r="Z712" s="59" t="n">
        <f aca="false">IF(E712&gt;0,F712*1000000000/E712,"")</f>
        <v>12958.5405706283</v>
      </c>
      <c r="AA712" s="63" t="n">
        <f aca="false">IFERROR((R712+S712+J712)/F712,0)</f>
        <v>1</v>
      </c>
      <c r="AB712" s="0" t="str">
        <f aca="false">A712&amp;"|"&amp;D712</f>
        <v>Finland|2022</v>
      </c>
    </row>
    <row r="713" customFormat="false" ht="15" hidden="false" customHeight="false" outlineLevel="0" collapsed="false">
      <c r="A713" s="0" t="s">
        <v>248</v>
      </c>
      <c r="B713" s="0" t="s">
        <v>486</v>
      </c>
      <c r="C713" s="0" t="s">
        <v>127</v>
      </c>
      <c r="D713" s="0" t="n">
        <v>2023</v>
      </c>
      <c r="E713" s="59" t="n">
        <v>5601185</v>
      </c>
      <c r="F713" s="60" t="n">
        <v>81.52</v>
      </c>
      <c r="G713" s="61" t="n">
        <v>1.56</v>
      </c>
      <c r="H713" s="61" t="n">
        <v>0.66</v>
      </c>
      <c r="I713" s="61" t="n">
        <v>2.69</v>
      </c>
      <c r="J713" s="61" t="n">
        <v>34.31</v>
      </c>
      <c r="K713" s="61" t="n">
        <v>15.2</v>
      </c>
      <c r="L713" s="61" t="n">
        <v>0.72</v>
      </c>
      <c r="M713" s="61" t="n">
        <v>15.04</v>
      </c>
      <c r="N713" s="61" t="n">
        <v>11.34</v>
      </c>
      <c r="O713" s="61" t="n">
        <v>0</v>
      </c>
      <c r="P713" s="62" t="n">
        <v>81.2</v>
      </c>
      <c r="Q713" s="0" t="n">
        <v>0</v>
      </c>
      <c r="R713" s="60" t="n">
        <f aca="false">G713+H713+I713</f>
        <v>4.91</v>
      </c>
      <c r="S713" s="60" t="n">
        <f aca="false">K713+L713+M713+N713+O713</f>
        <v>42.3</v>
      </c>
      <c r="T713" s="60" t="n">
        <f aca="false">L713+M713</f>
        <v>15.76</v>
      </c>
      <c r="U713" s="60" t="n">
        <f aca="false">S713+J713</f>
        <v>76.61</v>
      </c>
      <c r="V713" s="63" t="n">
        <f aca="false">IFERROR(S713/F713,0)</f>
        <v>0.518891069676153</v>
      </c>
      <c r="W713" s="63" t="n">
        <f aca="false">IFERROR(R713/F713,0)</f>
        <v>0.0602306182531894</v>
      </c>
      <c r="X713" s="63" t="n">
        <f aca="false">IFERROR(T713/F713,0)</f>
        <v>0.193326790971541</v>
      </c>
      <c r="Y713" s="63" t="n">
        <f aca="false">IFERROR(G713/F713,0)</f>
        <v>0.0191364082433759</v>
      </c>
      <c r="Z713" s="59" t="n">
        <f aca="false">IF(E713&gt;0,F713*1000000000/E713,"")</f>
        <v>14554.0631134305</v>
      </c>
      <c r="AA713" s="63" t="n">
        <f aca="false">IFERROR((R713+S713+J713)/F713,0)</f>
        <v>1</v>
      </c>
      <c r="AB713" s="0" t="str">
        <f aca="false">A713&amp;"|"&amp;D713</f>
        <v>Finland|2023</v>
      </c>
    </row>
    <row r="714" customFormat="false" ht="15" hidden="false" customHeight="false" outlineLevel="0" collapsed="false">
      <c r="A714" s="0" t="s">
        <v>248</v>
      </c>
      <c r="B714" s="0" t="s">
        <v>486</v>
      </c>
      <c r="C714" s="0" t="s">
        <v>127</v>
      </c>
      <c r="D714" s="0" t="n">
        <v>2024</v>
      </c>
      <c r="E714" s="59" t="n">
        <v>5617311</v>
      </c>
      <c r="F714" s="60" t="n">
        <v>82.55</v>
      </c>
      <c r="G714" s="61" t="n">
        <v>0.83</v>
      </c>
      <c r="H714" s="61" t="n">
        <v>0.82</v>
      </c>
      <c r="I714" s="61" t="n">
        <v>2.19</v>
      </c>
      <c r="J714" s="61" t="n">
        <v>32.6</v>
      </c>
      <c r="K714" s="61" t="n">
        <v>14.3</v>
      </c>
      <c r="L714" s="61" t="n">
        <v>0.94</v>
      </c>
      <c r="M714" s="61" t="n">
        <v>20.48</v>
      </c>
      <c r="N714" s="61" t="n">
        <v>10.39</v>
      </c>
      <c r="O714" s="61" t="n">
        <v>0</v>
      </c>
      <c r="P714" s="62" t="n">
        <v>66.6</v>
      </c>
      <c r="Q714" s="0" t="n">
        <v>0</v>
      </c>
      <c r="R714" s="60" t="n">
        <f aca="false">G714+H714+I714</f>
        <v>3.84</v>
      </c>
      <c r="S714" s="60" t="n">
        <f aca="false">K714+L714+M714+N714+O714</f>
        <v>46.11</v>
      </c>
      <c r="T714" s="60" t="n">
        <f aca="false">L714+M714</f>
        <v>21.42</v>
      </c>
      <c r="U714" s="60" t="n">
        <f aca="false">S714+J714</f>
        <v>78.71</v>
      </c>
      <c r="V714" s="63" t="n">
        <f aca="false">IFERROR(S714/F714,0)</f>
        <v>0.558570563294973</v>
      </c>
      <c r="W714" s="63" t="n">
        <f aca="false">IFERROR(R714/F714,0)</f>
        <v>0.0465172622652938</v>
      </c>
      <c r="X714" s="63" t="n">
        <f aca="false">IFERROR(T714/F714,0)</f>
        <v>0.259479103573592</v>
      </c>
      <c r="Y714" s="63" t="n">
        <f aca="false">IFERROR(G714/F714,0)</f>
        <v>0.0100545124167171</v>
      </c>
      <c r="Z714" s="59" t="n">
        <f aca="false">IF(E714&gt;0,F714*1000000000/E714,"")</f>
        <v>14695.6435205386</v>
      </c>
      <c r="AA714" s="63" t="n">
        <f aca="false">IFERROR((R714+S714+J714)/F714,0)</f>
        <v>1</v>
      </c>
      <c r="AB714" s="0" t="str">
        <f aca="false">A714&amp;"|"&amp;D714</f>
        <v>Finland|2024</v>
      </c>
    </row>
    <row r="715" customFormat="false" ht="15" hidden="false" customHeight="false" outlineLevel="0" collapsed="false">
      <c r="A715" s="0" t="s">
        <v>248</v>
      </c>
      <c r="B715" s="0" t="s">
        <v>486</v>
      </c>
      <c r="C715" s="0" t="s">
        <v>127</v>
      </c>
      <c r="D715" s="0" t="n">
        <v>2025</v>
      </c>
      <c r="E715" s="59" t="n">
        <v>5623328</v>
      </c>
      <c r="F715" s="60" t="n">
        <v>82.3</v>
      </c>
      <c r="G715" s="61" t="n">
        <v>0.16</v>
      </c>
      <c r="H715" s="61" t="n">
        <v>0.95</v>
      </c>
      <c r="I715" s="61" t="n">
        <v>1.9</v>
      </c>
      <c r="J715" s="61" t="n">
        <v>32.82</v>
      </c>
      <c r="K715" s="61" t="n">
        <v>12.44</v>
      </c>
      <c r="L715" s="61" t="n">
        <v>0.98</v>
      </c>
      <c r="M715" s="61" t="n">
        <v>22.58</v>
      </c>
      <c r="N715" s="61" t="n">
        <v>10.34</v>
      </c>
      <c r="O715" s="61" t="n">
        <v>0.13</v>
      </c>
      <c r="P715" s="62" t="n">
        <v>57.5</v>
      </c>
      <c r="Q715" s="0" t="n">
        <v>0</v>
      </c>
      <c r="R715" s="60" t="n">
        <f aca="false">G715+H715+I715</f>
        <v>3.01</v>
      </c>
      <c r="S715" s="60" t="n">
        <f aca="false">K715+L715+M715+N715+O715</f>
        <v>46.47</v>
      </c>
      <c r="T715" s="60" t="n">
        <f aca="false">L715+M715</f>
        <v>23.56</v>
      </c>
      <c r="U715" s="60" t="n">
        <f aca="false">S715+J715</f>
        <v>79.29</v>
      </c>
      <c r="V715" s="63" t="n">
        <f aca="false">IFERROR(S715/F715,0)</f>
        <v>0.564641555285541</v>
      </c>
      <c r="W715" s="63" t="n">
        <f aca="false">IFERROR(R715/F715,0)</f>
        <v>0.0365735115431349</v>
      </c>
      <c r="X715" s="63" t="n">
        <f aca="false">IFERROR(T715/F715,0)</f>
        <v>0.286269744835966</v>
      </c>
      <c r="Y715" s="63" t="n">
        <f aca="false">IFERROR(G715/F715,0)</f>
        <v>0.00194410692588092</v>
      </c>
      <c r="Z715" s="59" t="n">
        <f aca="false">IF(E715&gt;0,F715*1000000000/E715,"")</f>
        <v>14635.4614207103</v>
      </c>
      <c r="AA715" s="63" t="n">
        <f aca="false">IFERROR((R715+S715+J715)/F715,0)</f>
        <v>1</v>
      </c>
      <c r="AB715" s="0" t="str">
        <f aca="false">A715&amp;"|"&amp;D715</f>
        <v>Finland|2025</v>
      </c>
    </row>
    <row r="716" customFormat="false" ht="15" hidden="false" customHeight="false" outlineLevel="0" collapsed="false">
      <c r="A716" s="0" t="s">
        <v>249</v>
      </c>
      <c r="B716" s="0" t="s">
        <v>487</v>
      </c>
      <c r="C716" s="0" t="s">
        <v>127</v>
      </c>
      <c r="D716" s="0" t="n">
        <v>2015</v>
      </c>
      <c r="E716" s="59" t="n">
        <v>64916337</v>
      </c>
      <c r="F716" s="60" t="n">
        <v>574.14</v>
      </c>
      <c r="G716" s="61" t="n">
        <v>11.89</v>
      </c>
      <c r="H716" s="61" t="n">
        <v>21.14</v>
      </c>
      <c r="I716" s="61" t="n">
        <v>11.84</v>
      </c>
      <c r="J716" s="61" t="n">
        <v>437.43</v>
      </c>
      <c r="K716" s="61" t="n">
        <v>55.56</v>
      </c>
      <c r="L716" s="61" t="n">
        <v>7.75</v>
      </c>
      <c r="M716" s="61" t="n">
        <v>21.42</v>
      </c>
      <c r="N716" s="61" t="n">
        <v>6.53</v>
      </c>
      <c r="O716" s="61" t="n">
        <v>0.58</v>
      </c>
      <c r="P716" s="62" t="n">
        <v>59.2</v>
      </c>
      <c r="Q716" s="0" t="n">
        <v>0</v>
      </c>
      <c r="R716" s="60" t="n">
        <f aca="false">G716+H716+I716</f>
        <v>44.87</v>
      </c>
      <c r="S716" s="60" t="n">
        <f aca="false">K716+L716+M716+N716+O716</f>
        <v>91.84</v>
      </c>
      <c r="T716" s="60" t="n">
        <f aca="false">L716+M716</f>
        <v>29.17</v>
      </c>
      <c r="U716" s="60" t="n">
        <f aca="false">S716+J716</f>
        <v>529.27</v>
      </c>
      <c r="V716" s="63" t="n">
        <f aca="false">IFERROR(S716/F716,0)</f>
        <v>0.159960985125579</v>
      </c>
      <c r="W716" s="63" t="n">
        <f aca="false">IFERROR(R716/F716,0)</f>
        <v>0.0781516703243112</v>
      </c>
      <c r="X716" s="63" t="n">
        <f aca="false">IFERROR(T716/F716,0)</f>
        <v>0.0508064235203957</v>
      </c>
      <c r="Y716" s="63" t="n">
        <f aca="false">IFERROR(G716/F716,0)</f>
        <v>0.0207092346814366</v>
      </c>
      <c r="Z716" s="59" t="n">
        <f aca="false">IF(E716&gt;0,F716*1000000000/E716,"")</f>
        <v>8844.30678828967</v>
      </c>
      <c r="AA716" s="63" t="n">
        <f aca="false">IFERROR((R716+S716+J716)/F716,0)</f>
        <v>1</v>
      </c>
      <c r="AB716" s="0" t="str">
        <f aca="false">A716&amp;"|"&amp;D716</f>
        <v>France|2015</v>
      </c>
    </row>
    <row r="717" customFormat="false" ht="15" hidden="false" customHeight="false" outlineLevel="0" collapsed="false">
      <c r="A717" s="0" t="s">
        <v>249</v>
      </c>
      <c r="B717" s="0" t="s">
        <v>487</v>
      </c>
      <c r="C717" s="0" t="s">
        <v>127</v>
      </c>
      <c r="D717" s="0" t="n">
        <v>2016</v>
      </c>
      <c r="E717" s="59" t="n">
        <v>65086853</v>
      </c>
      <c r="F717" s="60" t="n">
        <v>558.84</v>
      </c>
      <c r="G717" s="61" t="n">
        <v>10.23</v>
      </c>
      <c r="H717" s="61" t="n">
        <v>34.97</v>
      </c>
      <c r="I717" s="61" t="n">
        <v>11.44</v>
      </c>
      <c r="J717" s="61" t="n">
        <v>403.2</v>
      </c>
      <c r="K717" s="61" t="n">
        <v>60.84</v>
      </c>
      <c r="L717" s="61" t="n">
        <v>8.66</v>
      </c>
      <c r="M717" s="61" t="n">
        <v>21.38</v>
      </c>
      <c r="N717" s="61" t="n">
        <v>7.52</v>
      </c>
      <c r="O717" s="61" t="n">
        <v>0.6</v>
      </c>
      <c r="P717" s="62" t="n">
        <v>68.6</v>
      </c>
      <c r="Q717" s="0" t="n">
        <v>0</v>
      </c>
      <c r="R717" s="60" t="n">
        <f aca="false">G717+H717+I717</f>
        <v>56.64</v>
      </c>
      <c r="S717" s="60" t="n">
        <f aca="false">K717+L717+M717+N717+O717</f>
        <v>99</v>
      </c>
      <c r="T717" s="60" t="n">
        <f aca="false">L717+M717</f>
        <v>30.04</v>
      </c>
      <c r="U717" s="60" t="n">
        <f aca="false">S717+J717</f>
        <v>502.2</v>
      </c>
      <c r="V717" s="63" t="n">
        <f aca="false">IFERROR(S717/F717,0)</f>
        <v>0.177152673394889</v>
      </c>
      <c r="W717" s="63" t="n">
        <f aca="false">IFERROR(R717/F717,0)</f>
        <v>0.101352802233197</v>
      </c>
      <c r="X717" s="63" t="n">
        <f aca="false">IFERROR(T717/F717,0)</f>
        <v>0.0537542051392169</v>
      </c>
      <c r="Y717" s="63" t="n">
        <f aca="false">IFERROR(G717/F717,0)</f>
        <v>0.0183057762508052</v>
      </c>
      <c r="Z717" s="59" t="n">
        <f aca="false">IF(E717&gt;0,F717*1000000000/E717,"")</f>
        <v>8586.06576046932</v>
      </c>
      <c r="AA717" s="63" t="n">
        <f aca="false">IFERROR((R717+S717+J717)/F717,0)</f>
        <v>1</v>
      </c>
      <c r="AB717" s="0" t="str">
        <f aca="false">A717&amp;"|"&amp;D717</f>
        <v>France|2016</v>
      </c>
    </row>
    <row r="718" customFormat="false" ht="15" hidden="false" customHeight="false" outlineLevel="0" collapsed="false">
      <c r="A718" s="0" t="s">
        <v>249</v>
      </c>
      <c r="B718" s="0" t="s">
        <v>487</v>
      </c>
      <c r="C718" s="0" t="s">
        <v>127</v>
      </c>
      <c r="D718" s="0" t="n">
        <v>2017</v>
      </c>
      <c r="E718" s="59" t="n">
        <v>65284775</v>
      </c>
      <c r="F718" s="60" t="n">
        <v>555.74</v>
      </c>
      <c r="G718" s="61" t="n">
        <v>12.81</v>
      </c>
      <c r="H718" s="61" t="n">
        <v>40.5</v>
      </c>
      <c r="I718" s="61" t="n">
        <v>12.16</v>
      </c>
      <c r="J718" s="61" t="n">
        <v>398.36</v>
      </c>
      <c r="K718" s="61" t="n">
        <v>50</v>
      </c>
      <c r="L718" s="61" t="n">
        <v>8.87</v>
      </c>
      <c r="M718" s="61" t="n">
        <v>24.61</v>
      </c>
      <c r="N718" s="61" t="n">
        <v>7.78</v>
      </c>
      <c r="O718" s="61" t="n">
        <v>0.65</v>
      </c>
      <c r="P718" s="62" t="n">
        <v>78.3</v>
      </c>
      <c r="Q718" s="0" t="n">
        <v>0</v>
      </c>
      <c r="R718" s="60" t="n">
        <f aca="false">G718+H718+I718</f>
        <v>65.47</v>
      </c>
      <c r="S718" s="60" t="n">
        <f aca="false">K718+L718+M718+N718+O718</f>
        <v>91.91</v>
      </c>
      <c r="T718" s="60" t="n">
        <f aca="false">L718+M718</f>
        <v>33.48</v>
      </c>
      <c r="U718" s="60" t="n">
        <f aca="false">S718+J718</f>
        <v>490.27</v>
      </c>
      <c r="V718" s="63" t="n">
        <f aca="false">IFERROR(S718/F718,0)</f>
        <v>0.165383092813186</v>
      </c>
      <c r="W718" s="63" t="n">
        <f aca="false">IFERROR(R718/F718,0)</f>
        <v>0.117806888113146</v>
      </c>
      <c r="X718" s="63" t="n">
        <f aca="false">IFERROR(T718/F718,0)</f>
        <v>0.0602439989923345</v>
      </c>
      <c r="Y718" s="63" t="n">
        <f aca="false">IFERROR(G718/F718,0)</f>
        <v>0.0230503472847015</v>
      </c>
      <c r="Z718" s="59" t="n">
        <f aca="false">IF(E718&gt;0,F718*1000000000/E718,"")</f>
        <v>8512.55135672904</v>
      </c>
      <c r="AA718" s="63" t="n">
        <f aca="false">IFERROR((R718+S718+J718)/F718,0)</f>
        <v>1</v>
      </c>
      <c r="AB718" s="0" t="str">
        <f aca="false">A718&amp;"|"&amp;D718</f>
        <v>France|2017</v>
      </c>
    </row>
    <row r="719" customFormat="false" ht="15" hidden="false" customHeight="false" outlineLevel="0" collapsed="false">
      <c r="A719" s="0" t="s">
        <v>249</v>
      </c>
      <c r="B719" s="0" t="s">
        <v>487</v>
      </c>
      <c r="C719" s="0" t="s">
        <v>127</v>
      </c>
      <c r="D719" s="0" t="n">
        <v>2018</v>
      </c>
      <c r="E719" s="59" t="n">
        <v>65519537</v>
      </c>
      <c r="F719" s="60" t="n">
        <v>576.24</v>
      </c>
      <c r="G719" s="61" t="n">
        <v>8.31</v>
      </c>
      <c r="H719" s="61" t="n">
        <v>30.55</v>
      </c>
      <c r="I719" s="61" t="n">
        <v>10.59</v>
      </c>
      <c r="J719" s="61" t="n">
        <v>412.94</v>
      </c>
      <c r="K719" s="61" t="n">
        <v>65.11</v>
      </c>
      <c r="L719" s="61" t="n">
        <v>11.15</v>
      </c>
      <c r="M719" s="61" t="n">
        <v>28.6</v>
      </c>
      <c r="N719" s="61" t="n">
        <v>8.38</v>
      </c>
      <c r="O719" s="61" t="n">
        <v>0.61</v>
      </c>
      <c r="P719" s="62" t="n">
        <v>59.9</v>
      </c>
      <c r="Q719" s="0" t="n">
        <v>0</v>
      </c>
      <c r="R719" s="60" t="n">
        <f aca="false">G719+H719+I719</f>
        <v>49.45</v>
      </c>
      <c r="S719" s="60" t="n">
        <f aca="false">K719+L719+M719+N719+O719</f>
        <v>113.85</v>
      </c>
      <c r="T719" s="60" t="n">
        <f aca="false">L719+M719</f>
        <v>39.75</v>
      </c>
      <c r="U719" s="60" t="n">
        <f aca="false">S719+J719</f>
        <v>526.79</v>
      </c>
      <c r="V719" s="63" t="n">
        <f aca="false">IFERROR(S719/F719,0)</f>
        <v>0.197573927530196</v>
      </c>
      <c r="W719" s="63" t="n">
        <f aca="false">IFERROR(R719/F719,0)</f>
        <v>0.085814938220186</v>
      </c>
      <c r="X719" s="63" t="n">
        <f aca="false">IFERROR(T719/F719,0)</f>
        <v>0.068981674302374</v>
      </c>
      <c r="Y719" s="63" t="n">
        <f aca="false">IFERROR(G719/F719,0)</f>
        <v>0.0144210745522699</v>
      </c>
      <c r="Z719" s="59" t="n">
        <f aca="false">IF(E719&gt;0,F719*1000000000/E719,"")</f>
        <v>8794.93394466448</v>
      </c>
      <c r="AA719" s="63" t="n">
        <f aca="false">IFERROR((R719+S719+J719)/F719,0)</f>
        <v>1</v>
      </c>
      <c r="AB719" s="0" t="str">
        <f aca="false">A719&amp;"|"&amp;D719</f>
        <v>France|2018</v>
      </c>
    </row>
    <row r="720" customFormat="false" ht="15" hidden="false" customHeight="false" outlineLevel="0" collapsed="false">
      <c r="A720" s="0" t="s">
        <v>249</v>
      </c>
      <c r="B720" s="0" t="s">
        <v>487</v>
      </c>
      <c r="C720" s="0" t="s">
        <v>127</v>
      </c>
      <c r="D720" s="0" t="n">
        <v>2019</v>
      </c>
      <c r="E720" s="59" t="n">
        <v>65729460</v>
      </c>
      <c r="F720" s="60" t="n">
        <v>565.52</v>
      </c>
      <c r="G720" s="61" t="n">
        <v>3.64</v>
      </c>
      <c r="H720" s="61" t="n">
        <v>39.24</v>
      </c>
      <c r="I720" s="61" t="n">
        <v>10.73</v>
      </c>
      <c r="J720" s="61" t="n">
        <v>399.01</v>
      </c>
      <c r="K720" s="61" t="n">
        <v>56.91</v>
      </c>
      <c r="L720" s="61" t="n">
        <v>12.02</v>
      </c>
      <c r="M720" s="61" t="n">
        <v>34.72</v>
      </c>
      <c r="N720" s="61" t="n">
        <v>8.64</v>
      </c>
      <c r="O720" s="61" t="n">
        <v>0.61</v>
      </c>
      <c r="P720" s="62" t="n">
        <v>59.8</v>
      </c>
      <c r="Q720" s="0" t="n">
        <v>0</v>
      </c>
      <c r="R720" s="60" t="n">
        <f aca="false">G720+H720+I720</f>
        <v>53.61</v>
      </c>
      <c r="S720" s="60" t="n">
        <f aca="false">K720+L720+M720+N720+O720</f>
        <v>112.9</v>
      </c>
      <c r="T720" s="60" t="n">
        <f aca="false">L720+M720</f>
        <v>46.74</v>
      </c>
      <c r="U720" s="60" t="n">
        <f aca="false">S720+J720</f>
        <v>511.91</v>
      </c>
      <c r="V720" s="63" t="n">
        <f aca="false">IFERROR(S720/F720,0)</f>
        <v>0.199639270052341</v>
      </c>
      <c r="W720" s="63" t="n">
        <f aca="false">IFERROR(R720/F720,0)</f>
        <v>0.0947977083038619</v>
      </c>
      <c r="X720" s="63" t="n">
        <f aca="false">IFERROR(T720/F720,0)</f>
        <v>0.082649596831235</v>
      </c>
      <c r="Y720" s="63" t="n">
        <f aca="false">IFERROR(G720/F720,0)</f>
        <v>0.00643655396802943</v>
      </c>
      <c r="Z720" s="59" t="n">
        <f aca="false">IF(E720&gt;0,F720*1000000000/E720,"")</f>
        <v>8603.75241178005</v>
      </c>
      <c r="AA720" s="63" t="n">
        <f aca="false">IFERROR((R720+S720+J720)/F720,0)</f>
        <v>1</v>
      </c>
      <c r="AB720" s="0" t="str">
        <f aca="false">A720&amp;"|"&amp;D720</f>
        <v>France|2019</v>
      </c>
    </row>
    <row r="721" customFormat="false" ht="15" hidden="false" customHeight="false" outlineLevel="0" collapsed="false">
      <c r="A721" s="0" t="s">
        <v>249</v>
      </c>
      <c r="B721" s="0" t="s">
        <v>487</v>
      </c>
      <c r="C721" s="0" t="s">
        <v>127</v>
      </c>
      <c r="D721" s="0" t="n">
        <v>2020</v>
      </c>
      <c r="E721" s="59" t="n">
        <v>65905273</v>
      </c>
      <c r="F721" s="60" t="n">
        <v>527.25</v>
      </c>
      <c r="G721" s="61" t="n">
        <v>3.09</v>
      </c>
      <c r="H721" s="61" t="n">
        <v>35.25</v>
      </c>
      <c r="I721" s="61" t="n">
        <v>10.05</v>
      </c>
      <c r="J721" s="61" t="n">
        <v>353.83</v>
      </c>
      <c r="K721" s="61" t="n">
        <v>62.52</v>
      </c>
      <c r="L721" s="61" t="n">
        <v>13.09</v>
      </c>
      <c r="M721" s="61" t="n">
        <v>40.05</v>
      </c>
      <c r="N721" s="61" t="n">
        <v>8.76</v>
      </c>
      <c r="O721" s="61" t="n">
        <v>0.61</v>
      </c>
      <c r="P721" s="62" t="n">
        <v>59.1</v>
      </c>
      <c r="Q721" s="0" t="n">
        <v>0</v>
      </c>
      <c r="R721" s="60" t="n">
        <f aca="false">G721+H721+I721</f>
        <v>48.39</v>
      </c>
      <c r="S721" s="60" t="n">
        <f aca="false">K721+L721+M721+N721+O721</f>
        <v>125.03</v>
      </c>
      <c r="T721" s="60" t="n">
        <f aca="false">L721+M721</f>
        <v>53.14</v>
      </c>
      <c r="U721" s="60" t="n">
        <f aca="false">S721+J721</f>
        <v>478.86</v>
      </c>
      <c r="V721" s="63" t="n">
        <f aca="false">IFERROR(S721/F721,0)</f>
        <v>0.237136083451873</v>
      </c>
      <c r="W721" s="63" t="n">
        <f aca="false">IFERROR(R721/F721,0)</f>
        <v>0.0917780938833571</v>
      </c>
      <c r="X721" s="63" t="n">
        <f aca="false">IFERROR(T721/F721,0)</f>
        <v>0.100787102892366</v>
      </c>
      <c r="Y721" s="63" t="n">
        <f aca="false">IFERROR(G721/F721,0)</f>
        <v>0.00586059743954481</v>
      </c>
      <c r="Z721" s="59" t="n">
        <f aca="false">IF(E721&gt;0,F721*1000000000/E721,"")</f>
        <v>8000.11859445602</v>
      </c>
      <c r="AA721" s="63" t="n">
        <f aca="false">IFERROR((R721+S721+J721)/F721,0)</f>
        <v>1</v>
      </c>
      <c r="AB721" s="0" t="str">
        <f aca="false">A721&amp;"|"&amp;D721</f>
        <v>France|2020</v>
      </c>
    </row>
    <row r="722" customFormat="false" ht="15" hidden="false" customHeight="false" outlineLevel="0" collapsed="false">
      <c r="A722" s="0" t="s">
        <v>249</v>
      </c>
      <c r="B722" s="0" t="s">
        <v>487</v>
      </c>
      <c r="C722" s="0" t="s">
        <v>127</v>
      </c>
      <c r="D722" s="0" t="n">
        <v>2021</v>
      </c>
      <c r="E722" s="59" t="n">
        <v>66083547</v>
      </c>
      <c r="F722" s="60" t="n">
        <v>550.31</v>
      </c>
      <c r="G722" s="61" t="n">
        <v>5.44</v>
      </c>
      <c r="H722" s="61" t="n">
        <v>33.31</v>
      </c>
      <c r="I722" s="61" t="n">
        <v>10.1</v>
      </c>
      <c r="J722" s="61" t="n">
        <v>379.36</v>
      </c>
      <c r="K722" s="61" t="n">
        <v>59.54</v>
      </c>
      <c r="L722" s="61" t="n">
        <v>15.28</v>
      </c>
      <c r="M722" s="61" t="n">
        <v>37.12</v>
      </c>
      <c r="N722" s="61" t="n">
        <v>9.58</v>
      </c>
      <c r="O722" s="61" t="n">
        <v>0.58</v>
      </c>
      <c r="P722" s="62" t="n">
        <v>59.8</v>
      </c>
      <c r="Q722" s="0" t="n">
        <v>0</v>
      </c>
      <c r="R722" s="60" t="n">
        <f aca="false">G722+H722+I722</f>
        <v>48.85</v>
      </c>
      <c r="S722" s="60" t="n">
        <f aca="false">K722+L722+M722+N722+O722</f>
        <v>122.1</v>
      </c>
      <c r="T722" s="60" t="n">
        <f aca="false">L722+M722</f>
        <v>52.4</v>
      </c>
      <c r="U722" s="60" t="n">
        <f aca="false">S722+J722</f>
        <v>501.46</v>
      </c>
      <c r="V722" s="63" t="n">
        <f aca="false">IFERROR(S722/F722,0)</f>
        <v>0.221874943213825</v>
      </c>
      <c r="W722" s="63" t="n">
        <f aca="false">IFERROR(R722/F722,0)</f>
        <v>0.0887681488615508</v>
      </c>
      <c r="X722" s="63" t="n">
        <f aca="false">IFERROR(T722/F722,0)</f>
        <v>0.0952190583489306</v>
      </c>
      <c r="Y722" s="63" t="n">
        <f aca="false">IFERROR(G722/F722,0)</f>
        <v>0.00988533735530883</v>
      </c>
      <c r="Z722" s="59" t="n">
        <f aca="false">IF(E722&gt;0,F722*1000000000/E722,"")</f>
        <v>8327.4888377284</v>
      </c>
      <c r="AA722" s="63" t="n">
        <f aca="false">IFERROR((R722+S722+J722)/F722,0)</f>
        <v>1</v>
      </c>
      <c r="AB722" s="0" t="str">
        <f aca="false">A722&amp;"|"&amp;D722</f>
        <v>France|2021</v>
      </c>
    </row>
    <row r="723" customFormat="false" ht="15" hidden="false" customHeight="false" outlineLevel="0" collapsed="false">
      <c r="A723" s="0" t="s">
        <v>249</v>
      </c>
      <c r="B723" s="0" t="s">
        <v>487</v>
      </c>
      <c r="C723" s="0" t="s">
        <v>127</v>
      </c>
      <c r="D723" s="0" t="n">
        <v>2022</v>
      </c>
      <c r="E723" s="59" t="n">
        <v>66277412</v>
      </c>
      <c r="F723" s="60" t="n">
        <v>468.45</v>
      </c>
      <c r="G723" s="61" t="n">
        <v>4.16</v>
      </c>
      <c r="H723" s="61" t="n">
        <v>45.74</v>
      </c>
      <c r="I723" s="61" t="n">
        <v>10.45</v>
      </c>
      <c r="J723" s="61" t="n">
        <v>294.73</v>
      </c>
      <c r="K723" s="61" t="n">
        <v>45.56</v>
      </c>
      <c r="L723" s="61" t="n">
        <v>19.34</v>
      </c>
      <c r="M723" s="61" t="n">
        <v>38.2</v>
      </c>
      <c r="N723" s="61" t="n">
        <v>9.67</v>
      </c>
      <c r="O723" s="61" t="n">
        <v>0.6</v>
      </c>
      <c r="P723" s="62" t="n">
        <v>78.5</v>
      </c>
      <c r="Q723" s="0" t="n">
        <v>0</v>
      </c>
      <c r="R723" s="60" t="n">
        <f aca="false">G723+H723+I723</f>
        <v>60.35</v>
      </c>
      <c r="S723" s="60" t="n">
        <f aca="false">K723+L723+M723+N723+O723</f>
        <v>113.37</v>
      </c>
      <c r="T723" s="60" t="n">
        <f aca="false">L723+M723</f>
        <v>57.54</v>
      </c>
      <c r="U723" s="60" t="n">
        <f aca="false">S723+J723</f>
        <v>408.1</v>
      </c>
      <c r="V723" s="63" t="n">
        <f aca="false">IFERROR(S723/F723,0)</f>
        <v>0.242010886967659</v>
      </c>
      <c r="W723" s="63" t="n">
        <f aca="false">IFERROR(R723/F723,0)</f>
        <v>0.12882911730174</v>
      </c>
      <c r="X723" s="63" t="n">
        <f aca="false">IFERROR(T723/F723,0)</f>
        <v>0.122830611591419</v>
      </c>
      <c r="Y723" s="63" t="n">
        <f aca="false">IFERROR(G723/F723,0)</f>
        <v>0.00888035009072473</v>
      </c>
      <c r="Z723" s="59" t="n">
        <f aca="false">IF(E723&gt;0,F723*1000000000/E723,"")</f>
        <v>7068.01889005564</v>
      </c>
      <c r="AA723" s="63" t="n">
        <f aca="false">IFERROR((R723+S723+J723)/F723,0)</f>
        <v>1</v>
      </c>
      <c r="AB723" s="0" t="str">
        <f aca="false">A723&amp;"|"&amp;D723</f>
        <v>France|2022</v>
      </c>
    </row>
    <row r="724" customFormat="false" ht="15" hidden="false" customHeight="false" outlineLevel="0" collapsed="false">
      <c r="A724" s="0" t="s">
        <v>249</v>
      </c>
      <c r="B724" s="0" t="s">
        <v>487</v>
      </c>
      <c r="C724" s="0" t="s">
        <v>127</v>
      </c>
      <c r="D724" s="0" t="n">
        <v>2023</v>
      </c>
      <c r="E724" s="59" t="n">
        <v>66438828</v>
      </c>
      <c r="F724" s="60" t="n">
        <v>518.75</v>
      </c>
      <c r="G724" s="61" t="n">
        <v>1.61</v>
      </c>
      <c r="H724" s="61" t="n">
        <v>30.02</v>
      </c>
      <c r="I724" s="61" t="n">
        <v>9.43</v>
      </c>
      <c r="J724" s="61" t="n">
        <v>338.2</v>
      </c>
      <c r="K724" s="61" t="n">
        <v>55.9</v>
      </c>
      <c r="L724" s="61" t="n">
        <v>22.59</v>
      </c>
      <c r="M724" s="61" t="n">
        <v>50.48</v>
      </c>
      <c r="N724" s="61" t="n">
        <v>9.94</v>
      </c>
      <c r="O724" s="61" t="n">
        <v>0.58</v>
      </c>
      <c r="P724" s="62" t="n">
        <v>53.3</v>
      </c>
      <c r="Q724" s="0" t="n">
        <v>0</v>
      </c>
      <c r="R724" s="60" t="n">
        <f aca="false">G724+H724+I724</f>
        <v>41.06</v>
      </c>
      <c r="S724" s="60" t="n">
        <f aca="false">K724+L724+M724+N724+O724</f>
        <v>139.49</v>
      </c>
      <c r="T724" s="60" t="n">
        <f aca="false">L724+M724</f>
        <v>73.07</v>
      </c>
      <c r="U724" s="60" t="n">
        <f aca="false">S724+J724</f>
        <v>477.69</v>
      </c>
      <c r="V724" s="63" t="n">
        <f aca="false">IFERROR(S724/F724,0)</f>
        <v>0.268896385542169</v>
      </c>
      <c r="W724" s="63" t="n">
        <f aca="false">IFERROR(R724/F724,0)</f>
        <v>0.0791518072289157</v>
      </c>
      <c r="X724" s="63" t="n">
        <f aca="false">IFERROR(T724/F724,0)</f>
        <v>0.140857831325301</v>
      </c>
      <c r="Y724" s="63" t="n">
        <f aca="false">IFERROR(G724/F724,0)</f>
        <v>0.00310361445783133</v>
      </c>
      <c r="Z724" s="59" t="n">
        <f aca="false">IF(E724&gt;0,F724*1000000000/E724,"")</f>
        <v>7807.9342398996</v>
      </c>
      <c r="AA724" s="63" t="n">
        <f aca="false">IFERROR((R724+S724+J724)/F724,0)</f>
        <v>1</v>
      </c>
      <c r="AB724" s="0" t="str">
        <f aca="false">A724&amp;"|"&amp;D724</f>
        <v>France|2023</v>
      </c>
    </row>
    <row r="725" customFormat="false" ht="15" hidden="false" customHeight="false" outlineLevel="0" collapsed="false">
      <c r="A725" s="0" t="s">
        <v>249</v>
      </c>
      <c r="B725" s="0" t="s">
        <v>487</v>
      </c>
      <c r="C725" s="0" t="s">
        <v>127</v>
      </c>
      <c r="D725" s="0" t="n">
        <v>2024</v>
      </c>
      <c r="E725" s="59" t="n">
        <v>66548532</v>
      </c>
      <c r="F725" s="60" t="n">
        <v>561.78</v>
      </c>
      <c r="G725" s="61" t="n">
        <v>1.02</v>
      </c>
      <c r="H725" s="61" t="n">
        <v>18.1</v>
      </c>
      <c r="I725" s="61" t="n">
        <v>9.54</v>
      </c>
      <c r="J725" s="61" t="n">
        <v>380.45</v>
      </c>
      <c r="K725" s="61" t="n">
        <v>71.12</v>
      </c>
      <c r="L725" s="61" t="n">
        <v>24.87</v>
      </c>
      <c r="M725" s="61" t="n">
        <v>45.43</v>
      </c>
      <c r="N725" s="61" t="n">
        <v>10.68</v>
      </c>
      <c r="O725" s="61" t="n">
        <v>0.57</v>
      </c>
      <c r="P725" s="62" t="n">
        <v>40.5</v>
      </c>
      <c r="Q725" s="0" t="n">
        <v>0</v>
      </c>
      <c r="R725" s="60" t="n">
        <f aca="false">G725+H725+I725</f>
        <v>28.66</v>
      </c>
      <c r="S725" s="60" t="n">
        <f aca="false">K725+L725+M725+N725+O725</f>
        <v>152.67</v>
      </c>
      <c r="T725" s="60" t="n">
        <f aca="false">L725+M725</f>
        <v>70.3</v>
      </c>
      <c r="U725" s="60" t="n">
        <f aca="false">S725+J725</f>
        <v>533.12</v>
      </c>
      <c r="V725" s="63" t="n">
        <f aca="false">IFERROR(S725/F725,0)</f>
        <v>0.27176118765353</v>
      </c>
      <c r="W725" s="63" t="n">
        <f aca="false">IFERROR(R725/F725,0)</f>
        <v>0.051016412118623</v>
      </c>
      <c r="X725" s="63" t="n">
        <f aca="false">IFERROR(T725/F725,0)</f>
        <v>0.125137954359358</v>
      </c>
      <c r="Y725" s="63" t="n">
        <f aca="false">IFERROR(G725/F725,0)</f>
        <v>0.00181565737477304</v>
      </c>
      <c r="Z725" s="59" t="n">
        <f aca="false">IF(E725&gt;0,F725*1000000000/E725,"")</f>
        <v>8441.65878820588</v>
      </c>
      <c r="AA725" s="63" t="n">
        <f aca="false">IFERROR((R725+S725+J725)/F725,0)</f>
        <v>1</v>
      </c>
      <c r="AB725" s="0" t="str">
        <f aca="false">A725&amp;"|"&amp;D725</f>
        <v>France|2024</v>
      </c>
    </row>
    <row r="726" customFormat="false" ht="15" hidden="false" customHeight="false" outlineLevel="0" collapsed="false">
      <c r="A726" s="0" t="s">
        <v>249</v>
      </c>
      <c r="B726" s="0" t="s">
        <v>487</v>
      </c>
      <c r="C726" s="0" t="s">
        <v>127</v>
      </c>
      <c r="D726" s="0" t="n">
        <v>2025</v>
      </c>
      <c r="E726" s="59" t="n">
        <v>66650804</v>
      </c>
      <c r="F726" s="60" t="n">
        <v>569.98</v>
      </c>
      <c r="G726" s="61" t="n">
        <v>1.74</v>
      </c>
      <c r="H726" s="61" t="n">
        <v>17.25</v>
      </c>
      <c r="I726" s="61" t="n">
        <v>10.36</v>
      </c>
      <c r="J726" s="61" t="n">
        <v>392.07</v>
      </c>
      <c r="K726" s="61" t="n">
        <v>59.41</v>
      </c>
      <c r="L726" s="61" t="n">
        <v>31.82</v>
      </c>
      <c r="M726" s="61" t="n">
        <v>46.49</v>
      </c>
      <c r="N726" s="61" t="n">
        <v>10.27</v>
      </c>
      <c r="O726" s="61" t="n">
        <v>0.57</v>
      </c>
      <c r="P726" s="62" t="n">
        <v>41.4</v>
      </c>
      <c r="Q726" s="0" t="n">
        <v>0</v>
      </c>
      <c r="R726" s="60" t="n">
        <f aca="false">G726+H726+I726</f>
        <v>29.35</v>
      </c>
      <c r="S726" s="60" t="n">
        <f aca="false">K726+L726+M726+N726+O726</f>
        <v>148.56</v>
      </c>
      <c r="T726" s="60" t="n">
        <f aca="false">L726+M726</f>
        <v>78.31</v>
      </c>
      <c r="U726" s="60" t="n">
        <f aca="false">S726+J726</f>
        <v>540.63</v>
      </c>
      <c r="V726" s="63" t="n">
        <f aca="false">IFERROR(S726/F726,0)</f>
        <v>0.260640724235938</v>
      </c>
      <c r="W726" s="63" t="n">
        <f aca="false">IFERROR(R726/F726,0)</f>
        <v>0.0514930348433278</v>
      </c>
      <c r="X726" s="63" t="n">
        <f aca="false">IFERROR(T726/F726,0)</f>
        <v>0.137390785641601</v>
      </c>
      <c r="Y726" s="63" t="n">
        <f aca="false">IFERROR(G726/F726,0)</f>
        <v>0.0030527386925857</v>
      </c>
      <c r="Z726" s="59" t="n">
        <f aca="false">IF(E726&gt;0,F726*1000000000/E726,"")</f>
        <v>8551.73479977826</v>
      </c>
      <c r="AA726" s="63" t="n">
        <f aca="false">IFERROR((R726+S726+J726)/F726,0)</f>
        <v>1</v>
      </c>
      <c r="AB726" s="0" t="str">
        <f aca="false">A726&amp;"|"&amp;D726</f>
        <v>France|2025</v>
      </c>
    </row>
    <row r="727" customFormat="false" ht="15" hidden="false" customHeight="false" outlineLevel="0" collapsed="false">
      <c r="A727" s="0" t="s">
        <v>250</v>
      </c>
      <c r="B727" s="0" t="s">
        <v>488</v>
      </c>
      <c r="C727" s="0" t="s">
        <v>127</v>
      </c>
      <c r="D727" s="0" t="n">
        <v>2015</v>
      </c>
      <c r="E727" s="59" t="n">
        <v>266377</v>
      </c>
      <c r="F727" s="60" t="n">
        <v>0.93</v>
      </c>
      <c r="G727" s="61" t="n">
        <v>0</v>
      </c>
      <c r="H727" s="61" t="n">
        <v>0</v>
      </c>
      <c r="I727" s="61" t="n">
        <v>0.38</v>
      </c>
      <c r="J727" s="61" t="n">
        <v>0</v>
      </c>
      <c r="K727" s="61" t="n">
        <v>0.49</v>
      </c>
      <c r="L727" s="61" t="n">
        <v>0.05</v>
      </c>
      <c r="M727" s="61" t="n">
        <v>0</v>
      </c>
      <c r="N727" s="61" t="n">
        <v>0.01</v>
      </c>
      <c r="O727" s="61" t="n">
        <v>0</v>
      </c>
      <c r="P727" s="62" t="n">
        <v>279.6</v>
      </c>
      <c r="Q727" s="0" t="n">
        <v>5</v>
      </c>
      <c r="R727" s="60" t="n">
        <f aca="false">G727+H727+I727</f>
        <v>0.38</v>
      </c>
      <c r="S727" s="60" t="n">
        <f aca="false">K727+L727+M727+N727+O727</f>
        <v>0.55</v>
      </c>
      <c r="T727" s="60" t="n">
        <f aca="false">L727+M727</f>
        <v>0.05</v>
      </c>
      <c r="U727" s="60" t="n">
        <f aca="false">S727+J727</f>
        <v>0.55</v>
      </c>
      <c r="V727" s="63" t="n">
        <f aca="false">IFERROR(S727/F727,0)</f>
        <v>0.591397849462366</v>
      </c>
      <c r="W727" s="63" t="n">
        <f aca="false">IFERROR(R727/F727,0)</f>
        <v>0.408602150537634</v>
      </c>
      <c r="X727" s="63" t="n">
        <f aca="false">IFERROR(T727/F727,0)</f>
        <v>0.0537634408602151</v>
      </c>
      <c r="Y727" s="63" t="n">
        <f aca="false">IFERROR(G727/F727,0)</f>
        <v>0</v>
      </c>
      <c r="Z727" s="59" t="n">
        <f aca="false">IF(E727&gt;0,F727*1000000000/E727,"")</f>
        <v>3491.2924163873</v>
      </c>
      <c r="AA727" s="63" t="n">
        <f aca="false">IFERROR((R727+S727+J727)/F727,0)</f>
        <v>1</v>
      </c>
      <c r="AB727" s="0" t="str">
        <f aca="false">A727&amp;"|"&amp;D727</f>
        <v>French Guiana|2015</v>
      </c>
    </row>
    <row r="728" customFormat="false" ht="15" hidden="false" customHeight="false" outlineLevel="0" collapsed="false">
      <c r="A728" s="0" t="s">
        <v>250</v>
      </c>
      <c r="B728" s="0" t="s">
        <v>488</v>
      </c>
      <c r="C728" s="0" t="s">
        <v>127</v>
      </c>
      <c r="D728" s="0" t="n">
        <v>2016</v>
      </c>
      <c r="E728" s="59" t="n">
        <v>271278</v>
      </c>
      <c r="F728" s="60" t="n">
        <v>0.91</v>
      </c>
      <c r="G728" s="61" t="n">
        <v>0</v>
      </c>
      <c r="H728" s="61" t="n">
        <v>0</v>
      </c>
      <c r="I728" s="61" t="n">
        <v>0.41</v>
      </c>
      <c r="J728" s="61" t="n">
        <v>0</v>
      </c>
      <c r="K728" s="61" t="n">
        <v>0.44</v>
      </c>
      <c r="L728" s="61" t="n">
        <v>0.05</v>
      </c>
      <c r="M728" s="61" t="n">
        <v>0</v>
      </c>
      <c r="N728" s="61" t="n">
        <v>0.01</v>
      </c>
      <c r="O728" s="61" t="n">
        <v>0</v>
      </c>
      <c r="P728" s="62" t="n">
        <v>307.7</v>
      </c>
      <c r="Q728" s="0" t="n">
        <v>5</v>
      </c>
      <c r="R728" s="60" t="n">
        <f aca="false">G728+H728+I728</f>
        <v>0.41</v>
      </c>
      <c r="S728" s="60" t="n">
        <f aca="false">K728+L728+M728+N728+O728</f>
        <v>0.5</v>
      </c>
      <c r="T728" s="60" t="n">
        <f aca="false">L728+M728</f>
        <v>0.05</v>
      </c>
      <c r="U728" s="60" t="n">
        <f aca="false">S728+J728</f>
        <v>0.5</v>
      </c>
      <c r="V728" s="63" t="n">
        <f aca="false">IFERROR(S728/F728,0)</f>
        <v>0.549450549450549</v>
      </c>
      <c r="W728" s="63" t="n">
        <f aca="false">IFERROR(R728/F728,0)</f>
        <v>0.450549450549451</v>
      </c>
      <c r="X728" s="63" t="n">
        <f aca="false">IFERROR(T728/F728,0)</f>
        <v>0.0549450549450549</v>
      </c>
      <c r="Y728" s="63" t="n">
        <f aca="false">IFERROR(G728/F728,0)</f>
        <v>0</v>
      </c>
      <c r="Z728" s="59" t="n">
        <f aca="false">IF(E728&gt;0,F728*1000000000/E728,"")</f>
        <v>3354.49243949012</v>
      </c>
      <c r="AA728" s="63" t="n">
        <f aca="false">IFERROR((R728+S728+J728)/F728,0)</f>
        <v>1</v>
      </c>
      <c r="AB728" s="0" t="str">
        <f aca="false">A728&amp;"|"&amp;D728</f>
        <v>French Guiana|2016</v>
      </c>
    </row>
    <row r="729" customFormat="false" ht="15" hidden="false" customHeight="false" outlineLevel="0" collapsed="false">
      <c r="A729" s="0" t="s">
        <v>250</v>
      </c>
      <c r="B729" s="0" t="s">
        <v>488</v>
      </c>
      <c r="C729" s="0" t="s">
        <v>127</v>
      </c>
      <c r="D729" s="0" t="n">
        <v>2017</v>
      </c>
      <c r="E729" s="59" t="n">
        <v>276158</v>
      </c>
      <c r="F729" s="60" t="n">
        <v>0.92</v>
      </c>
      <c r="G729" s="61" t="n">
        <v>0</v>
      </c>
      <c r="H729" s="61" t="n">
        <v>0</v>
      </c>
      <c r="I729" s="61" t="n">
        <v>0.3</v>
      </c>
      <c r="J729" s="61" t="n">
        <v>0</v>
      </c>
      <c r="K729" s="61" t="n">
        <v>0.56</v>
      </c>
      <c r="L729" s="61" t="n">
        <v>0.05</v>
      </c>
      <c r="M729" s="61" t="n">
        <v>0</v>
      </c>
      <c r="N729" s="61" t="n">
        <v>0.01</v>
      </c>
      <c r="O729" s="61" t="n">
        <v>0</v>
      </c>
      <c r="P729" s="62" t="n">
        <v>228.3</v>
      </c>
      <c r="Q729" s="0" t="n">
        <v>5</v>
      </c>
      <c r="R729" s="60" t="n">
        <f aca="false">G729+H729+I729</f>
        <v>0.3</v>
      </c>
      <c r="S729" s="60" t="n">
        <f aca="false">K729+L729+M729+N729+O729</f>
        <v>0.62</v>
      </c>
      <c r="T729" s="60" t="n">
        <f aca="false">L729+M729</f>
        <v>0.05</v>
      </c>
      <c r="U729" s="60" t="n">
        <f aca="false">S729+J729</f>
        <v>0.62</v>
      </c>
      <c r="V729" s="63" t="n">
        <f aca="false">IFERROR(S729/F729,0)</f>
        <v>0.673913043478261</v>
      </c>
      <c r="W729" s="63" t="n">
        <f aca="false">IFERROR(R729/F729,0)</f>
        <v>0.326086956521739</v>
      </c>
      <c r="X729" s="63" t="n">
        <f aca="false">IFERROR(T729/F729,0)</f>
        <v>0.0543478260869565</v>
      </c>
      <c r="Y729" s="63" t="n">
        <f aca="false">IFERROR(G729/F729,0)</f>
        <v>0</v>
      </c>
      <c r="Z729" s="59" t="n">
        <f aca="false">IF(E729&gt;0,F729*1000000000/E729,"")</f>
        <v>3331.42621253051</v>
      </c>
      <c r="AA729" s="63" t="n">
        <f aca="false">IFERROR((R729+S729+J729)/F729,0)</f>
        <v>1</v>
      </c>
      <c r="AB729" s="0" t="str">
        <f aca="false">A729&amp;"|"&amp;D729</f>
        <v>French Guiana|2017</v>
      </c>
    </row>
    <row r="730" customFormat="false" ht="15" hidden="false" customHeight="false" outlineLevel="0" collapsed="false">
      <c r="A730" s="0" t="s">
        <v>250</v>
      </c>
      <c r="B730" s="0" t="s">
        <v>488</v>
      </c>
      <c r="C730" s="0" t="s">
        <v>127</v>
      </c>
      <c r="D730" s="0" t="n">
        <v>2018</v>
      </c>
      <c r="E730" s="59" t="n">
        <v>280972</v>
      </c>
      <c r="F730" s="60" t="n">
        <v>0.93</v>
      </c>
      <c r="G730" s="61" t="n">
        <v>0</v>
      </c>
      <c r="H730" s="61" t="n">
        <v>0</v>
      </c>
      <c r="I730" s="61" t="n">
        <v>0.33</v>
      </c>
      <c r="J730" s="61" t="n">
        <v>0</v>
      </c>
      <c r="K730" s="61" t="n">
        <v>0.54</v>
      </c>
      <c r="L730" s="61" t="n">
        <v>0.05</v>
      </c>
      <c r="M730" s="61" t="n">
        <v>0</v>
      </c>
      <c r="N730" s="61" t="n">
        <v>0.01</v>
      </c>
      <c r="O730" s="61" t="n">
        <v>0</v>
      </c>
      <c r="P730" s="62" t="n">
        <v>247.3</v>
      </c>
      <c r="Q730" s="0" t="n">
        <v>5</v>
      </c>
      <c r="R730" s="60" t="n">
        <f aca="false">G730+H730+I730</f>
        <v>0.33</v>
      </c>
      <c r="S730" s="60" t="n">
        <f aca="false">K730+L730+M730+N730+O730</f>
        <v>0.6</v>
      </c>
      <c r="T730" s="60" t="n">
        <f aca="false">L730+M730</f>
        <v>0.05</v>
      </c>
      <c r="U730" s="60" t="n">
        <f aca="false">S730+J730</f>
        <v>0.6</v>
      </c>
      <c r="V730" s="63" t="n">
        <f aca="false">IFERROR(S730/F730,0)</f>
        <v>0.645161290322581</v>
      </c>
      <c r="W730" s="63" t="n">
        <f aca="false">IFERROR(R730/F730,0)</f>
        <v>0.354838709677419</v>
      </c>
      <c r="X730" s="63" t="n">
        <f aca="false">IFERROR(T730/F730,0)</f>
        <v>0.0537634408602151</v>
      </c>
      <c r="Y730" s="63" t="n">
        <f aca="false">IFERROR(G730/F730,0)</f>
        <v>0</v>
      </c>
      <c r="Z730" s="59" t="n">
        <f aca="false">IF(E730&gt;0,F730*1000000000/E730,"")</f>
        <v>3309.93835684695</v>
      </c>
      <c r="AA730" s="63" t="n">
        <f aca="false">IFERROR((R730+S730+J730)/F730,0)</f>
        <v>1</v>
      </c>
      <c r="AB730" s="0" t="str">
        <f aca="false">A730&amp;"|"&amp;D730</f>
        <v>French Guiana|2018</v>
      </c>
    </row>
    <row r="731" customFormat="false" ht="15" hidden="false" customHeight="false" outlineLevel="0" collapsed="false">
      <c r="A731" s="0" t="s">
        <v>250</v>
      </c>
      <c r="B731" s="0" t="s">
        <v>488</v>
      </c>
      <c r="C731" s="0" t="s">
        <v>127</v>
      </c>
      <c r="D731" s="0" t="n">
        <v>2019</v>
      </c>
      <c r="E731" s="59" t="n">
        <v>285574</v>
      </c>
      <c r="F731" s="60" t="n">
        <v>0.95</v>
      </c>
      <c r="G731" s="61" t="n">
        <v>0</v>
      </c>
      <c r="H731" s="61" t="n">
        <v>0</v>
      </c>
      <c r="I731" s="61" t="n">
        <v>0.48</v>
      </c>
      <c r="J731" s="61" t="n">
        <v>0</v>
      </c>
      <c r="K731" s="61" t="n">
        <v>0.41</v>
      </c>
      <c r="L731" s="61" t="n">
        <v>0.05</v>
      </c>
      <c r="M731" s="61" t="n">
        <v>0</v>
      </c>
      <c r="N731" s="61" t="n">
        <v>0.01</v>
      </c>
      <c r="O731" s="61" t="n">
        <v>0</v>
      </c>
      <c r="P731" s="62" t="n">
        <v>347.4</v>
      </c>
      <c r="Q731" s="0" t="n">
        <v>5</v>
      </c>
      <c r="R731" s="60" t="n">
        <f aca="false">G731+H731+I731</f>
        <v>0.48</v>
      </c>
      <c r="S731" s="60" t="n">
        <f aca="false">K731+L731+M731+N731+O731</f>
        <v>0.47</v>
      </c>
      <c r="T731" s="60" t="n">
        <f aca="false">L731+M731</f>
        <v>0.05</v>
      </c>
      <c r="U731" s="60" t="n">
        <f aca="false">S731+J731</f>
        <v>0.47</v>
      </c>
      <c r="V731" s="63" t="n">
        <f aca="false">IFERROR(S731/F731,0)</f>
        <v>0.494736842105263</v>
      </c>
      <c r="W731" s="63" t="n">
        <f aca="false">IFERROR(R731/F731,0)</f>
        <v>0.505263157894737</v>
      </c>
      <c r="X731" s="63" t="n">
        <f aca="false">IFERROR(T731/F731,0)</f>
        <v>0.0526315789473684</v>
      </c>
      <c r="Y731" s="63" t="n">
        <f aca="false">IFERROR(G731/F731,0)</f>
        <v>0</v>
      </c>
      <c r="Z731" s="59" t="n">
        <f aca="false">IF(E731&gt;0,F731*1000000000/E731,"")</f>
        <v>3326.6333769881</v>
      </c>
      <c r="AA731" s="63" t="n">
        <f aca="false">IFERROR((R731+S731+J731)/F731,0)</f>
        <v>1</v>
      </c>
      <c r="AB731" s="0" t="str">
        <f aca="false">A731&amp;"|"&amp;D731</f>
        <v>French Guiana|2019</v>
      </c>
    </row>
    <row r="732" customFormat="false" ht="15" hidden="false" customHeight="false" outlineLevel="0" collapsed="false">
      <c r="A732" s="0" t="s">
        <v>250</v>
      </c>
      <c r="B732" s="0" t="s">
        <v>488</v>
      </c>
      <c r="C732" s="0" t="s">
        <v>127</v>
      </c>
      <c r="D732" s="0" t="n">
        <v>2020</v>
      </c>
      <c r="E732" s="59" t="n">
        <v>289063</v>
      </c>
      <c r="F732" s="60" t="n">
        <v>0.95</v>
      </c>
      <c r="G732" s="61" t="n">
        <v>0</v>
      </c>
      <c r="H732" s="61" t="n">
        <v>0</v>
      </c>
      <c r="I732" s="61" t="n">
        <v>0.45</v>
      </c>
      <c r="J732" s="61" t="n">
        <v>0</v>
      </c>
      <c r="K732" s="61" t="n">
        <v>0.43</v>
      </c>
      <c r="L732" s="61" t="n">
        <v>0.06</v>
      </c>
      <c r="M732" s="61" t="n">
        <v>0</v>
      </c>
      <c r="N732" s="61" t="n">
        <v>0.01</v>
      </c>
      <c r="O732" s="61" t="n">
        <v>0</v>
      </c>
      <c r="P732" s="62" t="n">
        <v>326.3</v>
      </c>
      <c r="Q732" s="0" t="n">
        <v>5</v>
      </c>
      <c r="R732" s="60" t="n">
        <f aca="false">G732+H732+I732</f>
        <v>0.45</v>
      </c>
      <c r="S732" s="60" t="n">
        <f aca="false">K732+L732+M732+N732+O732</f>
        <v>0.5</v>
      </c>
      <c r="T732" s="60" t="n">
        <f aca="false">L732+M732</f>
        <v>0.06</v>
      </c>
      <c r="U732" s="60" t="n">
        <f aca="false">S732+J732</f>
        <v>0.5</v>
      </c>
      <c r="V732" s="63" t="n">
        <f aca="false">IFERROR(S732/F732,0)</f>
        <v>0.526315789473684</v>
      </c>
      <c r="W732" s="63" t="n">
        <f aca="false">IFERROR(R732/F732,0)</f>
        <v>0.473684210526316</v>
      </c>
      <c r="X732" s="63" t="n">
        <f aca="false">IFERROR(T732/F732,0)</f>
        <v>0.0631578947368421</v>
      </c>
      <c r="Y732" s="63" t="n">
        <f aca="false">IFERROR(G732/F732,0)</f>
        <v>0</v>
      </c>
      <c r="Z732" s="59" t="n">
        <f aca="false">IF(E732&gt;0,F732*1000000000/E732,"")</f>
        <v>3286.48080176294</v>
      </c>
      <c r="AA732" s="63" t="n">
        <f aca="false">IFERROR((R732+S732+J732)/F732,0)</f>
        <v>1</v>
      </c>
      <c r="AB732" s="0" t="str">
        <f aca="false">A732&amp;"|"&amp;D732</f>
        <v>French Guiana|2020</v>
      </c>
    </row>
    <row r="733" customFormat="false" ht="15" hidden="false" customHeight="false" outlineLevel="0" collapsed="false">
      <c r="A733" s="0" t="s">
        <v>250</v>
      </c>
      <c r="B733" s="0" t="s">
        <v>488</v>
      </c>
      <c r="C733" s="0" t="s">
        <v>127</v>
      </c>
      <c r="D733" s="0" t="n">
        <v>2021</v>
      </c>
      <c r="E733" s="59" t="n">
        <v>293023</v>
      </c>
      <c r="F733" s="60" t="n">
        <v>0.97</v>
      </c>
      <c r="G733" s="61" t="n">
        <v>0</v>
      </c>
      <c r="H733" s="61" t="n">
        <v>0</v>
      </c>
      <c r="I733" s="61" t="n">
        <v>0.29</v>
      </c>
      <c r="J733" s="61" t="n">
        <v>0</v>
      </c>
      <c r="K733" s="61" t="n">
        <v>0.58</v>
      </c>
      <c r="L733" s="61" t="n">
        <v>0.06</v>
      </c>
      <c r="M733" s="61" t="n">
        <v>0</v>
      </c>
      <c r="N733" s="61" t="n">
        <v>0.04</v>
      </c>
      <c r="O733" s="61" t="n">
        <v>0</v>
      </c>
      <c r="P733" s="62" t="n">
        <v>216.5</v>
      </c>
      <c r="Q733" s="0" t="n">
        <v>5</v>
      </c>
      <c r="R733" s="60" t="n">
        <f aca="false">G733+H733+I733</f>
        <v>0.29</v>
      </c>
      <c r="S733" s="60" t="n">
        <f aca="false">K733+L733+M733+N733+O733</f>
        <v>0.68</v>
      </c>
      <c r="T733" s="60" t="n">
        <f aca="false">L733+M733</f>
        <v>0.06</v>
      </c>
      <c r="U733" s="60" t="n">
        <f aca="false">S733+J733</f>
        <v>0.68</v>
      </c>
      <c r="V733" s="63" t="n">
        <f aca="false">IFERROR(S733/F733,0)</f>
        <v>0.701030927835052</v>
      </c>
      <c r="W733" s="63" t="n">
        <f aca="false">IFERROR(R733/F733,0)</f>
        <v>0.298969072164948</v>
      </c>
      <c r="X733" s="63" t="n">
        <f aca="false">IFERROR(T733/F733,0)</f>
        <v>0.0618556701030928</v>
      </c>
      <c r="Y733" s="63" t="n">
        <f aca="false">IFERROR(G733/F733,0)</f>
        <v>0</v>
      </c>
      <c r="Z733" s="59" t="n">
        <f aca="false">IF(E733&gt;0,F733*1000000000/E733,"")</f>
        <v>3310.32035027967</v>
      </c>
      <c r="AA733" s="63" t="n">
        <f aca="false">IFERROR((R733+S733+J733)/F733,0)</f>
        <v>1</v>
      </c>
      <c r="AB733" s="0" t="str">
        <f aca="false">A733&amp;"|"&amp;D733</f>
        <v>French Guiana|2021</v>
      </c>
    </row>
    <row r="734" customFormat="false" ht="15" hidden="false" customHeight="false" outlineLevel="0" collapsed="false">
      <c r="A734" s="0" t="s">
        <v>250</v>
      </c>
      <c r="B734" s="0" t="s">
        <v>488</v>
      </c>
      <c r="C734" s="0" t="s">
        <v>127</v>
      </c>
      <c r="D734" s="0" t="n">
        <v>2022</v>
      </c>
      <c r="E734" s="59" t="n">
        <v>298319</v>
      </c>
      <c r="F734" s="60" t="n">
        <v>0.95</v>
      </c>
      <c r="G734" s="61" t="n">
        <v>0</v>
      </c>
      <c r="H734" s="61" t="n">
        <v>0</v>
      </c>
      <c r="I734" s="61" t="n">
        <v>0.27</v>
      </c>
      <c r="J734" s="61" t="n">
        <v>0</v>
      </c>
      <c r="K734" s="61" t="n">
        <v>0.59</v>
      </c>
      <c r="L734" s="61" t="n">
        <v>0.05</v>
      </c>
      <c r="M734" s="61" t="n">
        <v>0</v>
      </c>
      <c r="N734" s="61" t="n">
        <v>0.04</v>
      </c>
      <c r="O734" s="61" t="n">
        <v>0</v>
      </c>
      <c r="P734" s="62" t="n">
        <v>210.5</v>
      </c>
      <c r="Q734" s="0" t="n">
        <v>5</v>
      </c>
      <c r="R734" s="60" t="n">
        <f aca="false">G734+H734+I734</f>
        <v>0.27</v>
      </c>
      <c r="S734" s="60" t="n">
        <f aca="false">K734+L734+M734+N734+O734</f>
        <v>0.68</v>
      </c>
      <c r="T734" s="60" t="n">
        <f aca="false">L734+M734</f>
        <v>0.05</v>
      </c>
      <c r="U734" s="60" t="n">
        <f aca="false">S734+J734</f>
        <v>0.68</v>
      </c>
      <c r="V734" s="63" t="n">
        <f aca="false">IFERROR(S734/F734,0)</f>
        <v>0.715789473684211</v>
      </c>
      <c r="W734" s="63" t="n">
        <f aca="false">IFERROR(R734/F734,0)</f>
        <v>0.28421052631579</v>
      </c>
      <c r="X734" s="63" t="n">
        <f aca="false">IFERROR(T734/F734,0)</f>
        <v>0.0526315789473684</v>
      </c>
      <c r="Y734" s="63" t="n">
        <f aca="false">IFERROR(G734/F734,0)</f>
        <v>0</v>
      </c>
      <c r="Z734" s="59" t="n">
        <f aca="false">IF(E734&gt;0,F734*1000000000/E734,"")</f>
        <v>3184.51054072989</v>
      </c>
      <c r="AA734" s="63" t="n">
        <f aca="false">IFERROR((R734+S734+J734)/F734,0)</f>
        <v>1</v>
      </c>
      <c r="AB734" s="0" t="str">
        <f aca="false">A734&amp;"|"&amp;D734</f>
        <v>French Guiana|2022</v>
      </c>
    </row>
    <row r="735" customFormat="false" ht="15" hidden="false" customHeight="false" outlineLevel="0" collapsed="false">
      <c r="A735" s="0" t="s">
        <v>250</v>
      </c>
      <c r="B735" s="0" t="s">
        <v>488</v>
      </c>
      <c r="C735" s="0" t="s">
        <v>127</v>
      </c>
      <c r="D735" s="0" t="n">
        <v>2023</v>
      </c>
      <c r="E735" s="59" t="n">
        <v>303408</v>
      </c>
      <c r="F735" s="60" t="n">
        <v>0.98</v>
      </c>
      <c r="G735" s="61" t="n">
        <v>0</v>
      </c>
      <c r="H735" s="61" t="n">
        <v>0</v>
      </c>
      <c r="I735" s="61" t="n">
        <v>0.34</v>
      </c>
      <c r="J735" s="61" t="n">
        <v>0</v>
      </c>
      <c r="K735" s="61" t="n">
        <v>0.52</v>
      </c>
      <c r="L735" s="61" t="n">
        <v>0.06</v>
      </c>
      <c r="M735" s="61" t="n">
        <v>0</v>
      </c>
      <c r="N735" s="61" t="n">
        <v>0.06</v>
      </c>
      <c r="O735" s="61" t="n">
        <v>0</v>
      </c>
      <c r="P735" s="62" t="n">
        <v>244.9</v>
      </c>
      <c r="Q735" s="0" t="n">
        <v>5</v>
      </c>
      <c r="R735" s="60" t="n">
        <f aca="false">G735+H735+I735</f>
        <v>0.34</v>
      </c>
      <c r="S735" s="60" t="n">
        <f aca="false">K735+L735+M735+N735+O735</f>
        <v>0.64</v>
      </c>
      <c r="T735" s="60" t="n">
        <f aca="false">L735+M735</f>
        <v>0.06</v>
      </c>
      <c r="U735" s="60" t="n">
        <f aca="false">S735+J735</f>
        <v>0.64</v>
      </c>
      <c r="V735" s="63" t="n">
        <f aca="false">IFERROR(S735/F735,0)</f>
        <v>0.653061224489796</v>
      </c>
      <c r="W735" s="63" t="n">
        <f aca="false">IFERROR(R735/F735,0)</f>
        <v>0.346938775510204</v>
      </c>
      <c r="X735" s="63" t="n">
        <f aca="false">IFERROR(T735/F735,0)</f>
        <v>0.0612244897959184</v>
      </c>
      <c r="Y735" s="63" t="n">
        <f aca="false">IFERROR(G735/F735,0)</f>
        <v>0</v>
      </c>
      <c r="Z735" s="59" t="n">
        <f aca="false">IF(E735&gt;0,F735*1000000000/E735,"")</f>
        <v>3229.97416020672</v>
      </c>
      <c r="AA735" s="63" t="n">
        <f aca="false">IFERROR((R735+S735+J735)/F735,0)</f>
        <v>1</v>
      </c>
      <c r="AB735" s="0" t="str">
        <f aca="false">A735&amp;"|"&amp;D735</f>
        <v>French Guiana|2023</v>
      </c>
    </row>
    <row r="736" customFormat="false" ht="15" hidden="false" customHeight="false" outlineLevel="0" collapsed="false">
      <c r="A736" s="0" t="s">
        <v>251</v>
      </c>
      <c r="B736" s="0" t="s">
        <v>489</v>
      </c>
      <c r="C736" s="0" t="s">
        <v>127</v>
      </c>
      <c r="D736" s="0" t="n">
        <v>2015</v>
      </c>
      <c r="E736" s="59" t="n">
        <v>277877</v>
      </c>
      <c r="F736" s="60" t="n">
        <v>0.68</v>
      </c>
      <c r="G736" s="61" t="n">
        <v>0</v>
      </c>
      <c r="H736" s="61" t="n">
        <v>0</v>
      </c>
      <c r="I736" s="61" t="n">
        <v>0.48</v>
      </c>
      <c r="J736" s="61" t="n">
        <v>0</v>
      </c>
      <c r="K736" s="61" t="n">
        <v>0.17</v>
      </c>
      <c r="L736" s="61" t="n">
        <v>0.03</v>
      </c>
      <c r="M736" s="61" t="n">
        <v>0</v>
      </c>
      <c r="N736" s="61" t="n">
        <v>0</v>
      </c>
      <c r="O736" s="61" t="n">
        <v>0</v>
      </c>
      <c r="P736" s="62" t="n">
        <v>470.6</v>
      </c>
      <c r="Q736" s="0" t="n">
        <v>0</v>
      </c>
      <c r="R736" s="60" t="n">
        <f aca="false">G736+H736+I736</f>
        <v>0.48</v>
      </c>
      <c r="S736" s="60" t="n">
        <f aca="false">K736+L736+M736+N736+O736</f>
        <v>0.2</v>
      </c>
      <c r="T736" s="60" t="n">
        <f aca="false">L736+M736</f>
        <v>0.03</v>
      </c>
      <c r="U736" s="60" t="n">
        <f aca="false">S736+J736</f>
        <v>0.2</v>
      </c>
      <c r="V736" s="63" t="n">
        <f aca="false">IFERROR(S736/F736,0)</f>
        <v>0.294117647058824</v>
      </c>
      <c r="W736" s="63" t="n">
        <f aca="false">IFERROR(R736/F736,0)</f>
        <v>0.705882352941176</v>
      </c>
      <c r="X736" s="63" t="n">
        <f aca="false">IFERROR(T736/F736,0)</f>
        <v>0.0441176470588235</v>
      </c>
      <c r="Y736" s="63" t="n">
        <f aca="false">IFERROR(G736/F736,0)</f>
        <v>0</v>
      </c>
      <c r="Z736" s="59" t="n">
        <f aca="false">IF(E736&gt;0,F736*1000000000/E736,"")</f>
        <v>2447.12588663329</v>
      </c>
      <c r="AA736" s="63" t="n">
        <f aca="false">IFERROR((R736+S736+J736)/F736,0)</f>
        <v>1</v>
      </c>
      <c r="AB736" s="0" t="str">
        <f aca="false">A736&amp;"|"&amp;D736</f>
        <v>French Polynesia|2015</v>
      </c>
    </row>
    <row r="737" customFormat="false" ht="15" hidden="false" customHeight="false" outlineLevel="0" collapsed="false">
      <c r="A737" s="0" t="s">
        <v>251</v>
      </c>
      <c r="B737" s="0" t="s">
        <v>489</v>
      </c>
      <c r="C737" s="0" t="s">
        <v>127</v>
      </c>
      <c r="D737" s="0" t="n">
        <v>2016</v>
      </c>
      <c r="E737" s="59" t="n">
        <v>279180</v>
      </c>
      <c r="F737" s="60" t="n">
        <v>0.68</v>
      </c>
      <c r="G737" s="61" t="n">
        <v>0</v>
      </c>
      <c r="H737" s="61" t="n">
        <v>0</v>
      </c>
      <c r="I737" s="61" t="n">
        <v>0.47</v>
      </c>
      <c r="J737" s="61" t="n">
        <v>0</v>
      </c>
      <c r="K737" s="61" t="n">
        <v>0.18</v>
      </c>
      <c r="L737" s="61" t="n">
        <v>0.03</v>
      </c>
      <c r="M737" s="61" t="n">
        <v>0</v>
      </c>
      <c r="N737" s="61" t="n">
        <v>0</v>
      </c>
      <c r="O737" s="61" t="n">
        <v>0</v>
      </c>
      <c r="P737" s="62" t="n">
        <v>455.9</v>
      </c>
      <c r="Q737" s="0" t="n">
        <v>0</v>
      </c>
      <c r="R737" s="60" t="n">
        <f aca="false">G737+H737+I737</f>
        <v>0.47</v>
      </c>
      <c r="S737" s="60" t="n">
        <f aca="false">K737+L737+M737+N737+O737</f>
        <v>0.21</v>
      </c>
      <c r="T737" s="60" t="n">
        <f aca="false">L737+M737</f>
        <v>0.03</v>
      </c>
      <c r="U737" s="60" t="n">
        <f aca="false">S737+J737</f>
        <v>0.21</v>
      </c>
      <c r="V737" s="63" t="n">
        <f aca="false">IFERROR(S737/F737,0)</f>
        <v>0.308823529411765</v>
      </c>
      <c r="W737" s="63" t="n">
        <f aca="false">IFERROR(R737/F737,0)</f>
        <v>0.691176470588235</v>
      </c>
      <c r="X737" s="63" t="n">
        <f aca="false">IFERROR(T737/F737,0)</f>
        <v>0.0441176470588235</v>
      </c>
      <c r="Y737" s="63" t="n">
        <f aca="false">IFERROR(G737/F737,0)</f>
        <v>0</v>
      </c>
      <c r="Z737" s="59" t="n">
        <f aca="false">IF(E737&gt;0,F737*1000000000/E737,"")</f>
        <v>2435.70456336414</v>
      </c>
      <c r="AA737" s="63" t="n">
        <f aca="false">IFERROR((R737+S737+J737)/F737,0)</f>
        <v>1</v>
      </c>
      <c r="AB737" s="0" t="str">
        <f aca="false">A737&amp;"|"&amp;D737</f>
        <v>French Polynesia|2016</v>
      </c>
    </row>
    <row r="738" customFormat="false" ht="15" hidden="false" customHeight="false" outlineLevel="0" collapsed="false">
      <c r="A738" s="0" t="s">
        <v>251</v>
      </c>
      <c r="B738" s="0" t="s">
        <v>489</v>
      </c>
      <c r="C738" s="0" t="s">
        <v>127</v>
      </c>
      <c r="D738" s="0" t="n">
        <v>2017</v>
      </c>
      <c r="E738" s="59" t="n">
        <v>280096</v>
      </c>
      <c r="F738" s="60" t="n">
        <v>0.69</v>
      </c>
      <c r="G738" s="61" t="n">
        <v>0</v>
      </c>
      <c r="H738" s="61" t="n">
        <v>0</v>
      </c>
      <c r="I738" s="61" t="n">
        <v>0.47</v>
      </c>
      <c r="J738" s="61" t="n">
        <v>0</v>
      </c>
      <c r="K738" s="61" t="n">
        <v>0.18</v>
      </c>
      <c r="L738" s="61" t="n">
        <v>0.04</v>
      </c>
      <c r="M738" s="61" t="n">
        <v>0</v>
      </c>
      <c r="N738" s="61" t="n">
        <v>0</v>
      </c>
      <c r="O738" s="61" t="n">
        <v>0</v>
      </c>
      <c r="P738" s="62" t="n">
        <v>449.3</v>
      </c>
      <c r="Q738" s="0" t="n">
        <v>0</v>
      </c>
      <c r="R738" s="60" t="n">
        <f aca="false">G738+H738+I738</f>
        <v>0.47</v>
      </c>
      <c r="S738" s="60" t="n">
        <f aca="false">K738+L738+M738+N738+O738</f>
        <v>0.22</v>
      </c>
      <c r="T738" s="60" t="n">
        <f aca="false">L738+M738</f>
        <v>0.04</v>
      </c>
      <c r="U738" s="60" t="n">
        <f aca="false">S738+J738</f>
        <v>0.22</v>
      </c>
      <c r="V738" s="63" t="n">
        <f aca="false">IFERROR(S738/F738,0)</f>
        <v>0.318840579710145</v>
      </c>
      <c r="W738" s="63" t="n">
        <f aca="false">IFERROR(R738/F738,0)</f>
        <v>0.681159420289855</v>
      </c>
      <c r="X738" s="63" t="n">
        <f aca="false">IFERROR(T738/F738,0)</f>
        <v>0.0579710144927536</v>
      </c>
      <c r="Y738" s="63" t="n">
        <f aca="false">IFERROR(G738/F738,0)</f>
        <v>0</v>
      </c>
      <c r="Z738" s="59" t="n">
        <f aca="false">IF(E738&gt;0,F738*1000000000/E738,"")</f>
        <v>2463.44110590655</v>
      </c>
      <c r="AA738" s="63" t="n">
        <f aca="false">IFERROR((R738+S738+J738)/F738,0)</f>
        <v>1</v>
      </c>
      <c r="AB738" s="0" t="str">
        <f aca="false">A738&amp;"|"&amp;D738</f>
        <v>French Polynesia|2017</v>
      </c>
    </row>
    <row r="739" customFormat="false" ht="15" hidden="false" customHeight="false" outlineLevel="0" collapsed="false">
      <c r="A739" s="0" t="s">
        <v>251</v>
      </c>
      <c r="B739" s="0" t="s">
        <v>489</v>
      </c>
      <c r="C739" s="0" t="s">
        <v>127</v>
      </c>
      <c r="D739" s="0" t="n">
        <v>2018</v>
      </c>
      <c r="E739" s="59" t="n">
        <v>279823</v>
      </c>
      <c r="F739" s="60" t="n">
        <v>0.68</v>
      </c>
      <c r="G739" s="61" t="n">
        <v>0</v>
      </c>
      <c r="H739" s="61" t="n">
        <v>0</v>
      </c>
      <c r="I739" s="61" t="n">
        <v>0.48</v>
      </c>
      <c r="J739" s="61" t="n">
        <v>0</v>
      </c>
      <c r="K739" s="61" t="n">
        <v>0.16</v>
      </c>
      <c r="L739" s="61" t="n">
        <v>0.04</v>
      </c>
      <c r="M739" s="61" t="n">
        <v>0</v>
      </c>
      <c r="N739" s="61" t="n">
        <v>0</v>
      </c>
      <c r="O739" s="61" t="n">
        <v>0</v>
      </c>
      <c r="P739" s="62" t="n">
        <v>470.6</v>
      </c>
      <c r="Q739" s="0" t="n">
        <v>0</v>
      </c>
      <c r="R739" s="60" t="n">
        <f aca="false">G739+H739+I739</f>
        <v>0.48</v>
      </c>
      <c r="S739" s="60" t="n">
        <f aca="false">K739+L739+M739+N739+O739</f>
        <v>0.2</v>
      </c>
      <c r="T739" s="60" t="n">
        <f aca="false">L739+M739</f>
        <v>0.04</v>
      </c>
      <c r="U739" s="60" t="n">
        <f aca="false">S739+J739</f>
        <v>0.2</v>
      </c>
      <c r="V739" s="63" t="n">
        <f aca="false">IFERROR(S739/F739,0)</f>
        <v>0.294117647058824</v>
      </c>
      <c r="W739" s="63" t="n">
        <f aca="false">IFERROR(R739/F739,0)</f>
        <v>0.705882352941176</v>
      </c>
      <c r="X739" s="63" t="n">
        <f aca="false">IFERROR(T739/F739,0)</f>
        <v>0.0588235294117647</v>
      </c>
      <c r="Y739" s="63" t="n">
        <f aca="false">IFERROR(G739/F739,0)</f>
        <v>0</v>
      </c>
      <c r="Z739" s="59" t="n">
        <f aca="false">IF(E739&gt;0,F739*1000000000/E739,"")</f>
        <v>2430.10760373522</v>
      </c>
      <c r="AA739" s="63" t="n">
        <f aca="false">IFERROR((R739+S739+J739)/F739,0)</f>
        <v>1</v>
      </c>
      <c r="AB739" s="0" t="str">
        <f aca="false">A739&amp;"|"&amp;D739</f>
        <v>French Polynesia|2018</v>
      </c>
    </row>
    <row r="740" customFormat="false" ht="15" hidden="false" customHeight="false" outlineLevel="0" collapsed="false">
      <c r="A740" s="0" t="s">
        <v>251</v>
      </c>
      <c r="B740" s="0" t="s">
        <v>489</v>
      </c>
      <c r="C740" s="0" t="s">
        <v>127</v>
      </c>
      <c r="D740" s="0" t="n">
        <v>2019</v>
      </c>
      <c r="E740" s="59" t="n">
        <v>279040</v>
      </c>
      <c r="F740" s="60" t="n">
        <v>0.69</v>
      </c>
      <c r="G740" s="61" t="n">
        <v>0</v>
      </c>
      <c r="H740" s="61" t="n">
        <v>0</v>
      </c>
      <c r="I740" s="61" t="n">
        <v>0.49</v>
      </c>
      <c r="J740" s="61" t="n">
        <v>0</v>
      </c>
      <c r="K740" s="61" t="n">
        <v>0.16</v>
      </c>
      <c r="L740" s="61" t="n">
        <v>0.04</v>
      </c>
      <c r="M740" s="61" t="n">
        <v>0</v>
      </c>
      <c r="N740" s="61" t="n">
        <v>0</v>
      </c>
      <c r="O740" s="61" t="n">
        <v>0</v>
      </c>
      <c r="P740" s="62" t="n">
        <v>463.8</v>
      </c>
      <c r="Q740" s="0" t="n">
        <v>0</v>
      </c>
      <c r="R740" s="60" t="n">
        <f aca="false">G740+H740+I740</f>
        <v>0.49</v>
      </c>
      <c r="S740" s="60" t="n">
        <f aca="false">K740+L740+M740+N740+O740</f>
        <v>0.2</v>
      </c>
      <c r="T740" s="60" t="n">
        <f aca="false">L740+M740</f>
        <v>0.04</v>
      </c>
      <c r="U740" s="60" t="n">
        <f aca="false">S740+J740</f>
        <v>0.2</v>
      </c>
      <c r="V740" s="63" t="n">
        <f aca="false">IFERROR(S740/F740,0)</f>
        <v>0.289855072463768</v>
      </c>
      <c r="W740" s="63" t="n">
        <f aca="false">IFERROR(R740/F740,0)</f>
        <v>0.710144927536232</v>
      </c>
      <c r="X740" s="63" t="n">
        <f aca="false">IFERROR(T740/F740,0)</f>
        <v>0.0579710144927536</v>
      </c>
      <c r="Y740" s="63" t="n">
        <f aca="false">IFERROR(G740/F740,0)</f>
        <v>0</v>
      </c>
      <c r="Z740" s="59" t="n">
        <f aca="false">IF(E740&gt;0,F740*1000000000/E740,"")</f>
        <v>2472.76376146789</v>
      </c>
      <c r="AA740" s="63" t="n">
        <f aca="false">IFERROR((R740+S740+J740)/F740,0)</f>
        <v>1</v>
      </c>
      <c r="AB740" s="0" t="str">
        <f aca="false">A740&amp;"|"&amp;D740</f>
        <v>French Polynesia|2019</v>
      </c>
    </row>
    <row r="741" customFormat="false" ht="15" hidden="false" customHeight="false" outlineLevel="0" collapsed="false">
      <c r="A741" s="0" t="s">
        <v>251</v>
      </c>
      <c r="B741" s="0" t="s">
        <v>489</v>
      </c>
      <c r="C741" s="0" t="s">
        <v>127</v>
      </c>
      <c r="D741" s="0" t="n">
        <v>2020</v>
      </c>
      <c r="E741" s="59" t="n">
        <v>279218</v>
      </c>
      <c r="F741" s="60" t="n">
        <v>0.66</v>
      </c>
      <c r="G741" s="61" t="n">
        <v>0</v>
      </c>
      <c r="H741" s="61" t="n">
        <v>0</v>
      </c>
      <c r="I741" s="61" t="n">
        <v>0.46</v>
      </c>
      <c r="J741" s="61" t="n">
        <v>0</v>
      </c>
      <c r="K741" s="61" t="n">
        <v>0.16</v>
      </c>
      <c r="L741" s="61" t="n">
        <v>0.04</v>
      </c>
      <c r="M741" s="61" t="n">
        <v>0</v>
      </c>
      <c r="N741" s="61" t="n">
        <v>0</v>
      </c>
      <c r="O741" s="61" t="n">
        <v>0</v>
      </c>
      <c r="P741" s="62" t="n">
        <v>454.6</v>
      </c>
      <c r="Q741" s="0" t="n">
        <v>0</v>
      </c>
      <c r="R741" s="60" t="n">
        <f aca="false">G741+H741+I741</f>
        <v>0.46</v>
      </c>
      <c r="S741" s="60" t="n">
        <f aca="false">K741+L741+M741+N741+O741</f>
        <v>0.2</v>
      </c>
      <c r="T741" s="60" t="n">
        <f aca="false">L741+M741</f>
        <v>0.04</v>
      </c>
      <c r="U741" s="60" t="n">
        <f aca="false">S741+J741</f>
        <v>0.2</v>
      </c>
      <c r="V741" s="63" t="n">
        <f aca="false">IFERROR(S741/F741,0)</f>
        <v>0.303030303030303</v>
      </c>
      <c r="W741" s="63" t="n">
        <f aca="false">IFERROR(R741/F741,0)</f>
        <v>0.696969696969697</v>
      </c>
      <c r="X741" s="63" t="n">
        <f aca="false">IFERROR(T741/F741,0)</f>
        <v>0.0606060606060606</v>
      </c>
      <c r="Y741" s="63" t="n">
        <f aca="false">IFERROR(G741/F741,0)</f>
        <v>0</v>
      </c>
      <c r="Z741" s="59" t="n">
        <f aca="false">IF(E741&gt;0,F741*1000000000/E741,"")</f>
        <v>2363.74445773553</v>
      </c>
      <c r="AA741" s="63" t="n">
        <f aca="false">IFERROR((R741+S741+J741)/F741,0)</f>
        <v>1</v>
      </c>
      <c r="AB741" s="0" t="str">
        <f aca="false">A741&amp;"|"&amp;D741</f>
        <v>French Polynesia|2020</v>
      </c>
    </row>
    <row r="742" customFormat="false" ht="15" hidden="false" customHeight="false" outlineLevel="0" collapsed="false">
      <c r="A742" s="0" t="s">
        <v>251</v>
      </c>
      <c r="B742" s="0" t="s">
        <v>489</v>
      </c>
      <c r="C742" s="0" t="s">
        <v>127</v>
      </c>
      <c r="D742" s="0" t="n">
        <v>2021</v>
      </c>
      <c r="E742" s="59" t="n">
        <v>279808</v>
      </c>
      <c r="F742" s="60" t="n">
        <v>0.66</v>
      </c>
      <c r="G742" s="61" t="n">
        <v>0</v>
      </c>
      <c r="H742" s="61" t="n">
        <v>0</v>
      </c>
      <c r="I742" s="61" t="n">
        <v>0.47</v>
      </c>
      <c r="J742" s="61" t="n">
        <v>0</v>
      </c>
      <c r="K742" s="61" t="n">
        <v>0.14</v>
      </c>
      <c r="L742" s="61" t="n">
        <v>0.05</v>
      </c>
      <c r="M742" s="61" t="n">
        <v>0</v>
      </c>
      <c r="N742" s="61" t="n">
        <v>0</v>
      </c>
      <c r="O742" s="61" t="n">
        <v>0</v>
      </c>
      <c r="P742" s="62" t="n">
        <v>469.7</v>
      </c>
      <c r="Q742" s="0" t="n">
        <v>0</v>
      </c>
      <c r="R742" s="60" t="n">
        <f aca="false">G742+H742+I742</f>
        <v>0.47</v>
      </c>
      <c r="S742" s="60" t="n">
        <f aca="false">K742+L742+M742+N742+O742</f>
        <v>0.19</v>
      </c>
      <c r="T742" s="60" t="n">
        <f aca="false">L742+M742</f>
        <v>0.05</v>
      </c>
      <c r="U742" s="60" t="n">
        <f aca="false">S742+J742</f>
        <v>0.19</v>
      </c>
      <c r="V742" s="63" t="n">
        <f aca="false">IFERROR(S742/F742,0)</f>
        <v>0.287878787878788</v>
      </c>
      <c r="W742" s="63" t="n">
        <f aca="false">IFERROR(R742/F742,0)</f>
        <v>0.712121212121212</v>
      </c>
      <c r="X742" s="63" t="n">
        <f aca="false">IFERROR(T742/F742,0)</f>
        <v>0.0757575757575758</v>
      </c>
      <c r="Y742" s="63" t="n">
        <f aca="false">IFERROR(G742/F742,0)</f>
        <v>0</v>
      </c>
      <c r="Z742" s="59" t="n">
        <f aca="false">IF(E742&gt;0,F742*1000000000/E742,"")</f>
        <v>2358.76029277219</v>
      </c>
      <c r="AA742" s="63" t="n">
        <f aca="false">IFERROR((R742+S742+J742)/F742,0)</f>
        <v>1</v>
      </c>
      <c r="AB742" s="0" t="str">
        <f aca="false">A742&amp;"|"&amp;D742</f>
        <v>French Polynesia|2021</v>
      </c>
    </row>
    <row r="743" customFormat="false" ht="15" hidden="false" customHeight="false" outlineLevel="0" collapsed="false">
      <c r="A743" s="0" t="s">
        <v>251</v>
      </c>
      <c r="B743" s="0" t="s">
        <v>489</v>
      </c>
      <c r="C743" s="0" t="s">
        <v>127</v>
      </c>
      <c r="D743" s="0" t="n">
        <v>2022</v>
      </c>
      <c r="E743" s="59" t="n">
        <v>280388</v>
      </c>
      <c r="F743" s="60" t="n">
        <v>0.71</v>
      </c>
      <c r="G743" s="61" t="n">
        <v>0</v>
      </c>
      <c r="H743" s="61" t="n">
        <v>0</v>
      </c>
      <c r="I743" s="61" t="n">
        <v>0.47</v>
      </c>
      <c r="J743" s="61" t="n">
        <v>0</v>
      </c>
      <c r="K743" s="61" t="n">
        <v>0.19</v>
      </c>
      <c r="L743" s="61" t="n">
        <v>0.05</v>
      </c>
      <c r="M743" s="61" t="n">
        <v>0</v>
      </c>
      <c r="N743" s="61" t="n">
        <v>0</v>
      </c>
      <c r="O743" s="61" t="n">
        <v>0</v>
      </c>
      <c r="P743" s="62" t="n">
        <v>436.6</v>
      </c>
      <c r="Q743" s="0" t="n">
        <v>0</v>
      </c>
      <c r="R743" s="60" t="n">
        <f aca="false">G743+H743+I743</f>
        <v>0.47</v>
      </c>
      <c r="S743" s="60" t="n">
        <f aca="false">K743+L743+M743+N743+O743</f>
        <v>0.24</v>
      </c>
      <c r="T743" s="60" t="n">
        <f aca="false">L743+M743</f>
        <v>0.05</v>
      </c>
      <c r="U743" s="60" t="n">
        <f aca="false">S743+J743</f>
        <v>0.24</v>
      </c>
      <c r="V743" s="63" t="n">
        <f aca="false">IFERROR(S743/F743,0)</f>
        <v>0.338028169014085</v>
      </c>
      <c r="W743" s="63" t="n">
        <f aca="false">IFERROR(R743/F743,0)</f>
        <v>0.661971830985916</v>
      </c>
      <c r="X743" s="63" t="n">
        <f aca="false">IFERROR(T743/F743,0)</f>
        <v>0.0704225352112676</v>
      </c>
      <c r="Y743" s="63" t="n">
        <f aca="false">IFERROR(G743/F743,0)</f>
        <v>0</v>
      </c>
      <c r="Z743" s="59" t="n">
        <f aca="false">IF(E743&gt;0,F743*1000000000/E743,"")</f>
        <v>2532.20537255517</v>
      </c>
      <c r="AA743" s="63" t="n">
        <f aca="false">IFERROR((R743+S743+J743)/F743,0)</f>
        <v>1</v>
      </c>
      <c r="AB743" s="0" t="str">
        <f aca="false">A743&amp;"|"&amp;D743</f>
        <v>French Polynesia|2022</v>
      </c>
    </row>
    <row r="744" customFormat="false" ht="15" hidden="false" customHeight="false" outlineLevel="0" collapsed="false">
      <c r="A744" s="0" t="s">
        <v>251</v>
      </c>
      <c r="B744" s="0" t="s">
        <v>489</v>
      </c>
      <c r="C744" s="0" t="s">
        <v>127</v>
      </c>
      <c r="D744" s="0" t="n">
        <v>2023</v>
      </c>
      <c r="E744" s="59" t="n">
        <v>281125</v>
      </c>
      <c r="F744" s="60" t="n">
        <v>0.71</v>
      </c>
      <c r="G744" s="61" t="n">
        <v>0</v>
      </c>
      <c r="H744" s="61" t="n">
        <v>0</v>
      </c>
      <c r="I744" s="61" t="n">
        <v>0.47</v>
      </c>
      <c r="J744" s="61" t="n">
        <v>0</v>
      </c>
      <c r="K744" s="61" t="n">
        <v>0.19</v>
      </c>
      <c r="L744" s="61" t="n">
        <v>0.05</v>
      </c>
      <c r="M744" s="61" t="n">
        <v>0</v>
      </c>
      <c r="N744" s="61" t="n">
        <v>0</v>
      </c>
      <c r="O744" s="61" t="n">
        <v>0</v>
      </c>
      <c r="P744" s="62" t="n">
        <v>436.6</v>
      </c>
      <c r="Q744" s="0" t="n">
        <v>0</v>
      </c>
      <c r="R744" s="60" t="n">
        <f aca="false">G744+H744+I744</f>
        <v>0.47</v>
      </c>
      <c r="S744" s="60" t="n">
        <f aca="false">K744+L744+M744+N744+O744</f>
        <v>0.24</v>
      </c>
      <c r="T744" s="60" t="n">
        <f aca="false">L744+M744</f>
        <v>0.05</v>
      </c>
      <c r="U744" s="60" t="n">
        <f aca="false">S744+J744</f>
        <v>0.24</v>
      </c>
      <c r="V744" s="63" t="n">
        <f aca="false">IFERROR(S744/F744,0)</f>
        <v>0.338028169014085</v>
      </c>
      <c r="W744" s="63" t="n">
        <f aca="false">IFERROR(R744/F744,0)</f>
        <v>0.661971830985916</v>
      </c>
      <c r="X744" s="63" t="n">
        <f aca="false">IFERROR(T744/F744,0)</f>
        <v>0.0704225352112676</v>
      </c>
      <c r="Y744" s="63" t="n">
        <f aca="false">IFERROR(G744/F744,0)</f>
        <v>0</v>
      </c>
      <c r="Z744" s="59" t="n">
        <f aca="false">IF(E744&gt;0,F744*1000000000/E744,"")</f>
        <v>2525.5669186305</v>
      </c>
      <c r="AA744" s="63" t="n">
        <f aca="false">IFERROR((R744+S744+J744)/F744,0)</f>
        <v>1</v>
      </c>
      <c r="AB744" s="0" t="str">
        <f aca="false">A744&amp;"|"&amp;D744</f>
        <v>French Polynesia|2023</v>
      </c>
    </row>
    <row r="745" customFormat="false" ht="15" hidden="false" customHeight="false" outlineLevel="0" collapsed="false">
      <c r="A745" s="0" t="s">
        <v>251</v>
      </c>
      <c r="B745" s="0" t="s">
        <v>489</v>
      </c>
      <c r="C745" s="0" t="s">
        <v>127</v>
      </c>
      <c r="D745" s="0" t="n">
        <v>2024</v>
      </c>
      <c r="E745" s="59" t="n">
        <v>281816</v>
      </c>
      <c r="F745" s="60" t="n">
        <v>0.72</v>
      </c>
      <c r="G745" s="61" t="n">
        <v>0</v>
      </c>
      <c r="H745" s="61" t="n">
        <v>0</v>
      </c>
      <c r="I745" s="61" t="n">
        <v>0.47</v>
      </c>
      <c r="J745" s="61" t="n">
        <v>0</v>
      </c>
      <c r="K745" s="61" t="n">
        <v>0.19</v>
      </c>
      <c r="L745" s="61" t="n">
        <v>0.06</v>
      </c>
      <c r="M745" s="61" t="n">
        <v>0</v>
      </c>
      <c r="N745" s="61" t="n">
        <v>0</v>
      </c>
      <c r="O745" s="61" t="n">
        <v>0</v>
      </c>
      <c r="P745" s="62" t="n">
        <v>430.6</v>
      </c>
      <c r="Q745" s="0" t="n">
        <v>0</v>
      </c>
      <c r="R745" s="60" t="n">
        <f aca="false">G745+H745+I745</f>
        <v>0.47</v>
      </c>
      <c r="S745" s="60" t="n">
        <f aca="false">K745+L745+M745+N745+O745</f>
        <v>0.25</v>
      </c>
      <c r="T745" s="60" t="n">
        <f aca="false">L745+M745</f>
        <v>0.06</v>
      </c>
      <c r="U745" s="60" t="n">
        <f aca="false">S745+J745</f>
        <v>0.25</v>
      </c>
      <c r="V745" s="63" t="n">
        <f aca="false">IFERROR(S745/F745,0)</f>
        <v>0.347222222222222</v>
      </c>
      <c r="W745" s="63" t="n">
        <f aca="false">IFERROR(R745/F745,0)</f>
        <v>0.652777777777778</v>
      </c>
      <c r="X745" s="63" t="n">
        <f aca="false">IFERROR(T745/F745,0)</f>
        <v>0.0833333333333333</v>
      </c>
      <c r="Y745" s="63" t="n">
        <f aca="false">IFERROR(G745/F745,0)</f>
        <v>0</v>
      </c>
      <c r="Z745" s="59" t="n">
        <f aca="false">IF(E745&gt;0,F745*1000000000/E745,"")</f>
        <v>2554.85848922701</v>
      </c>
      <c r="AA745" s="63" t="n">
        <f aca="false">IFERROR((R745+S745+J745)/F745,0)</f>
        <v>1</v>
      </c>
      <c r="AB745" s="0" t="str">
        <f aca="false">A745&amp;"|"&amp;D745</f>
        <v>French Polynesia|2024</v>
      </c>
    </row>
    <row r="746" customFormat="false" ht="15" hidden="false" customHeight="false" outlineLevel="0" collapsed="false">
      <c r="A746" s="0" t="s">
        <v>252</v>
      </c>
      <c r="B746" s="0" t="s">
        <v>490</v>
      </c>
      <c r="C746" s="0" t="s">
        <v>127</v>
      </c>
      <c r="D746" s="0" t="n">
        <v>2015</v>
      </c>
      <c r="E746" s="59" t="n">
        <v>2040990</v>
      </c>
      <c r="F746" s="60" t="n">
        <v>2.12</v>
      </c>
      <c r="G746" s="61" t="n">
        <v>0</v>
      </c>
      <c r="H746" s="61" t="n">
        <v>0.98</v>
      </c>
      <c r="I746" s="61" t="n">
        <v>0.22</v>
      </c>
      <c r="J746" s="61" t="n">
        <v>0</v>
      </c>
      <c r="K746" s="61" t="n">
        <v>0.91</v>
      </c>
      <c r="L746" s="61" t="n">
        <v>0</v>
      </c>
      <c r="M746" s="61" t="n">
        <v>0</v>
      </c>
      <c r="N746" s="61" t="n">
        <v>0.01</v>
      </c>
      <c r="O746" s="61" t="n">
        <v>0</v>
      </c>
      <c r="P746" s="62" t="n">
        <v>476.4</v>
      </c>
      <c r="Q746" s="0" t="n">
        <v>0</v>
      </c>
      <c r="R746" s="60" t="n">
        <f aca="false">G746+H746+I746</f>
        <v>1.2</v>
      </c>
      <c r="S746" s="60" t="n">
        <f aca="false">K746+L746+M746+N746+O746</f>
        <v>0.92</v>
      </c>
      <c r="T746" s="60" t="n">
        <f aca="false">L746+M746</f>
        <v>0</v>
      </c>
      <c r="U746" s="60" t="n">
        <f aca="false">S746+J746</f>
        <v>0.92</v>
      </c>
      <c r="V746" s="63" t="n">
        <f aca="false">IFERROR(S746/F746,0)</f>
        <v>0.433962264150943</v>
      </c>
      <c r="W746" s="63" t="n">
        <f aca="false">IFERROR(R746/F746,0)</f>
        <v>0.566037735849057</v>
      </c>
      <c r="X746" s="63" t="n">
        <f aca="false">IFERROR(T746/F746,0)</f>
        <v>0</v>
      </c>
      <c r="Y746" s="63" t="n">
        <f aca="false">IFERROR(G746/F746,0)</f>
        <v>0</v>
      </c>
      <c r="Z746" s="59" t="n">
        <f aca="false">IF(E746&gt;0,F746*1000000000/E746,"")</f>
        <v>1038.71160564236</v>
      </c>
      <c r="AA746" s="63" t="n">
        <f aca="false">IFERROR((R746+S746+J746)/F746,0)</f>
        <v>1</v>
      </c>
      <c r="AB746" s="0" t="str">
        <f aca="false">A746&amp;"|"&amp;D746</f>
        <v>Gabon|2015</v>
      </c>
    </row>
    <row r="747" customFormat="false" ht="15" hidden="false" customHeight="false" outlineLevel="0" collapsed="false">
      <c r="A747" s="0" t="s">
        <v>252</v>
      </c>
      <c r="B747" s="0" t="s">
        <v>490</v>
      </c>
      <c r="C747" s="0" t="s">
        <v>127</v>
      </c>
      <c r="D747" s="0" t="n">
        <v>2016</v>
      </c>
      <c r="E747" s="59" t="n">
        <v>2100310</v>
      </c>
      <c r="F747" s="60" t="n">
        <v>2.19</v>
      </c>
      <c r="G747" s="61" t="n">
        <v>0</v>
      </c>
      <c r="H747" s="61" t="n">
        <v>1.15</v>
      </c>
      <c r="I747" s="61" t="n">
        <v>0.21</v>
      </c>
      <c r="J747" s="61" t="n">
        <v>0</v>
      </c>
      <c r="K747" s="61" t="n">
        <v>0.82</v>
      </c>
      <c r="L747" s="61" t="n">
        <v>0</v>
      </c>
      <c r="M747" s="61" t="n">
        <v>0</v>
      </c>
      <c r="N747" s="61" t="n">
        <v>0.01</v>
      </c>
      <c r="O747" s="61" t="n">
        <v>0</v>
      </c>
      <c r="P747" s="62" t="n">
        <v>525.1</v>
      </c>
      <c r="Q747" s="0" t="n">
        <v>0</v>
      </c>
      <c r="R747" s="60" t="n">
        <f aca="false">G747+H747+I747</f>
        <v>1.36</v>
      </c>
      <c r="S747" s="60" t="n">
        <f aca="false">K747+L747+M747+N747+O747</f>
        <v>0.83</v>
      </c>
      <c r="T747" s="60" t="n">
        <f aca="false">L747+M747</f>
        <v>0</v>
      </c>
      <c r="U747" s="60" t="n">
        <f aca="false">S747+J747</f>
        <v>0.83</v>
      </c>
      <c r="V747" s="63" t="n">
        <f aca="false">IFERROR(S747/F747,0)</f>
        <v>0.378995433789954</v>
      </c>
      <c r="W747" s="63" t="n">
        <f aca="false">IFERROR(R747/F747,0)</f>
        <v>0.621004566210046</v>
      </c>
      <c r="X747" s="63" t="n">
        <f aca="false">IFERROR(T747/F747,0)</f>
        <v>0</v>
      </c>
      <c r="Y747" s="63" t="n">
        <f aca="false">IFERROR(G747/F747,0)</f>
        <v>0</v>
      </c>
      <c r="Z747" s="59" t="n">
        <f aca="false">IF(E747&gt;0,F747*1000000000/E747,"")</f>
        <v>1042.70322000086</v>
      </c>
      <c r="AA747" s="63" t="n">
        <f aca="false">IFERROR((R747+S747+J747)/F747,0)</f>
        <v>1</v>
      </c>
      <c r="AB747" s="0" t="str">
        <f aca="false">A747&amp;"|"&amp;D747</f>
        <v>Gabon|2016</v>
      </c>
    </row>
    <row r="748" customFormat="false" ht="15" hidden="false" customHeight="false" outlineLevel="0" collapsed="false">
      <c r="A748" s="0" t="s">
        <v>252</v>
      </c>
      <c r="B748" s="0" t="s">
        <v>490</v>
      </c>
      <c r="C748" s="0" t="s">
        <v>127</v>
      </c>
      <c r="D748" s="0" t="n">
        <v>2017</v>
      </c>
      <c r="E748" s="59" t="n">
        <v>2156902</v>
      </c>
      <c r="F748" s="60" t="n">
        <v>2.24</v>
      </c>
      <c r="G748" s="61" t="n">
        <v>0</v>
      </c>
      <c r="H748" s="61" t="n">
        <v>1.11</v>
      </c>
      <c r="I748" s="61" t="n">
        <v>0.19</v>
      </c>
      <c r="J748" s="61" t="n">
        <v>0</v>
      </c>
      <c r="K748" s="61" t="n">
        <v>0.93</v>
      </c>
      <c r="L748" s="61" t="n">
        <v>0</v>
      </c>
      <c r="M748" s="61" t="n">
        <v>0</v>
      </c>
      <c r="N748" s="61" t="n">
        <v>0.01</v>
      </c>
      <c r="O748" s="61" t="n">
        <v>0</v>
      </c>
      <c r="P748" s="62" t="n">
        <v>495.5</v>
      </c>
      <c r="Q748" s="0" t="n">
        <v>0</v>
      </c>
      <c r="R748" s="60" t="n">
        <f aca="false">G748+H748+I748</f>
        <v>1.3</v>
      </c>
      <c r="S748" s="60" t="n">
        <f aca="false">K748+L748+M748+N748+O748</f>
        <v>0.94</v>
      </c>
      <c r="T748" s="60" t="n">
        <f aca="false">L748+M748</f>
        <v>0</v>
      </c>
      <c r="U748" s="60" t="n">
        <f aca="false">S748+J748</f>
        <v>0.94</v>
      </c>
      <c r="V748" s="63" t="n">
        <f aca="false">IFERROR(S748/F748,0)</f>
        <v>0.419642857142857</v>
      </c>
      <c r="W748" s="63" t="n">
        <f aca="false">IFERROR(R748/F748,0)</f>
        <v>0.580357142857143</v>
      </c>
      <c r="X748" s="63" t="n">
        <f aca="false">IFERROR(T748/F748,0)</f>
        <v>0</v>
      </c>
      <c r="Y748" s="63" t="n">
        <f aca="false">IFERROR(G748/F748,0)</f>
        <v>0</v>
      </c>
      <c r="Z748" s="59" t="n">
        <f aca="false">IF(E748&gt;0,F748*1000000000/E748,"")</f>
        <v>1038.52655336218</v>
      </c>
      <c r="AA748" s="63" t="n">
        <f aca="false">IFERROR((R748+S748+J748)/F748,0)</f>
        <v>1</v>
      </c>
      <c r="AB748" s="0" t="str">
        <f aca="false">A748&amp;"|"&amp;D748</f>
        <v>Gabon|2017</v>
      </c>
    </row>
    <row r="749" customFormat="false" ht="15" hidden="false" customHeight="false" outlineLevel="0" collapsed="false">
      <c r="A749" s="0" t="s">
        <v>252</v>
      </c>
      <c r="B749" s="0" t="s">
        <v>490</v>
      </c>
      <c r="C749" s="0" t="s">
        <v>127</v>
      </c>
      <c r="D749" s="0" t="n">
        <v>2018</v>
      </c>
      <c r="E749" s="59" t="n">
        <v>2212320</v>
      </c>
      <c r="F749" s="60" t="n">
        <v>2.78</v>
      </c>
      <c r="G749" s="61" t="n">
        <v>0</v>
      </c>
      <c r="H749" s="61" t="n">
        <v>1.08</v>
      </c>
      <c r="I749" s="61" t="n">
        <v>0.39</v>
      </c>
      <c r="J749" s="61" t="n">
        <v>0</v>
      </c>
      <c r="K749" s="61" t="n">
        <v>1.3</v>
      </c>
      <c r="L749" s="61" t="n">
        <v>0</v>
      </c>
      <c r="M749" s="61" t="n">
        <v>0</v>
      </c>
      <c r="N749" s="61" t="n">
        <v>0.01</v>
      </c>
      <c r="O749" s="61" t="n">
        <v>0</v>
      </c>
      <c r="P749" s="62" t="n">
        <v>438.9</v>
      </c>
      <c r="Q749" s="0" t="n">
        <v>0</v>
      </c>
      <c r="R749" s="60" t="n">
        <f aca="false">G749+H749+I749</f>
        <v>1.47</v>
      </c>
      <c r="S749" s="60" t="n">
        <f aca="false">K749+L749+M749+N749+O749</f>
        <v>1.31</v>
      </c>
      <c r="T749" s="60" t="n">
        <f aca="false">L749+M749</f>
        <v>0</v>
      </c>
      <c r="U749" s="60" t="n">
        <f aca="false">S749+J749</f>
        <v>1.31</v>
      </c>
      <c r="V749" s="63" t="n">
        <f aca="false">IFERROR(S749/F749,0)</f>
        <v>0.471223021582734</v>
      </c>
      <c r="W749" s="63" t="n">
        <f aca="false">IFERROR(R749/F749,0)</f>
        <v>0.528776978417266</v>
      </c>
      <c r="X749" s="63" t="n">
        <f aca="false">IFERROR(T749/F749,0)</f>
        <v>0</v>
      </c>
      <c r="Y749" s="63" t="n">
        <f aca="false">IFERROR(G749/F749,0)</f>
        <v>0</v>
      </c>
      <c r="Z749" s="59" t="n">
        <f aca="false">IF(E749&gt;0,F749*1000000000/E749,"")</f>
        <v>1256.5994069574</v>
      </c>
      <c r="AA749" s="63" t="n">
        <f aca="false">IFERROR((R749+S749+J749)/F749,0)</f>
        <v>1</v>
      </c>
      <c r="AB749" s="0" t="str">
        <f aca="false">A749&amp;"|"&amp;D749</f>
        <v>Gabon|2018</v>
      </c>
    </row>
    <row r="750" customFormat="false" ht="15" hidden="false" customHeight="false" outlineLevel="0" collapsed="false">
      <c r="A750" s="0" t="s">
        <v>252</v>
      </c>
      <c r="B750" s="0" t="s">
        <v>490</v>
      </c>
      <c r="C750" s="0" t="s">
        <v>127</v>
      </c>
      <c r="D750" s="0" t="n">
        <v>2019</v>
      </c>
      <c r="E750" s="59" t="n">
        <v>2267711</v>
      </c>
      <c r="F750" s="60" t="n">
        <v>2.84</v>
      </c>
      <c r="G750" s="61" t="n">
        <v>0</v>
      </c>
      <c r="H750" s="61" t="n">
        <v>1.1</v>
      </c>
      <c r="I750" s="61" t="n">
        <v>0.42</v>
      </c>
      <c r="J750" s="61" t="n">
        <v>0</v>
      </c>
      <c r="K750" s="61" t="n">
        <v>1.31</v>
      </c>
      <c r="L750" s="61" t="n">
        <v>0</v>
      </c>
      <c r="M750" s="61" t="n">
        <v>0</v>
      </c>
      <c r="N750" s="61" t="n">
        <v>0.01</v>
      </c>
      <c r="O750" s="61" t="n">
        <v>0</v>
      </c>
      <c r="P750" s="62" t="n">
        <v>443.7</v>
      </c>
      <c r="Q750" s="0" t="n">
        <v>0</v>
      </c>
      <c r="R750" s="60" t="n">
        <f aca="false">G750+H750+I750</f>
        <v>1.52</v>
      </c>
      <c r="S750" s="60" t="n">
        <f aca="false">K750+L750+M750+N750+O750</f>
        <v>1.32</v>
      </c>
      <c r="T750" s="60" t="n">
        <f aca="false">L750+M750</f>
        <v>0</v>
      </c>
      <c r="U750" s="60" t="n">
        <f aca="false">S750+J750</f>
        <v>1.32</v>
      </c>
      <c r="V750" s="63" t="n">
        <f aca="false">IFERROR(S750/F750,0)</f>
        <v>0.464788732394366</v>
      </c>
      <c r="W750" s="63" t="n">
        <f aca="false">IFERROR(R750/F750,0)</f>
        <v>0.535211267605634</v>
      </c>
      <c r="X750" s="63" t="n">
        <f aca="false">IFERROR(T750/F750,0)</f>
        <v>0</v>
      </c>
      <c r="Y750" s="63" t="n">
        <f aca="false">IFERROR(G750/F750,0)</f>
        <v>0</v>
      </c>
      <c r="Z750" s="59" t="n">
        <f aca="false">IF(E750&gt;0,F750*1000000000/E750,"")</f>
        <v>1252.36416809726</v>
      </c>
      <c r="AA750" s="63" t="n">
        <f aca="false">IFERROR((R750+S750+J750)/F750,0)</f>
        <v>1</v>
      </c>
      <c r="AB750" s="0" t="str">
        <f aca="false">A750&amp;"|"&amp;D750</f>
        <v>Gabon|2019</v>
      </c>
    </row>
    <row r="751" customFormat="false" ht="15" hidden="false" customHeight="false" outlineLevel="0" collapsed="false">
      <c r="A751" s="0" t="s">
        <v>252</v>
      </c>
      <c r="B751" s="0" t="s">
        <v>490</v>
      </c>
      <c r="C751" s="0" t="s">
        <v>127</v>
      </c>
      <c r="D751" s="0" t="n">
        <v>2020</v>
      </c>
      <c r="E751" s="59" t="n">
        <v>2322538</v>
      </c>
      <c r="F751" s="60" t="n">
        <v>2.93</v>
      </c>
      <c r="G751" s="61" t="n">
        <v>0</v>
      </c>
      <c r="H751" s="61" t="n">
        <v>1.1</v>
      </c>
      <c r="I751" s="61" t="n">
        <v>0.4</v>
      </c>
      <c r="J751" s="61" t="n">
        <v>0</v>
      </c>
      <c r="K751" s="61" t="n">
        <v>1.42</v>
      </c>
      <c r="L751" s="61" t="n">
        <v>0</v>
      </c>
      <c r="M751" s="61" t="n">
        <v>0</v>
      </c>
      <c r="N751" s="61" t="n">
        <v>0.01</v>
      </c>
      <c r="O751" s="61" t="n">
        <v>0</v>
      </c>
      <c r="P751" s="62" t="n">
        <v>423.2</v>
      </c>
      <c r="Q751" s="0" t="n">
        <v>0</v>
      </c>
      <c r="R751" s="60" t="n">
        <f aca="false">G751+H751+I751</f>
        <v>1.5</v>
      </c>
      <c r="S751" s="60" t="n">
        <f aca="false">K751+L751+M751+N751+O751</f>
        <v>1.43</v>
      </c>
      <c r="T751" s="60" t="n">
        <f aca="false">L751+M751</f>
        <v>0</v>
      </c>
      <c r="U751" s="60" t="n">
        <f aca="false">S751+J751</f>
        <v>1.43</v>
      </c>
      <c r="V751" s="63" t="n">
        <f aca="false">IFERROR(S751/F751,0)</f>
        <v>0.488054607508532</v>
      </c>
      <c r="W751" s="63" t="n">
        <f aca="false">IFERROR(R751/F751,0)</f>
        <v>0.511945392491468</v>
      </c>
      <c r="X751" s="63" t="n">
        <f aca="false">IFERROR(T751/F751,0)</f>
        <v>0</v>
      </c>
      <c r="Y751" s="63" t="n">
        <f aca="false">IFERROR(G751/F751,0)</f>
        <v>0</v>
      </c>
      <c r="Z751" s="59" t="n">
        <f aca="false">IF(E751&gt;0,F751*1000000000/E751,"")</f>
        <v>1261.55094125478</v>
      </c>
      <c r="AA751" s="63" t="n">
        <f aca="false">IFERROR((R751+S751+J751)/F751,0)</f>
        <v>1</v>
      </c>
      <c r="AB751" s="0" t="str">
        <f aca="false">A751&amp;"|"&amp;D751</f>
        <v>Gabon|2020</v>
      </c>
    </row>
    <row r="752" customFormat="false" ht="15" hidden="false" customHeight="false" outlineLevel="0" collapsed="false">
      <c r="A752" s="0" t="s">
        <v>252</v>
      </c>
      <c r="B752" s="0" t="s">
        <v>490</v>
      </c>
      <c r="C752" s="0" t="s">
        <v>127</v>
      </c>
      <c r="D752" s="0" t="n">
        <v>2021</v>
      </c>
      <c r="E752" s="59" t="n">
        <v>2376729</v>
      </c>
      <c r="F752" s="60" t="n">
        <v>2.96</v>
      </c>
      <c r="G752" s="61" t="n">
        <v>0</v>
      </c>
      <c r="H752" s="61" t="n">
        <v>1.11</v>
      </c>
      <c r="I752" s="61" t="n">
        <v>0.47</v>
      </c>
      <c r="J752" s="61" t="n">
        <v>0</v>
      </c>
      <c r="K752" s="61" t="n">
        <v>1.37</v>
      </c>
      <c r="L752" s="61" t="n">
        <v>0</v>
      </c>
      <c r="M752" s="61" t="n">
        <v>0</v>
      </c>
      <c r="N752" s="61" t="n">
        <v>0.01</v>
      </c>
      <c r="O752" s="61" t="n">
        <v>0</v>
      </c>
      <c r="P752" s="62" t="n">
        <v>439.2</v>
      </c>
      <c r="Q752" s="0" t="n">
        <v>0</v>
      </c>
      <c r="R752" s="60" t="n">
        <f aca="false">G752+H752+I752</f>
        <v>1.58</v>
      </c>
      <c r="S752" s="60" t="n">
        <f aca="false">K752+L752+M752+N752+O752</f>
        <v>1.38</v>
      </c>
      <c r="T752" s="60" t="n">
        <f aca="false">L752+M752</f>
        <v>0</v>
      </c>
      <c r="U752" s="60" t="n">
        <f aca="false">S752+J752</f>
        <v>1.38</v>
      </c>
      <c r="V752" s="63" t="n">
        <f aca="false">IFERROR(S752/F752,0)</f>
        <v>0.466216216216216</v>
      </c>
      <c r="W752" s="63" t="n">
        <f aca="false">IFERROR(R752/F752,0)</f>
        <v>0.533783783783784</v>
      </c>
      <c r="X752" s="63" t="n">
        <f aca="false">IFERROR(T752/F752,0)</f>
        <v>0</v>
      </c>
      <c r="Y752" s="63" t="n">
        <f aca="false">IFERROR(G752/F752,0)</f>
        <v>0</v>
      </c>
      <c r="Z752" s="59" t="n">
        <f aca="false">IF(E752&gt;0,F752*1000000000/E752,"")</f>
        <v>1245.40913162586</v>
      </c>
      <c r="AA752" s="63" t="n">
        <f aca="false">IFERROR((R752+S752+J752)/F752,0)</f>
        <v>1</v>
      </c>
      <c r="AB752" s="0" t="str">
        <f aca="false">A752&amp;"|"&amp;D752</f>
        <v>Gabon|2021</v>
      </c>
    </row>
    <row r="753" customFormat="false" ht="15" hidden="false" customHeight="false" outlineLevel="0" collapsed="false">
      <c r="A753" s="0" t="s">
        <v>252</v>
      </c>
      <c r="B753" s="0" t="s">
        <v>490</v>
      </c>
      <c r="C753" s="0" t="s">
        <v>127</v>
      </c>
      <c r="D753" s="0" t="n">
        <v>2022</v>
      </c>
      <c r="E753" s="59" t="n">
        <v>2430750</v>
      </c>
      <c r="F753" s="60" t="n">
        <v>3.19</v>
      </c>
      <c r="G753" s="61" t="n">
        <v>0</v>
      </c>
      <c r="H753" s="61" t="n">
        <v>1.12</v>
      </c>
      <c r="I753" s="61" t="n">
        <v>0.54</v>
      </c>
      <c r="J753" s="61" t="n">
        <v>0</v>
      </c>
      <c r="K753" s="61" t="n">
        <v>1.52</v>
      </c>
      <c r="L753" s="61" t="n">
        <v>0</v>
      </c>
      <c r="M753" s="61" t="n">
        <v>0</v>
      </c>
      <c r="N753" s="61" t="n">
        <v>0.01</v>
      </c>
      <c r="O753" s="61" t="n">
        <v>0</v>
      </c>
      <c r="P753" s="62" t="n">
        <v>429.5</v>
      </c>
      <c r="Q753" s="0" t="n">
        <v>0</v>
      </c>
      <c r="R753" s="60" t="n">
        <f aca="false">G753+H753+I753</f>
        <v>1.66</v>
      </c>
      <c r="S753" s="60" t="n">
        <f aca="false">K753+L753+M753+N753+O753</f>
        <v>1.53</v>
      </c>
      <c r="T753" s="60" t="n">
        <f aca="false">L753+M753</f>
        <v>0</v>
      </c>
      <c r="U753" s="60" t="n">
        <f aca="false">S753+J753</f>
        <v>1.53</v>
      </c>
      <c r="V753" s="63" t="n">
        <f aca="false">IFERROR(S753/F753,0)</f>
        <v>0.479623824451411</v>
      </c>
      <c r="W753" s="63" t="n">
        <f aca="false">IFERROR(R753/F753,0)</f>
        <v>0.520376175548589</v>
      </c>
      <c r="X753" s="63" t="n">
        <f aca="false">IFERROR(T753/F753,0)</f>
        <v>0</v>
      </c>
      <c r="Y753" s="63" t="n">
        <f aca="false">IFERROR(G753/F753,0)</f>
        <v>0</v>
      </c>
      <c r="Z753" s="59" t="n">
        <f aca="false">IF(E753&gt;0,F753*1000000000/E753,"")</f>
        <v>1312.35215468477</v>
      </c>
      <c r="AA753" s="63" t="n">
        <f aca="false">IFERROR((R753+S753+J753)/F753,0)</f>
        <v>1</v>
      </c>
      <c r="AB753" s="0" t="str">
        <f aca="false">A753&amp;"|"&amp;D753</f>
        <v>Gabon|2022</v>
      </c>
    </row>
    <row r="754" customFormat="false" ht="15" hidden="false" customHeight="false" outlineLevel="0" collapsed="false">
      <c r="A754" s="0" t="s">
        <v>252</v>
      </c>
      <c r="B754" s="0" t="s">
        <v>490</v>
      </c>
      <c r="C754" s="0" t="s">
        <v>127</v>
      </c>
      <c r="D754" s="0" t="n">
        <v>2023</v>
      </c>
      <c r="E754" s="59" t="n">
        <v>2484790</v>
      </c>
      <c r="F754" s="60" t="n">
        <v>2.59</v>
      </c>
      <c r="G754" s="61" t="n">
        <v>0</v>
      </c>
      <c r="H754" s="61" t="n">
        <v>1.14</v>
      </c>
      <c r="I754" s="61" t="n">
        <v>0.53</v>
      </c>
      <c r="J754" s="61" t="n">
        <v>0</v>
      </c>
      <c r="K754" s="61" t="n">
        <v>0.91</v>
      </c>
      <c r="L754" s="61" t="n">
        <v>0</v>
      </c>
      <c r="M754" s="61" t="n">
        <v>0</v>
      </c>
      <c r="N754" s="61" t="n">
        <v>0.01</v>
      </c>
      <c r="O754" s="61" t="n">
        <v>0</v>
      </c>
      <c r="P754" s="62" t="n">
        <v>525.1</v>
      </c>
      <c r="Q754" s="0" t="n">
        <v>0</v>
      </c>
      <c r="R754" s="60" t="n">
        <f aca="false">G754+H754+I754</f>
        <v>1.67</v>
      </c>
      <c r="S754" s="60" t="n">
        <f aca="false">K754+L754+M754+N754+O754</f>
        <v>0.92</v>
      </c>
      <c r="T754" s="60" t="n">
        <f aca="false">L754+M754</f>
        <v>0</v>
      </c>
      <c r="U754" s="60" t="n">
        <f aca="false">S754+J754</f>
        <v>0.92</v>
      </c>
      <c r="V754" s="63" t="n">
        <f aca="false">IFERROR(S754/F754,0)</f>
        <v>0.355212355212355</v>
      </c>
      <c r="W754" s="63" t="n">
        <f aca="false">IFERROR(R754/F754,0)</f>
        <v>0.644787644787645</v>
      </c>
      <c r="X754" s="63" t="n">
        <f aca="false">IFERROR(T754/F754,0)</f>
        <v>0</v>
      </c>
      <c r="Y754" s="63" t="n">
        <f aca="false">IFERROR(G754/F754,0)</f>
        <v>0</v>
      </c>
      <c r="Z754" s="59" t="n">
        <f aca="false">IF(E754&gt;0,F754*1000000000/E754,"")</f>
        <v>1042.34160633293</v>
      </c>
      <c r="AA754" s="63" t="n">
        <f aca="false">IFERROR((R754+S754+J754)/F754,0)</f>
        <v>1</v>
      </c>
      <c r="AB754" s="0" t="str">
        <f aca="false">A754&amp;"|"&amp;D754</f>
        <v>Gabon|2023</v>
      </c>
    </row>
    <row r="755" customFormat="false" ht="15" hidden="false" customHeight="false" outlineLevel="0" collapsed="false">
      <c r="A755" s="0" t="s">
        <v>252</v>
      </c>
      <c r="B755" s="0" t="s">
        <v>490</v>
      </c>
      <c r="C755" s="0" t="s">
        <v>127</v>
      </c>
      <c r="D755" s="0" t="n">
        <v>2024</v>
      </c>
      <c r="E755" s="59" t="n">
        <v>2538953</v>
      </c>
      <c r="F755" s="60" t="n">
        <v>2.6</v>
      </c>
      <c r="G755" s="61" t="n">
        <v>0</v>
      </c>
      <c r="H755" s="61" t="n">
        <v>1.15</v>
      </c>
      <c r="I755" s="61" t="n">
        <v>0.53</v>
      </c>
      <c r="J755" s="61" t="n">
        <v>0</v>
      </c>
      <c r="K755" s="61" t="n">
        <v>0.91</v>
      </c>
      <c r="L755" s="61" t="n">
        <v>0</v>
      </c>
      <c r="M755" s="61" t="n">
        <v>0</v>
      </c>
      <c r="N755" s="61" t="n">
        <v>0.01</v>
      </c>
      <c r="O755" s="61" t="n">
        <v>0</v>
      </c>
      <c r="P755" s="62" t="n">
        <v>523.1</v>
      </c>
      <c r="Q755" s="0" t="n">
        <v>0</v>
      </c>
      <c r="R755" s="60" t="n">
        <f aca="false">G755+H755+I755</f>
        <v>1.68</v>
      </c>
      <c r="S755" s="60" t="n">
        <f aca="false">K755+L755+M755+N755+O755</f>
        <v>0.92</v>
      </c>
      <c r="T755" s="60" t="n">
        <f aca="false">L755+M755</f>
        <v>0</v>
      </c>
      <c r="U755" s="60" t="n">
        <f aca="false">S755+J755</f>
        <v>0.92</v>
      </c>
      <c r="V755" s="63" t="n">
        <f aca="false">IFERROR(S755/F755,0)</f>
        <v>0.353846153846154</v>
      </c>
      <c r="W755" s="63" t="n">
        <f aca="false">IFERROR(R755/F755,0)</f>
        <v>0.646153846153846</v>
      </c>
      <c r="X755" s="63" t="n">
        <f aca="false">IFERROR(T755/F755,0)</f>
        <v>0</v>
      </c>
      <c r="Y755" s="63" t="n">
        <f aca="false">IFERROR(G755/F755,0)</f>
        <v>0</v>
      </c>
      <c r="Z755" s="59" t="n">
        <f aca="false">IF(E755&gt;0,F755*1000000000/E755,"")</f>
        <v>1024.04416308612</v>
      </c>
      <c r="AA755" s="63" t="n">
        <f aca="false">IFERROR((R755+S755+J755)/F755,0)</f>
        <v>1</v>
      </c>
      <c r="AB755" s="0" t="str">
        <f aca="false">A755&amp;"|"&amp;D755</f>
        <v>Gabon|2024</v>
      </c>
    </row>
    <row r="756" customFormat="false" ht="15" hidden="false" customHeight="false" outlineLevel="0" collapsed="false">
      <c r="A756" s="0" t="s">
        <v>253</v>
      </c>
      <c r="B756" s="0" t="s">
        <v>491</v>
      </c>
      <c r="C756" s="0" t="s">
        <v>127</v>
      </c>
      <c r="D756" s="0" t="n">
        <v>2015</v>
      </c>
      <c r="E756" s="59" t="n">
        <v>2224530</v>
      </c>
      <c r="F756" s="60" t="n">
        <v>0.28</v>
      </c>
      <c r="G756" s="61" t="n">
        <v>0</v>
      </c>
      <c r="H756" s="61" t="n">
        <v>0</v>
      </c>
      <c r="I756" s="61" t="n">
        <v>0.28</v>
      </c>
      <c r="J756" s="61" t="n">
        <v>0</v>
      </c>
      <c r="K756" s="61" t="n">
        <v>0</v>
      </c>
      <c r="L756" s="61" t="n">
        <v>0</v>
      </c>
      <c r="M756" s="61" t="n">
        <v>0</v>
      </c>
      <c r="N756" s="61" t="n">
        <v>0</v>
      </c>
      <c r="O756" s="61" t="n">
        <v>0</v>
      </c>
      <c r="P756" s="62" t="n">
        <v>642.9</v>
      </c>
      <c r="Q756" s="0" t="n">
        <v>0</v>
      </c>
      <c r="R756" s="60" t="n">
        <f aca="false">G756+H756+I756</f>
        <v>0.28</v>
      </c>
      <c r="S756" s="60" t="n">
        <f aca="false">K756+L756+M756+N756+O756</f>
        <v>0</v>
      </c>
      <c r="T756" s="60" t="n">
        <f aca="false">L756+M756</f>
        <v>0</v>
      </c>
      <c r="U756" s="60" t="n">
        <f aca="false">S756+J756</f>
        <v>0</v>
      </c>
      <c r="V756" s="63" t="n">
        <f aca="false">IFERROR(S756/F756,0)</f>
        <v>0</v>
      </c>
      <c r="W756" s="63" t="n">
        <f aca="false">IFERROR(R756/F756,0)</f>
        <v>1</v>
      </c>
      <c r="X756" s="63" t="n">
        <f aca="false">IFERROR(T756/F756,0)</f>
        <v>0</v>
      </c>
      <c r="Y756" s="63" t="n">
        <f aca="false">IFERROR(G756/F756,0)</f>
        <v>0</v>
      </c>
      <c r="Z756" s="59" t="n">
        <f aca="false">IF(E756&gt;0,F756*1000000000/E756,"")</f>
        <v>125.869284747789</v>
      </c>
      <c r="AA756" s="63" t="n">
        <f aca="false">IFERROR((R756+S756+J756)/F756,0)</f>
        <v>1</v>
      </c>
      <c r="AB756" s="0" t="str">
        <f aca="false">A756&amp;"|"&amp;D756</f>
        <v>Gambia|2015</v>
      </c>
    </row>
    <row r="757" customFormat="false" ht="15" hidden="false" customHeight="false" outlineLevel="0" collapsed="false">
      <c r="A757" s="0" t="s">
        <v>253</v>
      </c>
      <c r="B757" s="0" t="s">
        <v>491</v>
      </c>
      <c r="C757" s="0" t="s">
        <v>127</v>
      </c>
      <c r="D757" s="0" t="n">
        <v>2016</v>
      </c>
      <c r="E757" s="59" t="n">
        <v>2283775</v>
      </c>
      <c r="F757" s="60" t="n">
        <v>0.3</v>
      </c>
      <c r="G757" s="61" t="n">
        <v>0</v>
      </c>
      <c r="H757" s="61" t="n">
        <v>0</v>
      </c>
      <c r="I757" s="61" t="n">
        <v>0.3</v>
      </c>
      <c r="J757" s="61" t="n">
        <v>0</v>
      </c>
      <c r="K757" s="61" t="n">
        <v>0</v>
      </c>
      <c r="L757" s="61" t="n">
        <v>0</v>
      </c>
      <c r="M757" s="61" t="n">
        <v>0</v>
      </c>
      <c r="N757" s="61" t="n">
        <v>0</v>
      </c>
      <c r="O757" s="61" t="n">
        <v>0</v>
      </c>
      <c r="P757" s="62" t="n">
        <v>666.7</v>
      </c>
      <c r="Q757" s="0" t="n">
        <v>0</v>
      </c>
      <c r="R757" s="60" t="n">
        <f aca="false">G757+H757+I757</f>
        <v>0.3</v>
      </c>
      <c r="S757" s="60" t="n">
        <f aca="false">K757+L757+M757+N757+O757</f>
        <v>0</v>
      </c>
      <c r="T757" s="60" t="n">
        <f aca="false">L757+M757</f>
        <v>0</v>
      </c>
      <c r="U757" s="60" t="n">
        <f aca="false">S757+J757</f>
        <v>0</v>
      </c>
      <c r="V757" s="63" t="n">
        <f aca="false">IFERROR(S757/F757,0)</f>
        <v>0</v>
      </c>
      <c r="W757" s="63" t="n">
        <f aca="false">IFERROR(R757/F757,0)</f>
        <v>1</v>
      </c>
      <c r="X757" s="63" t="n">
        <f aca="false">IFERROR(T757/F757,0)</f>
        <v>0</v>
      </c>
      <c r="Y757" s="63" t="n">
        <f aca="false">IFERROR(G757/F757,0)</f>
        <v>0</v>
      </c>
      <c r="Z757" s="59" t="n">
        <f aca="false">IF(E757&gt;0,F757*1000000000/E757,"")</f>
        <v>131.361451981916</v>
      </c>
      <c r="AA757" s="63" t="n">
        <f aca="false">IFERROR((R757+S757+J757)/F757,0)</f>
        <v>1</v>
      </c>
      <c r="AB757" s="0" t="str">
        <f aca="false">A757&amp;"|"&amp;D757</f>
        <v>Gambia|2016</v>
      </c>
    </row>
    <row r="758" customFormat="false" ht="15" hidden="false" customHeight="false" outlineLevel="0" collapsed="false">
      <c r="A758" s="0" t="s">
        <v>253</v>
      </c>
      <c r="B758" s="0" t="s">
        <v>491</v>
      </c>
      <c r="C758" s="0" t="s">
        <v>127</v>
      </c>
      <c r="D758" s="0" t="n">
        <v>2017</v>
      </c>
      <c r="E758" s="59" t="n">
        <v>2342191</v>
      </c>
      <c r="F758" s="60" t="n">
        <v>0.31</v>
      </c>
      <c r="G758" s="61" t="n">
        <v>0</v>
      </c>
      <c r="H758" s="61" t="n">
        <v>0</v>
      </c>
      <c r="I758" s="61" t="n">
        <v>0.31</v>
      </c>
      <c r="J758" s="61" t="n">
        <v>0</v>
      </c>
      <c r="K758" s="61" t="n">
        <v>0</v>
      </c>
      <c r="L758" s="61" t="n">
        <v>0</v>
      </c>
      <c r="M758" s="61" t="n">
        <v>0</v>
      </c>
      <c r="N758" s="61" t="n">
        <v>0</v>
      </c>
      <c r="O758" s="61" t="n">
        <v>0</v>
      </c>
      <c r="P758" s="62" t="n">
        <v>645.2</v>
      </c>
      <c r="Q758" s="0" t="n">
        <v>0</v>
      </c>
      <c r="R758" s="60" t="n">
        <f aca="false">G758+H758+I758</f>
        <v>0.31</v>
      </c>
      <c r="S758" s="60" t="n">
        <f aca="false">K758+L758+M758+N758+O758</f>
        <v>0</v>
      </c>
      <c r="T758" s="60" t="n">
        <f aca="false">L758+M758</f>
        <v>0</v>
      </c>
      <c r="U758" s="60" t="n">
        <f aca="false">S758+J758</f>
        <v>0</v>
      </c>
      <c r="V758" s="63" t="n">
        <f aca="false">IFERROR(S758/F758,0)</f>
        <v>0</v>
      </c>
      <c r="W758" s="63" t="n">
        <f aca="false">IFERROR(R758/F758,0)</f>
        <v>1</v>
      </c>
      <c r="X758" s="63" t="n">
        <f aca="false">IFERROR(T758/F758,0)</f>
        <v>0</v>
      </c>
      <c r="Y758" s="63" t="n">
        <f aca="false">IFERROR(G758/F758,0)</f>
        <v>0</v>
      </c>
      <c r="Z758" s="59" t="n">
        <f aca="false">IF(E758&gt;0,F758*1000000000/E758,"")</f>
        <v>132.354705487298</v>
      </c>
      <c r="AA758" s="63" t="n">
        <f aca="false">IFERROR((R758+S758+J758)/F758,0)</f>
        <v>1</v>
      </c>
      <c r="AB758" s="0" t="str">
        <f aca="false">A758&amp;"|"&amp;D758</f>
        <v>Gambia|2017</v>
      </c>
    </row>
    <row r="759" customFormat="false" ht="15" hidden="false" customHeight="false" outlineLevel="0" collapsed="false">
      <c r="A759" s="0" t="s">
        <v>253</v>
      </c>
      <c r="B759" s="0" t="s">
        <v>491</v>
      </c>
      <c r="C759" s="0" t="s">
        <v>127</v>
      </c>
      <c r="D759" s="0" t="n">
        <v>2018</v>
      </c>
      <c r="E759" s="59" t="n">
        <v>2399633</v>
      </c>
      <c r="F759" s="60" t="n">
        <v>0.39</v>
      </c>
      <c r="G759" s="61" t="n">
        <v>0</v>
      </c>
      <c r="H759" s="61" t="n">
        <v>0</v>
      </c>
      <c r="I759" s="61" t="n">
        <v>0.39</v>
      </c>
      <c r="J759" s="61" t="n">
        <v>0</v>
      </c>
      <c r="K759" s="61" t="n">
        <v>0</v>
      </c>
      <c r="L759" s="61" t="n">
        <v>0</v>
      </c>
      <c r="M759" s="61" t="n">
        <v>0</v>
      </c>
      <c r="N759" s="61" t="n">
        <v>0</v>
      </c>
      <c r="O759" s="61" t="n">
        <v>0</v>
      </c>
      <c r="P759" s="62" t="n">
        <v>666.7</v>
      </c>
      <c r="Q759" s="0" t="n">
        <v>0</v>
      </c>
      <c r="R759" s="60" t="n">
        <f aca="false">G759+H759+I759</f>
        <v>0.39</v>
      </c>
      <c r="S759" s="60" t="n">
        <f aca="false">K759+L759+M759+N759+O759</f>
        <v>0</v>
      </c>
      <c r="T759" s="60" t="n">
        <f aca="false">L759+M759</f>
        <v>0</v>
      </c>
      <c r="U759" s="60" t="n">
        <f aca="false">S759+J759</f>
        <v>0</v>
      </c>
      <c r="V759" s="63" t="n">
        <f aca="false">IFERROR(S759/F759,0)</f>
        <v>0</v>
      </c>
      <c r="W759" s="63" t="n">
        <f aca="false">IFERROR(R759/F759,0)</f>
        <v>1</v>
      </c>
      <c r="X759" s="63" t="n">
        <f aca="false">IFERROR(T759/F759,0)</f>
        <v>0</v>
      </c>
      <c r="Y759" s="63" t="n">
        <f aca="false">IFERROR(G759/F759,0)</f>
        <v>0</v>
      </c>
      <c r="Z759" s="59" t="n">
        <f aca="false">IF(E759&gt;0,F759*1000000000/E759,"")</f>
        <v>162.524852758734</v>
      </c>
      <c r="AA759" s="63" t="n">
        <f aca="false">IFERROR((R759+S759+J759)/F759,0)</f>
        <v>1</v>
      </c>
      <c r="AB759" s="0" t="str">
        <f aca="false">A759&amp;"|"&amp;D759</f>
        <v>Gambia|2018</v>
      </c>
    </row>
    <row r="760" customFormat="false" ht="15" hidden="false" customHeight="false" outlineLevel="0" collapsed="false">
      <c r="A760" s="0" t="s">
        <v>253</v>
      </c>
      <c r="B760" s="0" t="s">
        <v>491</v>
      </c>
      <c r="C760" s="0" t="s">
        <v>127</v>
      </c>
      <c r="D760" s="0" t="n">
        <v>2019</v>
      </c>
      <c r="E760" s="59" t="n">
        <v>2456847</v>
      </c>
      <c r="F760" s="60" t="n">
        <v>0.46</v>
      </c>
      <c r="G760" s="61" t="n">
        <v>0</v>
      </c>
      <c r="H760" s="61" t="n">
        <v>0</v>
      </c>
      <c r="I760" s="61" t="n">
        <v>0.46</v>
      </c>
      <c r="J760" s="61" t="n">
        <v>0</v>
      </c>
      <c r="K760" s="61" t="n">
        <v>0</v>
      </c>
      <c r="L760" s="61" t="n">
        <v>0</v>
      </c>
      <c r="M760" s="61" t="n">
        <v>0</v>
      </c>
      <c r="N760" s="61" t="n">
        <v>0</v>
      </c>
      <c r="O760" s="61" t="n">
        <v>0</v>
      </c>
      <c r="P760" s="62" t="n">
        <v>652.2</v>
      </c>
      <c r="Q760" s="0" t="n">
        <v>0</v>
      </c>
      <c r="R760" s="60" t="n">
        <f aca="false">G760+H760+I760</f>
        <v>0.46</v>
      </c>
      <c r="S760" s="60" t="n">
        <f aca="false">K760+L760+M760+N760+O760</f>
        <v>0</v>
      </c>
      <c r="T760" s="60" t="n">
        <f aca="false">L760+M760</f>
        <v>0</v>
      </c>
      <c r="U760" s="60" t="n">
        <f aca="false">S760+J760</f>
        <v>0</v>
      </c>
      <c r="V760" s="63" t="n">
        <f aca="false">IFERROR(S760/F760,0)</f>
        <v>0</v>
      </c>
      <c r="W760" s="63" t="n">
        <f aca="false">IFERROR(R760/F760,0)</f>
        <v>1</v>
      </c>
      <c r="X760" s="63" t="n">
        <f aca="false">IFERROR(T760/F760,0)</f>
        <v>0</v>
      </c>
      <c r="Y760" s="63" t="n">
        <f aca="false">IFERROR(G760/F760,0)</f>
        <v>0</v>
      </c>
      <c r="Z760" s="59" t="n">
        <f aca="false">IF(E760&gt;0,F760*1000000000/E760,"")</f>
        <v>187.23184634615</v>
      </c>
      <c r="AA760" s="63" t="n">
        <f aca="false">IFERROR((R760+S760+J760)/F760,0)</f>
        <v>1</v>
      </c>
      <c r="AB760" s="0" t="str">
        <f aca="false">A760&amp;"|"&amp;D760</f>
        <v>Gambia|2019</v>
      </c>
    </row>
    <row r="761" customFormat="false" ht="15" hidden="false" customHeight="false" outlineLevel="0" collapsed="false">
      <c r="A761" s="0" t="s">
        <v>253</v>
      </c>
      <c r="B761" s="0" t="s">
        <v>491</v>
      </c>
      <c r="C761" s="0" t="s">
        <v>127</v>
      </c>
      <c r="D761" s="0" t="n">
        <v>2020</v>
      </c>
      <c r="E761" s="59" t="n">
        <v>2515744</v>
      </c>
      <c r="F761" s="60" t="n">
        <v>0.48</v>
      </c>
      <c r="G761" s="61" t="n">
        <v>0</v>
      </c>
      <c r="H761" s="61" t="n">
        <v>0</v>
      </c>
      <c r="I761" s="61" t="n">
        <v>0.48</v>
      </c>
      <c r="J761" s="61" t="n">
        <v>0</v>
      </c>
      <c r="K761" s="61" t="n">
        <v>0</v>
      </c>
      <c r="L761" s="61" t="n">
        <v>0</v>
      </c>
      <c r="M761" s="61" t="n">
        <v>0</v>
      </c>
      <c r="N761" s="61" t="n">
        <v>0</v>
      </c>
      <c r="O761" s="61" t="n">
        <v>0</v>
      </c>
      <c r="P761" s="62" t="n">
        <v>666.7</v>
      </c>
      <c r="Q761" s="0" t="n">
        <v>0</v>
      </c>
      <c r="R761" s="60" t="n">
        <f aca="false">G761+H761+I761</f>
        <v>0.48</v>
      </c>
      <c r="S761" s="60" t="n">
        <f aca="false">K761+L761+M761+N761+O761</f>
        <v>0</v>
      </c>
      <c r="T761" s="60" t="n">
        <f aca="false">L761+M761</f>
        <v>0</v>
      </c>
      <c r="U761" s="60" t="n">
        <f aca="false">S761+J761</f>
        <v>0</v>
      </c>
      <c r="V761" s="63" t="n">
        <f aca="false">IFERROR(S761/F761,0)</f>
        <v>0</v>
      </c>
      <c r="W761" s="63" t="n">
        <f aca="false">IFERROR(R761/F761,0)</f>
        <v>1</v>
      </c>
      <c r="X761" s="63" t="n">
        <f aca="false">IFERROR(T761/F761,0)</f>
        <v>0</v>
      </c>
      <c r="Y761" s="63" t="n">
        <f aca="false">IFERROR(G761/F761,0)</f>
        <v>0</v>
      </c>
      <c r="Z761" s="59" t="n">
        <f aca="false">IF(E761&gt;0,F761*1000000000/E761,"")</f>
        <v>190.798427820955</v>
      </c>
      <c r="AA761" s="63" t="n">
        <f aca="false">IFERROR((R761+S761+J761)/F761,0)</f>
        <v>1</v>
      </c>
      <c r="AB761" s="0" t="str">
        <f aca="false">A761&amp;"|"&amp;D761</f>
        <v>Gambia|2020</v>
      </c>
    </row>
    <row r="762" customFormat="false" ht="15" hidden="false" customHeight="false" outlineLevel="0" collapsed="false">
      <c r="A762" s="0" t="s">
        <v>253</v>
      </c>
      <c r="B762" s="0" t="s">
        <v>491</v>
      </c>
      <c r="C762" s="0" t="s">
        <v>127</v>
      </c>
      <c r="D762" s="0" t="n">
        <v>2021</v>
      </c>
      <c r="E762" s="59" t="n">
        <v>2576015</v>
      </c>
      <c r="F762" s="60" t="n">
        <v>0.5</v>
      </c>
      <c r="G762" s="61" t="n">
        <v>0</v>
      </c>
      <c r="H762" s="61" t="n">
        <v>0</v>
      </c>
      <c r="I762" s="61" t="n">
        <v>0.5</v>
      </c>
      <c r="J762" s="61" t="n">
        <v>0</v>
      </c>
      <c r="K762" s="61" t="n">
        <v>0</v>
      </c>
      <c r="L762" s="61" t="n">
        <v>0</v>
      </c>
      <c r="M762" s="61" t="n">
        <v>0</v>
      </c>
      <c r="N762" s="61" t="n">
        <v>0</v>
      </c>
      <c r="O762" s="61" t="n">
        <v>0</v>
      </c>
      <c r="P762" s="62" t="n">
        <v>660</v>
      </c>
      <c r="Q762" s="0" t="n">
        <v>0</v>
      </c>
      <c r="R762" s="60" t="n">
        <f aca="false">G762+H762+I762</f>
        <v>0.5</v>
      </c>
      <c r="S762" s="60" t="n">
        <f aca="false">K762+L762+M762+N762+O762</f>
        <v>0</v>
      </c>
      <c r="T762" s="60" t="n">
        <f aca="false">L762+M762</f>
        <v>0</v>
      </c>
      <c r="U762" s="60" t="n">
        <f aca="false">S762+J762</f>
        <v>0</v>
      </c>
      <c r="V762" s="63" t="n">
        <f aca="false">IFERROR(S762/F762,0)</f>
        <v>0</v>
      </c>
      <c r="W762" s="63" t="n">
        <f aca="false">IFERROR(R762/F762,0)</f>
        <v>1</v>
      </c>
      <c r="X762" s="63" t="n">
        <f aca="false">IFERROR(T762/F762,0)</f>
        <v>0</v>
      </c>
      <c r="Y762" s="63" t="n">
        <f aca="false">IFERROR(G762/F762,0)</f>
        <v>0</v>
      </c>
      <c r="Z762" s="59" t="n">
        <f aca="false">IF(E762&gt;0,F762*1000000000/E762,"")</f>
        <v>194.098248651502</v>
      </c>
      <c r="AA762" s="63" t="n">
        <f aca="false">IFERROR((R762+S762+J762)/F762,0)</f>
        <v>1</v>
      </c>
      <c r="AB762" s="0" t="str">
        <f aca="false">A762&amp;"|"&amp;D762</f>
        <v>Gambia|2021</v>
      </c>
    </row>
    <row r="763" customFormat="false" ht="15" hidden="false" customHeight="false" outlineLevel="0" collapsed="false">
      <c r="A763" s="0" t="s">
        <v>253</v>
      </c>
      <c r="B763" s="0" t="s">
        <v>491</v>
      </c>
      <c r="C763" s="0" t="s">
        <v>127</v>
      </c>
      <c r="D763" s="0" t="n">
        <v>2022</v>
      </c>
      <c r="E763" s="59" t="n">
        <v>2636472</v>
      </c>
      <c r="F763" s="60" t="n">
        <v>0.51</v>
      </c>
      <c r="G763" s="61" t="n">
        <v>0</v>
      </c>
      <c r="H763" s="61" t="n">
        <v>0</v>
      </c>
      <c r="I763" s="61" t="n">
        <v>0.51</v>
      </c>
      <c r="J763" s="61" t="n">
        <v>0</v>
      </c>
      <c r="K763" s="61" t="n">
        <v>0</v>
      </c>
      <c r="L763" s="61" t="n">
        <v>0</v>
      </c>
      <c r="M763" s="61" t="n">
        <v>0</v>
      </c>
      <c r="N763" s="61" t="n">
        <v>0</v>
      </c>
      <c r="O763" s="61" t="n">
        <v>0</v>
      </c>
      <c r="P763" s="62" t="n">
        <v>666.7</v>
      </c>
      <c r="Q763" s="0" t="n">
        <v>0</v>
      </c>
      <c r="R763" s="60" t="n">
        <f aca="false">G763+H763+I763</f>
        <v>0.51</v>
      </c>
      <c r="S763" s="60" t="n">
        <f aca="false">K763+L763+M763+N763+O763</f>
        <v>0</v>
      </c>
      <c r="T763" s="60" t="n">
        <f aca="false">L763+M763</f>
        <v>0</v>
      </c>
      <c r="U763" s="60" t="n">
        <f aca="false">S763+J763</f>
        <v>0</v>
      </c>
      <c r="V763" s="63" t="n">
        <f aca="false">IFERROR(S763/F763,0)</f>
        <v>0</v>
      </c>
      <c r="W763" s="63" t="n">
        <f aca="false">IFERROR(R763/F763,0)</f>
        <v>1</v>
      </c>
      <c r="X763" s="63" t="n">
        <f aca="false">IFERROR(T763/F763,0)</f>
        <v>0</v>
      </c>
      <c r="Y763" s="63" t="n">
        <f aca="false">IFERROR(G763/F763,0)</f>
        <v>0</v>
      </c>
      <c r="Z763" s="59" t="n">
        <f aca="false">IF(E763&gt;0,F763*1000000000/E763,"")</f>
        <v>193.440324797684</v>
      </c>
      <c r="AA763" s="63" t="n">
        <f aca="false">IFERROR((R763+S763+J763)/F763,0)</f>
        <v>1</v>
      </c>
      <c r="AB763" s="0" t="str">
        <f aca="false">A763&amp;"|"&amp;D763</f>
        <v>Gambia|2022</v>
      </c>
    </row>
    <row r="764" customFormat="false" ht="15" hidden="false" customHeight="false" outlineLevel="0" collapsed="false">
      <c r="A764" s="0" t="s">
        <v>253</v>
      </c>
      <c r="B764" s="0" t="s">
        <v>491</v>
      </c>
      <c r="C764" s="0" t="s">
        <v>127</v>
      </c>
      <c r="D764" s="0" t="n">
        <v>2023</v>
      </c>
      <c r="E764" s="59" t="n">
        <v>2697846</v>
      </c>
      <c r="F764" s="60" t="n">
        <v>0.51</v>
      </c>
      <c r="G764" s="61" t="n">
        <v>0</v>
      </c>
      <c r="H764" s="61" t="n">
        <v>0</v>
      </c>
      <c r="I764" s="61" t="n">
        <v>0.51</v>
      </c>
      <c r="J764" s="61" t="n">
        <v>0</v>
      </c>
      <c r="K764" s="61" t="n">
        <v>0</v>
      </c>
      <c r="L764" s="61" t="n">
        <v>0</v>
      </c>
      <c r="M764" s="61" t="n">
        <v>0</v>
      </c>
      <c r="N764" s="61" t="n">
        <v>0</v>
      </c>
      <c r="O764" s="61" t="n">
        <v>0</v>
      </c>
      <c r="P764" s="62" t="n">
        <v>666.7</v>
      </c>
      <c r="Q764" s="0" t="n">
        <v>0</v>
      </c>
      <c r="R764" s="60" t="n">
        <f aca="false">G764+H764+I764</f>
        <v>0.51</v>
      </c>
      <c r="S764" s="60" t="n">
        <f aca="false">K764+L764+M764+N764+O764</f>
        <v>0</v>
      </c>
      <c r="T764" s="60" t="n">
        <f aca="false">L764+M764</f>
        <v>0</v>
      </c>
      <c r="U764" s="60" t="n">
        <f aca="false">S764+J764</f>
        <v>0</v>
      </c>
      <c r="V764" s="63" t="n">
        <f aca="false">IFERROR(S764/F764,0)</f>
        <v>0</v>
      </c>
      <c r="W764" s="63" t="n">
        <f aca="false">IFERROR(R764/F764,0)</f>
        <v>1</v>
      </c>
      <c r="X764" s="63" t="n">
        <f aca="false">IFERROR(T764/F764,0)</f>
        <v>0</v>
      </c>
      <c r="Y764" s="63" t="n">
        <f aca="false">IFERROR(G764/F764,0)</f>
        <v>0</v>
      </c>
      <c r="Z764" s="59" t="n">
        <f aca="false">IF(E764&gt;0,F764*1000000000/E764,"")</f>
        <v>189.039700561114</v>
      </c>
      <c r="AA764" s="63" t="n">
        <f aca="false">IFERROR((R764+S764+J764)/F764,0)</f>
        <v>1</v>
      </c>
      <c r="AB764" s="0" t="str">
        <f aca="false">A764&amp;"|"&amp;D764</f>
        <v>Gambia|2023</v>
      </c>
    </row>
    <row r="765" customFormat="false" ht="15" hidden="false" customHeight="false" outlineLevel="0" collapsed="false">
      <c r="A765" s="0" t="s">
        <v>253</v>
      </c>
      <c r="B765" s="0" t="s">
        <v>491</v>
      </c>
      <c r="C765" s="0" t="s">
        <v>127</v>
      </c>
      <c r="D765" s="0" t="n">
        <v>2024</v>
      </c>
      <c r="E765" s="59" t="n">
        <v>2759999</v>
      </c>
      <c r="F765" s="60" t="n">
        <v>0.51</v>
      </c>
      <c r="G765" s="61" t="n">
        <v>0</v>
      </c>
      <c r="H765" s="61" t="n">
        <v>0</v>
      </c>
      <c r="I765" s="61" t="n">
        <v>0.51</v>
      </c>
      <c r="J765" s="61" t="n">
        <v>0</v>
      </c>
      <c r="K765" s="61" t="n">
        <v>0</v>
      </c>
      <c r="L765" s="61" t="n">
        <v>0</v>
      </c>
      <c r="M765" s="61" t="n">
        <v>0</v>
      </c>
      <c r="N765" s="61" t="n">
        <v>0</v>
      </c>
      <c r="O765" s="61" t="n">
        <v>0</v>
      </c>
      <c r="P765" s="62" t="n">
        <v>666.7</v>
      </c>
      <c r="Q765" s="0" t="n">
        <v>0</v>
      </c>
      <c r="R765" s="60" t="n">
        <f aca="false">G765+H765+I765</f>
        <v>0.51</v>
      </c>
      <c r="S765" s="60" t="n">
        <f aca="false">K765+L765+M765+N765+O765</f>
        <v>0</v>
      </c>
      <c r="T765" s="60" t="n">
        <f aca="false">L765+M765</f>
        <v>0</v>
      </c>
      <c r="U765" s="60" t="n">
        <f aca="false">S765+J765</f>
        <v>0</v>
      </c>
      <c r="V765" s="63" t="n">
        <f aca="false">IFERROR(S765/F765,0)</f>
        <v>0</v>
      </c>
      <c r="W765" s="63" t="n">
        <f aca="false">IFERROR(R765/F765,0)</f>
        <v>1</v>
      </c>
      <c r="X765" s="63" t="n">
        <f aca="false">IFERROR(T765/F765,0)</f>
        <v>0</v>
      </c>
      <c r="Y765" s="63" t="n">
        <f aca="false">IFERROR(G765/F765,0)</f>
        <v>0</v>
      </c>
      <c r="Z765" s="59" t="n">
        <f aca="false">IF(E765&gt;0,F765*1000000000/E765,"")</f>
        <v>184.782675645897</v>
      </c>
      <c r="AA765" s="63" t="n">
        <f aca="false">IFERROR((R765+S765+J765)/F765,0)</f>
        <v>1</v>
      </c>
      <c r="AB765" s="0" t="str">
        <f aca="false">A765&amp;"|"&amp;D765</f>
        <v>Gambia|2024</v>
      </c>
    </row>
    <row r="766" customFormat="false" ht="15" hidden="false" customHeight="false" outlineLevel="0" collapsed="false">
      <c r="A766" s="0" t="s">
        <v>254</v>
      </c>
      <c r="B766" s="0" t="s">
        <v>492</v>
      </c>
      <c r="C766" s="0" t="s">
        <v>127</v>
      </c>
      <c r="D766" s="0" t="n">
        <v>2015</v>
      </c>
      <c r="E766" s="59" t="n">
        <v>3791570</v>
      </c>
      <c r="F766" s="60" t="n">
        <v>10.75</v>
      </c>
      <c r="G766" s="61" t="n">
        <v>0</v>
      </c>
      <c r="H766" s="61" t="n">
        <v>2.38</v>
      </c>
      <c r="I766" s="61" t="n">
        <v>0</v>
      </c>
      <c r="J766" s="61" t="n">
        <v>0</v>
      </c>
      <c r="K766" s="61" t="n">
        <v>8.37</v>
      </c>
      <c r="L766" s="61" t="n">
        <v>0</v>
      </c>
      <c r="M766" s="61" t="n">
        <v>0</v>
      </c>
      <c r="N766" s="61" t="n">
        <v>0</v>
      </c>
      <c r="O766" s="61" t="n">
        <v>0</v>
      </c>
      <c r="P766" s="62" t="n">
        <v>157.2</v>
      </c>
      <c r="Q766" s="0" t="n">
        <v>0</v>
      </c>
      <c r="R766" s="60" t="n">
        <f aca="false">G766+H766+I766</f>
        <v>2.38</v>
      </c>
      <c r="S766" s="60" t="n">
        <f aca="false">K766+L766+M766+N766+O766</f>
        <v>8.37</v>
      </c>
      <c r="T766" s="60" t="n">
        <f aca="false">L766+M766</f>
        <v>0</v>
      </c>
      <c r="U766" s="60" t="n">
        <f aca="false">S766+J766</f>
        <v>8.37</v>
      </c>
      <c r="V766" s="63" t="n">
        <f aca="false">IFERROR(S766/F766,0)</f>
        <v>0.778604651162791</v>
      </c>
      <c r="W766" s="63" t="n">
        <f aca="false">IFERROR(R766/F766,0)</f>
        <v>0.221395348837209</v>
      </c>
      <c r="X766" s="63" t="n">
        <f aca="false">IFERROR(T766/F766,0)</f>
        <v>0</v>
      </c>
      <c r="Y766" s="63" t="n">
        <f aca="false">IFERROR(G766/F766,0)</f>
        <v>0</v>
      </c>
      <c r="Z766" s="59" t="n">
        <f aca="false">IF(E766&gt;0,F766*1000000000/E766,"")</f>
        <v>2835.23711813312</v>
      </c>
      <c r="AA766" s="63" t="n">
        <f aca="false">IFERROR((R766+S766+J766)/F766,0)</f>
        <v>1</v>
      </c>
      <c r="AB766" s="0" t="str">
        <f aca="false">A766&amp;"|"&amp;D766</f>
        <v>Georgia|2015</v>
      </c>
    </row>
    <row r="767" customFormat="false" ht="15" hidden="false" customHeight="false" outlineLevel="0" collapsed="false">
      <c r="A767" s="0" t="s">
        <v>254</v>
      </c>
      <c r="B767" s="0" t="s">
        <v>492</v>
      </c>
      <c r="C767" s="0" t="s">
        <v>127</v>
      </c>
      <c r="D767" s="0" t="n">
        <v>2016</v>
      </c>
      <c r="E767" s="59" t="n">
        <v>3792061</v>
      </c>
      <c r="F767" s="60" t="n">
        <v>11.49</v>
      </c>
      <c r="G767" s="61" t="n">
        <v>0.02</v>
      </c>
      <c r="H767" s="61" t="n">
        <v>2.22</v>
      </c>
      <c r="I767" s="61" t="n">
        <v>0</v>
      </c>
      <c r="J767" s="61" t="n">
        <v>0</v>
      </c>
      <c r="K767" s="61" t="n">
        <v>9.24</v>
      </c>
      <c r="L767" s="61" t="n">
        <v>0</v>
      </c>
      <c r="M767" s="61" t="n">
        <v>0.01</v>
      </c>
      <c r="N767" s="61" t="n">
        <v>0</v>
      </c>
      <c r="O767" s="61" t="n">
        <v>0</v>
      </c>
      <c r="P767" s="62" t="n">
        <v>141.9</v>
      </c>
      <c r="Q767" s="0" t="n">
        <v>0</v>
      </c>
      <c r="R767" s="60" t="n">
        <f aca="false">G767+H767+I767</f>
        <v>2.24</v>
      </c>
      <c r="S767" s="60" t="n">
        <f aca="false">K767+L767+M767+N767+O767</f>
        <v>9.25</v>
      </c>
      <c r="T767" s="60" t="n">
        <f aca="false">L767+M767</f>
        <v>0.01</v>
      </c>
      <c r="U767" s="60" t="n">
        <f aca="false">S767+J767</f>
        <v>9.25</v>
      </c>
      <c r="V767" s="63" t="n">
        <f aca="false">IFERROR(S767/F767,0)</f>
        <v>0.805047867711053</v>
      </c>
      <c r="W767" s="63" t="n">
        <f aca="false">IFERROR(R767/F767,0)</f>
        <v>0.194952132288947</v>
      </c>
      <c r="X767" s="63" t="n">
        <f aca="false">IFERROR(T767/F767,0)</f>
        <v>0.000870322019147084</v>
      </c>
      <c r="Y767" s="63" t="n">
        <f aca="false">IFERROR(G767/F767,0)</f>
        <v>0.00174064403829417</v>
      </c>
      <c r="Z767" s="59" t="n">
        <f aca="false">IF(E767&gt;0,F767*1000000000/E767,"")</f>
        <v>3030.01454881659</v>
      </c>
      <c r="AA767" s="63" t="n">
        <f aca="false">IFERROR((R767+S767+J767)/F767,0)</f>
        <v>1</v>
      </c>
      <c r="AB767" s="0" t="str">
        <f aca="false">A767&amp;"|"&amp;D767</f>
        <v>Georgia|2016</v>
      </c>
    </row>
    <row r="768" customFormat="false" ht="15" hidden="false" customHeight="false" outlineLevel="0" collapsed="false">
      <c r="A768" s="0" t="s">
        <v>254</v>
      </c>
      <c r="B768" s="0" t="s">
        <v>492</v>
      </c>
      <c r="C768" s="0" t="s">
        <v>127</v>
      </c>
      <c r="D768" s="0" t="n">
        <v>2017</v>
      </c>
      <c r="E768" s="59" t="n">
        <v>3792860</v>
      </c>
      <c r="F768" s="60" t="n">
        <v>11.44</v>
      </c>
      <c r="G768" s="61" t="n">
        <v>0.02</v>
      </c>
      <c r="H768" s="61" t="n">
        <v>2.21</v>
      </c>
      <c r="I768" s="61" t="n">
        <v>0</v>
      </c>
      <c r="J768" s="61" t="n">
        <v>0</v>
      </c>
      <c r="K768" s="61" t="n">
        <v>9.12</v>
      </c>
      <c r="L768" s="61" t="n">
        <v>0</v>
      </c>
      <c r="M768" s="61" t="n">
        <v>0.09</v>
      </c>
      <c r="N768" s="61" t="n">
        <v>0</v>
      </c>
      <c r="O768" s="61" t="n">
        <v>0</v>
      </c>
      <c r="P768" s="62" t="n">
        <v>141.6</v>
      </c>
      <c r="Q768" s="0" t="n">
        <v>0</v>
      </c>
      <c r="R768" s="60" t="n">
        <f aca="false">G768+H768+I768</f>
        <v>2.23</v>
      </c>
      <c r="S768" s="60" t="n">
        <f aca="false">K768+L768+M768+N768+O768</f>
        <v>9.21</v>
      </c>
      <c r="T768" s="60" t="n">
        <f aca="false">L768+M768</f>
        <v>0.09</v>
      </c>
      <c r="U768" s="60" t="n">
        <f aca="false">S768+J768</f>
        <v>9.21</v>
      </c>
      <c r="V768" s="63" t="n">
        <f aca="false">IFERROR(S768/F768,0)</f>
        <v>0.80506993006993</v>
      </c>
      <c r="W768" s="63" t="n">
        <f aca="false">IFERROR(R768/F768,0)</f>
        <v>0.19493006993007</v>
      </c>
      <c r="X768" s="63" t="n">
        <f aca="false">IFERROR(T768/F768,0)</f>
        <v>0.00786713286713287</v>
      </c>
      <c r="Y768" s="63" t="n">
        <f aca="false">IFERROR(G768/F768,0)</f>
        <v>0.00174825174825175</v>
      </c>
      <c r="Z768" s="59" t="n">
        <f aca="false">IF(E768&gt;0,F768*1000000000/E768,"")</f>
        <v>3016.19358478826</v>
      </c>
      <c r="AA768" s="63" t="n">
        <f aca="false">IFERROR((R768+S768+J768)/F768,0)</f>
        <v>1</v>
      </c>
      <c r="AB768" s="0" t="str">
        <f aca="false">A768&amp;"|"&amp;D768</f>
        <v>Georgia|2017</v>
      </c>
    </row>
    <row r="769" customFormat="false" ht="15" hidden="false" customHeight="false" outlineLevel="0" collapsed="false">
      <c r="A769" s="0" t="s">
        <v>254</v>
      </c>
      <c r="B769" s="0" t="s">
        <v>492</v>
      </c>
      <c r="C769" s="0" t="s">
        <v>127</v>
      </c>
      <c r="D769" s="0" t="n">
        <v>2018</v>
      </c>
      <c r="E769" s="59" t="n">
        <v>3794881</v>
      </c>
      <c r="F769" s="60" t="n">
        <v>12.04</v>
      </c>
      <c r="G769" s="61" t="n">
        <v>0.01</v>
      </c>
      <c r="H769" s="61" t="n">
        <v>2.1</v>
      </c>
      <c r="I769" s="61" t="n">
        <v>0</v>
      </c>
      <c r="J769" s="61" t="n">
        <v>0</v>
      </c>
      <c r="K769" s="61" t="n">
        <v>9.85</v>
      </c>
      <c r="L769" s="61" t="n">
        <v>0</v>
      </c>
      <c r="M769" s="61" t="n">
        <v>0.08</v>
      </c>
      <c r="N769" s="61" t="n">
        <v>0</v>
      </c>
      <c r="O769" s="61" t="n">
        <v>0</v>
      </c>
      <c r="P769" s="62" t="n">
        <v>128.7</v>
      </c>
      <c r="Q769" s="0" t="n">
        <v>0</v>
      </c>
      <c r="R769" s="60" t="n">
        <f aca="false">G769+H769+I769</f>
        <v>2.11</v>
      </c>
      <c r="S769" s="60" t="n">
        <f aca="false">K769+L769+M769+N769+O769</f>
        <v>9.93</v>
      </c>
      <c r="T769" s="60" t="n">
        <f aca="false">L769+M769</f>
        <v>0.08</v>
      </c>
      <c r="U769" s="60" t="n">
        <f aca="false">S769+J769</f>
        <v>9.93</v>
      </c>
      <c r="V769" s="63" t="n">
        <f aca="false">IFERROR(S769/F769,0)</f>
        <v>0.824750830564784</v>
      </c>
      <c r="W769" s="63" t="n">
        <f aca="false">IFERROR(R769/F769,0)</f>
        <v>0.175249169435216</v>
      </c>
      <c r="X769" s="63" t="n">
        <f aca="false">IFERROR(T769/F769,0)</f>
        <v>0.00664451827242525</v>
      </c>
      <c r="Y769" s="63" t="n">
        <f aca="false">IFERROR(G769/F769,0)</f>
        <v>0.000830564784053156</v>
      </c>
      <c r="Z769" s="59" t="n">
        <f aca="false">IF(E769&gt;0,F769*1000000000/E769,"")</f>
        <v>3172.6950067736</v>
      </c>
      <c r="AA769" s="63" t="n">
        <f aca="false">IFERROR((R769+S769+J769)/F769,0)</f>
        <v>1</v>
      </c>
      <c r="AB769" s="0" t="str">
        <f aca="false">A769&amp;"|"&amp;D769</f>
        <v>Georgia|2018</v>
      </c>
    </row>
    <row r="770" customFormat="false" ht="15" hidden="false" customHeight="false" outlineLevel="0" collapsed="false">
      <c r="A770" s="0" t="s">
        <v>254</v>
      </c>
      <c r="B770" s="0" t="s">
        <v>492</v>
      </c>
      <c r="C770" s="0" t="s">
        <v>127</v>
      </c>
      <c r="D770" s="0" t="n">
        <v>2019</v>
      </c>
      <c r="E770" s="59" t="n">
        <v>3796722</v>
      </c>
      <c r="F770" s="60" t="n">
        <v>11.86</v>
      </c>
      <c r="G770" s="61" t="n">
        <v>0</v>
      </c>
      <c r="H770" s="61" t="n">
        <v>2.84</v>
      </c>
      <c r="I770" s="61" t="n">
        <v>0</v>
      </c>
      <c r="J770" s="61" t="n">
        <v>0</v>
      </c>
      <c r="K770" s="61" t="n">
        <v>8.93</v>
      </c>
      <c r="L770" s="61" t="n">
        <v>0</v>
      </c>
      <c r="M770" s="61" t="n">
        <v>0.09</v>
      </c>
      <c r="N770" s="61" t="n">
        <v>0</v>
      </c>
      <c r="O770" s="61" t="n">
        <v>0</v>
      </c>
      <c r="P770" s="62" t="n">
        <v>167.8</v>
      </c>
      <c r="Q770" s="0" t="n">
        <v>0</v>
      </c>
      <c r="R770" s="60" t="n">
        <f aca="false">G770+H770+I770</f>
        <v>2.84</v>
      </c>
      <c r="S770" s="60" t="n">
        <f aca="false">K770+L770+M770+N770+O770</f>
        <v>9.02</v>
      </c>
      <c r="T770" s="60" t="n">
        <f aca="false">L770+M770</f>
        <v>0.09</v>
      </c>
      <c r="U770" s="60" t="n">
        <f aca="false">S770+J770</f>
        <v>9.02</v>
      </c>
      <c r="V770" s="63" t="n">
        <f aca="false">IFERROR(S770/F770,0)</f>
        <v>0.760539629005059</v>
      </c>
      <c r="W770" s="63" t="n">
        <f aca="false">IFERROR(R770/F770,0)</f>
        <v>0.239460370994941</v>
      </c>
      <c r="X770" s="63" t="n">
        <f aca="false">IFERROR(T770/F770,0)</f>
        <v>0.0075885328836425</v>
      </c>
      <c r="Y770" s="63" t="n">
        <f aca="false">IFERROR(G770/F770,0)</f>
        <v>0</v>
      </c>
      <c r="Z770" s="59" t="n">
        <f aca="false">IF(E770&gt;0,F770*1000000000/E770,"")</f>
        <v>3123.74727462269</v>
      </c>
      <c r="AA770" s="63" t="n">
        <f aca="false">IFERROR((R770+S770+J770)/F770,0)</f>
        <v>1</v>
      </c>
      <c r="AB770" s="0" t="str">
        <f aca="false">A770&amp;"|"&amp;D770</f>
        <v>Georgia|2019</v>
      </c>
    </row>
    <row r="771" customFormat="false" ht="15" hidden="false" customHeight="false" outlineLevel="0" collapsed="false">
      <c r="A771" s="0" t="s">
        <v>254</v>
      </c>
      <c r="B771" s="0" t="s">
        <v>492</v>
      </c>
      <c r="C771" s="0" t="s">
        <v>127</v>
      </c>
      <c r="D771" s="0" t="n">
        <v>2020</v>
      </c>
      <c r="E771" s="59" t="n">
        <v>3795680</v>
      </c>
      <c r="F771" s="60" t="n">
        <v>11.16</v>
      </c>
      <c r="G771" s="61" t="n">
        <v>0</v>
      </c>
      <c r="H771" s="61" t="n">
        <v>2.82</v>
      </c>
      <c r="I771" s="61" t="n">
        <v>0</v>
      </c>
      <c r="J771" s="61" t="n">
        <v>0</v>
      </c>
      <c r="K771" s="61" t="n">
        <v>8.25</v>
      </c>
      <c r="L771" s="61" t="n">
        <v>0</v>
      </c>
      <c r="M771" s="61" t="n">
        <v>0.09</v>
      </c>
      <c r="N771" s="61" t="n">
        <v>0</v>
      </c>
      <c r="O771" s="61" t="n">
        <v>0</v>
      </c>
      <c r="P771" s="62" t="n">
        <v>175.6</v>
      </c>
      <c r="Q771" s="0" t="n">
        <v>0</v>
      </c>
      <c r="R771" s="60" t="n">
        <f aca="false">G771+H771+I771</f>
        <v>2.82</v>
      </c>
      <c r="S771" s="60" t="n">
        <f aca="false">K771+L771+M771+N771+O771</f>
        <v>8.34</v>
      </c>
      <c r="T771" s="60" t="n">
        <f aca="false">L771+M771</f>
        <v>0.09</v>
      </c>
      <c r="U771" s="60" t="n">
        <f aca="false">S771+J771</f>
        <v>8.34</v>
      </c>
      <c r="V771" s="63" t="n">
        <f aca="false">IFERROR(S771/F771,0)</f>
        <v>0.747311827956989</v>
      </c>
      <c r="W771" s="63" t="n">
        <f aca="false">IFERROR(R771/F771,0)</f>
        <v>0.252688172043011</v>
      </c>
      <c r="X771" s="63" t="n">
        <f aca="false">IFERROR(T771/F771,0)</f>
        <v>0.00806451612903226</v>
      </c>
      <c r="Y771" s="63" t="n">
        <f aca="false">IFERROR(G771/F771,0)</f>
        <v>0</v>
      </c>
      <c r="Z771" s="59" t="n">
        <f aca="false">IF(E771&gt;0,F771*1000000000/E771,"")</f>
        <v>2940.18463094887</v>
      </c>
      <c r="AA771" s="63" t="n">
        <f aca="false">IFERROR((R771+S771+J771)/F771,0)</f>
        <v>1</v>
      </c>
      <c r="AB771" s="0" t="str">
        <f aca="false">A771&amp;"|"&amp;D771</f>
        <v>Georgia|2020</v>
      </c>
    </row>
    <row r="772" customFormat="false" ht="15" hidden="false" customHeight="false" outlineLevel="0" collapsed="false">
      <c r="A772" s="0" t="s">
        <v>254</v>
      </c>
      <c r="B772" s="0" t="s">
        <v>492</v>
      </c>
      <c r="C772" s="0" t="s">
        <v>127</v>
      </c>
      <c r="D772" s="0" t="n">
        <v>2021</v>
      </c>
      <c r="E772" s="59" t="n">
        <v>3788450</v>
      </c>
      <c r="F772" s="60" t="n">
        <v>12.64</v>
      </c>
      <c r="G772" s="61" t="n">
        <v>0</v>
      </c>
      <c r="H772" s="61" t="n">
        <v>2.38</v>
      </c>
      <c r="I772" s="61" t="n">
        <v>0</v>
      </c>
      <c r="J772" s="61" t="n">
        <v>0</v>
      </c>
      <c r="K772" s="61" t="n">
        <v>10.18</v>
      </c>
      <c r="L772" s="61" t="n">
        <v>0</v>
      </c>
      <c r="M772" s="61" t="n">
        <v>0.08</v>
      </c>
      <c r="N772" s="61" t="n">
        <v>0</v>
      </c>
      <c r="O772" s="61" t="n">
        <v>0</v>
      </c>
      <c r="P772" s="62" t="n">
        <v>136.9</v>
      </c>
      <c r="Q772" s="0" t="n">
        <v>0</v>
      </c>
      <c r="R772" s="60" t="n">
        <f aca="false">G772+H772+I772</f>
        <v>2.38</v>
      </c>
      <c r="S772" s="60" t="n">
        <f aca="false">K772+L772+M772+N772+O772</f>
        <v>10.26</v>
      </c>
      <c r="T772" s="60" t="n">
        <f aca="false">L772+M772</f>
        <v>0.08</v>
      </c>
      <c r="U772" s="60" t="n">
        <f aca="false">S772+J772</f>
        <v>10.26</v>
      </c>
      <c r="V772" s="63" t="n">
        <f aca="false">IFERROR(S772/F772,0)</f>
        <v>0.811708860759494</v>
      </c>
      <c r="W772" s="63" t="n">
        <f aca="false">IFERROR(R772/F772,0)</f>
        <v>0.188291139240506</v>
      </c>
      <c r="X772" s="63" t="n">
        <f aca="false">IFERROR(T772/F772,0)</f>
        <v>0.00632911392405063</v>
      </c>
      <c r="Y772" s="63" t="n">
        <f aca="false">IFERROR(G772/F772,0)</f>
        <v>0</v>
      </c>
      <c r="Z772" s="59" t="n">
        <f aca="false">IF(E772&gt;0,F772*1000000000/E772,"")</f>
        <v>3336.45686230516</v>
      </c>
      <c r="AA772" s="63" t="n">
        <f aca="false">IFERROR((R772+S772+J772)/F772,0)</f>
        <v>1</v>
      </c>
      <c r="AB772" s="0" t="str">
        <f aca="false">A772&amp;"|"&amp;D772</f>
        <v>Georgia|2021</v>
      </c>
    </row>
    <row r="773" customFormat="false" ht="15" hidden="false" customHeight="false" outlineLevel="0" collapsed="false">
      <c r="A773" s="0" t="s">
        <v>254</v>
      </c>
      <c r="B773" s="0" t="s">
        <v>492</v>
      </c>
      <c r="C773" s="0" t="s">
        <v>127</v>
      </c>
      <c r="D773" s="0" t="n">
        <v>2022</v>
      </c>
      <c r="E773" s="59" t="n">
        <v>3794782</v>
      </c>
      <c r="F773" s="60" t="n">
        <v>14.25</v>
      </c>
      <c r="G773" s="61" t="n">
        <v>0</v>
      </c>
      <c r="H773" s="61" t="n">
        <v>3.39</v>
      </c>
      <c r="I773" s="61" t="n">
        <v>0</v>
      </c>
      <c r="J773" s="61" t="n">
        <v>0</v>
      </c>
      <c r="K773" s="61" t="n">
        <v>10.77</v>
      </c>
      <c r="L773" s="61" t="n">
        <v>0</v>
      </c>
      <c r="M773" s="61" t="n">
        <v>0.09</v>
      </c>
      <c r="N773" s="61" t="n">
        <v>0</v>
      </c>
      <c r="O773" s="61" t="n">
        <v>0</v>
      </c>
      <c r="P773" s="62" t="n">
        <v>167</v>
      </c>
      <c r="Q773" s="0" t="n">
        <v>0</v>
      </c>
      <c r="R773" s="60" t="n">
        <f aca="false">G773+H773+I773</f>
        <v>3.39</v>
      </c>
      <c r="S773" s="60" t="n">
        <f aca="false">K773+L773+M773+N773+O773</f>
        <v>10.86</v>
      </c>
      <c r="T773" s="60" t="n">
        <f aca="false">L773+M773</f>
        <v>0.09</v>
      </c>
      <c r="U773" s="60" t="n">
        <f aca="false">S773+J773</f>
        <v>10.86</v>
      </c>
      <c r="V773" s="63" t="n">
        <f aca="false">IFERROR(S773/F773,0)</f>
        <v>0.762105263157895</v>
      </c>
      <c r="W773" s="63" t="n">
        <f aca="false">IFERROR(R773/F773,0)</f>
        <v>0.237894736842105</v>
      </c>
      <c r="X773" s="63" t="n">
        <f aca="false">IFERROR(T773/F773,0)</f>
        <v>0.00631578947368421</v>
      </c>
      <c r="Y773" s="63" t="n">
        <f aca="false">IFERROR(G773/F773,0)</f>
        <v>0</v>
      </c>
      <c r="Z773" s="59" t="n">
        <f aca="false">IF(E773&gt;0,F773*1000000000/E773,"")</f>
        <v>3755.15642268779</v>
      </c>
      <c r="AA773" s="63" t="n">
        <f aca="false">IFERROR((R773+S773+J773)/F773,0)</f>
        <v>1</v>
      </c>
      <c r="AB773" s="0" t="str">
        <f aca="false">A773&amp;"|"&amp;D773</f>
        <v>Georgia|2022</v>
      </c>
    </row>
    <row r="774" customFormat="false" ht="15" hidden="false" customHeight="false" outlineLevel="0" collapsed="false">
      <c r="A774" s="0" t="s">
        <v>254</v>
      </c>
      <c r="B774" s="0" t="s">
        <v>492</v>
      </c>
      <c r="C774" s="0" t="s">
        <v>127</v>
      </c>
      <c r="D774" s="0" t="n">
        <v>2023</v>
      </c>
      <c r="E774" s="59" t="n">
        <v>3807494</v>
      </c>
      <c r="F774" s="60" t="n">
        <v>14.43</v>
      </c>
      <c r="G774" s="61" t="n">
        <v>0</v>
      </c>
      <c r="H774" s="61" t="n">
        <v>3.45</v>
      </c>
      <c r="I774" s="61" t="n">
        <v>0</v>
      </c>
      <c r="J774" s="61" t="n">
        <v>0</v>
      </c>
      <c r="K774" s="61" t="n">
        <v>10.86</v>
      </c>
      <c r="L774" s="61" t="n">
        <v>0.03</v>
      </c>
      <c r="M774" s="61" t="n">
        <v>0.09</v>
      </c>
      <c r="N774" s="61" t="n">
        <v>0</v>
      </c>
      <c r="O774" s="61" t="n">
        <v>0</v>
      </c>
      <c r="P774" s="62" t="n">
        <v>167.7</v>
      </c>
      <c r="Q774" s="0" t="n">
        <v>0</v>
      </c>
      <c r="R774" s="60" t="n">
        <f aca="false">G774+H774+I774</f>
        <v>3.45</v>
      </c>
      <c r="S774" s="60" t="n">
        <f aca="false">K774+L774+M774+N774+O774</f>
        <v>10.98</v>
      </c>
      <c r="T774" s="60" t="n">
        <f aca="false">L774+M774</f>
        <v>0.12</v>
      </c>
      <c r="U774" s="60" t="n">
        <f aca="false">S774+J774</f>
        <v>10.98</v>
      </c>
      <c r="V774" s="63" t="n">
        <f aca="false">IFERROR(S774/F774,0)</f>
        <v>0.760914760914761</v>
      </c>
      <c r="W774" s="63" t="n">
        <f aca="false">IFERROR(R774/F774,0)</f>
        <v>0.239085239085239</v>
      </c>
      <c r="X774" s="63" t="n">
        <f aca="false">IFERROR(T774/F774,0)</f>
        <v>0.00831600831600832</v>
      </c>
      <c r="Y774" s="63" t="n">
        <f aca="false">IFERROR(G774/F774,0)</f>
        <v>0</v>
      </c>
      <c r="Z774" s="59" t="n">
        <f aca="false">IF(E774&gt;0,F774*1000000000/E774,"")</f>
        <v>3789.89435045728</v>
      </c>
      <c r="AA774" s="63" t="n">
        <f aca="false">IFERROR((R774+S774+J774)/F774,0)</f>
        <v>1</v>
      </c>
      <c r="AB774" s="0" t="str">
        <f aca="false">A774&amp;"|"&amp;D774</f>
        <v>Georgia|2023</v>
      </c>
    </row>
    <row r="775" customFormat="false" ht="15" hidden="false" customHeight="false" outlineLevel="0" collapsed="false">
      <c r="A775" s="0" t="s">
        <v>254</v>
      </c>
      <c r="B775" s="0" t="s">
        <v>492</v>
      </c>
      <c r="C775" s="0" t="s">
        <v>127</v>
      </c>
      <c r="D775" s="0" t="n">
        <v>2024</v>
      </c>
      <c r="E775" s="59" t="n">
        <v>3807668</v>
      </c>
      <c r="F775" s="60" t="n">
        <v>13.93</v>
      </c>
      <c r="G775" s="61" t="n">
        <v>0</v>
      </c>
      <c r="H775" s="61" t="n">
        <v>2.81</v>
      </c>
      <c r="I775" s="61" t="n">
        <v>0</v>
      </c>
      <c r="J775" s="61" t="n">
        <v>0</v>
      </c>
      <c r="K775" s="61" t="n">
        <v>11</v>
      </c>
      <c r="L775" s="61" t="n">
        <v>0.03</v>
      </c>
      <c r="M775" s="61" t="n">
        <v>0.09</v>
      </c>
      <c r="N775" s="61" t="n">
        <v>0</v>
      </c>
      <c r="O775" s="61" t="n">
        <v>0</v>
      </c>
      <c r="P775" s="62" t="n">
        <v>145</v>
      </c>
      <c r="Q775" s="0" t="n">
        <v>0</v>
      </c>
      <c r="R775" s="60" t="n">
        <f aca="false">G775+H775+I775</f>
        <v>2.81</v>
      </c>
      <c r="S775" s="60" t="n">
        <f aca="false">K775+L775+M775+N775+O775</f>
        <v>11.12</v>
      </c>
      <c r="T775" s="60" t="n">
        <f aca="false">L775+M775</f>
        <v>0.12</v>
      </c>
      <c r="U775" s="60" t="n">
        <f aca="false">S775+J775</f>
        <v>11.12</v>
      </c>
      <c r="V775" s="63" t="n">
        <f aca="false">IFERROR(S775/F775,0)</f>
        <v>0.798277099784638</v>
      </c>
      <c r="W775" s="63" t="n">
        <f aca="false">IFERROR(R775/F775,0)</f>
        <v>0.201722900215363</v>
      </c>
      <c r="X775" s="63" t="n">
        <f aca="false">IFERROR(T775/F775,0)</f>
        <v>0.00861450107681263</v>
      </c>
      <c r="Y775" s="63" t="n">
        <f aca="false">IFERROR(G775/F775,0)</f>
        <v>0</v>
      </c>
      <c r="Z775" s="59" t="n">
        <f aca="false">IF(E775&gt;0,F775*1000000000/E775,"")</f>
        <v>3658.4071930641</v>
      </c>
      <c r="AA775" s="63" t="n">
        <f aca="false">IFERROR((R775+S775+J775)/F775,0)</f>
        <v>1</v>
      </c>
      <c r="AB775" s="0" t="str">
        <f aca="false">A775&amp;"|"&amp;D775</f>
        <v>Georgia|2024</v>
      </c>
    </row>
    <row r="776" customFormat="false" ht="15" hidden="false" customHeight="false" outlineLevel="0" collapsed="false">
      <c r="A776" s="0" t="s">
        <v>254</v>
      </c>
      <c r="B776" s="0" t="s">
        <v>492</v>
      </c>
      <c r="C776" s="0" t="s">
        <v>127</v>
      </c>
      <c r="D776" s="0" t="n">
        <v>2025</v>
      </c>
      <c r="E776" s="59" t="n">
        <v>3806669</v>
      </c>
      <c r="F776" s="60" t="n">
        <v>13.5</v>
      </c>
      <c r="G776" s="61" t="n">
        <v>0</v>
      </c>
      <c r="H776" s="61" t="n">
        <v>2.75</v>
      </c>
      <c r="I776" s="61" t="n">
        <v>0</v>
      </c>
      <c r="J776" s="61" t="n">
        <v>0</v>
      </c>
      <c r="K776" s="61" t="n">
        <v>10.64</v>
      </c>
      <c r="L776" s="61" t="n">
        <v>0.03</v>
      </c>
      <c r="M776" s="61" t="n">
        <v>0.08</v>
      </c>
      <c r="N776" s="61" t="n">
        <v>0</v>
      </c>
      <c r="O776" s="61" t="n">
        <v>0</v>
      </c>
      <c r="P776" s="62" t="n">
        <v>145.9</v>
      </c>
      <c r="Q776" s="0" t="n">
        <v>0</v>
      </c>
      <c r="R776" s="60" t="n">
        <f aca="false">G776+H776+I776</f>
        <v>2.75</v>
      </c>
      <c r="S776" s="60" t="n">
        <f aca="false">K776+L776+M776+N776+O776</f>
        <v>10.75</v>
      </c>
      <c r="T776" s="60" t="n">
        <f aca="false">L776+M776</f>
        <v>0.11</v>
      </c>
      <c r="U776" s="60" t="n">
        <f aca="false">S776+J776</f>
        <v>10.75</v>
      </c>
      <c r="V776" s="63" t="n">
        <f aca="false">IFERROR(S776/F776,0)</f>
        <v>0.796296296296296</v>
      </c>
      <c r="W776" s="63" t="n">
        <f aca="false">IFERROR(R776/F776,0)</f>
        <v>0.203703703703704</v>
      </c>
      <c r="X776" s="63" t="n">
        <f aca="false">IFERROR(T776/F776,0)</f>
        <v>0.00814814814814815</v>
      </c>
      <c r="Y776" s="63" t="n">
        <f aca="false">IFERROR(G776/F776,0)</f>
        <v>0</v>
      </c>
      <c r="Z776" s="59" t="n">
        <f aca="false">IF(E776&gt;0,F776*1000000000/E776,"")</f>
        <v>3546.40763355049</v>
      </c>
      <c r="AA776" s="63" t="n">
        <f aca="false">IFERROR((R776+S776+J776)/F776,0)</f>
        <v>1</v>
      </c>
      <c r="AB776" s="0" t="str">
        <f aca="false">A776&amp;"|"&amp;D776</f>
        <v>Georgia|2025</v>
      </c>
    </row>
    <row r="777" customFormat="false" ht="15" hidden="false" customHeight="false" outlineLevel="0" collapsed="false">
      <c r="A777" s="0" t="s">
        <v>255</v>
      </c>
      <c r="B777" s="0" t="s">
        <v>493</v>
      </c>
      <c r="C777" s="0" t="s">
        <v>127</v>
      </c>
      <c r="D777" s="0" t="n">
        <v>2015</v>
      </c>
      <c r="E777" s="59" t="n">
        <v>82077546</v>
      </c>
      <c r="F777" s="60" t="n">
        <v>639.17</v>
      </c>
      <c r="G777" s="61" t="n">
        <v>272.2</v>
      </c>
      <c r="H777" s="61" t="n">
        <v>61.47</v>
      </c>
      <c r="I777" s="61" t="n">
        <v>25.57</v>
      </c>
      <c r="J777" s="61" t="n">
        <v>91.79</v>
      </c>
      <c r="K777" s="61" t="n">
        <v>18.98</v>
      </c>
      <c r="L777" s="61" t="n">
        <v>38.08</v>
      </c>
      <c r="M777" s="61" t="n">
        <v>80.62</v>
      </c>
      <c r="N777" s="61" t="n">
        <v>50.33</v>
      </c>
      <c r="O777" s="61" t="n">
        <v>0.13</v>
      </c>
      <c r="P777" s="62" t="n">
        <v>503.6</v>
      </c>
      <c r="Q777" s="0" t="n">
        <v>0</v>
      </c>
      <c r="R777" s="60" t="n">
        <f aca="false">G777+H777+I777</f>
        <v>359.24</v>
      </c>
      <c r="S777" s="60" t="n">
        <f aca="false">K777+L777+M777+N777+O777</f>
        <v>188.14</v>
      </c>
      <c r="T777" s="60" t="n">
        <f aca="false">L777+M777</f>
        <v>118.7</v>
      </c>
      <c r="U777" s="60" t="n">
        <f aca="false">S777+J777</f>
        <v>279.93</v>
      </c>
      <c r="V777" s="63" t="n">
        <f aca="false">IFERROR(S777/F777,0)</f>
        <v>0.294350485786254</v>
      </c>
      <c r="W777" s="63" t="n">
        <f aca="false">IFERROR(R777/F777,0)</f>
        <v>0.562041397437301</v>
      </c>
      <c r="X777" s="63" t="n">
        <f aca="false">IFERROR(T777/F777,0)</f>
        <v>0.18570959212729</v>
      </c>
      <c r="Y777" s="63" t="n">
        <f aca="false">IFERROR(G777/F777,0)</f>
        <v>0.425864793403946</v>
      </c>
      <c r="Z777" s="59" t="n">
        <f aca="false">IF(E777&gt;0,F777*1000000000/E777,"")</f>
        <v>7787.39169419125</v>
      </c>
      <c r="AA777" s="63" t="n">
        <f aca="false">IFERROR((R777+S777+J777)/F777,0)</f>
        <v>1</v>
      </c>
      <c r="AB777" s="0" t="str">
        <f aca="false">A777&amp;"|"&amp;D777</f>
        <v>Germany|2015</v>
      </c>
    </row>
    <row r="778" customFormat="false" ht="15" hidden="false" customHeight="false" outlineLevel="0" collapsed="false">
      <c r="A778" s="0" t="s">
        <v>255</v>
      </c>
      <c r="B778" s="0" t="s">
        <v>493</v>
      </c>
      <c r="C778" s="0" t="s">
        <v>127</v>
      </c>
      <c r="D778" s="0" t="n">
        <v>2016</v>
      </c>
      <c r="E778" s="59" t="n">
        <v>82760102</v>
      </c>
      <c r="F778" s="60" t="n">
        <v>641.52</v>
      </c>
      <c r="G778" s="61" t="n">
        <v>261.75</v>
      </c>
      <c r="H778" s="61" t="n">
        <v>80.62</v>
      </c>
      <c r="I778" s="61" t="n">
        <v>25.39</v>
      </c>
      <c r="J778" s="61" t="n">
        <v>84.63</v>
      </c>
      <c r="K778" s="61" t="n">
        <v>20.55</v>
      </c>
      <c r="L778" s="61" t="n">
        <v>37.56</v>
      </c>
      <c r="M778" s="61" t="n">
        <v>79.92</v>
      </c>
      <c r="N778" s="61" t="n">
        <v>50.93</v>
      </c>
      <c r="O778" s="61" t="n">
        <v>0.17</v>
      </c>
      <c r="P778" s="62" t="n">
        <v>498.3</v>
      </c>
      <c r="Q778" s="0" t="n">
        <v>0</v>
      </c>
      <c r="R778" s="60" t="n">
        <f aca="false">G778+H778+I778</f>
        <v>367.76</v>
      </c>
      <c r="S778" s="60" t="n">
        <f aca="false">K778+L778+M778+N778+O778</f>
        <v>189.13</v>
      </c>
      <c r="T778" s="60" t="n">
        <f aca="false">L778+M778</f>
        <v>117.48</v>
      </c>
      <c r="U778" s="60" t="n">
        <f aca="false">S778+J778</f>
        <v>273.76</v>
      </c>
      <c r="V778" s="63" t="n">
        <f aca="false">IFERROR(S778/F778,0)</f>
        <v>0.294815438333957</v>
      </c>
      <c r="W778" s="63" t="n">
        <f aca="false">IFERROR(R778/F778,0)</f>
        <v>0.573263499189425</v>
      </c>
      <c r="X778" s="63" t="n">
        <f aca="false">IFERROR(T778/F778,0)</f>
        <v>0.183127572016461</v>
      </c>
      <c r="Y778" s="63" t="n">
        <f aca="false">IFERROR(G778/F778,0)</f>
        <v>0.408015338570894</v>
      </c>
      <c r="Z778" s="59" t="n">
        <f aca="false">IF(E778&gt;0,F778*1000000000/E778,"")</f>
        <v>7751.5612535132</v>
      </c>
      <c r="AA778" s="63" t="n">
        <f aca="false">IFERROR((R778+S778+J778)/F778,0)</f>
        <v>1</v>
      </c>
      <c r="AB778" s="0" t="str">
        <f aca="false">A778&amp;"|"&amp;D778</f>
        <v>Germany|2016</v>
      </c>
    </row>
    <row r="779" customFormat="false" ht="15" hidden="false" customHeight="false" outlineLevel="0" collapsed="false">
      <c r="A779" s="0" t="s">
        <v>255</v>
      </c>
      <c r="B779" s="0" t="s">
        <v>493</v>
      </c>
      <c r="C779" s="0" t="s">
        <v>127</v>
      </c>
      <c r="D779" s="0" t="n">
        <v>2017</v>
      </c>
      <c r="E779" s="59" t="n">
        <v>83104010</v>
      </c>
      <c r="F779" s="60" t="n">
        <v>644.46</v>
      </c>
      <c r="G779" s="61" t="n">
        <v>241.26</v>
      </c>
      <c r="H779" s="61" t="n">
        <v>86.04</v>
      </c>
      <c r="I779" s="61" t="n">
        <v>25.16</v>
      </c>
      <c r="J779" s="61" t="n">
        <v>76.32</v>
      </c>
      <c r="K779" s="61" t="n">
        <v>20.15</v>
      </c>
      <c r="L779" s="61" t="n">
        <v>38.76</v>
      </c>
      <c r="M779" s="61" t="n">
        <v>105.69</v>
      </c>
      <c r="N779" s="61" t="n">
        <v>50.92</v>
      </c>
      <c r="O779" s="61" t="n">
        <v>0.16</v>
      </c>
      <c r="P779" s="62" t="n">
        <v>469.7</v>
      </c>
      <c r="Q779" s="0" t="n">
        <v>0</v>
      </c>
      <c r="R779" s="60" t="n">
        <f aca="false">G779+H779+I779</f>
        <v>352.46</v>
      </c>
      <c r="S779" s="60" t="n">
        <f aca="false">K779+L779+M779+N779+O779</f>
        <v>215.68</v>
      </c>
      <c r="T779" s="60" t="n">
        <f aca="false">L779+M779</f>
        <v>144.45</v>
      </c>
      <c r="U779" s="60" t="n">
        <f aca="false">S779+J779</f>
        <v>292</v>
      </c>
      <c r="V779" s="63" t="n">
        <f aca="false">IFERROR(S779/F779,0)</f>
        <v>0.334667783881079</v>
      </c>
      <c r="W779" s="63" t="n">
        <f aca="false">IFERROR(R779/F779,0)</f>
        <v>0.546907488439934</v>
      </c>
      <c r="X779" s="63" t="n">
        <f aca="false">IFERROR(T779/F779,0)</f>
        <v>0.224141141420724</v>
      </c>
      <c r="Y779" s="63" t="n">
        <f aca="false">IFERROR(G779/F779,0)</f>
        <v>0.374359929243087</v>
      </c>
      <c r="Z779" s="59" t="n">
        <f aca="false">IF(E779&gt;0,F779*1000000000/E779,"")</f>
        <v>7754.86044536238</v>
      </c>
      <c r="AA779" s="63" t="n">
        <f aca="false">IFERROR((R779+S779+J779)/F779,0)</f>
        <v>1</v>
      </c>
      <c r="AB779" s="0" t="str">
        <f aca="false">A779&amp;"|"&amp;D779</f>
        <v>Germany|2017</v>
      </c>
    </row>
    <row r="780" customFormat="false" ht="15" hidden="false" customHeight="false" outlineLevel="0" collapsed="false">
      <c r="A780" s="0" t="s">
        <v>255</v>
      </c>
      <c r="B780" s="0" t="s">
        <v>493</v>
      </c>
      <c r="C780" s="0" t="s">
        <v>127</v>
      </c>
      <c r="D780" s="0" t="n">
        <v>2018</v>
      </c>
      <c r="E780" s="59" t="n">
        <v>83368507</v>
      </c>
      <c r="F780" s="60" t="n">
        <v>632.28</v>
      </c>
      <c r="G780" s="61" t="n">
        <v>228.16</v>
      </c>
      <c r="H780" s="61" t="n">
        <v>81.56</v>
      </c>
      <c r="I780" s="61" t="n">
        <v>23.63</v>
      </c>
      <c r="J780" s="61" t="n">
        <v>76</v>
      </c>
      <c r="K780" s="61" t="n">
        <v>17.69</v>
      </c>
      <c r="L780" s="61" t="n">
        <v>44.32</v>
      </c>
      <c r="M780" s="61" t="n">
        <v>109.95</v>
      </c>
      <c r="N780" s="61" t="n">
        <v>50.79</v>
      </c>
      <c r="O780" s="61" t="n">
        <v>0.18</v>
      </c>
      <c r="P780" s="62" t="n">
        <v>454.6</v>
      </c>
      <c r="Q780" s="0" t="n">
        <v>0</v>
      </c>
      <c r="R780" s="60" t="n">
        <f aca="false">G780+H780+I780</f>
        <v>333.35</v>
      </c>
      <c r="S780" s="60" t="n">
        <f aca="false">K780+L780+M780+N780+O780</f>
        <v>222.93</v>
      </c>
      <c r="T780" s="60" t="n">
        <f aca="false">L780+M780</f>
        <v>154.27</v>
      </c>
      <c r="U780" s="60" t="n">
        <f aca="false">S780+J780</f>
        <v>298.93</v>
      </c>
      <c r="V780" s="63" t="n">
        <f aca="false">IFERROR(S780/F780,0)</f>
        <v>0.352581134940216</v>
      </c>
      <c r="W780" s="63" t="n">
        <f aca="false">IFERROR(R780/F780,0)</f>
        <v>0.52721895362814</v>
      </c>
      <c r="X780" s="63" t="n">
        <f aca="false">IFERROR(T780/F780,0)</f>
        <v>0.243990004428418</v>
      </c>
      <c r="Y780" s="63" t="n">
        <f aca="false">IFERROR(G780/F780,0)</f>
        <v>0.360852786740052</v>
      </c>
      <c r="Z780" s="59" t="n">
        <f aca="false">IF(E780&gt;0,F780*1000000000/E780,"")</f>
        <v>7584.15884789684</v>
      </c>
      <c r="AA780" s="63" t="n">
        <f aca="false">IFERROR((R780+S780+J780)/F780,0)</f>
        <v>1</v>
      </c>
      <c r="AB780" s="0" t="str">
        <f aca="false">A780&amp;"|"&amp;D780</f>
        <v>Germany|2018</v>
      </c>
    </row>
    <row r="781" customFormat="false" ht="15" hidden="false" customHeight="false" outlineLevel="0" collapsed="false">
      <c r="A781" s="0" t="s">
        <v>255</v>
      </c>
      <c r="B781" s="0" t="s">
        <v>493</v>
      </c>
      <c r="C781" s="0" t="s">
        <v>127</v>
      </c>
      <c r="D781" s="0" t="n">
        <v>2019</v>
      </c>
      <c r="E781" s="59" t="n">
        <v>83559184</v>
      </c>
      <c r="F781" s="60" t="n">
        <v>600.09</v>
      </c>
      <c r="G781" s="61" t="n">
        <v>171.45</v>
      </c>
      <c r="H781" s="61" t="n">
        <v>90</v>
      </c>
      <c r="I781" s="61" t="n">
        <v>22.4</v>
      </c>
      <c r="J781" s="61" t="n">
        <v>75.07</v>
      </c>
      <c r="K781" s="61" t="n">
        <v>19.73</v>
      </c>
      <c r="L781" s="61" t="n">
        <v>45.22</v>
      </c>
      <c r="M781" s="61" t="n">
        <v>125.89</v>
      </c>
      <c r="N781" s="61" t="n">
        <v>50.13</v>
      </c>
      <c r="O781" s="61" t="n">
        <v>0.2</v>
      </c>
      <c r="P781" s="62" t="n">
        <v>392.5</v>
      </c>
      <c r="Q781" s="0" t="n">
        <v>0</v>
      </c>
      <c r="R781" s="60" t="n">
        <f aca="false">G781+H781+I781</f>
        <v>283.85</v>
      </c>
      <c r="S781" s="60" t="n">
        <f aca="false">K781+L781+M781+N781+O781</f>
        <v>241.17</v>
      </c>
      <c r="T781" s="60" t="n">
        <f aca="false">L781+M781</f>
        <v>171.11</v>
      </c>
      <c r="U781" s="60" t="n">
        <f aca="false">S781+J781</f>
        <v>316.24</v>
      </c>
      <c r="V781" s="63" t="n">
        <f aca="false">IFERROR(S781/F781,0)</f>
        <v>0.401889716542519</v>
      </c>
      <c r="W781" s="63" t="n">
        <f aca="false">IFERROR(R781/F781,0)</f>
        <v>0.473012381476112</v>
      </c>
      <c r="X781" s="63" t="n">
        <f aca="false">IFERROR(T781/F781,0)</f>
        <v>0.285140562248996</v>
      </c>
      <c r="Y781" s="63" t="n">
        <f aca="false">IFERROR(G781/F781,0)</f>
        <v>0.285707143928411</v>
      </c>
      <c r="Z781" s="59" t="n">
        <f aca="false">IF(E781&gt;0,F781*1000000000/E781,"")</f>
        <v>7181.6163259804</v>
      </c>
      <c r="AA781" s="63" t="n">
        <f aca="false">IFERROR((R781+S781+J781)/F781,0)</f>
        <v>1</v>
      </c>
      <c r="AB781" s="0" t="str">
        <f aca="false">A781&amp;"|"&amp;D781</f>
        <v>Germany|2019</v>
      </c>
    </row>
    <row r="782" customFormat="false" ht="15" hidden="false" customHeight="false" outlineLevel="0" collapsed="false">
      <c r="A782" s="0" t="s">
        <v>255</v>
      </c>
      <c r="B782" s="0" t="s">
        <v>493</v>
      </c>
      <c r="C782" s="0" t="s">
        <v>127</v>
      </c>
      <c r="D782" s="0" t="n">
        <v>2020</v>
      </c>
      <c r="E782" s="59" t="n">
        <v>83628711</v>
      </c>
      <c r="F782" s="60" t="n">
        <v>566.75</v>
      </c>
      <c r="G782" s="61" t="n">
        <v>134.6</v>
      </c>
      <c r="H782" s="61" t="n">
        <v>95</v>
      </c>
      <c r="I782" s="61" t="n">
        <v>21.28</v>
      </c>
      <c r="J782" s="61" t="n">
        <v>64.38</v>
      </c>
      <c r="K782" s="61" t="n">
        <v>18.72</v>
      </c>
      <c r="L782" s="61" t="n">
        <v>49.5</v>
      </c>
      <c r="M782" s="61" t="n">
        <v>132.11</v>
      </c>
      <c r="N782" s="61" t="n">
        <v>50.93</v>
      </c>
      <c r="O782" s="61" t="n">
        <v>0.23</v>
      </c>
      <c r="P782" s="62" t="n">
        <v>355.6</v>
      </c>
      <c r="Q782" s="0" t="n">
        <v>0</v>
      </c>
      <c r="R782" s="60" t="n">
        <f aca="false">G782+H782+I782</f>
        <v>250.88</v>
      </c>
      <c r="S782" s="60" t="n">
        <f aca="false">K782+L782+M782+N782+O782</f>
        <v>251.49</v>
      </c>
      <c r="T782" s="60" t="n">
        <f aca="false">L782+M782</f>
        <v>181.61</v>
      </c>
      <c r="U782" s="60" t="n">
        <f aca="false">S782+J782</f>
        <v>315.87</v>
      </c>
      <c r="V782" s="63" t="n">
        <f aca="false">IFERROR(S782/F782,0)</f>
        <v>0.443740626378474</v>
      </c>
      <c r="W782" s="63" t="n">
        <f aca="false">IFERROR(R782/F782,0)</f>
        <v>0.44266431407146</v>
      </c>
      <c r="X782" s="63" t="n">
        <f aca="false">IFERROR(T782/F782,0)</f>
        <v>0.320441111601235</v>
      </c>
      <c r="Y782" s="63" t="n">
        <f aca="false">IFERROR(G782/F782,0)</f>
        <v>0.237494486104985</v>
      </c>
      <c r="Z782" s="59" t="n">
        <f aca="false">IF(E782&gt;0,F782*1000000000/E782,"")</f>
        <v>6776.97878184443</v>
      </c>
      <c r="AA782" s="63" t="n">
        <f aca="false">IFERROR((R782+S782+J782)/F782,0)</f>
        <v>1</v>
      </c>
      <c r="AB782" s="0" t="str">
        <f aca="false">A782&amp;"|"&amp;D782</f>
        <v>Germany|2020</v>
      </c>
    </row>
    <row r="783" customFormat="false" ht="15" hidden="false" customHeight="false" outlineLevel="0" collapsed="false">
      <c r="A783" s="0" t="s">
        <v>255</v>
      </c>
      <c r="B783" s="0" t="s">
        <v>493</v>
      </c>
      <c r="C783" s="0" t="s">
        <v>127</v>
      </c>
      <c r="D783" s="0" t="n">
        <v>2021</v>
      </c>
      <c r="E783" s="59" t="n">
        <v>83697080</v>
      </c>
      <c r="F783" s="60" t="n">
        <v>578.83</v>
      </c>
      <c r="G783" s="61" t="n">
        <v>164.65</v>
      </c>
      <c r="H783" s="61" t="n">
        <v>90.31</v>
      </c>
      <c r="I783" s="61" t="n">
        <v>22.24</v>
      </c>
      <c r="J783" s="61" t="n">
        <v>69.13</v>
      </c>
      <c r="K783" s="61" t="n">
        <v>19.66</v>
      </c>
      <c r="L783" s="61" t="n">
        <v>49.34</v>
      </c>
      <c r="M783" s="61" t="n">
        <v>114.16</v>
      </c>
      <c r="N783" s="61" t="n">
        <v>49.1</v>
      </c>
      <c r="O783" s="61" t="n">
        <v>0.24</v>
      </c>
      <c r="P783" s="62" t="n">
        <v>394.6</v>
      </c>
      <c r="Q783" s="0" t="n">
        <v>0</v>
      </c>
      <c r="R783" s="60" t="n">
        <f aca="false">G783+H783+I783</f>
        <v>277.2</v>
      </c>
      <c r="S783" s="60" t="n">
        <f aca="false">K783+L783+M783+N783+O783</f>
        <v>232.5</v>
      </c>
      <c r="T783" s="60" t="n">
        <f aca="false">L783+M783</f>
        <v>163.5</v>
      </c>
      <c r="U783" s="60" t="n">
        <f aca="false">S783+J783</f>
        <v>301.63</v>
      </c>
      <c r="V783" s="63" t="n">
        <f aca="false">IFERROR(S783/F783,0)</f>
        <v>0.40167233902873</v>
      </c>
      <c r="W783" s="63" t="n">
        <f aca="false">IFERROR(R783/F783,0)</f>
        <v>0.47889708550006</v>
      </c>
      <c r="X783" s="63" t="n">
        <f aca="false">IFERROR(T783/F783,0)</f>
        <v>0.282466354542785</v>
      </c>
      <c r="Y783" s="63" t="n">
        <f aca="false">IFERROR(G783/F783,0)</f>
        <v>0.284453120950884</v>
      </c>
      <c r="Z783" s="59" t="n">
        <f aca="false">IF(E783&gt;0,F783*1000000000/E783,"")</f>
        <v>6915.77292780107</v>
      </c>
      <c r="AA783" s="63" t="n">
        <f aca="false">IFERROR((R783+S783+J783)/F783,0)</f>
        <v>1</v>
      </c>
      <c r="AB783" s="0" t="str">
        <f aca="false">A783&amp;"|"&amp;D783</f>
        <v>Germany|2021</v>
      </c>
    </row>
    <row r="784" customFormat="false" ht="15" hidden="false" customHeight="false" outlineLevel="0" collapsed="false">
      <c r="A784" s="0" t="s">
        <v>255</v>
      </c>
      <c r="B784" s="0" t="s">
        <v>493</v>
      </c>
      <c r="C784" s="0" t="s">
        <v>127</v>
      </c>
      <c r="D784" s="0" t="n">
        <v>2022</v>
      </c>
      <c r="E784" s="59" t="n">
        <v>84086227</v>
      </c>
      <c r="F784" s="60" t="n">
        <v>566.88</v>
      </c>
      <c r="G784" s="61" t="n">
        <v>179.93</v>
      </c>
      <c r="H784" s="61" t="n">
        <v>79.05</v>
      </c>
      <c r="I784" s="61" t="n">
        <v>21.65</v>
      </c>
      <c r="J784" s="61" t="n">
        <v>34.71</v>
      </c>
      <c r="K784" s="61" t="n">
        <v>17.62</v>
      </c>
      <c r="L784" s="61" t="n">
        <v>60.3</v>
      </c>
      <c r="M784" s="61" t="n">
        <v>124.81</v>
      </c>
      <c r="N784" s="61" t="n">
        <v>48.6</v>
      </c>
      <c r="O784" s="61" t="n">
        <v>0.21</v>
      </c>
      <c r="P784" s="62" t="n">
        <v>419.7</v>
      </c>
      <c r="Q784" s="0" t="n">
        <v>0</v>
      </c>
      <c r="R784" s="60" t="n">
        <f aca="false">G784+H784+I784</f>
        <v>280.63</v>
      </c>
      <c r="S784" s="60" t="n">
        <f aca="false">K784+L784+M784+N784+O784</f>
        <v>251.54</v>
      </c>
      <c r="T784" s="60" t="n">
        <f aca="false">L784+M784</f>
        <v>185.11</v>
      </c>
      <c r="U784" s="60" t="n">
        <f aca="false">S784+J784</f>
        <v>286.25</v>
      </c>
      <c r="V784" s="63" t="n">
        <f aca="false">IFERROR(S784/F784,0)</f>
        <v>0.443727067456957</v>
      </c>
      <c r="W784" s="63" t="n">
        <f aca="false">IFERROR(R784/F784,0)</f>
        <v>0.495043042619249</v>
      </c>
      <c r="X784" s="63" t="n">
        <f aca="false">IFERROR(T784/F784,0)</f>
        <v>0.326541772509173</v>
      </c>
      <c r="Y784" s="63" t="n">
        <f aca="false">IFERROR(G784/F784,0)</f>
        <v>0.317404036127576</v>
      </c>
      <c r="Z784" s="59" t="n">
        <f aca="false">IF(E784&gt;0,F784*1000000000/E784,"")</f>
        <v>6741.65104351751</v>
      </c>
      <c r="AA784" s="63" t="n">
        <f aca="false">IFERROR((R784+S784+J784)/F784,0)</f>
        <v>1</v>
      </c>
      <c r="AB784" s="0" t="str">
        <f aca="false">A784&amp;"|"&amp;D784</f>
        <v>Germany|2022</v>
      </c>
    </row>
    <row r="785" customFormat="false" ht="15" hidden="false" customHeight="false" outlineLevel="0" collapsed="false">
      <c r="A785" s="0" t="s">
        <v>255</v>
      </c>
      <c r="B785" s="0" t="s">
        <v>493</v>
      </c>
      <c r="C785" s="0" t="s">
        <v>127</v>
      </c>
      <c r="D785" s="0" t="n">
        <v>2023</v>
      </c>
      <c r="E785" s="59" t="n">
        <v>84548233</v>
      </c>
      <c r="F785" s="60" t="n">
        <v>506.72</v>
      </c>
      <c r="G785" s="61" t="n">
        <v>124.78</v>
      </c>
      <c r="H785" s="61" t="n">
        <v>76.66</v>
      </c>
      <c r="I785" s="61" t="n">
        <v>20.96</v>
      </c>
      <c r="J785" s="61" t="n">
        <v>7.22</v>
      </c>
      <c r="K785" s="61" t="n">
        <v>21.24</v>
      </c>
      <c r="L785" s="61" t="n">
        <v>63.87</v>
      </c>
      <c r="M785" s="61" t="n">
        <v>140.54</v>
      </c>
      <c r="N785" s="61" t="n">
        <v>51.26</v>
      </c>
      <c r="O785" s="61" t="n">
        <v>0.19</v>
      </c>
      <c r="P785" s="62" t="n">
        <v>362.9</v>
      </c>
      <c r="Q785" s="0" t="n">
        <v>0</v>
      </c>
      <c r="R785" s="60" t="n">
        <f aca="false">G785+H785+I785</f>
        <v>222.4</v>
      </c>
      <c r="S785" s="60" t="n">
        <f aca="false">K785+L785+M785+N785+O785</f>
        <v>277.1</v>
      </c>
      <c r="T785" s="60" t="n">
        <f aca="false">L785+M785</f>
        <v>204.41</v>
      </c>
      <c r="U785" s="60" t="n">
        <f aca="false">S785+J785</f>
        <v>284.32</v>
      </c>
      <c r="V785" s="63" t="n">
        <f aca="false">IFERROR(S785/F785,0)</f>
        <v>0.546850331544048</v>
      </c>
      <c r="W785" s="63" t="n">
        <f aca="false">IFERROR(R785/F785,0)</f>
        <v>0.438901168298074</v>
      </c>
      <c r="X785" s="63" t="n">
        <f aca="false">IFERROR(T785/F785,0)</f>
        <v>0.403398326491948</v>
      </c>
      <c r="Y785" s="63" t="n">
        <f aca="false">IFERROR(G785/F785,0)</f>
        <v>0.246250394695295</v>
      </c>
      <c r="Z785" s="59" t="n">
        <f aca="false">IF(E785&gt;0,F785*1000000000/E785,"")</f>
        <v>5993.26540626816</v>
      </c>
      <c r="AA785" s="63" t="n">
        <f aca="false">IFERROR((R785+S785+J785)/F785,0)</f>
        <v>1</v>
      </c>
      <c r="AB785" s="0" t="str">
        <f aca="false">A785&amp;"|"&amp;D785</f>
        <v>Germany|2023</v>
      </c>
    </row>
    <row r="786" customFormat="false" ht="15" hidden="false" customHeight="false" outlineLevel="0" collapsed="false">
      <c r="A786" s="0" t="s">
        <v>255</v>
      </c>
      <c r="B786" s="0" t="s">
        <v>493</v>
      </c>
      <c r="C786" s="0" t="s">
        <v>127</v>
      </c>
      <c r="D786" s="0" t="n">
        <v>2024</v>
      </c>
      <c r="E786" s="59" t="n">
        <v>84552234</v>
      </c>
      <c r="F786" s="60" t="n">
        <v>495.99</v>
      </c>
      <c r="G786" s="61" t="n">
        <v>106.33</v>
      </c>
      <c r="H786" s="61" t="n">
        <v>78.41</v>
      </c>
      <c r="I786" s="61" t="n">
        <v>20.39</v>
      </c>
      <c r="J786" s="61" t="n">
        <v>0</v>
      </c>
      <c r="K786" s="61" t="n">
        <v>23.83</v>
      </c>
      <c r="L786" s="61" t="n">
        <v>74.13</v>
      </c>
      <c r="M786" s="61" t="n">
        <v>141.6</v>
      </c>
      <c r="N786" s="61" t="n">
        <v>51.08</v>
      </c>
      <c r="O786" s="61" t="n">
        <v>0.22</v>
      </c>
      <c r="P786" s="62" t="n">
        <v>336.4</v>
      </c>
      <c r="Q786" s="0" t="n">
        <v>0</v>
      </c>
      <c r="R786" s="60" t="n">
        <f aca="false">G786+H786+I786</f>
        <v>205.13</v>
      </c>
      <c r="S786" s="60" t="n">
        <f aca="false">K786+L786+M786+N786+O786</f>
        <v>290.86</v>
      </c>
      <c r="T786" s="60" t="n">
        <f aca="false">L786+M786</f>
        <v>215.73</v>
      </c>
      <c r="U786" s="60" t="n">
        <f aca="false">S786+J786</f>
        <v>290.86</v>
      </c>
      <c r="V786" s="63" t="n">
        <f aca="false">IFERROR(S786/F786,0)</f>
        <v>0.586423113369221</v>
      </c>
      <c r="W786" s="63" t="n">
        <f aca="false">IFERROR(R786/F786,0)</f>
        <v>0.413576886630779</v>
      </c>
      <c r="X786" s="63" t="n">
        <f aca="false">IFERROR(T786/F786,0)</f>
        <v>0.434948285247686</v>
      </c>
      <c r="Y786" s="63" t="n">
        <f aca="false">IFERROR(G786/F786,0)</f>
        <v>0.214379322163753</v>
      </c>
      <c r="Z786" s="59" t="n">
        <f aca="false">IF(E786&gt;0,F786*1000000000/E786,"")</f>
        <v>5866.07800333224</v>
      </c>
      <c r="AA786" s="63" t="n">
        <f aca="false">IFERROR((R786+S786+J786)/F786,0)</f>
        <v>1</v>
      </c>
      <c r="AB786" s="0" t="str">
        <f aca="false">A786&amp;"|"&amp;D786</f>
        <v>Germany|2024</v>
      </c>
    </row>
    <row r="787" customFormat="false" ht="15" hidden="false" customHeight="false" outlineLevel="0" collapsed="false">
      <c r="A787" s="0" t="s">
        <v>255</v>
      </c>
      <c r="B787" s="0" t="s">
        <v>493</v>
      </c>
      <c r="C787" s="0" t="s">
        <v>127</v>
      </c>
      <c r="D787" s="0" t="n">
        <v>2025</v>
      </c>
      <c r="E787" s="59" t="n">
        <v>84075075</v>
      </c>
      <c r="F787" s="60" t="n">
        <v>500.47</v>
      </c>
      <c r="G787" s="61" t="n">
        <v>103.15</v>
      </c>
      <c r="H787" s="61" t="n">
        <v>82.67</v>
      </c>
      <c r="I787" s="61" t="n">
        <v>18.91</v>
      </c>
      <c r="J787" s="61" t="n">
        <v>0</v>
      </c>
      <c r="K787" s="61" t="n">
        <v>19.56</v>
      </c>
      <c r="L787" s="61" t="n">
        <v>89.62</v>
      </c>
      <c r="M787" s="61" t="n">
        <v>136.03</v>
      </c>
      <c r="N787" s="61" t="n">
        <v>50.53</v>
      </c>
      <c r="O787" s="61" t="n">
        <v>0</v>
      </c>
      <c r="P787" s="62" t="n">
        <v>329.6</v>
      </c>
      <c r="Q787" s="0" t="n">
        <v>0</v>
      </c>
      <c r="R787" s="60" t="n">
        <f aca="false">G787+H787+I787</f>
        <v>204.73</v>
      </c>
      <c r="S787" s="60" t="n">
        <f aca="false">K787+L787+M787+N787+O787</f>
        <v>295.74</v>
      </c>
      <c r="T787" s="60" t="n">
        <f aca="false">L787+M787</f>
        <v>225.65</v>
      </c>
      <c r="U787" s="60" t="n">
        <f aca="false">S787+J787</f>
        <v>295.74</v>
      </c>
      <c r="V787" s="63" t="n">
        <f aca="false">IFERROR(S787/F787,0)</f>
        <v>0.590924530940916</v>
      </c>
      <c r="W787" s="63" t="n">
        <f aca="false">IFERROR(R787/F787,0)</f>
        <v>0.409075469059084</v>
      </c>
      <c r="X787" s="63" t="n">
        <f aca="false">IFERROR(T787/F787,0)</f>
        <v>0.45087617639419</v>
      </c>
      <c r="Y787" s="63" t="n">
        <f aca="false">IFERROR(G787/F787,0)</f>
        <v>0.206106260115491</v>
      </c>
      <c r="Z787" s="59" t="n">
        <f aca="false">IF(E787&gt;0,F787*1000000000/E787,"")</f>
        <v>5952.65600417246</v>
      </c>
      <c r="AA787" s="63" t="n">
        <f aca="false">IFERROR((R787+S787+J787)/F787,0)</f>
        <v>1</v>
      </c>
      <c r="AB787" s="0" t="str">
        <f aca="false">A787&amp;"|"&amp;D787</f>
        <v>Germany|2025</v>
      </c>
    </row>
    <row r="788" customFormat="false" ht="15" hidden="false" customHeight="false" outlineLevel="0" collapsed="false">
      <c r="A788" s="0" t="s">
        <v>256</v>
      </c>
      <c r="B788" s="0" t="s">
        <v>494</v>
      </c>
      <c r="C788" s="0" t="s">
        <v>127</v>
      </c>
      <c r="D788" s="0" t="n">
        <v>2015</v>
      </c>
      <c r="E788" s="59" t="n">
        <v>28696071</v>
      </c>
      <c r="F788" s="60" t="n">
        <v>11.64</v>
      </c>
      <c r="G788" s="61" t="n">
        <v>0</v>
      </c>
      <c r="H788" s="61" t="n">
        <v>4.86</v>
      </c>
      <c r="I788" s="61" t="n">
        <v>0.97</v>
      </c>
      <c r="J788" s="61" t="n">
        <v>0</v>
      </c>
      <c r="K788" s="61" t="n">
        <v>5.79</v>
      </c>
      <c r="L788" s="61" t="n">
        <v>0</v>
      </c>
      <c r="M788" s="61" t="n">
        <v>0</v>
      </c>
      <c r="N788" s="61" t="n">
        <v>0.02</v>
      </c>
      <c r="O788" s="61" t="n">
        <v>0</v>
      </c>
      <c r="P788" s="62" t="n">
        <v>369.4</v>
      </c>
      <c r="Q788" s="0" t="n">
        <v>0</v>
      </c>
      <c r="R788" s="60" t="n">
        <f aca="false">G788+H788+I788</f>
        <v>5.83</v>
      </c>
      <c r="S788" s="60" t="n">
        <f aca="false">K788+L788+M788+N788+O788</f>
        <v>5.81</v>
      </c>
      <c r="T788" s="60" t="n">
        <f aca="false">L788+M788</f>
        <v>0</v>
      </c>
      <c r="U788" s="60" t="n">
        <f aca="false">S788+J788</f>
        <v>5.81</v>
      </c>
      <c r="V788" s="63" t="n">
        <f aca="false">IFERROR(S788/F788,0)</f>
        <v>0.49914089347079</v>
      </c>
      <c r="W788" s="63" t="n">
        <f aca="false">IFERROR(R788/F788,0)</f>
        <v>0.50085910652921</v>
      </c>
      <c r="X788" s="63" t="n">
        <f aca="false">IFERROR(T788/F788,0)</f>
        <v>0</v>
      </c>
      <c r="Y788" s="63" t="n">
        <f aca="false">IFERROR(G788/F788,0)</f>
        <v>0</v>
      </c>
      <c r="Z788" s="59" t="n">
        <f aca="false">IF(E788&gt;0,F788*1000000000/E788,"")</f>
        <v>405.630443275667</v>
      </c>
      <c r="AA788" s="63" t="n">
        <f aca="false">IFERROR((R788+S788+J788)/F788,0)</f>
        <v>1</v>
      </c>
      <c r="AB788" s="0" t="str">
        <f aca="false">A788&amp;"|"&amp;D788</f>
        <v>Ghana|2015</v>
      </c>
    </row>
    <row r="789" customFormat="false" ht="15" hidden="false" customHeight="false" outlineLevel="0" collapsed="false">
      <c r="A789" s="0" t="s">
        <v>256</v>
      </c>
      <c r="B789" s="0" t="s">
        <v>494</v>
      </c>
      <c r="C789" s="0" t="s">
        <v>127</v>
      </c>
      <c r="D789" s="0" t="n">
        <v>2016</v>
      </c>
      <c r="E789" s="59" t="n">
        <v>29356736</v>
      </c>
      <c r="F789" s="60" t="n">
        <v>13.17</v>
      </c>
      <c r="G789" s="61" t="n">
        <v>0</v>
      </c>
      <c r="H789" s="61" t="n">
        <v>4</v>
      </c>
      <c r="I789" s="61" t="n">
        <v>3.61</v>
      </c>
      <c r="J789" s="61" t="n">
        <v>0</v>
      </c>
      <c r="K789" s="61" t="n">
        <v>5.51</v>
      </c>
      <c r="L789" s="61" t="n">
        <v>0.03</v>
      </c>
      <c r="M789" s="61" t="n">
        <v>0</v>
      </c>
      <c r="N789" s="61" t="n">
        <v>0.02</v>
      </c>
      <c r="O789" s="61" t="n">
        <v>0</v>
      </c>
      <c r="P789" s="62" t="n">
        <v>410</v>
      </c>
      <c r="Q789" s="0" t="n">
        <v>0</v>
      </c>
      <c r="R789" s="60" t="n">
        <f aca="false">G789+H789+I789</f>
        <v>7.61</v>
      </c>
      <c r="S789" s="60" t="n">
        <f aca="false">K789+L789+M789+N789+O789</f>
        <v>5.56</v>
      </c>
      <c r="T789" s="60" t="n">
        <f aca="false">L789+M789</f>
        <v>0.03</v>
      </c>
      <c r="U789" s="60" t="n">
        <f aca="false">S789+J789</f>
        <v>5.56</v>
      </c>
      <c r="V789" s="63" t="n">
        <f aca="false">IFERROR(S789/F789,0)</f>
        <v>0.422171602126044</v>
      </c>
      <c r="W789" s="63" t="n">
        <f aca="false">IFERROR(R789/F789,0)</f>
        <v>0.577828397873956</v>
      </c>
      <c r="X789" s="63" t="n">
        <f aca="false">IFERROR(T789/F789,0)</f>
        <v>0.00227790432801822</v>
      </c>
      <c r="Y789" s="63" t="n">
        <f aca="false">IFERROR(G789/F789,0)</f>
        <v>0</v>
      </c>
      <c r="Z789" s="59" t="n">
        <f aca="false">IF(E789&gt;0,F789*1000000000/E789,"")</f>
        <v>448.619356048302</v>
      </c>
      <c r="AA789" s="63" t="n">
        <f aca="false">IFERROR((R789+S789+J789)/F789,0)</f>
        <v>1</v>
      </c>
      <c r="AB789" s="0" t="str">
        <f aca="false">A789&amp;"|"&amp;D789</f>
        <v>Ghana|2016</v>
      </c>
    </row>
    <row r="790" customFormat="false" ht="15" hidden="false" customHeight="false" outlineLevel="0" collapsed="false">
      <c r="A790" s="0" t="s">
        <v>256</v>
      </c>
      <c r="B790" s="0" t="s">
        <v>494</v>
      </c>
      <c r="C790" s="0" t="s">
        <v>127</v>
      </c>
      <c r="D790" s="0" t="n">
        <v>2017</v>
      </c>
      <c r="E790" s="59" t="n">
        <v>30008364</v>
      </c>
      <c r="F790" s="60" t="n">
        <v>13.3</v>
      </c>
      <c r="G790" s="61" t="n">
        <v>0</v>
      </c>
      <c r="H790" s="61" t="n">
        <v>3.99</v>
      </c>
      <c r="I790" s="61" t="n">
        <v>3.64</v>
      </c>
      <c r="J790" s="61" t="n">
        <v>0</v>
      </c>
      <c r="K790" s="61" t="n">
        <v>5.62</v>
      </c>
      <c r="L790" s="61" t="n">
        <v>0.03</v>
      </c>
      <c r="M790" s="61" t="n">
        <v>0</v>
      </c>
      <c r="N790" s="61" t="n">
        <v>0.02</v>
      </c>
      <c r="O790" s="61" t="n">
        <v>0</v>
      </c>
      <c r="P790" s="62" t="n">
        <v>407.5</v>
      </c>
      <c r="Q790" s="0" t="n">
        <v>0</v>
      </c>
      <c r="R790" s="60" t="n">
        <f aca="false">G790+H790+I790</f>
        <v>7.63</v>
      </c>
      <c r="S790" s="60" t="n">
        <f aca="false">K790+L790+M790+N790+O790</f>
        <v>5.67</v>
      </c>
      <c r="T790" s="60" t="n">
        <f aca="false">L790+M790</f>
        <v>0.03</v>
      </c>
      <c r="U790" s="60" t="n">
        <f aca="false">S790+J790</f>
        <v>5.67</v>
      </c>
      <c r="V790" s="63" t="n">
        <f aca="false">IFERROR(S790/F790,0)</f>
        <v>0.426315789473684</v>
      </c>
      <c r="W790" s="63" t="n">
        <f aca="false">IFERROR(R790/F790,0)</f>
        <v>0.573684210526316</v>
      </c>
      <c r="X790" s="63" t="n">
        <f aca="false">IFERROR(T790/F790,0)</f>
        <v>0.00225563909774436</v>
      </c>
      <c r="Y790" s="63" t="n">
        <f aca="false">IFERROR(G790/F790,0)</f>
        <v>0</v>
      </c>
      <c r="Z790" s="59" t="n">
        <f aca="false">IF(E790&gt;0,F790*1000000000/E790,"")</f>
        <v>443.209766450447</v>
      </c>
      <c r="AA790" s="63" t="n">
        <f aca="false">IFERROR((R790+S790+J790)/F790,0)</f>
        <v>1</v>
      </c>
      <c r="AB790" s="0" t="str">
        <f aca="false">A790&amp;"|"&amp;D790</f>
        <v>Ghana|2017</v>
      </c>
    </row>
    <row r="791" customFormat="false" ht="15" hidden="false" customHeight="false" outlineLevel="0" collapsed="false">
      <c r="A791" s="0" t="s">
        <v>256</v>
      </c>
      <c r="B791" s="0" t="s">
        <v>494</v>
      </c>
      <c r="C791" s="0" t="s">
        <v>127</v>
      </c>
      <c r="D791" s="0" t="n">
        <v>2018</v>
      </c>
      <c r="E791" s="59" t="n">
        <v>30637592</v>
      </c>
      <c r="F791" s="60" t="n">
        <v>14.91</v>
      </c>
      <c r="G791" s="61" t="n">
        <v>0</v>
      </c>
      <c r="H791" s="61" t="n">
        <v>5.12</v>
      </c>
      <c r="I791" s="61" t="n">
        <v>3.72</v>
      </c>
      <c r="J791" s="61" t="n">
        <v>0</v>
      </c>
      <c r="K791" s="61" t="n">
        <v>6.02</v>
      </c>
      <c r="L791" s="61" t="n">
        <v>0.03</v>
      </c>
      <c r="M791" s="61" t="n">
        <v>0</v>
      </c>
      <c r="N791" s="61" t="n">
        <v>0.02</v>
      </c>
      <c r="O791" s="61" t="n">
        <v>0</v>
      </c>
      <c r="P791" s="62" t="n">
        <v>421.9</v>
      </c>
      <c r="Q791" s="0" t="n">
        <v>0</v>
      </c>
      <c r="R791" s="60" t="n">
        <f aca="false">G791+H791+I791</f>
        <v>8.84</v>
      </c>
      <c r="S791" s="60" t="n">
        <f aca="false">K791+L791+M791+N791+O791</f>
        <v>6.07</v>
      </c>
      <c r="T791" s="60" t="n">
        <f aca="false">L791+M791</f>
        <v>0.03</v>
      </c>
      <c r="U791" s="60" t="n">
        <f aca="false">S791+J791</f>
        <v>6.07</v>
      </c>
      <c r="V791" s="63" t="n">
        <f aca="false">IFERROR(S791/F791,0)</f>
        <v>0.40710932260228</v>
      </c>
      <c r="W791" s="63" t="n">
        <f aca="false">IFERROR(R791/F791,0)</f>
        <v>0.59289067739772</v>
      </c>
      <c r="X791" s="63" t="n">
        <f aca="false">IFERROR(T791/F791,0)</f>
        <v>0.00201207243460765</v>
      </c>
      <c r="Y791" s="63" t="n">
        <f aca="false">IFERROR(G791/F791,0)</f>
        <v>0</v>
      </c>
      <c r="Z791" s="59" t="n">
        <f aca="false">IF(E791&gt;0,F791*1000000000/E791,"")</f>
        <v>486.657045370929</v>
      </c>
      <c r="AA791" s="63" t="n">
        <f aca="false">IFERROR((R791+S791+J791)/F791,0)</f>
        <v>1</v>
      </c>
      <c r="AB791" s="0" t="str">
        <f aca="false">A791&amp;"|"&amp;D791</f>
        <v>Ghana|2018</v>
      </c>
    </row>
    <row r="792" customFormat="false" ht="15" hidden="false" customHeight="false" outlineLevel="0" collapsed="false">
      <c r="A792" s="0" t="s">
        <v>256</v>
      </c>
      <c r="B792" s="0" t="s">
        <v>494</v>
      </c>
      <c r="C792" s="0" t="s">
        <v>127</v>
      </c>
      <c r="D792" s="0" t="n">
        <v>2019</v>
      </c>
      <c r="E792" s="59" t="n">
        <v>31258943</v>
      </c>
      <c r="F792" s="60" t="n">
        <v>17.3</v>
      </c>
      <c r="G792" s="61" t="n">
        <v>0</v>
      </c>
      <c r="H792" s="61" t="n">
        <v>7.19</v>
      </c>
      <c r="I792" s="61" t="n">
        <v>2.79</v>
      </c>
      <c r="J792" s="61" t="n">
        <v>0</v>
      </c>
      <c r="K792" s="61" t="n">
        <v>7.25</v>
      </c>
      <c r="L792" s="61" t="n">
        <v>0.05</v>
      </c>
      <c r="M792" s="61" t="n">
        <v>0</v>
      </c>
      <c r="N792" s="61" t="n">
        <v>0.02</v>
      </c>
      <c r="O792" s="61" t="n">
        <v>0</v>
      </c>
      <c r="P792" s="62" t="n">
        <v>416.8</v>
      </c>
      <c r="Q792" s="0" t="n">
        <v>0</v>
      </c>
      <c r="R792" s="60" t="n">
        <f aca="false">G792+H792+I792</f>
        <v>9.98</v>
      </c>
      <c r="S792" s="60" t="n">
        <f aca="false">K792+L792+M792+N792+O792</f>
        <v>7.32</v>
      </c>
      <c r="T792" s="60" t="n">
        <f aca="false">L792+M792</f>
        <v>0.05</v>
      </c>
      <c r="U792" s="60" t="n">
        <f aca="false">S792+J792</f>
        <v>7.32</v>
      </c>
      <c r="V792" s="63" t="n">
        <f aca="false">IFERROR(S792/F792,0)</f>
        <v>0.423121387283237</v>
      </c>
      <c r="W792" s="63" t="n">
        <f aca="false">IFERROR(R792/F792,0)</f>
        <v>0.576878612716763</v>
      </c>
      <c r="X792" s="63" t="n">
        <f aca="false">IFERROR(T792/F792,0)</f>
        <v>0.00289017341040462</v>
      </c>
      <c r="Y792" s="63" t="n">
        <f aca="false">IFERROR(G792/F792,0)</f>
        <v>0</v>
      </c>
      <c r="Z792" s="59" t="n">
        <f aca="false">IF(E792&gt;0,F792*1000000000/E792,"")</f>
        <v>553.441618291444</v>
      </c>
      <c r="AA792" s="63" t="n">
        <f aca="false">IFERROR((R792+S792+J792)/F792,0)</f>
        <v>1</v>
      </c>
      <c r="AB792" s="0" t="str">
        <f aca="false">A792&amp;"|"&amp;D792</f>
        <v>Ghana|2019</v>
      </c>
    </row>
    <row r="793" customFormat="false" ht="15" hidden="false" customHeight="false" outlineLevel="0" collapsed="false">
      <c r="A793" s="0" t="s">
        <v>256</v>
      </c>
      <c r="B793" s="0" t="s">
        <v>494</v>
      </c>
      <c r="C793" s="0" t="s">
        <v>127</v>
      </c>
      <c r="D793" s="0" t="n">
        <v>2020</v>
      </c>
      <c r="E793" s="59" t="n">
        <v>31887802</v>
      </c>
      <c r="F793" s="60" t="n">
        <v>19.73</v>
      </c>
      <c r="G793" s="61" t="n">
        <v>0</v>
      </c>
      <c r="H793" s="61" t="n">
        <v>11.59</v>
      </c>
      <c r="I793" s="61" t="n">
        <v>0.77</v>
      </c>
      <c r="J793" s="61" t="n">
        <v>0</v>
      </c>
      <c r="K793" s="61" t="n">
        <v>7.29</v>
      </c>
      <c r="L793" s="61" t="n">
        <v>0.06</v>
      </c>
      <c r="M793" s="61" t="n">
        <v>0</v>
      </c>
      <c r="N793" s="61" t="n">
        <v>0.02</v>
      </c>
      <c r="O793" s="61" t="n">
        <v>0</v>
      </c>
      <c r="P793" s="62" t="n">
        <v>459.2</v>
      </c>
      <c r="Q793" s="0" t="n">
        <v>0</v>
      </c>
      <c r="R793" s="60" t="n">
        <f aca="false">G793+H793+I793</f>
        <v>12.36</v>
      </c>
      <c r="S793" s="60" t="n">
        <f aca="false">K793+L793+M793+N793+O793</f>
        <v>7.37</v>
      </c>
      <c r="T793" s="60" t="n">
        <f aca="false">L793+M793</f>
        <v>0.06</v>
      </c>
      <c r="U793" s="60" t="n">
        <f aca="false">S793+J793</f>
        <v>7.37</v>
      </c>
      <c r="V793" s="63" t="n">
        <f aca="false">IFERROR(S793/F793,0)</f>
        <v>0.373542828180436</v>
      </c>
      <c r="W793" s="63" t="n">
        <f aca="false">IFERROR(R793/F793,0)</f>
        <v>0.626457171819564</v>
      </c>
      <c r="X793" s="63" t="n">
        <f aca="false">IFERROR(T793/F793,0)</f>
        <v>0.00304105423213381</v>
      </c>
      <c r="Y793" s="63" t="n">
        <f aca="false">IFERROR(G793/F793,0)</f>
        <v>0</v>
      </c>
      <c r="Z793" s="59" t="n">
        <f aca="false">IF(E793&gt;0,F793*1000000000/E793,"")</f>
        <v>618.731890018635</v>
      </c>
      <c r="AA793" s="63" t="n">
        <f aca="false">IFERROR((R793+S793+J793)/F793,0)</f>
        <v>1</v>
      </c>
      <c r="AB793" s="0" t="str">
        <f aca="false">A793&amp;"|"&amp;D793</f>
        <v>Ghana|2020</v>
      </c>
    </row>
    <row r="794" customFormat="false" ht="15" hidden="false" customHeight="false" outlineLevel="0" collapsed="false">
      <c r="A794" s="0" t="s">
        <v>256</v>
      </c>
      <c r="B794" s="0" t="s">
        <v>494</v>
      </c>
      <c r="C794" s="0" t="s">
        <v>127</v>
      </c>
      <c r="D794" s="0" t="n">
        <v>2021</v>
      </c>
      <c r="E794" s="59" t="n">
        <v>32518662</v>
      </c>
      <c r="F794" s="60" t="n">
        <v>22.08</v>
      </c>
      <c r="G794" s="61" t="n">
        <v>0</v>
      </c>
      <c r="H794" s="61" t="n">
        <v>13.8</v>
      </c>
      <c r="I794" s="61" t="n">
        <v>0.6</v>
      </c>
      <c r="J794" s="61" t="n">
        <v>0</v>
      </c>
      <c r="K794" s="61" t="n">
        <v>7.53</v>
      </c>
      <c r="L794" s="61" t="n">
        <v>0.13</v>
      </c>
      <c r="M794" s="61" t="n">
        <v>0</v>
      </c>
      <c r="N794" s="61" t="n">
        <v>0.02</v>
      </c>
      <c r="O794" s="61" t="n">
        <v>0</v>
      </c>
      <c r="P794" s="62" t="n">
        <v>478.3</v>
      </c>
      <c r="Q794" s="0" t="n">
        <v>0</v>
      </c>
      <c r="R794" s="60" t="n">
        <f aca="false">G794+H794+I794</f>
        <v>14.4</v>
      </c>
      <c r="S794" s="60" t="n">
        <f aca="false">K794+L794+M794+N794+O794</f>
        <v>7.68</v>
      </c>
      <c r="T794" s="60" t="n">
        <f aca="false">L794+M794</f>
        <v>0.13</v>
      </c>
      <c r="U794" s="60" t="n">
        <f aca="false">S794+J794</f>
        <v>7.68</v>
      </c>
      <c r="V794" s="63" t="n">
        <f aca="false">IFERROR(S794/F794,0)</f>
        <v>0.347826086956522</v>
      </c>
      <c r="W794" s="63" t="n">
        <f aca="false">IFERROR(R794/F794,0)</f>
        <v>0.652173913043478</v>
      </c>
      <c r="X794" s="63" t="n">
        <f aca="false">IFERROR(T794/F794,0)</f>
        <v>0.00588768115942029</v>
      </c>
      <c r="Y794" s="63" t="n">
        <f aca="false">IFERROR(G794/F794,0)</f>
        <v>0</v>
      </c>
      <c r="Z794" s="59" t="n">
        <f aca="false">IF(E794&gt;0,F794*1000000000/E794,"")</f>
        <v>678.994726166778</v>
      </c>
      <c r="AA794" s="63" t="n">
        <f aca="false">IFERROR((R794+S794+J794)/F794,0)</f>
        <v>1</v>
      </c>
      <c r="AB794" s="0" t="str">
        <f aca="false">A794&amp;"|"&amp;D794</f>
        <v>Ghana|2021</v>
      </c>
    </row>
    <row r="795" customFormat="false" ht="15" hidden="false" customHeight="false" outlineLevel="0" collapsed="false">
      <c r="A795" s="0" t="s">
        <v>256</v>
      </c>
      <c r="B795" s="0" t="s">
        <v>494</v>
      </c>
      <c r="C795" s="0" t="s">
        <v>127</v>
      </c>
      <c r="D795" s="0" t="n">
        <v>2022</v>
      </c>
      <c r="E795" s="59" t="n">
        <v>33149152</v>
      </c>
      <c r="F795" s="60" t="n">
        <v>23.22</v>
      </c>
      <c r="G795" s="61" t="n">
        <v>0</v>
      </c>
      <c r="H795" s="61" t="n">
        <v>14.23</v>
      </c>
      <c r="I795" s="61" t="n">
        <v>0.62</v>
      </c>
      <c r="J795" s="61" t="n">
        <v>0</v>
      </c>
      <c r="K795" s="61" t="n">
        <v>8.19</v>
      </c>
      <c r="L795" s="61" t="n">
        <v>0.16</v>
      </c>
      <c r="M795" s="61" t="n">
        <v>0</v>
      </c>
      <c r="N795" s="61" t="n">
        <v>0.02</v>
      </c>
      <c r="O795" s="61" t="n">
        <v>0</v>
      </c>
      <c r="P795" s="62" t="n">
        <v>469.4</v>
      </c>
      <c r="Q795" s="0" t="n">
        <v>0</v>
      </c>
      <c r="R795" s="60" t="n">
        <f aca="false">G795+H795+I795</f>
        <v>14.85</v>
      </c>
      <c r="S795" s="60" t="n">
        <f aca="false">K795+L795+M795+N795+O795</f>
        <v>8.37</v>
      </c>
      <c r="T795" s="60" t="n">
        <f aca="false">L795+M795</f>
        <v>0.16</v>
      </c>
      <c r="U795" s="60" t="n">
        <f aca="false">S795+J795</f>
        <v>8.37</v>
      </c>
      <c r="V795" s="63" t="n">
        <f aca="false">IFERROR(S795/F795,0)</f>
        <v>0.36046511627907</v>
      </c>
      <c r="W795" s="63" t="n">
        <f aca="false">IFERROR(R795/F795,0)</f>
        <v>0.63953488372093</v>
      </c>
      <c r="X795" s="63" t="n">
        <f aca="false">IFERROR(T795/F795,0)</f>
        <v>0.00689061154177433</v>
      </c>
      <c r="Y795" s="63" t="n">
        <f aca="false">IFERROR(G795/F795,0)</f>
        <v>0</v>
      </c>
      <c r="Z795" s="59" t="n">
        <f aca="false">IF(E795&gt;0,F795*1000000000/E795,"")</f>
        <v>700.470407206797</v>
      </c>
      <c r="AA795" s="63" t="n">
        <f aca="false">IFERROR((R795+S795+J795)/F795,0)</f>
        <v>1</v>
      </c>
      <c r="AB795" s="0" t="str">
        <f aca="false">A795&amp;"|"&amp;D795</f>
        <v>Ghana|2022</v>
      </c>
    </row>
    <row r="796" customFormat="false" ht="15" hidden="false" customHeight="false" outlineLevel="0" collapsed="false">
      <c r="A796" s="0" t="s">
        <v>256</v>
      </c>
      <c r="B796" s="0" t="s">
        <v>494</v>
      </c>
      <c r="C796" s="0" t="s">
        <v>127</v>
      </c>
      <c r="D796" s="0" t="n">
        <v>2023</v>
      </c>
      <c r="E796" s="59" t="n">
        <v>33787916</v>
      </c>
      <c r="F796" s="60" t="n">
        <v>24.3</v>
      </c>
      <c r="G796" s="61" t="n">
        <v>0</v>
      </c>
      <c r="H796" s="61" t="n">
        <v>14.39</v>
      </c>
      <c r="I796" s="61" t="n">
        <v>0.55</v>
      </c>
      <c r="J796" s="61" t="n">
        <v>0</v>
      </c>
      <c r="K796" s="61" t="n">
        <v>9.19</v>
      </c>
      <c r="L796" s="61" t="n">
        <v>0.15</v>
      </c>
      <c r="M796" s="61" t="n">
        <v>0</v>
      </c>
      <c r="N796" s="61" t="n">
        <v>0.02</v>
      </c>
      <c r="O796" s="61" t="n">
        <v>0</v>
      </c>
      <c r="P796" s="62" t="n">
        <v>452.7</v>
      </c>
      <c r="Q796" s="0" t="n">
        <v>0</v>
      </c>
      <c r="R796" s="60" t="n">
        <f aca="false">G796+H796+I796</f>
        <v>14.94</v>
      </c>
      <c r="S796" s="60" t="n">
        <f aca="false">K796+L796+M796+N796+O796</f>
        <v>9.36</v>
      </c>
      <c r="T796" s="60" t="n">
        <f aca="false">L796+M796</f>
        <v>0.15</v>
      </c>
      <c r="U796" s="60" t="n">
        <f aca="false">S796+J796</f>
        <v>9.36</v>
      </c>
      <c r="V796" s="63" t="n">
        <f aca="false">IFERROR(S796/F796,0)</f>
        <v>0.385185185185185</v>
      </c>
      <c r="W796" s="63" t="n">
        <f aca="false">IFERROR(R796/F796,0)</f>
        <v>0.614814814814815</v>
      </c>
      <c r="X796" s="63" t="n">
        <f aca="false">IFERROR(T796/F796,0)</f>
        <v>0.00617283950617284</v>
      </c>
      <c r="Y796" s="63" t="n">
        <f aca="false">IFERROR(G796/F796,0)</f>
        <v>0</v>
      </c>
      <c r="Z796" s="59" t="n">
        <f aca="false">IF(E796&gt;0,F796*1000000000/E796,"")</f>
        <v>719.192033033348</v>
      </c>
      <c r="AA796" s="63" t="n">
        <f aca="false">IFERROR((R796+S796+J796)/F796,0)</f>
        <v>1</v>
      </c>
      <c r="AB796" s="0" t="str">
        <f aca="false">A796&amp;"|"&amp;D796</f>
        <v>Ghana|2023</v>
      </c>
    </row>
    <row r="797" customFormat="false" ht="15" hidden="false" customHeight="false" outlineLevel="0" collapsed="false">
      <c r="A797" s="0" t="s">
        <v>256</v>
      </c>
      <c r="B797" s="0" t="s">
        <v>494</v>
      </c>
      <c r="C797" s="0" t="s">
        <v>127</v>
      </c>
      <c r="D797" s="0" t="n">
        <v>2024</v>
      </c>
      <c r="E797" s="59" t="n">
        <v>34427417</v>
      </c>
      <c r="F797" s="60" t="n">
        <v>24.27</v>
      </c>
      <c r="G797" s="61" t="n">
        <v>0</v>
      </c>
      <c r="H797" s="61" t="n">
        <v>14.91</v>
      </c>
      <c r="I797" s="61" t="n">
        <v>0.57</v>
      </c>
      <c r="J797" s="61" t="n">
        <v>0</v>
      </c>
      <c r="K797" s="61" t="n">
        <v>8.6</v>
      </c>
      <c r="L797" s="61" t="n">
        <v>0.17</v>
      </c>
      <c r="M797" s="61" t="n">
        <v>0</v>
      </c>
      <c r="N797" s="61" t="n">
        <v>0.02</v>
      </c>
      <c r="O797" s="61" t="n">
        <v>0</v>
      </c>
      <c r="P797" s="62" t="n">
        <v>468.9</v>
      </c>
      <c r="Q797" s="0" t="n">
        <v>0</v>
      </c>
      <c r="R797" s="60" t="n">
        <f aca="false">G797+H797+I797</f>
        <v>15.48</v>
      </c>
      <c r="S797" s="60" t="n">
        <f aca="false">K797+L797+M797+N797+O797</f>
        <v>8.79</v>
      </c>
      <c r="T797" s="60" t="n">
        <f aca="false">L797+M797</f>
        <v>0.17</v>
      </c>
      <c r="U797" s="60" t="n">
        <f aca="false">S797+J797</f>
        <v>8.79</v>
      </c>
      <c r="V797" s="63" t="n">
        <f aca="false">IFERROR(S797/F797,0)</f>
        <v>0.362175525339926</v>
      </c>
      <c r="W797" s="63" t="n">
        <f aca="false">IFERROR(R797/F797,0)</f>
        <v>0.637824474660074</v>
      </c>
      <c r="X797" s="63" t="n">
        <f aca="false">IFERROR(T797/F797,0)</f>
        <v>0.00700453234445818</v>
      </c>
      <c r="Y797" s="63" t="n">
        <f aca="false">IFERROR(G797/F797,0)</f>
        <v>0</v>
      </c>
      <c r="Z797" s="59" t="n">
        <f aca="false">IF(E797&gt;0,F797*1000000000/E797,"")</f>
        <v>704.961397481548</v>
      </c>
      <c r="AA797" s="63" t="n">
        <f aca="false">IFERROR((R797+S797+J797)/F797,0)</f>
        <v>1</v>
      </c>
      <c r="AB797" s="0" t="str">
        <f aca="false">A797&amp;"|"&amp;D797</f>
        <v>Ghana|2024</v>
      </c>
    </row>
    <row r="798" customFormat="false" ht="15" hidden="false" customHeight="false" outlineLevel="0" collapsed="false">
      <c r="A798" s="0" t="s">
        <v>257</v>
      </c>
      <c r="B798" s="0" t="s">
        <v>495</v>
      </c>
      <c r="C798" s="0" t="s">
        <v>127</v>
      </c>
      <c r="D798" s="0" t="n">
        <v>2015</v>
      </c>
      <c r="E798" s="59" t="n">
        <v>33214</v>
      </c>
      <c r="F798" s="60" t="n">
        <v>0.22</v>
      </c>
      <c r="G798" s="61" t="n">
        <v>0</v>
      </c>
      <c r="H798" s="61" t="n">
        <v>0</v>
      </c>
      <c r="I798" s="61" t="n">
        <v>0.22</v>
      </c>
      <c r="J798" s="61" t="n">
        <v>0</v>
      </c>
      <c r="K798" s="61" t="n">
        <v>0</v>
      </c>
      <c r="L798" s="61" t="n">
        <v>0</v>
      </c>
      <c r="M798" s="61" t="n">
        <v>0</v>
      </c>
      <c r="N798" s="61" t="n">
        <v>0</v>
      </c>
      <c r="O798" s="61" t="n">
        <v>0</v>
      </c>
      <c r="P798" s="62" t="n">
        <v>636.4</v>
      </c>
      <c r="Q798" s="0" t="n">
        <v>0</v>
      </c>
      <c r="R798" s="60" t="n">
        <f aca="false">G798+H798+I798</f>
        <v>0.22</v>
      </c>
      <c r="S798" s="60" t="n">
        <f aca="false">K798+L798+M798+N798+O798</f>
        <v>0</v>
      </c>
      <c r="T798" s="60" t="n">
        <f aca="false">L798+M798</f>
        <v>0</v>
      </c>
      <c r="U798" s="60" t="n">
        <f aca="false">S798+J798</f>
        <v>0</v>
      </c>
      <c r="V798" s="63" t="n">
        <f aca="false">IFERROR(S798/F798,0)</f>
        <v>0</v>
      </c>
      <c r="W798" s="63" t="n">
        <f aca="false">IFERROR(R798/F798,0)</f>
        <v>1</v>
      </c>
      <c r="X798" s="63" t="n">
        <f aca="false">IFERROR(T798/F798,0)</f>
        <v>0</v>
      </c>
      <c r="Y798" s="63" t="n">
        <f aca="false">IFERROR(G798/F798,0)</f>
        <v>0</v>
      </c>
      <c r="Z798" s="59" t="n">
        <f aca="false">IF(E798&gt;0,F798*1000000000/E798,"")</f>
        <v>6623.71289215391</v>
      </c>
      <c r="AA798" s="63" t="n">
        <f aca="false">IFERROR((R798+S798+J798)/F798,0)</f>
        <v>1</v>
      </c>
      <c r="AB798" s="0" t="str">
        <f aca="false">A798&amp;"|"&amp;D798</f>
        <v>Gibraltar|2015</v>
      </c>
    </row>
    <row r="799" customFormat="false" ht="15" hidden="false" customHeight="false" outlineLevel="0" collapsed="false">
      <c r="A799" s="0" t="s">
        <v>257</v>
      </c>
      <c r="B799" s="0" t="s">
        <v>495</v>
      </c>
      <c r="C799" s="0" t="s">
        <v>127</v>
      </c>
      <c r="D799" s="0" t="n">
        <v>2016</v>
      </c>
      <c r="E799" s="59" t="n">
        <v>33682</v>
      </c>
      <c r="F799" s="60" t="n">
        <v>0.21</v>
      </c>
      <c r="G799" s="61" t="n">
        <v>0</v>
      </c>
      <c r="H799" s="61" t="n">
        <v>0</v>
      </c>
      <c r="I799" s="61" t="n">
        <v>0.21</v>
      </c>
      <c r="J799" s="61" t="n">
        <v>0</v>
      </c>
      <c r="K799" s="61" t="n">
        <v>0</v>
      </c>
      <c r="L799" s="61" t="n">
        <v>0</v>
      </c>
      <c r="M799" s="61" t="n">
        <v>0</v>
      </c>
      <c r="N799" s="61" t="n">
        <v>0</v>
      </c>
      <c r="O799" s="61" t="n">
        <v>0</v>
      </c>
      <c r="P799" s="62" t="n">
        <v>666.7</v>
      </c>
      <c r="Q799" s="0" t="n">
        <v>0</v>
      </c>
      <c r="R799" s="60" t="n">
        <f aca="false">G799+H799+I799</f>
        <v>0.21</v>
      </c>
      <c r="S799" s="60" t="n">
        <f aca="false">K799+L799+M799+N799+O799</f>
        <v>0</v>
      </c>
      <c r="T799" s="60" t="n">
        <f aca="false">L799+M799</f>
        <v>0</v>
      </c>
      <c r="U799" s="60" t="n">
        <f aca="false">S799+J799</f>
        <v>0</v>
      </c>
      <c r="V799" s="63" t="n">
        <f aca="false">IFERROR(S799/F799,0)</f>
        <v>0</v>
      </c>
      <c r="W799" s="63" t="n">
        <f aca="false">IFERROR(R799/F799,0)</f>
        <v>1</v>
      </c>
      <c r="X799" s="63" t="n">
        <f aca="false">IFERROR(T799/F799,0)</f>
        <v>0</v>
      </c>
      <c r="Y799" s="63" t="n">
        <f aca="false">IFERROR(G799/F799,0)</f>
        <v>0</v>
      </c>
      <c r="Z799" s="59" t="n">
        <f aca="false">IF(E799&gt;0,F799*1000000000/E799,"")</f>
        <v>6234.78415771035</v>
      </c>
      <c r="AA799" s="63" t="n">
        <f aca="false">IFERROR((R799+S799+J799)/F799,0)</f>
        <v>1</v>
      </c>
      <c r="AB799" s="0" t="str">
        <f aca="false">A799&amp;"|"&amp;D799</f>
        <v>Gibraltar|2016</v>
      </c>
    </row>
    <row r="800" customFormat="false" ht="15" hidden="false" customHeight="false" outlineLevel="0" collapsed="false">
      <c r="A800" s="0" t="s">
        <v>257</v>
      </c>
      <c r="B800" s="0" t="s">
        <v>495</v>
      </c>
      <c r="C800" s="0" t="s">
        <v>127</v>
      </c>
      <c r="D800" s="0" t="n">
        <v>2017</v>
      </c>
      <c r="E800" s="59" t="n">
        <v>34267</v>
      </c>
      <c r="F800" s="60" t="n">
        <v>0.21</v>
      </c>
      <c r="G800" s="61" t="n">
        <v>0</v>
      </c>
      <c r="H800" s="61" t="n">
        <v>0</v>
      </c>
      <c r="I800" s="61" t="n">
        <v>0.21</v>
      </c>
      <c r="J800" s="61" t="n">
        <v>0</v>
      </c>
      <c r="K800" s="61" t="n">
        <v>0</v>
      </c>
      <c r="L800" s="61" t="n">
        <v>0</v>
      </c>
      <c r="M800" s="61" t="n">
        <v>0</v>
      </c>
      <c r="N800" s="61" t="n">
        <v>0</v>
      </c>
      <c r="O800" s="61" t="n">
        <v>0</v>
      </c>
      <c r="P800" s="62" t="n">
        <v>666.7</v>
      </c>
      <c r="Q800" s="0" t="n">
        <v>0</v>
      </c>
      <c r="R800" s="60" t="n">
        <f aca="false">G800+H800+I800</f>
        <v>0.21</v>
      </c>
      <c r="S800" s="60" t="n">
        <f aca="false">K800+L800+M800+N800+O800</f>
        <v>0</v>
      </c>
      <c r="T800" s="60" t="n">
        <f aca="false">L800+M800</f>
        <v>0</v>
      </c>
      <c r="U800" s="60" t="n">
        <f aca="false">S800+J800</f>
        <v>0</v>
      </c>
      <c r="V800" s="63" t="n">
        <f aca="false">IFERROR(S800/F800,0)</f>
        <v>0</v>
      </c>
      <c r="W800" s="63" t="n">
        <f aca="false">IFERROR(R800/F800,0)</f>
        <v>1</v>
      </c>
      <c r="X800" s="63" t="n">
        <f aca="false">IFERROR(T800/F800,0)</f>
        <v>0</v>
      </c>
      <c r="Y800" s="63" t="n">
        <f aca="false">IFERROR(G800/F800,0)</f>
        <v>0</v>
      </c>
      <c r="Z800" s="59" t="n">
        <f aca="false">IF(E800&gt;0,F800*1000000000/E800,"")</f>
        <v>6128.34505500919</v>
      </c>
      <c r="AA800" s="63" t="n">
        <f aca="false">IFERROR((R800+S800+J800)/F800,0)</f>
        <v>1</v>
      </c>
      <c r="AB800" s="0" t="str">
        <f aca="false">A800&amp;"|"&amp;D800</f>
        <v>Gibraltar|2017</v>
      </c>
    </row>
    <row r="801" customFormat="false" ht="15" hidden="false" customHeight="false" outlineLevel="0" collapsed="false">
      <c r="A801" s="0" t="s">
        <v>257</v>
      </c>
      <c r="B801" s="0" t="s">
        <v>495</v>
      </c>
      <c r="C801" s="0" t="s">
        <v>127</v>
      </c>
      <c r="D801" s="0" t="n">
        <v>2018</v>
      </c>
      <c r="E801" s="59" t="n">
        <v>34883</v>
      </c>
      <c r="F801" s="60" t="n">
        <v>0.22</v>
      </c>
      <c r="G801" s="61" t="n">
        <v>0</v>
      </c>
      <c r="H801" s="61" t="n">
        <v>0</v>
      </c>
      <c r="I801" s="61" t="n">
        <v>0.22</v>
      </c>
      <c r="J801" s="61" t="n">
        <v>0</v>
      </c>
      <c r="K801" s="61" t="n">
        <v>0</v>
      </c>
      <c r="L801" s="61" t="n">
        <v>0</v>
      </c>
      <c r="M801" s="61" t="n">
        <v>0</v>
      </c>
      <c r="N801" s="61" t="n">
        <v>0</v>
      </c>
      <c r="O801" s="61" t="n">
        <v>0</v>
      </c>
      <c r="P801" s="62" t="n">
        <v>636.4</v>
      </c>
      <c r="Q801" s="0" t="n">
        <v>0</v>
      </c>
      <c r="R801" s="60" t="n">
        <f aca="false">G801+H801+I801</f>
        <v>0.22</v>
      </c>
      <c r="S801" s="60" t="n">
        <f aca="false">K801+L801+M801+N801+O801</f>
        <v>0</v>
      </c>
      <c r="T801" s="60" t="n">
        <f aca="false">L801+M801</f>
        <v>0</v>
      </c>
      <c r="U801" s="60" t="n">
        <f aca="false">S801+J801</f>
        <v>0</v>
      </c>
      <c r="V801" s="63" t="n">
        <f aca="false">IFERROR(S801/F801,0)</f>
        <v>0</v>
      </c>
      <c r="W801" s="63" t="n">
        <f aca="false">IFERROR(R801/F801,0)</f>
        <v>1</v>
      </c>
      <c r="X801" s="63" t="n">
        <f aca="false">IFERROR(T801/F801,0)</f>
        <v>0</v>
      </c>
      <c r="Y801" s="63" t="n">
        <f aca="false">IFERROR(G801/F801,0)</f>
        <v>0</v>
      </c>
      <c r="Z801" s="59" t="n">
        <f aca="false">IF(E801&gt;0,F801*1000000000/E801,"")</f>
        <v>6306.79700713815</v>
      </c>
      <c r="AA801" s="63" t="n">
        <f aca="false">IFERROR((R801+S801+J801)/F801,0)</f>
        <v>1</v>
      </c>
      <c r="AB801" s="0" t="str">
        <f aca="false">A801&amp;"|"&amp;D801</f>
        <v>Gibraltar|2018</v>
      </c>
    </row>
    <row r="802" customFormat="false" ht="15" hidden="false" customHeight="false" outlineLevel="0" collapsed="false">
      <c r="A802" s="0" t="s">
        <v>257</v>
      </c>
      <c r="B802" s="0" t="s">
        <v>495</v>
      </c>
      <c r="C802" s="0" t="s">
        <v>127</v>
      </c>
      <c r="D802" s="0" t="n">
        <v>2019</v>
      </c>
      <c r="E802" s="59" t="n">
        <v>35518</v>
      </c>
      <c r="F802" s="60" t="n">
        <v>0.22</v>
      </c>
      <c r="G802" s="61" t="n">
        <v>0</v>
      </c>
      <c r="H802" s="61" t="n">
        <v>0.07</v>
      </c>
      <c r="I802" s="61" t="n">
        <v>0.15</v>
      </c>
      <c r="J802" s="61" t="n">
        <v>0</v>
      </c>
      <c r="K802" s="61" t="n">
        <v>0</v>
      </c>
      <c r="L802" s="61" t="n">
        <v>0</v>
      </c>
      <c r="M802" s="61" t="n">
        <v>0</v>
      </c>
      <c r="N802" s="61" t="n">
        <v>0</v>
      </c>
      <c r="O802" s="61" t="n">
        <v>0</v>
      </c>
      <c r="P802" s="62" t="n">
        <v>636.4</v>
      </c>
      <c r="Q802" s="0" t="n">
        <v>0</v>
      </c>
      <c r="R802" s="60" t="n">
        <f aca="false">G802+H802+I802</f>
        <v>0.22</v>
      </c>
      <c r="S802" s="60" t="n">
        <f aca="false">K802+L802+M802+N802+O802</f>
        <v>0</v>
      </c>
      <c r="T802" s="60" t="n">
        <f aca="false">L802+M802</f>
        <v>0</v>
      </c>
      <c r="U802" s="60" t="n">
        <f aca="false">S802+J802</f>
        <v>0</v>
      </c>
      <c r="V802" s="63" t="n">
        <f aca="false">IFERROR(S802/F802,0)</f>
        <v>0</v>
      </c>
      <c r="W802" s="63" t="n">
        <f aca="false">IFERROR(R802/F802,0)</f>
        <v>1</v>
      </c>
      <c r="X802" s="63" t="n">
        <f aca="false">IFERROR(T802/F802,0)</f>
        <v>0</v>
      </c>
      <c r="Y802" s="63" t="n">
        <f aca="false">IFERROR(G802/F802,0)</f>
        <v>0</v>
      </c>
      <c r="Z802" s="59" t="n">
        <f aca="false">IF(E802&gt;0,F802*1000000000/E802,"")</f>
        <v>6194.04245734557</v>
      </c>
      <c r="AA802" s="63" t="n">
        <f aca="false">IFERROR((R802+S802+J802)/F802,0)</f>
        <v>1</v>
      </c>
      <c r="AB802" s="0" t="str">
        <f aca="false">A802&amp;"|"&amp;D802</f>
        <v>Gibraltar|2019</v>
      </c>
    </row>
    <row r="803" customFormat="false" ht="15" hidden="false" customHeight="false" outlineLevel="0" collapsed="false">
      <c r="A803" s="0" t="s">
        <v>257</v>
      </c>
      <c r="B803" s="0" t="s">
        <v>495</v>
      </c>
      <c r="C803" s="0" t="s">
        <v>127</v>
      </c>
      <c r="D803" s="0" t="n">
        <v>2020</v>
      </c>
      <c r="E803" s="59" t="n">
        <v>36198</v>
      </c>
      <c r="F803" s="60" t="n">
        <v>0.21</v>
      </c>
      <c r="G803" s="61" t="n">
        <v>0</v>
      </c>
      <c r="H803" s="61" t="n">
        <v>0.21</v>
      </c>
      <c r="I803" s="61" t="n">
        <v>0</v>
      </c>
      <c r="J803" s="61" t="n">
        <v>0</v>
      </c>
      <c r="K803" s="61" t="n">
        <v>0</v>
      </c>
      <c r="L803" s="61" t="n">
        <v>0</v>
      </c>
      <c r="M803" s="61" t="n">
        <v>0</v>
      </c>
      <c r="N803" s="61" t="n">
        <v>0</v>
      </c>
      <c r="O803" s="61" t="n">
        <v>0</v>
      </c>
      <c r="P803" s="62" t="n">
        <v>571.4</v>
      </c>
      <c r="Q803" s="0" t="n">
        <v>0</v>
      </c>
      <c r="R803" s="60" t="n">
        <f aca="false">G803+H803+I803</f>
        <v>0.21</v>
      </c>
      <c r="S803" s="60" t="n">
        <f aca="false">K803+L803+M803+N803+O803</f>
        <v>0</v>
      </c>
      <c r="T803" s="60" t="n">
        <f aca="false">L803+M803</f>
        <v>0</v>
      </c>
      <c r="U803" s="60" t="n">
        <f aca="false">S803+J803</f>
        <v>0</v>
      </c>
      <c r="V803" s="63" t="n">
        <f aca="false">IFERROR(S803/F803,0)</f>
        <v>0</v>
      </c>
      <c r="W803" s="63" t="n">
        <f aca="false">IFERROR(R803/F803,0)</f>
        <v>1</v>
      </c>
      <c r="X803" s="63" t="n">
        <f aca="false">IFERROR(T803/F803,0)</f>
        <v>0</v>
      </c>
      <c r="Y803" s="63" t="n">
        <f aca="false">IFERROR(G803/F803,0)</f>
        <v>0</v>
      </c>
      <c r="Z803" s="59" t="n">
        <f aca="false">IF(E803&gt;0,F803*1000000000/E803,"")</f>
        <v>5801.42549312117</v>
      </c>
      <c r="AA803" s="63" t="n">
        <f aca="false">IFERROR((R803+S803+J803)/F803,0)</f>
        <v>1</v>
      </c>
      <c r="AB803" s="0" t="str">
        <f aca="false">A803&amp;"|"&amp;D803</f>
        <v>Gibraltar|2020</v>
      </c>
    </row>
    <row r="804" customFormat="false" ht="15" hidden="false" customHeight="false" outlineLevel="0" collapsed="false">
      <c r="A804" s="0" t="s">
        <v>257</v>
      </c>
      <c r="B804" s="0" t="s">
        <v>495</v>
      </c>
      <c r="C804" s="0" t="s">
        <v>127</v>
      </c>
      <c r="D804" s="0" t="n">
        <v>2021</v>
      </c>
      <c r="E804" s="59" t="n">
        <v>36881</v>
      </c>
      <c r="F804" s="60" t="n">
        <v>0.23</v>
      </c>
      <c r="G804" s="61" t="n">
        <v>0</v>
      </c>
      <c r="H804" s="61" t="n">
        <v>0.23</v>
      </c>
      <c r="I804" s="61" t="n">
        <v>0</v>
      </c>
      <c r="J804" s="61" t="n">
        <v>0</v>
      </c>
      <c r="K804" s="61" t="n">
        <v>0</v>
      </c>
      <c r="L804" s="61" t="n">
        <v>0</v>
      </c>
      <c r="M804" s="61" t="n">
        <v>0</v>
      </c>
      <c r="N804" s="61" t="n">
        <v>0</v>
      </c>
      <c r="O804" s="61" t="n">
        <v>0</v>
      </c>
      <c r="P804" s="62" t="n">
        <v>565.2</v>
      </c>
      <c r="Q804" s="0" t="n">
        <v>0</v>
      </c>
      <c r="R804" s="60" t="n">
        <f aca="false">G804+H804+I804</f>
        <v>0.23</v>
      </c>
      <c r="S804" s="60" t="n">
        <f aca="false">K804+L804+M804+N804+O804</f>
        <v>0</v>
      </c>
      <c r="T804" s="60" t="n">
        <f aca="false">L804+M804</f>
        <v>0</v>
      </c>
      <c r="U804" s="60" t="n">
        <f aca="false">S804+J804</f>
        <v>0</v>
      </c>
      <c r="V804" s="63" t="n">
        <f aca="false">IFERROR(S804/F804,0)</f>
        <v>0</v>
      </c>
      <c r="W804" s="63" t="n">
        <f aca="false">IFERROR(R804/F804,0)</f>
        <v>1</v>
      </c>
      <c r="X804" s="63" t="n">
        <f aca="false">IFERROR(T804/F804,0)</f>
        <v>0</v>
      </c>
      <c r="Y804" s="63" t="n">
        <f aca="false">IFERROR(G804/F804,0)</f>
        <v>0</v>
      </c>
      <c r="Z804" s="59" t="n">
        <f aca="false">IF(E804&gt;0,F804*1000000000/E804,"")</f>
        <v>6236.27341991812</v>
      </c>
      <c r="AA804" s="63" t="n">
        <f aca="false">IFERROR((R804+S804+J804)/F804,0)</f>
        <v>1</v>
      </c>
      <c r="AB804" s="0" t="str">
        <f aca="false">A804&amp;"|"&amp;D804</f>
        <v>Gibraltar|2021</v>
      </c>
    </row>
    <row r="805" customFormat="false" ht="15" hidden="false" customHeight="false" outlineLevel="0" collapsed="false">
      <c r="A805" s="0" t="s">
        <v>257</v>
      </c>
      <c r="B805" s="0" t="s">
        <v>495</v>
      </c>
      <c r="C805" s="0" t="s">
        <v>127</v>
      </c>
      <c r="D805" s="0" t="n">
        <v>2022</v>
      </c>
      <c r="E805" s="59" t="n">
        <v>37631</v>
      </c>
      <c r="F805" s="60" t="n">
        <v>0.21</v>
      </c>
      <c r="G805" s="61" t="n">
        <v>0</v>
      </c>
      <c r="H805" s="61" t="n">
        <v>0.21</v>
      </c>
      <c r="I805" s="61" t="n">
        <v>0</v>
      </c>
      <c r="J805" s="61" t="n">
        <v>0</v>
      </c>
      <c r="K805" s="61" t="n">
        <v>0</v>
      </c>
      <c r="L805" s="61" t="n">
        <v>0</v>
      </c>
      <c r="M805" s="61" t="n">
        <v>0</v>
      </c>
      <c r="N805" s="61" t="n">
        <v>0</v>
      </c>
      <c r="O805" s="61" t="n">
        <v>0</v>
      </c>
      <c r="P805" s="62" t="n">
        <v>571.4</v>
      </c>
      <c r="Q805" s="0" t="n">
        <v>0</v>
      </c>
      <c r="R805" s="60" t="n">
        <f aca="false">G805+H805+I805</f>
        <v>0.21</v>
      </c>
      <c r="S805" s="60" t="n">
        <f aca="false">K805+L805+M805+N805+O805</f>
        <v>0</v>
      </c>
      <c r="T805" s="60" t="n">
        <f aca="false">L805+M805</f>
        <v>0</v>
      </c>
      <c r="U805" s="60" t="n">
        <f aca="false">S805+J805</f>
        <v>0</v>
      </c>
      <c r="V805" s="63" t="n">
        <f aca="false">IFERROR(S805/F805,0)</f>
        <v>0</v>
      </c>
      <c r="W805" s="63" t="n">
        <f aca="false">IFERROR(R805/F805,0)</f>
        <v>1</v>
      </c>
      <c r="X805" s="63" t="n">
        <f aca="false">IFERROR(T805/F805,0)</f>
        <v>0</v>
      </c>
      <c r="Y805" s="63" t="n">
        <f aca="false">IFERROR(G805/F805,0)</f>
        <v>0</v>
      </c>
      <c r="Z805" s="59" t="n">
        <f aca="false">IF(E805&gt;0,F805*1000000000/E805,"")</f>
        <v>5580.50543434934</v>
      </c>
      <c r="AA805" s="63" t="n">
        <f aca="false">IFERROR((R805+S805+J805)/F805,0)</f>
        <v>1</v>
      </c>
      <c r="AB805" s="0" t="str">
        <f aca="false">A805&amp;"|"&amp;D805</f>
        <v>Gibraltar|2022</v>
      </c>
    </row>
    <row r="806" customFormat="false" ht="15" hidden="false" customHeight="false" outlineLevel="0" collapsed="false">
      <c r="A806" s="0" t="s">
        <v>257</v>
      </c>
      <c r="B806" s="0" t="s">
        <v>495</v>
      </c>
      <c r="C806" s="0" t="s">
        <v>127</v>
      </c>
      <c r="D806" s="0" t="n">
        <v>2023</v>
      </c>
      <c r="E806" s="59" t="n">
        <v>38493</v>
      </c>
      <c r="F806" s="60" t="n">
        <v>0.23</v>
      </c>
      <c r="G806" s="61" t="n">
        <v>0</v>
      </c>
      <c r="H806" s="61" t="n">
        <v>0.19</v>
      </c>
      <c r="I806" s="61" t="n">
        <v>0.04</v>
      </c>
      <c r="J806" s="61" t="n">
        <v>0</v>
      </c>
      <c r="K806" s="61" t="n">
        <v>0</v>
      </c>
      <c r="L806" s="61" t="n">
        <v>0</v>
      </c>
      <c r="M806" s="61" t="n">
        <v>0</v>
      </c>
      <c r="N806" s="61" t="n">
        <v>0</v>
      </c>
      <c r="O806" s="61" t="n">
        <v>0</v>
      </c>
      <c r="P806" s="62" t="n">
        <v>608.7</v>
      </c>
      <c r="Q806" s="0" t="n">
        <v>0</v>
      </c>
      <c r="R806" s="60" t="n">
        <f aca="false">G806+H806+I806</f>
        <v>0.23</v>
      </c>
      <c r="S806" s="60" t="n">
        <f aca="false">K806+L806+M806+N806+O806</f>
        <v>0</v>
      </c>
      <c r="T806" s="60" t="n">
        <f aca="false">L806+M806</f>
        <v>0</v>
      </c>
      <c r="U806" s="60" t="n">
        <f aca="false">S806+J806</f>
        <v>0</v>
      </c>
      <c r="V806" s="63" t="n">
        <f aca="false">IFERROR(S806/F806,0)</f>
        <v>0</v>
      </c>
      <c r="W806" s="63" t="n">
        <f aca="false">IFERROR(R806/F806,0)</f>
        <v>1</v>
      </c>
      <c r="X806" s="63" t="n">
        <f aca="false">IFERROR(T806/F806,0)</f>
        <v>0</v>
      </c>
      <c r="Y806" s="63" t="n">
        <f aca="false">IFERROR(G806/F806,0)</f>
        <v>0</v>
      </c>
      <c r="Z806" s="59" t="n">
        <f aca="false">IF(E806&gt;0,F806*1000000000/E806,"")</f>
        <v>5975.11235809108</v>
      </c>
      <c r="AA806" s="63" t="n">
        <f aca="false">IFERROR((R806+S806+J806)/F806,0)</f>
        <v>1</v>
      </c>
      <c r="AB806" s="0" t="str">
        <f aca="false">A806&amp;"|"&amp;D806</f>
        <v>Gibraltar|2023</v>
      </c>
    </row>
    <row r="807" customFormat="false" ht="15" hidden="false" customHeight="false" outlineLevel="0" collapsed="false">
      <c r="A807" s="0" t="s">
        <v>257</v>
      </c>
      <c r="B807" s="0" t="s">
        <v>495</v>
      </c>
      <c r="C807" s="0" t="s">
        <v>127</v>
      </c>
      <c r="D807" s="0" t="n">
        <v>2024</v>
      </c>
      <c r="E807" s="59" t="n">
        <v>39351</v>
      </c>
      <c r="F807" s="60" t="n">
        <v>0.22</v>
      </c>
      <c r="G807" s="61" t="n">
        <v>0</v>
      </c>
      <c r="H807" s="61" t="n">
        <v>0.18</v>
      </c>
      <c r="I807" s="61" t="n">
        <v>0.04</v>
      </c>
      <c r="J807" s="61" t="n">
        <v>0</v>
      </c>
      <c r="K807" s="61" t="n">
        <v>0</v>
      </c>
      <c r="L807" s="61" t="n">
        <v>0</v>
      </c>
      <c r="M807" s="61" t="n">
        <v>0</v>
      </c>
      <c r="N807" s="61" t="n">
        <v>0</v>
      </c>
      <c r="O807" s="61" t="n">
        <v>0</v>
      </c>
      <c r="P807" s="62" t="n">
        <v>590.9</v>
      </c>
      <c r="Q807" s="0" t="n">
        <v>0</v>
      </c>
      <c r="R807" s="60" t="n">
        <f aca="false">G807+H807+I807</f>
        <v>0.22</v>
      </c>
      <c r="S807" s="60" t="n">
        <f aca="false">K807+L807+M807+N807+O807</f>
        <v>0</v>
      </c>
      <c r="T807" s="60" t="n">
        <f aca="false">L807+M807</f>
        <v>0</v>
      </c>
      <c r="U807" s="60" t="n">
        <f aca="false">S807+J807</f>
        <v>0</v>
      </c>
      <c r="V807" s="63" t="n">
        <f aca="false">IFERROR(S807/F807,0)</f>
        <v>0</v>
      </c>
      <c r="W807" s="63" t="n">
        <f aca="false">IFERROR(R807/F807,0)</f>
        <v>1</v>
      </c>
      <c r="X807" s="63" t="n">
        <f aca="false">IFERROR(T807/F807,0)</f>
        <v>0</v>
      </c>
      <c r="Y807" s="63" t="n">
        <f aca="false">IFERROR(G807/F807,0)</f>
        <v>0</v>
      </c>
      <c r="Z807" s="59" t="n">
        <f aca="false">IF(E807&gt;0,F807*1000000000/E807,"")</f>
        <v>5590.70925770629</v>
      </c>
      <c r="AA807" s="63" t="n">
        <f aca="false">IFERROR((R807+S807+J807)/F807,0)</f>
        <v>1</v>
      </c>
      <c r="AB807" s="0" t="str">
        <f aca="false">A807&amp;"|"&amp;D807</f>
        <v>Gibraltar|2024</v>
      </c>
    </row>
    <row r="808" customFormat="false" ht="15" hidden="false" customHeight="false" outlineLevel="0" collapsed="false">
      <c r="A808" s="0" t="s">
        <v>258</v>
      </c>
      <c r="B808" s="0" t="s">
        <v>496</v>
      </c>
      <c r="C808" s="0" t="s">
        <v>127</v>
      </c>
      <c r="D808" s="0" t="n">
        <v>2015</v>
      </c>
      <c r="E808" s="59" t="n">
        <v>10820902</v>
      </c>
      <c r="F808" s="60" t="n">
        <v>51.05</v>
      </c>
      <c r="G808" s="61" t="n">
        <v>22.11</v>
      </c>
      <c r="H808" s="61" t="n">
        <v>9.09</v>
      </c>
      <c r="I808" s="61" t="n">
        <v>5</v>
      </c>
      <c r="J808" s="61" t="n">
        <v>0</v>
      </c>
      <c r="K808" s="61" t="n">
        <v>6.1</v>
      </c>
      <c r="L808" s="61" t="n">
        <v>3.9</v>
      </c>
      <c r="M808" s="61" t="n">
        <v>4.62</v>
      </c>
      <c r="N808" s="61" t="n">
        <v>0.23</v>
      </c>
      <c r="O808" s="61" t="n">
        <v>0</v>
      </c>
      <c r="P808" s="62" t="n">
        <v>603.5</v>
      </c>
      <c r="Q808" s="0" t="n">
        <v>0</v>
      </c>
      <c r="R808" s="60" t="n">
        <f aca="false">G808+H808+I808</f>
        <v>36.2</v>
      </c>
      <c r="S808" s="60" t="n">
        <f aca="false">K808+L808+M808+N808+O808</f>
        <v>14.85</v>
      </c>
      <c r="T808" s="60" t="n">
        <f aca="false">L808+M808</f>
        <v>8.52</v>
      </c>
      <c r="U808" s="60" t="n">
        <f aca="false">S808+J808</f>
        <v>14.85</v>
      </c>
      <c r="V808" s="63" t="n">
        <f aca="false">IFERROR(S808/F808,0)</f>
        <v>0.290891283055828</v>
      </c>
      <c r="W808" s="63" t="n">
        <f aca="false">IFERROR(R808/F808,0)</f>
        <v>0.709108716944172</v>
      </c>
      <c r="X808" s="63" t="n">
        <f aca="false">IFERROR(T808/F808,0)</f>
        <v>0.166895200783546</v>
      </c>
      <c r="Y808" s="63" t="n">
        <f aca="false">IFERROR(G808/F808,0)</f>
        <v>0.433104799216454</v>
      </c>
      <c r="Z808" s="59" t="n">
        <f aca="false">IF(E808&gt;0,F808*1000000000/E808,"")</f>
        <v>4717.72131380545</v>
      </c>
      <c r="AA808" s="63" t="n">
        <f aca="false">IFERROR((R808+S808+J808)/F808,0)</f>
        <v>1</v>
      </c>
      <c r="AB808" s="0" t="str">
        <f aca="false">A808&amp;"|"&amp;D808</f>
        <v>Greece|2015</v>
      </c>
    </row>
    <row r="809" customFormat="false" ht="15" hidden="false" customHeight="false" outlineLevel="0" collapsed="false">
      <c r="A809" s="0" t="s">
        <v>258</v>
      </c>
      <c r="B809" s="0" t="s">
        <v>496</v>
      </c>
      <c r="C809" s="0" t="s">
        <v>127</v>
      </c>
      <c r="D809" s="0" t="n">
        <v>2016</v>
      </c>
      <c r="E809" s="59" t="n">
        <v>10775506</v>
      </c>
      <c r="F809" s="60" t="n">
        <v>53.84</v>
      </c>
      <c r="G809" s="61" t="n">
        <v>18.88</v>
      </c>
      <c r="H809" s="61" t="n">
        <v>14.97</v>
      </c>
      <c r="I809" s="61" t="n">
        <v>5.1</v>
      </c>
      <c r="J809" s="61" t="n">
        <v>0</v>
      </c>
      <c r="K809" s="61" t="n">
        <v>5.54</v>
      </c>
      <c r="L809" s="61" t="n">
        <v>3.93</v>
      </c>
      <c r="M809" s="61" t="n">
        <v>5.15</v>
      </c>
      <c r="N809" s="61" t="n">
        <v>0.27</v>
      </c>
      <c r="O809" s="61" t="n">
        <v>0</v>
      </c>
      <c r="P809" s="62" t="n">
        <v>571.5</v>
      </c>
      <c r="Q809" s="0" t="n">
        <v>0</v>
      </c>
      <c r="R809" s="60" t="n">
        <f aca="false">G809+H809+I809</f>
        <v>38.95</v>
      </c>
      <c r="S809" s="60" t="n">
        <f aca="false">K809+L809+M809+N809+O809</f>
        <v>14.89</v>
      </c>
      <c r="T809" s="60" t="n">
        <f aca="false">L809+M809</f>
        <v>9.08</v>
      </c>
      <c r="U809" s="60" t="n">
        <f aca="false">S809+J809</f>
        <v>14.89</v>
      </c>
      <c r="V809" s="63" t="n">
        <f aca="false">IFERROR(S809/F809,0)</f>
        <v>0.276560178306092</v>
      </c>
      <c r="W809" s="63" t="n">
        <f aca="false">IFERROR(R809/F809,0)</f>
        <v>0.723439821693908</v>
      </c>
      <c r="X809" s="63" t="n">
        <f aca="false">IFERROR(T809/F809,0)</f>
        <v>0.168647845468053</v>
      </c>
      <c r="Y809" s="63" t="n">
        <f aca="false">IFERROR(G809/F809,0)</f>
        <v>0.350668647845468</v>
      </c>
      <c r="Z809" s="59" t="n">
        <f aca="false">IF(E809&gt;0,F809*1000000000/E809,"")</f>
        <v>4996.51710091387</v>
      </c>
      <c r="AA809" s="63" t="n">
        <f aca="false">IFERROR((R809+S809+J809)/F809,0)</f>
        <v>1</v>
      </c>
      <c r="AB809" s="0" t="str">
        <f aca="false">A809&amp;"|"&amp;D809</f>
        <v>Greece|2016</v>
      </c>
    </row>
    <row r="810" customFormat="false" ht="15" hidden="false" customHeight="false" outlineLevel="0" collapsed="false">
      <c r="A810" s="0" t="s">
        <v>258</v>
      </c>
      <c r="B810" s="0" t="s">
        <v>496</v>
      </c>
      <c r="C810" s="0" t="s">
        <v>127</v>
      </c>
      <c r="D810" s="0" t="n">
        <v>2017</v>
      </c>
      <c r="E810" s="59" t="n">
        <v>10753532</v>
      </c>
      <c r="F810" s="60" t="n">
        <v>54.8</v>
      </c>
      <c r="G810" s="61" t="n">
        <v>18.76</v>
      </c>
      <c r="H810" s="61" t="n">
        <v>17.13</v>
      </c>
      <c r="I810" s="61" t="n">
        <v>5.11</v>
      </c>
      <c r="J810" s="61" t="n">
        <v>0</v>
      </c>
      <c r="K810" s="61" t="n">
        <v>3.96</v>
      </c>
      <c r="L810" s="61" t="n">
        <v>3.99</v>
      </c>
      <c r="M810" s="61" t="n">
        <v>5.54</v>
      </c>
      <c r="N810" s="61" t="n">
        <v>0.31</v>
      </c>
      <c r="O810" s="61" t="n">
        <v>0</v>
      </c>
      <c r="P810" s="62" t="n">
        <v>579.8</v>
      </c>
      <c r="Q810" s="0" t="n">
        <v>0</v>
      </c>
      <c r="R810" s="60" t="n">
        <f aca="false">G810+H810+I810</f>
        <v>41</v>
      </c>
      <c r="S810" s="60" t="n">
        <f aca="false">K810+L810+M810+N810+O810</f>
        <v>13.8</v>
      </c>
      <c r="T810" s="60" t="n">
        <f aca="false">L810+M810</f>
        <v>9.53</v>
      </c>
      <c r="U810" s="60" t="n">
        <f aca="false">S810+J810</f>
        <v>13.8</v>
      </c>
      <c r="V810" s="63" t="n">
        <f aca="false">IFERROR(S810/F810,0)</f>
        <v>0.251824817518248</v>
      </c>
      <c r="W810" s="63" t="n">
        <f aca="false">IFERROR(R810/F810,0)</f>
        <v>0.748175182481752</v>
      </c>
      <c r="X810" s="63" t="n">
        <f aca="false">IFERROR(T810/F810,0)</f>
        <v>0.173905109489051</v>
      </c>
      <c r="Y810" s="63" t="n">
        <f aca="false">IFERROR(G810/F810,0)</f>
        <v>0.342335766423358</v>
      </c>
      <c r="Z810" s="59" t="n">
        <f aca="false">IF(E810&gt;0,F810*1000000000/E810,"")</f>
        <v>5096.00008629723</v>
      </c>
      <c r="AA810" s="63" t="n">
        <f aca="false">IFERROR((R810+S810+J810)/F810,0)</f>
        <v>1</v>
      </c>
      <c r="AB810" s="0" t="str">
        <f aca="false">A810&amp;"|"&amp;D810</f>
        <v>Greece|2017</v>
      </c>
    </row>
    <row r="811" customFormat="false" ht="15" hidden="false" customHeight="false" outlineLevel="0" collapsed="false">
      <c r="A811" s="0" t="s">
        <v>258</v>
      </c>
      <c r="B811" s="0" t="s">
        <v>496</v>
      </c>
      <c r="C811" s="0" t="s">
        <v>127</v>
      </c>
      <c r="D811" s="0" t="n">
        <v>2018</v>
      </c>
      <c r="E811" s="59" t="n">
        <v>10730846</v>
      </c>
      <c r="F811" s="60" t="n">
        <v>52.61</v>
      </c>
      <c r="G811" s="61" t="n">
        <v>17.19</v>
      </c>
      <c r="H811" s="61" t="n">
        <v>14.09</v>
      </c>
      <c r="I811" s="61" t="n">
        <v>5.19</v>
      </c>
      <c r="J811" s="61" t="n">
        <v>0</v>
      </c>
      <c r="K811" s="61" t="n">
        <v>5.74</v>
      </c>
      <c r="L811" s="61" t="n">
        <v>3.79</v>
      </c>
      <c r="M811" s="61" t="n">
        <v>6.3</v>
      </c>
      <c r="N811" s="61" t="n">
        <v>0.31</v>
      </c>
      <c r="O811" s="61" t="n">
        <v>0</v>
      </c>
      <c r="P811" s="62" t="n">
        <v>545.1</v>
      </c>
      <c r="Q811" s="0" t="n">
        <v>0</v>
      </c>
      <c r="R811" s="60" t="n">
        <f aca="false">G811+H811+I811</f>
        <v>36.47</v>
      </c>
      <c r="S811" s="60" t="n">
        <f aca="false">K811+L811+M811+N811+O811</f>
        <v>16.14</v>
      </c>
      <c r="T811" s="60" t="n">
        <f aca="false">L811+M811</f>
        <v>10.09</v>
      </c>
      <c r="U811" s="60" t="n">
        <f aca="false">S811+J811</f>
        <v>16.14</v>
      </c>
      <c r="V811" s="63" t="n">
        <f aca="false">IFERROR(S811/F811,0)</f>
        <v>0.30678578217069</v>
      </c>
      <c r="W811" s="63" t="n">
        <f aca="false">IFERROR(R811/F811,0)</f>
        <v>0.69321421782931</v>
      </c>
      <c r="X811" s="63" t="n">
        <f aca="false">IFERROR(T811/F811,0)</f>
        <v>0.191788633339669</v>
      </c>
      <c r="Y811" s="63" t="n">
        <f aca="false">IFERROR(G811/F811,0)</f>
        <v>0.326743965025661</v>
      </c>
      <c r="Z811" s="59" t="n">
        <f aca="false">IF(E811&gt;0,F811*1000000000/E811,"")</f>
        <v>4902.68893990278</v>
      </c>
      <c r="AA811" s="63" t="n">
        <f aca="false">IFERROR((R811+S811+J811)/F811,0)</f>
        <v>1</v>
      </c>
      <c r="AB811" s="0" t="str">
        <f aca="false">A811&amp;"|"&amp;D811</f>
        <v>Greece|2018</v>
      </c>
    </row>
    <row r="812" customFormat="false" ht="15" hidden="false" customHeight="false" outlineLevel="0" collapsed="false">
      <c r="A812" s="0" t="s">
        <v>258</v>
      </c>
      <c r="B812" s="0" t="s">
        <v>496</v>
      </c>
      <c r="C812" s="0" t="s">
        <v>127</v>
      </c>
      <c r="D812" s="0" t="n">
        <v>2019</v>
      </c>
      <c r="E812" s="59" t="n">
        <v>10718581</v>
      </c>
      <c r="F812" s="60" t="n">
        <v>47.95</v>
      </c>
      <c r="G812" s="61" t="n">
        <v>12.12</v>
      </c>
      <c r="H812" s="61" t="n">
        <v>14.5</v>
      </c>
      <c r="I812" s="61" t="n">
        <v>5.23</v>
      </c>
      <c r="J812" s="61" t="n">
        <v>0</v>
      </c>
      <c r="K812" s="61" t="n">
        <v>4</v>
      </c>
      <c r="L812" s="61" t="n">
        <v>4.43</v>
      </c>
      <c r="M812" s="61" t="n">
        <v>7.27</v>
      </c>
      <c r="N812" s="61" t="n">
        <v>0.4</v>
      </c>
      <c r="O812" s="61" t="n">
        <v>0</v>
      </c>
      <c r="P812" s="62" t="n">
        <v>497</v>
      </c>
      <c r="Q812" s="0" t="n">
        <v>0</v>
      </c>
      <c r="R812" s="60" t="n">
        <f aca="false">G812+H812+I812</f>
        <v>31.85</v>
      </c>
      <c r="S812" s="60" t="n">
        <f aca="false">K812+L812+M812+N812+O812</f>
        <v>16.1</v>
      </c>
      <c r="T812" s="60" t="n">
        <f aca="false">L812+M812</f>
        <v>11.7</v>
      </c>
      <c r="U812" s="60" t="n">
        <f aca="false">S812+J812</f>
        <v>16.1</v>
      </c>
      <c r="V812" s="63" t="n">
        <f aca="false">IFERROR(S812/F812,0)</f>
        <v>0.335766423357664</v>
      </c>
      <c r="W812" s="63" t="n">
        <f aca="false">IFERROR(R812/F812,0)</f>
        <v>0.664233576642336</v>
      </c>
      <c r="X812" s="63" t="n">
        <f aca="false">IFERROR(T812/F812,0)</f>
        <v>0.24400417101147</v>
      </c>
      <c r="Y812" s="63" t="n">
        <f aca="false">IFERROR(G812/F812,0)</f>
        <v>0.252763295099062</v>
      </c>
      <c r="Z812" s="59" t="n">
        <f aca="false">IF(E812&gt;0,F812*1000000000/E812,"")</f>
        <v>4473.5399210026</v>
      </c>
      <c r="AA812" s="63" t="n">
        <f aca="false">IFERROR((R812+S812+J812)/F812,0)</f>
        <v>1</v>
      </c>
      <c r="AB812" s="0" t="str">
        <f aca="false">A812&amp;"|"&amp;D812</f>
        <v>Greece|2019</v>
      </c>
    </row>
    <row r="813" customFormat="false" ht="15" hidden="false" customHeight="false" outlineLevel="0" collapsed="false">
      <c r="A813" s="0" t="s">
        <v>258</v>
      </c>
      <c r="B813" s="0" t="s">
        <v>496</v>
      </c>
      <c r="C813" s="0" t="s">
        <v>127</v>
      </c>
      <c r="D813" s="0" t="n">
        <v>2020</v>
      </c>
      <c r="E813" s="59" t="n">
        <v>10699370</v>
      </c>
      <c r="F813" s="60" t="n">
        <v>47.51</v>
      </c>
      <c r="G813" s="61" t="n">
        <v>6.61</v>
      </c>
      <c r="H813" s="61" t="n">
        <v>19.23</v>
      </c>
      <c r="I813" s="61" t="n">
        <v>4.12</v>
      </c>
      <c r="J813" s="61" t="n">
        <v>0</v>
      </c>
      <c r="K813" s="61" t="n">
        <v>3.34</v>
      </c>
      <c r="L813" s="61" t="n">
        <v>4.45</v>
      </c>
      <c r="M813" s="61" t="n">
        <v>9.31</v>
      </c>
      <c r="N813" s="61" t="n">
        <v>0.45</v>
      </c>
      <c r="O813" s="61" t="n">
        <v>0</v>
      </c>
      <c r="P813" s="62" t="n">
        <v>423.1</v>
      </c>
      <c r="Q813" s="0" t="n">
        <v>0</v>
      </c>
      <c r="R813" s="60" t="n">
        <f aca="false">G813+H813+I813</f>
        <v>29.96</v>
      </c>
      <c r="S813" s="60" t="n">
        <f aca="false">K813+L813+M813+N813+O813</f>
        <v>17.55</v>
      </c>
      <c r="T813" s="60" t="n">
        <f aca="false">L813+M813</f>
        <v>13.76</v>
      </c>
      <c r="U813" s="60" t="n">
        <f aca="false">S813+J813</f>
        <v>17.55</v>
      </c>
      <c r="V813" s="63" t="n">
        <f aca="false">IFERROR(S813/F813,0)</f>
        <v>0.369395916649127</v>
      </c>
      <c r="W813" s="63" t="n">
        <f aca="false">IFERROR(R813/F813,0)</f>
        <v>0.630604083350874</v>
      </c>
      <c r="X813" s="63" t="n">
        <f aca="false">IFERROR(T813/F813,0)</f>
        <v>0.289623237213218</v>
      </c>
      <c r="Y813" s="63" t="n">
        <f aca="false">IFERROR(G813/F813,0)</f>
        <v>0.139128604504315</v>
      </c>
      <c r="Z813" s="59" t="n">
        <f aca="false">IF(E813&gt;0,F813*1000000000/E813,"")</f>
        <v>4440.44836284753</v>
      </c>
      <c r="AA813" s="63" t="n">
        <f aca="false">IFERROR((R813+S813+J813)/F813,0)</f>
        <v>1</v>
      </c>
      <c r="AB813" s="0" t="str">
        <f aca="false">A813&amp;"|"&amp;D813</f>
        <v>Greece|2020</v>
      </c>
    </row>
    <row r="814" customFormat="false" ht="15" hidden="false" customHeight="false" outlineLevel="0" collapsed="false">
      <c r="A814" s="0" t="s">
        <v>258</v>
      </c>
      <c r="B814" s="0" t="s">
        <v>496</v>
      </c>
      <c r="C814" s="0" t="s">
        <v>127</v>
      </c>
      <c r="D814" s="0" t="n">
        <v>2021</v>
      </c>
      <c r="E814" s="59" t="n">
        <v>10579561</v>
      </c>
      <c r="F814" s="60" t="n">
        <v>54.24</v>
      </c>
      <c r="G814" s="61" t="n">
        <v>5.32</v>
      </c>
      <c r="H814" s="61" t="n">
        <v>22.49</v>
      </c>
      <c r="I814" s="61" t="n">
        <v>4.3</v>
      </c>
      <c r="J814" s="61" t="n">
        <v>0</v>
      </c>
      <c r="K814" s="61" t="n">
        <v>5.9</v>
      </c>
      <c r="L814" s="61" t="n">
        <v>5.25</v>
      </c>
      <c r="M814" s="61" t="n">
        <v>10.48</v>
      </c>
      <c r="N814" s="61" t="n">
        <v>0.5</v>
      </c>
      <c r="O814" s="61" t="n">
        <v>0</v>
      </c>
      <c r="P814" s="62" t="n">
        <v>383.1</v>
      </c>
      <c r="Q814" s="0" t="n">
        <v>0</v>
      </c>
      <c r="R814" s="60" t="n">
        <f aca="false">G814+H814+I814</f>
        <v>32.11</v>
      </c>
      <c r="S814" s="60" t="n">
        <f aca="false">K814+L814+M814+N814+O814</f>
        <v>22.13</v>
      </c>
      <c r="T814" s="60" t="n">
        <f aca="false">L814+M814</f>
        <v>15.73</v>
      </c>
      <c r="U814" s="60" t="n">
        <f aca="false">S814+J814</f>
        <v>22.13</v>
      </c>
      <c r="V814" s="63" t="n">
        <f aca="false">IFERROR(S814/F814,0)</f>
        <v>0.408001474926254</v>
      </c>
      <c r="W814" s="63" t="n">
        <f aca="false">IFERROR(R814/F814,0)</f>
        <v>0.591998525073746</v>
      </c>
      <c r="X814" s="63" t="n">
        <f aca="false">IFERROR(T814/F814,0)</f>
        <v>0.290007374631268</v>
      </c>
      <c r="Y814" s="63" t="n">
        <f aca="false">IFERROR(G814/F814,0)</f>
        <v>0.0980825958702065</v>
      </c>
      <c r="Z814" s="59" t="n">
        <f aca="false">IF(E814&gt;0,F814*1000000000/E814,"")</f>
        <v>5126.86679532355</v>
      </c>
      <c r="AA814" s="63" t="n">
        <f aca="false">IFERROR((R814+S814+J814)/F814,0)</f>
        <v>1</v>
      </c>
      <c r="AB814" s="0" t="str">
        <f aca="false">A814&amp;"|"&amp;D814</f>
        <v>Greece|2021</v>
      </c>
    </row>
    <row r="815" customFormat="false" ht="15" hidden="false" customHeight="false" outlineLevel="0" collapsed="false">
      <c r="A815" s="0" t="s">
        <v>258</v>
      </c>
      <c r="B815" s="0" t="s">
        <v>496</v>
      </c>
      <c r="C815" s="0" t="s">
        <v>127</v>
      </c>
      <c r="D815" s="0" t="n">
        <v>2022</v>
      </c>
      <c r="E815" s="59" t="n">
        <v>10412481</v>
      </c>
      <c r="F815" s="60" t="n">
        <v>51.67</v>
      </c>
      <c r="G815" s="61" t="n">
        <v>5.76</v>
      </c>
      <c r="H815" s="61" t="n">
        <v>19.14</v>
      </c>
      <c r="I815" s="61" t="n">
        <v>4.32</v>
      </c>
      <c r="J815" s="61" t="n">
        <v>0</v>
      </c>
      <c r="K815" s="61" t="n">
        <v>3.86</v>
      </c>
      <c r="L815" s="61" t="n">
        <v>7.14</v>
      </c>
      <c r="M815" s="61" t="n">
        <v>10.88</v>
      </c>
      <c r="N815" s="61" t="n">
        <v>0.57</v>
      </c>
      <c r="O815" s="61" t="n">
        <v>0</v>
      </c>
      <c r="P815" s="62" t="n">
        <v>376.8</v>
      </c>
      <c r="Q815" s="0" t="n">
        <v>0</v>
      </c>
      <c r="R815" s="60" t="n">
        <f aca="false">G815+H815+I815</f>
        <v>29.22</v>
      </c>
      <c r="S815" s="60" t="n">
        <f aca="false">K815+L815+M815+N815+O815</f>
        <v>22.45</v>
      </c>
      <c r="T815" s="60" t="n">
        <f aca="false">L815+M815</f>
        <v>18.02</v>
      </c>
      <c r="U815" s="60" t="n">
        <f aca="false">S815+J815</f>
        <v>22.45</v>
      </c>
      <c r="V815" s="63" t="n">
        <f aca="false">IFERROR(S815/F815,0)</f>
        <v>0.434488097542094</v>
      </c>
      <c r="W815" s="63" t="n">
        <f aca="false">IFERROR(R815/F815,0)</f>
        <v>0.565511902457906</v>
      </c>
      <c r="X815" s="63" t="n">
        <f aca="false">IFERROR(T815/F815,0)</f>
        <v>0.348751693439133</v>
      </c>
      <c r="Y815" s="63" t="n">
        <f aca="false">IFERROR(G815/F815,0)</f>
        <v>0.11147667892394</v>
      </c>
      <c r="Z815" s="59" t="n">
        <f aca="false">IF(E815&gt;0,F815*1000000000/E815,"")</f>
        <v>4962.31397685144</v>
      </c>
      <c r="AA815" s="63" t="n">
        <f aca="false">IFERROR((R815+S815+J815)/F815,0)</f>
        <v>1</v>
      </c>
      <c r="AB815" s="0" t="str">
        <f aca="false">A815&amp;"|"&amp;D815</f>
        <v>Greece|2022</v>
      </c>
    </row>
    <row r="816" customFormat="false" ht="15" hidden="false" customHeight="false" outlineLevel="0" collapsed="false">
      <c r="A816" s="0" t="s">
        <v>258</v>
      </c>
      <c r="B816" s="0" t="s">
        <v>496</v>
      </c>
      <c r="C816" s="0" t="s">
        <v>127</v>
      </c>
      <c r="D816" s="0" t="n">
        <v>2023</v>
      </c>
      <c r="E816" s="59" t="n">
        <v>10242910</v>
      </c>
      <c r="F816" s="60" t="n">
        <v>48.93</v>
      </c>
      <c r="G816" s="61" t="n">
        <v>4.59</v>
      </c>
      <c r="H816" s="61" t="n">
        <v>15.98</v>
      </c>
      <c r="I816" s="61" t="n">
        <v>3.98</v>
      </c>
      <c r="J816" s="61" t="n">
        <v>0</v>
      </c>
      <c r="K816" s="61" t="n">
        <v>3.82</v>
      </c>
      <c r="L816" s="61" t="n">
        <v>8.89</v>
      </c>
      <c r="M816" s="61" t="n">
        <v>11.02</v>
      </c>
      <c r="N816" s="61" t="n">
        <v>0.65</v>
      </c>
      <c r="O816" s="61" t="n">
        <v>0</v>
      </c>
      <c r="P816" s="62" t="n">
        <v>336.4</v>
      </c>
      <c r="Q816" s="0" t="n">
        <v>0</v>
      </c>
      <c r="R816" s="60" t="n">
        <f aca="false">G816+H816+I816</f>
        <v>24.55</v>
      </c>
      <c r="S816" s="60" t="n">
        <f aca="false">K816+L816+M816+N816+O816</f>
        <v>24.38</v>
      </c>
      <c r="T816" s="60" t="n">
        <f aca="false">L816+M816</f>
        <v>19.91</v>
      </c>
      <c r="U816" s="60" t="n">
        <f aca="false">S816+J816</f>
        <v>24.38</v>
      </c>
      <c r="V816" s="63" t="n">
        <f aca="false">IFERROR(S816/F816,0)</f>
        <v>0.498262824443082</v>
      </c>
      <c r="W816" s="63" t="n">
        <f aca="false">IFERROR(R816/F816,0)</f>
        <v>0.501737175556918</v>
      </c>
      <c r="X816" s="63" t="n">
        <f aca="false">IFERROR(T816/F816,0)</f>
        <v>0.406907827508686</v>
      </c>
      <c r="Y816" s="63" t="n">
        <f aca="false">IFERROR(G816/F816,0)</f>
        <v>0.0938074800735745</v>
      </c>
      <c r="Z816" s="59" t="n">
        <f aca="false">IF(E816&gt;0,F816*1000000000/E816,"")</f>
        <v>4776.96279670523</v>
      </c>
      <c r="AA816" s="63" t="n">
        <f aca="false">IFERROR((R816+S816+J816)/F816,0)</f>
        <v>1</v>
      </c>
      <c r="AB816" s="0" t="str">
        <f aca="false">A816&amp;"|"&amp;D816</f>
        <v>Greece|2023</v>
      </c>
    </row>
    <row r="817" customFormat="false" ht="15" hidden="false" customHeight="false" outlineLevel="0" collapsed="false">
      <c r="A817" s="0" t="s">
        <v>258</v>
      </c>
      <c r="B817" s="0" t="s">
        <v>496</v>
      </c>
      <c r="C817" s="0" t="s">
        <v>127</v>
      </c>
      <c r="D817" s="0" t="n">
        <v>2024</v>
      </c>
      <c r="E817" s="59" t="n">
        <v>10047813</v>
      </c>
      <c r="F817" s="60" t="n">
        <v>57.08</v>
      </c>
      <c r="G817" s="61" t="n">
        <v>3.27</v>
      </c>
      <c r="H817" s="61" t="n">
        <v>21.53</v>
      </c>
      <c r="I817" s="61" t="n">
        <v>4.18</v>
      </c>
      <c r="J817" s="61" t="n">
        <v>0</v>
      </c>
      <c r="K817" s="61" t="n">
        <v>3.58</v>
      </c>
      <c r="L817" s="61" t="n">
        <v>11.26</v>
      </c>
      <c r="M817" s="61" t="n">
        <v>12.55</v>
      </c>
      <c r="N817" s="61" t="n">
        <v>0.71</v>
      </c>
      <c r="O817" s="61" t="n">
        <v>0</v>
      </c>
      <c r="P817" s="62" t="n">
        <v>321.6</v>
      </c>
      <c r="Q817" s="0" t="n">
        <v>0</v>
      </c>
      <c r="R817" s="60" t="n">
        <f aca="false">G817+H817+I817</f>
        <v>28.98</v>
      </c>
      <c r="S817" s="60" t="n">
        <f aca="false">K817+L817+M817+N817+O817</f>
        <v>28.1</v>
      </c>
      <c r="T817" s="60" t="n">
        <f aca="false">L817+M817</f>
        <v>23.81</v>
      </c>
      <c r="U817" s="60" t="n">
        <f aca="false">S817+J817</f>
        <v>28.1</v>
      </c>
      <c r="V817" s="63" t="n">
        <f aca="false">IFERROR(S817/F817,0)</f>
        <v>0.49229152067274</v>
      </c>
      <c r="W817" s="63" t="n">
        <f aca="false">IFERROR(R817/F817,0)</f>
        <v>0.50770847932726</v>
      </c>
      <c r="X817" s="63" t="n">
        <f aca="false">IFERROR(T817/F817,0)</f>
        <v>0.417133847231955</v>
      </c>
      <c r="Y817" s="63" t="n">
        <f aca="false">IFERROR(G817/F817,0)</f>
        <v>0.0572880168185004</v>
      </c>
      <c r="Z817" s="59" t="n">
        <f aca="false">IF(E817&gt;0,F817*1000000000/E817,"")</f>
        <v>5680.83820827478</v>
      </c>
      <c r="AA817" s="63" t="n">
        <f aca="false">IFERROR((R817+S817+J817)/F817,0)</f>
        <v>1</v>
      </c>
      <c r="AB817" s="0" t="str">
        <f aca="false">A817&amp;"|"&amp;D817</f>
        <v>Greece|2024</v>
      </c>
    </row>
    <row r="818" customFormat="false" ht="15" hidden="false" customHeight="false" outlineLevel="0" collapsed="false">
      <c r="A818" s="0" t="s">
        <v>258</v>
      </c>
      <c r="B818" s="0" t="s">
        <v>496</v>
      </c>
      <c r="C818" s="0" t="s">
        <v>127</v>
      </c>
      <c r="D818" s="0" t="n">
        <v>2025</v>
      </c>
      <c r="E818" s="59" t="n">
        <v>9938847</v>
      </c>
      <c r="F818" s="60" t="n">
        <v>58.27</v>
      </c>
      <c r="G818" s="61" t="n">
        <v>2.74</v>
      </c>
      <c r="H818" s="61" t="n">
        <v>22.39</v>
      </c>
      <c r="I818" s="61" t="n">
        <v>4.18</v>
      </c>
      <c r="J818" s="61" t="n">
        <v>0</v>
      </c>
      <c r="K818" s="61" t="n">
        <v>3.42</v>
      </c>
      <c r="L818" s="61" t="n">
        <v>12.92</v>
      </c>
      <c r="M818" s="61" t="n">
        <v>11.91</v>
      </c>
      <c r="N818" s="61" t="n">
        <v>0.71</v>
      </c>
      <c r="O818" s="61" t="n">
        <v>0</v>
      </c>
      <c r="P818" s="62" t="n">
        <v>315.1</v>
      </c>
      <c r="Q818" s="0" t="n">
        <v>0</v>
      </c>
      <c r="R818" s="60" t="n">
        <f aca="false">G818+H818+I818</f>
        <v>29.31</v>
      </c>
      <c r="S818" s="60" t="n">
        <f aca="false">K818+L818+M818+N818+O818</f>
        <v>28.96</v>
      </c>
      <c r="T818" s="60" t="n">
        <f aca="false">L818+M818</f>
        <v>24.83</v>
      </c>
      <c r="U818" s="60" t="n">
        <f aca="false">S818+J818</f>
        <v>28.96</v>
      </c>
      <c r="V818" s="63" t="n">
        <f aca="false">IFERROR(S818/F818,0)</f>
        <v>0.496996739316973</v>
      </c>
      <c r="W818" s="63" t="n">
        <f aca="false">IFERROR(R818/F818,0)</f>
        <v>0.503003260683027</v>
      </c>
      <c r="X818" s="63" t="n">
        <f aca="false">IFERROR(T818/F818,0)</f>
        <v>0.426119787197529</v>
      </c>
      <c r="Y818" s="63" t="n">
        <f aca="false">IFERROR(G818/F818,0)</f>
        <v>0.0470224815513987</v>
      </c>
      <c r="Z818" s="59" t="n">
        <f aca="false">IF(E818&gt;0,F818*1000000000/E818,"")</f>
        <v>5862.85310559666</v>
      </c>
      <c r="AA818" s="63" t="n">
        <f aca="false">IFERROR((R818+S818+J818)/F818,0)</f>
        <v>1</v>
      </c>
      <c r="AB818" s="0" t="str">
        <f aca="false">A818&amp;"|"&amp;D818</f>
        <v>Greece|2025</v>
      </c>
    </row>
    <row r="819" customFormat="false" ht="15" hidden="false" customHeight="false" outlineLevel="0" collapsed="false">
      <c r="A819" s="0" t="s">
        <v>259</v>
      </c>
      <c r="B819" s="0" t="s">
        <v>497</v>
      </c>
      <c r="C819" s="0" t="s">
        <v>127</v>
      </c>
      <c r="D819" s="0" t="n">
        <v>2015</v>
      </c>
      <c r="E819" s="59" t="n">
        <v>56048</v>
      </c>
      <c r="F819" s="60" t="n">
        <v>0.51</v>
      </c>
      <c r="G819" s="61" t="n">
        <v>0</v>
      </c>
      <c r="H819" s="61" t="n">
        <v>0</v>
      </c>
      <c r="I819" s="61" t="n">
        <v>0.09</v>
      </c>
      <c r="J819" s="61" t="n">
        <v>0</v>
      </c>
      <c r="K819" s="61" t="n">
        <v>0.42</v>
      </c>
      <c r="L819" s="61" t="n">
        <v>0</v>
      </c>
      <c r="M819" s="61" t="n">
        <v>0</v>
      </c>
      <c r="N819" s="61" t="n">
        <v>0</v>
      </c>
      <c r="O819" s="61" t="n">
        <v>0</v>
      </c>
      <c r="P819" s="62" t="n">
        <v>137.3</v>
      </c>
      <c r="Q819" s="0" t="n">
        <v>0</v>
      </c>
      <c r="R819" s="60" t="n">
        <f aca="false">G819+H819+I819</f>
        <v>0.09</v>
      </c>
      <c r="S819" s="60" t="n">
        <f aca="false">K819+L819+M819+N819+O819</f>
        <v>0.42</v>
      </c>
      <c r="T819" s="60" t="n">
        <f aca="false">L819+M819</f>
        <v>0</v>
      </c>
      <c r="U819" s="60" t="n">
        <f aca="false">S819+J819</f>
        <v>0.42</v>
      </c>
      <c r="V819" s="63" t="n">
        <f aca="false">IFERROR(S819/F819,0)</f>
        <v>0.823529411764706</v>
      </c>
      <c r="W819" s="63" t="n">
        <f aca="false">IFERROR(R819/F819,0)</f>
        <v>0.176470588235294</v>
      </c>
      <c r="X819" s="63" t="n">
        <f aca="false">IFERROR(T819/F819,0)</f>
        <v>0</v>
      </c>
      <c r="Y819" s="63" t="n">
        <f aca="false">IFERROR(G819/F819,0)</f>
        <v>0</v>
      </c>
      <c r="Z819" s="59" t="n">
        <f aca="false">IF(E819&gt;0,F819*1000000000/E819,"")</f>
        <v>9099.34341992578</v>
      </c>
      <c r="AA819" s="63" t="n">
        <f aca="false">IFERROR((R819+S819+J819)/F819,0)</f>
        <v>1</v>
      </c>
      <c r="AB819" s="0" t="str">
        <f aca="false">A819&amp;"|"&amp;D819</f>
        <v>Greenland|2015</v>
      </c>
    </row>
    <row r="820" customFormat="false" ht="15" hidden="false" customHeight="false" outlineLevel="0" collapsed="false">
      <c r="A820" s="0" t="s">
        <v>259</v>
      </c>
      <c r="B820" s="0" t="s">
        <v>497</v>
      </c>
      <c r="C820" s="0" t="s">
        <v>127</v>
      </c>
      <c r="D820" s="0" t="n">
        <v>2016</v>
      </c>
      <c r="E820" s="59" t="n">
        <v>56082</v>
      </c>
      <c r="F820" s="60" t="n">
        <v>0.48</v>
      </c>
      <c r="G820" s="61" t="n">
        <v>0</v>
      </c>
      <c r="H820" s="61" t="n">
        <v>0</v>
      </c>
      <c r="I820" s="61" t="n">
        <v>0.08</v>
      </c>
      <c r="J820" s="61" t="n">
        <v>0</v>
      </c>
      <c r="K820" s="61" t="n">
        <v>0.4</v>
      </c>
      <c r="L820" s="61" t="n">
        <v>0</v>
      </c>
      <c r="M820" s="61" t="n">
        <v>0</v>
      </c>
      <c r="N820" s="61" t="n">
        <v>0</v>
      </c>
      <c r="O820" s="61" t="n">
        <v>0</v>
      </c>
      <c r="P820" s="62" t="n">
        <v>125</v>
      </c>
      <c r="Q820" s="0" t="n">
        <v>0</v>
      </c>
      <c r="R820" s="60" t="n">
        <f aca="false">G820+H820+I820</f>
        <v>0.08</v>
      </c>
      <c r="S820" s="60" t="n">
        <f aca="false">K820+L820+M820+N820+O820</f>
        <v>0.4</v>
      </c>
      <c r="T820" s="60" t="n">
        <f aca="false">L820+M820</f>
        <v>0</v>
      </c>
      <c r="U820" s="60" t="n">
        <f aca="false">S820+J820</f>
        <v>0.4</v>
      </c>
      <c r="V820" s="63" t="n">
        <f aca="false">IFERROR(S820/F820,0)</f>
        <v>0.833333333333333</v>
      </c>
      <c r="W820" s="63" t="n">
        <f aca="false">IFERROR(R820/F820,0)</f>
        <v>0.166666666666667</v>
      </c>
      <c r="X820" s="63" t="n">
        <f aca="false">IFERROR(T820/F820,0)</f>
        <v>0</v>
      </c>
      <c r="Y820" s="63" t="n">
        <f aca="false">IFERROR(G820/F820,0)</f>
        <v>0</v>
      </c>
      <c r="Z820" s="59" t="n">
        <f aca="false">IF(E820&gt;0,F820*1000000000/E820,"")</f>
        <v>8558.89590242859</v>
      </c>
      <c r="AA820" s="63" t="n">
        <f aca="false">IFERROR((R820+S820+J820)/F820,0)</f>
        <v>1</v>
      </c>
      <c r="AB820" s="0" t="str">
        <f aca="false">A820&amp;"|"&amp;D820</f>
        <v>Greenland|2016</v>
      </c>
    </row>
    <row r="821" customFormat="false" ht="15" hidden="false" customHeight="false" outlineLevel="0" collapsed="false">
      <c r="A821" s="0" t="s">
        <v>259</v>
      </c>
      <c r="B821" s="0" t="s">
        <v>497</v>
      </c>
      <c r="C821" s="0" t="s">
        <v>127</v>
      </c>
      <c r="D821" s="0" t="n">
        <v>2017</v>
      </c>
      <c r="E821" s="59" t="n">
        <v>56094</v>
      </c>
      <c r="F821" s="60" t="n">
        <v>0.5</v>
      </c>
      <c r="G821" s="61" t="n">
        <v>0</v>
      </c>
      <c r="H821" s="61" t="n">
        <v>0</v>
      </c>
      <c r="I821" s="61" t="n">
        <v>0.12</v>
      </c>
      <c r="J821" s="61" t="n">
        <v>0</v>
      </c>
      <c r="K821" s="61" t="n">
        <v>0.38</v>
      </c>
      <c r="L821" s="61" t="n">
        <v>0</v>
      </c>
      <c r="M821" s="61" t="n">
        <v>0</v>
      </c>
      <c r="N821" s="61" t="n">
        <v>0</v>
      </c>
      <c r="O821" s="61" t="n">
        <v>0</v>
      </c>
      <c r="P821" s="62" t="n">
        <v>180</v>
      </c>
      <c r="Q821" s="0" t="n">
        <v>0</v>
      </c>
      <c r="R821" s="60" t="n">
        <f aca="false">G821+H821+I821</f>
        <v>0.12</v>
      </c>
      <c r="S821" s="60" t="n">
        <f aca="false">K821+L821+M821+N821+O821</f>
        <v>0.38</v>
      </c>
      <c r="T821" s="60" t="n">
        <f aca="false">L821+M821</f>
        <v>0</v>
      </c>
      <c r="U821" s="60" t="n">
        <f aca="false">S821+J821</f>
        <v>0.38</v>
      </c>
      <c r="V821" s="63" t="n">
        <f aca="false">IFERROR(S821/F821,0)</f>
        <v>0.76</v>
      </c>
      <c r="W821" s="63" t="n">
        <f aca="false">IFERROR(R821/F821,0)</f>
        <v>0.24</v>
      </c>
      <c r="X821" s="63" t="n">
        <f aca="false">IFERROR(T821/F821,0)</f>
        <v>0</v>
      </c>
      <c r="Y821" s="63" t="n">
        <f aca="false">IFERROR(G821/F821,0)</f>
        <v>0</v>
      </c>
      <c r="Z821" s="59" t="n">
        <f aca="false">IF(E821&gt;0,F821*1000000000/E821,"")</f>
        <v>8913.60929867722</v>
      </c>
      <c r="AA821" s="63" t="n">
        <f aca="false">IFERROR((R821+S821+J821)/F821,0)</f>
        <v>1</v>
      </c>
      <c r="AB821" s="0" t="str">
        <f aca="false">A821&amp;"|"&amp;D821</f>
        <v>Greenland|2017</v>
      </c>
    </row>
    <row r="822" customFormat="false" ht="15" hidden="false" customHeight="false" outlineLevel="0" collapsed="false">
      <c r="A822" s="0" t="s">
        <v>259</v>
      </c>
      <c r="B822" s="0" t="s">
        <v>497</v>
      </c>
      <c r="C822" s="0" t="s">
        <v>127</v>
      </c>
      <c r="D822" s="0" t="n">
        <v>2018</v>
      </c>
      <c r="E822" s="59" t="n">
        <v>56100</v>
      </c>
      <c r="F822" s="60" t="n">
        <v>0.52</v>
      </c>
      <c r="G822" s="61" t="n">
        <v>0</v>
      </c>
      <c r="H822" s="61" t="n">
        <v>0</v>
      </c>
      <c r="I822" s="61" t="n">
        <v>0.1</v>
      </c>
      <c r="J822" s="61" t="n">
        <v>0</v>
      </c>
      <c r="K822" s="61" t="n">
        <v>0.42</v>
      </c>
      <c r="L822" s="61" t="n">
        <v>0</v>
      </c>
      <c r="M822" s="61" t="n">
        <v>0</v>
      </c>
      <c r="N822" s="61" t="n">
        <v>0</v>
      </c>
      <c r="O822" s="61" t="n">
        <v>0</v>
      </c>
      <c r="P822" s="62" t="n">
        <v>153.8</v>
      </c>
      <c r="Q822" s="0" t="n">
        <v>0</v>
      </c>
      <c r="R822" s="60" t="n">
        <f aca="false">G822+H822+I822</f>
        <v>0.1</v>
      </c>
      <c r="S822" s="60" t="n">
        <f aca="false">K822+L822+M822+N822+O822</f>
        <v>0.42</v>
      </c>
      <c r="T822" s="60" t="n">
        <f aca="false">L822+M822</f>
        <v>0</v>
      </c>
      <c r="U822" s="60" t="n">
        <f aca="false">S822+J822</f>
        <v>0.42</v>
      </c>
      <c r="V822" s="63" t="n">
        <f aca="false">IFERROR(S822/F822,0)</f>
        <v>0.807692307692308</v>
      </c>
      <c r="W822" s="63" t="n">
        <f aca="false">IFERROR(R822/F822,0)</f>
        <v>0.192307692307692</v>
      </c>
      <c r="X822" s="63" t="n">
        <f aca="false">IFERROR(T822/F822,0)</f>
        <v>0</v>
      </c>
      <c r="Y822" s="63" t="n">
        <f aca="false">IFERROR(G822/F822,0)</f>
        <v>0</v>
      </c>
      <c r="Z822" s="59" t="n">
        <f aca="false">IF(E822&gt;0,F822*1000000000/E822,"")</f>
        <v>9269.16221033868</v>
      </c>
      <c r="AA822" s="63" t="n">
        <f aca="false">IFERROR((R822+S822+J822)/F822,0)</f>
        <v>1</v>
      </c>
      <c r="AB822" s="0" t="str">
        <f aca="false">A822&amp;"|"&amp;D822</f>
        <v>Greenland|2018</v>
      </c>
    </row>
    <row r="823" customFormat="false" ht="15" hidden="false" customHeight="false" outlineLevel="0" collapsed="false">
      <c r="A823" s="0" t="s">
        <v>259</v>
      </c>
      <c r="B823" s="0" t="s">
        <v>497</v>
      </c>
      <c r="C823" s="0" t="s">
        <v>127</v>
      </c>
      <c r="D823" s="0" t="n">
        <v>2019</v>
      </c>
      <c r="E823" s="59" t="n">
        <v>56109</v>
      </c>
      <c r="F823" s="60" t="n">
        <v>0.49</v>
      </c>
      <c r="G823" s="61" t="n">
        <v>0</v>
      </c>
      <c r="H823" s="61" t="n">
        <v>0</v>
      </c>
      <c r="I823" s="61" t="n">
        <v>0.08</v>
      </c>
      <c r="J823" s="61" t="n">
        <v>0</v>
      </c>
      <c r="K823" s="61" t="n">
        <v>0.41</v>
      </c>
      <c r="L823" s="61" t="n">
        <v>0</v>
      </c>
      <c r="M823" s="61" t="n">
        <v>0</v>
      </c>
      <c r="N823" s="61" t="n">
        <v>0</v>
      </c>
      <c r="O823" s="61" t="n">
        <v>0</v>
      </c>
      <c r="P823" s="62" t="n">
        <v>122.5</v>
      </c>
      <c r="Q823" s="0" t="n">
        <v>0</v>
      </c>
      <c r="R823" s="60" t="n">
        <f aca="false">G823+H823+I823</f>
        <v>0.08</v>
      </c>
      <c r="S823" s="60" t="n">
        <f aca="false">K823+L823+M823+N823+O823</f>
        <v>0.41</v>
      </c>
      <c r="T823" s="60" t="n">
        <f aca="false">L823+M823</f>
        <v>0</v>
      </c>
      <c r="U823" s="60" t="n">
        <f aca="false">S823+J823</f>
        <v>0.41</v>
      </c>
      <c r="V823" s="63" t="n">
        <f aca="false">IFERROR(S823/F823,0)</f>
        <v>0.836734693877551</v>
      </c>
      <c r="W823" s="63" t="n">
        <f aca="false">IFERROR(R823/F823,0)</f>
        <v>0.163265306122449</v>
      </c>
      <c r="X823" s="63" t="n">
        <f aca="false">IFERROR(T823/F823,0)</f>
        <v>0</v>
      </c>
      <c r="Y823" s="63" t="n">
        <f aca="false">IFERROR(G823/F823,0)</f>
        <v>0</v>
      </c>
      <c r="Z823" s="59" t="n">
        <f aca="false">IF(E823&gt;0,F823*1000000000/E823,"")</f>
        <v>8733.00183571263</v>
      </c>
      <c r="AA823" s="63" t="n">
        <f aca="false">IFERROR((R823+S823+J823)/F823,0)</f>
        <v>1</v>
      </c>
      <c r="AB823" s="0" t="str">
        <f aca="false">A823&amp;"|"&amp;D823</f>
        <v>Greenland|2019</v>
      </c>
    </row>
    <row r="824" customFormat="false" ht="15" hidden="false" customHeight="false" outlineLevel="0" collapsed="false">
      <c r="A824" s="0" t="s">
        <v>259</v>
      </c>
      <c r="B824" s="0" t="s">
        <v>497</v>
      </c>
      <c r="C824" s="0" t="s">
        <v>127</v>
      </c>
      <c r="D824" s="0" t="n">
        <v>2020</v>
      </c>
      <c r="E824" s="59" t="n">
        <v>56105</v>
      </c>
      <c r="F824" s="60" t="n">
        <v>0.52</v>
      </c>
      <c r="G824" s="61" t="n">
        <v>0</v>
      </c>
      <c r="H824" s="61" t="n">
        <v>0</v>
      </c>
      <c r="I824" s="61" t="n">
        <v>0.09</v>
      </c>
      <c r="J824" s="61" t="n">
        <v>0</v>
      </c>
      <c r="K824" s="61" t="n">
        <v>0.43</v>
      </c>
      <c r="L824" s="61" t="n">
        <v>0</v>
      </c>
      <c r="M824" s="61" t="n">
        <v>0</v>
      </c>
      <c r="N824" s="61" t="n">
        <v>0</v>
      </c>
      <c r="O824" s="61" t="n">
        <v>0</v>
      </c>
      <c r="P824" s="62" t="n">
        <v>134.6</v>
      </c>
      <c r="Q824" s="0" t="n">
        <v>0</v>
      </c>
      <c r="R824" s="60" t="n">
        <f aca="false">G824+H824+I824</f>
        <v>0.09</v>
      </c>
      <c r="S824" s="60" t="n">
        <f aca="false">K824+L824+M824+N824+O824</f>
        <v>0.43</v>
      </c>
      <c r="T824" s="60" t="n">
        <f aca="false">L824+M824</f>
        <v>0</v>
      </c>
      <c r="U824" s="60" t="n">
        <f aca="false">S824+J824</f>
        <v>0.43</v>
      </c>
      <c r="V824" s="63" t="n">
        <f aca="false">IFERROR(S824/F824,0)</f>
        <v>0.826923076923077</v>
      </c>
      <c r="W824" s="63" t="n">
        <f aca="false">IFERROR(R824/F824,0)</f>
        <v>0.173076923076923</v>
      </c>
      <c r="X824" s="63" t="n">
        <f aca="false">IFERROR(T824/F824,0)</f>
        <v>0</v>
      </c>
      <c r="Y824" s="63" t="n">
        <f aca="false">IFERROR(G824/F824,0)</f>
        <v>0</v>
      </c>
      <c r="Z824" s="59" t="n">
        <f aca="false">IF(E824&gt;0,F824*1000000000/E824,"")</f>
        <v>9268.33615542287</v>
      </c>
      <c r="AA824" s="63" t="n">
        <f aca="false">IFERROR((R824+S824+J824)/F824,0)</f>
        <v>1</v>
      </c>
      <c r="AB824" s="0" t="str">
        <f aca="false">A824&amp;"|"&amp;D824</f>
        <v>Greenland|2020</v>
      </c>
    </row>
    <row r="825" customFormat="false" ht="15" hidden="false" customHeight="false" outlineLevel="0" collapsed="false">
      <c r="A825" s="0" t="s">
        <v>259</v>
      </c>
      <c r="B825" s="0" t="s">
        <v>497</v>
      </c>
      <c r="C825" s="0" t="s">
        <v>127</v>
      </c>
      <c r="D825" s="0" t="n">
        <v>2021</v>
      </c>
      <c r="E825" s="59" t="n">
        <v>56065</v>
      </c>
      <c r="F825" s="60" t="n">
        <v>0.51</v>
      </c>
      <c r="G825" s="61" t="n">
        <v>0</v>
      </c>
      <c r="H825" s="61" t="n">
        <v>0</v>
      </c>
      <c r="I825" s="61" t="n">
        <v>0.08</v>
      </c>
      <c r="J825" s="61" t="n">
        <v>0</v>
      </c>
      <c r="K825" s="61" t="n">
        <v>0.43</v>
      </c>
      <c r="L825" s="61" t="n">
        <v>0</v>
      </c>
      <c r="M825" s="61" t="n">
        <v>0</v>
      </c>
      <c r="N825" s="61" t="n">
        <v>0</v>
      </c>
      <c r="O825" s="61" t="n">
        <v>0</v>
      </c>
      <c r="P825" s="62" t="n">
        <v>117.7</v>
      </c>
      <c r="Q825" s="0" t="n">
        <v>0</v>
      </c>
      <c r="R825" s="60" t="n">
        <f aca="false">G825+H825+I825</f>
        <v>0.08</v>
      </c>
      <c r="S825" s="60" t="n">
        <f aca="false">K825+L825+M825+N825+O825</f>
        <v>0.43</v>
      </c>
      <c r="T825" s="60" t="n">
        <f aca="false">L825+M825</f>
        <v>0</v>
      </c>
      <c r="U825" s="60" t="n">
        <f aca="false">S825+J825</f>
        <v>0.43</v>
      </c>
      <c r="V825" s="63" t="n">
        <f aca="false">IFERROR(S825/F825,0)</f>
        <v>0.843137254901961</v>
      </c>
      <c r="W825" s="63" t="n">
        <f aca="false">IFERROR(R825/F825,0)</f>
        <v>0.156862745098039</v>
      </c>
      <c r="X825" s="63" t="n">
        <f aca="false">IFERROR(T825/F825,0)</f>
        <v>0</v>
      </c>
      <c r="Y825" s="63" t="n">
        <f aca="false">IFERROR(G825/F825,0)</f>
        <v>0</v>
      </c>
      <c r="Z825" s="59" t="n">
        <f aca="false">IF(E825&gt;0,F825*1000000000/E825,"")</f>
        <v>9096.58432176938</v>
      </c>
      <c r="AA825" s="63" t="n">
        <f aca="false">IFERROR((R825+S825+J825)/F825,0)</f>
        <v>1</v>
      </c>
      <c r="AB825" s="0" t="str">
        <f aca="false">A825&amp;"|"&amp;D825</f>
        <v>Greenland|2021</v>
      </c>
    </row>
    <row r="826" customFormat="false" ht="15" hidden="false" customHeight="false" outlineLevel="0" collapsed="false">
      <c r="A826" s="0" t="s">
        <v>259</v>
      </c>
      <c r="B826" s="0" t="s">
        <v>497</v>
      </c>
      <c r="C826" s="0" t="s">
        <v>127</v>
      </c>
      <c r="D826" s="0" t="n">
        <v>2022</v>
      </c>
      <c r="E826" s="59" t="n">
        <v>56014</v>
      </c>
      <c r="F826" s="60" t="n">
        <v>0.54</v>
      </c>
      <c r="G826" s="61" t="n">
        <v>0</v>
      </c>
      <c r="H826" s="61" t="n">
        <v>0</v>
      </c>
      <c r="I826" s="61" t="n">
        <v>0.07</v>
      </c>
      <c r="J826" s="61" t="n">
        <v>0</v>
      </c>
      <c r="K826" s="61" t="n">
        <v>0.47</v>
      </c>
      <c r="L826" s="61" t="n">
        <v>0</v>
      </c>
      <c r="M826" s="61" t="n">
        <v>0</v>
      </c>
      <c r="N826" s="61" t="n">
        <v>0</v>
      </c>
      <c r="O826" s="61" t="n">
        <v>0</v>
      </c>
      <c r="P826" s="62" t="n">
        <v>111.1</v>
      </c>
      <c r="Q826" s="0" t="n">
        <v>0</v>
      </c>
      <c r="R826" s="60" t="n">
        <f aca="false">G826+H826+I826</f>
        <v>0.07</v>
      </c>
      <c r="S826" s="60" t="n">
        <f aca="false">K826+L826+M826+N826+O826</f>
        <v>0.47</v>
      </c>
      <c r="T826" s="60" t="n">
        <f aca="false">L826+M826</f>
        <v>0</v>
      </c>
      <c r="U826" s="60" t="n">
        <f aca="false">S826+J826</f>
        <v>0.47</v>
      </c>
      <c r="V826" s="63" t="n">
        <f aca="false">IFERROR(S826/F826,0)</f>
        <v>0.87037037037037</v>
      </c>
      <c r="W826" s="63" t="n">
        <f aca="false">IFERROR(R826/F826,0)</f>
        <v>0.12962962962963</v>
      </c>
      <c r="X826" s="63" t="n">
        <f aca="false">IFERROR(T826/F826,0)</f>
        <v>0</v>
      </c>
      <c r="Y826" s="63" t="n">
        <f aca="false">IFERROR(G826/F826,0)</f>
        <v>0</v>
      </c>
      <c r="Z826" s="59" t="n">
        <f aca="false">IF(E826&gt;0,F826*1000000000/E826,"")</f>
        <v>9640.44703109937</v>
      </c>
      <c r="AA826" s="63" t="n">
        <f aca="false">IFERROR((R826+S826+J826)/F826,0)</f>
        <v>1</v>
      </c>
      <c r="AB826" s="0" t="str">
        <f aca="false">A826&amp;"|"&amp;D826</f>
        <v>Greenland|2022</v>
      </c>
    </row>
    <row r="827" customFormat="false" ht="15" hidden="false" customHeight="false" outlineLevel="0" collapsed="false">
      <c r="A827" s="0" t="s">
        <v>259</v>
      </c>
      <c r="B827" s="0" t="s">
        <v>497</v>
      </c>
      <c r="C827" s="0" t="s">
        <v>127</v>
      </c>
      <c r="D827" s="0" t="n">
        <v>2023</v>
      </c>
      <c r="E827" s="59" t="n">
        <v>55951</v>
      </c>
      <c r="F827" s="60" t="n">
        <v>0.61</v>
      </c>
      <c r="G827" s="61" t="n">
        <v>0</v>
      </c>
      <c r="H827" s="61" t="n">
        <v>0</v>
      </c>
      <c r="I827" s="61" t="n">
        <v>0.11</v>
      </c>
      <c r="J827" s="61" t="n">
        <v>0</v>
      </c>
      <c r="K827" s="61" t="n">
        <v>0.48</v>
      </c>
      <c r="L827" s="61" t="n">
        <v>0</v>
      </c>
      <c r="M827" s="61" t="n">
        <v>0</v>
      </c>
      <c r="N827" s="61" t="n">
        <v>0.02</v>
      </c>
      <c r="O827" s="61" t="n">
        <v>0</v>
      </c>
      <c r="P827" s="62" t="n">
        <v>131.2</v>
      </c>
      <c r="Q827" s="0" t="n">
        <v>0</v>
      </c>
      <c r="R827" s="60" t="n">
        <f aca="false">G827+H827+I827</f>
        <v>0.11</v>
      </c>
      <c r="S827" s="60" t="n">
        <f aca="false">K827+L827+M827+N827+O827</f>
        <v>0.5</v>
      </c>
      <c r="T827" s="60" t="n">
        <f aca="false">L827+M827</f>
        <v>0</v>
      </c>
      <c r="U827" s="60" t="n">
        <f aca="false">S827+J827</f>
        <v>0.5</v>
      </c>
      <c r="V827" s="63" t="n">
        <f aca="false">IFERROR(S827/F827,0)</f>
        <v>0.819672131147541</v>
      </c>
      <c r="W827" s="63" t="n">
        <f aca="false">IFERROR(R827/F827,0)</f>
        <v>0.180327868852459</v>
      </c>
      <c r="X827" s="63" t="n">
        <f aca="false">IFERROR(T827/F827,0)</f>
        <v>0</v>
      </c>
      <c r="Y827" s="63" t="n">
        <f aca="false">IFERROR(G827/F827,0)</f>
        <v>0</v>
      </c>
      <c r="Z827" s="59" t="n">
        <f aca="false">IF(E827&gt;0,F827*1000000000/E827,"")</f>
        <v>10902.3967400046</v>
      </c>
      <c r="AA827" s="63" t="n">
        <f aca="false">IFERROR((R827+S827+J827)/F827,0)</f>
        <v>1</v>
      </c>
      <c r="AB827" s="0" t="str">
        <f aca="false">A827&amp;"|"&amp;D827</f>
        <v>Greenland|2023</v>
      </c>
    </row>
    <row r="828" customFormat="false" ht="15" hidden="false" customHeight="false" outlineLevel="0" collapsed="false">
      <c r="A828" s="0" t="s">
        <v>259</v>
      </c>
      <c r="B828" s="0" t="s">
        <v>497</v>
      </c>
      <c r="C828" s="0" t="s">
        <v>127</v>
      </c>
      <c r="D828" s="0" t="n">
        <v>2024</v>
      </c>
      <c r="E828" s="59" t="n">
        <v>55864</v>
      </c>
      <c r="F828" s="60" t="n">
        <v>0.6</v>
      </c>
      <c r="G828" s="61" t="n">
        <v>0</v>
      </c>
      <c r="H828" s="61" t="n">
        <v>0</v>
      </c>
      <c r="I828" s="61" t="n">
        <v>0.1</v>
      </c>
      <c r="J828" s="61" t="n">
        <v>0</v>
      </c>
      <c r="K828" s="61" t="n">
        <v>0.47</v>
      </c>
      <c r="L828" s="61" t="n">
        <v>0</v>
      </c>
      <c r="M828" s="61" t="n">
        <v>0</v>
      </c>
      <c r="N828" s="61" t="n">
        <v>0.03</v>
      </c>
      <c r="O828" s="61" t="n">
        <v>0</v>
      </c>
      <c r="P828" s="62" t="n">
        <v>150</v>
      </c>
      <c r="Q828" s="0" t="n">
        <v>0</v>
      </c>
      <c r="R828" s="60" t="n">
        <f aca="false">G828+H828+I828</f>
        <v>0.1</v>
      </c>
      <c r="S828" s="60" t="n">
        <f aca="false">K828+L828+M828+N828+O828</f>
        <v>0.5</v>
      </c>
      <c r="T828" s="60" t="n">
        <f aca="false">L828+M828</f>
        <v>0</v>
      </c>
      <c r="U828" s="60" t="n">
        <f aca="false">S828+J828</f>
        <v>0.5</v>
      </c>
      <c r="V828" s="63" t="n">
        <f aca="false">IFERROR(S828/F828,0)</f>
        <v>0.833333333333333</v>
      </c>
      <c r="W828" s="63" t="n">
        <f aca="false">IFERROR(R828/F828,0)</f>
        <v>0.166666666666667</v>
      </c>
      <c r="X828" s="63" t="n">
        <f aca="false">IFERROR(T828/F828,0)</f>
        <v>0</v>
      </c>
      <c r="Y828" s="63" t="n">
        <f aca="false">IFERROR(G828/F828,0)</f>
        <v>0</v>
      </c>
      <c r="Z828" s="59" t="n">
        <f aca="false">IF(E828&gt;0,F828*1000000000/E828,"")</f>
        <v>10740.3694687097</v>
      </c>
      <c r="AA828" s="63" t="n">
        <f aca="false">IFERROR((R828+S828+J828)/F828,0)</f>
        <v>1</v>
      </c>
      <c r="AB828" s="0" t="str">
        <f aca="false">A828&amp;"|"&amp;D828</f>
        <v>Greenland|2024</v>
      </c>
    </row>
    <row r="829" customFormat="false" ht="15" hidden="false" customHeight="false" outlineLevel="0" collapsed="false">
      <c r="A829" s="0" t="s">
        <v>260</v>
      </c>
      <c r="B829" s="0" t="s">
        <v>498</v>
      </c>
      <c r="C829" s="0" t="s">
        <v>127</v>
      </c>
      <c r="D829" s="0" t="n">
        <v>2015</v>
      </c>
      <c r="E829" s="59" t="n">
        <v>114691</v>
      </c>
      <c r="F829" s="60" t="n">
        <v>0.21</v>
      </c>
      <c r="G829" s="61" t="n">
        <v>0</v>
      </c>
      <c r="H829" s="61" t="n">
        <v>0</v>
      </c>
      <c r="I829" s="61" t="n">
        <v>0.21</v>
      </c>
      <c r="J829" s="61" t="n">
        <v>0</v>
      </c>
      <c r="K829" s="61" t="n">
        <v>0</v>
      </c>
      <c r="L829" s="61" t="n">
        <v>0</v>
      </c>
      <c r="M829" s="61" t="n">
        <v>0</v>
      </c>
      <c r="N829" s="61" t="n">
        <v>0</v>
      </c>
      <c r="O829" s="61" t="n">
        <v>0</v>
      </c>
      <c r="P829" s="62" t="n">
        <v>666.7</v>
      </c>
      <c r="Q829" s="0" t="n">
        <v>0</v>
      </c>
      <c r="R829" s="60" t="n">
        <f aca="false">G829+H829+I829</f>
        <v>0.21</v>
      </c>
      <c r="S829" s="60" t="n">
        <f aca="false">K829+L829+M829+N829+O829</f>
        <v>0</v>
      </c>
      <c r="T829" s="60" t="n">
        <f aca="false">L829+M829</f>
        <v>0</v>
      </c>
      <c r="U829" s="60" t="n">
        <f aca="false">S829+J829</f>
        <v>0</v>
      </c>
      <c r="V829" s="63" t="n">
        <f aca="false">IFERROR(S829/F829,0)</f>
        <v>0</v>
      </c>
      <c r="W829" s="63" t="n">
        <f aca="false">IFERROR(R829/F829,0)</f>
        <v>1</v>
      </c>
      <c r="X829" s="63" t="n">
        <f aca="false">IFERROR(T829/F829,0)</f>
        <v>0</v>
      </c>
      <c r="Y829" s="63" t="n">
        <f aca="false">IFERROR(G829/F829,0)</f>
        <v>0</v>
      </c>
      <c r="Z829" s="59" t="n">
        <f aca="false">IF(E829&gt;0,F829*1000000000/E829,"")</f>
        <v>1831.00679216329</v>
      </c>
      <c r="AA829" s="63" t="n">
        <f aca="false">IFERROR((R829+S829+J829)/F829,0)</f>
        <v>1</v>
      </c>
      <c r="AB829" s="0" t="str">
        <f aca="false">A829&amp;"|"&amp;D829</f>
        <v>Grenada|2015</v>
      </c>
    </row>
    <row r="830" customFormat="false" ht="15" hidden="false" customHeight="false" outlineLevel="0" collapsed="false">
      <c r="A830" s="0" t="s">
        <v>260</v>
      </c>
      <c r="B830" s="0" t="s">
        <v>498</v>
      </c>
      <c r="C830" s="0" t="s">
        <v>127</v>
      </c>
      <c r="D830" s="0" t="n">
        <v>2016</v>
      </c>
      <c r="E830" s="59" t="n">
        <v>115147</v>
      </c>
      <c r="F830" s="60" t="n">
        <v>0.22</v>
      </c>
      <c r="G830" s="61" t="n">
        <v>0</v>
      </c>
      <c r="H830" s="61" t="n">
        <v>0</v>
      </c>
      <c r="I830" s="61" t="n">
        <v>0.22</v>
      </c>
      <c r="J830" s="61" t="n">
        <v>0</v>
      </c>
      <c r="K830" s="61" t="n">
        <v>0</v>
      </c>
      <c r="L830" s="61" t="n">
        <v>0</v>
      </c>
      <c r="M830" s="61" t="n">
        <v>0</v>
      </c>
      <c r="N830" s="61" t="n">
        <v>0</v>
      </c>
      <c r="O830" s="61" t="n">
        <v>0</v>
      </c>
      <c r="P830" s="62" t="n">
        <v>636.4</v>
      </c>
      <c r="Q830" s="0" t="n">
        <v>0</v>
      </c>
      <c r="R830" s="60" t="n">
        <f aca="false">G830+H830+I830</f>
        <v>0.22</v>
      </c>
      <c r="S830" s="60" t="n">
        <f aca="false">K830+L830+M830+N830+O830</f>
        <v>0</v>
      </c>
      <c r="T830" s="60" t="n">
        <f aca="false">L830+M830</f>
        <v>0</v>
      </c>
      <c r="U830" s="60" t="n">
        <f aca="false">S830+J830</f>
        <v>0</v>
      </c>
      <c r="V830" s="63" t="n">
        <f aca="false">IFERROR(S830/F830,0)</f>
        <v>0</v>
      </c>
      <c r="W830" s="63" t="n">
        <f aca="false">IFERROR(R830/F830,0)</f>
        <v>1</v>
      </c>
      <c r="X830" s="63" t="n">
        <f aca="false">IFERROR(T830/F830,0)</f>
        <v>0</v>
      </c>
      <c r="Y830" s="63" t="n">
        <f aca="false">IFERROR(G830/F830,0)</f>
        <v>0</v>
      </c>
      <c r="Z830" s="59" t="n">
        <f aca="false">IF(E830&gt;0,F830*1000000000/E830,"")</f>
        <v>1910.60123146934</v>
      </c>
      <c r="AA830" s="63" t="n">
        <f aca="false">IFERROR((R830+S830+J830)/F830,0)</f>
        <v>1</v>
      </c>
      <c r="AB830" s="0" t="str">
        <f aca="false">A830&amp;"|"&amp;D830</f>
        <v>Grenada|2016</v>
      </c>
    </row>
    <row r="831" customFormat="false" ht="15" hidden="false" customHeight="false" outlineLevel="0" collapsed="false">
      <c r="A831" s="0" t="s">
        <v>260</v>
      </c>
      <c r="B831" s="0" t="s">
        <v>498</v>
      </c>
      <c r="C831" s="0" t="s">
        <v>127</v>
      </c>
      <c r="D831" s="0" t="n">
        <v>2017</v>
      </c>
      <c r="E831" s="59" t="n">
        <v>115448</v>
      </c>
      <c r="F831" s="60" t="n">
        <v>0.23</v>
      </c>
      <c r="G831" s="61" t="n">
        <v>0</v>
      </c>
      <c r="H831" s="61" t="n">
        <v>0</v>
      </c>
      <c r="I831" s="61" t="n">
        <v>0.23</v>
      </c>
      <c r="J831" s="61" t="n">
        <v>0</v>
      </c>
      <c r="K831" s="61" t="n">
        <v>0</v>
      </c>
      <c r="L831" s="61" t="n">
        <v>0</v>
      </c>
      <c r="M831" s="61" t="n">
        <v>0</v>
      </c>
      <c r="N831" s="61" t="n">
        <v>0</v>
      </c>
      <c r="O831" s="61" t="n">
        <v>0</v>
      </c>
      <c r="P831" s="62" t="n">
        <v>652.2</v>
      </c>
      <c r="Q831" s="0" t="n">
        <v>0</v>
      </c>
      <c r="R831" s="60" t="n">
        <f aca="false">G831+H831+I831</f>
        <v>0.23</v>
      </c>
      <c r="S831" s="60" t="n">
        <f aca="false">K831+L831+M831+N831+O831</f>
        <v>0</v>
      </c>
      <c r="T831" s="60" t="n">
        <f aca="false">L831+M831</f>
        <v>0</v>
      </c>
      <c r="U831" s="60" t="n">
        <f aca="false">S831+J831</f>
        <v>0</v>
      </c>
      <c r="V831" s="63" t="n">
        <f aca="false">IFERROR(S831/F831,0)</f>
        <v>0</v>
      </c>
      <c r="W831" s="63" t="n">
        <f aca="false">IFERROR(R831/F831,0)</f>
        <v>1</v>
      </c>
      <c r="X831" s="63" t="n">
        <f aca="false">IFERROR(T831/F831,0)</f>
        <v>0</v>
      </c>
      <c r="Y831" s="63" t="n">
        <f aca="false">IFERROR(G831/F831,0)</f>
        <v>0</v>
      </c>
      <c r="Z831" s="59" t="n">
        <f aca="false">IF(E831&gt;0,F831*1000000000/E831,"")</f>
        <v>1992.23893008108</v>
      </c>
      <c r="AA831" s="63" t="n">
        <f aca="false">IFERROR((R831+S831+J831)/F831,0)</f>
        <v>1</v>
      </c>
      <c r="AB831" s="0" t="str">
        <f aca="false">A831&amp;"|"&amp;D831</f>
        <v>Grenada|2017</v>
      </c>
    </row>
    <row r="832" customFormat="false" ht="15" hidden="false" customHeight="false" outlineLevel="0" collapsed="false">
      <c r="A832" s="0" t="s">
        <v>260</v>
      </c>
      <c r="B832" s="0" t="s">
        <v>498</v>
      </c>
      <c r="C832" s="0" t="s">
        <v>127</v>
      </c>
      <c r="D832" s="0" t="n">
        <v>2018</v>
      </c>
      <c r="E832" s="59" t="n">
        <v>115703</v>
      </c>
      <c r="F832" s="60" t="n">
        <v>0.23</v>
      </c>
      <c r="G832" s="61" t="n">
        <v>0</v>
      </c>
      <c r="H832" s="61" t="n">
        <v>0</v>
      </c>
      <c r="I832" s="61" t="n">
        <v>0.23</v>
      </c>
      <c r="J832" s="61" t="n">
        <v>0</v>
      </c>
      <c r="K832" s="61" t="n">
        <v>0</v>
      </c>
      <c r="L832" s="61" t="n">
        <v>0</v>
      </c>
      <c r="M832" s="61" t="n">
        <v>0</v>
      </c>
      <c r="N832" s="61" t="n">
        <v>0</v>
      </c>
      <c r="O832" s="61" t="n">
        <v>0</v>
      </c>
      <c r="P832" s="62" t="n">
        <v>652.2</v>
      </c>
      <c r="Q832" s="0" t="n">
        <v>0</v>
      </c>
      <c r="R832" s="60" t="n">
        <f aca="false">G832+H832+I832</f>
        <v>0.23</v>
      </c>
      <c r="S832" s="60" t="n">
        <f aca="false">K832+L832+M832+N832+O832</f>
        <v>0</v>
      </c>
      <c r="T832" s="60" t="n">
        <f aca="false">L832+M832</f>
        <v>0</v>
      </c>
      <c r="U832" s="60" t="n">
        <f aca="false">S832+J832</f>
        <v>0</v>
      </c>
      <c r="V832" s="63" t="n">
        <f aca="false">IFERROR(S832/F832,0)</f>
        <v>0</v>
      </c>
      <c r="W832" s="63" t="n">
        <f aca="false">IFERROR(R832/F832,0)</f>
        <v>1</v>
      </c>
      <c r="X832" s="63" t="n">
        <f aca="false">IFERROR(T832/F832,0)</f>
        <v>0</v>
      </c>
      <c r="Y832" s="63" t="n">
        <f aca="false">IFERROR(G832/F832,0)</f>
        <v>0</v>
      </c>
      <c r="Z832" s="59" t="n">
        <f aca="false">IF(E832&gt;0,F832*1000000000/E832,"")</f>
        <v>1987.84819754025</v>
      </c>
      <c r="AA832" s="63" t="n">
        <f aca="false">IFERROR((R832+S832+J832)/F832,0)</f>
        <v>1</v>
      </c>
      <c r="AB832" s="0" t="str">
        <f aca="false">A832&amp;"|"&amp;D832</f>
        <v>Grenada|2018</v>
      </c>
    </row>
    <row r="833" customFormat="false" ht="15" hidden="false" customHeight="false" outlineLevel="0" collapsed="false">
      <c r="A833" s="0" t="s">
        <v>260</v>
      </c>
      <c r="B833" s="0" t="s">
        <v>498</v>
      </c>
      <c r="C833" s="0" t="s">
        <v>127</v>
      </c>
      <c r="D833" s="0" t="n">
        <v>2019</v>
      </c>
      <c r="E833" s="59" t="n">
        <v>115995</v>
      </c>
      <c r="F833" s="60" t="n">
        <v>0.24</v>
      </c>
      <c r="G833" s="61" t="n">
        <v>0</v>
      </c>
      <c r="H833" s="61" t="n">
        <v>0</v>
      </c>
      <c r="I833" s="61" t="n">
        <v>0.24</v>
      </c>
      <c r="J833" s="61" t="n">
        <v>0</v>
      </c>
      <c r="K833" s="61" t="n">
        <v>0</v>
      </c>
      <c r="L833" s="61" t="n">
        <v>0</v>
      </c>
      <c r="M833" s="61" t="n">
        <v>0</v>
      </c>
      <c r="N833" s="61" t="n">
        <v>0</v>
      </c>
      <c r="O833" s="61" t="n">
        <v>0</v>
      </c>
      <c r="P833" s="62" t="n">
        <v>666.7</v>
      </c>
      <c r="Q833" s="0" t="n">
        <v>0</v>
      </c>
      <c r="R833" s="60" t="n">
        <f aca="false">G833+H833+I833</f>
        <v>0.24</v>
      </c>
      <c r="S833" s="60" t="n">
        <f aca="false">K833+L833+M833+N833+O833</f>
        <v>0</v>
      </c>
      <c r="T833" s="60" t="n">
        <f aca="false">L833+M833</f>
        <v>0</v>
      </c>
      <c r="U833" s="60" t="n">
        <f aca="false">S833+J833</f>
        <v>0</v>
      </c>
      <c r="V833" s="63" t="n">
        <f aca="false">IFERROR(S833/F833,0)</f>
        <v>0</v>
      </c>
      <c r="W833" s="63" t="n">
        <f aca="false">IFERROR(R833/F833,0)</f>
        <v>1</v>
      </c>
      <c r="X833" s="63" t="n">
        <f aca="false">IFERROR(T833/F833,0)</f>
        <v>0</v>
      </c>
      <c r="Y833" s="63" t="n">
        <f aca="false">IFERROR(G833/F833,0)</f>
        <v>0</v>
      </c>
      <c r="Z833" s="59" t="n">
        <f aca="false">IF(E833&gt;0,F833*1000000000/E833,"")</f>
        <v>2069.05470063365</v>
      </c>
      <c r="AA833" s="63" t="n">
        <f aca="false">IFERROR((R833+S833+J833)/F833,0)</f>
        <v>1</v>
      </c>
      <c r="AB833" s="0" t="str">
        <f aca="false">A833&amp;"|"&amp;D833</f>
        <v>Grenada|2019</v>
      </c>
    </row>
    <row r="834" customFormat="false" ht="15" hidden="false" customHeight="false" outlineLevel="0" collapsed="false">
      <c r="A834" s="0" t="s">
        <v>260</v>
      </c>
      <c r="B834" s="0" t="s">
        <v>498</v>
      </c>
      <c r="C834" s="0" t="s">
        <v>127</v>
      </c>
      <c r="D834" s="0" t="n">
        <v>2020</v>
      </c>
      <c r="E834" s="59" t="n">
        <v>116353</v>
      </c>
      <c r="F834" s="60" t="n">
        <v>0.22</v>
      </c>
      <c r="G834" s="61" t="n">
        <v>0</v>
      </c>
      <c r="H834" s="61" t="n">
        <v>0</v>
      </c>
      <c r="I834" s="61" t="n">
        <v>0.22</v>
      </c>
      <c r="J834" s="61" t="n">
        <v>0</v>
      </c>
      <c r="K834" s="61" t="n">
        <v>0</v>
      </c>
      <c r="L834" s="61" t="n">
        <v>0</v>
      </c>
      <c r="M834" s="61" t="n">
        <v>0</v>
      </c>
      <c r="N834" s="61" t="n">
        <v>0</v>
      </c>
      <c r="O834" s="61" t="n">
        <v>0</v>
      </c>
      <c r="P834" s="62" t="n">
        <v>636.4</v>
      </c>
      <c r="Q834" s="0" t="n">
        <v>0</v>
      </c>
      <c r="R834" s="60" t="n">
        <f aca="false">G834+H834+I834</f>
        <v>0.22</v>
      </c>
      <c r="S834" s="60" t="n">
        <f aca="false">K834+L834+M834+N834+O834</f>
        <v>0</v>
      </c>
      <c r="T834" s="60" t="n">
        <f aca="false">L834+M834</f>
        <v>0</v>
      </c>
      <c r="U834" s="60" t="n">
        <f aca="false">S834+J834</f>
        <v>0</v>
      </c>
      <c r="V834" s="63" t="n">
        <f aca="false">IFERROR(S834/F834,0)</f>
        <v>0</v>
      </c>
      <c r="W834" s="63" t="n">
        <f aca="false">IFERROR(R834/F834,0)</f>
        <v>1</v>
      </c>
      <c r="X834" s="63" t="n">
        <f aca="false">IFERROR(T834/F834,0)</f>
        <v>0</v>
      </c>
      <c r="Y834" s="63" t="n">
        <f aca="false">IFERROR(G834/F834,0)</f>
        <v>0</v>
      </c>
      <c r="Z834" s="59" t="n">
        <f aca="false">IF(E834&gt;0,F834*1000000000/E834,"")</f>
        <v>1890.79783073922</v>
      </c>
      <c r="AA834" s="63" t="n">
        <f aca="false">IFERROR((R834+S834+J834)/F834,0)</f>
        <v>1</v>
      </c>
      <c r="AB834" s="0" t="str">
        <f aca="false">A834&amp;"|"&amp;D834</f>
        <v>Grenada|2020</v>
      </c>
    </row>
    <row r="835" customFormat="false" ht="15" hidden="false" customHeight="false" outlineLevel="0" collapsed="false">
      <c r="A835" s="0" t="s">
        <v>260</v>
      </c>
      <c r="B835" s="0" t="s">
        <v>498</v>
      </c>
      <c r="C835" s="0" t="s">
        <v>127</v>
      </c>
      <c r="D835" s="0" t="n">
        <v>2021</v>
      </c>
      <c r="E835" s="59" t="n">
        <v>116696</v>
      </c>
      <c r="F835" s="60" t="n">
        <v>0.23</v>
      </c>
      <c r="G835" s="61" t="n">
        <v>0</v>
      </c>
      <c r="H835" s="61" t="n">
        <v>0</v>
      </c>
      <c r="I835" s="61" t="n">
        <v>0.23</v>
      </c>
      <c r="J835" s="61" t="n">
        <v>0</v>
      </c>
      <c r="K835" s="61" t="n">
        <v>0</v>
      </c>
      <c r="L835" s="61" t="n">
        <v>0</v>
      </c>
      <c r="M835" s="61" t="n">
        <v>0</v>
      </c>
      <c r="N835" s="61" t="n">
        <v>0</v>
      </c>
      <c r="O835" s="61" t="n">
        <v>0</v>
      </c>
      <c r="P835" s="62" t="n">
        <v>652.2</v>
      </c>
      <c r="Q835" s="0" t="n">
        <v>0</v>
      </c>
      <c r="R835" s="60" t="n">
        <f aca="false">G835+H835+I835</f>
        <v>0.23</v>
      </c>
      <c r="S835" s="60" t="n">
        <f aca="false">K835+L835+M835+N835+O835</f>
        <v>0</v>
      </c>
      <c r="T835" s="60" t="n">
        <f aca="false">L835+M835</f>
        <v>0</v>
      </c>
      <c r="U835" s="60" t="n">
        <f aca="false">S835+J835</f>
        <v>0</v>
      </c>
      <c r="V835" s="63" t="n">
        <f aca="false">IFERROR(S835/F835,0)</f>
        <v>0</v>
      </c>
      <c r="W835" s="63" t="n">
        <f aca="false">IFERROR(R835/F835,0)</f>
        <v>1</v>
      </c>
      <c r="X835" s="63" t="n">
        <f aca="false">IFERROR(T835/F835,0)</f>
        <v>0</v>
      </c>
      <c r="Y835" s="63" t="n">
        <f aca="false">IFERROR(G835/F835,0)</f>
        <v>0</v>
      </c>
      <c r="Z835" s="59" t="n">
        <f aca="false">IF(E835&gt;0,F835*1000000000/E835,"")</f>
        <v>1970.93302255433</v>
      </c>
      <c r="AA835" s="63" t="n">
        <f aca="false">IFERROR((R835+S835+J835)/F835,0)</f>
        <v>1</v>
      </c>
      <c r="AB835" s="0" t="str">
        <f aca="false">A835&amp;"|"&amp;D835</f>
        <v>Grenada|2021</v>
      </c>
    </row>
    <row r="836" customFormat="false" ht="15" hidden="false" customHeight="false" outlineLevel="0" collapsed="false">
      <c r="A836" s="0" t="s">
        <v>260</v>
      </c>
      <c r="B836" s="0" t="s">
        <v>498</v>
      </c>
      <c r="C836" s="0" t="s">
        <v>127</v>
      </c>
      <c r="D836" s="0" t="n">
        <v>2022</v>
      </c>
      <c r="E836" s="59" t="n">
        <v>116928</v>
      </c>
      <c r="F836" s="60" t="n">
        <v>0.24</v>
      </c>
      <c r="G836" s="61" t="n">
        <v>0</v>
      </c>
      <c r="H836" s="61" t="n">
        <v>0</v>
      </c>
      <c r="I836" s="61" t="n">
        <v>0.24</v>
      </c>
      <c r="J836" s="61" t="n">
        <v>0</v>
      </c>
      <c r="K836" s="61" t="n">
        <v>0</v>
      </c>
      <c r="L836" s="61" t="n">
        <v>0</v>
      </c>
      <c r="M836" s="61" t="n">
        <v>0</v>
      </c>
      <c r="N836" s="61" t="n">
        <v>0</v>
      </c>
      <c r="O836" s="61" t="n">
        <v>0</v>
      </c>
      <c r="P836" s="62" t="n">
        <v>666.7</v>
      </c>
      <c r="Q836" s="0" t="n">
        <v>0</v>
      </c>
      <c r="R836" s="60" t="n">
        <f aca="false">G836+H836+I836</f>
        <v>0.24</v>
      </c>
      <c r="S836" s="60" t="n">
        <f aca="false">K836+L836+M836+N836+O836</f>
        <v>0</v>
      </c>
      <c r="T836" s="60" t="n">
        <f aca="false">L836+M836</f>
        <v>0</v>
      </c>
      <c r="U836" s="60" t="n">
        <f aca="false">S836+J836</f>
        <v>0</v>
      </c>
      <c r="V836" s="63" t="n">
        <f aca="false">IFERROR(S836/F836,0)</f>
        <v>0</v>
      </c>
      <c r="W836" s="63" t="n">
        <f aca="false">IFERROR(R836/F836,0)</f>
        <v>1</v>
      </c>
      <c r="X836" s="63" t="n">
        <f aca="false">IFERROR(T836/F836,0)</f>
        <v>0</v>
      </c>
      <c r="Y836" s="63" t="n">
        <f aca="false">IFERROR(G836/F836,0)</f>
        <v>0</v>
      </c>
      <c r="Z836" s="59" t="n">
        <f aca="false">IF(E836&gt;0,F836*1000000000/E836,"")</f>
        <v>2052.54515599343</v>
      </c>
      <c r="AA836" s="63" t="n">
        <f aca="false">IFERROR((R836+S836+J836)/F836,0)</f>
        <v>1</v>
      </c>
      <c r="AB836" s="0" t="str">
        <f aca="false">A836&amp;"|"&amp;D836</f>
        <v>Grenada|2022</v>
      </c>
    </row>
    <row r="837" customFormat="false" ht="15" hidden="false" customHeight="false" outlineLevel="0" collapsed="false">
      <c r="A837" s="0" t="s">
        <v>260</v>
      </c>
      <c r="B837" s="0" t="s">
        <v>498</v>
      </c>
      <c r="C837" s="0" t="s">
        <v>127</v>
      </c>
      <c r="D837" s="0" t="n">
        <v>2023</v>
      </c>
      <c r="E837" s="59" t="n">
        <v>117094</v>
      </c>
      <c r="F837" s="60" t="n">
        <v>0.24</v>
      </c>
      <c r="G837" s="61" t="n">
        <v>0</v>
      </c>
      <c r="H837" s="61" t="n">
        <v>0</v>
      </c>
      <c r="I837" s="61" t="n">
        <v>0.24</v>
      </c>
      <c r="J837" s="61" t="n">
        <v>0</v>
      </c>
      <c r="K837" s="61" t="n">
        <v>0</v>
      </c>
      <c r="L837" s="61" t="n">
        <v>0</v>
      </c>
      <c r="M837" s="61" t="n">
        <v>0</v>
      </c>
      <c r="N837" s="61" t="n">
        <v>0</v>
      </c>
      <c r="O837" s="61" t="n">
        <v>0</v>
      </c>
      <c r="P837" s="62" t="n">
        <v>666.7</v>
      </c>
      <c r="Q837" s="0" t="n">
        <v>0</v>
      </c>
      <c r="R837" s="60" t="n">
        <f aca="false">G837+H837+I837</f>
        <v>0.24</v>
      </c>
      <c r="S837" s="60" t="n">
        <f aca="false">K837+L837+M837+N837+O837</f>
        <v>0</v>
      </c>
      <c r="T837" s="60" t="n">
        <f aca="false">L837+M837</f>
        <v>0</v>
      </c>
      <c r="U837" s="60" t="n">
        <f aca="false">S837+J837</f>
        <v>0</v>
      </c>
      <c r="V837" s="63" t="n">
        <f aca="false">IFERROR(S837/F837,0)</f>
        <v>0</v>
      </c>
      <c r="W837" s="63" t="n">
        <f aca="false">IFERROR(R837/F837,0)</f>
        <v>1</v>
      </c>
      <c r="X837" s="63" t="n">
        <f aca="false">IFERROR(T837/F837,0)</f>
        <v>0</v>
      </c>
      <c r="Y837" s="63" t="n">
        <f aca="false">IFERROR(G837/F837,0)</f>
        <v>0</v>
      </c>
      <c r="Z837" s="59" t="n">
        <f aca="false">IF(E837&gt;0,F837*1000000000/E837,"")</f>
        <v>2049.63533571319</v>
      </c>
      <c r="AA837" s="63" t="n">
        <f aca="false">IFERROR((R837+S837+J837)/F837,0)</f>
        <v>1</v>
      </c>
      <c r="AB837" s="0" t="str">
        <f aca="false">A837&amp;"|"&amp;D837</f>
        <v>Grenada|2023</v>
      </c>
    </row>
    <row r="838" customFormat="false" ht="15" hidden="false" customHeight="false" outlineLevel="0" collapsed="false">
      <c r="A838" s="0" t="s">
        <v>260</v>
      </c>
      <c r="B838" s="0" t="s">
        <v>498</v>
      </c>
      <c r="C838" s="0" t="s">
        <v>127</v>
      </c>
      <c r="D838" s="0" t="n">
        <v>2024</v>
      </c>
      <c r="E838" s="59" t="n">
        <v>117218</v>
      </c>
      <c r="F838" s="60" t="n">
        <v>0.24</v>
      </c>
      <c r="G838" s="61" t="n">
        <v>0</v>
      </c>
      <c r="H838" s="61" t="n">
        <v>0</v>
      </c>
      <c r="I838" s="61" t="n">
        <v>0.24</v>
      </c>
      <c r="J838" s="61" t="n">
        <v>0</v>
      </c>
      <c r="K838" s="61" t="n">
        <v>0</v>
      </c>
      <c r="L838" s="61" t="n">
        <v>0</v>
      </c>
      <c r="M838" s="61" t="n">
        <v>0</v>
      </c>
      <c r="N838" s="61" t="n">
        <v>0</v>
      </c>
      <c r="O838" s="61" t="n">
        <v>0</v>
      </c>
      <c r="P838" s="62" t="n">
        <v>666.7</v>
      </c>
      <c r="Q838" s="0" t="n">
        <v>0</v>
      </c>
      <c r="R838" s="60" t="n">
        <f aca="false">G838+H838+I838</f>
        <v>0.24</v>
      </c>
      <c r="S838" s="60" t="n">
        <f aca="false">K838+L838+M838+N838+O838</f>
        <v>0</v>
      </c>
      <c r="T838" s="60" t="n">
        <f aca="false">L838+M838</f>
        <v>0</v>
      </c>
      <c r="U838" s="60" t="n">
        <f aca="false">S838+J838</f>
        <v>0</v>
      </c>
      <c r="V838" s="63" t="n">
        <f aca="false">IFERROR(S838/F838,0)</f>
        <v>0</v>
      </c>
      <c r="W838" s="63" t="n">
        <f aca="false">IFERROR(R838/F838,0)</f>
        <v>1</v>
      </c>
      <c r="X838" s="63" t="n">
        <f aca="false">IFERROR(T838/F838,0)</f>
        <v>0</v>
      </c>
      <c r="Y838" s="63" t="n">
        <f aca="false">IFERROR(G838/F838,0)</f>
        <v>0</v>
      </c>
      <c r="Z838" s="59" t="n">
        <f aca="false">IF(E838&gt;0,F838*1000000000/E838,"")</f>
        <v>2047.4671125595</v>
      </c>
      <c r="AA838" s="63" t="n">
        <f aca="false">IFERROR((R838+S838+J838)/F838,0)</f>
        <v>1</v>
      </c>
      <c r="AB838" s="0" t="str">
        <f aca="false">A838&amp;"|"&amp;D838</f>
        <v>Grenada|2024</v>
      </c>
    </row>
    <row r="839" customFormat="false" ht="15" hidden="false" customHeight="false" outlineLevel="0" collapsed="false">
      <c r="A839" s="0" t="s">
        <v>261</v>
      </c>
      <c r="B839" s="0" t="s">
        <v>499</v>
      </c>
      <c r="C839" s="0" t="s">
        <v>127</v>
      </c>
      <c r="D839" s="0" t="n">
        <v>2015</v>
      </c>
      <c r="E839" s="59" t="n">
        <v>403950</v>
      </c>
      <c r="F839" s="60" t="n">
        <v>1.76</v>
      </c>
      <c r="G839" s="61" t="n">
        <v>0.41</v>
      </c>
      <c r="H839" s="61" t="n">
        <v>0</v>
      </c>
      <c r="I839" s="61" t="n">
        <v>1.04</v>
      </c>
      <c r="J839" s="61" t="n">
        <v>0</v>
      </c>
      <c r="K839" s="61" t="n">
        <v>0.02</v>
      </c>
      <c r="L839" s="61" t="n">
        <v>0.1</v>
      </c>
      <c r="M839" s="61" t="n">
        <v>0.05</v>
      </c>
      <c r="N839" s="61" t="n">
        <v>0.06</v>
      </c>
      <c r="O839" s="61" t="n">
        <v>0.08</v>
      </c>
      <c r="P839" s="62" t="n">
        <v>596.6</v>
      </c>
      <c r="Q839" s="0" t="n">
        <v>2</v>
      </c>
      <c r="R839" s="60" t="n">
        <f aca="false">G839+H839+I839</f>
        <v>1.45</v>
      </c>
      <c r="S839" s="60" t="n">
        <f aca="false">K839+L839+M839+N839+O839</f>
        <v>0.31</v>
      </c>
      <c r="T839" s="60" t="n">
        <f aca="false">L839+M839</f>
        <v>0.15</v>
      </c>
      <c r="U839" s="60" t="n">
        <f aca="false">S839+J839</f>
        <v>0.31</v>
      </c>
      <c r="V839" s="63" t="n">
        <f aca="false">IFERROR(S839/F839,0)</f>
        <v>0.176136363636364</v>
      </c>
      <c r="W839" s="63" t="n">
        <f aca="false">IFERROR(R839/F839,0)</f>
        <v>0.823863636363636</v>
      </c>
      <c r="X839" s="63" t="n">
        <f aca="false">IFERROR(T839/F839,0)</f>
        <v>0.0852272727272727</v>
      </c>
      <c r="Y839" s="63" t="n">
        <f aca="false">IFERROR(G839/F839,0)</f>
        <v>0.232954545454545</v>
      </c>
      <c r="Z839" s="59" t="n">
        <f aca="false">IF(E839&gt;0,F839*1000000000/E839,"")</f>
        <v>4356.97487312786</v>
      </c>
      <c r="AA839" s="63" t="n">
        <f aca="false">IFERROR((R839+S839+J839)/F839,0)</f>
        <v>1</v>
      </c>
      <c r="AB839" s="0" t="str">
        <f aca="false">A839&amp;"|"&amp;D839</f>
        <v>Guadeloupe|2015</v>
      </c>
    </row>
    <row r="840" customFormat="false" ht="15" hidden="false" customHeight="false" outlineLevel="0" collapsed="false">
      <c r="A840" s="0" t="s">
        <v>261</v>
      </c>
      <c r="B840" s="0" t="s">
        <v>499</v>
      </c>
      <c r="C840" s="0" t="s">
        <v>127</v>
      </c>
      <c r="D840" s="0" t="n">
        <v>2016</v>
      </c>
      <c r="E840" s="59" t="n">
        <v>404642</v>
      </c>
      <c r="F840" s="60" t="n">
        <v>1.77</v>
      </c>
      <c r="G840" s="61" t="n">
        <v>0.51</v>
      </c>
      <c r="H840" s="61" t="n">
        <v>0</v>
      </c>
      <c r="I840" s="61" t="n">
        <v>0.96</v>
      </c>
      <c r="J840" s="61" t="n">
        <v>0</v>
      </c>
      <c r="K840" s="61" t="n">
        <v>0.03</v>
      </c>
      <c r="L840" s="61" t="n">
        <v>0.09</v>
      </c>
      <c r="M840" s="61" t="n">
        <v>0.05</v>
      </c>
      <c r="N840" s="61" t="n">
        <v>0.05</v>
      </c>
      <c r="O840" s="61" t="n">
        <v>0.08</v>
      </c>
      <c r="P840" s="62" t="n">
        <v>610.2</v>
      </c>
      <c r="Q840" s="0" t="n">
        <v>2</v>
      </c>
      <c r="R840" s="60" t="n">
        <f aca="false">G840+H840+I840</f>
        <v>1.47</v>
      </c>
      <c r="S840" s="60" t="n">
        <f aca="false">K840+L840+M840+N840+O840</f>
        <v>0.3</v>
      </c>
      <c r="T840" s="60" t="n">
        <f aca="false">L840+M840</f>
        <v>0.14</v>
      </c>
      <c r="U840" s="60" t="n">
        <f aca="false">S840+J840</f>
        <v>0.3</v>
      </c>
      <c r="V840" s="63" t="n">
        <f aca="false">IFERROR(S840/F840,0)</f>
        <v>0.169491525423729</v>
      </c>
      <c r="W840" s="63" t="n">
        <f aca="false">IFERROR(R840/F840,0)</f>
        <v>0.830508474576271</v>
      </c>
      <c r="X840" s="63" t="n">
        <f aca="false">IFERROR(T840/F840,0)</f>
        <v>0.0790960451977401</v>
      </c>
      <c r="Y840" s="63" t="n">
        <f aca="false">IFERROR(G840/F840,0)</f>
        <v>0.288135593220339</v>
      </c>
      <c r="Z840" s="59" t="n">
        <f aca="false">IF(E840&gt;0,F840*1000000000/E840,"")</f>
        <v>4374.23697984885</v>
      </c>
      <c r="AA840" s="63" t="n">
        <f aca="false">IFERROR((R840+S840+J840)/F840,0)</f>
        <v>1</v>
      </c>
      <c r="AB840" s="0" t="str">
        <f aca="false">A840&amp;"|"&amp;D840</f>
        <v>Guadeloupe|2016</v>
      </c>
    </row>
    <row r="841" customFormat="false" ht="15" hidden="false" customHeight="false" outlineLevel="0" collapsed="false">
      <c r="A841" s="0" t="s">
        <v>261</v>
      </c>
      <c r="B841" s="0" t="s">
        <v>499</v>
      </c>
      <c r="C841" s="0" t="s">
        <v>127</v>
      </c>
      <c r="D841" s="0" t="n">
        <v>2017</v>
      </c>
      <c r="E841" s="59" t="n">
        <v>412701</v>
      </c>
      <c r="F841" s="60" t="n">
        <v>1.76</v>
      </c>
      <c r="G841" s="61" t="n">
        <v>0.49</v>
      </c>
      <c r="H841" s="61" t="n">
        <v>0</v>
      </c>
      <c r="I841" s="61" t="n">
        <v>0.91</v>
      </c>
      <c r="J841" s="61" t="n">
        <v>0</v>
      </c>
      <c r="K841" s="61" t="n">
        <v>0.04</v>
      </c>
      <c r="L841" s="61" t="n">
        <v>0.09</v>
      </c>
      <c r="M841" s="61" t="n">
        <v>0.05</v>
      </c>
      <c r="N841" s="61" t="n">
        <v>0.07</v>
      </c>
      <c r="O841" s="61" t="n">
        <v>0.11</v>
      </c>
      <c r="P841" s="62" t="n">
        <v>596.6</v>
      </c>
      <c r="Q841" s="0" t="n">
        <v>2</v>
      </c>
      <c r="R841" s="60" t="n">
        <f aca="false">G841+H841+I841</f>
        <v>1.4</v>
      </c>
      <c r="S841" s="60" t="n">
        <f aca="false">K841+L841+M841+N841+O841</f>
        <v>0.36</v>
      </c>
      <c r="T841" s="60" t="n">
        <f aca="false">L841+M841</f>
        <v>0.14</v>
      </c>
      <c r="U841" s="60" t="n">
        <f aca="false">S841+J841</f>
        <v>0.36</v>
      </c>
      <c r="V841" s="63" t="n">
        <f aca="false">IFERROR(S841/F841,0)</f>
        <v>0.204545454545455</v>
      </c>
      <c r="W841" s="63" t="n">
        <f aca="false">IFERROR(R841/F841,0)</f>
        <v>0.795454545454545</v>
      </c>
      <c r="X841" s="63" t="n">
        <f aca="false">IFERROR(T841/F841,0)</f>
        <v>0.0795454545454546</v>
      </c>
      <c r="Y841" s="63" t="n">
        <f aca="false">IFERROR(G841/F841,0)</f>
        <v>0.278409090909091</v>
      </c>
      <c r="Z841" s="59" t="n">
        <f aca="false">IF(E841&gt;0,F841*1000000000/E841,"")</f>
        <v>4264.58864892501</v>
      </c>
      <c r="AA841" s="63" t="n">
        <f aca="false">IFERROR((R841+S841+J841)/F841,0)</f>
        <v>1</v>
      </c>
      <c r="AB841" s="0" t="str">
        <f aca="false">A841&amp;"|"&amp;D841</f>
        <v>Guadeloupe|2017</v>
      </c>
    </row>
    <row r="842" customFormat="false" ht="15" hidden="false" customHeight="false" outlineLevel="0" collapsed="false">
      <c r="A842" s="0" t="s">
        <v>261</v>
      </c>
      <c r="B842" s="0" t="s">
        <v>499</v>
      </c>
      <c r="C842" s="0" t="s">
        <v>127</v>
      </c>
      <c r="D842" s="0" t="n">
        <v>2018</v>
      </c>
      <c r="E842" s="59" t="n">
        <v>415184</v>
      </c>
      <c r="F842" s="60" t="n">
        <v>1.71</v>
      </c>
      <c r="G842" s="61" t="n">
        <v>0.45</v>
      </c>
      <c r="H842" s="61" t="n">
        <v>0</v>
      </c>
      <c r="I842" s="61" t="n">
        <v>0.89</v>
      </c>
      <c r="J842" s="61" t="n">
        <v>0</v>
      </c>
      <c r="K842" s="61" t="n">
        <v>0.04</v>
      </c>
      <c r="L842" s="61" t="n">
        <v>0.1</v>
      </c>
      <c r="M842" s="61" t="n">
        <v>0.05</v>
      </c>
      <c r="N842" s="61" t="n">
        <v>0.07</v>
      </c>
      <c r="O842" s="61" t="n">
        <v>0.11</v>
      </c>
      <c r="P842" s="62" t="n">
        <v>584.8</v>
      </c>
      <c r="Q842" s="0" t="n">
        <v>2</v>
      </c>
      <c r="R842" s="60" t="n">
        <f aca="false">G842+H842+I842</f>
        <v>1.34</v>
      </c>
      <c r="S842" s="60" t="n">
        <f aca="false">K842+L842+M842+N842+O842</f>
        <v>0.37</v>
      </c>
      <c r="T842" s="60" t="n">
        <f aca="false">L842+M842</f>
        <v>0.15</v>
      </c>
      <c r="U842" s="60" t="n">
        <f aca="false">S842+J842</f>
        <v>0.37</v>
      </c>
      <c r="V842" s="63" t="n">
        <f aca="false">IFERROR(S842/F842,0)</f>
        <v>0.216374269005848</v>
      </c>
      <c r="W842" s="63" t="n">
        <f aca="false">IFERROR(R842/F842,0)</f>
        <v>0.783625730994152</v>
      </c>
      <c r="X842" s="63" t="n">
        <f aca="false">IFERROR(T842/F842,0)</f>
        <v>0.087719298245614</v>
      </c>
      <c r="Y842" s="63" t="n">
        <f aca="false">IFERROR(G842/F842,0)</f>
        <v>0.263157894736842</v>
      </c>
      <c r="Z842" s="59" t="n">
        <f aca="false">IF(E842&gt;0,F842*1000000000/E842,"")</f>
        <v>4118.65582488728</v>
      </c>
      <c r="AA842" s="63" t="n">
        <f aca="false">IFERROR((R842+S842+J842)/F842,0)</f>
        <v>1</v>
      </c>
      <c r="AB842" s="0" t="str">
        <f aca="false">A842&amp;"|"&amp;D842</f>
        <v>Guadeloupe|2018</v>
      </c>
    </row>
    <row r="843" customFormat="false" ht="15" hidden="false" customHeight="false" outlineLevel="0" collapsed="false">
      <c r="A843" s="0" t="s">
        <v>261</v>
      </c>
      <c r="B843" s="0" t="s">
        <v>499</v>
      </c>
      <c r="C843" s="0" t="s">
        <v>127</v>
      </c>
      <c r="D843" s="0" t="n">
        <v>2019</v>
      </c>
      <c r="E843" s="59" t="n">
        <v>410266</v>
      </c>
      <c r="F843" s="60" t="n">
        <v>1.72</v>
      </c>
      <c r="G843" s="61" t="n">
        <v>0.39</v>
      </c>
      <c r="H843" s="61" t="n">
        <v>0</v>
      </c>
      <c r="I843" s="61" t="n">
        <v>0.96</v>
      </c>
      <c r="J843" s="61" t="n">
        <v>0</v>
      </c>
      <c r="K843" s="61" t="n">
        <v>0.04</v>
      </c>
      <c r="L843" s="61" t="n">
        <v>0.1</v>
      </c>
      <c r="M843" s="61" t="n">
        <v>0.06</v>
      </c>
      <c r="N843" s="61" t="n">
        <v>0.06</v>
      </c>
      <c r="O843" s="61" t="n">
        <v>0.11</v>
      </c>
      <c r="P843" s="62" t="n">
        <v>569.8</v>
      </c>
      <c r="Q843" s="0" t="n">
        <v>2</v>
      </c>
      <c r="R843" s="60" t="n">
        <f aca="false">G843+H843+I843</f>
        <v>1.35</v>
      </c>
      <c r="S843" s="60" t="n">
        <f aca="false">K843+L843+M843+N843+O843</f>
        <v>0.37</v>
      </c>
      <c r="T843" s="60" t="n">
        <f aca="false">L843+M843</f>
        <v>0.16</v>
      </c>
      <c r="U843" s="60" t="n">
        <f aca="false">S843+J843</f>
        <v>0.37</v>
      </c>
      <c r="V843" s="63" t="n">
        <f aca="false">IFERROR(S843/F843,0)</f>
        <v>0.215116279069767</v>
      </c>
      <c r="W843" s="63" t="n">
        <f aca="false">IFERROR(R843/F843,0)</f>
        <v>0.784883720930233</v>
      </c>
      <c r="X843" s="63" t="n">
        <f aca="false">IFERROR(T843/F843,0)</f>
        <v>0.0930232558139535</v>
      </c>
      <c r="Y843" s="63" t="n">
        <f aca="false">IFERROR(G843/F843,0)</f>
        <v>0.226744186046512</v>
      </c>
      <c r="Z843" s="59" t="n">
        <f aca="false">IF(E843&gt;0,F843*1000000000/E843,"")</f>
        <v>4192.40200260319</v>
      </c>
      <c r="AA843" s="63" t="n">
        <f aca="false">IFERROR((R843+S843+J843)/F843,0)</f>
        <v>1</v>
      </c>
      <c r="AB843" s="0" t="str">
        <f aca="false">A843&amp;"|"&amp;D843</f>
        <v>Guadeloupe|2019</v>
      </c>
    </row>
    <row r="844" customFormat="false" ht="15" hidden="false" customHeight="false" outlineLevel="0" collapsed="false">
      <c r="A844" s="0" t="s">
        <v>261</v>
      </c>
      <c r="B844" s="0" t="s">
        <v>499</v>
      </c>
      <c r="C844" s="0" t="s">
        <v>127</v>
      </c>
      <c r="D844" s="0" t="n">
        <v>2020</v>
      </c>
      <c r="E844" s="59" t="n">
        <v>407401</v>
      </c>
      <c r="F844" s="60" t="n">
        <v>1.7</v>
      </c>
      <c r="G844" s="61" t="n">
        <v>0.28</v>
      </c>
      <c r="H844" s="61" t="n">
        <v>0</v>
      </c>
      <c r="I844" s="61" t="n">
        <v>1.01</v>
      </c>
      <c r="J844" s="61" t="n">
        <v>0</v>
      </c>
      <c r="K844" s="61" t="n">
        <v>0.03</v>
      </c>
      <c r="L844" s="61" t="n">
        <v>0.11</v>
      </c>
      <c r="M844" s="61" t="n">
        <v>0.07</v>
      </c>
      <c r="N844" s="61" t="n">
        <v>0.08</v>
      </c>
      <c r="O844" s="61" t="n">
        <v>0.12</v>
      </c>
      <c r="P844" s="62" t="n">
        <v>547.1</v>
      </c>
      <c r="Q844" s="0" t="n">
        <v>2</v>
      </c>
      <c r="R844" s="60" t="n">
        <f aca="false">G844+H844+I844</f>
        <v>1.29</v>
      </c>
      <c r="S844" s="60" t="n">
        <f aca="false">K844+L844+M844+N844+O844</f>
        <v>0.41</v>
      </c>
      <c r="T844" s="60" t="n">
        <f aca="false">L844+M844</f>
        <v>0.18</v>
      </c>
      <c r="U844" s="60" t="n">
        <f aca="false">S844+J844</f>
        <v>0.41</v>
      </c>
      <c r="V844" s="63" t="n">
        <f aca="false">IFERROR(S844/F844,0)</f>
        <v>0.241176470588235</v>
      </c>
      <c r="W844" s="63" t="n">
        <f aca="false">IFERROR(R844/F844,0)</f>
        <v>0.758823529411765</v>
      </c>
      <c r="X844" s="63" t="n">
        <f aca="false">IFERROR(T844/F844,0)</f>
        <v>0.105882352941176</v>
      </c>
      <c r="Y844" s="63" t="n">
        <f aca="false">IFERROR(G844/F844,0)</f>
        <v>0.164705882352941</v>
      </c>
      <c r="Z844" s="59" t="n">
        <f aca="false">IF(E844&gt;0,F844*1000000000/E844,"")</f>
        <v>4172.79289937924</v>
      </c>
      <c r="AA844" s="63" t="n">
        <f aca="false">IFERROR((R844+S844+J844)/F844,0)</f>
        <v>1</v>
      </c>
      <c r="AB844" s="0" t="str">
        <f aca="false">A844&amp;"|"&amp;D844</f>
        <v>Guadeloupe|2020</v>
      </c>
    </row>
    <row r="845" customFormat="false" ht="15" hidden="false" customHeight="false" outlineLevel="0" collapsed="false">
      <c r="A845" s="0" t="s">
        <v>261</v>
      </c>
      <c r="B845" s="0" t="s">
        <v>499</v>
      </c>
      <c r="C845" s="0" t="s">
        <v>127</v>
      </c>
      <c r="D845" s="0" t="n">
        <v>2021</v>
      </c>
      <c r="E845" s="59" t="n">
        <v>399157</v>
      </c>
      <c r="F845" s="60" t="n">
        <v>1.66</v>
      </c>
      <c r="G845" s="61" t="n">
        <v>0.23</v>
      </c>
      <c r="H845" s="61" t="n">
        <v>0</v>
      </c>
      <c r="I845" s="61" t="n">
        <v>0.87</v>
      </c>
      <c r="J845" s="61" t="n">
        <v>0</v>
      </c>
      <c r="K845" s="61" t="n">
        <v>0.01</v>
      </c>
      <c r="L845" s="61" t="n">
        <v>0.11</v>
      </c>
      <c r="M845" s="61" t="n">
        <v>0.11</v>
      </c>
      <c r="N845" s="61" t="n">
        <v>0.25</v>
      </c>
      <c r="O845" s="61" t="n">
        <v>0.08</v>
      </c>
      <c r="P845" s="62" t="n">
        <v>500</v>
      </c>
      <c r="Q845" s="0" t="n">
        <v>2</v>
      </c>
      <c r="R845" s="60" t="n">
        <f aca="false">G845+H845+I845</f>
        <v>1.1</v>
      </c>
      <c r="S845" s="60" t="n">
        <f aca="false">K845+L845+M845+N845+O845</f>
        <v>0.56</v>
      </c>
      <c r="T845" s="60" t="n">
        <f aca="false">L845+M845</f>
        <v>0.22</v>
      </c>
      <c r="U845" s="60" t="n">
        <f aca="false">S845+J845</f>
        <v>0.56</v>
      </c>
      <c r="V845" s="63" t="n">
        <f aca="false">IFERROR(S845/F845,0)</f>
        <v>0.337349397590361</v>
      </c>
      <c r="W845" s="63" t="n">
        <f aca="false">IFERROR(R845/F845,0)</f>
        <v>0.662650602409639</v>
      </c>
      <c r="X845" s="63" t="n">
        <f aca="false">IFERROR(T845/F845,0)</f>
        <v>0.132530120481928</v>
      </c>
      <c r="Y845" s="63" t="n">
        <f aca="false">IFERROR(G845/F845,0)</f>
        <v>0.13855421686747</v>
      </c>
      <c r="Z845" s="59" t="n">
        <f aca="false">IF(E845&gt;0,F845*1000000000/E845,"")</f>
        <v>4158.76459638689</v>
      </c>
      <c r="AA845" s="63" t="n">
        <f aca="false">IFERROR((R845+S845+J845)/F845,0)</f>
        <v>1</v>
      </c>
      <c r="AB845" s="0" t="str">
        <f aca="false">A845&amp;"|"&amp;D845</f>
        <v>Guadeloupe|2021</v>
      </c>
    </row>
    <row r="846" customFormat="false" ht="15" hidden="false" customHeight="false" outlineLevel="0" collapsed="false">
      <c r="A846" s="0" t="s">
        <v>261</v>
      </c>
      <c r="B846" s="0" t="s">
        <v>499</v>
      </c>
      <c r="C846" s="0" t="s">
        <v>127</v>
      </c>
      <c r="D846" s="0" t="n">
        <v>2022</v>
      </c>
      <c r="E846" s="59" t="n">
        <v>384702</v>
      </c>
      <c r="F846" s="60" t="n">
        <v>1.64</v>
      </c>
      <c r="G846" s="61" t="n">
        <v>0.22</v>
      </c>
      <c r="H846" s="61" t="n">
        <v>0</v>
      </c>
      <c r="I846" s="61" t="n">
        <v>0.85</v>
      </c>
      <c r="J846" s="61" t="n">
        <v>0</v>
      </c>
      <c r="K846" s="61" t="n">
        <v>0.01</v>
      </c>
      <c r="L846" s="61" t="n">
        <v>0.11</v>
      </c>
      <c r="M846" s="61" t="n">
        <v>0.11</v>
      </c>
      <c r="N846" s="61" t="n">
        <v>0.24</v>
      </c>
      <c r="O846" s="61" t="n">
        <v>0.1</v>
      </c>
      <c r="P846" s="62" t="n">
        <v>493.9</v>
      </c>
      <c r="Q846" s="0" t="n">
        <v>2</v>
      </c>
      <c r="R846" s="60" t="n">
        <f aca="false">G846+H846+I846</f>
        <v>1.07</v>
      </c>
      <c r="S846" s="60" t="n">
        <f aca="false">K846+L846+M846+N846+O846</f>
        <v>0.57</v>
      </c>
      <c r="T846" s="60" t="n">
        <f aca="false">L846+M846</f>
        <v>0.22</v>
      </c>
      <c r="U846" s="60" t="n">
        <f aca="false">S846+J846</f>
        <v>0.57</v>
      </c>
      <c r="V846" s="63" t="n">
        <f aca="false">IFERROR(S846/F846,0)</f>
        <v>0.347560975609756</v>
      </c>
      <c r="W846" s="63" t="n">
        <f aca="false">IFERROR(R846/F846,0)</f>
        <v>0.652439024390244</v>
      </c>
      <c r="X846" s="63" t="n">
        <f aca="false">IFERROR(T846/F846,0)</f>
        <v>0.134146341463415</v>
      </c>
      <c r="Y846" s="63" t="n">
        <f aca="false">IFERROR(G846/F846,0)</f>
        <v>0.134146341463415</v>
      </c>
      <c r="Z846" s="59" t="n">
        <f aca="false">IF(E846&gt;0,F846*1000000000/E846,"")</f>
        <v>4263.03996340024</v>
      </c>
      <c r="AA846" s="63" t="n">
        <f aca="false">IFERROR((R846+S846+J846)/F846,0)</f>
        <v>1</v>
      </c>
      <c r="AB846" s="0" t="str">
        <f aca="false">A846&amp;"|"&amp;D846</f>
        <v>Guadeloupe|2022</v>
      </c>
    </row>
    <row r="847" customFormat="false" ht="15" hidden="false" customHeight="false" outlineLevel="0" collapsed="false">
      <c r="A847" s="0" t="s">
        <v>261</v>
      </c>
      <c r="B847" s="0" t="s">
        <v>499</v>
      </c>
      <c r="C847" s="0" t="s">
        <v>127</v>
      </c>
      <c r="D847" s="0" t="n">
        <v>2023</v>
      </c>
      <c r="E847" s="59" t="n">
        <v>376518</v>
      </c>
      <c r="F847" s="60" t="n">
        <v>1.67</v>
      </c>
      <c r="G847" s="61" t="n">
        <v>0.22</v>
      </c>
      <c r="H847" s="61" t="n">
        <v>0</v>
      </c>
      <c r="I847" s="61" t="n">
        <v>0.86</v>
      </c>
      <c r="J847" s="61" t="n">
        <v>0</v>
      </c>
      <c r="K847" s="61" t="n">
        <v>0.01</v>
      </c>
      <c r="L847" s="61" t="n">
        <v>0.11</v>
      </c>
      <c r="M847" s="61" t="n">
        <v>0.1</v>
      </c>
      <c r="N847" s="61" t="n">
        <v>0.26</v>
      </c>
      <c r="O847" s="61" t="n">
        <v>0.11</v>
      </c>
      <c r="P847" s="62" t="n">
        <v>497</v>
      </c>
      <c r="Q847" s="0" t="n">
        <v>2</v>
      </c>
      <c r="R847" s="60" t="n">
        <f aca="false">G847+H847+I847</f>
        <v>1.08</v>
      </c>
      <c r="S847" s="60" t="n">
        <f aca="false">K847+L847+M847+N847+O847</f>
        <v>0.59</v>
      </c>
      <c r="T847" s="60" t="n">
        <f aca="false">L847+M847</f>
        <v>0.21</v>
      </c>
      <c r="U847" s="60" t="n">
        <f aca="false">S847+J847</f>
        <v>0.59</v>
      </c>
      <c r="V847" s="63" t="n">
        <f aca="false">IFERROR(S847/F847,0)</f>
        <v>0.353293413173653</v>
      </c>
      <c r="W847" s="63" t="n">
        <f aca="false">IFERROR(R847/F847,0)</f>
        <v>0.646706586826347</v>
      </c>
      <c r="X847" s="63" t="n">
        <f aca="false">IFERROR(T847/F847,0)</f>
        <v>0.125748502994012</v>
      </c>
      <c r="Y847" s="63" t="n">
        <f aca="false">IFERROR(G847/F847,0)</f>
        <v>0.131736526946108</v>
      </c>
      <c r="Z847" s="59" t="n">
        <f aca="false">IF(E847&gt;0,F847*1000000000/E847,"")</f>
        <v>4435.37891946733</v>
      </c>
      <c r="AA847" s="63" t="n">
        <f aca="false">IFERROR((R847+S847+J847)/F847,0)</f>
        <v>1</v>
      </c>
      <c r="AB847" s="0" t="str">
        <f aca="false">A847&amp;"|"&amp;D847</f>
        <v>Guadeloupe|2023</v>
      </c>
    </row>
    <row r="848" customFormat="false" ht="15" hidden="false" customHeight="false" outlineLevel="0" collapsed="false">
      <c r="A848" s="0" t="s">
        <v>262</v>
      </c>
      <c r="B848" s="0" t="s">
        <v>500</v>
      </c>
      <c r="C848" s="0" t="s">
        <v>127</v>
      </c>
      <c r="D848" s="0" t="n">
        <v>2015</v>
      </c>
      <c r="E848" s="59" t="n">
        <v>164914</v>
      </c>
      <c r="F848" s="60" t="n">
        <v>1.71</v>
      </c>
      <c r="G848" s="61" t="n">
        <v>0</v>
      </c>
      <c r="H848" s="61" t="n">
        <v>0</v>
      </c>
      <c r="I848" s="61" t="n">
        <v>1.68</v>
      </c>
      <c r="J848" s="61" t="n">
        <v>0</v>
      </c>
      <c r="K848" s="61" t="n">
        <v>0</v>
      </c>
      <c r="L848" s="61" t="n">
        <v>0.03</v>
      </c>
      <c r="M848" s="61" t="n">
        <v>0</v>
      </c>
      <c r="N848" s="61" t="n">
        <v>0</v>
      </c>
      <c r="O848" s="61" t="n">
        <v>0</v>
      </c>
      <c r="P848" s="62" t="n">
        <v>649.1</v>
      </c>
      <c r="Q848" s="0" t="n">
        <v>0</v>
      </c>
      <c r="R848" s="60" t="n">
        <f aca="false">G848+H848+I848</f>
        <v>1.68</v>
      </c>
      <c r="S848" s="60" t="n">
        <f aca="false">K848+L848+M848+N848+O848</f>
        <v>0.03</v>
      </c>
      <c r="T848" s="60" t="n">
        <f aca="false">L848+M848</f>
        <v>0.03</v>
      </c>
      <c r="U848" s="60" t="n">
        <f aca="false">S848+J848</f>
        <v>0.03</v>
      </c>
      <c r="V848" s="63" t="n">
        <f aca="false">IFERROR(S848/F848,0)</f>
        <v>0.0175438596491228</v>
      </c>
      <c r="W848" s="63" t="n">
        <f aca="false">IFERROR(R848/F848,0)</f>
        <v>0.982456140350877</v>
      </c>
      <c r="X848" s="63" t="n">
        <f aca="false">IFERROR(T848/F848,0)</f>
        <v>0.0175438596491228</v>
      </c>
      <c r="Y848" s="63" t="n">
        <f aca="false">IFERROR(G848/F848,0)</f>
        <v>0</v>
      </c>
      <c r="Z848" s="59" t="n">
        <f aca="false">IF(E848&gt;0,F848*1000000000/E848,"")</f>
        <v>10369.0408334041</v>
      </c>
      <c r="AA848" s="63" t="n">
        <f aca="false">IFERROR((R848+S848+J848)/F848,0)</f>
        <v>1</v>
      </c>
      <c r="AB848" s="0" t="str">
        <f aca="false">A848&amp;"|"&amp;D848</f>
        <v>Guam|2015</v>
      </c>
    </row>
    <row r="849" customFormat="false" ht="15" hidden="false" customHeight="false" outlineLevel="0" collapsed="false">
      <c r="A849" s="0" t="s">
        <v>262</v>
      </c>
      <c r="B849" s="0" t="s">
        <v>500</v>
      </c>
      <c r="C849" s="0" t="s">
        <v>127</v>
      </c>
      <c r="D849" s="0" t="n">
        <v>2016</v>
      </c>
      <c r="E849" s="59" t="n">
        <v>164240</v>
      </c>
      <c r="F849" s="60" t="n">
        <v>1.74</v>
      </c>
      <c r="G849" s="61" t="n">
        <v>0</v>
      </c>
      <c r="H849" s="61" t="n">
        <v>0</v>
      </c>
      <c r="I849" s="61" t="n">
        <v>1.67</v>
      </c>
      <c r="J849" s="61" t="n">
        <v>0</v>
      </c>
      <c r="K849" s="61" t="n">
        <v>0</v>
      </c>
      <c r="L849" s="61" t="n">
        <v>0.07</v>
      </c>
      <c r="M849" s="61" t="n">
        <v>0</v>
      </c>
      <c r="N849" s="61" t="n">
        <v>0</v>
      </c>
      <c r="O849" s="61" t="n">
        <v>0</v>
      </c>
      <c r="P849" s="62" t="n">
        <v>632.2</v>
      </c>
      <c r="Q849" s="0" t="n">
        <v>0</v>
      </c>
      <c r="R849" s="60" t="n">
        <f aca="false">G849+H849+I849</f>
        <v>1.67</v>
      </c>
      <c r="S849" s="60" t="n">
        <f aca="false">K849+L849+M849+N849+O849</f>
        <v>0.07</v>
      </c>
      <c r="T849" s="60" t="n">
        <f aca="false">L849+M849</f>
        <v>0.07</v>
      </c>
      <c r="U849" s="60" t="n">
        <f aca="false">S849+J849</f>
        <v>0.07</v>
      </c>
      <c r="V849" s="63" t="n">
        <f aca="false">IFERROR(S849/F849,0)</f>
        <v>0.0402298850574713</v>
      </c>
      <c r="W849" s="63" t="n">
        <f aca="false">IFERROR(R849/F849,0)</f>
        <v>0.959770114942529</v>
      </c>
      <c r="X849" s="63" t="n">
        <f aca="false">IFERROR(T849/F849,0)</f>
        <v>0.0402298850574713</v>
      </c>
      <c r="Y849" s="63" t="n">
        <f aca="false">IFERROR(G849/F849,0)</f>
        <v>0</v>
      </c>
      <c r="Z849" s="59" t="n">
        <f aca="false">IF(E849&gt;0,F849*1000000000/E849,"")</f>
        <v>10594.2523136873</v>
      </c>
      <c r="AA849" s="63" t="n">
        <f aca="false">IFERROR((R849+S849+J849)/F849,0)</f>
        <v>1</v>
      </c>
      <c r="AB849" s="0" t="str">
        <f aca="false">A849&amp;"|"&amp;D849</f>
        <v>Guam|2016</v>
      </c>
    </row>
    <row r="850" customFormat="false" ht="15" hidden="false" customHeight="false" outlineLevel="0" collapsed="false">
      <c r="A850" s="0" t="s">
        <v>262</v>
      </c>
      <c r="B850" s="0" t="s">
        <v>500</v>
      </c>
      <c r="C850" s="0" t="s">
        <v>127</v>
      </c>
      <c r="D850" s="0" t="n">
        <v>2017</v>
      </c>
      <c r="E850" s="59" t="n">
        <v>163501</v>
      </c>
      <c r="F850" s="60" t="n">
        <v>1.77</v>
      </c>
      <c r="G850" s="61" t="n">
        <v>0</v>
      </c>
      <c r="H850" s="61" t="n">
        <v>0</v>
      </c>
      <c r="I850" s="61" t="n">
        <v>1.71</v>
      </c>
      <c r="J850" s="61" t="n">
        <v>0</v>
      </c>
      <c r="K850" s="61" t="n">
        <v>0</v>
      </c>
      <c r="L850" s="61" t="n">
        <v>0.06</v>
      </c>
      <c r="M850" s="61" t="n">
        <v>0</v>
      </c>
      <c r="N850" s="61" t="n">
        <v>0</v>
      </c>
      <c r="O850" s="61" t="n">
        <v>0</v>
      </c>
      <c r="P850" s="62" t="n">
        <v>638.4</v>
      </c>
      <c r="Q850" s="0" t="n">
        <v>0</v>
      </c>
      <c r="R850" s="60" t="n">
        <f aca="false">G850+H850+I850</f>
        <v>1.71</v>
      </c>
      <c r="S850" s="60" t="n">
        <f aca="false">K850+L850+M850+N850+O850</f>
        <v>0.06</v>
      </c>
      <c r="T850" s="60" t="n">
        <f aca="false">L850+M850</f>
        <v>0.06</v>
      </c>
      <c r="U850" s="60" t="n">
        <f aca="false">S850+J850</f>
        <v>0.06</v>
      </c>
      <c r="V850" s="63" t="n">
        <f aca="false">IFERROR(S850/F850,0)</f>
        <v>0.0338983050847458</v>
      </c>
      <c r="W850" s="63" t="n">
        <f aca="false">IFERROR(R850/F850,0)</f>
        <v>0.966101694915254</v>
      </c>
      <c r="X850" s="63" t="n">
        <f aca="false">IFERROR(T850/F850,0)</f>
        <v>0.0338983050847458</v>
      </c>
      <c r="Y850" s="63" t="n">
        <f aca="false">IFERROR(G850/F850,0)</f>
        <v>0</v>
      </c>
      <c r="Z850" s="59" t="n">
        <f aca="false">IF(E850&gt;0,F850*1000000000/E850,"")</f>
        <v>10825.62186164</v>
      </c>
      <c r="AA850" s="63" t="n">
        <f aca="false">IFERROR((R850+S850+J850)/F850,0)</f>
        <v>1</v>
      </c>
      <c r="AB850" s="0" t="str">
        <f aca="false">A850&amp;"|"&amp;D850</f>
        <v>Guam|2017</v>
      </c>
    </row>
    <row r="851" customFormat="false" ht="15" hidden="false" customHeight="false" outlineLevel="0" collapsed="false">
      <c r="A851" s="0" t="s">
        <v>262</v>
      </c>
      <c r="B851" s="0" t="s">
        <v>500</v>
      </c>
      <c r="C851" s="0" t="s">
        <v>127</v>
      </c>
      <c r="D851" s="0" t="n">
        <v>2018</v>
      </c>
      <c r="E851" s="59" t="n">
        <v>162689</v>
      </c>
      <c r="F851" s="60" t="n">
        <v>1.73</v>
      </c>
      <c r="G851" s="61" t="n">
        <v>0</v>
      </c>
      <c r="H851" s="61" t="n">
        <v>0</v>
      </c>
      <c r="I851" s="61" t="n">
        <v>1.66</v>
      </c>
      <c r="J851" s="61" t="n">
        <v>0</v>
      </c>
      <c r="K851" s="61" t="n">
        <v>0</v>
      </c>
      <c r="L851" s="61" t="n">
        <v>0.07</v>
      </c>
      <c r="M851" s="61" t="n">
        <v>0</v>
      </c>
      <c r="N851" s="61" t="n">
        <v>0</v>
      </c>
      <c r="O851" s="61" t="n">
        <v>0</v>
      </c>
      <c r="P851" s="62" t="n">
        <v>630.1</v>
      </c>
      <c r="Q851" s="0" t="n">
        <v>0</v>
      </c>
      <c r="R851" s="60" t="n">
        <f aca="false">G851+H851+I851</f>
        <v>1.66</v>
      </c>
      <c r="S851" s="60" t="n">
        <f aca="false">K851+L851+M851+N851+O851</f>
        <v>0.07</v>
      </c>
      <c r="T851" s="60" t="n">
        <f aca="false">L851+M851</f>
        <v>0.07</v>
      </c>
      <c r="U851" s="60" t="n">
        <f aca="false">S851+J851</f>
        <v>0.07</v>
      </c>
      <c r="V851" s="63" t="n">
        <f aca="false">IFERROR(S851/F851,0)</f>
        <v>0.0404624277456648</v>
      </c>
      <c r="W851" s="63" t="n">
        <f aca="false">IFERROR(R851/F851,0)</f>
        <v>0.959537572254335</v>
      </c>
      <c r="X851" s="63" t="n">
        <f aca="false">IFERROR(T851/F851,0)</f>
        <v>0.0404624277456648</v>
      </c>
      <c r="Y851" s="63" t="n">
        <f aca="false">IFERROR(G851/F851,0)</f>
        <v>0</v>
      </c>
      <c r="Z851" s="59" t="n">
        <f aca="false">IF(E851&gt;0,F851*1000000000/E851,"")</f>
        <v>10633.7859351278</v>
      </c>
      <c r="AA851" s="63" t="n">
        <f aca="false">IFERROR((R851+S851+J851)/F851,0)</f>
        <v>1</v>
      </c>
      <c r="AB851" s="0" t="str">
        <f aca="false">A851&amp;"|"&amp;D851</f>
        <v>Guam|2018</v>
      </c>
    </row>
    <row r="852" customFormat="false" ht="15" hidden="false" customHeight="false" outlineLevel="0" collapsed="false">
      <c r="A852" s="0" t="s">
        <v>262</v>
      </c>
      <c r="B852" s="0" t="s">
        <v>500</v>
      </c>
      <c r="C852" s="0" t="s">
        <v>127</v>
      </c>
      <c r="D852" s="0" t="n">
        <v>2019</v>
      </c>
      <c r="E852" s="59" t="n">
        <v>161819</v>
      </c>
      <c r="F852" s="60" t="n">
        <v>1.75</v>
      </c>
      <c r="G852" s="61" t="n">
        <v>0</v>
      </c>
      <c r="H852" s="61" t="n">
        <v>0</v>
      </c>
      <c r="I852" s="61" t="n">
        <v>1.67</v>
      </c>
      <c r="J852" s="61" t="n">
        <v>0</v>
      </c>
      <c r="K852" s="61" t="n">
        <v>0</v>
      </c>
      <c r="L852" s="61" t="n">
        <v>0.08</v>
      </c>
      <c r="M852" s="61" t="n">
        <v>0</v>
      </c>
      <c r="N852" s="61" t="n">
        <v>0</v>
      </c>
      <c r="O852" s="61" t="n">
        <v>0</v>
      </c>
      <c r="P852" s="62" t="n">
        <v>628.6</v>
      </c>
      <c r="Q852" s="0" t="n">
        <v>0</v>
      </c>
      <c r="R852" s="60" t="n">
        <f aca="false">G852+H852+I852</f>
        <v>1.67</v>
      </c>
      <c r="S852" s="60" t="n">
        <f aca="false">K852+L852+M852+N852+O852</f>
        <v>0.08</v>
      </c>
      <c r="T852" s="60" t="n">
        <f aca="false">L852+M852</f>
        <v>0.08</v>
      </c>
      <c r="U852" s="60" t="n">
        <f aca="false">S852+J852</f>
        <v>0.08</v>
      </c>
      <c r="V852" s="63" t="n">
        <f aca="false">IFERROR(S852/F852,0)</f>
        <v>0.0457142857142857</v>
      </c>
      <c r="W852" s="63" t="n">
        <f aca="false">IFERROR(R852/F852,0)</f>
        <v>0.954285714285714</v>
      </c>
      <c r="X852" s="63" t="n">
        <f aca="false">IFERROR(T852/F852,0)</f>
        <v>0.0457142857142857</v>
      </c>
      <c r="Y852" s="63" t="n">
        <f aca="false">IFERROR(G852/F852,0)</f>
        <v>0</v>
      </c>
      <c r="Z852" s="59" t="n">
        <f aca="false">IF(E852&gt;0,F852*1000000000/E852,"")</f>
        <v>10814.5520612536</v>
      </c>
      <c r="AA852" s="63" t="n">
        <f aca="false">IFERROR((R852+S852+J852)/F852,0)</f>
        <v>1</v>
      </c>
      <c r="AB852" s="0" t="str">
        <f aca="false">A852&amp;"|"&amp;D852</f>
        <v>Guam|2019</v>
      </c>
    </row>
    <row r="853" customFormat="false" ht="15" hidden="false" customHeight="false" outlineLevel="0" collapsed="false">
      <c r="A853" s="0" t="s">
        <v>262</v>
      </c>
      <c r="B853" s="0" t="s">
        <v>500</v>
      </c>
      <c r="C853" s="0" t="s">
        <v>127</v>
      </c>
      <c r="D853" s="0" t="n">
        <v>2020</v>
      </c>
      <c r="E853" s="59" t="n">
        <v>162167</v>
      </c>
      <c r="F853" s="60" t="n">
        <v>1.71</v>
      </c>
      <c r="G853" s="61" t="n">
        <v>0</v>
      </c>
      <c r="H853" s="61" t="n">
        <v>0</v>
      </c>
      <c r="I853" s="61" t="n">
        <v>1.63</v>
      </c>
      <c r="J853" s="61" t="n">
        <v>0</v>
      </c>
      <c r="K853" s="61" t="n">
        <v>0</v>
      </c>
      <c r="L853" s="61" t="n">
        <v>0.08</v>
      </c>
      <c r="M853" s="61" t="n">
        <v>0</v>
      </c>
      <c r="N853" s="61" t="n">
        <v>0</v>
      </c>
      <c r="O853" s="61" t="n">
        <v>0</v>
      </c>
      <c r="P853" s="62" t="n">
        <v>625.7</v>
      </c>
      <c r="Q853" s="0" t="n">
        <v>0</v>
      </c>
      <c r="R853" s="60" t="n">
        <f aca="false">G853+H853+I853</f>
        <v>1.63</v>
      </c>
      <c r="S853" s="60" t="n">
        <f aca="false">K853+L853+M853+N853+O853</f>
        <v>0.08</v>
      </c>
      <c r="T853" s="60" t="n">
        <f aca="false">L853+M853</f>
        <v>0.08</v>
      </c>
      <c r="U853" s="60" t="n">
        <f aca="false">S853+J853</f>
        <v>0.08</v>
      </c>
      <c r="V853" s="63" t="n">
        <f aca="false">IFERROR(S853/F853,0)</f>
        <v>0.0467836257309942</v>
      </c>
      <c r="W853" s="63" t="n">
        <f aca="false">IFERROR(R853/F853,0)</f>
        <v>0.953216374269006</v>
      </c>
      <c r="X853" s="63" t="n">
        <f aca="false">IFERROR(T853/F853,0)</f>
        <v>0.0467836257309942</v>
      </c>
      <c r="Y853" s="63" t="n">
        <f aca="false">IFERROR(G853/F853,0)</f>
        <v>0</v>
      </c>
      <c r="Z853" s="59" t="n">
        <f aca="false">IF(E853&gt;0,F853*1000000000/E853,"")</f>
        <v>10544.6854168851</v>
      </c>
      <c r="AA853" s="63" t="n">
        <f aca="false">IFERROR((R853+S853+J853)/F853,0)</f>
        <v>1</v>
      </c>
      <c r="AB853" s="0" t="str">
        <f aca="false">A853&amp;"|"&amp;D853</f>
        <v>Guam|2020</v>
      </c>
    </row>
    <row r="854" customFormat="false" ht="15" hidden="false" customHeight="false" outlineLevel="0" collapsed="false">
      <c r="A854" s="0" t="s">
        <v>262</v>
      </c>
      <c r="B854" s="0" t="s">
        <v>500</v>
      </c>
      <c r="C854" s="0" t="s">
        <v>127</v>
      </c>
      <c r="D854" s="0" t="n">
        <v>2021</v>
      </c>
      <c r="E854" s="59" t="n">
        <v>163741</v>
      </c>
      <c r="F854" s="60" t="n">
        <v>1.74</v>
      </c>
      <c r="G854" s="61" t="n">
        <v>0</v>
      </c>
      <c r="H854" s="61" t="n">
        <v>0</v>
      </c>
      <c r="I854" s="61" t="n">
        <v>1.66</v>
      </c>
      <c r="J854" s="61" t="n">
        <v>0</v>
      </c>
      <c r="K854" s="61" t="n">
        <v>0</v>
      </c>
      <c r="L854" s="61" t="n">
        <v>0.08</v>
      </c>
      <c r="M854" s="61" t="n">
        <v>0</v>
      </c>
      <c r="N854" s="61" t="n">
        <v>0</v>
      </c>
      <c r="O854" s="61" t="n">
        <v>0</v>
      </c>
      <c r="P854" s="62" t="n">
        <v>626.4</v>
      </c>
      <c r="Q854" s="0" t="n">
        <v>0</v>
      </c>
      <c r="R854" s="60" t="n">
        <f aca="false">G854+H854+I854</f>
        <v>1.66</v>
      </c>
      <c r="S854" s="60" t="n">
        <f aca="false">K854+L854+M854+N854+O854</f>
        <v>0.08</v>
      </c>
      <c r="T854" s="60" t="n">
        <f aca="false">L854+M854</f>
        <v>0.08</v>
      </c>
      <c r="U854" s="60" t="n">
        <f aca="false">S854+J854</f>
        <v>0.08</v>
      </c>
      <c r="V854" s="63" t="n">
        <f aca="false">IFERROR(S854/F854,0)</f>
        <v>0.0459770114942529</v>
      </c>
      <c r="W854" s="63" t="n">
        <f aca="false">IFERROR(R854/F854,0)</f>
        <v>0.954022988505747</v>
      </c>
      <c r="X854" s="63" t="n">
        <f aca="false">IFERROR(T854/F854,0)</f>
        <v>0.0459770114942529</v>
      </c>
      <c r="Y854" s="63" t="n">
        <f aca="false">IFERROR(G854/F854,0)</f>
        <v>0</v>
      </c>
      <c r="Z854" s="59" t="n">
        <f aca="false">IF(E854&gt;0,F854*1000000000/E854,"")</f>
        <v>10626.5382524841</v>
      </c>
      <c r="AA854" s="63" t="n">
        <f aca="false">IFERROR((R854+S854+J854)/F854,0)</f>
        <v>1</v>
      </c>
      <c r="AB854" s="0" t="str">
        <f aca="false">A854&amp;"|"&amp;D854</f>
        <v>Guam|2021</v>
      </c>
    </row>
    <row r="855" customFormat="false" ht="15" hidden="false" customHeight="false" outlineLevel="0" collapsed="false">
      <c r="A855" s="0" t="s">
        <v>262</v>
      </c>
      <c r="B855" s="0" t="s">
        <v>500</v>
      </c>
      <c r="C855" s="0" t="s">
        <v>127</v>
      </c>
      <c r="D855" s="0" t="n">
        <v>2022</v>
      </c>
      <c r="E855" s="59" t="n">
        <v>165193</v>
      </c>
      <c r="F855" s="60" t="n">
        <v>1.8</v>
      </c>
      <c r="G855" s="61" t="n">
        <v>0</v>
      </c>
      <c r="H855" s="61" t="n">
        <v>0</v>
      </c>
      <c r="I855" s="61" t="n">
        <v>1.66</v>
      </c>
      <c r="J855" s="61" t="n">
        <v>0</v>
      </c>
      <c r="K855" s="61" t="n">
        <v>0</v>
      </c>
      <c r="L855" s="61" t="n">
        <v>0.14</v>
      </c>
      <c r="M855" s="61" t="n">
        <v>0</v>
      </c>
      <c r="N855" s="61" t="n">
        <v>0</v>
      </c>
      <c r="O855" s="61" t="n">
        <v>0</v>
      </c>
      <c r="P855" s="62" t="n">
        <v>611.1</v>
      </c>
      <c r="Q855" s="0" t="n">
        <v>0</v>
      </c>
      <c r="R855" s="60" t="n">
        <f aca="false">G855+H855+I855</f>
        <v>1.66</v>
      </c>
      <c r="S855" s="60" t="n">
        <f aca="false">K855+L855+M855+N855+O855</f>
        <v>0.14</v>
      </c>
      <c r="T855" s="60" t="n">
        <f aca="false">L855+M855</f>
        <v>0.14</v>
      </c>
      <c r="U855" s="60" t="n">
        <f aca="false">S855+J855</f>
        <v>0.14</v>
      </c>
      <c r="V855" s="63" t="n">
        <f aca="false">IFERROR(S855/F855,0)</f>
        <v>0.0777777777777778</v>
      </c>
      <c r="W855" s="63" t="n">
        <f aca="false">IFERROR(R855/F855,0)</f>
        <v>0.922222222222222</v>
      </c>
      <c r="X855" s="63" t="n">
        <f aca="false">IFERROR(T855/F855,0)</f>
        <v>0.0777777777777778</v>
      </c>
      <c r="Y855" s="63" t="n">
        <f aca="false">IFERROR(G855/F855,0)</f>
        <v>0</v>
      </c>
      <c r="Z855" s="59" t="n">
        <f aca="false">IF(E855&gt;0,F855*1000000000/E855,"")</f>
        <v>10896.3454867942</v>
      </c>
      <c r="AA855" s="63" t="n">
        <f aca="false">IFERROR((R855+S855+J855)/F855,0)</f>
        <v>1</v>
      </c>
      <c r="AB855" s="0" t="str">
        <f aca="false">A855&amp;"|"&amp;D855</f>
        <v>Guam|2022</v>
      </c>
    </row>
    <row r="856" customFormat="false" ht="15" hidden="false" customHeight="false" outlineLevel="0" collapsed="false">
      <c r="A856" s="0" t="s">
        <v>262</v>
      </c>
      <c r="B856" s="0" t="s">
        <v>500</v>
      </c>
      <c r="C856" s="0" t="s">
        <v>127</v>
      </c>
      <c r="D856" s="0" t="n">
        <v>2023</v>
      </c>
      <c r="E856" s="59" t="n">
        <v>166522</v>
      </c>
      <c r="F856" s="60" t="n">
        <v>1.8</v>
      </c>
      <c r="G856" s="61" t="n">
        <v>0</v>
      </c>
      <c r="H856" s="61" t="n">
        <v>0</v>
      </c>
      <c r="I856" s="61" t="n">
        <v>1.66</v>
      </c>
      <c r="J856" s="61" t="n">
        <v>0</v>
      </c>
      <c r="K856" s="61" t="n">
        <v>0</v>
      </c>
      <c r="L856" s="61" t="n">
        <v>0.14</v>
      </c>
      <c r="M856" s="61" t="n">
        <v>0</v>
      </c>
      <c r="N856" s="61" t="n">
        <v>0</v>
      </c>
      <c r="O856" s="61" t="n">
        <v>0</v>
      </c>
      <c r="P856" s="62" t="n">
        <v>611.1</v>
      </c>
      <c r="Q856" s="0" t="n">
        <v>0</v>
      </c>
      <c r="R856" s="60" t="n">
        <f aca="false">G856+H856+I856</f>
        <v>1.66</v>
      </c>
      <c r="S856" s="60" t="n">
        <f aca="false">K856+L856+M856+N856+O856</f>
        <v>0.14</v>
      </c>
      <c r="T856" s="60" t="n">
        <f aca="false">L856+M856</f>
        <v>0.14</v>
      </c>
      <c r="U856" s="60" t="n">
        <f aca="false">S856+J856</f>
        <v>0.14</v>
      </c>
      <c r="V856" s="63" t="n">
        <f aca="false">IFERROR(S856/F856,0)</f>
        <v>0.0777777777777778</v>
      </c>
      <c r="W856" s="63" t="n">
        <f aca="false">IFERROR(R856/F856,0)</f>
        <v>0.922222222222222</v>
      </c>
      <c r="X856" s="63" t="n">
        <f aca="false">IFERROR(T856/F856,0)</f>
        <v>0.0777777777777778</v>
      </c>
      <c r="Y856" s="63" t="n">
        <f aca="false">IFERROR(G856/F856,0)</f>
        <v>0</v>
      </c>
      <c r="Z856" s="59" t="n">
        <f aca="false">IF(E856&gt;0,F856*1000000000/E856,"")</f>
        <v>10809.3825440482</v>
      </c>
      <c r="AA856" s="63" t="n">
        <f aca="false">IFERROR((R856+S856+J856)/F856,0)</f>
        <v>1</v>
      </c>
      <c r="AB856" s="0" t="str">
        <f aca="false">A856&amp;"|"&amp;D856</f>
        <v>Guam|2023</v>
      </c>
    </row>
    <row r="857" customFormat="false" ht="15" hidden="false" customHeight="false" outlineLevel="0" collapsed="false">
      <c r="A857" s="0" t="s">
        <v>262</v>
      </c>
      <c r="B857" s="0" t="s">
        <v>500</v>
      </c>
      <c r="C857" s="0" t="s">
        <v>127</v>
      </c>
      <c r="D857" s="0" t="n">
        <v>2024</v>
      </c>
      <c r="E857" s="59" t="n">
        <v>167790</v>
      </c>
      <c r="F857" s="60" t="n">
        <v>1.86</v>
      </c>
      <c r="G857" s="61" t="n">
        <v>0</v>
      </c>
      <c r="H857" s="61" t="n">
        <v>0</v>
      </c>
      <c r="I857" s="61" t="n">
        <v>1.7</v>
      </c>
      <c r="J857" s="61" t="n">
        <v>0</v>
      </c>
      <c r="K857" s="61" t="n">
        <v>0</v>
      </c>
      <c r="L857" s="61" t="n">
        <v>0.16</v>
      </c>
      <c r="M857" s="61" t="n">
        <v>0</v>
      </c>
      <c r="N857" s="61" t="n">
        <v>0</v>
      </c>
      <c r="O857" s="61" t="n">
        <v>0</v>
      </c>
      <c r="P857" s="62" t="n">
        <v>607.5</v>
      </c>
      <c r="Q857" s="0" t="n">
        <v>0</v>
      </c>
      <c r="R857" s="60" t="n">
        <f aca="false">G857+H857+I857</f>
        <v>1.7</v>
      </c>
      <c r="S857" s="60" t="n">
        <f aca="false">K857+L857+M857+N857+O857</f>
        <v>0.16</v>
      </c>
      <c r="T857" s="60" t="n">
        <f aca="false">L857+M857</f>
        <v>0.16</v>
      </c>
      <c r="U857" s="60" t="n">
        <f aca="false">S857+J857</f>
        <v>0.16</v>
      </c>
      <c r="V857" s="63" t="n">
        <f aca="false">IFERROR(S857/F857,0)</f>
        <v>0.0860215053763441</v>
      </c>
      <c r="W857" s="63" t="n">
        <f aca="false">IFERROR(R857/F857,0)</f>
        <v>0.913978494623656</v>
      </c>
      <c r="X857" s="63" t="n">
        <f aca="false">IFERROR(T857/F857,0)</f>
        <v>0.0860215053763441</v>
      </c>
      <c r="Y857" s="63" t="n">
        <f aca="false">IFERROR(G857/F857,0)</f>
        <v>0</v>
      </c>
      <c r="Z857" s="59" t="n">
        <f aca="false">IF(E857&gt;0,F857*1000000000/E857,"")</f>
        <v>11085.2851779009</v>
      </c>
      <c r="AA857" s="63" t="n">
        <f aca="false">IFERROR((R857+S857+J857)/F857,0)</f>
        <v>1</v>
      </c>
      <c r="AB857" s="0" t="str">
        <f aca="false">A857&amp;"|"&amp;D857</f>
        <v>Guam|2024</v>
      </c>
    </row>
    <row r="858" customFormat="false" ht="15" hidden="false" customHeight="false" outlineLevel="0" collapsed="false">
      <c r="A858" s="0" t="s">
        <v>263</v>
      </c>
      <c r="B858" s="0" t="s">
        <v>501</v>
      </c>
      <c r="C858" s="0" t="s">
        <v>127</v>
      </c>
      <c r="D858" s="0" t="n">
        <v>2015</v>
      </c>
      <c r="E858" s="59" t="n">
        <v>15971745</v>
      </c>
      <c r="F858" s="60" t="n">
        <v>11.17</v>
      </c>
      <c r="G858" s="61" t="n">
        <v>2.92</v>
      </c>
      <c r="H858" s="61" t="n">
        <v>0</v>
      </c>
      <c r="I858" s="61" t="n">
        <v>1.42</v>
      </c>
      <c r="J858" s="61" t="n">
        <v>0</v>
      </c>
      <c r="K858" s="61" t="n">
        <v>3.87</v>
      </c>
      <c r="L858" s="61" t="n">
        <v>0.16</v>
      </c>
      <c r="M858" s="61" t="n">
        <v>0.11</v>
      </c>
      <c r="N858" s="61" t="n">
        <v>2.43</v>
      </c>
      <c r="O858" s="61" t="n">
        <v>0.26</v>
      </c>
      <c r="P858" s="62" t="n">
        <v>368.9</v>
      </c>
      <c r="Q858" s="0" t="n">
        <v>0</v>
      </c>
      <c r="R858" s="60" t="n">
        <f aca="false">G858+H858+I858</f>
        <v>4.34</v>
      </c>
      <c r="S858" s="60" t="n">
        <f aca="false">K858+L858+M858+N858+O858</f>
        <v>6.83</v>
      </c>
      <c r="T858" s="60" t="n">
        <f aca="false">L858+M858</f>
        <v>0.27</v>
      </c>
      <c r="U858" s="60" t="n">
        <f aca="false">S858+J858</f>
        <v>6.83</v>
      </c>
      <c r="V858" s="63" t="n">
        <f aca="false">IFERROR(S858/F858,0)</f>
        <v>0.611459265890779</v>
      </c>
      <c r="W858" s="63" t="n">
        <f aca="false">IFERROR(R858/F858,0)</f>
        <v>0.388540734109221</v>
      </c>
      <c r="X858" s="63" t="n">
        <f aca="false">IFERROR(T858/F858,0)</f>
        <v>0.0241718889883617</v>
      </c>
      <c r="Y858" s="63" t="n">
        <f aca="false">IFERROR(G858/F858,0)</f>
        <v>0.261414503133393</v>
      </c>
      <c r="Z858" s="59" t="n">
        <f aca="false">IF(E858&gt;0,F858*1000000000/E858,"")</f>
        <v>699.360026096084</v>
      </c>
      <c r="AA858" s="63" t="n">
        <f aca="false">IFERROR((R858+S858+J858)/F858,0)</f>
        <v>1</v>
      </c>
      <c r="AB858" s="0" t="str">
        <f aca="false">A858&amp;"|"&amp;D858</f>
        <v>Guatemala|2015</v>
      </c>
    </row>
    <row r="859" customFormat="false" ht="15" hidden="false" customHeight="false" outlineLevel="0" collapsed="false">
      <c r="A859" s="0" t="s">
        <v>263</v>
      </c>
      <c r="B859" s="0" t="s">
        <v>501</v>
      </c>
      <c r="C859" s="0" t="s">
        <v>127</v>
      </c>
      <c r="D859" s="0" t="n">
        <v>2016</v>
      </c>
      <c r="E859" s="59" t="n">
        <v>16268761</v>
      </c>
      <c r="F859" s="60" t="n">
        <v>11.86</v>
      </c>
      <c r="G859" s="61" t="n">
        <v>3.53</v>
      </c>
      <c r="H859" s="61" t="n">
        <v>0</v>
      </c>
      <c r="I859" s="61" t="n">
        <v>1</v>
      </c>
      <c r="J859" s="61" t="n">
        <v>0</v>
      </c>
      <c r="K859" s="61" t="n">
        <v>3.99</v>
      </c>
      <c r="L859" s="61" t="n">
        <v>0.19</v>
      </c>
      <c r="M859" s="61" t="n">
        <v>0.22</v>
      </c>
      <c r="N859" s="61" t="n">
        <v>2.59</v>
      </c>
      <c r="O859" s="61" t="n">
        <v>0.34</v>
      </c>
      <c r="P859" s="62" t="n">
        <v>371.8</v>
      </c>
      <c r="Q859" s="0" t="n">
        <v>0</v>
      </c>
      <c r="R859" s="60" t="n">
        <f aca="false">G859+H859+I859</f>
        <v>4.53</v>
      </c>
      <c r="S859" s="60" t="n">
        <f aca="false">K859+L859+M859+N859+O859</f>
        <v>7.33</v>
      </c>
      <c r="T859" s="60" t="n">
        <f aca="false">L859+M859</f>
        <v>0.41</v>
      </c>
      <c r="U859" s="60" t="n">
        <f aca="false">S859+J859</f>
        <v>7.33</v>
      </c>
      <c r="V859" s="63" t="n">
        <f aca="false">IFERROR(S859/F859,0)</f>
        <v>0.618043844856661</v>
      </c>
      <c r="W859" s="63" t="n">
        <f aca="false">IFERROR(R859/F859,0)</f>
        <v>0.381956155143339</v>
      </c>
      <c r="X859" s="63" t="n">
        <f aca="false">IFERROR(T859/F859,0)</f>
        <v>0.0345699831365936</v>
      </c>
      <c r="Y859" s="63" t="n">
        <f aca="false">IFERROR(G859/F859,0)</f>
        <v>0.297639123102867</v>
      </c>
      <c r="Z859" s="59" t="n">
        <f aca="false">IF(E859&gt;0,F859*1000000000/E859,"")</f>
        <v>729.004501326192</v>
      </c>
      <c r="AA859" s="63" t="n">
        <f aca="false">IFERROR((R859+S859+J859)/F859,0)</f>
        <v>1</v>
      </c>
      <c r="AB859" s="0" t="str">
        <f aca="false">A859&amp;"|"&amp;D859</f>
        <v>Guatemala|2016</v>
      </c>
    </row>
    <row r="860" customFormat="false" ht="15" hidden="false" customHeight="false" outlineLevel="0" collapsed="false">
      <c r="A860" s="0" t="s">
        <v>263</v>
      </c>
      <c r="B860" s="0" t="s">
        <v>501</v>
      </c>
      <c r="C860" s="0" t="s">
        <v>127</v>
      </c>
      <c r="D860" s="0" t="n">
        <v>2017</v>
      </c>
      <c r="E860" s="59" t="n">
        <v>16567363</v>
      </c>
      <c r="F860" s="60" t="n">
        <v>12.34</v>
      </c>
      <c r="G860" s="61" t="n">
        <v>3.43</v>
      </c>
      <c r="H860" s="61" t="n">
        <v>0</v>
      </c>
      <c r="I860" s="61" t="n">
        <v>0.44</v>
      </c>
      <c r="J860" s="61" t="n">
        <v>0</v>
      </c>
      <c r="K860" s="61" t="n">
        <v>5.81</v>
      </c>
      <c r="L860" s="61" t="n">
        <v>0.2</v>
      </c>
      <c r="M860" s="61" t="n">
        <v>0.22</v>
      </c>
      <c r="N860" s="61" t="n">
        <v>1.94</v>
      </c>
      <c r="O860" s="61" t="n">
        <v>0.3</v>
      </c>
      <c r="P860" s="62" t="n">
        <v>312.8</v>
      </c>
      <c r="Q860" s="0" t="n">
        <v>0</v>
      </c>
      <c r="R860" s="60" t="n">
        <f aca="false">G860+H860+I860</f>
        <v>3.87</v>
      </c>
      <c r="S860" s="60" t="n">
        <f aca="false">K860+L860+M860+N860+O860</f>
        <v>8.47</v>
      </c>
      <c r="T860" s="60" t="n">
        <f aca="false">L860+M860</f>
        <v>0.42</v>
      </c>
      <c r="U860" s="60" t="n">
        <f aca="false">S860+J860</f>
        <v>8.47</v>
      </c>
      <c r="V860" s="63" t="n">
        <f aca="false">IFERROR(S860/F860,0)</f>
        <v>0.686385737439222</v>
      </c>
      <c r="W860" s="63" t="n">
        <f aca="false">IFERROR(R860/F860,0)</f>
        <v>0.313614262560778</v>
      </c>
      <c r="X860" s="63" t="n">
        <f aca="false">IFERROR(T860/F860,0)</f>
        <v>0.0340356564019449</v>
      </c>
      <c r="Y860" s="63" t="n">
        <f aca="false">IFERROR(G860/F860,0)</f>
        <v>0.277957860615883</v>
      </c>
      <c r="Z860" s="59" t="n">
        <f aca="false">IF(E860&gt;0,F860*1000000000/E860,"")</f>
        <v>744.837908120924</v>
      </c>
      <c r="AA860" s="63" t="n">
        <f aca="false">IFERROR((R860+S860+J860)/F860,0)</f>
        <v>1</v>
      </c>
      <c r="AB860" s="0" t="str">
        <f aca="false">A860&amp;"|"&amp;D860</f>
        <v>Guatemala|2017</v>
      </c>
    </row>
    <row r="861" customFormat="false" ht="15" hidden="false" customHeight="false" outlineLevel="0" collapsed="false">
      <c r="A861" s="0" t="s">
        <v>263</v>
      </c>
      <c r="B861" s="0" t="s">
        <v>501</v>
      </c>
      <c r="C861" s="0" t="s">
        <v>127</v>
      </c>
      <c r="D861" s="0" t="n">
        <v>2018</v>
      </c>
      <c r="E861" s="59" t="n">
        <v>16845688</v>
      </c>
      <c r="F861" s="60" t="n">
        <v>13.25</v>
      </c>
      <c r="G861" s="61" t="n">
        <v>3.9</v>
      </c>
      <c r="H861" s="61" t="n">
        <v>0</v>
      </c>
      <c r="I861" s="61" t="n">
        <v>0.59</v>
      </c>
      <c r="J861" s="61" t="n">
        <v>0</v>
      </c>
      <c r="K861" s="61" t="n">
        <v>5.31</v>
      </c>
      <c r="L861" s="61" t="n">
        <v>0.2</v>
      </c>
      <c r="M861" s="61" t="n">
        <v>0.32</v>
      </c>
      <c r="N861" s="61" t="n">
        <v>2.63</v>
      </c>
      <c r="O861" s="61" t="n">
        <v>0.3</v>
      </c>
      <c r="P861" s="62" t="n">
        <v>340.4</v>
      </c>
      <c r="Q861" s="0" t="n">
        <v>0</v>
      </c>
      <c r="R861" s="60" t="n">
        <f aca="false">G861+H861+I861</f>
        <v>4.49</v>
      </c>
      <c r="S861" s="60" t="n">
        <f aca="false">K861+L861+M861+N861+O861</f>
        <v>8.76</v>
      </c>
      <c r="T861" s="60" t="n">
        <f aca="false">L861+M861</f>
        <v>0.52</v>
      </c>
      <c r="U861" s="60" t="n">
        <f aca="false">S861+J861</f>
        <v>8.76</v>
      </c>
      <c r="V861" s="63" t="n">
        <f aca="false">IFERROR(S861/F861,0)</f>
        <v>0.661132075471698</v>
      </c>
      <c r="W861" s="63" t="n">
        <f aca="false">IFERROR(R861/F861,0)</f>
        <v>0.338867924528302</v>
      </c>
      <c r="X861" s="63" t="n">
        <f aca="false">IFERROR(T861/F861,0)</f>
        <v>0.0392452830188679</v>
      </c>
      <c r="Y861" s="63" t="n">
        <f aca="false">IFERROR(G861/F861,0)</f>
        <v>0.294339622641509</v>
      </c>
      <c r="Z861" s="59" t="n">
        <f aca="false">IF(E861&gt;0,F861*1000000000/E861,"")</f>
        <v>786.551430846873</v>
      </c>
      <c r="AA861" s="63" t="n">
        <f aca="false">IFERROR((R861+S861+J861)/F861,0)</f>
        <v>1</v>
      </c>
      <c r="AB861" s="0" t="str">
        <f aca="false">A861&amp;"|"&amp;D861</f>
        <v>Guatemala|2018</v>
      </c>
    </row>
    <row r="862" customFormat="false" ht="15" hidden="false" customHeight="false" outlineLevel="0" collapsed="false">
      <c r="A862" s="0" t="s">
        <v>263</v>
      </c>
      <c r="B862" s="0" t="s">
        <v>501</v>
      </c>
      <c r="C862" s="0" t="s">
        <v>127</v>
      </c>
      <c r="D862" s="0" t="n">
        <v>2019</v>
      </c>
      <c r="E862" s="59" t="n">
        <v>17103803</v>
      </c>
      <c r="F862" s="60" t="n">
        <v>12.7</v>
      </c>
      <c r="G862" s="61" t="n">
        <v>4.06</v>
      </c>
      <c r="H862" s="61" t="n">
        <v>0</v>
      </c>
      <c r="I862" s="61" t="n">
        <v>0.53</v>
      </c>
      <c r="J862" s="61" t="n">
        <v>0</v>
      </c>
      <c r="K862" s="61" t="n">
        <v>4.47</v>
      </c>
      <c r="L862" s="61" t="n">
        <v>0.23</v>
      </c>
      <c r="M862" s="61" t="n">
        <v>0.33</v>
      </c>
      <c r="N862" s="61" t="n">
        <v>2.77</v>
      </c>
      <c r="O862" s="61" t="n">
        <v>0.31</v>
      </c>
      <c r="P862" s="62" t="n">
        <v>363.8</v>
      </c>
      <c r="Q862" s="0" t="n">
        <v>0</v>
      </c>
      <c r="R862" s="60" t="n">
        <f aca="false">G862+H862+I862</f>
        <v>4.59</v>
      </c>
      <c r="S862" s="60" t="n">
        <f aca="false">K862+L862+M862+N862+O862</f>
        <v>8.11</v>
      </c>
      <c r="T862" s="60" t="n">
        <f aca="false">L862+M862</f>
        <v>0.56</v>
      </c>
      <c r="U862" s="60" t="n">
        <f aca="false">S862+J862</f>
        <v>8.11</v>
      </c>
      <c r="V862" s="63" t="n">
        <f aca="false">IFERROR(S862/F862,0)</f>
        <v>0.638582677165354</v>
      </c>
      <c r="W862" s="63" t="n">
        <f aca="false">IFERROR(R862/F862,0)</f>
        <v>0.361417322834646</v>
      </c>
      <c r="X862" s="63" t="n">
        <f aca="false">IFERROR(T862/F862,0)</f>
        <v>0.0440944881889764</v>
      </c>
      <c r="Y862" s="63" t="n">
        <f aca="false">IFERROR(G862/F862,0)</f>
        <v>0.319685039370079</v>
      </c>
      <c r="Z862" s="59" t="n">
        <f aca="false">IF(E862&gt;0,F862*1000000000/E862,"")</f>
        <v>742.52492267363</v>
      </c>
      <c r="AA862" s="63" t="n">
        <f aca="false">IFERROR((R862+S862+J862)/F862,0)</f>
        <v>1</v>
      </c>
      <c r="AB862" s="0" t="str">
        <f aca="false">A862&amp;"|"&amp;D862</f>
        <v>Guatemala|2019</v>
      </c>
    </row>
    <row r="863" customFormat="false" ht="15" hidden="false" customHeight="false" outlineLevel="0" collapsed="false">
      <c r="A863" s="0" t="s">
        <v>263</v>
      </c>
      <c r="B863" s="0" t="s">
        <v>501</v>
      </c>
      <c r="C863" s="0" t="s">
        <v>127</v>
      </c>
      <c r="D863" s="0" t="n">
        <v>2020</v>
      </c>
      <c r="E863" s="59" t="n">
        <v>17357331</v>
      </c>
      <c r="F863" s="60" t="n">
        <v>12.42</v>
      </c>
      <c r="G863" s="61" t="n">
        <v>2.62</v>
      </c>
      <c r="H863" s="61" t="n">
        <v>0.01</v>
      </c>
      <c r="I863" s="61" t="n">
        <v>0.38</v>
      </c>
      <c r="J863" s="61" t="n">
        <v>0</v>
      </c>
      <c r="K863" s="61" t="n">
        <v>5.78</v>
      </c>
      <c r="L863" s="61" t="n">
        <v>0.22</v>
      </c>
      <c r="M863" s="61" t="n">
        <v>0.31</v>
      </c>
      <c r="N863" s="61" t="n">
        <v>2.77</v>
      </c>
      <c r="O863" s="61" t="n">
        <v>0.33</v>
      </c>
      <c r="P863" s="62" t="n">
        <v>265.7</v>
      </c>
      <c r="Q863" s="0" t="n">
        <v>0</v>
      </c>
      <c r="R863" s="60" t="n">
        <f aca="false">G863+H863+I863</f>
        <v>3.01</v>
      </c>
      <c r="S863" s="60" t="n">
        <f aca="false">K863+L863+M863+N863+O863</f>
        <v>9.41</v>
      </c>
      <c r="T863" s="60" t="n">
        <f aca="false">L863+M863</f>
        <v>0.53</v>
      </c>
      <c r="U863" s="60" t="n">
        <f aca="false">S863+J863</f>
        <v>9.41</v>
      </c>
      <c r="V863" s="63" t="n">
        <f aca="false">IFERROR(S863/F863,0)</f>
        <v>0.757648953301127</v>
      </c>
      <c r="W863" s="63" t="n">
        <f aca="false">IFERROR(R863/F863,0)</f>
        <v>0.242351046698873</v>
      </c>
      <c r="X863" s="63" t="n">
        <f aca="false">IFERROR(T863/F863,0)</f>
        <v>0.0426731078904992</v>
      </c>
      <c r="Y863" s="63" t="n">
        <f aca="false">IFERROR(G863/F863,0)</f>
        <v>0.210950080515298</v>
      </c>
      <c r="Z863" s="59" t="n">
        <f aca="false">IF(E863&gt;0,F863*1000000000/E863,"")</f>
        <v>715.547799370767</v>
      </c>
      <c r="AA863" s="63" t="n">
        <f aca="false">IFERROR((R863+S863+J863)/F863,0)</f>
        <v>1</v>
      </c>
      <c r="AB863" s="0" t="str">
        <f aca="false">A863&amp;"|"&amp;D863</f>
        <v>Guatemala|2020</v>
      </c>
    </row>
    <row r="864" customFormat="false" ht="15" hidden="false" customHeight="false" outlineLevel="0" collapsed="false">
      <c r="A864" s="0" t="s">
        <v>263</v>
      </c>
      <c r="B864" s="0" t="s">
        <v>501</v>
      </c>
      <c r="C864" s="0" t="s">
        <v>127</v>
      </c>
      <c r="D864" s="0" t="n">
        <v>2021</v>
      </c>
      <c r="E864" s="59" t="n">
        <v>17598652</v>
      </c>
      <c r="F864" s="60" t="n">
        <v>15.47</v>
      </c>
      <c r="G864" s="61" t="n">
        <v>3.34</v>
      </c>
      <c r="H864" s="61" t="n">
        <v>0.01</v>
      </c>
      <c r="I864" s="61" t="n">
        <v>0.75</v>
      </c>
      <c r="J864" s="61" t="n">
        <v>0</v>
      </c>
      <c r="K864" s="61" t="n">
        <v>6.66</v>
      </c>
      <c r="L864" s="61" t="n">
        <v>0.23</v>
      </c>
      <c r="M864" s="61" t="n">
        <v>0.32</v>
      </c>
      <c r="N864" s="61" t="n">
        <v>3.85</v>
      </c>
      <c r="O864" s="61" t="n">
        <v>0.31</v>
      </c>
      <c r="P864" s="62" t="n">
        <v>285.7</v>
      </c>
      <c r="Q864" s="0" t="n">
        <v>0</v>
      </c>
      <c r="R864" s="60" t="n">
        <f aca="false">G864+H864+I864</f>
        <v>4.1</v>
      </c>
      <c r="S864" s="60" t="n">
        <f aca="false">K864+L864+M864+N864+O864</f>
        <v>11.37</v>
      </c>
      <c r="T864" s="60" t="n">
        <f aca="false">L864+M864</f>
        <v>0.55</v>
      </c>
      <c r="U864" s="60" t="n">
        <f aca="false">S864+J864</f>
        <v>11.37</v>
      </c>
      <c r="V864" s="63" t="n">
        <f aca="false">IFERROR(S864/F864,0)</f>
        <v>0.7349709114415</v>
      </c>
      <c r="W864" s="63" t="n">
        <f aca="false">IFERROR(R864/F864,0)</f>
        <v>0.2650290885585</v>
      </c>
      <c r="X864" s="63" t="n">
        <f aca="false">IFERROR(T864/F864,0)</f>
        <v>0.0355526826115061</v>
      </c>
      <c r="Y864" s="63" t="n">
        <f aca="false">IFERROR(G864/F864,0)</f>
        <v>0.21590174531351</v>
      </c>
      <c r="Z864" s="59" t="n">
        <f aca="false">IF(E864&gt;0,F864*1000000000/E864,"")</f>
        <v>879.044599552284</v>
      </c>
      <c r="AA864" s="63" t="n">
        <f aca="false">IFERROR((R864+S864+J864)/F864,0)</f>
        <v>1</v>
      </c>
      <c r="AB864" s="0" t="str">
        <f aca="false">A864&amp;"|"&amp;D864</f>
        <v>Guatemala|2021</v>
      </c>
    </row>
    <row r="865" customFormat="false" ht="15" hidden="false" customHeight="false" outlineLevel="0" collapsed="false">
      <c r="A865" s="0" t="s">
        <v>263</v>
      </c>
      <c r="B865" s="0" t="s">
        <v>501</v>
      </c>
      <c r="C865" s="0" t="s">
        <v>127</v>
      </c>
      <c r="D865" s="0" t="n">
        <v>2022</v>
      </c>
      <c r="E865" s="59" t="n">
        <v>17847877</v>
      </c>
      <c r="F865" s="60" t="n">
        <v>13.48</v>
      </c>
      <c r="G865" s="61" t="n">
        <v>1.27</v>
      </c>
      <c r="H865" s="61" t="n">
        <v>0.01</v>
      </c>
      <c r="I865" s="61" t="n">
        <v>0.79</v>
      </c>
      <c r="J865" s="61" t="n">
        <v>0</v>
      </c>
      <c r="K865" s="61" t="n">
        <v>7.04</v>
      </c>
      <c r="L865" s="61" t="n">
        <v>0.23</v>
      </c>
      <c r="M865" s="61" t="n">
        <v>0.31</v>
      </c>
      <c r="N865" s="61" t="n">
        <v>3.49</v>
      </c>
      <c r="O865" s="61" t="n">
        <v>0.34</v>
      </c>
      <c r="P865" s="62" t="n">
        <v>191.4</v>
      </c>
      <c r="Q865" s="0" t="n">
        <v>0</v>
      </c>
      <c r="R865" s="60" t="n">
        <f aca="false">G865+H865+I865</f>
        <v>2.07</v>
      </c>
      <c r="S865" s="60" t="n">
        <f aca="false">K865+L865+M865+N865+O865</f>
        <v>11.41</v>
      </c>
      <c r="T865" s="60" t="n">
        <f aca="false">L865+M865</f>
        <v>0.54</v>
      </c>
      <c r="U865" s="60" t="n">
        <f aca="false">S865+J865</f>
        <v>11.41</v>
      </c>
      <c r="V865" s="63" t="n">
        <f aca="false">IFERROR(S865/F865,0)</f>
        <v>0.846439169139466</v>
      </c>
      <c r="W865" s="63" t="n">
        <f aca="false">IFERROR(R865/F865,0)</f>
        <v>0.153560830860534</v>
      </c>
      <c r="X865" s="63" t="n">
        <f aca="false">IFERROR(T865/F865,0)</f>
        <v>0.0400593471810089</v>
      </c>
      <c r="Y865" s="63" t="n">
        <f aca="false">IFERROR(G865/F865,0)</f>
        <v>0.094213649851632</v>
      </c>
      <c r="Z865" s="59" t="n">
        <f aca="false">IF(E865&gt;0,F865*1000000000/E865,"")</f>
        <v>755.271901526439</v>
      </c>
      <c r="AA865" s="63" t="n">
        <f aca="false">IFERROR((R865+S865+J865)/F865,0)</f>
        <v>1</v>
      </c>
      <c r="AB865" s="0" t="str">
        <f aca="false">A865&amp;"|"&amp;D865</f>
        <v>Guatemala|2022</v>
      </c>
    </row>
    <row r="866" customFormat="false" ht="15" hidden="false" customHeight="false" outlineLevel="0" collapsed="false">
      <c r="A866" s="0" t="s">
        <v>263</v>
      </c>
      <c r="B866" s="0" t="s">
        <v>501</v>
      </c>
      <c r="C866" s="0" t="s">
        <v>127</v>
      </c>
      <c r="D866" s="0" t="n">
        <v>2023</v>
      </c>
      <c r="E866" s="59" t="n">
        <v>18124841</v>
      </c>
      <c r="F866" s="60" t="n">
        <v>14.91</v>
      </c>
      <c r="G866" s="61" t="n">
        <v>2.38</v>
      </c>
      <c r="H866" s="61" t="n">
        <v>0</v>
      </c>
      <c r="I866" s="61" t="n">
        <v>2.5</v>
      </c>
      <c r="J866" s="61" t="n">
        <v>0</v>
      </c>
      <c r="K866" s="61" t="n">
        <v>5.65</v>
      </c>
      <c r="L866" s="61" t="n">
        <v>0.24</v>
      </c>
      <c r="M866" s="61" t="n">
        <v>0.34</v>
      </c>
      <c r="N866" s="61" t="n">
        <v>3.46</v>
      </c>
      <c r="O866" s="61" t="n">
        <v>0.34</v>
      </c>
      <c r="P866" s="62" t="n">
        <v>309.9</v>
      </c>
      <c r="Q866" s="0" t="n">
        <v>0</v>
      </c>
      <c r="R866" s="60" t="n">
        <f aca="false">G866+H866+I866</f>
        <v>4.88</v>
      </c>
      <c r="S866" s="60" t="n">
        <f aca="false">K866+L866+M866+N866+O866</f>
        <v>10.03</v>
      </c>
      <c r="T866" s="60" t="n">
        <f aca="false">L866+M866</f>
        <v>0.58</v>
      </c>
      <c r="U866" s="60" t="n">
        <f aca="false">S866+J866</f>
        <v>10.03</v>
      </c>
      <c r="V866" s="63" t="n">
        <f aca="false">IFERROR(S866/F866,0)</f>
        <v>0.67270288397049</v>
      </c>
      <c r="W866" s="63" t="n">
        <f aca="false">IFERROR(R866/F866,0)</f>
        <v>0.32729711602951</v>
      </c>
      <c r="X866" s="63" t="n">
        <f aca="false">IFERROR(T866/F866,0)</f>
        <v>0.0389000670690812</v>
      </c>
      <c r="Y866" s="63" t="n">
        <f aca="false">IFERROR(G866/F866,0)</f>
        <v>0.15962441314554</v>
      </c>
      <c r="Z866" s="59" t="n">
        <f aca="false">IF(E866&gt;0,F866*1000000000/E866,"")</f>
        <v>822.627906087562</v>
      </c>
      <c r="AA866" s="63" t="n">
        <f aca="false">IFERROR((R866+S866+J866)/F866,0)</f>
        <v>1</v>
      </c>
      <c r="AB866" s="0" t="str">
        <f aca="false">A866&amp;"|"&amp;D866</f>
        <v>Guatemala|2023</v>
      </c>
    </row>
    <row r="867" customFormat="false" ht="15" hidden="false" customHeight="false" outlineLevel="0" collapsed="false">
      <c r="A867" s="0" t="s">
        <v>263</v>
      </c>
      <c r="B867" s="0" t="s">
        <v>501</v>
      </c>
      <c r="C867" s="0" t="s">
        <v>127</v>
      </c>
      <c r="D867" s="0" t="n">
        <v>2024</v>
      </c>
      <c r="E867" s="59" t="n">
        <v>18406366</v>
      </c>
      <c r="F867" s="60" t="n">
        <v>15.79</v>
      </c>
      <c r="G867" s="61" t="n">
        <v>2.5</v>
      </c>
      <c r="H867" s="61" t="n">
        <v>0</v>
      </c>
      <c r="I867" s="61" t="n">
        <v>2.5</v>
      </c>
      <c r="J867" s="61" t="n">
        <v>0</v>
      </c>
      <c r="K867" s="61" t="n">
        <v>6.3</v>
      </c>
      <c r="L867" s="61" t="n">
        <v>0.28</v>
      </c>
      <c r="M867" s="61" t="n">
        <v>0.37</v>
      </c>
      <c r="N867" s="61" t="n">
        <v>3.5</v>
      </c>
      <c r="O867" s="61" t="n">
        <v>0.34</v>
      </c>
      <c r="P867" s="62" t="n">
        <v>301.5</v>
      </c>
      <c r="Q867" s="0" t="n">
        <v>0</v>
      </c>
      <c r="R867" s="60" t="n">
        <f aca="false">G867+H867+I867</f>
        <v>5</v>
      </c>
      <c r="S867" s="60" t="n">
        <f aca="false">K867+L867+M867+N867+O867</f>
        <v>10.79</v>
      </c>
      <c r="T867" s="60" t="n">
        <f aca="false">L867+M867</f>
        <v>0.65</v>
      </c>
      <c r="U867" s="60" t="n">
        <f aca="false">S867+J867</f>
        <v>10.79</v>
      </c>
      <c r="V867" s="63" t="n">
        <f aca="false">IFERROR(S867/F867,0)</f>
        <v>0.683343888537049</v>
      </c>
      <c r="W867" s="63" t="n">
        <f aca="false">IFERROR(R867/F867,0)</f>
        <v>0.316656111462951</v>
      </c>
      <c r="X867" s="63" t="n">
        <f aca="false">IFERROR(T867/F867,0)</f>
        <v>0.0411652944901837</v>
      </c>
      <c r="Y867" s="63" t="n">
        <f aca="false">IFERROR(G867/F867,0)</f>
        <v>0.158328055731476</v>
      </c>
      <c r="Z867" s="59" t="n">
        <f aca="false">IF(E867&gt;0,F867*1000000000/E867,"")</f>
        <v>857.855374602461</v>
      </c>
      <c r="AA867" s="63" t="n">
        <f aca="false">IFERROR((R867+S867+J867)/F867,0)</f>
        <v>1</v>
      </c>
      <c r="AB867" s="0" t="str">
        <f aca="false">A867&amp;"|"&amp;D867</f>
        <v>Guatemala|2024</v>
      </c>
    </row>
    <row r="868" customFormat="false" ht="15" hidden="false" customHeight="false" outlineLevel="0" collapsed="false">
      <c r="A868" s="0" t="s">
        <v>264</v>
      </c>
      <c r="B868" s="0" t="s">
        <v>502</v>
      </c>
      <c r="C868" s="0" t="s">
        <v>127</v>
      </c>
      <c r="D868" s="0" t="n">
        <v>2015</v>
      </c>
      <c r="E868" s="59" t="n">
        <v>11767077</v>
      </c>
      <c r="F868" s="60" t="n">
        <v>1.14</v>
      </c>
      <c r="G868" s="61" t="n">
        <v>0</v>
      </c>
      <c r="H868" s="61" t="n">
        <v>0</v>
      </c>
      <c r="I868" s="61" t="n">
        <v>0.24</v>
      </c>
      <c r="J868" s="61" t="n">
        <v>0</v>
      </c>
      <c r="K868" s="61" t="n">
        <v>0.88</v>
      </c>
      <c r="L868" s="61" t="n">
        <v>0.02</v>
      </c>
      <c r="M868" s="61" t="n">
        <v>0</v>
      </c>
      <c r="N868" s="61" t="n">
        <v>0</v>
      </c>
      <c r="O868" s="61" t="n">
        <v>0</v>
      </c>
      <c r="P868" s="62" t="n">
        <v>157.9</v>
      </c>
      <c r="Q868" s="0" t="n">
        <v>0</v>
      </c>
      <c r="R868" s="60" t="n">
        <f aca="false">G868+H868+I868</f>
        <v>0.24</v>
      </c>
      <c r="S868" s="60" t="n">
        <f aca="false">K868+L868+M868+N868+O868</f>
        <v>0.9</v>
      </c>
      <c r="T868" s="60" t="n">
        <f aca="false">L868+M868</f>
        <v>0.02</v>
      </c>
      <c r="U868" s="60" t="n">
        <f aca="false">S868+J868</f>
        <v>0.9</v>
      </c>
      <c r="V868" s="63" t="n">
        <f aca="false">IFERROR(S868/F868,0)</f>
        <v>0.789473684210526</v>
      </c>
      <c r="W868" s="63" t="n">
        <f aca="false">IFERROR(R868/F868,0)</f>
        <v>0.210526315789474</v>
      </c>
      <c r="X868" s="63" t="n">
        <f aca="false">IFERROR(T868/F868,0)</f>
        <v>0.0175438596491228</v>
      </c>
      <c r="Y868" s="63" t="n">
        <f aca="false">IFERROR(G868/F868,0)</f>
        <v>0</v>
      </c>
      <c r="Z868" s="59" t="n">
        <f aca="false">IF(E868&gt;0,F868*1000000000/E868,"")</f>
        <v>96.8804742248224</v>
      </c>
      <c r="AA868" s="63" t="n">
        <f aca="false">IFERROR((R868+S868+J868)/F868,0)</f>
        <v>1</v>
      </c>
      <c r="AB868" s="0" t="str">
        <f aca="false">A868&amp;"|"&amp;D868</f>
        <v>Guinea|2015</v>
      </c>
    </row>
    <row r="869" customFormat="false" ht="15" hidden="false" customHeight="false" outlineLevel="0" collapsed="false">
      <c r="A869" s="0" t="s">
        <v>264</v>
      </c>
      <c r="B869" s="0" t="s">
        <v>502</v>
      </c>
      <c r="C869" s="0" t="s">
        <v>127</v>
      </c>
      <c r="D869" s="0" t="n">
        <v>2016</v>
      </c>
      <c r="E869" s="59" t="n">
        <v>12073031</v>
      </c>
      <c r="F869" s="60" t="n">
        <v>1.61</v>
      </c>
      <c r="G869" s="61" t="n">
        <v>0</v>
      </c>
      <c r="H869" s="61" t="n">
        <v>0</v>
      </c>
      <c r="I869" s="61" t="n">
        <v>0.51</v>
      </c>
      <c r="J869" s="61" t="n">
        <v>0</v>
      </c>
      <c r="K869" s="61" t="n">
        <v>1.08</v>
      </c>
      <c r="L869" s="61" t="n">
        <v>0.02</v>
      </c>
      <c r="M869" s="61" t="n">
        <v>0</v>
      </c>
      <c r="N869" s="61" t="n">
        <v>0</v>
      </c>
      <c r="O869" s="61" t="n">
        <v>0</v>
      </c>
      <c r="P869" s="62" t="n">
        <v>229.8</v>
      </c>
      <c r="Q869" s="0" t="n">
        <v>0</v>
      </c>
      <c r="R869" s="60" t="n">
        <f aca="false">G869+H869+I869</f>
        <v>0.51</v>
      </c>
      <c r="S869" s="60" t="n">
        <f aca="false">K869+L869+M869+N869+O869</f>
        <v>1.1</v>
      </c>
      <c r="T869" s="60" t="n">
        <f aca="false">L869+M869</f>
        <v>0.02</v>
      </c>
      <c r="U869" s="60" t="n">
        <f aca="false">S869+J869</f>
        <v>1.1</v>
      </c>
      <c r="V869" s="63" t="n">
        <f aca="false">IFERROR(S869/F869,0)</f>
        <v>0.683229813664596</v>
      </c>
      <c r="W869" s="63" t="n">
        <f aca="false">IFERROR(R869/F869,0)</f>
        <v>0.316770186335404</v>
      </c>
      <c r="X869" s="63" t="n">
        <f aca="false">IFERROR(T869/F869,0)</f>
        <v>0.0124223602484472</v>
      </c>
      <c r="Y869" s="63" t="n">
        <f aca="false">IFERROR(G869/F869,0)</f>
        <v>0</v>
      </c>
      <c r="Z869" s="59" t="n">
        <f aca="false">IF(E869&gt;0,F869*1000000000/E869,"")</f>
        <v>133.355078770195</v>
      </c>
      <c r="AA869" s="63" t="n">
        <f aca="false">IFERROR((R869+S869+J869)/F869,0)</f>
        <v>1</v>
      </c>
      <c r="AB869" s="0" t="str">
        <f aca="false">A869&amp;"|"&amp;D869</f>
        <v>Guinea|2016</v>
      </c>
    </row>
    <row r="870" customFormat="false" ht="15" hidden="false" customHeight="false" outlineLevel="0" collapsed="false">
      <c r="A870" s="0" t="s">
        <v>264</v>
      </c>
      <c r="B870" s="0" t="s">
        <v>502</v>
      </c>
      <c r="C870" s="0" t="s">
        <v>127</v>
      </c>
      <c r="D870" s="0" t="n">
        <v>2017</v>
      </c>
      <c r="E870" s="59" t="n">
        <v>12385668</v>
      </c>
      <c r="F870" s="60" t="n">
        <v>1.77</v>
      </c>
      <c r="G870" s="61" t="n">
        <v>0</v>
      </c>
      <c r="H870" s="61" t="n">
        <v>0</v>
      </c>
      <c r="I870" s="61" t="n">
        <v>0.54</v>
      </c>
      <c r="J870" s="61" t="n">
        <v>0</v>
      </c>
      <c r="K870" s="61" t="n">
        <v>1.21</v>
      </c>
      <c r="L870" s="61" t="n">
        <v>0.02</v>
      </c>
      <c r="M870" s="61" t="n">
        <v>0</v>
      </c>
      <c r="N870" s="61" t="n">
        <v>0</v>
      </c>
      <c r="O870" s="61" t="n">
        <v>0</v>
      </c>
      <c r="P870" s="62" t="n">
        <v>220.3</v>
      </c>
      <c r="Q870" s="0" t="n">
        <v>0</v>
      </c>
      <c r="R870" s="60" t="n">
        <f aca="false">G870+H870+I870</f>
        <v>0.54</v>
      </c>
      <c r="S870" s="60" t="n">
        <f aca="false">K870+L870+M870+N870+O870</f>
        <v>1.23</v>
      </c>
      <c r="T870" s="60" t="n">
        <f aca="false">L870+M870</f>
        <v>0.02</v>
      </c>
      <c r="U870" s="60" t="n">
        <f aca="false">S870+J870</f>
        <v>1.23</v>
      </c>
      <c r="V870" s="63" t="n">
        <f aca="false">IFERROR(S870/F870,0)</f>
        <v>0.694915254237288</v>
      </c>
      <c r="W870" s="63" t="n">
        <f aca="false">IFERROR(R870/F870,0)</f>
        <v>0.305084745762712</v>
      </c>
      <c r="X870" s="63" t="n">
        <f aca="false">IFERROR(T870/F870,0)</f>
        <v>0.0112994350282486</v>
      </c>
      <c r="Y870" s="63" t="n">
        <f aca="false">IFERROR(G870/F870,0)</f>
        <v>0</v>
      </c>
      <c r="Z870" s="59" t="n">
        <f aca="false">IF(E870&gt;0,F870*1000000000/E870,"")</f>
        <v>142.907108441789</v>
      </c>
      <c r="AA870" s="63" t="n">
        <f aca="false">IFERROR((R870+S870+J870)/F870,0)</f>
        <v>1</v>
      </c>
      <c r="AB870" s="0" t="str">
        <f aca="false">A870&amp;"|"&amp;D870</f>
        <v>Guinea|2017</v>
      </c>
    </row>
    <row r="871" customFormat="false" ht="15" hidden="false" customHeight="false" outlineLevel="0" collapsed="false">
      <c r="A871" s="0" t="s">
        <v>264</v>
      </c>
      <c r="B871" s="0" t="s">
        <v>502</v>
      </c>
      <c r="C871" s="0" t="s">
        <v>127</v>
      </c>
      <c r="D871" s="0" t="n">
        <v>2018</v>
      </c>
      <c r="E871" s="59" t="n">
        <v>12704776</v>
      </c>
      <c r="F871" s="60" t="n">
        <v>1.94</v>
      </c>
      <c r="G871" s="61" t="n">
        <v>0</v>
      </c>
      <c r="H871" s="61" t="n">
        <v>0</v>
      </c>
      <c r="I871" s="61" t="n">
        <v>0.73</v>
      </c>
      <c r="J871" s="61" t="n">
        <v>0</v>
      </c>
      <c r="K871" s="61" t="n">
        <v>1.19</v>
      </c>
      <c r="L871" s="61" t="n">
        <v>0.02</v>
      </c>
      <c r="M871" s="61" t="n">
        <v>0</v>
      </c>
      <c r="N871" s="61" t="n">
        <v>0</v>
      </c>
      <c r="O871" s="61" t="n">
        <v>0</v>
      </c>
      <c r="P871" s="62" t="n">
        <v>262.9</v>
      </c>
      <c r="Q871" s="0" t="n">
        <v>0</v>
      </c>
      <c r="R871" s="60" t="n">
        <f aca="false">G871+H871+I871</f>
        <v>0.73</v>
      </c>
      <c r="S871" s="60" t="n">
        <f aca="false">K871+L871+M871+N871+O871</f>
        <v>1.21</v>
      </c>
      <c r="T871" s="60" t="n">
        <f aca="false">L871+M871</f>
        <v>0.02</v>
      </c>
      <c r="U871" s="60" t="n">
        <f aca="false">S871+J871</f>
        <v>1.21</v>
      </c>
      <c r="V871" s="63" t="n">
        <f aca="false">IFERROR(S871/F871,0)</f>
        <v>0.623711340206186</v>
      </c>
      <c r="W871" s="63" t="n">
        <f aca="false">IFERROR(R871/F871,0)</f>
        <v>0.376288659793814</v>
      </c>
      <c r="X871" s="63" t="n">
        <f aca="false">IFERROR(T871/F871,0)</f>
        <v>0.0103092783505155</v>
      </c>
      <c r="Y871" s="63" t="n">
        <f aca="false">IFERROR(G871/F871,0)</f>
        <v>0</v>
      </c>
      <c r="Z871" s="59" t="n">
        <f aca="false">IF(E871&gt;0,F871*1000000000/E871,"")</f>
        <v>152.698481264054</v>
      </c>
      <c r="AA871" s="63" t="n">
        <f aca="false">IFERROR((R871+S871+J871)/F871,0)</f>
        <v>1</v>
      </c>
      <c r="AB871" s="0" t="str">
        <f aca="false">A871&amp;"|"&amp;D871</f>
        <v>Guinea|2018</v>
      </c>
    </row>
    <row r="872" customFormat="false" ht="15" hidden="false" customHeight="false" outlineLevel="0" collapsed="false">
      <c r="A872" s="0" t="s">
        <v>264</v>
      </c>
      <c r="B872" s="0" t="s">
        <v>502</v>
      </c>
      <c r="C872" s="0" t="s">
        <v>127</v>
      </c>
      <c r="D872" s="0" t="n">
        <v>2019</v>
      </c>
      <c r="E872" s="59" t="n">
        <v>13034349</v>
      </c>
      <c r="F872" s="60" t="n">
        <v>2.05</v>
      </c>
      <c r="G872" s="61" t="n">
        <v>0</v>
      </c>
      <c r="H872" s="61" t="n">
        <v>0</v>
      </c>
      <c r="I872" s="61" t="n">
        <v>0.74</v>
      </c>
      <c r="J872" s="61" t="n">
        <v>0</v>
      </c>
      <c r="K872" s="61" t="n">
        <v>1.29</v>
      </c>
      <c r="L872" s="61" t="n">
        <v>0.02</v>
      </c>
      <c r="M872" s="61" t="n">
        <v>0</v>
      </c>
      <c r="N872" s="61" t="n">
        <v>0</v>
      </c>
      <c r="O872" s="61" t="n">
        <v>0</v>
      </c>
      <c r="P872" s="62" t="n">
        <v>253.7</v>
      </c>
      <c r="Q872" s="0" t="n">
        <v>0</v>
      </c>
      <c r="R872" s="60" t="n">
        <f aca="false">G872+H872+I872</f>
        <v>0.74</v>
      </c>
      <c r="S872" s="60" t="n">
        <f aca="false">K872+L872+M872+N872+O872</f>
        <v>1.31</v>
      </c>
      <c r="T872" s="60" t="n">
        <f aca="false">L872+M872</f>
        <v>0.02</v>
      </c>
      <c r="U872" s="60" t="n">
        <f aca="false">S872+J872</f>
        <v>1.31</v>
      </c>
      <c r="V872" s="63" t="n">
        <f aca="false">IFERROR(S872/F872,0)</f>
        <v>0.639024390243903</v>
      </c>
      <c r="W872" s="63" t="n">
        <f aca="false">IFERROR(R872/F872,0)</f>
        <v>0.360975609756098</v>
      </c>
      <c r="X872" s="63" t="n">
        <f aca="false">IFERROR(T872/F872,0)</f>
        <v>0.00975609756097561</v>
      </c>
      <c r="Y872" s="63" t="n">
        <f aca="false">IFERROR(G872/F872,0)</f>
        <v>0</v>
      </c>
      <c r="Z872" s="59" t="n">
        <f aca="false">IF(E872&gt;0,F872*1000000000/E872,"")</f>
        <v>157.276746234123</v>
      </c>
      <c r="AA872" s="63" t="n">
        <f aca="false">IFERROR((R872+S872+J872)/F872,0)</f>
        <v>1</v>
      </c>
      <c r="AB872" s="0" t="str">
        <f aca="false">A872&amp;"|"&amp;D872</f>
        <v>Guinea|2019</v>
      </c>
    </row>
    <row r="873" customFormat="false" ht="15" hidden="false" customHeight="false" outlineLevel="0" collapsed="false">
      <c r="A873" s="0" t="s">
        <v>264</v>
      </c>
      <c r="B873" s="0" t="s">
        <v>502</v>
      </c>
      <c r="C873" s="0" t="s">
        <v>127</v>
      </c>
      <c r="D873" s="0" t="n">
        <v>2020</v>
      </c>
      <c r="E873" s="59" t="n">
        <v>13371185</v>
      </c>
      <c r="F873" s="60" t="n">
        <v>2.48</v>
      </c>
      <c r="G873" s="61" t="n">
        <v>0</v>
      </c>
      <c r="H873" s="61" t="n">
        <v>0</v>
      </c>
      <c r="I873" s="61" t="n">
        <v>0.97</v>
      </c>
      <c r="J873" s="61" t="n">
        <v>0</v>
      </c>
      <c r="K873" s="61" t="n">
        <v>1.49</v>
      </c>
      <c r="L873" s="61" t="n">
        <v>0.02</v>
      </c>
      <c r="M873" s="61" t="n">
        <v>0</v>
      </c>
      <c r="N873" s="61" t="n">
        <v>0</v>
      </c>
      <c r="O873" s="61" t="n">
        <v>0</v>
      </c>
      <c r="P873" s="62" t="n">
        <v>274.2</v>
      </c>
      <c r="Q873" s="0" t="n">
        <v>0</v>
      </c>
      <c r="R873" s="60" t="n">
        <f aca="false">G873+H873+I873</f>
        <v>0.97</v>
      </c>
      <c r="S873" s="60" t="n">
        <f aca="false">K873+L873+M873+N873+O873</f>
        <v>1.51</v>
      </c>
      <c r="T873" s="60" t="n">
        <f aca="false">L873+M873</f>
        <v>0.02</v>
      </c>
      <c r="U873" s="60" t="n">
        <f aca="false">S873+J873</f>
        <v>1.51</v>
      </c>
      <c r="V873" s="63" t="n">
        <f aca="false">IFERROR(S873/F873,0)</f>
        <v>0.608870967741936</v>
      </c>
      <c r="W873" s="63" t="n">
        <f aca="false">IFERROR(R873/F873,0)</f>
        <v>0.391129032258065</v>
      </c>
      <c r="X873" s="63" t="n">
        <f aca="false">IFERROR(T873/F873,0)</f>
        <v>0.00806451612903226</v>
      </c>
      <c r="Y873" s="63" t="n">
        <f aca="false">IFERROR(G873/F873,0)</f>
        <v>0</v>
      </c>
      <c r="Z873" s="59" t="n">
        <f aca="false">IF(E873&gt;0,F873*1000000000/E873,"")</f>
        <v>185.473464019831</v>
      </c>
      <c r="AA873" s="63" t="n">
        <f aca="false">IFERROR((R873+S873+J873)/F873,0)</f>
        <v>1</v>
      </c>
      <c r="AB873" s="0" t="str">
        <f aca="false">A873&amp;"|"&amp;D873</f>
        <v>Guinea|2020</v>
      </c>
    </row>
    <row r="874" customFormat="false" ht="15" hidden="false" customHeight="false" outlineLevel="0" collapsed="false">
      <c r="A874" s="0" t="s">
        <v>264</v>
      </c>
      <c r="B874" s="0" t="s">
        <v>502</v>
      </c>
      <c r="C874" s="0" t="s">
        <v>127</v>
      </c>
      <c r="D874" s="0" t="n">
        <v>2021</v>
      </c>
      <c r="E874" s="59" t="n">
        <v>13710515</v>
      </c>
      <c r="F874" s="60" t="n">
        <v>3.64</v>
      </c>
      <c r="G874" s="61" t="n">
        <v>0</v>
      </c>
      <c r="H874" s="61" t="n">
        <v>0</v>
      </c>
      <c r="I874" s="61" t="n">
        <v>0.98</v>
      </c>
      <c r="J874" s="61" t="n">
        <v>0</v>
      </c>
      <c r="K874" s="61" t="n">
        <v>2.64</v>
      </c>
      <c r="L874" s="61" t="n">
        <v>0.02</v>
      </c>
      <c r="M874" s="61" t="n">
        <v>0</v>
      </c>
      <c r="N874" s="61" t="n">
        <v>0</v>
      </c>
      <c r="O874" s="61" t="n">
        <v>0</v>
      </c>
      <c r="P874" s="62" t="n">
        <v>192.3</v>
      </c>
      <c r="Q874" s="0" t="n">
        <v>0</v>
      </c>
      <c r="R874" s="60" t="n">
        <f aca="false">G874+H874+I874</f>
        <v>0.98</v>
      </c>
      <c r="S874" s="60" t="n">
        <f aca="false">K874+L874+M874+N874+O874</f>
        <v>2.66</v>
      </c>
      <c r="T874" s="60" t="n">
        <f aca="false">L874+M874</f>
        <v>0.02</v>
      </c>
      <c r="U874" s="60" t="n">
        <f aca="false">S874+J874</f>
        <v>2.66</v>
      </c>
      <c r="V874" s="63" t="n">
        <f aca="false">IFERROR(S874/F874,0)</f>
        <v>0.730769230769231</v>
      </c>
      <c r="W874" s="63" t="n">
        <f aca="false">IFERROR(R874/F874,0)</f>
        <v>0.269230769230769</v>
      </c>
      <c r="X874" s="63" t="n">
        <f aca="false">IFERROR(T874/F874,0)</f>
        <v>0.00549450549450549</v>
      </c>
      <c r="Y874" s="63" t="n">
        <f aca="false">IFERROR(G874/F874,0)</f>
        <v>0</v>
      </c>
      <c r="Z874" s="59" t="n">
        <f aca="false">IF(E874&gt;0,F874*1000000000/E874,"")</f>
        <v>265.489662496267</v>
      </c>
      <c r="AA874" s="63" t="n">
        <f aca="false">IFERROR((R874+S874+J874)/F874,0)</f>
        <v>1</v>
      </c>
      <c r="AB874" s="0" t="str">
        <f aca="false">A874&amp;"|"&amp;D874</f>
        <v>Guinea|2021</v>
      </c>
    </row>
    <row r="875" customFormat="false" ht="15" hidden="false" customHeight="false" outlineLevel="0" collapsed="false">
      <c r="A875" s="0" t="s">
        <v>264</v>
      </c>
      <c r="B875" s="0" t="s">
        <v>502</v>
      </c>
      <c r="C875" s="0" t="s">
        <v>127</v>
      </c>
      <c r="D875" s="0" t="n">
        <v>2022</v>
      </c>
      <c r="E875" s="59" t="n">
        <v>14055136</v>
      </c>
      <c r="F875" s="60" t="n">
        <v>4</v>
      </c>
      <c r="G875" s="61" t="n">
        <v>0</v>
      </c>
      <c r="H875" s="61" t="n">
        <v>0</v>
      </c>
      <c r="I875" s="61" t="n">
        <v>1.02</v>
      </c>
      <c r="J875" s="61" t="n">
        <v>0</v>
      </c>
      <c r="K875" s="61" t="n">
        <v>2.95</v>
      </c>
      <c r="L875" s="61" t="n">
        <v>0.03</v>
      </c>
      <c r="M875" s="61" t="n">
        <v>0</v>
      </c>
      <c r="N875" s="61" t="n">
        <v>0</v>
      </c>
      <c r="O875" s="61" t="n">
        <v>0</v>
      </c>
      <c r="P875" s="62" t="n">
        <v>185</v>
      </c>
      <c r="Q875" s="0" t="n">
        <v>0</v>
      </c>
      <c r="R875" s="60" t="n">
        <f aca="false">G875+H875+I875</f>
        <v>1.02</v>
      </c>
      <c r="S875" s="60" t="n">
        <f aca="false">K875+L875+M875+N875+O875</f>
        <v>2.98</v>
      </c>
      <c r="T875" s="60" t="n">
        <f aca="false">L875+M875</f>
        <v>0.03</v>
      </c>
      <c r="U875" s="60" t="n">
        <f aca="false">S875+J875</f>
        <v>2.98</v>
      </c>
      <c r="V875" s="63" t="n">
        <f aca="false">IFERROR(S875/F875,0)</f>
        <v>0.745</v>
      </c>
      <c r="W875" s="63" t="n">
        <f aca="false">IFERROR(R875/F875,0)</f>
        <v>0.255</v>
      </c>
      <c r="X875" s="63" t="n">
        <f aca="false">IFERROR(T875/F875,0)</f>
        <v>0.0075</v>
      </c>
      <c r="Y875" s="63" t="n">
        <f aca="false">IFERROR(G875/F875,0)</f>
        <v>0</v>
      </c>
      <c r="Z875" s="59" t="n">
        <f aca="false">IF(E875&gt;0,F875*1000000000/E875,"")</f>
        <v>284.593475296148</v>
      </c>
      <c r="AA875" s="63" t="n">
        <f aca="false">IFERROR((R875+S875+J875)/F875,0)</f>
        <v>1</v>
      </c>
      <c r="AB875" s="0" t="str">
        <f aca="false">A875&amp;"|"&amp;D875</f>
        <v>Guinea|2022</v>
      </c>
    </row>
    <row r="876" customFormat="false" ht="15" hidden="false" customHeight="false" outlineLevel="0" collapsed="false">
      <c r="A876" s="0" t="s">
        <v>264</v>
      </c>
      <c r="B876" s="0" t="s">
        <v>502</v>
      </c>
      <c r="C876" s="0" t="s">
        <v>127</v>
      </c>
      <c r="D876" s="0" t="n">
        <v>2023</v>
      </c>
      <c r="E876" s="59" t="n">
        <v>14405469</v>
      </c>
      <c r="F876" s="60" t="n">
        <v>4</v>
      </c>
      <c r="G876" s="61" t="n">
        <v>0</v>
      </c>
      <c r="H876" s="61" t="n">
        <v>0</v>
      </c>
      <c r="I876" s="61" t="n">
        <v>1.02</v>
      </c>
      <c r="J876" s="61" t="n">
        <v>0</v>
      </c>
      <c r="K876" s="61" t="n">
        <v>2.95</v>
      </c>
      <c r="L876" s="61" t="n">
        <v>0.03</v>
      </c>
      <c r="M876" s="61" t="n">
        <v>0</v>
      </c>
      <c r="N876" s="61" t="n">
        <v>0</v>
      </c>
      <c r="O876" s="61" t="n">
        <v>0</v>
      </c>
      <c r="P876" s="62" t="n">
        <v>185</v>
      </c>
      <c r="Q876" s="0" t="n">
        <v>0</v>
      </c>
      <c r="R876" s="60" t="n">
        <f aca="false">G876+H876+I876</f>
        <v>1.02</v>
      </c>
      <c r="S876" s="60" t="n">
        <f aca="false">K876+L876+M876+N876+O876</f>
        <v>2.98</v>
      </c>
      <c r="T876" s="60" t="n">
        <f aca="false">L876+M876</f>
        <v>0.03</v>
      </c>
      <c r="U876" s="60" t="n">
        <f aca="false">S876+J876</f>
        <v>2.98</v>
      </c>
      <c r="V876" s="63" t="n">
        <f aca="false">IFERROR(S876/F876,0)</f>
        <v>0.745</v>
      </c>
      <c r="W876" s="63" t="n">
        <f aca="false">IFERROR(R876/F876,0)</f>
        <v>0.255</v>
      </c>
      <c r="X876" s="63" t="n">
        <f aca="false">IFERROR(T876/F876,0)</f>
        <v>0.0075</v>
      </c>
      <c r="Y876" s="63" t="n">
        <f aca="false">IFERROR(G876/F876,0)</f>
        <v>0</v>
      </c>
      <c r="Z876" s="59" t="n">
        <f aca="false">IF(E876&gt;0,F876*1000000000/E876,"")</f>
        <v>277.672320144523</v>
      </c>
      <c r="AA876" s="63" t="n">
        <f aca="false">IFERROR((R876+S876+J876)/F876,0)</f>
        <v>1</v>
      </c>
      <c r="AB876" s="0" t="str">
        <f aca="false">A876&amp;"|"&amp;D876</f>
        <v>Guinea|2023</v>
      </c>
    </row>
    <row r="877" customFormat="false" ht="15" hidden="false" customHeight="false" outlineLevel="0" collapsed="false">
      <c r="A877" s="0" t="s">
        <v>264</v>
      </c>
      <c r="B877" s="0" t="s">
        <v>502</v>
      </c>
      <c r="C877" s="0" t="s">
        <v>127</v>
      </c>
      <c r="D877" s="0" t="n">
        <v>2024</v>
      </c>
      <c r="E877" s="59" t="n">
        <v>14754779</v>
      </c>
      <c r="F877" s="60" t="n">
        <v>4.03</v>
      </c>
      <c r="G877" s="61" t="n">
        <v>0</v>
      </c>
      <c r="H877" s="61" t="n">
        <v>0</v>
      </c>
      <c r="I877" s="61" t="n">
        <v>1</v>
      </c>
      <c r="J877" s="61" t="n">
        <v>0</v>
      </c>
      <c r="K877" s="61" t="n">
        <v>3</v>
      </c>
      <c r="L877" s="61" t="n">
        <v>0.03</v>
      </c>
      <c r="M877" s="61" t="n">
        <v>0</v>
      </c>
      <c r="N877" s="61" t="n">
        <v>0</v>
      </c>
      <c r="O877" s="61" t="n">
        <v>0</v>
      </c>
      <c r="P877" s="62" t="n">
        <v>181.1</v>
      </c>
      <c r="Q877" s="0" t="n">
        <v>0</v>
      </c>
      <c r="R877" s="60" t="n">
        <f aca="false">G877+H877+I877</f>
        <v>1</v>
      </c>
      <c r="S877" s="60" t="n">
        <f aca="false">K877+L877+M877+N877+O877</f>
        <v>3.03</v>
      </c>
      <c r="T877" s="60" t="n">
        <f aca="false">L877+M877</f>
        <v>0.03</v>
      </c>
      <c r="U877" s="60" t="n">
        <f aca="false">S877+J877</f>
        <v>3.03</v>
      </c>
      <c r="V877" s="63" t="n">
        <f aca="false">IFERROR(S877/F877,0)</f>
        <v>0.751861042183623</v>
      </c>
      <c r="W877" s="63" t="n">
        <f aca="false">IFERROR(R877/F877,0)</f>
        <v>0.248138957816377</v>
      </c>
      <c r="X877" s="63" t="n">
        <f aca="false">IFERROR(T877/F877,0)</f>
        <v>0.00744416873449131</v>
      </c>
      <c r="Y877" s="63" t="n">
        <f aca="false">IFERROR(G877/F877,0)</f>
        <v>0</v>
      </c>
      <c r="Z877" s="59" t="n">
        <f aca="false">IF(E877&gt;0,F877*1000000000/E877,"")</f>
        <v>273.131844265509</v>
      </c>
      <c r="AA877" s="63" t="n">
        <f aca="false">IFERROR((R877+S877+J877)/F877,0)</f>
        <v>1</v>
      </c>
      <c r="AB877" s="0" t="str">
        <f aca="false">A877&amp;"|"&amp;D877</f>
        <v>Guinea|2024</v>
      </c>
    </row>
    <row r="878" customFormat="false" ht="15" hidden="false" customHeight="false" outlineLevel="0" collapsed="false">
      <c r="A878" s="0" t="s">
        <v>265</v>
      </c>
      <c r="B878" s="0" t="s">
        <v>503</v>
      </c>
      <c r="C878" s="0" t="s">
        <v>127</v>
      </c>
      <c r="D878" s="0" t="n">
        <v>2015</v>
      </c>
      <c r="E878" s="59" t="n">
        <v>1786461</v>
      </c>
      <c r="F878" s="60" t="n">
        <v>0.06</v>
      </c>
      <c r="G878" s="61" t="n">
        <v>0</v>
      </c>
      <c r="H878" s="61" t="n">
        <v>0</v>
      </c>
      <c r="I878" s="61" t="n">
        <v>0.06</v>
      </c>
      <c r="J878" s="61" t="n">
        <v>0</v>
      </c>
      <c r="K878" s="61" t="n">
        <v>0</v>
      </c>
      <c r="L878" s="61" t="n">
        <v>0</v>
      </c>
      <c r="M878" s="61" t="n">
        <v>0</v>
      </c>
      <c r="N878" s="61" t="n">
        <v>0</v>
      </c>
      <c r="O878" s="61" t="n">
        <v>0</v>
      </c>
      <c r="P878" s="62" t="n">
        <v>666.7</v>
      </c>
      <c r="Q878" s="0" t="n">
        <v>0</v>
      </c>
      <c r="R878" s="60" t="n">
        <f aca="false">G878+H878+I878</f>
        <v>0.06</v>
      </c>
      <c r="S878" s="60" t="n">
        <f aca="false">K878+L878+M878+N878+O878</f>
        <v>0</v>
      </c>
      <c r="T878" s="60" t="n">
        <f aca="false">L878+M878</f>
        <v>0</v>
      </c>
      <c r="U878" s="60" t="n">
        <f aca="false">S878+J878</f>
        <v>0</v>
      </c>
      <c r="V878" s="63" t="n">
        <f aca="false">IFERROR(S878/F878,0)</f>
        <v>0</v>
      </c>
      <c r="W878" s="63" t="n">
        <f aca="false">IFERROR(R878/F878,0)</f>
        <v>1</v>
      </c>
      <c r="X878" s="63" t="n">
        <f aca="false">IFERROR(T878/F878,0)</f>
        <v>0</v>
      </c>
      <c r="Y878" s="63" t="n">
        <f aca="false">IFERROR(G878/F878,0)</f>
        <v>0</v>
      </c>
      <c r="Z878" s="59" t="n">
        <f aca="false">IF(E878&gt;0,F878*1000000000/E878,"")</f>
        <v>33.5859556967658</v>
      </c>
      <c r="AA878" s="63" t="n">
        <f aca="false">IFERROR((R878+S878+J878)/F878,0)</f>
        <v>1</v>
      </c>
      <c r="AB878" s="0" t="str">
        <f aca="false">A878&amp;"|"&amp;D878</f>
        <v>Guinea-Bissau|2015</v>
      </c>
    </row>
    <row r="879" customFormat="false" ht="15" hidden="false" customHeight="false" outlineLevel="0" collapsed="false">
      <c r="A879" s="0" t="s">
        <v>265</v>
      </c>
      <c r="B879" s="0" t="s">
        <v>503</v>
      </c>
      <c r="C879" s="0" t="s">
        <v>127</v>
      </c>
      <c r="D879" s="0" t="n">
        <v>2016</v>
      </c>
      <c r="E879" s="59" t="n">
        <v>1831898</v>
      </c>
      <c r="F879" s="60" t="n">
        <v>0.08</v>
      </c>
      <c r="G879" s="61" t="n">
        <v>0</v>
      </c>
      <c r="H879" s="61" t="n">
        <v>0</v>
      </c>
      <c r="I879" s="61" t="n">
        <v>0.08</v>
      </c>
      <c r="J879" s="61" t="n">
        <v>0</v>
      </c>
      <c r="K879" s="61" t="n">
        <v>0</v>
      </c>
      <c r="L879" s="61" t="n">
        <v>0</v>
      </c>
      <c r="M879" s="61" t="n">
        <v>0</v>
      </c>
      <c r="N879" s="61" t="n">
        <v>0</v>
      </c>
      <c r="O879" s="61" t="n">
        <v>0</v>
      </c>
      <c r="P879" s="62" t="n">
        <v>625</v>
      </c>
      <c r="Q879" s="0" t="n">
        <v>0</v>
      </c>
      <c r="R879" s="60" t="n">
        <f aca="false">G879+H879+I879</f>
        <v>0.08</v>
      </c>
      <c r="S879" s="60" t="n">
        <f aca="false">K879+L879+M879+N879+O879</f>
        <v>0</v>
      </c>
      <c r="T879" s="60" t="n">
        <f aca="false">L879+M879</f>
        <v>0</v>
      </c>
      <c r="U879" s="60" t="n">
        <f aca="false">S879+J879</f>
        <v>0</v>
      </c>
      <c r="V879" s="63" t="n">
        <f aca="false">IFERROR(S879/F879,0)</f>
        <v>0</v>
      </c>
      <c r="W879" s="63" t="n">
        <f aca="false">IFERROR(R879/F879,0)</f>
        <v>1</v>
      </c>
      <c r="X879" s="63" t="n">
        <f aca="false">IFERROR(T879/F879,0)</f>
        <v>0</v>
      </c>
      <c r="Y879" s="63" t="n">
        <f aca="false">IFERROR(G879/F879,0)</f>
        <v>0</v>
      </c>
      <c r="Z879" s="59" t="n">
        <f aca="false">IF(E879&gt;0,F879*1000000000/E879,"")</f>
        <v>43.6705537098681</v>
      </c>
      <c r="AA879" s="63" t="n">
        <f aca="false">IFERROR((R879+S879+J879)/F879,0)</f>
        <v>1</v>
      </c>
      <c r="AB879" s="0" t="str">
        <f aca="false">A879&amp;"|"&amp;D879</f>
        <v>Guinea-Bissau|2016</v>
      </c>
    </row>
    <row r="880" customFormat="false" ht="15" hidden="false" customHeight="false" outlineLevel="0" collapsed="false">
      <c r="A880" s="0" t="s">
        <v>265</v>
      </c>
      <c r="B880" s="0" t="s">
        <v>503</v>
      </c>
      <c r="C880" s="0" t="s">
        <v>127</v>
      </c>
      <c r="D880" s="0" t="n">
        <v>2017</v>
      </c>
      <c r="E880" s="59" t="n">
        <v>1877074</v>
      </c>
      <c r="F880" s="60" t="n">
        <v>0.08</v>
      </c>
      <c r="G880" s="61" t="n">
        <v>0</v>
      </c>
      <c r="H880" s="61" t="n">
        <v>0</v>
      </c>
      <c r="I880" s="61" t="n">
        <v>0.08</v>
      </c>
      <c r="J880" s="61" t="n">
        <v>0</v>
      </c>
      <c r="K880" s="61" t="n">
        <v>0</v>
      </c>
      <c r="L880" s="61" t="n">
        <v>0</v>
      </c>
      <c r="M880" s="61" t="n">
        <v>0</v>
      </c>
      <c r="N880" s="61" t="n">
        <v>0</v>
      </c>
      <c r="O880" s="61" t="n">
        <v>0</v>
      </c>
      <c r="P880" s="62" t="n">
        <v>625</v>
      </c>
      <c r="Q880" s="0" t="n">
        <v>0</v>
      </c>
      <c r="R880" s="60" t="n">
        <f aca="false">G880+H880+I880</f>
        <v>0.08</v>
      </c>
      <c r="S880" s="60" t="n">
        <f aca="false">K880+L880+M880+N880+O880</f>
        <v>0</v>
      </c>
      <c r="T880" s="60" t="n">
        <f aca="false">L880+M880</f>
        <v>0</v>
      </c>
      <c r="U880" s="60" t="n">
        <f aca="false">S880+J880</f>
        <v>0</v>
      </c>
      <c r="V880" s="63" t="n">
        <f aca="false">IFERROR(S880/F880,0)</f>
        <v>0</v>
      </c>
      <c r="W880" s="63" t="n">
        <f aca="false">IFERROR(R880/F880,0)</f>
        <v>1</v>
      </c>
      <c r="X880" s="63" t="n">
        <f aca="false">IFERROR(T880/F880,0)</f>
        <v>0</v>
      </c>
      <c r="Y880" s="63" t="n">
        <f aca="false">IFERROR(G880/F880,0)</f>
        <v>0</v>
      </c>
      <c r="Z880" s="59" t="n">
        <f aca="false">IF(E880&gt;0,F880*1000000000/E880,"")</f>
        <v>42.6195237907509</v>
      </c>
      <c r="AA880" s="63" t="n">
        <f aca="false">IFERROR((R880+S880+J880)/F880,0)</f>
        <v>1</v>
      </c>
      <c r="AB880" s="0" t="str">
        <f aca="false">A880&amp;"|"&amp;D880</f>
        <v>Guinea-Bissau|2017</v>
      </c>
    </row>
    <row r="881" customFormat="false" ht="15" hidden="false" customHeight="false" outlineLevel="0" collapsed="false">
      <c r="A881" s="0" t="s">
        <v>265</v>
      </c>
      <c r="B881" s="0" t="s">
        <v>503</v>
      </c>
      <c r="C881" s="0" t="s">
        <v>127</v>
      </c>
      <c r="D881" s="0" t="n">
        <v>2018</v>
      </c>
      <c r="E881" s="59" t="n">
        <v>1922167</v>
      </c>
      <c r="F881" s="60" t="n">
        <v>0.08</v>
      </c>
      <c r="G881" s="61" t="n">
        <v>0</v>
      </c>
      <c r="H881" s="61" t="n">
        <v>0</v>
      </c>
      <c r="I881" s="61" t="n">
        <v>0.08</v>
      </c>
      <c r="J881" s="61" t="n">
        <v>0</v>
      </c>
      <c r="K881" s="61" t="n">
        <v>0</v>
      </c>
      <c r="L881" s="61" t="n">
        <v>0</v>
      </c>
      <c r="M881" s="61" t="n">
        <v>0</v>
      </c>
      <c r="N881" s="61" t="n">
        <v>0</v>
      </c>
      <c r="O881" s="61" t="n">
        <v>0</v>
      </c>
      <c r="P881" s="62" t="n">
        <v>625</v>
      </c>
      <c r="Q881" s="0" t="n">
        <v>0</v>
      </c>
      <c r="R881" s="60" t="n">
        <f aca="false">G881+H881+I881</f>
        <v>0.08</v>
      </c>
      <c r="S881" s="60" t="n">
        <f aca="false">K881+L881+M881+N881+O881</f>
        <v>0</v>
      </c>
      <c r="T881" s="60" t="n">
        <f aca="false">L881+M881</f>
        <v>0</v>
      </c>
      <c r="U881" s="60" t="n">
        <f aca="false">S881+J881</f>
        <v>0</v>
      </c>
      <c r="V881" s="63" t="n">
        <f aca="false">IFERROR(S881/F881,0)</f>
        <v>0</v>
      </c>
      <c r="W881" s="63" t="n">
        <f aca="false">IFERROR(R881/F881,0)</f>
        <v>1</v>
      </c>
      <c r="X881" s="63" t="n">
        <f aca="false">IFERROR(T881/F881,0)</f>
        <v>0</v>
      </c>
      <c r="Y881" s="63" t="n">
        <f aca="false">IFERROR(G881/F881,0)</f>
        <v>0</v>
      </c>
      <c r="Z881" s="59" t="n">
        <f aca="false">IF(E881&gt;0,F881*1000000000/E881,"")</f>
        <v>41.6196927738329</v>
      </c>
      <c r="AA881" s="63" t="n">
        <f aca="false">IFERROR((R881+S881+J881)/F881,0)</f>
        <v>1</v>
      </c>
      <c r="AB881" s="0" t="str">
        <f aca="false">A881&amp;"|"&amp;D881</f>
        <v>Guinea-Bissau|2018</v>
      </c>
    </row>
    <row r="882" customFormat="false" ht="15" hidden="false" customHeight="false" outlineLevel="0" collapsed="false">
      <c r="A882" s="0" t="s">
        <v>265</v>
      </c>
      <c r="B882" s="0" t="s">
        <v>503</v>
      </c>
      <c r="C882" s="0" t="s">
        <v>127</v>
      </c>
      <c r="D882" s="0" t="n">
        <v>2019</v>
      </c>
      <c r="E882" s="59" t="n">
        <v>1967704</v>
      </c>
      <c r="F882" s="60" t="n">
        <v>0.08</v>
      </c>
      <c r="G882" s="61" t="n">
        <v>0</v>
      </c>
      <c r="H882" s="61" t="n">
        <v>0</v>
      </c>
      <c r="I882" s="61" t="n">
        <v>0.08</v>
      </c>
      <c r="J882" s="61" t="n">
        <v>0</v>
      </c>
      <c r="K882" s="61" t="n">
        <v>0</v>
      </c>
      <c r="L882" s="61" t="n">
        <v>0</v>
      </c>
      <c r="M882" s="61" t="n">
        <v>0</v>
      </c>
      <c r="N882" s="61" t="n">
        <v>0</v>
      </c>
      <c r="O882" s="61" t="n">
        <v>0</v>
      </c>
      <c r="P882" s="62" t="n">
        <v>625</v>
      </c>
      <c r="Q882" s="0" t="n">
        <v>0</v>
      </c>
      <c r="R882" s="60" t="n">
        <f aca="false">G882+H882+I882</f>
        <v>0.08</v>
      </c>
      <c r="S882" s="60" t="n">
        <f aca="false">K882+L882+M882+N882+O882</f>
        <v>0</v>
      </c>
      <c r="T882" s="60" t="n">
        <f aca="false">L882+M882</f>
        <v>0</v>
      </c>
      <c r="U882" s="60" t="n">
        <f aca="false">S882+J882</f>
        <v>0</v>
      </c>
      <c r="V882" s="63" t="n">
        <f aca="false">IFERROR(S882/F882,0)</f>
        <v>0</v>
      </c>
      <c r="W882" s="63" t="n">
        <f aca="false">IFERROR(R882/F882,0)</f>
        <v>1</v>
      </c>
      <c r="X882" s="63" t="n">
        <f aca="false">IFERROR(T882/F882,0)</f>
        <v>0</v>
      </c>
      <c r="Y882" s="63" t="n">
        <f aca="false">IFERROR(G882/F882,0)</f>
        <v>0</v>
      </c>
      <c r="Z882" s="59" t="n">
        <f aca="false">IF(E882&gt;0,F882*1000000000/E882,"")</f>
        <v>40.6565215093327</v>
      </c>
      <c r="AA882" s="63" t="n">
        <f aca="false">IFERROR((R882+S882+J882)/F882,0)</f>
        <v>1</v>
      </c>
      <c r="AB882" s="0" t="str">
        <f aca="false">A882&amp;"|"&amp;D882</f>
        <v>Guinea-Bissau|2019</v>
      </c>
    </row>
    <row r="883" customFormat="false" ht="15" hidden="false" customHeight="false" outlineLevel="0" collapsed="false">
      <c r="A883" s="0" t="s">
        <v>265</v>
      </c>
      <c r="B883" s="0" t="s">
        <v>503</v>
      </c>
      <c r="C883" s="0" t="s">
        <v>127</v>
      </c>
      <c r="D883" s="0" t="n">
        <v>2020</v>
      </c>
      <c r="E883" s="59" t="n">
        <v>2013259</v>
      </c>
      <c r="F883" s="60" t="n">
        <v>0.08</v>
      </c>
      <c r="G883" s="61" t="n">
        <v>0</v>
      </c>
      <c r="H883" s="61" t="n">
        <v>0</v>
      </c>
      <c r="I883" s="61" t="n">
        <v>0.08</v>
      </c>
      <c r="J883" s="61" t="n">
        <v>0</v>
      </c>
      <c r="K883" s="61" t="n">
        <v>0</v>
      </c>
      <c r="L883" s="61" t="n">
        <v>0</v>
      </c>
      <c r="M883" s="61" t="n">
        <v>0</v>
      </c>
      <c r="N883" s="61" t="n">
        <v>0</v>
      </c>
      <c r="O883" s="61" t="n">
        <v>0</v>
      </c>
      <c r="P883" s="62" t="n">
        <v>625</v>
      </c>
      <c r="Q883" s="0" t="n">
        <v>0</v>
      </c>
      <c r="R883" s="60" t="n">
        <f aca="false">G883+H883+I883</f>
        <v>0.08</v>
      </c>
      <c r="S883" s="60" t="n">
        <f aca="false">K883+L883+M883+N883+O883</f>
        <v>0</v>
      </c>
      <c r="T883" s="60" t="n">
        <f aca="false">L883+M883</f>
        <v>0</v>
      </c>
      <c r="U883" s="60" t="n">
        <f aca="false">S883+J883</f>
        <v>0</v>
      </c>
      <c r="V883" s="63" t="n">
        <f aca="false">IFERROR(S883/F883,0)</f>
        <v>0</v>
      </c>
      <c r="W883" s="63" t="n">
        <f aca="false">IFERROR(R883/F883,0)</f>
        <v>1</v>
      </c>
      <c r="X883" s="63" t="n">
        <f aca="false">IFERROR(T883/F883,0)</f>
        <v>0</v>
      </c>
      <c r="Y883" s="63" t="n">
        <f aca="false">IFERROR(G883/F883,0)</f>
        <v>0</v>
      </c>
      <c r="Z883" s="59" t="n">
        <f aca="false">IF(E883&gt;0,F883*1000000000/E883,"")</f>
        <v>39.7365664328335</v>
      </c>
      <c r="AA883" s="63" t="n">
        <f aca="false">IFERROR((R883+S883+J883)/F883,0)</f>
        <v>1</v>
      </c>
      <c r="AB883" s="0" t="str">
        <f aca="false">A883&amp;"|"&amp;D883</f>
        <v>Guinea-Bissau|2020</v>
      </c>
    </row>
    <row r="884" customFormat="false" ht="15" hidden="false" customHeight="false" outlineLevel="0" collapsed="false">
      <c r="A884" s="0" t="s">
        <v>265</v>
      </c>
      <c r="B884" s="0" t="s">
        <v>503</v>
      </c>
      <c r="C884" s="0" t="s">
        <v>127</v>
      </c>
      <c r="D884" s="0" t="n">
        <v>2021</v>
      </c>
      <c r="E884" s="59" t="n">
        <v>2058841</v>
      </c>
      <c r="F884" s="60" t="n">
        <v>0.08</v>
      </c>
      <c r="G884" s="61" t="n">
        <v>0</v>
      </c>
      <c r="H884" s="61" t="n">
        <v>0</v>
      </c>
      <c r="I884" s="61" t="n">
        <v>0.08</v>
      </c>
      <c r="J884" s="61" t="n">
        <v>0</v>
      </c>
      <c r="K884" s="61" t="n">
        <v>0</v>
      </c>
      <c r="L884" s="61" t="n">
        <v>0</v>
      </c>
      <c r="M884" s="61" t="n">
        <v>0</v>
      </c>
      <c r="N884" s="61" t="n">
        <v>0</v>
      </c>
      <c r="O884" s="61" t="n">
        <v>0</v>
      </c>
      <c r="P884" s="62" t="n">
        <v>625</v>
      </c>
      <c r="Q884" s="0" t="n">
        <v>0</v>
      </c>
      <c r="R884" s="60" t="n">
        <f aca="false">G884+H884+I884</f>
        <v>0.08</v>
      </c>
      <c r="S884" s="60" t="n">
        <f aca="false">K884+L884+M884+N884+O884</f>
        <v>0</v>
      </c>
      <c r="T884" s="60" t="n">
        <f aca="false">L884+M884</f>
        <v>0</v>
      </c>
      <c r="U884" s="60" t="n">
        <f aca="false">S884+J884</f>
        <v>0</v>
      </c>
      <c r="V884" s="63" t="n">
        <f aca="false">IFERROR(S884/F884,0)</f>
        <v>0</v>
      </c>
      <c r="W884" s="63" t="n">
        <f aca="false">IFERROR(R884/F884,0)</f>
        <v>1</v>
      </c>
      <c r="X884" s="63" t="n">
        <f aca="false">IFERROR(T884/F884,0)</f>
        <v>0</v>
      </c>
      <c r="Y884" s="63" t="n">
        <f aca="false">IFERROR(G884/F884,0)</f>
        <v>0</v>
      </c>
      <c r="Z884" s="59" t="n">
        <f aca="false">IF(E884&gt;0,F884*1000000000/E884,"")</f>
        <v>38.8568131293286</v>
      </c>
      <c r="AA884" s="63" t="n">
        <f aca="false">IFERROR((R884+S884+J884)/F884,0)</f>
        <v>1</v>
      </c>
      <c r="AB884" s="0" t="str">
        <f aca="false">A884&amp;"|"&amp;D884</f>
        <v>Guinea-Bissau|2021</v>
      </c>
    </row>
    <row r="885" customFormat="false" ht="15" hidden="false" customHeight="false" outlineLevel="0" collapsed="false">
      <c r="A885" s="0" t="s">
        <v>265</v>
      </c>
      <c r="B885" s="0" t="s">
        <v>503</v>
      </c>
      <c r="C885" s="0" t="s">
        <v>127</v>
      </c>
      <c r="D885" s="0" t="n">
        <v>2022</v>
      </c>
      <c r="E885" s="59" t="n">
        <v>2105535</v>
      </c>
      <c r="F885" s="60" t="n">
        <v>0.08</v>
      </c>
      <c r="G885" s="61" t="n">
        <v>0</v>
      </c>
      <c r="H885" s="61" t="n">
        <v>0</v>
      </c>
      <c r="I885" s="61" t="n">
        <v>0.08</v>
      </c>
      <c r="J885" s="61" t="n">
        <v>0</v>
      </c>
      <c r="K885" s="61" t="n">
        <v>0</v>
      </c>
      <c r="L885" s="61" t="n">
        <v>0</v>
      </c>
      <c r="M885" s="61" t="n">
        <v>0</v>
      </c>
      <c r="N885" s="61" t="n">
        <v>0</v>
      </c>
      <c r="O885" s="61" t="n">
        <v>0</v>
      </c>
      <c r="P885" s="62" t="n">
        <v>625</v>
      </c>
      <c r="Q885" s="0" t="n">
        <v>0</v>
      </c>
      <c r="R885" s="60" t="n">
        <f aca="false">G885+H885+I885</f>
        <v>0.08</v>
      </c>
      <c r="S885" s="60" t="n">
        <f aca="false">K885+L885+M885+N885+O885</f>
        <v>0</v>
      </c>
      <c r="T885" s="60" t="n">
        <f aca="false">L885+M885</f>
        <v>0</v>
      </c>
      <c r="U885" s="60" t="n">
        <f aca="false">S885+J885</f>
        <v>0</v>
      </c>
      <c r="V885" s="63" t="n">
        <f aca="false">IFERROR(S885/F885,0)</f>
        <v>0</v>
      </c>
      <c r="W885" s="63" t="n">
        <f aca="false">IFERROR(R885/F885,0)</f>
        <v>1</v>
      </c>
      <c r="X885" s="63" t="n">
        <f aca="false">IFERROR(T885/F885,0)</f>
        <v>0</v>
      </c>
      <c r="Y885" s="63" t="n">
        <f aca="false">IFERROR(G885/F885,0)</f>
        <v>0</v>
      </c>
      <c r="Z885" s="59" t="n">
        <f aca="false">IF(E885&gt;0,F885*1000000000/E885,"")</f>
        <v>37.9950938835023</v>
      </c>
      <c r="AA885" s="63" t="n">
        <f aca="false">IFERROR((R885+S885+J885)/F885,0)</f>
        <v>1</v>
      </c>
      <c r="AB885" s="0" t="str">
        <f aca="false">A885&amp;"|"&amp;D885</f>
        <v>Guinea-Bissau|2022</v>
      </c>
    </row>
    <row r="886" customFormat="false" ht="15" hidden="false" customHeight="false" outlineLevel="0" collapsed="false">
      <c r="A886" s="0" t="s">
        <v>265</v>
      </c>
      <c r="B886" s="0" t="s">
        <v>503</v>
      </c>
      <c r="C886" s="0" t="s">
        <v>127</v>
      </c>
      <c r="D886" s="0" t="n">
        <v>2023</v>
      </c>
      <c r="E886" s="59" t="n">
        <v>2153343</v>
      </c>
      <c r="F886" s="60" t="n">
        <v>0.08</v>
      </c>
      <c r="G886" s="61" t="n">
        <v>0</v>
      </c>
      <c r="H886" s="61" t="n">
        <v>0</v>
      </c>
      <c r="I886" s="61" t="n">
        <v>0.08</v>
      </c>
      <c r="J886" s="61" t="n">
        <v>0</v>
      </c>
      <c r="K886" s="61" t="n">
        <v>0</v>
      </c>
      <c r="L886" s="61" t="n">
        <v>0</v>
      </c>
      <c r="M886" s="61" t="n">
        <v>0</v>
      </c>
      <c r="N886" s="61" t="n">
        <v>0</v>
      </c>
      <c r="O886" s="61" t="n">
        <v>0</v>
      </c>
      <c r="P886" s="62" t="n">
        <v>625</v>
      </c>
      <c r="Q886" s="0" t="n">
        <v>0</v>
      </c>
      <c r="R886" s="60" t="n">
        <f aca="false">G886+H886+I886</f>
        <v>0.08</v>
      </c>
      <c r="S886" s="60" t="n">
        <f aca="false">K886+L886+M886+N886+O886</f>
        <v>0</v>
      </c>
      <c r="T886" s="60" t="n">
        <f aca="false">L886+M886</f>
        <v>0</v>
      </c>
      <c r="U886" s="60" t="n">
        <f aca="false">S886+J886</f>
        <v>0</v>
      </c>
      <c r="V886" s="63" t="n">
        <f aca="false">IFERROR(S886/F886,0)</f>
        <v>0</v>
      </c>
      <c r="W886" s="63" t="n">
        <f aca="false">IFERROR(R886/F886,0)</f>
        <v>1</v>
      </c>
      <c r="X886" s="63" t="n">
        <f aca="false">IFERROR(T886/F886,0)</f>
        <v>0</v>
      </c>
      <c r="Y886" s="63" t="n">
        <f aca="false">IFERROR(G886/F886,0)</f>
        <v>0</v>
      </c>
      <c r="Z886" s="59" t="n">
        <f aca="false">IF(E886&gt;0,F886*1000000000/E886,"")</f>
        <v>37.1515360070365</v>
      </c>
      <c r="AA886" s="63" t="n">
        <f aca="false">IFERROR((R886+S886+J886)/F886,0)</f>
        <v>1</v>
      </c>
      <c r="AB886" s="0" t="str">
        <f aca="false">A886&amp;"|"&amp;D886</f>
        <v>Guinea-Bissau|2023</v>
      </c>
    </row>
    <row r="887" customFormat="false" ht="15" hidden="false" customHeight="false" outlineLevel="0" collapsed="false">
      <c r="A887" s="0" t="s">
        <v>265</v>
      </c>
      <c r="B887" s="0" t="s">
        <v>503</v>
      </c>
      <c r="C887" s="0" t="s">
        <v>127</v>
      </c>
      <c r="D887" s="0" t="n">
        <v>2024</v>
      </c>
      <c r="E887" s="59" t="n">
        <v>2201360</v>
      </c>
      <c r="F887" s="60" t="n">
        <v>0.08</v>
      </c>
      <c r="G887" s="61" t="n">
        <v>0</v>
      </c>
      <c r="H887" s="61" t="n">
        <v>0</v>
      </c>
      <c r="I887" s="61" t="n">
        <v>0.08</v>
      </c>
      <c r="J887" s="61" t="n">
        <v>0</v>
      </c>
      <c r="K887" s="61" t="n">
        <v>0</v>
      </c>
      <c r="L887" s="61" t="n">
        <v>0</v>
      </c>
      <c r="M887" s="61" t="n">
        <v>0</v>
      </c>
      <c r="N887" s="61" t="n">
        <v>0</v>
      </c>
      <c r="O887" s="61" t="n">
        <v>0</v>
      </c>
      <c r="P887" s="62" t="n">
        <v>625</v>
      </c>
      <c r="Q887" s="0" t="n">
        <v>0</v>
      </c>
      <c r="R887" s="60" t="n">
        <f aca="false">G887+H887+I887</f>
        <v>0.08</v>
      </c>
      <c r="S887" s="60" t="n">
        <f aca="false">K887+L887+M887+N887+O887</f>
        <v>0</v>
      </c>
      <c r="T887" s="60" t="n">
        <f aca="false">L887+M887</f>
        <v>0</v>
      </c>
      <c r="U887" s="60" t="n">
        <f aca="false">S887+J887</f>
        <v>0</v>
      </c>
      <c r="V887" s="63" t="n">
        <f aca="false">IFERROR(S887/F887,0)</f>
        <v>0</v>
      </c>
      <c r="W887" s="63" t="n">
        <f aca="false">IFERROR(R887/F887,0)</f>
        <v>1</v>
      </c>
      <c r="X887" s="63" t="n">
        <f aca="false">IFERROR(T887/F887,0)</f>
        <v>0</v>
      </c>
      <c r="Y887" s="63" t="n">
        <f aca="false">IFERROR(G887/F887,0)</f>
        <v>0</v>
      </c>
      <c r="Z887" s="59" t="n">
        <f aca="false">IF(E887&gt;0,F887*1000000000/E887,"")</f>
        <v>36.3411709125268</v>
      </c>
      <c r="AA887" s="63" t="n">
        <f aca="false">IFERROR((R887+S887+J887)/F887,0)</f>
        <v>1</v>
      </c>
      <c r="AB887" s="0" t="str">
        <f aca="false">A887&amp;"|"&amp;D887</f>
        <v>Guinea-Bissau|2024</v>
      </c>
    </row>
    <row r="888" customFormat="false" ht="15" hidden="false" customHeight="false" outlineLevel="0" collapsed="false">
      <c r="A888" s="0" t="s">
        <v>266</v>
      </c>
      <c r="B888" s="0" t="s">
        <v>504</v>
      </c>
      <c r="C888" s="0" t="s">
        <v>127</v>
      </c>
      <c r="D888" s="0" t="n">
        <v>2015</v>
      </c>
      <c r="E888" s="59" t="n">
        <v>758783</v>
      </c>
      <c r="F888" s="60" t="n">
        <v>1.01</v>
      </c>
      <c r="G888" s="61" t="n">
        <v>0</v>
      </c>
      <c r="H888" s="61" t="n">
        <v>0</v>
      </c>
      <c r="I888" s="61" t="n">
        <v>0.97</v>
      </c>
      <c r="J888" s="61" t="n">
        <v>0</v>
      </c>
      <c r="K888" s="61" t="n">
        <v>0</v>
      </c>
      <c r="L888" s="61" t="n">
        <v>0</v>
      </c>
      <c r="M888" s="61" t="n">
        <v>0</v>
      </c>
      <c r="N888" s="61" t="n">
        <v>0.04</v>
      </c>
      <c r="O888" s="61" t="n">
        <v>0</v>
      </c>
      <c r="P888" s="62" t="n">
        <v>643.6</v>
      </c>
      <c r="Q888" s="0" t="n">
        <v>0</v>
      </c>
      <c r="R888" s="60" t="n">
        <f aca="false">G888+H888+I888</f>
        <v>0.97</v>
      </c>
      <c r="S888" s="60" t="n">
        <f aca="false">K888+L888+M888+N888+O888</f>
        <v>0.04</v>
      </c>
      <c r="T888" s="60" t="n">
        <f aca="false">L888+M888</f>
        <v>0</v>
      </c>
      <c r="U888" s="60" t="n">
        <f aca="false">S888+J888</f>
        <v>0.04</v>
      </c>
      <c r="V888" s="63" t="n">
        <f aca="false">IFERROR(S888/F888,0)</f>
        <v>0.0396039603960396</v>
      </c>
      <c r="W888" s="63" t="n">
        <f aca="false">IFERROR(R888/F888,0)</f>
        <v>0.96039603960396</v>
      </c>
      <c r="X888" s="63" t="n">
        <f aca="false">IFERROR(T888/F888,0)</f>
        <v>0</v>
      </c>
      <c r="Y888" s="63" t="n">
        <f aca="false">IFERROR(G888/F888,0)</f>
        <v>0</v>
      </c>
      <c r="Z888" s="59" t="n">
        <f aca="false">IF(E888&gt;0,F888*1000000000/E888,"")</f>
        <v>1331.07884599418</v>
      </c>
      <c r="AA888" s="63" t="n">
        <f aca="false">IFERROR((R888+S888+J888)/F888,0)</f>
        <v>1</v>
      </c>
      <c r="AB888" s="0" t="str">
        <f aca="false">A888&amp;"|"&amp;D888</f>
        <v>Guyana|2015</v>
      </c>
    </row>
    <row r="889" customFormat="false" ht="15" hidden="false" customHeight="false" outlineLevel="0" collapsed="false">
      <c r="A889" s="0" t="s">
        <v>266</v>
      </c>
      <c r="B889" s="0" t="s">
        <v>504</v>
      </c>
      <c r="C889" s="0" t="s">
        <v>127</v>
      </c>
      <c r="D889" s="0" t="n">
        <v>2016</v>
      </c>
      <c r="E889" s="59" t="n">
        <v>763553</v>
      </c>
      <c r="F889" s="60" t="n">
        <v>1.1</v>
      </c>
      <c r="G889" s="61" t="n">
        <v>0</v>
      </c>
      <c r="H889" s="61" t="n">
        <v>0</v>
      </c>
      <c r="I889" s="61" t="n">
        <v>1.06</v>
      </c>
      <c r="J889" s="61" t="n">
        <v>0</v>
      </c>
      <c r="K889" s="61" t="n">
        <v>0</v>
      </c>
      <c r="L889" s="61" t="n">
        <v>0</v>
      </c>
      <c r="M889" s="61" t="n">
        <v>0</v>
      </c>
      <c r="N889" s="61" t="n">
        <v>0.04</v>
      </c>
      <c r="O889" s="61" t="n">
        <v>0</v>
      </c>
      <c r="P889" s="62" t="n">
        <v>645.5</v>
      </c>
      <c r="Q889" s="0" t="n">
        <v>0</v>
      </c>
      <c r="R889" s="60" t="n">
        <f aca="false">G889+H889+I889</f>
        <v>1.06</v>
      </c>
      <c r="S889" s="60" t="n">
        <f aca="false">K889+L889+M889+N889+O889</f>
        <v>0.04</v>
      </c>
      <c r="T889" s="60" t="n">
        <f aca="false">L889+M889</f>
        <v>0</v>
      </c>
      <c r="U889" s="60" t="n">
        <f aca="false">S889+J889</f>
        <v>0.04</v>
      </c>
      <c r="V889" s="63" t="n">
        <f aca="false">IFERROR(S889/F889,0)</f>
        <v>0.0363636363636364</v>
      </c>
      <c r="W889" s="63" t="n">
        <f aca="false">IFERROR(R889/F889,0)</f>
        <v>0.963636363636364</v>
      </c>
      <c r="X889" s="63" t="n">
        <f aca="false">IFERROR(T889/F889,0)</f>
        <v>0</v>
      </c>
      <c r="Y889" s="63" t="n">
        <f aca="false">IFERROR(G889/F889,0)</f>
        <v>0</v>
      </c>
      <c r="Z889" s="59" t="n">
        <f aca="false">IF(E889&gt;0,F889*1000000000/E889,"")</f>
        <v>1440.63345962887</v>
      </c>
      <c r="AA889" s="63" t="n">
        <f aca="false">IFERROR((R889+S889+J889)/F889,0)</f>
        <v>1</v>
      </c>
      <c r="AB889" s="0" t="str">
        <f aca="false">A889&amp;"|"&amp;D889</f>
        <v>Guyana|2016</v>
      </c>
    </row>
    <row r="890" customFormat="false" ht="15" hidden="false" customHeight="false" outlineLevel="0" collapsed="false">
      <c r="A890" s="0" t="s">
        <v>266</v>
      </c>
      <c r="B890" s="0" t="s">
        <v>504</v>
      </c>
      <c r="C890" s="0" t="s">
        <v>127</v>
      </c>
      <c r="D890" s="0" t="n">
        <v>2017</v>
      </c>
      <c r="E890" s="59" t="n">
        <v>768483</v>
      </c>
      <c r="F890" s="60" t="n">
        <v>1.12</v>
      </c>
      <c r="G890" s="61" t="n">
        <v>0</v>
      </c>
      <c r="H890" s="61" t="n">
        <v>0</v>
      </c>
      <c r="I890" s="61" t="n">
        <v>1.08</v>
      </c>
      <c r="J890" s="61" t="n">
        <v>0</v>
      </c>
      <c r="K890" s="61" t="n">
        <v>0</v>
      </c>
      <c r="L890" s="61" t="n">
        <v>0.01</v>
      </c>
      <c r="M890" s="61" t="n">
        <v>0</v>
      </c>
      <c r="N890" s="61" t="n">
        <v>0.03</v>
      </c>
      <c r="O890" s="61" t="n">
        <v>0</v>
      </c>
      <c r="P890" s="62" t="n">
        <v>642.9</v>
      </c>
      <c r="Q890" s="0" t="n">
        <v>0</v>
      </c>
      <c r="R890" s="60" t="n">
        <f aca="false">G890+H890+I890</f>
        <v>1.08</v>
      </c>
      <c r="S890" s="60" t="n">
        <f aca="false">K890+L890+M890+N890+O890</f>
        <v>0.04</v>
      </c>
      <c r="T890" s="60" t="n">
        <f aca="false">L890+M890</f>
        <v>0.01</v>
      </c>
      <c r="U890" s="60" t="n">
        <f aca="false">S890+J890</f>
        <v>0.04</v>
      </c>
      <c r="V890" s="63" t="n">
        <f aca="false">IFERROR(S890/F890,0)</f>
        <v>0.0357142857142857</v>
      </c>
      <c r="W890" s="63" t="n">
        <f aca="false">IFERROR(R890/F890,0)</f>
        <v>0.964285714285714</v>
      </c>
      <c r="X890" s="63" t="n">
        <f aca="false">IFERROR(T890/F890,0)</f>
        <v>0.00892857142857143</v>
      </c>
      <c r="Y890" s="63" t="n">
        <f aca="false">IFERROR(G890/F890,0)</f>
        <v>0</v>
      </c>
      <c r="Z890" s="59" t="n">
        <f aca="false">IF(E890&gt;0,F890*1000000000/E890,"")</f>
        <v>1457.41675482737</v>
      </c>
      <c r="AA890" s="63" t="n">
        <f aca="false">IFERROR((R890+S890+J890)/F890,0)</f>
        <v>1</v>
      </c>
      <c r="AB890" s="0" t="str">
        <f aca="false">A890&amp;"|"&amp;D890</f>
        <v>Guyana|2017</v>
      </c>
    </row>
    <row r="891" customFormat="false" ht="15" hidden="false" customHeight="false" outlineLevel="0" collapsed="false">
      <c r="A891" s="0" t="s">
        <v>266</v>
      </c>
      <c r="B891" s="0" t="s">
        <v>504</v>
      </c>
      <c r="C891" s="0" t="s">
        <v>127</v>
      </c>
      <c r="D891" s="0" t="n">
        <v>2018</v>
      </c>
      <c r="E891" s="59" t="n">
        <v>791563</v>
      </c>
      <c r="F891" s="60" t="n">
        <v>1.14</v>
      </c>
      <c r="G891" s="61" t="n">
        <v>0</v>
      </c>
      <c r="H891" s="61" t="n">
        <v>0</v>
      </c>
      <c r="I891" s="61" t="n">
        <v>1.11</v>
      </c>
      <c r="J891" s="61" t="n">
        <v>0</v>
      </c>
      <c r="K891" s="61" t="n">
        <v>0</v>
      </c>
      <c r="L891" s="61" t="n">
        <v>0.01</v>
      </c>
      <c r="M891" s="61" t="n">
        <v>0</v>
      </c>
      <c r="N891" s="61" t="n">
        <v>0.02</v>
      </c>
      <c r="O891" s="61" t="n">
        <v>0</v>
      </c>
      <c r="P891" s="62" t="n">
        <v>640.4</v>
      </c>
      <c r="Q891" s="0" t="n">
        <v>0</v>
      </c>
      <c r="R891" s="60" t="n">
        <f aca="false">G891+H891+I891</f>
        <v>1.11</v>
      </c>
      <c r="S891" s="60" t="n">
        <f aca="false">K891+L891+M891+N891+O891</f>
        <v>0.03</v>
      </c>
      <c r="T891" s="60" t="n">
        <f aca="false">L891+M891</f>
        <v>0.01</v>
      </c>
      <c r="U891" s="60" t="n">
        <f aca="false">S891+J891</f>
        <v>0.03</v>
      </c>
      <c r="V891" s="63" t="n">
        <f aca="false">IFERROR(S891/F891,0)</f>
        <v>0.0263157894736842</v>
      </c>
      <c r="W891" s="63" t="n">
        <f aca="false">IFERROR(R891/F891,0)</f>
        <v>0.973684210526316</v>
      </c>
      <c r="X891" s="63" t="n">
        <f aca="false">IFERROR(T891/F891,0)</f>
        <v>0.00877192982456141</v>
      </c>
      <c r="Y891" s="63" t="n">
        <f aca="false">IFERROR(G891/F891,0)</f>
        <v>0</v>
      </c>
      <c r="Z891" s="59" t="n">
        <f aca="false">IF(E891&gt;0,F891*1000000000/E891,"")</f>
        <v>1440.18858890575</v>
      </c>
      <c r="AA891" s="63" t="n">
        <f aca="false">IFERROR((R891+S891+J891)/F891,0)</f>
        <v>1</v>
      </c>
      <c r="AB891" s="0" t="str">
        <f aca="false">A891&amp;"|"&amp;D891</f>
        <v>Guyana|2018</v>
      </c>
    </row>
    <row r="892" customFormat="false" ht="15" hidden="false" customHeight="false" outlineLevel="0" collapsed="false">
      <c r="A892" s="0" t="s">
        <v>266</v>
      </c>
      <c r="B892" s="0" t="s">
        <v>504</v>
      </c>
      <c r="C892" s="0" t="s">
        <v>127</v>
      </c>
      <c r="D892" s="0" t="n">
        <v>2019</v>
      </c>
      <c r="E892" s="59" t="n">
        <v>807668</v>
      </c>
      <c r="F892" s="60" t="n">
        <v>1.15</v>
      </c>
      <c r="G892" s="61" t="n">
        <v>0</v>
      </c>
      <c r="H892" s="61" t="n">
        <v>0</v>
      </c>
      <c r="I892" s="61" t="n">
        <v>1.11</v>
      </c>
      <c r="J892" s="61" t="n">
        <v>0</v>
      </c>
      <c r="K892" s="61" t="n">
        <v>0</v>
      </c>
      <c r="L892" s="61" t="n">
        <v>0.02</v>
      </c>
      <c r="M892" s="61" t="n">
        <v>0</v>
      </c>
      <c r="N892" s="61" t="n">
        <v>0.02</v>
      </c>
      <c r="O892" s="61" t="n">
        <v>0</v>
      </c>
      <c r="P892" s="62" t="n">
        <v>634.8</v>
      </c>
      <c r="Q892" s="0" t="n">
        <v>0</v>
      </c>
      <c r="R892" s="60" t="n">
        <f aca="false">G892+H892+I892</f>
        <v>1.11</v>
      </c>
      <c r="S892" s="60" t="n">
        <f aca="false">K892+L892+M892+N892+O892</f>
        <v>0.04</v>
      </c>
      <c r="T892" s="60" t="n">
        <f aca="false">L892+M892</f>
        <v>0.02</v>
      </c>
      <c r="U892" s="60" t="n">
        <f aca="false">S892+J892</f>
        <v>0.04</v>
      </c>
      <c r="V892" s="63" t="n">
        <f aca="false">IFERROR(S892/F892,0)</f>
        <v>0.0347826086956522</v>
      </c>
      <c r="W892" s="63" t="n">
        <f aca="false">IFERROR(R892/F892,0)</f>
        <v>0.965217391304348</v>
      </c>
      <c r="X892" s="63" t="n">
        <f aca="false">IFERROR(T892/F892,0)</f>
        <v>0.0173913043478261</v>
      </c>
      <c r="Y892" s="63" t="n">
        <f aca="false">IFERROR(G892/F892,0)</f>
        <v>0</v>
      </c>
      <c r="Z892" s="59" t="n">
        <f aca="false">IF(E892&gt;0,F892*1000000000/E892,"")</f>
        <v>1423.85237498576</v>
      </c>
      <c r="AA892" s="63" t="n">
        <f aca="false">IFERROR((R892+S892+J892)/F892,0)</f>
        <v>1</v>
      </c>
      <c r="AB892" s="0" t="str">
        <f aca="false">A892&amp;"|"&amp;D892</f>
        <v>Guyana|2019</v>
      </c>
    </row>
    <row r="893" customFormat="false" ht="15" hidden="false" customHeight="false" outlineLevel="0" collapsed="false">
      <c r="A893" s="0" t="s">
        <v>266</v>
      </c>
      <c r="B893" s="0" t="s">
        <v>504</v>
      </c>
      <c r="C893" s="0" t="s">
        <v>127</v>
      </c>
      <c r="D893" s="0" t="n">
        <v>2020</v>
      </c>
      <c r="E893" s="59" t="n">
        <v>807486</v>
      </c>
      <c r="F893" s="60" t="n">
        <v>1.14</v>
      </c>
      <c r="G893" s="61" t="n">
        <v>0</v>
      </c>
      <c r="H893" s="61" t="n">
        <v>0</v>
      </c>
      <c r="I893" s="61" t="n">
        <v>1.11</v>
      </c>
      <c r="J893" s="61" t="n">
        <v>0</v>
      </c>
      <c r="K893" s="61" t="n">
        <v>0</v>
      </c>
      <c r="L893" s="61" t="n">
        <v>0.01</v>
      </c>
      <c r="M893" s="61" t="n">
        <v>0</v>
      </c>
      <c r="N893" s="61" t="n">
        <v>0.02</v>
      </c>
      <c r="O893" s="61" t="n">
        <v>0</v>
      </c>
      <c r="P893" s="62" t="n">
        <v>640.4</v>
      </c>
      <c r="Q893" s="0" t="n">
        <v>0</v>
      </c>
      <c r="R893" s="60" t="n">
        <f aca="false">G893+H893+I893</f>
        <v>1.11</v>
      </c>
      <c r="S893" s="60" t="n">
        <f aca="false">K893+L893+M893+N893+O893</f>
        <v>0.03</v>
      </c>
      <c r="T893" s="60" t="n">
        <f aca="false">L893+M893</f>
        <v>0.01</v>
      </c>
      <c r="U893" s="60" t="n">
        <f aca="false">S893+J893</f>
        <v>0.03</v>
      </c>
      <c r="V893" s="63" t="n">
        <f aca="false">IFERROR(S893/F893,0)</f>
        <v>0.0263157894736842</v>
      </c>
      <c r="W893" s="63" t="n">
        <f aca="false">IFERROR(R893/F893,0)</f>
        <v>0.973684210526316</v>
      </c>
      <c r="X893" s="63" t="n">
        <f aca="false">IFERROR(T893/F893,0)</f>
        <v>0.00877192982456141</v>
      </c>
      <c r="Y893" s="63" t="n">
        <f aca="false">IFERROR(G893/F893,0)</f>
        <v>0</v>
      </c>
      <c r="Z893" s="59" t="n">
        <f aca="false">IF(E893&gt;0,F893*1000000000/E893,"")</f>
        <v>1411.78918272267</v>
      </c>
      <c r="AA893" s="63" t="n">
        <f aca="false">IFERROR((R893+S893+J893)/F893,0)</f>
        <v>1</v>
      </c>
      <c r="AB893" s="0" t="str">
        <f aca="false">A893&amp;"|"&amp;D893</f>
        <v>Guyana|2020</v>
      </c>
    </row>
    <row r="894" customFormat="false" ht="15" hidden="false" customHeight="false" outlineLevel="0" collapsed="false">
      <c r="A894" s="0" t="s">
        <v>266</v>
      </c>
      <c r="B894" s="0" t="s">
        <v>504</v>
      </c>
      <c r="C894" s="0" t="s">
        <v>127</v>
      </c>
      <c r="D894" s="0" t="n">
        <v>2021</v>
      </c>
      <c r="E894" s="59" t="n">
        <v>815484</v>
      </c>
      <c r="F894" s="60" t="n">
        <v>1.14</v>
      </c>
      <c r="G894" s="61" t="n">
        <v>0</v>
      </c>
      <c r="H894" s="61" t="n">
        <v>0</v>
      </c>
      <c r="I894" s="61" t="n">
        <v>1.1</v>
      </c>
      <c r="J894" s="61" t="n">
        <v>0</v>
      </c>
      <c r="K894" s="61" t="n">
        <v>0</v>
      </c>
      <c r="L894" s="61" t="n">
        <v>0.01</v>
      </c>
      <c r="M894" s="61" t="n">
        <v>0</v>
      </c>
      <c r="N894" s="61" t="n">
        <v>0.03</v>
      </c>
      <c r="O894" s="61" t="n">
        <v>0</v>
      </c>
      <c r="P894" s="62" t="n">
        <v>640.4</v>
      </c>
      <c r="Q894" s="0" t="n">
        <v>0</v>
      </c>
      <c r="R894" s="60" t="n">
        <f aca="false">G894+H894+I894</f>
        <v>1.1</v>
      </c>
      <c r="S894" s="60" t="n">
        <f aca="false">K894+L894+M894+N894+O894</f>
        <v>0.04</v>
      </c>
      <c r="T894" s="60" t="n">
        <f aca="false">L894+M894</f>
        <v>0.01</v>
      </c>
      <c r="U894" s="60" t="n">
        <f aca="false">S894+J894</f>
        <v>0.04</v>
      </c>
      <c r="V894" s="63" t="n">
        <f aca="false">IFERROR(S894/F894,0)</f>
        <v>0.0350877192982456</v>
      </c>
      <c r="W894" s="63" t="n">
        <f aca="false">IFERROR(R894/F894,0)</f>
        <v>0.964912280701755</v>
      </c>
      <c r="X894" s="63" t="n">
        <f aca="false">IFERROR(T894/F894,0)</f>
        <v>0.00877192982456141</v>
      </c>
      <c r="Y894" s="63" t="n">
        <f aca="false">IFERROR(G894/F894,0)</f>
        <v>0</v>
      </c>
      <c r="Z894" s="59" t="n">
        <f aca="false">IF(E894&gt;0,F894*1000000000/E894,"")</f>
        <v>1397.9428167812</v>
      </c>
      <c r="AA894" s="63" t="n">
        <f aca="false">IFERROR((R894+S894+J894)/F894,0)</f>
        <v>1</v>
      </c>
      <c r="AB894" s="0" t="str">
        <f aca="false">A894&amp;"|"&amp;D894</f>
        <v>Guyana|2021</v>
      </c>
    </row>
    <row r="895" customFormat="false" ht="15" hidden="false" customHeight="false" outlineLevel="0" collapsed="false">
      <c r="A895" s="0" t="s">
        <v>266</v>
      </c>
      <c r="B895" s="0" t="s">
        <v>504</v>
      </c>
      <c r="C895" s="0" t="s">
        <v>127</v>
      </c>
      <c r="D895" s="0" t="n">
        <v>2022</v>
      </c>
      <c r="E895" s="59" t="n">
        <v>821638</v>
      </c>
      <c r="F895" s="60" t="n">
        <v>1.28</v>
      </c>
      <c r="G895" s="61" t="n">
        <v>0</v>
      </c>
      <c r="H895" s="61" t="n">
        <v>0.01</v>
      </c>
      <c r="I895" s="61" t="n">
        <v>1.24</v>
      </c>
      <c r="J895" s="61" t="n">
        <v>0</v>
      </c>
      <c r="K895" s="61" t="n">
        <v>0</v>
      </c>
      <c r="L895" s="61" t="n">
        <v>0.01</v>
      </c>
      <c r="M895" s="61" t="n">
        <v>0</v>
      </c>
      <c r="N895" s="61" t="n">
        <v>0.02</v>
      </c>
      <c r="O895" s="61" t="n">
        <v>0</v>
      </c>
      <c r="P895" s="62" t="n">
        <v>648.4</v>
      </c>
      <c r="Q895" s="0" t="n">
        <v>0</v>
      </c>
      <c r="R895" s="60" t="n">
        <f aca="false">G895+H895+I895</f>
        <v>1.25</v>
      </c>
      <c r="S895" s="60" t="n">
        <f aca="false">K895+L895+M895+N895+O895</f>
        <v>0.03</v>
      </c>
      <c r="T895" s="60" t="n">
        <f aca="false">L895+M895</f>
        <v>0.01</v>
      </c>
      <c r="U895" s="60" t="n">
        <f aca="false">S895+J895</f>
        <v>0.03</v>
      </c>
      <c r="V895" s="63" t="n">
        <f aca="false">IFERROR(S895/F895,0)</f>
        <v>0.0234375</v>
      </c>
      <c r="W895" s="63" t="n">
        <f aca="false">IFERROR(R895/F895,0)</f>
        <v>0.9765625</v>
      </c>
      <c r="X895" s="63" t="n">
        <f aca="false">IFERROR(T895/F895,0)</f>
        <v>0.0078125</v>
      </c>
      <c r="Y895" s="63" t="n">
        <f aca="false">IFERROR(G895/F895,0)</f>
        <v>0</v>
      </c>
      <c r="Z895" s="59" t="n">
        <f aca="false">IF(E895&gt;0,F895*1000000000/E895,"")</f>
        <v>1557.8636820595</v>
      </c>
      <c r="AA895" s="63" t="n">
        <f aca="false">IFERROR((R895+S895+J895)/F895,0)</f>
        <v>1</v>
      </c>
      <c r="AB895" s="0" t="str">
        <f aca="false">A895&amp;"|"&amp;D895</f>
        <v>Guyana|2022</v>
      </c>
    </row>
    <row r="896" customFormat="false" ht="15" hidden="false" customHeight="false" outlineLevel="0" collapsed="false">
      <c r="A896" s="0" t="s">
        <v>266</v>
      </c>
      <c r="B896" s="0" t="s">
        <v>504</v>
      </c>
      <c r="C896" s="0" t="s">
        <v>127</v>
      </c>
      <c r="D896" s="0" t="n">
        <v>2023</v>
      </c>
      <c r="E896" s="59" t="n">
        <v>826357</v>
      </c>
      <c r="F896" s="60" t="n">
        <v>1.38</v>
      </c>
      <c r="G896" s="61" t="n">
        <v>0</v>
      </c>
      <c r="H896" s="61" t="n">
        <v>0.01</v>
      </c>
      <c r="I896" s="61" t="n">
        <v>1.33</v>
      </c>
      <c r="J896" s="61" t="n">
        <v>0</v>
      </c>
      <c r="K896" s="61" t="n">
        <v>0</v>
      </c>
      <c r="L896" s="61" t="n">
        <v>0.02</v>
      </c>
      <c r="M896" s="61" t="n">
        <v>0</v>
      </c>
      <c r="N896" s="61" t="n">
        <v>0.02</v>
      </c>
      <c r="O896" s="61" t="n">
        <v>0</v>
      </c>
      <c r="P896" s="62" t="n">
        <v>644.9</v>
      </c>
      <c r="Q896" s="0" t="n">
        <v>0</v>
      </c>
      <c r="R896" s="60" t="n">
        <f aca="false">G896+H896+I896</f>
        <v>1.34</v>
      </c>
      <c r="S896" s="60" t="n">
        <f aca="false">K896+L896+M896+N896+O896</f>
        <v>0.04</v>
      </c>
      <c r="T896" s="60" t="n">
        <f aca="false">L896+M896</f>
        <v>0.02</v>
      </c>
      <c r="U896" s="60" t="n">
        <f aca="false">S896+J896</f>
        <v>0.04</v>
      </c>
      <c r="V896" s="63" t="n">
        <f aca="false">IFERROR(S896/F896,0)</f>
        <v>0.0289855072463768</v>
      </c>
      <c r="W896" s="63" t="n">
        <f aca="false">IFERROR(R896/F896,0)</f>
        <v>0.971014492753623</v>
      </c>
      <c r="X896" s="63" t="n">
        <f aca="false">IFERROR(T896/F896,0)</f>
        <v>0.0144927536231884</v>
      </c>
      <c r="Y896" s="63" t="n">
        <f aca="false">IFERROR(G896/F896,0)</f>
        <v>0</v>
      </c>
      <c r="Z896" s="59" t="n">
        <f aca="false">IF(E896&gt;0,F896*1000000000/E896,"")</f>
        <v>1669.98040798347</v>
      </c>
      <c r="AA896" s="63" t="n">
        <f aca="false">IFERROR((R896+S896+J896)/F896,0)</f>
        <v>1</v>
      </c>
      <c r="AB896" s="0" t="str">
        <f aca="false">A896&amp;"|"&amp;D896</f>
        <v>Guyana|2023</v>
      </c>
    </row>
    <row r="897" customFormat="false" ht="15" hidden="false" customHeight="false" outlineLevel="0" collapsed="false">
      <c r="A897" s="0" t="s">
        <v>266</v>
      </c>
      <c r="B897" s="0" t="s">
        <v>504</v>
      </c>
      <c r="C897" s="0" t="s">
        <v>127</v>
      </c>
      <c r="D897" s="0" t="n">
        <v>2024</v>
      </c>
      <c r="E897" s="59" t="n">
        <v>831092</v>
      </c>
      <c r="F897" s="60" t="n">
        <v>1.38</v>
      </c>
      <c r="G897" s="61" t="n">
        <v>0</v>
      </c>
      <c r="H897" s="61" t="n">
        <v>0.01</v>
      </c>
      <c r="I897" s="61" t="n">
        <v>1.33</v>
      </c>
      <c r="J897" s="61" t="n">
        <v>0</v>
      </c>
      <c r="K897" s="61" t="n">
        <v>0</v>
      </c>
      <c r="L897" s="61" t="n">
        <v>0.02</v>
      </c>
      <c r="M897" s="61" t="n">
        <v>0</v>
      </c>
      <c r="N897" s="61" t="n">
        <v>0.02</v>
      </c>
      <c r="O897" s="61" t="n">
        <v>0</v>
      </c>
      <c r="P897" s="62" t="n">
        <v>644.9</v>
      </c>
      <c r="Q897" s="0" t="n">
        <v>0</v>
      </c>
      <c r="R897" s="60" t="n">
        <f aca="false">G897+H897+I897</f>
        <v>1.34</v>
      </c>
      <c r="S897" s="60" t="n">
        <f aca="false">K897+L897+M897+N897+O897</f>
        <v>0.04</v>
      </c>
      <c r="T897" s="60" t="n">
        <f aca="false">L897+M897</f>
        <v>0.02</v>
      </c>
      <c r="U897" s="60" t="n">
        <f aca="false">S897+J897</f>
        <v>0.04</v>
      </c>
      <c r="V897" s="63" t="n">
        <f aca="false">IFERROR(S897/F897,0)</f>
        <v>0.0289855072463768</v>
      </c>
      <c r="W897" s="63" t="n">
        <f aca="false">IFERROR(R897/F897,0)</f>
        <v>0.971014492753623</v>
      </c>
      <c r="X897" s="63" t="n">
        <f aca="false">IFERROR(T897/F897,0)</f>
        <v>0.0144927536231884</v>
      </c>
      <c r="Y897" s="63" t="n">
        <f aca="false">IFERROR(G897/F897,0)</f>
        <v>0</v>
      </c>
      <c r="Z897" s="59" t="n">
        <f aca="false">IF(E897&gt;0,F897*1000000000/E897,"")</f>
        <v>1660.46598932489</v>
      </c>
      <c r="AA897" s="63" t="n">
        <f aca="false">IFERROR((R897+S897+J897)/F897,0)</f>
        <v>1</v>
      </c>
      <c r="AB897" s="0" t="str">
        <f aca="false">A897&amp;"|"&amp;D897</f>
        <v>Guyana|2024</v>
      </c>
    </row>
    <row r="898" customFormat="false" ht="15" hidden="false" customHeight="false" outlineLevel="0" collapsed="false">
      <c r="A898" s="0" t="s">
        <v>267</v>
      </c>
      <c r="B898" s="0" t="s">
        <v>505</v>
      </c>
      <c r="C898" s="0" t="s">
        <v>127</v>
      </c>
      <c r="D898" s="0" t="n">
        <v>2015</v>
      </c>
      <c r="E898" s="59" t="n">
        <v>10523249</v>
      </c>
      <c r="F898" s="60" t="n">
        <v>1.03</v>
      </c>
      <c r="G898" s="61" t="n">
        <v>0</v>
      </c>
      <c r="H898" s="61" t="n">
        <v>0</v>
      </c>
      <c r="I898" s="61" t="n">
        <v>0.95</v>
      </c>
      <c r="J898" s="61" t="n">
        <v>0</v>
      </c>
      <c r="K898" s="61" t="n">
        <v>0.08</v>
      </c>
      <c r="L898" s="61" t="n">
        <v>0</v>
      </c>
      <c r="M898" s="61" t="n">
        <v>0</v>
      </c>
      <c r="N898" s="61" t="n">
        <v>0</v>
      </c>
      <c r="O898" s="61" t="n">
        <v>0</v>
      </c>
      <c r="P898" s="62" t="n">
        <v>611.6</v>
      </c>
      <c r="Q898" s="0" t="n">
        <v>0</v>
      </c>
      <c r="R898" s="60" t="n">
        <f aca="false">G898+H898+I898</f>
        <v>0.95</v>
      </c>
      <c r="S898" s="60" t="n">
        <f aca="false">K898+L898+M898+N898+O898</f>
        <v>0.08</v>
      </c>
      <c r="T898" s="60" t="n">
        <f aca="false">L898+M898</f>
        <v>0</v>
      </c>
      <c r="U898" s="60" t="n">
        <f aca="false">S898+J898</f>
        <v>0.08</v>
      </c>
      <c r="V898" s="63" t="n">
        <f aca="false">IFERROR(S898/F898,0)</f>
        <v>0.0776699029126214</v>
      </c>
      <c r="W898" s="63" t="n">
        <f aca="false">IFERROR(R898/F898,0)</f>
        <v>0.922330097087379</v>
      </c>
      <c r="X898" s="63" t="n">
        <f aca="false">IFERROR(T898/F898,0)</f>
        <v>0</v>
      </c>
      <c r="Y898" s="63" t="n">
        <f aca="false">IFERROR(G898/F898,0)</f>
        <v>0</v>
      </c>
      <c r="Z898" s="59" t="n">
        <f aca="false">IF(E898&gt;0,F898*1000000000/E898,"")</f>
        <v>97.8785164163653</v>
      </c>
      <c r="AA898" s="63" t="n">
        <f aca="false">IFERROR((R898+S898+J898)/F898,0)</f>
        <v>1</v>
      </c>
      <c r="AB898" s="0" t="str">
        <f aca="false">A898&amp;"|"&amp;D898</f>
        <v>Haiti|2015</v>
      </c>
    </row>
    <row r="899" customFormat="false" ht="15" hidden="false" customHeight="false" outlineLevel="0" collapsed="false">
      <c r="A899" s="0" t="s">
        <v>267</v>
      </c>
      <c r="B899" s="0" t="s">
        <v>505</v>
      </c>
      <c r="C899" s="0" t="s">
        <v>127</v>
      </c>
      <c r="D899" s="0" t="n">
        <v>2016</v>
      </c>
      <c r="E899" s="59" t="n">
        <v>10671462</v>
      </c>
      <c r="F899" s="60" t="n">
        <v>1.08</v>
      </c>
      <c r="G899" s="61" t="n">
        <v>0</v>
      </c>
      <c r="H899" s="61" t="n">
        <v>0</v>
      </c>
      <c r="I899" s="61" t="n">
        <v>1.01</v>
      </c>
      <c r="J899" s="61" t="n">
        <v>0</v>
      </c>
      <c r="K899" s="61" t="n">
        <v>0.07</v>
      </c>
      <c r="L899" s="61" t="n">
        <v>0</v>
      </c>
      <c r="M899" s="61" t="n">
        <v>0</v>
      </c>
      <c r="N899" s="61" t="n">
        <v>0</v>
      </c>
      <c r="O899" s="61" t="n">
        <v>0</v>
      </c>
      <c r="P899" s="62" t="n">
        <v>611.1</v>
      </c>
      <c r="Q899" s="0" t="n">
        <v>0</v>
      </c>
      <c r="R899" s="60" t="n">
        <f aca="false">G899+H899+I899</f>
        <v>1.01</v>
      </c>
      <c r="S899" s="60" t="n">
        <f aca="false">K899+L899+M899+N899+O899</f>
        <v>0.07</v>
      </c>
      <c r="T899" s="60" t="n">
        <f aca="false">L899+M899</f>
        <v>0</v>
      </c>
      <c r="U899" s="60" t="n">
        <f aca="false">S899+J899</f>
        <v>0.07</v>
      </c>
      <c r="V899" s="63" t="n">
        <f aca="false">IFERROR(S899/F899,0)</f>
        <v>0.0648148148148148</v>
      </c>
      <c r="W899" s="63" t="n">
        <f aca="false">IFERROR(R899/F899,0)</f>
        <v>0.935185185185185</v>
      </c>
      <c r="X899" s="63" t="n">
        <f aca="false">IFERROR(T899/F899,0)</f>
        <v>0</v>
      </c>
      <c r="Y899" s="63" t="n">
        <f aca="false">IFERROR(G899/F899,0)</f>
        <v>0</v>
      </c>
      <c r="Z899" s="59" t="n">
        <f aca="false">IF(E899&gt;0,F899*1000000000/E899,"")</f>
        <v>101.204502250957</v>
      </c>
      <c r="AA899" s="63" t="n">
        <f aca="false">IFERROR((R899+S899+J899)/F899,0)</f>
        <v>1</v>
      </c>
      <c r="AB899" s="0" t="str">
        <f aca="false">A899&amp;"|"&amp;D899</f>
        <v>Haiti|2016</v>
      </c>
    </row>
    <row r="900" customFormat="false" ht="15" hidden="false" customHeight="false" outlineLevel="0" collapsed="false">
      <c r="A900" s="0" t="s">
        <v>267</v>
      </c>
      <c r="B900" s="0" t="s">
        <v>505</v>
      </c>
      <c r="C900" s="0" t="s">
        <v>127</v>
      </c>
      <c r="D900" s="0" t="n">
        <v>2017</v>
      </c>
      <c r="E900" s="59" t="n">
        <v>10817759</v>
      </c>
      <c r="F900" s="60" t="n">
        <v>1.06</v>
      </c>
      <c r="G900" s="61" t="n">
        <v>0</v>
      </c>
      <c r="H900" s="61" t="n">
        <v>0</v>
      </c>
      <c r="I900" s="61" t="n">
        <v>0.93</v>
      </c>
      <c r="J900" s="61" t="n">
        <v>0</v>
      </c>
      <c r="K900" s="61" t="n">
        <v>0.13</v>
      </c>
      <c r="L900" s="61" t="n">
        <v>0</v>
      </c>
      <c r="M900" s="61" t="n">
        <v>0</v>
      </c>
      <c r="N900" s="61" t="n">
        <v>0</v>
      </c>
      <c r="O900" s="61" t="n">
        <v>0</v>
      </c>
      <c r="P900" s="62" t="n">
        <v>575.5</v>
      </c>
      <c r="Q900" s="0" t="n">
        <v>0</v>
      </c>
      <c r="R900" s="60" t="n">
        <f aca="false">G900+H900+I900</f>
        <v>0.93</v>
      </c>
      <c r="S900" s="60" t="n">
        <f aca="false">K900+L900+M900+N900+O900</f>
        <v>0.13</v>
      </c>
      <c r="T900" s="60" t="n">
        <f aca="false">L900+M900</f>
        <v>0</v>
      </c>
      <c r="U900" s="60" t="n">
        <f aca="false">S900+J900</f>
        <v>0.13</v>
      </c>
      <c r="V900" s="63" t="n">
        <f aca="false">IFERROR(S900/F900,0)</f>
        <v>0.122641509433962</v>
      </c>
      <c r="W900" s="63" t="n">
        <f aca="false">IFERROR(R900/F900,0)</f>
        <v>0.877358490566038</v>
      </c>
      <c r="X900" s="63" t="n">
        <f aca="false">IFERROR(T900/F900,0)</f>
        <v>0</v>
      </c>
      <c r="Y900" s="63" t="n">
        <f aca="false">IFERROR(G900/F900,0)</f>
        <v>0</v>
      </c>
      <c r="Z900" s="59" t="n">
        <f aca="false">IF(E900&gt;0,F900*1000000000/E900,"")</f>
        <v>97.9870230054117</v>
      </c>
      <c r="AA900" s="63" t="n">
        <f aca="false">IFERROR((R900+S900+J900)/F900,0)</f>
        <v>1</v>
      </c>
      <c r="AB900" s="0" t="str">
        <f aca="false">A900&amp;"|"&amp;D900</f>
        <v>Haiti|2017</v>
      </c>
    </row>
    <row r="901" customFormat="false" ht="15" hidden="false" customHeight="false" outlineLevel="0" collapsed="false">
      <c r="A901" s="0" t="s">
        <v>267</v>
      </c>
      <c r="B901" s="0" t="s">
        <v>505</v>
      </c>
      <c r="C901" s="0" t="s">
        <v>127</v>
      </c>
      <c r="D901" s="0" t="n">
        <v>2018</v>
      </c>
      <c r="E901" s="59" t="n">
        <v>10962373</v>
      </c>
      <c r="F901" s="60" t="n">
        <v>1.04</v>
      </c>
      <c r="G901" s="61" t="n">
        <v>0</v>
      </c>
      <c r="H901" s="61" t="n">
        <v>0</v>
      </c>
      <c r="I901" s="61" t="n">
        <v>0.85</v>
      </c>
      <c r="J901" s="61" t="n">
        <v>0</v>
      </c>
      <c r="K901" s="61" t="n">
        <v>0.19</v>
      </c>
      <c r="L901" s="61" t="n">
        <v>0</v>
      </c>
      <c r="M901" s="61" t="n">
        <v>0</v>
      </c>
      <c r="N901" s="61" t="n">
        <v>0</v>
      </c>
      <c r="O901" s="61" t="n">
        <v>0</v>
      </c>
      <c r="P901" s="62" t="n">
        <v>538.5</v>
      </c>
      <c r="Q901" s="0" t="n">
        <v>0</v>
      </c>
      <c r="R901" s="60" t="n">
        <f aca="false">G901+H901+I901</f>
        <v>0.85</v>
      </c>
      <c r="S901" s="60" t="n">
        <f aca="false">K901+L901+M901+N901+O901</f>
        <v>0.19</v>
      </c>
      <c r="T901" s="60" t="n">
        <f aca="false">L901+M901</f>
        <v>0</v>
      </c>
      <c r="U901" s="60" t="n">
        <f aca="false">S901+J901</f>
        <v>0.19</v>
      </c>
      <c r="V901" s="63" t="n">
        <f aca="false">IFERROR(S901/F901,0)</f>
        <v>0.182692307692308</v>
      </c>
      <c r="W901" s="63" t="n">
        <f aca="false">IFERROR(R901/F901,0)</f>
        <v>0.817307692307692</v>
      </c>
      <c r="X901" s="63" t="n">
        <f aca="false">IFERROR(T901/F901,0)</f>
        <v>0</v>
      </c>
      <c r="Y901" s="63" t="n">
        <f aca="false">IFERROR(G901/F901,0)</f>
        <v>0</v>
      </c>
      <c r="Z901" s="59" t="n">
        <f aca="false">IF(E901&gt;0,F901*1000000000/E901,"")</f>
        <v>94.8699702153904</v>
      </c>
      <c r="AA901" s="63" t="n">
        <f aca="false">IFERROR((R901+S901+J901)/F901,0)</f>
        <v>1</v>
      </c>
      <c r="AB901" s="0" t="str">
        <f aca="false">A901&amp;"|"&amp;D901</f>
        <v>Haiti|2018</v>
      </c>
    </row>
    <row r="902" customFormat="false" ht="15" hidden="false" customHeight="false" outlineLevel="0" collapsed="false">
      <c r="A902" s="0" t="s">
        <v>267</v>
      </c>
      <c r="B902" s="0" t="s">
        <v>505</v>
      </c>
      <c r="C902" s="0" t="s">
        <v>127</v>
      </c>
      <c r="D902" s="0" t="n">
        <v>2019</v>
      </c>
      <c r="E902" s="59" t="n">
        <v>11105165</v>
      </c>
      <c r="F902" s="60" t="n">
        <v>1.06</v>
      </c>
      <c r="G902" s="61" t="n">
        <v>0</v>
      </c>
      <c r="H902" s="61" t="n">
        <v>0</v>
      </c>
      <c r="I902" s="61" t="n">
        <v>0.89</v>
      </c>
      <c r="J902" s="61" t="n">
        <v>0</v>
      </c>
      <c r="K902" s="61" t="n">
        <v>0.17</v>
      </c>
      <c r="L902" s="61" t="n">
        <v>0</v>
      </c>
      <c r="M902" s="61" t="n">
        <v>0</v>
      </c>
      <c r="N902" s="61" t="n">
        <v>0</v>
      </c>
      <c r="O902" s="61" t="n">
        <v>0</v>
      </c>
      <c r="P902" s="62" t="n">
        <v>556.6</v>
      </c>
      <c r="Q902" s="0" t="n">
        <v>0</v>
      </c>
      <c r="R902" s="60" t="n">
        <f aca="false">G902+H902+I902</f>
        <v>0.89</v>
      </c>
      <c r="S902" s="60" t="n">
        <f aca="false">K902+L902+M902+N902+O902</f>
        <v>0.17</v>
      </c>
      <c r="T902" s="60" t="n">
        <f aca="false">L902+M902</f>
        <v>0</v>
      </c>
      <c r="U902" s="60" t="n">
        <f aca="false">S902+J902</f>
        <v>0.17</v>
      </c>
      <c r="V902" s="63" t="n">
        <f aca="false">IFERROR(S902/F902,0)</f>
        <v>0.160377358490566</v>
      </c>
      <c r="W902" s="63" t="n">
        <f aca="false">IFERROR(R902/F902,0)</f>
        <v>0.839622641509434</v>
      </c>
      <c r="X902" s="63" t="n">
        <f aca="false">IFERROR(T902/F902,0)</f>
        <v>0</v>
      </c>
      <c r="Y902" s="63" t="n">
        <f aca="false">IFERROR(G902/F902,0)</f>
        <v>0</v>
      </c>
      <c r="Z902" s="59" t="n">
        <f aca="false">IF(E902&gt;0,F902*1000000000/E902,"")</f>
        <v>95.4510806458076</v>
      </c>
      <c r="AA902" s="63" t="n">
        <f aca="false">IFERROR((R902+S902+J902)/F902,0)</f>
        <v>1</v>
      </c>
      <c r="AB902" s="0" t="str">
        <f aca="false">A902&amp;"|"&amp;D902</f>
        <v>Haiti|2019</v>
      </c>
    </row>
    <row r="903" customFormat="false" ht="15" hidden="false" customHeight="false" outlineLevel="0" collapsed="false">
      <c r="A903" s="0" t="s">
        <v>267</v>
      </c>
      <c r="B903" s="0" t="s">
        <v>505</v>
      </c>
      <c r="C903" s="0" t="s">
        <v>127</v>
      </c>
      <c r="D903" s="0" t="n">
        <v>2020</v>
      </c>
      <c r="E903" s="59" t="n">
        <v>11243846</v>
      </c>
      <c r="F903" s="60" t="n">
        <v>1.02</v>
      </c>
      <c r="G903" s="61" t="n">
        <v>0</v>
      </c>
      <c r="H903" s="61" t="n">
        <v>0</v>
      </c>
      <c r="I903" s="61" t="n">
        <v>0.88</v>
      </c>
      <c r="J903" s="61" t="n">
        <v>0</v>
      </c>
      <c r="K903" s="61" t="n">
        <v>0.14</v>
      </c>
      <c r="L903" s="61" t="n">
        <v>0</v>
      </c>
      <c r="M903" s="61" t="n">
        <v>0</v>
      </c>
      <c r="N903" s="61" t="n">
        <v>0</v>
      </c>
      <c r="O903" s="61" t="n">
        <v>0</v>
      </c>
      <c r="P903" s="62" t="n">
        <v>568.6</v>
      </c>
      <c r="Q903" s="0" t="n">
        <v>0</v>
      </c>
      <c r="R903" s="60" t="n">
        <f aca="false">G903+H903+I903</f>
        <v>0.88</v>
      </c>
      <c r="S903" s="60" t="n">
        <f aca="false">K903+L903+M903+N903+O903</f>
        <v>0.14</v>
      </c>
      <c r="T903" s="60" t="n">
        <f aca="false">L903+M903</f>
        <v>0</v>
      </c>
      <c r="U903" s="60" t="n">
        <f aca="false">S903+J903</f>
        <v>0.14</v>
      </c>
      <c r="V903" s="63" t="n">
        <f aca="false">IFERROR(S903/F903,0)</f>
        <v>0.137254901960784</v>
      </c>
      <c r="W903" s="63" t="n">
        <f aca="false">IFERROR(R903/F903,0)</f>
        <v>0.862745098039216</v>
      </c>
      <c r="X903" s="63" t="n">
        <f aca="false">IFERROR(T903/F903,0)</f>
        <v>0</v>
      </c>
      <c r="Y903" s="63" t="n">
        <f aca="false">IFERROR(G903/F903,0)</f>
        <v>0</v>
      </c>
      <c r="Z903" s="59" t="n">
        <f aca="false">IF(E903&gt;0,F903*1000000000/E903,"")</f>
        <v>90.7162904934842</v>
      </c>
      <c r="AA903" s="63" t="n">
        <f aca="false">IFERROR((R903+S903+J903)/F903,0)</f>
        <v>1</v>
      </c>
      <c r="AB903" s="0" t="str">
        <f aca="false">A903&amp;"|"&amp;D903</f>
        <v>Haiti|2020</v>
      </c>
    </row>
    <row r="904" customFormat="false" ht="15" hidden="false" customHeight="false" outlineLevel="0" collapsed="false">
      <c r="A904" s="0" t="s">
        <v>267</v>
      </c>
      <c r="B904" s="0" t="s">
        <v>505</v>
      </c>
      <c r="C904" s="0" t="s">
        <v>127</v>
      </c>
      <c r="D904" s="0" t="n">
        <v>2021</v>
      </c>
      <c r="E904" s="59" t="n">
        <v>11374592</v>
      </c>
      <c r="F904" s="60" t="n">
        <v>1.03</v>
      </c>
      <c r="G904" s="61" t="n">
        <v>0</v>
      </c>
      <c r="H904" s="61" t="n">
        <v>0</v>
      </c>
      <c r="I904" s="61" t="n">
        <v>0.9</v>
      </c>
      <c r="J904" s="61" t="n">
        <v>0</v>
      </c>
      <c r="K904" s="61" t="n">
        <v>0.13</v>
      </c>
      <c r="L904" s="61" t="n">
        <v>0</v>
      </c>
      <c r="M904" s="61" t="n">
        <v>0</v>
      </c>
      <c r="N904" s="61" t="n">
        <v>0</v>
      </c>
      <c r="O904" s="61" t="n">
        <v>0</v>
      </c>
      <c r="P904" s="62" t="n">
        <v>572.8</v>
      </c>
      <c r="Q904" s="0" t="n">
        <v>0</v>
      </c>
      <c r="R904" s="60" t="n">
        <f aca="false">G904+H904+I904</f>
        <v>0.9</v>
      </c>
      <c r="S904" s="60" t="n">
        <f aca="false">K904+L904+M904+N904+O904</f>
        <v>0.13</v>
      </c>
      <c r="T904" s="60" t="n">
        <f aca="false">L904+M904</f>
        <v>0</v>
      </c>
      <c r="U904" s="60" t="n">
        <f aca="false">S904+J904</f>
        <v>0.13</v>
      </c>
      <c r="V904" s="63" t="n">
        <f aca="false">IFERROR(S904/F904,0)</f>
        <v>0.12621359223301</v>
      </c>
      <c r="W904" s="63" t="n">
        <f aca="false">IFERROR(R904/F904,0)</f>
        <v>0.87378640776699</v>
      </c>
      <c r="X904" s="63" t="n">
        <f aca="false">IFERROR(T904/F904,0)</f>
        <v>0</v>
      </c>
      <c r="Y904" s="63" t="n">
        <f aca="false">IFERROR(G904/F904,0)</f>
        <v>0</v>
      </c>
      <c r="Z904" s="59" t="n">
        <f aca="false">IF(E904&gt;0,F904*1000000000/E904,"")</f>
        <v>90.5526985055816</v>
      </c>
      <c r="AA904" s="63" t="n">
        <f aca="false">IFERROR((R904+S904+J904)/F904,0)</f>
        <v>1</v>
      </c>
      <c r="AB904" s="0" t="str">
        <f aca="false">A904&amp;"|"&amp;D904</f>
        <v>Haiti|2021</v>
      </c>
    </row>
    <row r="905" customFormat="false" ht="15" hidden="false" customHeight="false" outlineLevel="0" collapsed="false">
      <c r="A905" s="0" t="s">
        <v>267</v>
      </c>
      <c r="B905" s="0" t="s">
        <v>505</v>
      </c>
      <c r="C905" s="0" t="s">
        <v>127</v>
      </c>
      <c r="D905" s="0" t="n">
        <v>2022</v>
      </c>
      <c r="E905" s="59" t="n">
        <v>11503603</v>
      </c>
      <c r="F905" s="60" t="n">
        <v>1.01</v>
      </c>
      <c r="G905" s="61" t="n">
        <v>0</v>
      </c>
      <c r="H905" s="61" t="n">
        <v>0</v>
      </c>
      <c r="I905" s="61" t="n">
        <v>0.82</v>
      </c>
      <c r="J905" s="61" t="n">
        <v>0</v>
      </c>
      <c r="K905" s="61" t="n">
        <v>0.19</v>
      </c>
      <c r="L905" s="61" t="n">
        <v>0</v>
      </c>
      <c r="M905" s="61" t="n">
        <v>0</v>
      </c>
      <c r="N905" s="61" t="n">
        <v>0</v>
      </c>
      <c r="O905" s="61" t="n">
        <v>0</v>
      </c>
      <c r="P905" s="62" t="n">
        <v>534.6</v>
      </c>
      <c r="Q905" s="0" t="n">
        <v>0</v>
      </c>
      <c r="R905" s="60" t="n">
        <f aca="false">G905+H905+I905</f>
        <v>0.82</v>
      </c>
      <c r="S905" s="60" t="n">
        <f aca="false">K905+L905+M905+N905+O905</f>
        <v>0.19</v>
      </c>
      <c r="T905" s="60" t="n">
        <f aca="false">L905+M905</f>
        <v>0</v>
      </c>
      <c r="U905" s="60" t="n">
        <f aca="false">S905+J905</f>
        <v>0.19</v>
      </c>
      <c r="V905" s="63" t="n">
        <f aca="false">IFERROR(S905/F905,0)</f>
        <v>0.188118811881188</v>
      </c>
      <c r="W905" s="63" t="n">
        <f aca="false">IFERROR(R905/F905,0)</f>
        <v>0.811881188118812</v>
      </c>
      <c r="X905" s="63" t="n">
        <f aca="false">IFERROR(T905/F905,0)</f>
        <v>0</v>
      </c>
      <c r="Y905" s="63" t="n">
        <f aca="false">IFERROR(G905/F905,0)</f>
        <v>0</v>
      </c>
      <c r="Z905" s="59" t="n">
        <f aca="false">IF(E905&gt;0,F905*1000000000/E905,"")</f>
        <v>87.7985792799004</v>
      </c>
      <c r="AA905" s="63" t="n">
        <f aca="false">IFERROR((R905+S905+J905)/F905,0)</f>
        <v>1</v>
      </c>
      <c r="AB905" s="0" t="str">
        <f aca="false">A905&amp;"|"&amp;D905</f>
        <v>Haiti|2022</v>
      </c>
    </row>
    <row r="906" customFormat="false" ht="15" hidden="false" customHeight="false" outlineLevel="0" collapsed="false">
      <c r="A906" s="0" t="s">
        <v>267</v>
      </c>
      <c r="B906" s="0" t="s">
        <v>505</v>
      </c>
      <c r="C906" s="0" t="s">
        <v>127</v>
      </c>
      <c r="D906" s="0" t="n">
        <v>2023</v>
      </c>
      <c r="E906" s="59" t="n">
        <v>11637402</v>
      </c>
      <c r="F906" s="60" t="n">
        <v>0.85</v>
      </c>
      <c r="G906" s="61" t="n">
        <v>0</v>
      </c>
      <c r="H906" s="61" t="n">
        <v>0</v>
      </c>
      <c r="I906" s="61" t="n">
        <v>0.66</v>
      </c>
      <c r="J906" s="61" t="n">
        <v>0</v>
      </c>
      <c r="K906" s="61" t="n">
        <v>0.19</v>
      </c>
      <c r="L906" s="61" t="n">
        <v>0</v>
      </c>
      <c r="M906" s="61" t="n">
        <v>0</v>
      </c>
      <c r="N906" s="61" t="n">
        <v>0</v>
      </c>
      <c r="O906" s="61" t="n">
        <v>0</v>
      </c>
      <c r="P906" s="62" t="n">
        <v>505.9</v>
      </c>
      <c r="Q906" s="0" t="n">
        <v>0</v>
      </c>
      <c r="R906" s="60" t="n">
        <f aca="false">G906+H906+I906</f>
        <v>0.66</v>
      </c>
      <c r="S906" s="60" t="n">
        <f aca="false">K906+L906+M906+N906+O906</f>
        <v>0.19</v>
      </c>
      <c r="T906" s="60" t="n">
        <f aca="false">L906+M906</f>
        <v>0</v>
      </c>
      <c r="U906" s="60" t="n">
        <f aca="false">S906+J906</f>
        <v>0.19</v>
      </c>
      <c r="V906" s="63" t="n">
        <f aca="false">IFERROR(S906/F906,0)</f>
        <v>0.223529411764706</v>
      </c>
      <c r="W906" s="63" t="n">
        <f aca="false">IFERROR(R906/F906,0)</f>
        <v>0.776470588235294</v>
      </c>
      <c r="X906" s="63" t="n">
        <f aca="false">IFERROR(T906/F906,0)</f>
        <v>0</v>
      </c>
      <c r="Y906" s="63" t="n">
        <f aca="false">IFERROR(G906/F906,0)</f>
        <v>0</v>
      </c>
      <c r="Z906" s="59" t="n">
        <f aca="false">IF(E906&gt;0,F906*1000000000/E906,"")</f>
        <v>73.0403572893675</v>
      </c>
      <c r="AA906" s="63" t="n">
        <f aca="false">IFERROR((R906+S906+J906)/F906,0)</f>
        <v>1</v>
      </c>
      <c r="AB906" s="0" t="str">
        <f aca="false">A906&amp;"|"&amp;D906</f>
        <v>Haiti|2023</v>
      </c>
    </row>
    <row r="907" customFormat="false" ht="15" hidden="false" customHeight="false" outlineLevel="0" collapsed="false">
      <c r="A907" s="0" t="s">
        <v>267</v>
      </c>
      <c r="B907" s="0" t="s">
        <v>505</v>
      </c>
      <c r="C907" s="0" t="s">
        <v>127</v>
      </c>
      <c r="D907" s="0" t="n">
        <v>2024</v>
      </c>
      <c r="E907" s="59" t="n">
        <v>11772562</v>
      </c>
      <c r="F907" s="60" t="n">
        <v>0.86</v>
      </c>
      <c r="G907" s="61" t="n">
        <v>0</v>
      </c>
      <c r="H907" s="61" t="n">
        <v>0</v>
      </c>
      <c r="I907" s="61" t="n">
        <v>0.7</v>
      </c>
      <c r="J907" s="61" t="n">
        <v>0</v>
      </c>
      <c r="K907" s="61" t="n">
        <v>0.16</v>
      </c>
      <c r="L907" s="61" t="n">
        <v>0</v>
      </c>
      <c r="M907" s="61" t="n">
        <v>0</v>
      </c>
      <c r="N907" s="61" t="n">
        <v>0</v>
      </c>
      <c r="O907" s="61" t="n">
        <v>0</v>
      </c>
      <c r="P907" s="62" t="n">
        <v>534.9</v>
      </c>
      <c r="Q907" s="0" t="n">
        <v>0</v>
      </c>
      <c r="R907" s="60" t="n">
        <f aca="false">G907+H907+I907</f>
        <v>0.7</v>
      </c>
      <c r="S907" s="60" t="n">
        <f aca="false">K907+L907+M907+N907+O907</f>
        <v>0.16</v>
      </c>
      <c r="T907" s="60" t="n">
        <f aca="false">L907+M907</f>
        <v>0</v>
      </c>
      <c r="U907" s="60" t="n">
        <f aca="false">S907+J907</f>
        <v>0.16</v>
      </c>
      <c r="V907" s="63" t="n">
        <f aca="false">IFERROR(S907/F907,0)</f>
        <v>0.186046511627907</v>
      </c>
      <c r="W907" s="63" t="n">
        <f aca="false">IFERROR(R907/F907,0)</f>
        <v>0.813953488372093</v>
      </c>
      <c r="X907" s="63" t="n">
        <f aca="false">IFERROR(T907/F907,0)</f>
        <v>0</v>
      </c>
      <c r="Y907" s="63" t="n">
        <f aca="false">IFERROR(G907/F907,0)</f>
        <v>0</v>
      </c>
      <c r="Z907" s="59" t="n">
        <f aca="false">IF(E907&gt;0,F907*1000000000/E907,"")</f>
        <v>73.0512185877636</v>
      </c>
      <c r="AA907" s="63" t="n">
        <f aca="false">IFERROR((R907+S907+J907)/F907,0)</f>
        <v>1</v>
      </c>
      <c r="AB907" s="0" t="str">
        <f aca="false">A907&amp;"|"&amp;D907</f>
        <v>Haiti|2024</v>
      </c>
    </row>
    <row r="908" customFormat="false" ht="15" hidden="false" customHeight="false" outlineLevel="0" collapsed="false">
      <c r="A908" s="0" t="s">
        <v>268</v>
      </c>
      <c r="B908" s="0" t="s">
        <v>506</v>
      </c>
      <c r="C908" s="0" t="s">
        <v>127</v>
      </c>
      <c r="D908" s="0" t="n">
        <v>2015</v>
      </c>
      <c r="E908" s="59" t="n">
        <v>9237306</v>
      </c>
      <c r="F908" s="60" t="n">
        <v>9.01</v>
      </c>
      <c r="G908" s="61" t="n">
        <v>0.09</v>
      </c>
      <c r="H908" s="61" t="n">
        <v>0</v>
      </c>
      <c r="I908" s="61" t="n">
        <v>4.95</v>
      </c>
      <c r="J908" s="61" t="n">
        <v>0</v>
      </c>
      <c r="K908" s="61" t="n">
        <v>2.32</v>
      </c>
      <c r="L908" s="61" t="n">
        <v>0.44</v>
      </c>
      <c r="M908" s="61" t="n">
        <v>0.67</v>
      </c>
      <c r="N908" s="61" t="n">
        <v>0.54</v>
      </c>
      <c r="O908" s="61" t="n">
        <v>0</v>
      </c>
      <c r="P908" s="62" t="n">
        <v>394</v>
      </c>
      <c r="Q908" s="0" t="n">
        <v>0</v>
      </c>
      <c r="R908" s="60" t="n">
        <f aca="false">G908+H908+I908</f>
        <v>5.04</v>
      </c>
      <c r="S908" s="60" t="n">
        <f aca="false">K908+L908+M908+N908+O908</f>
        <v>3.97</v>
      </c>
      <c r="T908" s="60" t="n">
        <f aca="false">L908+M908</f>
        <v>1.11</v>
      </c>
      <c r="U908" s="60" t="n">
        <f aca="false">S908+J908</f>
        <v>3.97</v>
      </c>
      <c r="V908" s="63" t="n">
        <f aca="false">IFERROR(S908/F908,0)</f>
        <v>0.440621531631521</v>
      </c>
      <c r="W908" s="63" t="n">
        <f aca="false">IFERROR(R908/F908,0)</f>
        <v>0.55937846836848</v>
      </c>
      <c r="X908" s="63" t="n">
        <f aca="false">IFERROR(T908/F908,0)</f>
        <v>0.123196448390677</v>
      </c>
      <c r="Y908" s="63" t="n">
        <f aca="false">IFERROR(G908/F908,0)</f>
        <v>0.0099889012208657</v>
      </c>
      <c r="Z908" s="59" t="n">
        <f aca="false">IF(E908&gt;0,F908*1000000000/E908,"")</f>
        <v>975.39260905723</v>
      </c>
      <c r="AA908" s="63" t="n">
        <f aca="false">IFERROR((R908+S908+J908)/F908,0)</f>
        <v>1</v>
      </c>
      <c r="AB908" s="0" t="str">
        <f aca="false">A908&amp;"|"&amp;D908</f>
        <v>Honduras|2015</v>
      </c>
    </row>
    <row r="909" customFormat="false" ht="15" hidden="false" customHeight="false" outlineLevel="0" collapsed="false">
      <c r="A909" s="0" t="s">
        <v>268</v>
      </c>
      <c r="B909" s="0" t="s">
        <v>506</v>
      </c>
      <c r="C909" s="0" t="s">
        <v>127</v>
      </c>
      <c r="D909" s="0" t="n">
        <v>2016</v>
      </c>
      <c r="E909" s="59" t="n">
        <v>9412380</v>
      </c>
      <c r="F909" s="60" t="n">
        <v>9.3</v>
      </c>
      <c r="G909" s="61" t="n">
        <v>0.04</v>
      </c>
      <c r="H909" s="61" t="n">
        <v>0</v>
      </c>
      <c r="I909" s="61" t="n">
        <v>4.79</v>
      </c>
      <c r="J909" s="61" t="n">
        <v>0</v>
      </c>
      <c r="K909" s="61" t="n">
        <v>2.25</v>
      </c>
      <c r="L909" s="61" t="n">
        <v>0.89</v>
      </c>
      <c r="M909" s="61" t="n">
        <v>0.58</v>
      </c>
      <c r="N909" s="61" t="n">
        <v>0.75</v>
      </c>
      <c r="O909" s="61" t="n">
        <v>0</v>
      </c>
      <c r="P909" s="62" t="n">
        <v>368.8</v>
      </c>
      <c r="Q909" s="0" t="n">
        <v>0</v>
      </c>
      <c r="R909" s="60" t="n">
        <f aca="false">G909+H909+I909</f>
        <v>4.83</v>
      </c>
      <c r="S909" s="60" t="n">
        <f aca="false">K909+L909+M909+N909+O909</f>
        <v>4.47</v>
      </c>
      <c r="T909" s="60" t="n">
        <f aca="false">L909+M909</f>
        <v>1.47</v>
      </c>
      <c r="U909" s="60" t="n">
        <f aca="false">S909+J909</f>
        <v>4.47</v>
      </c>
      <c r="V909" s="63" t="n">
        <f aca="false">IFERROR(S909/F909,0)</f>
        <v>0.480645161290323</v>
      </c>
      <c r="W909" s="63" t="n">
        <f aca="false">IFERROR(R909/F909,0)</f>
        <v>0.519354838709677</v>
      </c>
      <c r="X909" s="63" t="n">
        <f aca="false">IFERROR(T909/F909,0)</f>
        <v>0.158064516129032</v>
      </c>
      <c r="Y909" s="63" t="n">
        <f aca="false">IFERROR(G909/F909,0)</f>
        <v>0.0043010752688172</v>
      </c>
      <c r="Z909" s="59" t="n">
        <f aca="false">IF(E909&gt;0,F909*1000000000/E909,"")</f>
        <v>988.060405550987</v>
      </c>
      <c r="AA909" s="63" t="n">
        <f aca="false">IFERROR((R909+S909+J909)/F909,0)</f>
        <v>1</v>
      </c>
      <c r="AB909" s="0" t="str">
        <f aca="false">A909&amp;"|"&amp;D909</f>
        <v>Honduras|2016</v>
      </c>
    </row>
    <row r="910" customFormat="false" ht="15" hidden="false" customHeight="false" outlineLevel="0" collapsed="false">
      <c r="A910" s="0" t="s">
        <v>268</v>
      </c>
      <c r="B910" s="0" t="s">
        <v>506</v>
      </c>
      <c r="C910" s="0" t="s">
        <v>127</v>
      </c>
      <c r="D910" s="0" t="n">
        <v>2017</v>
      </c>
      <c r="E910" s="59" t="n">
        <v>9588144</v>
      </c>
      <c r="F910" s="60" t="n">
        <v>9.38</v>
      </c>
      <c r="G910" s="61" t="n">
        <v>0</v>
      </c>
      <c r="H910" s="61" t="n">
        <v>0</v>
      </c>
      <c r="I910" s="61" t="n">
        <v>4</v>
      </c>
      <c r="J910" s="61" t="n">
        <v>0</v>
      </c>
      <c r="K910" s="61" t="n">
        <v>2.97</v>
      </c>
      <c r="L910" s="61" t="n">
        <v>0.93</v>
      </c>
      <c r="M910" s="61" t="n">
        <v>0.58</v>
      </c>
      <c r="N910" s="61" t="n">
        <v>0.81</v>
      </c>
      <c r="O910" s="61" t="n">
        <v>0.09</v>
      </c>
      <c r="P910" s="62" t="n">
        <v>311.3</v>
      </c>
      <c r="Q910" s="0" t="n">
        <v>0</v>
      </c>
      <c r="R910" s="60" t="n">
        <f aca="false">G910+H910+I910</f>
        <v>4</v>
      </c>
      <c r="S910" s="60" t="n">
        <f aca="false">K910+L910+M910+N910+O910</f>
        <v>5.38</v>
      </c>
      <c r="T910" s="60" t="n">
        <f aca="false">L910+M910</f>
        <v>1.51</v>
      </c>
      <c r="U910" s="60" t="n">
        <f aca="false">S910+J910</f>
        <v>5.38</v>
      </c>
      <c r="V910" s="63" t="n">
        <f aca="false">IFERROR(S910/F910,0)</f>
        <v>0.573560767590618</v>
      </c>
      <c r="W910" s="63" t="n">
        <f aca="false">IFERROR(R910/F910,0)</f>
        <v>0.426439232409382</v>
      </c>
      <c r="X910" s="63" t="n">
        <f aca="false">IFERROR(T910/F910,0)</f>
        <v>0.160980810234542</v>
      </c>
      <c r="Y910" s="63" t="n">
        <f aca="false">IFERROR(G910/F910,0)</f>
        <v>0</v>
      </c>
      <c r="Z910" s="59" t="n">
        <f aca="false">IF(E910&gt;0,F910*1000000000/E910,"")</f>
        <v>978.291523364689</v>
      </c>
      <c r="AA910" s="63" t="n">
        <f aca="false">IFERROR((R910+S910+J910)/F910,0)</f>
        <v>1</v>
      </c>
      <c r="AB910" s="0" t="str">
        <f aca="false">A910&amp;"|"&amp;D910</f>
        <v>Honduras|2017</v>
      </c>
    </row>
    <row r="911" customFormat="false" ht="15" hidden="false" customHeight="false" outlineLevel="0" collapsed="false">
      <c r="A911" s="0" t="s">
        <v>268</v>
      </c>
      <c r="B911" s="0" t="s">
        <v>506</v>
      </c>
      <c r="C911" s="0" t="s">
        <v>127</v>
      </c>
      <c r="D911" s="0" t="n">
        <v>2018</v>
      </c>
      <c r="E911" s="59" t="n">
        <v>9765209</v>
      </c>
      <c r="F911" s="60" t="n">
        <v>9.71</v>
      </c>
      <c r="G911" s="61" t="n">
        <v>0</v>
      </c>
      <c r="H911" s="61" t="n">
        <v>0</v>
      </c>
      <c r="I911" s="61" t="n">
        <v>3.61</v>
      </c>
      <c r="J911" s="61" t="n">
        <v>0</v>
      </c>
      <c r="K911" s="61" t="n">
        <v>3.15</v>
      </c>
      <c r="L911" s="61" t="n">
        <v>1</v>
      </c>
      <c r="M911" s="61" t="n">
        <v>0.93</v>
      </c>
      <c r="N911" s="61" t="n">
        <v>0.72</v>
      </c>
      <c r="O911" s="61" t="n">
        <v>0.3</v>
      </c>
      <c r="P911" s="62" t="n">
        <v>276</v>
      </c>
      <c r="Q911" s="0" t="n">
        <v>0</v>
      </c>
      <c r="R911" s="60" t="n">
        <f aca="false">G911+H911+I911</f>
        <v>3.61</v>
      </c>
      <c r="S911" s="60" t="n">
        <f aca="false">K911+L911+M911+N911+O911</f>
        <v>6.1</v>
      </c>
      <c r="T911" s="60" t="n">
        <f aca="false">L911+M911</f>
        <v>1.93</v>
      </c>
      <c r="U911" s="60" t="n">
        <f aca="false">S911+J911</f>
        <v>6.1</v>
      </c>
      <c r="V911" s="63" t="n">
        <f aca="false">IFERROR(S911/F911,0)</f>
        <v>0.62821833161689</v>
      </c>
      <c r="W911" s="63" t="n">
        <f aca="false">IFERROR(R911/F911,0)</f>
        <v>0.37178166838311</v>
      </c>
      <c r="X911" s="63" t="n">
        <f aca="false">IFERROR(T911/F911,0)</f>
        <v>0.198764160659114</v>
      </c>
      <c r="Y911" s="63" t="n">
        <f aca="false">IFERROR(G911/F911,0)</f>
        <v>0</v>
      </c>
      <c r="Z911" s="59" t="n">
        <f aca="false">IF(E911&gt;0,F911*1000000000/E911,"")</f>
        <v>994.346357563878</v>
      </c>
      <c r="AA911" s="63" t="n">
        <f aca="false">IFERROR((R911+S911+J911)/F911,0)</f>
        <v>1</v>
      </c>
      <c r="AB911" s="0" t="str">
        <f aca="false">A911&amp;"|"&amp;D911</f>
        <v>Honduras|2018</v>
      </c>
    </row>
    <row r="912" customFormat="false" ht="15" hidden="false" customHeight="false" outlineLevel="0" collapsed="false">
      <c r="A912" s="0" t="s">
        <v>268</v>
      </c>
      <c r="B912" s="0" t="s">
        <v>506</v>
      </c>
      <c r="C912" s="0" t="s">
        <v>127</v>
      </c>
      <c r="D912" s="0" t="n">
        <v>2019</v>
      </c>
      <c r="E912" s="59" t="n">
        <v>9943637</v>
      </c>
      <c r="F912" s="60" t="n">
        <v>10.66</v>
      </c>
      <c r="G912" s="61" t="n">
        <v>0.05</v>
      </c>
      <c r="H912" s="61" t="n">
        <v>0</v>
      </c>
      <c r="I912" s="61" t="n">
        <v>4.97</v>
      </c>
      <c r="J912" s="61" t="n">
        <v>0</v>
      </c>
      <c r="K912" s="61" t="n">
        <v>2.43</v>
      </c>
      <c r="L912" s="61" t="n">
        <v>1.12</v>
      </c>
      <c r="M912" s="61" t="n">
        <v>0.82</v>
      </c>
      <c r="N912" s="61" t="n">
        <v>0.97</v>
      </c>
      <c r="O912" s="61" t="n">
        <v>0.3</v>
      </c>
      <c r="P912" s="62" t="n">
        <v>342.4</v>
      </c>
      <c r="Q912" s="0" t="n">
        <v>0</v>
      </c>
      <c r="R912" s="60" t="n">
        <f aca="false">G912+H912+I912</f>
        <v>5.02</v>
      </c>
      <c r="S912" s="60" t="n">
        <f aca="false">K912+L912+M912+N912+O912</f>
        <v>5.64</v>
      </c>
      <c r="T912" s="60" t="n">
        <f aca="false">L912+M912</f>
        <v>1.94</v>
      </c>
      <c r="U912" s="60" t="n">
        <f aca="false">S912+J912</f>
        <v>5.64</v>
      </c>
      <c r="V912" s="63" t="n">
        <f aca="false">IFERROR(S912/F912,0)</f>
        <v>0.529080675422139</v>
      </c>
      <c r="W912" s="63" t="n">
        <f aca="false">IFERROR(R912/F912,0)</f>
        <v>0.470919324577861</v>
      </c>
      <c r="X912" s="63" t="n">
        <f aca="false">IFERROR(T912/F912,0)</f>
        <v>0.181988742964353</v>
      </c>
      <c r="Y912" s="63" t="n">
        <f aca="false">IFERROR(G912/F912,0)</f>
        <v>0.00469043151969981</v>
      </c>
      <c r="Z912" s="59" t="n">
        <f aca="false">IF(E912&gt;0,F912*1000000000/E912,"")</f>
        <v>1072.04235231033</v>
      </c>
      <c r="AA912" s="63" t="n">
        <f aca="false">IFERROR((R912+S912+J912)/F912,0)</f>
        <v>1</v>
      </c>
      <c r="AB912" s="0" t="str">
        <f aca="false">A912&amp;"|"&amp;D912</f>
        <v>Honduras|2019</v>
      </c>
    </row>
    <row r="913" customFormat="false" ht="15" hidden="false" customHeight="false" outlineLevel="0" collapsed="false">
      <c r="A913" s="0" t="s">
        <v>268</v>
      </c>
      <c r="B913" s="0" t="s">
        <v>506</v>
      </c>
      <c r="C913" s="0" t="s">
        <v>127</v>
      </c>
      <c r="D913" s="0" t="n">
        <v>2020</v>
      </c>
      <c r="E913" s="59" t="n">
        <v>10119638</v>
      </c>
      <c r="F913" s="60" t="n">
        <v>10.14</v>
      </c>
      <c r="G913" s="61" t="n">
        <v>0.05</v>
      </c>
      <c r="H913" s="61" t="n">
        <v>0</v>
      </c>
      <c r="I913" s="61" t="n">
        <v>4.55</v>
      </c>
      <c r="J913" s="61" t="n">
        <v>0</v>
      </c>
      <c r="K913" s="61" t="n">
        <v>2.7</v>
      </c>
      <c r="L913" s="61" t="n">
        <v>1.11</v>
      </c>
      <c r="M913" s="61" t="n">
        <v>0.71</v>
      </c>
      <c r="N913" s="61" t="n">
        <v>0.71</v>
      </c>
      <c r="O913" s="61" t="n">
        <v>0.31</v>
      </c>
      <c r="P913" s="62" t="n">
        <v>326.4</v>
      </c>
      <c r="Q913" s="0" t="n">
        <v>0</v>
      </c>
      <c r="R913" s="60" t="n">
        <f aca="false">G913+H913+I913</f>
        <v>4.6</v>
      </c>
      <c r="S913" s="60" t="n">
        <f aca="false">K913+L913+M913+N913+O913</f>
        <v>5.54</v>
      </c>
      <c r="T913" s="60" t="n">
        <f aca="false">L913+M913</f>
        <v>1.82</v>
      </c>
      <c r="U913" s="60" t="n">
        <f aca="false">S913+J913</f>
        <v>5.54</v>
      </c>
      <c r="V913" s="63" t="n">
        <f aca="false">IFERROR(S913/F913,0)</f>
        <v>0.546351084812623</v>
      </c>
      <c r="W913" s="63" t="n">
        <f aca="false">IFERROR(R913/F913,0)</f>
        <v>0.453648915187377</v>
      </c>
      <c r="X913" s="63" t="n">
        <f aca="false">IFERROR(T913/F913,0)</f>
        <v>0.17948717948718</v>
      </c>
      <c r="Y913" s="63" t="n">
        <f aca="false">IFERROR(G913/F913,0)</f>
        <v>0.00493096646942801</v>
      </c>
      <c r="Z913" s="59" t="n">
        <f aca="false">IF(E913&gt;0,F913*1000000000/E913,"")</f>
        <v>1002.01212731127</v>
      </c>
      <c r="AA913" s="63" t="n">
        <f aca="false">IFERROR((R913+S913+J913)/F913,0)</f>
        <v>1</v>
      </c>
      <c r="AB913" s="0" t="str">
        <f aca="false">A913&amp;"|"&amp;D913</f>
        <v>Honduras|2020</v>
      </c>
    </row>
    <row r="914" customFormat="false" ht="15" hidden="false" customHeight="false" outlineLevel="0" collapsed="false">
      <c r="A914" s="0" t="s">
        <v>268</v>
      </c>
      <c r="B914" s="0" t="s">
        <v>506</v>
      </c>
      <c r="C914" s="0" t="s">
        <v>127</v>
      </c>
      <c r="D914" s="0" t="n">
        <v>2021</v>
      </c>
      <c r="E914" s="59" t="n">
        <v>10289881</v>
      </c>
      <c r="F914" s="60" t="n">
        <v>11.12</v>
      </c>
      <c r="G914" s="61" t="n">
        <v>0.06</v>
      </c>
      <c r="H914" s="61" t="n">
        <v>0</v>
      </c>
      <c r="I914" s="61" t="n">
        <v>4.23</v>
      </c>
      <c r="J914" s="61" t="n">
        <v>0</v>
      </c>
      <c r="K914" s="61" t="n">
        <v>3.77</v>
      </c>
      <c r="L914" s="61" t="n">
        <v>1.14</v>
      </c>
      <c r="M914" s="61" t="n">
        <v>0.77</v>
      </c>
      <c r="N914" s="61" t="n">
        <v>0.8</v>
      </c>
      <c r="O914" s="61" t="n">
        <v>0.35</v>
      </c>
      <c r="P914" s="62" t="n">
        <v>284.2</v>
      </c>
      <c r="Q914" s="0" t="n">
        <v>0</v>
      </c>
      <c r="R914" s="60" t="n">
        <f aca="false">G914+H914+I914</f>
        <v>4.29</v>
      </c>
      <c r="S914" s="60" t="n">
        <f aca="false">K914+L914+M914+N914+O914</f>
        <v>6.83</v>
      </c>
      <c r="T914" s="60" t="n">
        <f aca="false">L914+M914</f>
        <v>1.91</v>
      </c>
      <c r="U914" s="60" t="n">
        <f aca="false">S914+J914</f>
        <v>6.83</v>
      </c>
      <c r="V914" s="63" t="n">
        <f aca="false">IFERROR(S914/F914,0)</f>
        <v>0.614208633093525</v>
      </c>
      <c r="W914" s="63" t="n">
        <f aca="false">IFERROR(R914/F914,0)</f>
        <v>0.385791366906475</v>
      </c>
      <c r="X914" s="63" t="n">
        <f aca="false">IFERROR(T914/F914,0)</f>
        <v>0.171762589928058</v>
      </c>
      <c r="Y914" s="63" t="n">
        <f aca="false">IFERROR(G914/F914,0)</f>
        <v>0.00539568345323741</v>
      </c>
      <c r="Z914" s="59" t="n">
        <f aca="false">IF(E914&gt;0,F914*1000000000/E914,"")</f>
        <v>1080.67333334564</v>
      </c>
      <c r="AA914" s="63" t="n">
        <f aca="false">IFERROR((R914+S914+J914)/F914,0)</f>
        <v>1</v>
      </c>
      <c r="AB914" s="0" t="str">
        <f aca="false">A914&amp;"|"&amp;D914</f>
        <v>Honduras|2021</v>
      </c>
    </row>
    <row r="915" customFormat="false" ht="15" hidden="false" customHeight="false" outlineLevel="0" collapsed="false">
      <c r="A915" s="0" t="s">
        <v>268</v>
      </c>
      <c r="B915" s="0" t="s">
        <v>506</v>
      </c>
      <c r="C915" s="0" t="s">
        <v>127</v>
      </c>
      <c r="D915" s="0" t="n">
        <v>2022</v>
      </c>
      <c r="E915" s="59" t="n">
        <v>10463880</v>
      </c>
      <c r="F915" s="60" t="n">
        <v>11.33</v>
      </c>
      <c r="G915" s="61" t="n">
        <v>0.07</v>
      </c>
      <c r="H915" s="61" t="n">
        <v>0</v>
      </c>
      <c r="I915" s="61" t="n">
        <v>4.5</v>
      </c>
      <c r="J915" s="61" t="n">
        <v>0</v>
      </c>
      <c r="K915" s="61" t="n">
        <v>3.88</v>
      </c>
      <c r="L915" s="61" t="n">
        <v>1.04</v>
      </c>
      <c r="M915" s="61" t="n">
        <v>0.69</v>
      </c>
      <c r="N915" s="61" t="n">
        <v>0.81</v>
      </c>
      <c r="O915" s="61" t="n">
        <v>0.34</v>
      </c>
      <c r="P915" s="62" t="n">
        <v>296.6</v>
      </c>
      <c r="Q915" s="0" t="n">
        <v>0</v>
      </c>
      <c r="R915" s="60" t="n">
        <f aca="false">G915+H915+I915</f>
        <v>4.57</v>
      </c>
      <c r="S915" s="60" t="n">
        <f aca="false">K915+L915+M915+N915+O915</f>
        <v>6.76</v>
      </c>
      <c r="T915" s="60" t="n">
        <f aca="false">L915+M915</f>
        <v>1.73</v>
      </c>
      <c r="U915" s="60" t="n">
        <f aca="false">S915+J915</f>
        <v>6.76</v>
      </c>
      <c r="V915" s="63" t="n">
        <f aca="false">IFERROR(S915/F915,0)</f>
        <v>0.596646072374228</v>
      </c>
      <c r="W915" s="63" t="n">
        <f aca="false">IFERROR(R915/F915,0)</f>
        <v>0.403353927625772</v>
      </c>
      <c r="X915" s="63" t="n">
        <f aca="false">IFERROR(T915/F915,0)</f>
        <v>0.152691968225949</v>
      </c>
      <c r="Y915" s="63" t="n">
        <f aca="false">IFERROR(G915/F915,0)</f>
        <v>0.00617828773168579</v>
      </c>
      <c r="Z915" s="59" t="n">
        <f aca="false">IF(E915&gt;0,F915*1000000000/E915,"")</f>
        <v>1082.77235595209</v>
      </c>
      <c r="AA915" s="63" t="n">
        <f aca="false">IFERROR((R915+S915+J915)/F915,0)</f>
        <v>1</v>
      </c>
      <c r="AB915" s="0" t="str">
        <f aca="false">A915&amp;"|"&amp;D915</f>
        <v>Honduras|2022</v>
      </c>
    </row>
    <row r="916" customFormat="false" ht="15" hidden="false" customHeight="false" outlineLevel="0" collapsed="false">
      <c r="A916" s="0" t="s">
        <v>268</v>
      </c>
      <c r="B916" s="0" t="s">
        <v>506</v>
      </c>
      <c r="C916" s="0" t="s">
        <v>127</v>
      </c>
      <c r="D916" s="0" t="n">
        <v>2023</v>
      </c>
      <c r="E916" s="59" t="n">
        <v>10644853</v>
      </c>
      <c r="F916" s="60" t="n">
        <v>12.49</v>
      </c>
      <c r="G916" s="61" t="n">
        <v>0.06</v>
      </c>
      <c r="H916" s="61" t="n">
        <v>0</v>
      </c>
      <c r="I916" s="61" t="n">
        <v>5.64</v>
      </c>
      <c r="J916" s="61" t="n">
        <v>0</v>
      </c>
      <c r="K916" s="61" t="n">
        <v>3.88</v>
      </c>
      <c r="L916" s="61" t="n">
        <v>1.04</v>
      </c>
      <c r="M916" s="61" t="n">
        <v>0.69</v>
      </c>
      <c r="N916" s="61" t="n">
        <v>0.83</v>
      </c>
      <c r="O916" s="61" t="n">
        <v>0.35</v>
      </c>
      <c r="P916" s="62" t="n">
        <v>328.3</v>
      </c>
      <c r="Q916" s="0" t="n">
        <v>0</v>
      </c>
      <c r="R916" s="60" t="n">
        <f aca="false">G916+H916+I916</f>
        <v>5.7</v>
      </c>
      <c r="S916" s="60" t="n">
        <f aca="false">K916+L916+M916+N916+O916</f>
        <v>6.79</v>
      </c>
      <c r="T916" s="60" t="n">
        <f aca="false">L916+M916</f>
        <v>1.73</v>
      </c>
      <c r="U916" s="60" t="n">
        <f aca="false">S916+J916</f>
        <v>6.79</v>
      </c>
      <c r="V916" s="63" t="n">
        <f aca="false">IFERROR(S916/F916,0)</f>
        <v>0.543634907926341</v>
      </c>
      <c r="W916" s="63" t="n">
        <f aca="false">IFERROR(R916/F916,0)</f>
        <v>0.456365092073659</v>
      </c>
      <c r="X916" s="63" t="n">
        <f aca="false">IFERROR(T916/F916,0)</f>
        <v>0.138510808646918</v>
      </c>
      <c r="Y916" s="63" t="n">
        <f aca="false">IFERROR(G916/F916,0)</f>
        <v>0.00480384307445957</v>
      </c>
      <c r="Z916" s="59" t="n">
        <f aca="false">IF(E916&gt;0,F916*1000000000/E916,"")</f>
        <v>1173.33701085398</v>
      </c>
      <c r="AA916" s="63" t="n">
        <f aca="false">IFERROR((R916+S916+J916)/F916,0)</f>
        <v>1</v>
      </c>
      <c r="AB916" s="0" t="str">
        <f aca="false">A916&amp;"|"&amp;D916</f>
        <v>Honduras|2023</v>
      </c>
    </row>
    <row r="917" customFormat="false" ht="15" hidden="false" customHeight="false" outlineLevel="0" collapsed="false">
      <c r="A917" s="0" t="s">
        <v>268</v>
      </c>
      <c r="B917" s="0" t="s">
        <v>506</v>
      </c>
      <c r="C917" s="0" t="s">
        <v>127</v>
      </c>
      <c r="D917" s="0" t="n">
        <v>2024</v>
      </c>
      <c r="E917" s="59" t="n">
        <v>10825704</v>
      </c>
      <c r="F917" s="60" t="n">
        <v>12.48</v>
      </c>
      <c r="G917" s="61" t="n">
        <v>0.06</v>
      </c>
      <c r="H917" s="61" t="n">
        <v>0</v>
      </c>
      <c r="I917" s="61" t="n">
        <v>5.5</v>
      </c>
      <c r="J917" s="61" t="n">
        <v>0</v>
      </c>
      <c r="K917" s="61" t="n">
        <v>3.8</v>
      </c>
      <c r="L917" s="61" t="n">
        <v>1.18</v>
      </c>
      <c r="M917" s="61" t="n">
        <v>0.75</v>
      </c>
      <c r="N917" s="61" t="n">
        <v>0.84</v>
      </c>
      <c r="O917" s="61" t="n">
        <v>0.35</v>
      </c>
      <c r="P917" s="62" t="n">
        <v>322.1</v>
      </c>
      <c r="Q917" s="0" t="n">
        <v>0</v>
      </c>
      <c r="R917" s="60" t="n">
        <f aca="false">G917+H917+I917</f>
        <v>5.56</v>
      </c>
      <c r="S917" s="60" t="n">
        <f aca="false">K917+L917+M917+N917+O917</f>
        <v>6.92</v>
      </c>
      <c r="T917" s="60" t="n">
        <f aca="false">L917+M917</f>
        <v>1.93</v>
      </c>
      <c r="U917" s="60" t="n">
        <f aca="false">S917+J917</f>
        <v>6.92</v>
      </c>
      <c r="V917" s="63" t="n">
        <f aca="false">IFERROR(S917/F917,0)</f>
        <v>0.554487179487179</v>
      </c>
      <c r="W917" s="63" t="n">
        <f aca="false">IFERROR(R917/F917,0)</f>
        <v>0.445512820512821</v>
      </c>
      <c r="X917" s="63" t="n">
        <f aca="false">IFERROR(T917/F917,0)</f>
        <v>0.154647435897436</v>
      </c>
      <c r="Y917" s="63" t="n">
        <f aca="false">IFERROR(G917/F917,0)</f>
        <v>0.00480769230769231</v>
      </c>
      <c r="Z917" s="59" t="n">
        <f aca="false">IF(E917&gt;0,F917*1000000000/E917,"")</f>
        <v>1152.81186332085</v>
      </c>
      <c r="AA917" s="63" t="n">
        <f aca="false">IFERROR((R917+S917+J917)/F917,0)</f>
        <v>1</v>
      </c>
      <c r="AB917" s="0" t="str">
        <f aca="false">A917&amp;"|"&amp;D917</f>
        <v>Honduras|2024</v>
      </c>
    </row>
    <row r="918" customFormat="false" ht="15" hidden="false" customHeight="false" outlineLevel="0" collapsed="false">
      <c r="A918" s="0" t="s">
        <v>269</v>
      </c>
      <c r="B918" s="0" t="s">
        <v>507</v>
      </c>
      <c r="C918" s="0" t="s">
        <v>127</v>
      </c>
      <c r="D918" s="0" t="n">
        <v>2015</v>
      </c>
      <c r="E918" s="59" t="n">
        <v>7366411</v>
      </c>
      <c r="F918" s="60" t="n">
        <v>37.86</v>
      </c>
      <c r="G918" s="61" t="n">
        <v>24.89</v>
      </c>
      <c r="H918" s="61" t="n">
        <v>12.67</v>
      </c>
      <c r="I918" s="61" t="n">
        <v>0.23</v>
      </c>
      <c r="J918" s="61" t="n">
        <v>0</v>
      </c>
      <c r="K918" s="61" t="n">
        <v>0</v>
      </c>
      <c r="L918" s="61" t="n">
        <v>0</v>
      </c>
      <c r="M918" s="61" t="n">
        <v>0</v>
      </c>
      <c r="N918" s="61" t="n">
        <v>0.07</v>
      </c>
      <c r="O918" s="61" t="n">
        <v>0</v>
      </c>
      <c r="P918" s="62" t="n">
        <v>814.8</v>
      </c>
      <c r="Q918" s="0" t="n">
        <v>0</v>
      </c>
      <c r="R918" s="60" t="n">
        <f aca="false">G918+H918+I918</f>
        <v>37.79</v>
      </c>
      <c r="S918" s="60" t="n">
        <f aca="false">K918+L918+M918+N918+O918</f>
        <v>0.07</v>
      </c>
      <c r="T918" s="60" t="n">
        <f aca="false">L918+M918</f>
        <v>0</v>
      </c>
      <c r="U918" s="60" t="n">
        <f aca="false">S918+J918</f>
        <v>0.07</v>
      </c>
      <c r="V918" s="63" t="n">
        <f aca="false">IFERROR(S918/F918,0)</f>
        <v>0.00184891706286318</v>
      </c>
      <c r="W918" s="63" t="n">
        <f aca="false">IFERROR(R918/F918,0)</f>
        <v>0.998151082937137</v>
      </c>
      <c r="X918" s="63" t="n">
        <f aca="false">IFERROR(T918/F918,0)</f>
        <v>0</v>
      </c>
      <c r="Y918" s="63" t="n">
        <f aca="false">IFERROR(G918/F918,0)</f>
        <v>0.657422081352351</v>
      </c>
      <c r="Z918" s="59" t="n">
        <f aca="false">IF(E918&gt;0,F918*1000000000/E918,"")</f>
        <v>5139.54488827734</v>
      </c>
      <c r="AA918" s="63" t="n">
        <f aca="false">IFERROR((R918+S918+J918)/F918,0)</f>
        <v>1</v>
      </c>
      <c r="AB918" s="0" t="str">
        <f aca="false">A918&amp;"|"&amp;D918</f>
        <v>Hong Kong|2015</v>
      </c>
    </row>
    <row r="919" customFormat="false" ht="15" hidden="false" customHeight="false" outlineLevel="0" collapsed="false">
      <c r="A919" s="0" t="s">
        <v>269</v>
      </c>
      <c r="B919" s="0" t="s">
        <v>507</v>
      </c>
      <c r="C919" s="0" t="s">
        <v>127</v>
      </c>
      <c r="D919" s="0" t="n">
        <v>2016</v>
      </c>
      <c r="E919" s="59" t="n">
        <v>7408006</v>
      </c>
      <c r="F919" s="60" t="n">
        <v>38.12</v>
      </c>
      <c r="G919" s="61" t="n">
        <v>25.12</v>
      </c>
      <c r="H919" s="61" t="n">
        <v>12.5</v>
      </c>
      <c r="I919" s="61" t="n">
        <v>0.36</v>
      </c>
      <c r="J919" s="61" t="n">
        <v>0</v>
      </c>
      <c r="K919" s="61" t="n">
        <v>0</v>
      </c>
      <c r="L919" s="61" t="n">
        <v>0</v>
      </c>
      <c r="M919" s="61" t="n">
        <v>0</v>
      </c>
      <c r="N919" s="61" t="n">
        <v>0.14</v>
      </c>
      <c r="O919" s="61" t="n">
        <v>0</v>
      </c>
      <c r="P919" s="62" t="n">
        <v>815.3</v>
      </c>
      <c r="Q919" s="0" t="n">
        <v>0</v>
      </c>
      <c r="R919" s="60" t="n">
        <f aca="false">G919+H919+I919</f>
        <v>37.98</v>
      </c>
      <c r="S919" s="60" t="n">
        <f aca="false">K919+L919+M919+N919+O919</f>
        <v>0.14</v>
      </c>
      <c r="T919" s="60" t="n">
        <f aca="false">L919+M919</f>
        <v>0</v>
      </c>
      <c r="U919" s="60" t="n">
        <f aca="false">S919+J919</f>
        <v>0.14</v>
      </c>
      <c r="V919" s="63" t="n">
        <f aca="false">IFERROR(S919/F919,0)</f>
        <v>0.00367261280167891</v>
      </c>
      <c r="W919" s="63" t="n">
        <f aca="false">IFERROR(R919/F919,0)</f>
        <v>0.996327387198321</v>
      </c>
      <c r="X919" s="63" t="n">
        <f aca="false">IFERROR(T919/F919,0)</f>
        <v>0</v>
      </c>
      <c r="Y919" s="63" t="n">
        <f aca="false">IFERROR(G919/F919,0)</f>
        <v>0.65897166841553</v>
      </c>
      <c r="Z919" s="59" t="n">
        <f aca="false">IF(E919&gt;0,F919*1000000000/E919,"")</f>
        <v>5145.78416918129</v>
      </c>
      <c r="AA919" s="63" t="n">
        <f aca="false">IFERROR((R919+S919+J919)/F919,0)</f>
        <v>1</v>
      </c>
      <c r="AB919" s="0" t="str">
        <f aca="false">A919&amp;"|"&amp;D919</f>
        <v>Hong Kong|2016</v>
      </c>
    </row>
    <row r="920" customFormat="false" ht="15" hidden="false" customHeight="false" outlineLevel="0" collapsed="false">
      <c r="A920" s="0" t="s">
        <v>269</v>
      </c>
      <c r="B920" s="0" t="s">
        <v>507</v>
      </c>
      <c r="C920" s="0" t="s">
        <v>127</v>
      </c>
      <c r="D920" s="0" t="n">
        <v>2017</v>
      </c>
      <c r="E920" s="59" t="n">
        <v>7444889</v>
      </c>
      <c r="F920" s="60" t="n">
        <v>36.94</v>
      </c>
      <c r="G920" s="61" t="n">
        <v>23.94</v>
      </c>
      <c r="H920" s="61" t="n">
        <v>12.44</v>
      </c>
      <c r="I920" s="61" t="n">
        <v>0.41</v>
      </c>
      <c r="J920" s="61" t="n">
        <v>0</v>
      </c>
      <c r="K920" s="61" t="n">
        <v>0</v>
      </c>
      <c r="L920" s="61" t="n">
        <v>0.01</v>
      </c>
      <c r="M920" s="61" t="n">
        <v>0</v>
      </c>
      <c r="N920" s="61" t="n">
        <v>0.14</v>
      </c>
      <c r="O920" s="61" t="n">
        <v>0</v>
      </c>
      <c r="P920" s="62" t="n">
        <v>810.5</v>
      </c>
      <c r="Q920" s="0" t="n">
        <v>0</v>
      </c>
      <c r="R920" s="60" t="n">
        <f aca="false">G920+H920+I920</f>
        <v>36.79</v>
      </c>
      <c r="S920" s="60" t="n">
        <f aca="false">K920+L920+M920+N920+O920</f>
        <v>0.15</v>
      </c>
      <c r="T920" s="60" t="n">
        <f aca="false">L920+M920</f>
        <v>0.01</v>
      </c>
      <c r="U920" s="60" t="n">
        <f aca="false">S920+J920</f>
        <v>0.15</v>
      </c>
      <c r="V920" s="63" t="n">
        <f aca="false">IFERROR(S920/F920,0)</f>
        <v>0.00406063887384949</v>
      </c>
      <c r="W920" s="63" t="n">
        <f aca="false">IFERROR(R920/F920,0)</f>
        <v>0.995939361126151</v>
      </c>
      <c r="X920" s="63" t="n">
        <f aca="false">IFERROR(T920/F920,0)</f>
        <v>0.000270709258256632</v>
      </c>
      <c r="Y920" s="63" t="n">
        <f aca="false">IFERROR(G920/F920,0)</f>
        <v>0.648077964266378</v>
      </c>
      <c r="Z920" s="59" t="n">
        <f aca="false">IF(E920&gt;0,F920*1000000000/E920,"")</f>
        <v>4961.7932517194</v>
      </c>
      <c r="AA920" s="63" t="n">
        <f aca="false">IFERROR((R920+S920+J920)/F920,0)</f>
        <v>1</v>
      </c>
      <c r="AB920" s="0" t="str">
        <f aca="false">A920&amp;"|"&amp;D920</f>
        <v>Hong Kong|2017</v>
      </c>
    </row>
    <row r="921" customFormat="false" ht="15" hidden="false" customHeight="false" outlineLevel="0" collapsed="false">
      <c r="A921" s="0" t="s">
        <v>269</v>
      </c>
      <c r="B921" s="0" t="s">
        <v>507</v>
      </c>
      <c r="C921" s="0" t="s">
        <v>127</v>
      </c>
      <c r="D921" s="0" t="n">
        <v>2018</v>
      </c>
      <c r="E921" s="59" t="n">
        <v>7471190</v>
      </c>
      <c r="F921" s="60" t="n">
        <v>36.57</v>
      </c>
      <c r="G921" s="61" t="n">
        <v>21.99</v>
      </c>
      <c r="H921" s="61" t="n">
        <v>14.14</v>
      </c>
      <c r="I921" s="61" t="n">
        <v>0.29</v>
      </c>
      <c r="J921" s="61" t="n">
        <v>0</v>
      </c>
      <c r="K921" s="61" t="n">
        <v>0</v>
      </c>
      <c r="L921" s="61" t="n">
        <v>0.01</v>
      </c>
      <c r="M921" s="61" t="n">
        <v>0</v>
      </c>
      <c r="N921" s="61" t="n">
        <v>0.14</v>
      </c>
      <c r="O921" s="61" t="n">
        <v>0</v>
      </c>
      <c r="P921" s="62" t="n">
        <v>790.3</v>
      </c>
      <c r="Q921" s="0" t="n">
        <v>0</v>
      </c>
      <c r="R921" s="60" t="n">
        <f aca="false">G921+H921+I921</f>
        <v>36.42</v>
      </c>
      <c r="S921" s="60" t="n">
        <f aca="false">K921+L921+M921+N921+O921</f>
        <v>0.15</v>
      </c>
      <c r="T921" s="60" t="n">
        <f aca="false">L921+M921</f>
        <v>0.01</v>
      </c>
      <c r="U921" s="60" t="n">
        <f aca="false">S921+J921</f>
        <v>0.15</v>
      </c>
      <c r="V921" s="63" t="n">
        <f aca="false">IFERROR(S921/F921,0)</f>
        <v>0.00410172272354389</v>
      </c>
      <c r="W921" s="63" t="n">
        <f aca="false">IFERROR(R921/F921,0)</f>
        <v>0.995898277276456</v>
      </c>
      <c r="X921" s="63" t="n">
        <f aca="false">IFERROR(T921/F921,0)</f>
        <v>0.000273448181569593</v>
      </c>
      <c r="Y921" s="63" t="n">
        <f aca="false">IFERROR(G921/F921,0)</f>
        <v>0.601312551271534</v>
      </c>
      <c r="Z921" s="59" t="n">
        <f aca="false">IF(E921&gt;0,F921*1000000000/E921,"")</f>
        <v>4894.80256826556</v>
      </c>
      <c r="AA921" s="63" t="n">
        <f aca="false">IFERROR((R921+S921+J921)/F921,0)</f>
        <v>1</v>
      </c>
      <c r="AB921" s="0" t="str">
        <f aca="false">A921&amp;"|"&amp;D921</f>
        <v>Hong Kong|2018</v>
      </c>
    </row>
    <row r="922" customFormat="false" ht="15" hidden="false" customHeight="false" outlineLevel="0" collapsed="false">
      <c r="A922" s="0" t="s">
        <v>269</v>
      </c>
      <c r="B922" s="0" t="s">
        <v>507</v>
      </c>
      <c r="C922" s="0" t="s">
        <v>127</v>
      </c>
      <c r="D922" s="0" t="n">
        <v>2019</v>
      </c>
      <c r="E922" s="59" t="n">
        <v>7485817</v>
      </c>
      <c r="F922" s="60" t="n">
        <v>36.94</v>
      </c>
      <c r="G922" s="61" t="n">
        <v>21.06</v>
      </c>
      <c r="H922" s="61" t="n">
        <v>15.54</v>
      </c>
      <c r="I922" s="61" t="n">
        <v>0.18</v>
      </c>
      <c r="J922" s="61" t="n">
        <v>0</v>
      </c>
      <c r="K922" s="61" t="n">
        <v>0</v>
      </c>
      <c r="L922" s="61" t="n">
        <v>0.02</v>
      </c>
      <c r="M922" s="61" t="n">
        <v>0</v>
      </c>
      <c r="N922" s="61" t="n">
        <v>0.14</v>
      </c>
      <c r="O922" s="61" t="n">
        <v>0</v>
      </c>
      <c r="P922" s="62" t="n">
        <v>776.7</v>
      </c>
      <c r="Q922" s="0" t="n">
        <v>0</v>
      </c>
      <c r="R922" s="60" t="n">
        <f aca="false">G922+H922+I922</f>
        <v>36.78</v>
      </c>
      <c r="S922" s="60" t="n">
        <f aca="false">K922+L922+M922+N922+O922</f>
        <v>0.16</v>
      </c>
      <c r="T922" s="60" t="n">
        <f aca="false">L922+M922</f>
        <v>0.02</v>
      </c>
      <c r="U922" s="60" t="n">
        <f aca="false">S922+J922</f>
        <v>0.16</v>
      </c>
      <c r="V922" s="63" t="n">
        <f aca="false">IFERROR(S922/F922,0)</f>
        <v>0.00433134813210612</v>
      </c>
      <c r="W922" s="63" t="n">
        <f aca="false">IFERROR(R922/F922,0)</f>
        <v>0.995668651867894</v>
      </c>
      <c r="X922" s="63" t="n">
        <f aca="false">IFERROR(T922/F922,0)</f>
        <v>0.000541418516513265</v>
      </c>
      <c r="Y922" s="63" t="n">
        <f aca="false">IFERROR(G922/F922,0)</f>
        <v>0.570113697888468</v>
      </c>
      <c r="Z922" s="59" t="n">
        <f aca="false">IF(E922&gt;0,F922*1000000000/E922,"")</f>
        <v>4934.66511404166</v>
      </c>
      <c r="AA922" s="63" t="n">
        <f aca="false">IFERROR((R922+S922+J922)/F922,0)</f>
        <v>1</v>
      </c>
      <c r="AB922" s="0" t="str">
        <f aca="false">A922&amp;"|"&amp;D922</f>
        <v>Hong Kong|2019</v>
      </c>
    </row>
    <row r="923" customFormat="false" ht="15" hidden="false" customHeight="false" outlineLevel="0" collapsed="false">
      <c r="A923" s="0" t="s">
        <v>269</v>
      </c>
      <c r="B923" s="0" t="s">
        <v>507</v>
      </c>
      <c r="C923" s="0" t="s">
        <v>127</v>
      </c>
      <c r="D923" s="0" t="n">
        <v>2020</v>
      </c>
      <c r="E923" s="59" t="n">
        <v>7490240</v>
      </c>
      <c r="F923" s="60" t="n">
        <v>34.35</v>
      </c>
      <c r="G923" s="61" t="n">
        <v>12.13</v>
      </c>
      <c r="H923" s="61" t="n">
        <v>21.87</v>
      </c>
      <c r="I923" s="61" t="n">
        <v>0.16</v>
      </c>
      <c r="J923" s="61" t="n">
        <v>0</v>
      </c>
      <c r="K923" s="61" t="n">
        <v>0</v>
      </c>
      <c r="L923" s="61" t="n">
        <v>0.05</v>
      </c>
      <c r="M923" s="61" t="n">
        <v>0</v>
      </c>
      <c r="N923" s="61" t="n">
        <v>0.14</v>
      </c>
      <c r="O923" s="61" t="n">
        <v>0</v>
      </c>
      <c r="P923" s="62" t="n">
        <v>684.1</v>
      </c>
      <c r="Q923" s="0" t="n">
        <v>0</v>
      </c>
      <c r="R923" s="60" t="n">
        <f aca="false">G923+H923+I923</f>
        <v>34.16</v>
      </c>
      <c r="S923" s="60" t="n">
        <f aca="false">K923+L923+M923+N923+O923</f>
        <v>0.19</v>
      </c>
      <c r="T923" s="60" t="n">
        <f aca="false">L923+M923</f>
        <v>0.05</v>
      </c>
      <c r="U923" s="60" t="n">
        <f aca="false">S923+J923</f>
        <v>0.19</v>
      </c>
      <c r="V923" s="63" t="n">
        <f aca="false">IFERROR(S923/F923,0)</f>
        <v>0.00553129548762737</v>
      </c>
      <c r="W923" s="63" t="n">
        <f aca="false">IFERROR(R923/F923,0)</f>
        <v>0.994468704512373</v>
      </c>
      <c r="X923" s="63" t="n">
        <f aca="false">IFERROR(T923/F923,0)</f>
        <v>0.00145560407569141</v>
      </c>
      <c r="Y923" s="63" t="n">
        <f aca="false">IFERROR(G923/F923,0)</f>
        <v>0.353129548762737</v>
      </c>
      <c r="Z923" s="59" t="n">
        <f aca="false">IF(E923&gt;0,F923*1000000000/E923,"")</f>
        <v>4585.96787285855</v>
      </c>
      <c r="AA923" s="63" t="n">
        <f aca="false">IFERROR((R923+S923+J923)/F923,0)</f>
        <v>1</v>
      </c>
      <c r="AB923" s="0" t="str">
        <f aca="false">A923&amp;"|"&amp;D923</f>
        <v>Hong Kong|2020</v>
      </c>
    </row>
    <row r="924" customFormat="false" ht="15" hidden="false" customHeight="false" outlineLevel="0" collapsed="false">
      <c r="A924" s="0" t="s">
        <v>269</v>
      </c>
      <c r="B924" s="0" t="s">
        <v>507</v>
      </c>
      <c r="C924" s="0" t="s">
        <v>127</v>
      </c>
      <c r="D924" s="0" t="n">
        <v>2021</v>
      </c>
      <c r="E924" s="59" t="n">
        <v>7484604</v>
      </c>
      <c r="F924" s="60" t="n">
        <v>36.22</v>
      </c>
      <c r="G924" s="61" t="n">
        <v>13.5</v>
      </c>
      <c r="H924" s="61" t="n">
        <v>22.26</v>
      </c>
      <c r="I924" s="61" t="n">
        <v>0.2</v>
      </c>
      <c r="J924" s="61" t="n">
        <v>0</v>
      </c>
      <c r="K924" s="61" t="n">
        <v>0</v>
      </c>
      <c r="L924" s="61" t="n">
        <v>0.12</v>
      </c>
      <c r="M924" s="61" t="n">
        <v>0</v>
      </c>
      <c r="N924" s="61" t="n">
        <v>0.14</v>
      </c>
      <c r="O924" s="61" t="n">
        <v>0</v>
      </c>
      <c r="P924" s="62" t="n">
        <v>691.6</v>
      </c>
      <c r="Q924" s="0" t="n">
        <v>0</v>
      </c>
      <c r="R924" s="60" t="n">
        <f aca="false">G924+H924+I924</f>
        <v>35.96</v>
      </c>
      <c r="S924" s="60" t="n">
        <f aca="false">K924+L924+M924+N924+O924</f>
        <v>0.26</v>
      </c>
      <c r="T924" s="60" t="n">
        <f aca="false">L924+M924</f>
        <v>0.12</v>
      </c>
      <c r="U924" s="60" t="n">
        <f aca="false">S924+J924</f>
        <v>0.26</v>
      </c>
      <c r="V924" s="63" t="n">
        <f aca="false">IFERROR(S924/F924,0)</f>
        <v>0.00717835450027609</v>
      </c>
      <c r="W924" s="63" t="n">
        <f aca="false">IFERROR(R924/F924,0)</f>
        <v>0.992821645499724</v>
      </c>
      <c r="X924" s="63" t="n">
        <f aca="false">IFERROR(T924/F924,0)</f>
        <v>0.00331308669243512</v>
      </c>
      <c r="Y924" s="63" t="n">
        <f aca="false">IFERROR(G924/F924,0)</f>
        <v>0.372722252898951</v>
      </c>
      <c r="Z924" s="59" t="n">
        <f aca="false">IF(E924&gt;0,F924*1000000000/E924,"")</f>
        <v>4839.2673814139</v>
      </c>
      <c r="AA924" s="63" t="n">
        <f aca="false">IFERROR((R924+S924+J924)/F924,0)</f>
        <v>1</v>
      </c>
      <c r="AB924" s="0" t="str">
        <f aca="false">A924&amp;"|"&amp;D924</f>
        <v>Hong Kong|2021</v>
      </c>
    </row>
    <row r="925" customFormat="false" ht="15" hidden="false" customHeight="false" outlineLevel="0" collapsed="false">
      <c r="A925" s="0" t="s">
        <v>269</v>
      </c>
      <c r="B925" s="0" t="s">
        <v>507</v>
      </c>
      <c r="C925" s="0" t="s">
        <v>127</v>
      </c>
      <c r="D925" s="0" t="n">
        <v>2022</v>
      </c>
      <c r="E925" s="59" t="n">
        <v>7465913</v>
      </c>
      <c r="F925" s="60" t="n">
        <v>36.1</v>
      </c>
      <c r="G925" s="61" t="n">
        <v>12.73</v>
      </c>
      <c r="H925" s="61" t="n">
        <v>22.84</v>
      </c>
      <c r="I925" s="61" t="n">
        <v>0.2</v>
      </c>
      <c r="J925" s="61" t="n">
        <v>0</v>
      </c>
      <c r="K925" s="61" t="n">
        <v>0</v>
      </c>
      <c r="L925" s="61" t="n">
        <v>0.18</v>
      </c>
      <c r="M925" s="61" t="n">
        <v>0</v>
      </c>
      <c r="N925" s="61" t="n">
        <v>0.15</v>
      </c>
      <c r="O925" s="61" t="n">
        <v>0</v>
      </c>
      <c r="P925" s="62" t="n">
        <v>682.3</v>
      </c>
      <c r="Q925" s="0" t="n">
        <v>0</v>
      </c>
      <c r="R925" s="60" t="n">
        <f aca="false">G925+H925+I925</f>
        <v>35.77</v>
      </c>
      <c r="S925" s="60" t="n">
        <f aca="false">K925+L925+M925+N925+O925</f>
        <v>0.33</v>
      </c>
      <c r="T925" s="60" t="n">
        <f aca="false">L925+M925</f>
        <v>0.18</v>
      </c>
      <c r="U925" s="60" t="n">
        <f aca="false">S925+J925</f>
        <v>0.33</v>
      </c>
      <c r="V925" s="63" t="n">
        <f aca="false">IFERROR(S925/F925,0)</f>
        <v>0.00914127423822715</v>
      </c>
      <c r="W925" s="63" t="n">
        <f aca="false">IFERROR(R925/F925,0)</f>
        <v>0.990858725761773</v>
      </c>
      <c r="X925" s="63" t="n">
        <f aca="false">IFERROR(T925/F925,0)</f>
        <v>0.00498614958448753</v>
      </c>
      <c r="Y925" s="63" t="n">
        <f aca="false">IFERROR(G925/F925,0)</f>
        <v>0.352631578947368</v>
      </c>
      <c r="Z925" s="59" t="n">
        <f aca="false">IF(E925&gt;0,F925*1000000000/E925,"")</f>
        <v>4835.30949262334</v>
      </c>
      <c r="AA925" s="63" t="n">
        <f aca="false">IFERROR((R925+S925+J925)/F925,0)</f>
        <v>1</v>
      </c>
      <c r="AB925" s="0" t="str">
        <f aca="false">A925&amp;"|"&amp;D925</f>
        <v>Hong Kong|2022</v>
      </c>
    </row>
    <row r="926" customFormat="false" ht="15" hidden="false" customHeight="false" outlineLevel="0" collapsed="false">
      <c r="A926" s="0" t="s">
        <v>269</v>
      </c>
      <c r="B926" s="0" t="s">
        <v>507</v>
      </c>
      <c r="C926" s="0" t="s">
        <v>127</v>
      </c>
      <c r="D926" s="0" t="n">
        <v>2023</v>
      </c>
      <c r="E926" s="59" t="n">
        <v>7442738</v>
      </c>
      <c r="F926" s="60" t="n">
        <v>37.75</v>
      </c>
      <c r="G926" s="61" t="n">
        <v>12.56</v>
      </c>
      <c r="H926" s="61" t="n">
        <v>24.39</v>
      </c>
      <c r="I926" s="61" t="n">
        <v>0.44</v>
      </c>
      <c r="J926" s="61" t="n">
        <v>0</v>
      </c>
      <c r="K926" s="61" t="n">
        <v>0</v>
      </c>
      <c r="L926" s="61" t="n">
        <v>0.2</v>
      </c>
      <c r="M926" s="61" t="n">
        <v>0</v>
      </c>
      <c r="N926" s="61" t="n">
        <v>0.16</v>
      </c>
      <c r="O926" s="61" t="n">
        <v>0</v>
      </c>
      <c r="P926" s="62" t="n">
        <v>674.4</v>
      </c>
      <c r="Q926" s="0" t="n">
        <v>0</v>
      </c>
      <c r="R926" s="60" t="n">
        <f aca="false">G926+H926+I926</f>
        <v>37.39</v>
      </c>
      <c r="S926" s="60" t="n">
        <f aca="false">K926+L926+M926+N926+O926</f>
        <v>0.36</v>
      </c>
      <c r="T926" s="60" t="n">
        <f aca="false">L926+M926</f>
        <v>0.2</v>
      </c>
      <c r="U926" s="60" t="n">
        <f aca="false">S926+J926</f>
        <v>0.36</v>
      </c>
      <c r="V926" s="63" t="n">
        <f aca="false">IFERROR(S926/F926,0)</f>
        <v>0.0095364238410596</v>
      </c>
      <c r="W926" s="63" t="n">
        <f aca="false">IFERROR(R926/F926,0)</f>
        <v>0.99046357615894</v>
      </c>
      <c r="X926" s="63" t="n">
        <f aca="false">IFERROR(T926/F926,0)</f>
        <v>0.00529801324503311</v>
      </c>
      <c r="Y926" s="63" t="n">
        <f aca="false">IFERROR(G926/F926,0)</f>
        <v>0.33271523178808</v>
      </c>
      <c r="Z926" s="59" t="n">
        <f aca="false">IF(E926&gt;0,F926*1000000000/E926,"")</f>
        <v>5072.05815924194</v>
      </c>
      <c r="AA926" s="63" t="n">
        <f aca="false">IFERROR((R926+S926+J926)/F926,0)</f>
        <v>1</v>
      </c>
      <c r="AB926" s="0" t="str">
        <f aca="false">A926&amp;"|"&amp;D926</f>
        <v>Hong Kong|2023</v>
      </c>
    </row>
    <row r="927" customFormat="false" ht="15" hidden="false" customHeight="false" outlineLevel="0" collapsed="false">
      <c r="A927" s="0" t="s">
        <v>269</v>
      </c>
      <c r="B927" s="0" t="s">
        <v>507</v>
      </c>
      <c r="C927" s="0" t="s">
        <v>127</v>
      </c>
      <c r="D927" s="0" t="n">
        <v>2024</v>
      </c>
      <c r="E927" s="59" t="n">
        <v>7414914</v>
      </c>
      <c r="F927" s="60" t="n">
        <v>37.44</v>
      </c>
      <c r="G927" s="61" t="n">
        <v>12.6</v>
      </c>
      <c r="H927" s="61" t="n">
        <v>24</v>
      </c>
      <c r="I927" s="61" t="n">
        <v>0.45</v>
      </c>
      <c r="J927" s="61" t="n">
        <v>0</v>
      </c>
      <c r="K927" s="61" t="n">
        <v>0</v>
      </c>
      <c r="L927" s="61" t="n">
        <v>0.23</v>
      </c>
      <c r="M927" s="61" t="n">
        <v>0</v>
      </c>
      <c r="N927" s="61" t="n">
        <v>0.16</v>
      </c>
      <c r="O927" s="61" t="n">
        <v>0</v>
      </c>
      <c r="P927" s="62" t="n">
        <v>675.5</v>
      </c>
      <c r="Q927" s="0" t="n">
        <v>0</v>
      </c>
      <c r="R927" s="60" t="n">
        <f aca="false">G927+H927+I927</f>
        <v>37.05</v>
      </c>
      <c r="S927" s="60" t="n">
        <f aca="false">K927+L927+M927+N927+O927</f>
        <v>0.39</v>
      </c>
      <c r="T927" s="60" t="n">
        <f aca="false">L927+M927</f>
        <v>0.23</v>
      </c>
      <c r="U927" s="60" t="n">
        <f aca="false">S927+J927</f>
        <v>0.39</v>
      </c>
      <c r="V927" s="63" t="n">
        <f aca="false">IFERROR(S927/F927,0)</f>
        <v>0.0104166666666667</v>
      </c>
      <c r="W927" s="63" t="n">
        <f aca="false">IFERROR(R927/F927,0)</f>
        <v>0.989583333333334</v>
      </c>
      <c r="X927" s="63" t="n">
        <f aca="false">IFERROR(T927/F927,0)</f>
        <v>0.00614316239316239</v>
      </c>
      <c r="Y927" s="63" t="n">
        <f aca="false">IFERROR(G927/F927,0)</f>
        <v>0.336538461538462</v>
      </c>
      <c r="Z927" s="59" t="n">
        <f aca="false">IF(E927&gt;0,F927*1000000000/E927,"")</f>
        <v>5049.28310699221</v>
      </c>
      <c r="AA927" s="63" t="n">
        <f aca="false">IFERROR((R927+S927+J927)/F927,0)</f>
        <v>1</v>
      </c>
      <c r="AB927" s="0" t="str">
        <f aca="false">A927&amp;"|"&amp;D927</f>
        <v>Hong Kong|2024</v>
      </c>
    </row>
    <row r="928" customFormat="false" ht="15" hidden="false" customHeight="false" outlineLevel="0" collapsed="false">
      <c r="A928" s="0" t="s">
        <v>270</v>
      </c>
      <c r="B928" s="0" t="s">
        <v>508</v>
      </c>
      <c r="C928" s="0" t="s">
        <v>127</v>
      </c>
      <c r="D928" s="0" t="n">
        <v>2015</v>
      </c>
      <c r="E928" s="59" t="n">
        <v>9839211</v>
      </c>
      <c r="F928" s="60" t="n">
        <v>30.33</v>
      </c>
      <c r="G928" s="61" t="n">
        <v>5.79</v>
      </c>
      <c r="H928" s="61" t="n">
        <v>5.11</v>
      </c>
      <c r="I928" s="61" t="n">
        <v>0.38</v>
      </c>
      <c r="J928" s="61" t="n">
        <v>15.83</v>
      </c>
      <c r="K928" s="61" t="n">
        <v>0.23</v>
      </c>
      <c r="L928" s="61" t="n">
        <v>0.14</v>
      </c>
      <c r="M928" s="61" t="n">
        <v>0.69</v>
      </c>
      <c r="N928" s="61" t="n">
        <v>2.16</v>
      </c>
      <c r="O928" s="61" t="n">
        <v>0</v>
      </c>
      <c r="P928" s="62" t="n">
        <v>299</v>
      </c>
      <c r="Q928" s="0" t="n">
        <v>0</v>
      </c>
      <c r="R928" s="60" t="n">
        <f aca="false">G928+H928+I928</f>
        <v>11.28</v>
      </c>
      <c r="S928" s="60" t="n">
        <f aca="false">K928+L928+M928+N928+O928</f>
        <v>3.22</v>
      </c>
      <c r="T928" s="60" t="n">
        <f aca="false">L928+M928</f>
        <v>0.83</v>
      </c>
      <c r="U928" s="60" t="n">
        <f aca="false">S928+J928</f>
        <v>19.05</v>
      </c>
      <c r="V928" s="63" t="n">
        <f aca="false">IFERROR(S928/F928,0)</f>
        <v>0.106165512693703</v>
      </c>
      <c r="W928" s="63" t="n">
        <f aca="false">IFERROR(R928/F928,0)</f>
        <v>0.37190900098912</v>
      </c>
      <c r="X928" s="63" t="n">
        <f aca="false">IFERROR(T928/F928,0)</f>
        <v>0.0273656445763271</v>
      </c>
      <c r="Y928" s="63" t="n">
        <f aca="false">IFERROR(G928/F928,0)</f>
        <v>0.190900098911968</v>
      </c>
      <c r="Z928" s="59" t="n">
        <f aca="false">IF(E928&gt;0,F928*1000000000/E928,"")</f>
        <v>3082.56424219381</v>
      </c>
      <c r="AA928" s="63" t="n">
        <f aca="false">IFERROR((R928+S928+J928)/F928,0)</f>
        <v>1</v>
      </c>
      <c r="AB928" s="0" t="str">
        <f aca="false">A928&amp;"|"&amp;D928</f>
        <v>Hungary|2015</v>
      </c>
    </row>
    <row r="929" customFormat="false" ht="15" hidden="false" customHeight="false" outlineLevel="0" collapsed="false">
      <c r="A929" s="0" t="s">
        <v>270</v>
      </c>
      <c r="B929" s="0" t="s">
        <v>508</v>
      </c>
      <c r="C929" s="0" t="s">
        <v>127</v>
      </c>
      <c r="D929" s="0" t="n">
        <v>2016</v>
      </c>
      <c r="E929" s="59" t="n">
        <v>9810529</v>
      </c>
      <c r="F929" s="60" t="n">
        <v>31.88</v>
      </c>
      <c r="G929" s="61" t="n">
        <v>5.63</v>
      </c>
      <c r="H929" s="61" t="n">
        <v>6.48</v>
      </c>
      <c r="I929" s="61" t="n">
        <v>0.47</v>
      </c>
      <c r="J929" s="61" t="n">
        <v>16.05</v>
      </c>
      <c r="K929" s="61" t="n">
        <v>0.26</v>
      </c>
      <c r="L929" s="61" t="n">
        <v>0.24</v>
      </c>
      <c r="M929" s="61" t="n">
        <v>0.68</v>
      </c>
      <c r="N929" s="61" t="n">
        <v>2.07</v>
      </c>
      <c r="O929" s="61" t="n">
        <v>0</v>
      </c>
      <c r="P929" s="62" t="n">
        <v>300.2</v>
      </c>
      <c r="Q929" s="0" t="n">
        <v>0</v>
      </c>
      <c r="R929" s="60" t="n">
        <f aca="false">G929+H929+I929</f>
        <v>12.58</v>
      </c>
      <c r="S929" s="60" t="n">
        <f aca="false">K929+L929+M929+N929+O929</f>
        <v>3.25</v>
      </c>
      <c r="T929" s="60" t="n">
        <f aca="false">L929+M929</f>
        <v>0.92</v>
      </c>
      <c r="U929" s="60" t="n">
        <f aca="false">S929+J929</f>
        <v>19.3</v>
      </c>
      <c r="V929" s="63" t="n">
        <f aca="false">IFERROR(S929/F929,0)</f>
        <v>0.101944792973651</v>
      </c>
      <c r="W929" s="63" t="n">
        <f aca="false">IFERROR(R929/F929,0)</f>
        <v>0.394604767879548</v>
      </c>
      <c r="X929" s="63" t="n">
        <f aca="false">IFERROR(T929/F929,0)</f>
        <v>0.0288582183186951</v>
      </c>
      <c r="Y929" s="63" t="n">
        <f aca="false">IFERROR(G929/F929,0)</f>
        <v>0.176599749058971</v>
      </c>
      <c r="Z929" s="59" t="n">
        <f aca="false">IF(E929&gt;0,F929*1000000000/E929,"")</f>
        <v>3249.56992635158</v>
      </c>
      <c r="AA929" s="63" t="n">
        <f aca="false">IFERROR((R929+S929+J929)/F929,0)</f>
        <v>1</v>
      </c>
      <c r="AB929" s="0" t="str">
        <f aca="false">A929&amp;"|"&amp;D929</f>
        <v>Hungary|2016</v>
      </c>
    </row>
    <row r="930" customFormat="false" ht="15" hidden="false" customHeight="false" outlineLevel="0" collapsed="false">
      <c r="A930" s="0" t="s">
        <v>270</v>
      </c>
      <c r="B930" s="0" t="s">
        <v>508</v>
      </c>
      <c r="C930" s="0" t="s">
        <v>127</v>
      </c>
      <c r="D930" s="0" t="n">
        <v>2017</v>
      </c>
      <c r="E930" s="59" t="n">
        <v>9785608</v>
      </c>
      <c r="F930" s="60" t="n">
        <v>32.92</v>
      </c>
      <c r="G930" s="61" t="n">
        <v>4.93</v>
      </c>
      <c r="H930" s="61" t="n">
        <v>7.87</v>
      </c>
      <c r="I930" s="61" t="n">
        <v>0.54</v>
      </c>
      <c r="J930" s="61" t="n">
        <v>16.1</v>
      </c>
      <c r="K930" s="61" t="n">
        <v>0.22</v>
      </c>
      <c r="L930" s="61" t="n">
        <v>0.35</v>
      </c>
      <c r="M930" s="61" t="n">
        <v>0.76</v>
      </c>
      <c r="N930" s="61" t="n">
        <v>2.15</v>
      </c>
      <c r="O930" s="61" t="n">
        <v>0</v>
      </c>
      <c r="P930" s="62" t="n">
        <v>290.7</v>
      </c>
      <c r="Q930" s="0" t="n">
        <v>0</v>
      </c>
      <c r="R930" s="60" t="n">
        <f aca="false">G930+H930+I930</f>
        <v>13.34</v>
      </c>
      <c r="S930" s="60" t="n">
        <f aca="false">K930+L930+M930+N930+O930</f>
        <v>3.48</v>
      </c>
      <c r="T930" s="60" t="n">
        <f aca="false">L930+M930</f>
        <v>1.11</v>
      </c>
      <c r="U930" s="60" t="n">
        <f aca="false">S930+J930</f>
        <v>19.58</v>
      </c>
      <c r="V930" s="63" t="n">
        <f aca="false">IFERROR(S930/F930,0)</f>
        <v>0.105710814094775</v>
      </c>
      <c r="W930" s="63" t="n">
        <f aca="false">IFERROR(R930/F930,0)</f>
        <v>0.405224787363305</v>
      </c>
      <c r="X930" s="63" t="n">
        <f aca="false">IFERROR(T930/F930,0)</f>
        <v>0.0337181044957473</v>
      </c>
      <c r="Y930" s="63" t="n">
        <f aca="false">IFERROR(G930/F930,0)</f>
        <v>0.149756986634265</v>
      </c>
      <c r="Z930" s="59" t="n">
        <f aca="false">IF(E930&gt;0,F930*1000000000/E930,"")</f>
        <v>3364.12413004895</v>
      </c>
      <c r="AA930" s="63" t="n">
        <f aca="false">IFERROR((R930+S930+J930)/F930,0)</f>
        <v>1</v>
      </c>
      <c r="AB930" s="0" t="str">
        <f aca="false">A930&amp;"|"&amp;D930</f>
        <v>Hungary|2017</v>
      </c>
    </row>
    <row r="931" customFormat="false" ht="15" hidden="false" customHeight="false" outlineLevel="0" collapsed="false">
      <c r="A931" s="0" t="s">
        <v>270</v>
      </c>
      <c r="B931" s="0" t="s">
        <v>508</v>
      </c>
      <c r="C931" s="0" t="s">
        <v>127</v>
      </c>
      <c r="D931" s="0" t="n">
        <v>2018</v>
      </c>
      <c r="E931" s="59" t="n">
        <v>9774395</v>
      </c>
      <c r="F931" s="60" t="n">
        <v>32.05</v>
      </c>
      <c r="G931" s="61" t="n">
        <v>4.67</v>
      </c>
      <c r="H931" s="61" t="n">
        <v>7.28</v>
      </c>
      <c r="I931" s="61" t="n">
        <v>0.6</v>
      </c>
      <c r="J931" s="61" t="n">
        <v>15.73</v>
      </c>
      <c r="K931" s="61" t="n">
        <v>0.22</v>
      </c>
      <c r="L931" s="61" t="n">
        <v>0.63</v>
      </c>
      <c r="M931" s="61" t="n">
        <v>0.61</v>
      </c>
      <c r="N931" s="61" t="n">
        <v>2.3</v>
      </c>
      <c r="O931" s="61" t="n">
        <v>0.01</v>
      </c>
      <c r="P931" s="62" t="n">
        <v>284.6</v>
      </c>
      <c r="Q931" s="0" t="n">
        <v>0</v>
      </c>
      <c r="R931" s="60" t="n">
        <f aca="false">G931+H931+I931</f>
        <v>12.55</v>
      </c>
      <c r="S931" s="60" t="n">
        <f aca="false">K931+L931+M931+N931+O931</f>
        <v>3.77</v>
      </c>
      <c r="T931" s="60" t="n">
        <f aca="false">L931+M931</f>
        <v>1.24</v>
      </c>
      <c r="U931" s="60" t="n">
        <f aca="false">S931+J931</f>
        <v>19.5</v>
      </c>
      <c r="V931" s="63" t="n">
        <f aca="false">IFERROR(S931/F931,0)</f>
        <v>0.117628705148206</v>
      </c>
      <c r="W931" s="63" t="n">
        <f aca="false">IFERROR(R931/F931,0)</f>
        <v>0.391575663026521</v>
      </c>
      <c r="X931" s="63" t="n">
        <f aca="false">IFERROR(T931/F931,0)</f>
        <v>0.0386895475819033</v>
      </c>
      <c r="Y931" s="63" t="n">
        <f aca="false">IFERROR(G931/F931,0)</f>
        <v>0.145709828393136</v>
      </c>
      <c r="Z931" s="59" t="n">
        <f aca="false">IF(E931&gt;0,F931*1000000000/E931,"")</f>
        <v>3278.97532276934</v>
      </c>
      <c r="AA931" s="63" t="n">
        <f aca="false">IFERROR((R931+S931+J931)/F931,0)</f>
        <v>1</v>
      </c>
      <c r="AB931" s="0" t="str">
        <f aca="false">A931&amp;"|"&amp;D931</f>
        <v>Hungary|2018</v>
      </c>
    </row>
    <row r="932" customFormat="false" ht="15" hidden="false" customHeight="false" outlineLevel="0" collapsed="false">
      <c r="A932" s="0" t="s">
        <v>270</v>
      </c>
      <c r="B932" s="0" t="s">
        <v>508</v>
      </c>
      <c r="C932" s="0" t="s">
        <v>127</v>
      </c>
      <c r="D932" s="0" t="n">
        <v>2019</v>
      </c>
      <c r="E932" s="59" t="n">
        <v>9770346</v>
      </c>
      <c r="F932" s="60" t="n">
        <v>34.28</v>
      </c>
      <c r="G932" s="61" t="n">
        <v>4.03</v>
      </c>
      <c r="H932" s="61" t="n">
        <v>8.7</v>
      </c>
      <c r="I932" s="61" t="n">
        <v>0.56</v>
      </c>
      <c r="J932" s="61" t="n">
        <v>16.29</v>
      </c>
      <c r="K932" s="61" t="n">
        <v>0.22</v>
      </c>
      <c r="L932" s="61" t="n">
        <v>1.5</v>
      </c>
      <c r="M932" s="61" t="n">
        <v>0.73</v>
      </c>
      <c r="N932" s="61" t="n">
        <v>2.23</v>
      </c>
      <c r="O932" s="61" t="n">
        <v>0.02</v>
      </c>
      <c r="P932" s="62" t="n">
        <v>266</v>
      </c>
      <c r="Q932" s="0" t="n">
        <v>0</v>
      </c>
      <c r="R932" s="60" t="n">
        <f aca="false">G932+H932+I932</f>
        <v>13.29</v>
      </c>
      <c r="S932" s="60" t="n">
        <f aca="false">K932+L932+M932+N932+O932</f>
        <v>4.7</v>
      </c>
      <c r="T932" s="60" t="n">
        <f aca="false">L932+M932</f>
        <v>2.23</v>
      </c>
      <c r="U932" s="60" t="n">
        <f aca="false">S932+J932</f>
        <v>20.99</v>
      </c>
      <c r="V932" s="63" t="n">
        <f aca="false">IFERROR(S932/F932,0)</f>
        <v>0.137106184364061</v>
      </c>
      <c r="W932" s="63" t="n">
        <f aca="false">IFERROR(R932/F932,0)</f>
        <v>0.387689614935823</v>
      </c>
      <c r="X932" s="63" t="n">
        <f aca="false">IFERROR(T932/F932,0)</f>
        <v>0.0650525087514586</v>
      </c>
      <c r="Y932" s="63" t="n">
        <f aca="false">IFERROR(G932/F932,0)</f>
        <v>0.117561260210035</v>
      </c>
      <c r="Z932" s="59" t="n">
        <f aca="false">IF(E932&gt;0,F932*1000000000/E932,"")</f>
        <v>3508.57584777448</v>
      </c>
      <c r="AA932" s="63" t="n">
        <f aca="false">IFERROR((R932+S932+J932)/F932,0)</f>
        <v>1</v>
      </c>
      <c r="AB932" s="0" t="str">
        <f aca="false">A932&amp;"|"&amp;D932</f>
        <v>Hungary|2019</v>
      </c>
    </row>
    <row r="933" customFormat="false" ht="15" hidden="false" customHeight="false" outlineLevel="0" collapsed="false">
      <c r="A933" s="0" t="s">
        <v>270</v>
      </c>
      <c r="B933" s="0" t="s">
        <v>508</v>
      </c>
      <c r="C933" s="0" t="s">
        <v>127</v>
      </c>
      <c r="D933" s="0" t="n">
        <v>2020</v>
      </c>
      <c r="E933" s="59" t="n">
        <v>9749459</v>
      </c>
      <c r="F933" s="60" t="n">
        <v>34.92</v>
      </c>
      <c r="G933" s="61" t="n">
        <v>3.71</v>
      </c>
      <c r="H933" s="61" t="n">
        <v>9.09</v>
      </c>
      <c r="I933" s="61" t="n">
        <v>0.54</v>
      </c>
      <c r="J933" s="61" t="n">
        <v>16.06</v>
      </c>
      <c r="K933" s="61" t="n">
        <v>0.24</v>
      </c>
      <c r="L933" s="61" t="n">
        <v>2.46</v>
      </c>
      <c r="M933" s="61" t="n">
        <v>0.65</v>
      </c>
      <c r="N933" s="61" t="n">
        <v>2.15</v>
      </c>
      <c r="O933" s="61" t="n">
        <v>0.02</v>
      </c>
      <c r="P933" s="62" t="n">
        <v>257.4</v>
      </c>
      <c r="Q933" s="0" t="n">
        <v>0</v>
      </c>
      <c r="R933" s="60" t="n">
        <f aca="false">G933+H933+I933</f>
        <v>13.34</v>
      </c>
      <c r="S933" s="60" t="n">
        <f aca="false">K933+L933+M933+N933+O933</f>
        <v>5.52</v>
      </c>
      <c r="T933" s="60" t="n">
        <f aca="false">L933+M933</f>
        <v>3.11</v>
      </c>
      <c r="U933" s="60" t="n">
        <f aca="false">S933+J933</f>
        <v>21.58</v>
      </c>
      <c r="V933" s="63" t="n">
        <f aca="false">IFERROR(S933/F933,0)</f>
        <v>0.15807560137457</v>
      </c>
      <c r="W933" s="63" t="n">
        <f aca="false">IFERROR(R933/F933,0)</f>
        <v>0.382016036655212</v>
      </c>
      <c r="X933" s="63" t="n">
        <f aca="false">IFERROR(T933/F933,0)</f>
        <v>0.0890607101947308</v>
      </c>
      <c r="Y933" s="63" t="n">
        <f aca="false">IFERROR(G933/F933,0)</f>
        <v>0.106242840778923</v>
      </c>
      <c r="Z933" s="59" t="n">
        <f aca="false">IF(E933&gt;0,F933*1000000000/E933,"")</f>
        <v>3581.73720203347</v>
      </c>
      <c r="AA933" s="63" t="n">
        <f aca="false">IFERROR((R933+S933+J933)/F933,0)</f>
        <v>1</v>
      </c>
      <c r="AB933" s="0" t="str">
        <f aca="false">A933&amp;"|"&amp;D933</f>
        <v>Hungary|2020</v>
      </c>
    </row>
    <row r="934" customFormat="false" ht="15" hidden="false" customHeight="false" outlineLevel="0" collapsed="false">
      <c r="A934" s="0" t="s">
        <v>270</v>
      </c>
      <c r="B934" s="0" t="s">
        <v>508</v>
      </c>
      <c r="C934" s="0" t="s">
        <v>127</v>
      </c>
      <c r="D934" s="0" t="n">
        <v>2021</v>
      </c>
      <c r="E934" s="59" t="n">
        <v>9707848</v>
      </c>
      <c r="F934" s="60" t="n">
        <v>36.1</v>
      </c>
      <c r="G934" s="61" t="n">
        <v>3.01</v>
      </c>
      <c r="H934" s="61" t="n">
        <v>9.65</v>
      </c>
      <c r="I934" s="61" t="n">
        <v>0.54</v>
      </c>
      <c r="J934" s="61" t="n">
        <v>15.99</v>
      </c>
      <c r="K934" s="61" t="n">
        <v>0.21</v>
      </c>
      <c r="L934" s="61" t="n">
        <v>3.8</v>
      </c>
      <c r="M934" s="61" t="n">
        <v>0.66</v>
      </c>
      <c r="N934" s="61" t="n">
        <v>2.23</v>
      </c>
      <c r="O934" s="61" t="n">
        <v>0.01</v>
      </c>
      <c r="P934" s="62" t="n">
        <v>238.5</v>
      </c>
      <c r="Q934" s="0" t="n">
        <v>0</v>
      </c>
      <c r="R934" s="60" t="n">
        <f aca="false">G934+H934+I934</f>
        <v>13.2</v>
      </c>
      <c r="S934" s="60" t="n">
        <f aca="false">K934+L934+M934+N934+O934</f>
        <v>6.91</v>
      </c>
      <c r="T934" s="60" t="n">
        <f aca="false">L934+M934</f>
        <v>4.46</v>
      </c>
      <c r="U934" s="60" t="n">
        <f aca="false">S934+J934</f>
        <v>22.9</v>
      </c>
      <c r="V934" s="63" t="n">
        <f aca="false">IFERROR(S934/F934,0)</f>
        <v>0.191412742382271</v>
      </c>
      <c r="W934" s="63" t="n">
        <f aca="false">IFERROR(R934/F934,0)</f>
        <v>0.365650969529086</v>
      </c>
      <c r="X934" s="63" t="n">
        <f aca="false">IFERROR(T934/F934,0)</f>
        <v>0.123545706371191</v>
      </c>
      <c r="Y934" s="63" t="n">
        <f aca="false">IFERROR(G934/F934,0)</f>
        <v>0.0833795013850416</v>
      </c>
      <c r="Z934" s="59" t="n">
        <f aca="false">IF(E934&gt;0,F934*1000000000/E934,"")</f>
        <v>3718.64083574444</v>
      </c>
      <c r="AA934" s="63" t="n">
        <f aca="false">IFERROR((R934+S934+J934)/F934,0)</f>
        <v>1</v>
      </c>
      <c r="AB934" s="0" t="str">
        <f aca="false">A934&amp;"|"&amp;D934</f>
        <v>Hungary|2021</v>
      </c>
    </row>
    <row r="935" customFormat="false" ht="15" hidden="false" customHeight="false" outlineLevel="0" collapsed="false">
      <c r="A935" s="0" t="s">
        <v>270</v>
      </c>
      <c r="B935" s="0" t="s">
        <v>508</v>
      </c>
      <c r="C935" s="0" t="s">
        <v>127</v>
      </c>
      <c r="D935" s="0" t="n">
        <v>2022</v>
      </c>
      <c r="E935" s="59" t="n">
        <v>9684308</v>
      </c>
      <c r="F935" s="60" t="n">
        <v>35.78</v>
      </c>
      <c r="G935" s="61" t="n">
        <v>2.99</v>
      </c>
      <c r="H935" s="61" t="n">
        <v>8.87</v>
      </c>
      <c r="I935" s="61" t="n">
        <v>0.45</v>
      </c>
      <c r="J935" s="61" t="n">
        <v>15.81</v>
      </c>
      <c r="K935" s="61" t="n">
        <v>0.18</v>
      </c>
      <c r="L935" s="61" t="n">
        <v>4.73</v>
      </c>
      <c r="M935" s="61" t="n">
        <v>0.61</v>
      </c>
      <c r="N935" s="61" t="n">
        <v>2.14</v>
      </c>
      <c r="O935" s="61" t="n">
        <v>0</v>
      </c>
      <c r="P935" s="62" t="n">
        <v>228.9</v>
      </c>
      <c r="Q935" s="0" t="n">
        <v>0</v>
      </c>
      <c r="R935" s="60" t="n">
        <f aca="false">G935+H935+I935</f>
        <v>12.31</v>
      </c>
      <c r="S935" s="60" t="n">
        <f aca="false">K935+L935+M935+N935+O935</f>
        <v>7.66</v>
      </c>
      <c r="T935" s="60" t="n">
        <f aca="false">L935+M935</f>
        <v>5.34</v>
      </c>
      <c r="U935" s="60" t="n">
        <f aca="false">S935+J935</f>
        <v>23.47</v>
      </c>
      <c r="V935" s="63" t="n">
        <f aca="false">IFERROR(S935/F935,0)</f>
        <v>0.214086081609838</v>
      </c>
      <c r="W935" s="63" t="n">
        <f aca="false">IFERROR(R935/F935,0)</f>
        <v>0.344046953605366</v>
      </c>
      <c r="X935" s="63" t="n">
        <f aca="false">IFERROR(T935/F935,0)</f>
        <v>0.149245388485187</v>
      </c>
      <c r="Y935" s="63" t="n">
        <f aca="false">IFERROR(G935/F935,0)</f>
        <v>0.0835662381218558</v>
      </c>
      <c r="Z935" s="59" t="n">
        <f aca="false">IF(E935&gt;0,F935*1000000000/E935,"")</f>
        <v>3694.63672572165</v>
      </c>
      <c r="AA935" s="63" t="n">
        <f aca="false">IFERROR((R935+S935+J935)/F935,0)</f>
        <v>1</v>
      </c>
      <c r="AB935" s="0" t="str">
        <f aca="false">A935&amp;"|"&amp;D935</f>
        <v>Hungary|2022</v>
      </c>
    </row>
    <row r="936" customFormat="false" ht="15" hidden="false" customHeight="false" outlineLevel="0" collapsed="false">
      <c r="A936" s="0" t="s">
        <v>270</v>
      </c>
      <c r="B936" s="0" t="s">
        <v>508</v>
      </c>
      <c r="C936" s="0" t="s">
        <v>127</v>
      </c>
      <c r="D936" s="0" t="n">
        <v>2023</v>
      </c>
      <c r="E936" s="59" t="n">
        <v>9686465</v>
      </c>
      <c r="F936" s="60" t="n">
        <v>35.54</v>
      </c>
      <c r="G936" s="61" t="n">
        <v>2.49</v>
      </c>
      <c r="H936" s="61" t="n">
        <v>7.28</v>
      </c>
      <c r="I936" s="61" t="n">
        <v>0.47</v>
      </c>
      <c r="J936" s="61" t="n">
        <v>15.92</v>
      </c>
      <c r="K936" s="61" t="n">
        <v>0.22</v>
      </c>
      <c r="L936" s="61" t="n">
        <v>6.93</v>
      </c>
      <c r="M936" s="61" t="n">
        <v>0.65</v>
      </c>
      <c r="N936" s="61" t="n">
        <v>1.56</v>
      </c>
      <c r="O936" s="61" t="n">
        <v>0.02</v>
      </c>
      <c r="P936" s="62" t="n">
        <v>196.1</v>
      </c>
      <c r="Q936" s="0" t="n">
        <v>0</v>
      </c>
      <c r="R936" s="60" t="n">
        <f aca="false">G936+H936+I936</f>
        <v>10.24</v>
      </c>
      <c r="S936" s="60" t="n">
        <f aca="false">K936+L936+M936+N936+O936</f>
        <v>9.38</v>
      </c>
      <c r="T936" s="60" t="n">
        <f aca="false">L936+M936</f>
        <v>7.58</v>
      </c>
      <c r="U936" s="60" t="n">
        <f aca="false">S936+J936</f>
        <v>25.3</v>
      </c>
      <c r="V936" s="63" t="n">
        <f aca="false">IFERROR(S936/F936,0)</f>
        <v>0.263927968486213</v>
      </c>
      <c r="W936" s="63" t="n">
        <f aca="false">IFERROR(R936/F936,0)</f>
        <v>0.288126055149128</v>
      </c>
      <c r="X936" s="63" t="n">
        <f aca="false">IFERROR(T936/F936,0)</f>
        <v>0.21328081035453</v>
      </c>
      <c r="Y936" s="63" t="n">
        <f aca="false">IFERROR(G936/F936,0)</f>
        <v>0.070061902082161</v>
      </c>
      <c r="Z936" s="59" t="n">
        <f aca="false">IF(E936&gt;0,F936*1000000000/E936,"")</f>
        <v>3669.03715648588</v>
      </c>
      <c r="AA936" s="63" t="n">
        <f aca="false">IFERROR((R936+S936+J936)/F936,0)</f>
        <v>1</v>
      </c>
      <c r="AB936" s="0" t="str">
        <f aca="false">A936&amp;"|"&amp;D936</f>
        <v>Hungary|2023</v>
      </c>
    </row>
    <row r="937" customFormat="false" ht="15" hidden="false" customHeight="false" outlineLevel="0" collapsed="false">
      <c r="A937" s="0" t="s">
        <v>270</v>
      </c>
      <c r="B937" s="0" t="s">
        <v>508</v>
      </c>
      <c r="C937" s="0" t="s">
        <v>127</v>
      </c>
      <c r="D937" s="0" t="n">
        <v>2024</v>
      </c>
      <c r="E937" s="59" t="n">
        <v>9676135</v>
      </c>
      <c r="F937" s="60" t="n">
        <v>38</v>
      </c>
      <c r="G937" s="61" t="n">
        <v>2.44</v>
      </c>
      <c r="H937" s="61" t="n">
        <v>7.13</v>
      </c>
      <c r="I937" s="61" t="n">
        <v>0.45</v>
      </c>
      <c r="J937" s="61" t="n">
        <v>16.02</v>
      </c>
      <c r="K937" s="61" t="n">
        <v>0.23</v>
      </c>
      <c r="L937" s="61" t="n">
        <v>9.2</v>
      </c>
      <c r="M937" s="61" t="n">
        <v>0.69</v>
      </c>
      <c r="N937" s="61" t="n">
        <v>1.83</v>
      </c>
      <c r="O937" s="61" t="n">
        <v>0.01</v>
      </c>
      <c r="P937" s="62" t="n">
        <v>184.5</v>
      </c>
      <c r="Q937" s="0" t="n">
        <v>0</v>
      </c>
      <c r="R937" s="60" t="n">
        <f aca="false">G937+H937+I937</f>
        <v>10.02</v>
      </c>
      <c r="S937" s="60" t="n">
        <f aca="false">K937+L937+M937+N937+O937</f>
        <v>11.96</v>
      </c>
      <c r="T937" s="60" t="n">
        <f aca="false">L937+M937</f>
        <v>9.89</v>
      </c>
      <c r="U937" s="60" t="n">
        <f aca="false">S937+J937</f>
        <v>27.98</v>
      </c>
      <c r="V937" s="63" t="n">
        <f aca="false">IFERROR(S937/F937,0)</f>
        <v>0.314736842105263</v>
      </c>
      <c r="W937" s="63" t="n">
        <f aca="false">IFERROR(R937/F937,0)</f>
        <v>0.263684210526316</v>
      </c>
      <c r="X937" s="63" t="n">
        <f aca="false">IFERROR(T937/F937,0)</f>
        <v>0.260263157894737</v>
      </c>
      <c r="Y937" s="63" t="n">
        <f aca="false">IFERROR(G937/F937,0)</f>
        <v>0.0642105263157895</v>
      </c>
      <c r="Z937" s="59" t="n">
        <f aca="false">IF(E937&gt;0,F937*1000000000/E937,"")</f>
        <v>3927.18786995014</v>
      </c>
      <c r="AA937" s="63" t="n">
        <f aca="false">IFERROR((R937+S937+J937)/F937,0)</f>
        <v>1</v>
      </c>
      <c r="AB937" s="0" t="str">
        <f aca="false">A937&amp;"|"&amp;D937</f>
        <v>Hungary|2024</v>
      </c>
    </row>
    <row r="938" customFormat="false" ht="15" hidden="false" customHeight="false" outlineLevel="0" collapsed="false">
      <c r="A938" s="0" t="s">
        <v>270</v>
      </c>
      <c r="B938" s="0" t="s">
        <v>508</v>
      </c>
      <c r="C938" s="0" t="s">
        <v>127</v>
      </c>
      <c r="D938" s="0" t="n">
        <v>2025</v>
      </c>
      <c r="E938" s="59" t="n">
        <v>9632286</v>
      </c>
      <c r="F938" s="60" t="n">
        <v>40.24</v>
      </c>
      <c r="G938" s="61" t="n">
        <v>1.38</v>
      </c>
      <c r="H938" s="61" t="n">
        <v>8.15</v>
      </c>
      <c r="I938" s="61" t="n">
        <v>0.4</v>
      </c>
      <c r="J938" s="61" t="n">
        <v>16.1</v>
      </c>
      <c r="K938" s="61" t="n">
        <v>0.23</v>
      </c>
      <c r="L938" s="61" t="n">
        <v>10.98</v>
      </c>
      <c r="M938" s="61" t="n">
        <v>0.6</v>
      </c>
      <c r="N938" s="61" t="n">
        <v>2.39</v>
      </c>
      <c r="O938" s="61" t="n">
        <v>0.01</v>
      </c>
      <c r="P938" s="62" t="n">
        <v>163</v>
      </c>
      <c r="Q938" s="0" t="n">
        <v>0</v>
      </c>
      <c r="R938" s="60" t="n">
        <f aca="false">G938+H938+I938</f>
        <v>9.93</v>
      </c>
      <c r="S938" s="60" t="n">
        <f aca="false">K938+L938+M938+N938+O938</f>
        <v>14.21</v>
      </c>
      <c r="T938" s="60" t="n">
        <f aca="false">L938+M938</f>
        <v>11.58</v>
      </c>
      <c r="U938" s="60" t="n">
        <f aca="false">S938+J938</f>
        <v>30.31</v>
      </c>
      <c r="V938" s="63" t="n">
        <f aca="false">IFERROR(S938/F938,0)</f>
        <v>0.353131212723658</v>
      </c>
      <c r="W938" s="63" t="n">
        <f aca="false">IFERROR(R938/F938,0)</f>
        <v>0.246769383697813</v>
      </c>
      <c r="X938" s="63" t="n">
        <f aca="false">IFERROR(T938/F938,0)</f>
        <v>0.287773359840954</v>
      </c>
      <c r="Y938" s="63" t="n">
        <f aca="false">IFERROR(G938/F938,0)</f>
        <v>0.0342942345924453</v>
      </c>
      <c r="Z938" s="59" t="n">
        <f aca="false">IF(E938&gt;0,F938*1000000000/E938,"")</f>
        <v>4177.61681910192</v>
      </c>
      <c r="AA938" s="63" t="n">
        <f aca="false">IFERROR((R938+S938+J938)/F938,0)</f>
        <v>1</v>
      </c>
      <c r="AB938" s="0" t="str">
        <f aca="false">A938&amp;"|"&amp;D938</f>
        <v>Hungary|2025</v>
      </c>
    </row>
    <row r="939" customFormat="false" ht="15" hidden="false" customHeight="false" outlineLevel="0" collapsed="false">
      <c r="A939" s="0" t="s">
        <v>271</v>
      </c>
      <c r="B939" s="0" t="s">
        <v>509</v>
      </c>
      <c r="C939" s="0" t="s">
        <v>127</v>
      </c>
      <c r="D939" s="0" t="n">
        <v>2015</v>
      </c>
      <c r="E939" s="59" t="n">
        <v>330962</v>
      </c>
      <c r="F939" s="60" t="n">
        <v>18.55</v>
      </c>
      <c r="G939" s="61" t="n">
        <v>0</v>
      </c>
      <c r="H939" s="61" t="n">
        <v>0</v>
      </c>
      <c r="I939" s="61" t="n">
        <v>0</v>
      </c>
      <c r="J939" s="61" t="n">
        <v>0</v>
      </c>
      <c r="K939" s="61" t="n">
        <v>13.54</v>
      </c>
      <c r="L939" s="61" t="n">
        <v>0</v>
      </c>
      <c r="M939" s="61" t="n">
        <v>0.01</v>
      </c>
      <c r="N939" s="61" t="n">
        <v>0</v>
      </c>
      <c r="O939" s="61" t="n">
        <v>5</v>
      </c>
      <c r="P939" s="62" t="n">
        <v>27.5</v>
      </c>
      <c r="Q939" s="0" t="n">
        <v>0</v>
      </c>
      <c r="R939" s="60" t="n">
        <f aca="false">G939+H939+I939</f>
        <v>0</v>
      </c>
      <c r="S939" s="60" t="n">
        <f aca="false">K939+L939+M939+N939+O939</f>
        <v>18.55</v>
      </c>
      <c r="T939" s="60" t="n">
        <f aca="false">L939+M939</f>
        <v>0.01</v>
      </c>
      <c r="U939" s="60" t="n">
        <f aca="false">S939+J939</f>
        <v>18.55</v>
      </c>
      <c r="V939" s="63" t="n">
        <f aca="false">IFERROR(S939/F939,0)</f>
        <v>1</v>
      </c>
      <c r="W939" s="63" t="n">
        <f aca="false">IFERROR(R939/F939,0)</f>
        <v>0</v>
      </c>
      <c r="X939" s="63" t="n">
        <f aca="false">IFERROR(T939/F939,0)</f>
        <v>0.000539083557951482</v>
      </c>
      <c r="Y939" s="63" t="n">
        <f aca="false">IFERROR(G939/F939,0)</f>
        <v>0</v>
      </c>
      <c r="Z939" s="59" t="n">
        <f aca="false">IF(E939&gt;0,F939*1000000000/E939,"")</f>
        <v>56048.7306699863</v>
      </c>
      <c r="AA939" s="63" t="n">
        <f aca="false">IFERROR((R939+S939+J939)/F939,0)</f>
        <v>1</v>
      </c>
      <c r="AB939" s="0" t="str">
        <f aca="false">A939&amp;"|"&amp;D939</f>
        <v>Iceland|2015</v>
      </c>
    </row>
    <row r="940" customFormat="false" ht="15" hidden="false" customHeight="false" outlineLevel="0" collapsed="false">
      <c r="A940" s="0" t="s">
        <v>271</v>
      </c>
      <c r="B940" s="0" t="s">
        <v>509</v>
      </c>
      <c r="C940" s="0" t="s">
        <v>127</v>
      </c>
      <c r="D940" s="0" t="n">
        <v>2016</v>
      </c>
      <c r="E940" s="59" t="n">
        <v>335571</v>
      </c>
      <c r="F940" s="60" t="n">
        <v>18.17</v>
      </c>
      <c r="G940" s="61" t="n">
        <v>0</v>
      </c>
      <c r="H940" s="61" t="n">
        <v>0</v>
      </c>
      <c r="I940" s="61" t="n">
        <v>0</v>
      </c>
      <c r="J940" s="61" t="n">
        <v>0</v>
      </c>
      <c r="K940" s="61" t="n">
        <v>13.09</v>
      </c>
      <c r="L940" s="61" t="n">
        <v>0</v>
      </c>
      <c r="M940" s="61" t="n">
        <v>0.01</v>
      </c>
      <c r="N940" s="61" t="n">
        <v>0</v>
      </c>
      <c r="O940" s="61" t="n">
        <v>5.07</v>
      </c>
      <c r="P940" s="62" t="n">
        <v>27.5</v>
      </c>
      <c r="Q940" s="0" t="n">
        <v>0</v>
      </c>
      <c r="R940" s="60" t="n">
        <f aca="false">G940+H940+I940</f>
        <v>0</v>
      </c>
      <c r="S940" s="60" t="n">
        <f aca="false">K940+L940+M940+N940+O940</f>
        <v>18.17</v>
      </c>
      <c r="T940" s="60" t="n">
        <f aca="false">L940+M940</f>
        <v>0.01</v>
      </c>
      <c r="U940" s="60" t="n">
        <f aca="false">S940+J940</f>
        <v>18.17</v>
      </c>
      <c r="V940" s="63" t="n">
        <f aca="false">IFERROR(S940/F940,0)</f>
        <v>1</v>
      </c>
      <c r="W940" s="63" t="n">
        <f aca="false">IFERROR(R940/F940,0)</f>
        <v>0</v>
      </c>
      <c r="X940" s="63" t="n">
        <f aca="false">IFERROR(T940/F940,0)</f>
        <v>0.000550357732526142</v>
      </c>
      <c r="Y940" s="63" t="n">
        <f aca="false">IFERROR(G940/F940,0)</f>
        <v>0</v>
      </c>
      <c r="Z940" s="59" t="n">
        <f aca="false">IF(E940&gt;0,F940*1000000000/E940,"")</f>
        <v>54146.5144485072</v>
      </c>
      <c r="AA940" s="63" t="n">
        <f aca="false">IFERROR((R940+S940+J940)/F940,0)</f>
        <v>1</v>
      </c>
      <c r="AB940" s="0" t="str">
        <f aca="false">A940&amp;"|"&amp;D940</f>
        <v>Iceland|2016</v>
      </c>
    </row>
    <row r="941" customFormat="false" ht="15" hidden="false" customHeight="false" outlineLevel="0" collapsed="false">
      <c r="A941" s="0" t="s">
        <v>271</v>
      </c>
      <c r="B941" s="0" t="s">
        <v>509</v>
      </c>
      <c r="C941" s="0" t="s">
        <v>127</v>
      </c>
      <c r="D941" s="0" t="n">
        <v>2017</v>
      </c>
      <c r="E941" s="59" t="n">
        <v>343537</v>
      </c>
      <c r="F941" s="60" t="n">
        <v>19.07</v>
      </c>
      <c r="G941" s="61" t="n">
        <v>0</v>
      </c>
      <c r="H941" s="61" t="n">
        <v>0</v>
      </c>
      <c r="I941" s="61" t="n">
        <v>0</v>
      </c>
      <c r="J941" s="61" t="n">
        <v>0</v>
      </c>
      <c r="K941" s="61" t="n">
        <v>13.89</v>
      </c>
      <c r="L941" s="61" t="n">
        <v>0</v>
      </c>
      <c r="M941" s="61" t="n">
        <v>0.01</v>
      </c>
      <c r="N941" s="61" t="n">
        <v>0</v>
      </c>
      <c r="O941" s="61" t="n">
        <v>5.17</v>
      </c>
      <c r="P941" s="62" t="n">
        <v>27.3</v>
      </c>
      <c r="Q941" s="0" t="n">
        <v>0</v>
      </c>
      <c r="R941" s="60" t="n">
        <f aca="false">G941+H941+I941</f>
        <v>0</v>
      </c>
      <c r="S941" s="60" t="n">
        <f aca="false">K941+L941+M941+N941+O941</f>
        <v>19.07</v>
      </c>
      <c r="T941" s="60" t="n">
        <f aca="false">L941+M941</f>
        <v>0.01</v>
      </c>
      <c r="U941" s="60" t="n">
        <f aca="false">S941+J941</f>
        <v>19.07</v>
      </c>
      <c r="V941" s="63" t="n">
        <f aca="false">IFERROR(S941/F941,0)</f>
        <v>1</v>
      </c>
      <c r="W941" s="63" t="n">
        <f aca="false">IFERROR(R941/F941,0)</f>
        <v>0</v>
      </c>
      <c r="X941" s="63" t="n">
        <f aca="false">IFERROR(T941/F941,0)</f>
        <v>0.000524383848977452</v>
      </c>
      <c r="Y941" s="63" t="n">
        <f aca="false">IFERROR(G941/F941,0)</f>
        <v>0</v>
      </c>
      <c r="Z941" s="59" t="n">
        <f aca="false">IF(E941&gt;0,F941*1000000000/E941,"")</f>
        <v>55510.7601219083</v>
      </c>
      <c r="AA941" s="63" t="n">
        <f aca="false">IFERROR((R941+S941+J941)/F941,0)</f>
        <v>1</v>
      </c>
      <c r="AB941" s="0" t="str">
        <f aca="false">A941&amp;"|"&amp;D941</f>
        <v>Iceland|2017</v>
      </c>
    </row>
    <row r="942" customFormat="false" ht="15" hidden="false" customHeight="false" outlineLevel="0" collapsed="false">
      <c r="A942" s="0" t="s">
        <v>271</v>
      </c>
      <c r="B942" s="0" t="s">
        <v>509</v>
      </c>
      <c r="C942" s="0" t="s">
        <v>127</v>
      </c>
      <c r="D942" s="0" t="n">
        <v>2018</v>
      </c>
      <c r="E942" s="59" t="n">
        <v>352860</v>
      </c>
      <c r="F942" s="60" t="n">
        <v>19.69</v>
      </c>
      <c r="G942" s="61" t="n">
        <v>0</v>
      </c>
      <c r="H942" s="61" t="n">
        <v>0</v>
      </c>
      <c r="I942" s="61" t="n">
        <v>0</v>
      </c>
      <c r="J942" s="61" t="n">
        <v>0</v>
      </c>
      <c r="K942" s="61" t="n">
        <v>13.68</v>
      </c>
      <c r="L942" s="61" t="n">
        <v>0</v>
      </c>
      <c r="M942" s="61" t="n">
        <v>0</v>
      </c>
      <c r="N942" s="61" t="n">
        <v>0</v>
      </c>
      <c r="O942" s="61" t="n">
        <v>6.01</v>
      </c>
      <c r="P942" s="62" t="n">
        <v>28.4</v>
      </c>
      <c r="Q942" s="0" t="n">
        <v>0</v>
      </c>
      <c r="R942" s="60" t="n">
        <f aca="false">G942+H942+I942</f>
        <v>0</v>
      </c>
      <c r="S942" s="60" t="n">
        <f aca="false">K942+L942+M942+N942+O942</f>
        <v>19.69</v>
      </c>
      <c r="T942" s="60" t="n">
        <f aca="false">L942+M942</f>
        <v>0</v>
      </c>
      <c r="U942" s="60" t="n">
        <f aca="false">S942+J942</f>
        <v>19.69</v>
      </c>
      <c r="V942" s="63" t="n">
        <f aca="false">IFERROR(S942/F942,0)</f>
        <v>1</v>
      </c>
      <c r="W942" s="63" t="n">
        <f aca="false">IFERROR(R942/F942,0)</f>
        <v>0</v>
      </c>
      <c r="X942" s="63" t="n">
        <f aca="false">IFERROR(T942/F942,0)</f>
        <v>0</v>
      </c>
      <c r="Y942" s="63" t="n">
        <f aca="false">IFERROR(G942/F942,0)</f>
        <v>0</v>
      </c>
      <c r="Z942" s="59" t="n">
        <f aca="false">IF(E942&gt;0,F942*1000000000/E942,"")</f>
        <v>55801.1676018818</v>
      </c>
      <c r="AA942" s="63" t="n">
        <f aca="false">IFERROR((R942+S942+J942)/F942,0)</f>
        <v>1</v>
      </c>
      <c r="AB942" s="0" t="str">
        <f aca="false">A942&amp;"|"&amp;D942</f>
        <v>Iceland|2018</v>
      </c>
    </row>
    <row r="943" customFormat="false" ht="15" hidden="false" customHeight="false" outlineLevel="0" collapsed="false">
      <c r="A943" s="0" t="s">
        <v>271</v>
      </c>
      <c r="B943" s="0" t="s">
        <v>509</v>
      </c>
      <c r="C943" s="0" t="s">
        <v>127</v>
      </c>
      <c r="D943" s="0" t="n">
        <v>2019</v>
      </c>
      <c r="E943" s="59" t="n">
        <v>360709</v>
      </c>
      <c r="F943" s="60" t="n">
        <v>19.36</v>
      </c>
      <c r="G943" s="61" t="n">
        <v>0</v>
      </c>
      <c r="H943" s="61" t="n">
        <v>0</v>
      </c>
      <c r="I943" s="61" t="n">
        <v>0</v>
      </c>
      <c r="J943" s="61" t="n">
        <v>0</v>
      </c>
      <c r="K943" s="61" t="n">
        <v>13.33</v>
      </c>
      <c r="L943" s="61" t="n">
        <v>0</v>
      </c>
      <c r="M943" s="61" t="n">
        <v>0.01</v>
      </c>
      <c r="N943" s="61" t="n">
        <v>0</v>
      </c>
      <c r="O943" s="61" t="n">
        <v>6.02</v>
      </c>
      <c r="P943" s="62" t="n">
        <v>28.4</v>
      </c>
      <c r="Q943" s="0" t="n">
        <v>0</v>
      </c>
      <c r="R943" s="60" t="n">
        <f aca="false">G943+H943+I943</f>
        <v>0</v>
      </c>
      <c r="S943" s="60" t="n">
        <f aca="false">K943+L943+M943+N943+O943</f>
        <v>19.36</v>
      </c>
      <c r="T943" s="60" t="n">
        <f aca="false">L943+M943</f>
        <v>0.01</v>
      </c>
      <c r="U943" s="60" t="n">
        <f aca="false">S943+J943</f>
        <v>19.36</v>
      </c>
      <c r="V943" s="63" t="n">
        <f aca="false">IFERROR(S943/F943,0)</f>
        <v>1</v>
      </c>
      <c r="W943" s="63" t="n">
        <f aca="false">IFERROR(R943/F943,0)</f>
        <v>0</v>
      </c>
      <c r="X943" s="63" t="n">
        <f aca="false">IFERROR(T943/F943,0)</f>
        <v>0.000516528925619835</v>
      </c>
      <c r="Y943" s="63" t="n">
        <f aca="false">IFERROR(G943/F943,0)</f>
        <v>0</v>
      </c>
      <c r="Z943" s="59" t="n">
        <f aca="false">IF(E943&gt;0,F943*1000000000/E943,"")</f>
        <v>53672.0736105836</v>
      </c>
      <c r="AA943" s="63" t="n">
        <f aca="false">IFERROR((R943+S943+J943)/F943,0)</f>
        <v>1</v>
      </c>
      <c r="AB943" s="0" t="str">
        <f aca="false">A943&amp;"|"&amp;D943</f>
        <v>Iceland|2019</v>
      </c>
    </row>
    <row r="944" customFormat="false" ht="15" hidden="false" customHeight="false" outlineLevel="0" collapsed="false">
      <c r="A944" s="0" t="s">
        <v>271</v>
      </c>
      <c r="B944" s="0" t="s">
        <v>509</v>
      </c>
      <c r="C944" s="0" t="s">
        <v>127</v>
      </c>
      <c r="D944" s="0" t="n">
        <v>2020</v>
      </c>
      <c r="E944" s="59" t="n">
        <v>366626</v>
      </c>
      <c r="F944" s="60" t="n">
        <v>18.89</v>
      </c>
      <c r="G944" s="61" t="n">
        <v>0</v>
      </c>
      <c r="H944" s="61" t="n">
        <v>0</v>
      </c>
      <c r="I944" s="61" t="n">
        <v>0</v>
      </c>
      <c r="J944" s="61" t="n">
        <v>0</v>
      </c>
      <c r="K944" s="61" t="n">
        <v>12.92</v>
      </c>
      <c r="L944" s="61" t="n">
        <v>0</v>
      </c>
      <c r="M944" s="61" t="n">
        <v>0.01</v>
      </c>
      <c r="N944" s="61" t="n">
        <v>0</v>
      </c>
      <c r="O944" s="61" t="n">
        <v>5.96</v>
      </c>
      <c r="P944" s="62" t="n">
        <v>28.1</v>
      </c>
      <c r="Q944" s="0" t="n">
        <v>0</v>
      </c>
      <c r="R944" s="60" t="n">
        <f aca="false">G944+H944+I944</f>
        <v>0</v>
      </c>
      <c r="S944" s="60" t="n">
        <f aca="false">K944+L944+M944+N944+O944</f>
        <v>18.89</v>
      </c>
      <c r="T944" s="60" t="n">
        <f aca="false">L944+M944</f>
        <v>0.01</v>
      </c>
      <c r="U944" s="60" t="n">
        <f aca="false">S944+J944</f>
        <v>18.89</v>
      </c>
      <c r="V944" s="63" t="n">
        <f aca="false">IFERROR(S944/F944,0)</f>
        <v>1</v>
      </c>
      <c r="W944" s="63" t="n">
        <f aca="false">IFERROR(R944/F944,0)</f>
        <v>0</v>
      </c>
      <c r="X944" s="63" t="n">
        <f aca="false">IFERROR(T944/F944,0)</f>
        <v>0.000529380624669137</v>
      </c>
      <c r="Y944" s="63" t="n">
        <f aca="false">IFERROR(G944/F944,0)</f>
        <v>0</v>
      </c>
      <c r="Z944" s="59" t="n">
        <f aca="false">IF(E944&gt;0,F944*1000000000/E944,"")</f>
        <v>51523.8962866791</v>
      </c>
      <c r="AA944" s="63" t="n">
        <f aca="false">IFERROR((R944+S944+J944)/F944,0)</f>
        <v>1</v>
      </c>
      <c r="AB944" s="0" t="str">
        <f aca="false">A944&amp;"|"&amp;D944</f>
        <v>Iceland|2020</v>
      </c>
    </row>
    <row r="945" customFormat="false" ht="15" hidden="false" customHeight="false" outlineLevel="0" collapsed="false">
      <c r="A945" s="0" t="s">
        <v>271</v>
      </c>
      <c r="B945" s="0" t="s">
        <v>509</v>
      </c>
      <c r="C945" s="0" t="s">
        <v>127</v>
      </c>
      <c r="D945" s="0" t="n">
        <v>2021</v>
      </c>
      <c r="E945" s="59" t="n">
        <v>372647</v>
      </c>
      <c r="F945" s="60" t="n">
        <v>19.39</v>
      </c>
      <c r="G945" s="61" t="n">
        <v>0</v>
      </c>
      <c r="H945" s="61" t="n">
        <v>0</v>
      </c>
      <c r="I945" s="61" t="n">
        <v>0</v>
      </c>
      <c r="J945" s="61" t="n">
        <v>0</v>
      </c>
      <c r="K945" s="61" t="n">
        <v>13.58</v>
      </c>
      <c r="L945" s="61" t="n">
        <v>0</v>
      </c>
      <c r="M945" s="61" t="n">
        <v>0.01</v>
      </c>
      <c r="N945" s="61" t="n">
        <v>0</v>
      </c>
      <c r="O945" s="61" t="n">
        <v>5.8</v>
      </c>
      <c r="P945" s="62" t="n">
        <v>27.9</v>
      </c>
      <c r="Q945" s="0" t="n">
        <v>0</v>
      </c>
      <c r="R945" s="60" t="n">
        <f aca="false">G945+H945+I945</f>
        <v>0</v>
      </c>
      <c r="S945" s="60" t="n">
        <f aca="false">K945+L945+M945+N945+O945</f>
        <v>19.39</v>
      </c>
      <c r="T945" s="60" t="n">
        <f aca="false">L945+M945</f>
        <v>0.01</v>
      </c>
      <c r="U945" s="60" t="n">
        <f aca="false">S945+J945</f>
        <v>19.39</v>
      </c>
      <c r="V945" s="63" t="n">
        <f aca="false">IFERROR(S945/F945,0)</f>
        <v>1</v>
      </c>
      <c r="W945" s="63" t="n">
        <f aca="false">IFERROR(R945/F945,0)</f>
        <v>0</v>
      </c>
      <c r="X945" s="63" t="n">
        <f aca="false">IFERROR(T945/F945,0)</f>
        <v>0.000515729757607014</v>
      </c>
      <c r="Y945" s="63" t="n">
        <f aca="false">IFERROR(G945/F945,0)</f>
        <v>0</v>
      </c>
      <c r="Z945" s="59" t="n">
        <f aca="false">IF(E945&gt;0,F945*1000000000/E945,"")</f>
        <v>52033.1573848709</v>
      </c>
      <c r="AA945" s="63" t="n">
        <f aca="false">IFERROR((R945+S945+J945)/F945,0)</f>
        <v>1</v>
      </c>
      <c r="AB945" s="0" t="str">
        <f aca="false">A945&amp;"|"&amp;D945</f>
        <v>Iceland|2021</v>
      </c>
    </row>
    <row r="946" customFormat="false" ht="15" hidden="false" customHeight="false" outlineLevel="0" collapsed="false">
      <c r="A946" s="0" t="s">
        <v>271</v>
      </c>
      <c r="B946" s="0" t="s">
        <v>509</v>
      </c>
      <c r="C946" s="0" t="s">
        <v>127</v>
      </c>
      <c r="D946" s="0" t="n">
        <v>2022</v>
      </c>
      <c r="E946" s="59" t="n">
        <v>380368</v>
      </c>
      <c r="F946" s="60" t="n">
        <v>19.87</v>
      </c>
      <c r="G946" s="61" t="n">
        <v>0</v>
      </c>
      <c r="H946" s="61" t="n">
        <v>0</v>
      </c>
      <c r="I946" s="61" t="n">
        <v>0</v>
      </c>
      <c r="J946" s="61" t="n">
        <v>0</v>
      </c>
      <c r="K946" s="61" t="n">
        <v>13.94</v>
      </c>
      <c r="L946" s="61" t="n">
        <v>0</v>
      </c>
      <c r="M946" s="61" t="n">
        <v>0.01</v>
      </c>
      <c r="N946" s="61" t="n">
        <v>0</v>
      </c>
      <c r="O946" s="61" t="n">
        <v>5.92</v>
      </c>
      <c r="P946" s="62" t="n">
        <v>27.7</v>
      </c>
      <c r="Q946" s="0" t="n">
        <v>0</v>
      </c>
      <c r="R946" s="60" t="n">
        <f aca="false">G946+H946+I946</f>
        <v>0</v>
      </c>
      <c r="S946" s="60" t="n">
        <f aca="false">K946+L946+M946+N946+O946</f>
        <v>19.87</v>
      </c>
      <c r="T946" s="60" t="n">
        <f aca="false">L946+M946</f>
        <v>0.01</v>
      </c>
      <c r="U946" s="60" t="n">
        <f aca="false">S946+J946</f>
        <v>19.87</v>
      </c>
      <c r="V946" s="63" t="n">
        <f aca="false">IFERROR(S946/F946,0)</f>
        <v>1</v>
      </c>
      <c r="W946" s="63" t="n">
        <f aca="false">IFERROR(R946/F946,0)</f>
        <v>0</v>
      </c>
      <c r="X946" s="63" t="n">
        <f aca="false">IFERROR(T946/F946,0)</f>
        <v>0.000503271263210871</v>
      </c>
      <c r="Y946" s="63" t="n">
        <f aca="false">IFERROR(G946/F946,0)</f>
        <v>0</v>
      </c>
      <c r="Z946" s="59" t="n">
        <f aca="false">IF(E946&gt;0,F946*1000000000/E946,"")</f>
        <v>52238.8844487444</v>
      </c>
      <c r="AA946" s="63" t="n">
        <f aca="false">IFERROR((R946+S946+J946)/F946,0)</f>
        <v>1</v>
      </c>
      <c r="AB946" s="0" t="str">
        <f aca="false">A946&amp;"|"&amp;D946</f>
        <v>Iceland|2022</v>
      </c>
    </row>
    <row r="947" customFormat="false" ht="15" hidden="false" customHeight="false" outlineLevel="0" collapsed="false">
      <c r="A947" s="0" t="s">
        <v>271</v>
      </c>
      <c r="B947" s="0" t="s">
        <v>509</v>
      </c>
      <c r="C947" s="0" t="s">
        <v>127</v>
      </c>
      <c r="D947" s="0" t="n">
        <v>2023</v>
      </c>
      <c r="E947" s="59" t="n">
        <v>387559</v>
      </c>
      <c r="F947" s="60" t="n">
        <v>19.81</v>
      </c>
      <c r="G947" s="61" t="n">
        <v>0</v>
      </c>
      <c r="H947" s="61" t="n">
        <v>0</v>
      </c>
      <c r="I947" s="61" t="n">
        <v>0</v>
      </c>
      <c r="J947" s="61" t="n">
        <v>0</v>
      </c>
      <c r="K947" s="61" t="n">
        <v>14.1</v>
      </c>
      <c r="L947" s="61" t="n">
        <v>0</v>
      </c>
      <c r="M947" s="61" t="n">
        <v>0.01</v>
      </c>
      <c r="N947" s="61" t="n">
        <v>0</v>
      </c>
      <c r="O947" s="61" t="n">
        <v>5.7</v>
      </c>
      <c r="P947" s="62" t="n">
        <v>27.8</v>
      </c>
      <c r="Q947" s="0" t="n">
        <v>0</v>
      </c>
      <c r="R947" s="60" t="n">
        <f aca="false">G947+H947+I947</f>
        <v>0</v>
      </c>
      <c r="S947" s="60" t="n">
        <f aca="false">K947+L947+M947+N947+O947</f>
        <v>19.81</v>
      </c>
      <c r="T947" s="60" t="n">
        <f aca="false">L947+M947</f>
        <v>0.01</v>
      </c>
      <c r="U947" s="60" t="n">
        <f aca="false">S947+J947</f>
        <v>19.81</v>
      </c>
      <c r="V947" s="63" t="n">
        <f aca="false">IFERROR(S947/F947,0)</f>
        <v>1</v>
      </c>
      <c r="W947" s="63" t="n">
        <f aca="false">IFERROR(R947/F947,0)</f>
        <v>0</v>
      </c>
      <c r="X947" s="63" t="n">
        <f aca="false">IFERROR(T947/F947,0)</f>
        <v>0.000504795557799091</v>
      </c>
      <c r="Y947" s="63" t="n">
        <f aca="false">IFERROR(G947/F947,0)</f>
        <v>0</v>
      </c>
      <c r="Z947" s="59" t="n">
        <f aca="false">IF(E947&gt;0,F947*1000000000/E947,"")</f>
        <v>51114.7980049489</v>
      </c>
      <c r="AA947" s="63" t="n">
        <f aca="false">IFERROR((R947+S947+J947)/F947,0)</f>
        <v>1</v>
      </c>
      <c r="AB947" s="0" t="str">
        <f aca="false">A947&amp;"|"&amp;D947</f>
        <v>Iceland|2023</v>
      </c>
    </row>
    <row r="948" customFormat="false" ht="15" hidden="false" customHeight="false" outlineLevel="0" collapsed="false">
      <c r="A948" s="0" t="s">
        <v>271</v>
      </c>
      <c r="B948" s="0" t="s">
        <v>509</v>
      </c>
      <c r="C948" s="0" t="s">
        <v>127</v>
      </c>
      <c r="D948" s="0" t="n">
        <v>2024</v>
      </c>
      <c r="E948" s="59" t="n">
        <v>393404</v>
      </c>
      <c r="F948" s="60" t="n">
        <v>19.05</v>
      </c>
      <c r="G948" s="61" t="n">
        <v>0</v>
      </c>
      <c r="H948" s="61" t="n">
        <v>0</v>
      </c>
      <c r="I948" s="61" t="n">
        <v>0</v>
      </c>
      <c r="J948" s="61" t="n">
        <v>0</v>
      </c>
      <c r="K948" s="61" t="n">
        <v>13.46</v>
      </c>
      <c r="L948" s="61" t="n">
        <v>0.01</v>
      </c>
      <c r="M948" s="61" t="n">
        <v>0.01</v>
      </c>
      <c r="N948" s="61" t="n">
        <v>0</v>
      </c>
      <c r="O948" s="61" t="n">
        <v>5.57</v>
      </c>
      <c r="P948" s="62" t="n">
        <v>27.8</v>
      </c>
      <c r="Q948" s="0" t="n">
        <v>0</v>
      </c>
      <c r="R948" s="60" t="n">
        <f aca="false">G948+H948+I948</f>
        <v>0</v>
      </c>
      <c r="S948" s="60" t="n">
        <f aca="false">K948+L948+M948+N948+O948</f>
        <v>19.05</v>
      </c>
      <c r="T948" s="60" t="n">
        <f aca="false">L948+M948</f>
        <v>0.02</v>
      </c>
      <c r="U948" s="60" t="n">
        <f aca="false">S948+J948</f>
        <v>19.05</v>
      </c>
      <c r="V948" s="63" t="n">
        <f aca="false">IFERROR(S948/F948,0)</f>
        <v>1</v>
      </c>
      <c r="W948" s="63" t="n">
        <f aca="false">IFERROR(R948/F948,0)</f>
        <v>0</v>
      </c>
      <c r="X948" s="63" t="n">
        <f aca="false">IFERROR(T948/F948,0)</f>
        <v>0.0010498687664042</v>
      </c>
      <c r="Y948" s="63" t="n">
        <f aca="false">IFERROR(G948/F948,0)</f>
        <v>0</v>
      </c>
      <c r="Z948" s="59" t="n">
        <f aca="false">IF(E948&gt;0,F948*1000000000/E948,"")</f>
        <v>48423.5035739342</v>
      </c>
      <c r="AA948" s="63" t="n">
        <f aca="false">IFERROR((R948+S948+J948)/F948,0)</f>
        <v>1</v>
      </c>
      <c r="AB948" s="0" t="str">
        <f aca="false">A948&amp;"|"&amp;D948</f>
        <v>Iceland|2024</v>
      </c>
    </row>
    <row r="949" customFormat="false" ht="15" hidden="false" customHeight="false" outlineLevel="0" collapsed="false">
      <c r="A949" s="0" t="s">
        <v>84</v>
      </c>
      <c r="B949" s="0" t="s">
        <v>510</v>
      </c>
      <c r="C949" s="0" t="s">
        <v>127</v>
      </c>
      <c r="D949" s="0" t="n">
        <v>2015</v>
      </c>
      <c r="E949" s="59" t="n">
        <v>1328024494</v>
      </c>
      <c r="F949" s="60" t="n">
        <v>1310.56</v>
      </c>
      <c r="G949" s="61" t="n">
        <v>1006.55</v>
      </c>
      <c r="H949" s="61" t="n">
        <v>64.77</v>
      </c>
      <c r="I949" s="61" t="n">
        <v>9.26</v>
      </c>
      <c r="J949" s="61" t="n">
        <v>38.31</v>
      </c>
      <c r="K949" s="61" t="n">
        <v>133.48</v>
      </c>
      <c r="L949" s="61" t="n">
        <v>7.09</v>
      </c>
      <c r="M949" s="61" t="n">
        <v>32.74</v>
      </c>
      <c r="N949" s="61" t="n">
        <v>18.36</v>
      </c>
      <c r="O949" s="61" t="n">
        <v>0</v>
      </c>
      <c r="P949" s="62" t="n">
        <v>750.6</v>
      </c>
      <c r="Q949" s="0" t="n">
        <v>1</v>
      </c>
      <c r="R949" s="60" t="n">
        <f aca="false">G949+H949+I949</f>
        <v>1080.58</v>
      </c>
      <c r="S949" s="60" t="n">
        <f aca="false">K949+L949+M949+N949+O949</f>
        <v>191.67</v>
      </c>
      <c r="T949" s="60" t="n">
        <f aca="false">L949+M949</f>
        <v>39.83</v>
      </c>
      <c r="U949" s="60" t="n">
        <f aca="false">S949+J949</f>
        <v>229.98</v>
      </c>
      <c r="V949" s="63" t="n">
        <f aca="false">IFERROR(S949/F949,0)</f>
        <v>0.146250457819558</v>
      </c>
      <c r="W949" s="63" t="n">
        <f aca="false">IFERROR(R949/F949,0)</f>
        <v>0.824517763398852</v>
      </c>
      <c r="X949" s="63" t="n">
        <f aca="false">IFERROR(T949/F949,0)</f>
        <v>0.0303915883286534</v>
      </c>
      <c r="Y949" s="63" t="n">
        <f aca="false">IFERROR(G949/F949,0)</f>
        <v>0.768030460261262</v>
      </c>
      <c r="Z949" s="59" t="n">
        <f aca="false">IF(E949&gt;0,F949*1000000000/E949,"")</f>
        <v>986.849268158152</v>
      </c>
      <c r="AA949" s="63" t="n">
        <f aca="false">IFERROR((R949+S949+J949)/F949,0)</f>
        <v>1</v>
      </c>
      <c r="AB949" s="0" t="str">
        <f aca="false">A949&amp;"|"&amp;D949</f>
        <v>India|2015</v>
      </c>
    </row>
    <row r="950" customFormat="false" ht="15" hidden="false" customHeight="false" outlineLevel="0" collapsed="false">
      <c r="A950" s="0" t="s">
        <v>84</v>
      </c>
      <c r="B950" s="0" t="s">
        <v>510</v>
      </c>
      <c r="C950" s="0" t="s">
        <v>127</v>
      </c>
      <c r="D950" s="0" t="n">
        <v>2016</v>
      </c>
      <c r="E950" s="59" t="n">
        <v>1343944296</v>
      </c>
      <c r="F950" s="60" t="n">
        <v>1394.93</v>
      </c>
      <c r="G950" s="61" t="n">
        <v>1073.6</v>
      </c>
      <c r="H950" s="61" t="n">
        <v>72.62</v>
      </c>
      <c r="I950" s="61" t="n">
        <v>9.41</v>
      </c>
      <c r="J950" s="61" t="n">
        <v>37.9</v>
      </c>
      <c r="K950" s="61" t="n">
        <v>128.55</v>
      </c>
      <c r="L950" s="61" t="n">
        <v>12.2</v>
      </c>
      <c r="M950" s="61" t="n">
        <v>43.45</v>
      </c>
      <c r="N950" s="61" t="n">
        <v>17.2</v>
      </c>
      <c r="O950" s="61" t="n">
        <v>0</v>
      </c>
      <c r="P950" s="62" t="n">
        <v>751.9</v>
      </c>
      <c r="Q950" s="0" t="n">
        <v>1</v>
      </c>
      <c r="R950" s="60" t="n">
        <f aca="false">G950+H950+I950</f>
        <v>1155.63</v>
      </c>
      <c r="S950" s="60" t="n">
        <f aca="false">K950+L950+M950+N950+O950</f>
        <v>201.4</v>
      </c>
      <c r="T950" s="60" t="n">
        <f aca="false">L950+M950</f>
        <v>55.65</v>
      </c>
      <c r="U950" s="60" t="n">
        <f aca="false">S950+J950</f>
        <v>239.3</v>
      </c>
      <c r="V950" s="63" t="n">
        <f aca="false">IFERROR(S950/F950,0)</f>
        <v>0.14438000473142</v>
      </c>
      <c r="W950" s="63" t="n">
        <f aca="false">IFERROR(R950/F950,0)</f>
        <v>0.828450173126967</v>
      </c>
      <c r="X950" s="63" t="n">
        <f aca="false">IFERROR(T950/F950,0)</f>
        <v>0.0398944749915766</v>
      </c>
      <c r="Y950" s="63" t="n">
        <f aca="false">IFERROR(G950/F950,0)</f>
        <v>0.769644354913867</v>
      </c>
      <c r="Z950" s="59" t="n">
        <f aca="false">IF(E950&gt;0,F950*1000000000/E950,"")</f>
        <v>1037.93736403492</v>
      </c>
      <c r="AA950" s="63" t="n">
        <f aca="false">IFERROR((R950+S950+J950)/F950,0)</f>
        <v>1</v>
      </c>
      <c r="AB950" s="0" t="str">
        <f aca="false">A950&amp;"|"&amp;D950</f>
        <v>India|2016</v>
      </c>
    </row>
    <row r="951" customFormat="false" ht="15" hidden="false" customHeight="false" outlineLevel="0" collapsed="false">
      <c r="A951" s="0" t="s">
        <v>84</v>
      </c>
      <c r="B951" s="0" t="s">
        <v>510</v>
      </c>
      <c r="C951" s="0" t="s">
        <v>127</v>
      </c>
      <c r="D951" s="0" t="n">
        <v>2017</v>
      </c>
      <c r="E951" s="59" t="n">
        <v>1359657398</v>
      </c>
      <c r="F951" s="60" t="n">
        <v>1462.39</v>
      </c>
      <c r="G951" s="61" t="n">
        <v>1115.24</v>
      </c>
      <c r="H951" s="61" t="n">
        <v>74.99</v>
      </c>
      <c r="I951" s="61" t="n">
        <v>8.79</v>
      </c>
      <c r="J951" s="61" t="n">
        <v>37.41</v>
      </c>
      <c r="K951" s="61" t="n">
        <v>135.98</v>
      </c>
      <c r="L951" s="61" t="n">
        <v>22.36</v>
      </c>
      <c r="M951" s="61" t="n">
        <v>52.63</v>
      </c>
      <c r="N951" s="61" t="n">
        <v>14.99</v>
      </c>
      <c r="O951" s="61" t="n">
        <v>0</v>
      </c>
      <c r="P951" s="62" t="n">
        <v>743.1</v>
      </c>
      <c r="Q951" s="0" t="n">
        <v>1</v>
      </c>
      <c r="R951" s="60" t="n">
        <f aca="false">G951+H951+I951</f>
        <v>1199.02</v>
      </c>
      <c r="S951" s="60" t="n">
        <f aca="false">K951+L951+M951+N951+O951</f>
        <v>225.96</v>
      </c>
      <c r="T951" s="60" t="n">
        <f aca="false">L951+M951</f>
        <v>74.99</v>
      </c>
      <c r="U951" s="60" t="n">
        <f aca="false">S951+J951</f>
        <v>263.37</v>
      </c>
      <c r="V951" s="63" t="n">
        <f aca="false">IFERROR(S951/F951,0)</f>
        <v>0.154514185682342</v>
      </c>
      <c r="W951" s="63" t="n">
        <f aca="false">IFERROR(R951/F951,0)</f>
        <v>0.819904403066214</v>
      </c>
      <c r="X951" s="63" t="n">
        <f aca="false">IFERROR(T951/F951,0)</f>
        <v>0.0512790705625722</v>
      </c>
      <c r="Y951" s="63" t="n">
        <f aca="false">IFERROR(G951/F951,0)</f>
        <v>0.762614624005908</v>
      </c>
      <c r="Z951" s="59" t="n">
        <f aca="false">IF(E951&gt;0,F951*1000000000/E951,"")</f>
        <v>1075.55771192884</v>
      </c>
      <c r="AA951" s="63" t="n">
        <f aca="false">IFERROR((R951+S951+J951)/F951,0)</f>
        <v>1</v>
      </c>
      <c r="AB951" s="0" t="str">
        <f aca="false">A951&amp;"|"&amp;D951</f>
        <v>India|2017</v>
      </c>
    </row>
    <row r="952" customFormat="false" ht="15" hidden="false" customHeight="false" outlineLevel="0" collapsed="false">
      <c r="A952" s="0" t="s">
        <v>84</v>
      </c>
      <c r="B952" s="0" t="s">
        <v>510</v>
      </c>
      <c r="C952" s="0" t="s">
        <v>127</v>
      </c>
      <c r="D952" s="0" t="n">
        <v>2018</v>
      </c>
      <c r="E952" s="59" t="n">
        <v>1374659067</v>
      </c>
      <c r="F952" s="60" t="n">
        <v>1571.65</v>
      </c>
      <c r="G952" s="61" t="n">
        <v>1198.86</v>
      </c>
      <c r="H952" s="61" t="n">
        <v>71.26</v>
      </c>
      <c r="I952" s="61" t="n">
        <v>6.4</v>
      </c>
      <c r="J952" s="61" t="n">
        <v>39.05</v>
      </c>
      <c r="K952" s="61" t="n">
        <v>139.92</v>
      </c>
      <c r="L952" s="61" t="n">
        <v>37.45</v>
      </c>
      <c r="M952" s="61" t="n">
        <v>60.31</v>
      </c>
      <c r="N952" s="61" t="n">
        <v>18.4</v>
      </c>
      <c r="O952" s="61" t="n">
        <v>0</v>
      </c>
      <c r="P952" s="62" t="n">
        <v>737.7</v>
      </c>
      <c r="Q952" s="0" t="n">
        <v>1</v>
      </c>
      <c r="R952" s="60" t="n">
        <f aca="false">G952+H952+I952</f>
        <v>1276.52</v>
      </c>
      <c r="S952" s="60" t="n">
        <f aca="false">K952+L952+M952+N952+O952</f>
        <v>256.08</v>
      </c>
      <c r="T952" s="60" t="n">
        <f aca="false">L952+M952</f>
        <v>97.76</v>
      </c>
      <c r="U952" s="60" t="n">
        <f aca="false">S952+J952</f>
        <v>295.13</v>
      </c>
      <c r="V952" s="63" t="n">
        <f aca="false">IFERROR(S952/F952,0)</f>
        <v>0.162937040689721</v>
      </c>
      <c r="W952" s="63" t="n">
        <f aca="false">IFERROR(R952/F952,0)</f>
        <v>0.812216460407852</v>
      </c>
      <c r="X952" s="63" t="n">
        <f aca="false">IFERROR(T952/F952,0)</f>
        <v>0.0622021442433112</v>
      </c>
      <c r="Y952" s="63" t="n">
        <f aca="false">IFERROR(G952/F952,0)</f>
        <v>0.76280342315401</v>
      </c>
      <c r="Z952" s="59" t="n">
        <f aca="false">IF(E952&gt;0,F952*1000000000/E952,"")</f>
        <v>1143.30166492111</v>
      </c>
      <c r="AA952" s="63" t="n">
        <f aca="false">IFERROR((R952+S952+J952)/F952,0)</f>
        <v>1</v>
      </c>
      <c r="AB952" s="0" t="str">
        <f aca="false">A952&amp;"|"&amp;D952</f>
        <v>India|2018</v>
      </c>
    </row>
    <row r="953" customFormat="false" ht="15" hidden="false" customHeight="false" outlineLevel="0" collapsed="false">
      <c r="A953" s="0" t="s">
        <v>84</v>
      </c>
      <c r="B953" s="0" t="s">
        <v>510</v>
      </c>
      <c r="C953" s="0" t="s">
        <v>127</v>
      </c>
      <c r="D953" s="0" t="n">
        <v>2019</v>
      </c>
      <c r="E953" s="59" t="n">
        <v>1389030307</v>
      </c>
      <c r="F953" s="60" t="n">
        <v>1600.98</v>
      </c>
      <c r="G953" s="61" t="n">
        <v>1198.76</v>
      </c>
      <c r="H953" s="61" t="n">
        <v>71.95</v>
      </c>
      <c r="I953" s="61" t="n">
        <v>3.07</v>
      </c>
      <c r="J953" s="61" t="n">
        <v>45.16</v>
      </c>
      <c r="K953" s="61" t="n">
        <v>162.29</v>
      </c>
      <c r="L953" s="61" t="n">
        <v>37.45</v>
      </c>
      <c r="M953" s="61" t="n">
        <v>63.31</v>
      </c>
      <c r="N953" s="61" t="n">
        <v>18.99</v>
      </c>
      <c r="O953" s="61" t="n">
        <v>0</v>
      </c>
      <c r="P953" s="62" t="n">
        <v>722.7</v>
      </c>
      <c r="Q953" s="0" t="n">
        <v>1</v>
      </c>
      <c r="R953" s="60" t="n">
        <f aca="false">G953+H953+I953</f>
        <v>1273.78</v>
      </c>
      <c r="S953" s="60" t="n">
        <f aca="false">K953+L953+M953+N953+O953</f>
        <v>282.04</v>
      </c>
      <c r="T953" s="60" t="n">
        <f aca="false">L953+M953</f>
        <v>100.76</v>
      </c>
      <c r="U953" s="60" t="n">
        <f aca="false">S953+J953</f>
        <v>327.2</v>
      </c>
      <c r="V953" s="63" t="n">
        <f aca="false">IFERROR(S953/F953,0)</f>
        <v>0.176167097652688</v>
      </c>
      <c r="W953" s="63" t="n">
        <f aca="false">IFERROR(R953/F953,0)</f>
        <v>0.795625179577509</v>
      </c>
      <c r="X953" s="63" t="n">
        <f aca="false">IFERROR(T953/F953,0)</f>
        <v>0.0629364514235031</v>
      </c>
      <c r="Y953" s="63" t="n">
        <f aca="false">IFERROR(G953/F953,0)</f>
        <v>0.748766380591888</v>
      </c>
      <c r="Z953" s="59" t="n">
        <f aca="false">IF(E953&gt;0,F953*1000000000/E953,"")</f>
        <v>1152.58824226648</v>
      </c>
      <c r="AA953" s="63" t="n">
        <f aca="false">IFERROR((R953+S953+J953)/F953,0)</f>
        <v>1</v>
      </c>
      <c r="AB953" s="0" t="str">
        <f aca="false">A953&amp;"|"&amp;D953</f>
        <v>India|2019</v>
      </c>
    </row>
    <row r="954" customFormat="false" ht="15" hidden="false" customHeight="false" outlineLevel="0" collapsed="false">
      <c r="A954" s="0" t="s">
        <v>84</v>
      </c>
      <c r="B954" s="0" t="s">
        <v>510</v>
      </c>
      <c r="C954" s="0" t="s">
        <v>127</v>
      </c>
      <c r="D954" s="0" t="n">
        <v>2020</v>
      </c>
      <c r="E954" s="59" t="n">
        <v>1402617694</v>
      </c>
      <c r="F954" s="60" t="n">
        <v>1563.43</v>
      </c>
      <c r="G954" s="61" t="n">
        <v>1143.78</v>
      </c>
      <c r="H954" s="61" t="n">
        <v>74.79</v>
      </c>
      <c r="I954" s="61" t="n">
        <v>3.09</v>
      </c>
      <c r="J954" s="61" t="n">
        <v>44.61</v>
      </c>
      <c r="K954" s="61" t="n">
        <v>163.94</v>
      </c>
      <c r="L954" s="61" t="n">
        <v>52.91</v>
      </c>
      <c r="M954" s="61" t="n">
        <v>60.43</v>
      </c>
      <c r="N954" s="61" t="n">
        <v>19.88</v>
      </c>
      <c r="O954" s="61" t="n">
        <v>0</v>
      </c>
      <c r="P954" s="62" t="n">
        <v>709.1</v>
      </c>
      <c r="Q954" s="0" t="n">
        <v>1</v>
      </c>
      <c r="R954" s="60" t="n">
        <f aca="false">G954+H954+I954</f>
        <v>1221.66</v>
      </c>
      <c r="S954" s="60" t="n">
        <f aca="false">K954+L954+M954+N954+O954</f>
        <v>297.16</v>
      </c>
      <c r="T954" s="60" t="n">
        <f aca="false">L954+M954</f>
        <v>113.34</v>
      </c>
      <c r="U954" s="60" t="n">
        <f aca="false">S954+J954</f>
        <v>341.77</v>
      </c>
      <c r="V954" s="63" t="n">
        <f aca="false">IFERROR(S954/F954,0)</f>
        <v>0.190069270770038</v>
      </c>
      <c r="W954" s="63" t="n">
        <f aca="false">IFERROR(R954/F954,0)</f>
        <v>0.781397312319707</v>
      </c>
      <c r="X954" s="63" t="n">
        <f aca="false">IFERROR(T954/F954,0)</f>
        <v>0.0724944513025847</v>
      </c>
      <c r="Y954" s="63" t="n">
        <f aca="false">IFERROR(G954/F954,0)</f>
        <v>0.731583761345247</v>
      </c>
      <c r="Z954" s="59" t="n">
        <f aca="false">IF(E954&gt;0,F954*1000000000/E954,"")</f>
        <v>1114.65155950043</v>
      </c>
      <c r="AA954" s="63" t="n">
        <f aca="false">IFERROR((R954+S954+J954)/F954,0)</f>
        <v>1</v>
      </c>
      <c r="AB954" s="0" t="str">
        <f aca="false">A954&amp;"|"&amp;D954</f>
        <v>India|2020</v>
      </c>
    </row>
    <row r="955" customFormat="false" ht="15" hidden="false" customHeight="false" outlineLevel="0" collapsed="false">
      <c r="A955" s="0" t="s">
        <v>84</v>
      </c>
      <c r="B955" s="0" t="s">
        <v>510</v>
      </c>
      <c r="C955" s="0" t="s">
        <v>127</v>
      </c>
      <c r="D955" s="0" t="n">
        <v>2021</v>
      </c>
      <c r="E955" s="59" t="n">
        <v>1414203896</v>
      </c>
      <c r="F955" s="60" t="n">
        <v>1678.72</v>
      </c>
      <c r="G955" s="61" t="n">
        <v>1255.56</v>
      </c>
      <c r="H955" s="61" t="n">
        <v>60.4</v>
      </c>
      <c r="I955" s="61" t="n">
        <v>3.39</v>
      </c>
      <c r="J955" s="61" t="n">
        <v>43.92</v>
      </c>
      <c r="K955" s="61" t="n">
        <v>160.57</v>
      </c>
      <c r="L955" s="61" t="n">
        <v>65.59</v>
      </c>
      <c r="M955" s="61" t="n">
        <v>68.09</v>
      </c>
      <c r="N955" s="61" t="n">
        <v>21.2</v>
      </c>
      <c r="O955" s="61" t="n">
        <v>0</v>
      </c>
      <c r="P955" s="62" t="n">
        <v>715.3</v>
      </c>
      <c r="Q955" s="0" t="n">
        <v>1</v>
      </c>
      <c r="R955" s="60" t="n">
        <f aca="false">G955+H955+I955</f>
        <v>1319.35</v>
      </c>
      <c r="S955" s="60" t="n">
        <f aca="false">K955+L955+M955+N955+O955</f>
        <v>315.45</v>
      </c>
      <c r="T955" s="60" t="n">
        <f aca="false">L955+M955</f>
        <v>133.68</v>
      </c>
      <c r="U955" s="60" t="n">
        <f aca="false">S955+J955</f>
        <v>359.37</v>
      </c>
      <c r="V955" s="63" t="n">
        <f aca="false">IFERROR(S955/F955,0)</f>
        <v>0.187911027449485</v>
      </c>
      <c r="W955" s="63" t="n">
        <f aca="false">IFERROR(R955/F955,0)</f>
        <v>0.78592618185284</v>
      </c>
      <c r="X955" s="63" t="n">
        <f aca="false">IFERROR(T955/F955,0)</f>
        <v>0.0796321006481129</v>
      </c>
      <c r="Y955" s="63" t="n">
        <f aca="false">IFERROR(G955/F955,0)</f>
        <v>0.7479269919939</v>
      </c>
      <c r="Z955" s="59" t="n">
        <f aca="false">IF(E955&gt;0,F955*1000000000/E955,"")</f>
        <v>1187.04240933586</v>
      </c>
      <c r="AA955" s="63" t="n">
        <f aca="false">IFERROR((R955+S955+J955)/F955,0)</f>
        <v>1</v>
      </c>
      <c r="AB955" s="0" t="str">
        <f aca="false">A955&amp;"|"&amp;D955</f>
        <v>India|2021</v>
      </c>
    </row>
    <row r="956" customFormat="false" ht="15" hidden="false" customHeight="false" outlineLevel="0" collapsed="false">
      <c r="A956" s="0" t="s">
        <v>84</v>
      </c>
      <c r="B956" s="0" t="s">
        <v>510</v>
      </c>
      <c r="C956" s="0" t="s">
        <v>127</v>
      </c>
      <c r="D956" s="0" t="n">
        <v>2022</v>
      </c>
      <c r="E956" s="59" t="n">
        <v>1425423209</v>
      </c>
      <c r="F956" s="60" t="n">
        <v>1804.61</v>
      </c>
      <c r="G956" s="61" t="n">
        <v>1344.42</v>
      </c>
      <c r="H956" s="61" t="n">
        <v>46.17</v>
      </c>
      <c r="I956" s="61" t="n">
        <v>3.48</v>
      </c>
      <c r="J956" s="61" t="n">
        <v>46.19</v>
      </c>
      <c r="K956" s="61" t="n">
        <v>175.09</v>
      </c>
      <c r="L956" s="61" t="n">
        <v>95.92</v>
      </c>
      <c r="M956" s="61" t="n">
        <v>70.05</v>
      </c>
      <c r="N956" s="61" t="n">
        <v>23.29</v>
      </c>
      <c r="O956" s="61" t="n">
        <v>0</v>
      </c>
      <c r="P956" s="62" t="n">
        <v>705.8</v>
      </c>
      <c r="Q956" s="0" t="n">
        <v>1</v>
      </c>
      <c r="R956" s="60" t="n">
        <f aca="false">G956+H956+I956</f>
        <v>1394.07</v>
      </c>
      <c r="S956" s="60" t="n">
        <f aca="false">K956+L956+M956+N956+O956</f>
        <v>364.35</v>
      </c>
      <c r="T956" s="60" t="n">
        <f aca="false">L956+M956</f>
        <v>165.97</v>
      </c>
      <c r="U956" s="60" t="n">
        <f aca="false">S956+J956</f>
        <v>410.54</v>
      </c>
      <c r="V956" s="63" t="n">
        <f aca="false">IFERROR(S956/F956,0)</f>
        <v>0.20189957941051</v>
      </c>
      <c r="W956" s="63" t="n">
        <f aca="false">IFERROR(R956/F956,0)</f>
        <v>0.772504862546478</v>
      </c>
      <c r="X956" s="63" t="n">
        <f aca="false">IFERROR(T956/F956,0)</f>
        <v>0.0919700101406952</v>
      </c>
      <c r="Y956" s="63" t="n">
        <f aca="false">IFERROR(G956/F956,0)</f>
        <v>0.744991992729731</v>
      </c>
      <c r="Z956" s="59" t="n">
        <f aca="false">IF(E956&gt;0,F956*1000000000/E956,"")</f>
        <v>1266.01698962515</v>
      </c>
      <c r="AA956" s="63" t="n">
        <f aca="false">IFERROR((R956+S956+J956)/F956,0)</f>
        <v>1</v>
      </c>
      <c r="AB956" s="0" t="str">
        <f aca="false">A956&amp;"|"&amp;D956</f>
        <v>India|2022</v>
      </c>
    </row>
    <row r="957" customFormat="false" ht="15" hidden="false" customHeight="false" outlineLevel="0" collapsed="false">
      <c r="A957" s="0" t="s">
        <v>84</v>
      </c>
      <c r="B957" s="0" t="s">
        <v>510</v>
      </c>
      <c r="C957" s="0" t="s">
        <v>127</v>
      </c>
      <c r="D957" s="0" t="n">
        <v>2023</v>
      </c>
      <c r="E957" s="59" t="n">
        <v>1438069597</v>
      </c>
      <c r="F957" s="60" t="n">
        <v>1918.26</v>
      </c>
      <c r="G957" s="61" t="n">
        <v>1445.44</v>
      </c>
      <c r="H957" s="61" t="n">
        <v>50.8</v>
      </c>
      <c r="I957" s="61" t="n">
        <v>3.85</v>
      </c>
      <c r="J957" s="61" t="n">
        <v>48.2</v>
      </c>
      <c r="K957" s="61" t="n">
        <v>149.43</v>
      </c>
      <c r="L957" s="61" t="n">
        <v>115.42</v>
      </c>
      <c r="M957" s="61" t="n">
        <v>82.11</v>
      </c>
      <c r="N957" s="61" t="n">
        <v>23.01</v>
      </c>
      <c r="O957" s="61" t="n">
        <v>0</v>
      </c>
      <c r="P957" s="62" t="n">
        <v>713.4</v>
      </c>
      <c r="Q957" s="0" t="n">
        <v>1</v>
      </c>
      <c r="R957" s="60" t="n">
        <f aca="false">G957+H957+I957</f>
        <v>1500.09</v>
      </c>
      <c r="S957" s="60" t="n">
        <f aca="false">K957+L957+M957+N957+O957</f>
        <v>369.97</v>
      </c>
      <c r="T957" s="60" t="n">
        <f aca="false">L957+M957</f>
        <v>197.53</v>
      </c>
      <c r="U957" s="60" t="n">
        <f aca="false">S957+J957</f>
        <v>418.17</v>
      </c>
      <c r="V957" s="63" t="n">
        <f aca="false">IFERROR(S957/F957,0)</f>
        <v>0.192867494500224</v>
      </c>
      <c r="W957" s="63" t="n">
        <f aca="false">IFERROR(R957/F957,0)</f>
        <v>0.782005567545588</v>
      </c>
      <c r="X957" s="63" t="n">
        <f aca="false">IFERROR(T957/F957,0)</f>
        <v>0.102973528093168</v>
      </c>
      <c r="Y957" s="63" t="n">
        <f aca="false">IFERROR(G957/F957,0)</f>
        <v>0.753516207396286</v>
      </c>
      <c r="Z957" s="59" t="n">
        <f aca="false">IF(E957&gt;0,F957*1000000000/E957,"")</f>
        <v>1333.91318751314</v>
      </c>
      <c r="AA957" s="63" t="n">
        <f aca="false">IFERROR((R957+S957+J957)/F957,0)</f>
        <v>1</v>
      </c>
      <c r="AB957" s="0" t="str">
        <f aca="false">A957&amp;"|"&amp;D957</f>
        <v>India|2023</v>
      </c>
    </row>
    <row r="958" customFormat="false" ht="15" hidden="false" customHeight="false" outlineLevel="0" collapsed="false">
      <c r="A958" s="0" t="s">
        <v>84</v>
      </c>
      <c r="B958" s="0" t="s">
        <v>510</v>
      </c>
      <c r="C958" s="0" t="s">
        <v>127</v>
      </c>
      <c r="D958" s="0" t="n">
        <v>2024</v>
      </c>
      <c r="E958" s="59" t="n">
        <v>1450935785</v>
      </c>
      <c r="F958" s="60" t="n">
        <v>2036.52</v>
      </c>
      <c r="G958" s="61" t="n">
        <v>1517.9</v>
      </c>
      <c r="H958" s="61" t="n">
        <v>56.44</v>
      </c>
      <c r="I958" s="61" t="n">
        <v>4.09</v>
      </c>
      <c r="J958" s="61" t="n">
        <v>54.7</v>
      </c>
      <c r="K958" s="61" t="n">
        <v>156.53</v>
      </c>
      <c r="L958" s="61" t="n">
        <v>143.07</v>
      </c>
      <c r="M958" s="61" t="n">
        <v>81.54</v>
      </c>
      <c r="N958" s="61" t="n">
        <v>22.25</v>
      </c>
      <c r="O958" s="61" t="n">
        <v>0</v>
      </c>
      <c r="P958" s="62" t="n">
        <v>705.4</v>
      </c>
      <c r="Q958" s="0" t="n">
        <v>1</v>
      </c>
      <c r="R958" s="60" t="n">
        <f aca="false">G958+H958+I958</f>
        <v>1578.43</v>
      </c>
      <c r="S958" s="60" t="n">
        <f aca="false">K958+L958+M958+N958+O958</f>
        <v>403.39</v>
      </c>
      <c r="T958" s="60" t="n">
        <f aca="false">L958+M958</f>
        <v>224.61</v>
      </c>
      <c r="U958" s="60" t="n">
        <f aca="false">S958+J958</f>
        <v>458.09</v>
      </c>
      <c r="V958" s="63" t="n">
        <f aca="false">IFERROR(S958/F958,0)</f>
        <v>0.198078094003496</v>
      </c>
      <c r="W958" s="63" t="n">
        <f aca="false">IFERROR(R958/F958,0)</f>
        <v>0.775062361282973</v>
      </c>
      <c r="X958" s="63" t="n">
        <f aca="false">IFERROR(T958/F958,0)</f>
        <v>0.110291084791704</v>
      </c>
      <c r="Y958" s="63" t="n">
        <f aca="false">IFERROR(G958/F958,0)</f>
        <v>0.745340089957378</v>
      </c>
      <c r="Z958" s="59" t="n">
        <f aca="false">IF(E958&gt;0,F958*1000000000/E958,"")</f>
        <v>1403.59071783456</v>
      </c>
      <c r="AA958" s="63" t="n">
        <f aca="false">IFERROR((R958+S958+J958)/F958,0)</f>
        <v>1</v>
      </c>
      <c r="AB958" s="0" t="str">
        <f aca="false">A958&amp;"|"&amp;D958</f>
        <v>India|2024</v>
      </c>
    </row>
    <row r="959" customFormat="false" ht="15" hidden="false" customHeight="false" outlineLevel="0" collapsed="false">
      <c r="A959" s="0" t="s">
        <v>84</v>
      </c>
      <c r="B959" s="0" t="s">
        <v>510</v>
      </c>
      <c r="C959" s="0" t="s">
        <v>127</v>
      </c>
      <c r="D959" s="0" t="n">
        <v>2025</v>
      </c>
      <c r="E959" s="59" t="n">
        <v>1463865527</v>
      </c>
      <c r="F959" s="60" t="n">
        <v>2081.6</v>
      </c>
      <c r="G959" s="61" t="n">
        <v>1474.15</v>
      </c>
      <c r="H959" s="61" t="n">
        <v>48.54</v>
      </c>
      <c r="I959" s="61" t="n">
        <v>4.1</v>
      </c>
      <c r="J959" s="61" t="n">
        <v>53.83</v>
      </c>
      <c r="K959" s="61" t="n">
        <v>177.97</v>
      </c>
      <c r="L959" s="61" t="n">
        <v>195.99</v>
      </c>
      <c r="M959" s="61" t="n">
        <v>103.98</v>
      </c>
      <c r="N959" s="61" t="n">
        <v>23.04</v>
      </c>
      <c r="O959" s="61" t="n">
        <v>0</v>
      </c>
      <c r="P959" s="62" t="n">
        <v>670.1</v>
      </c>
      <c r="Q959" s="0" t="n">
        <v>1</v>
      </c>
      <c r="R959" s="60" t="n">
        <f aca="false">G959+H959+I959</f>
        <v>1526.79</v>
      </c>
      <c r="S959" s="60" t="n">
        <f aca="false">K959+L959+M959+N959+O959</f>
        <v>500.98</v>
      </c>
      <c r="T959" s="60" t="n">
        <f aca="false">L959+M959</f>
        <v>299.97</v>
      </c>
      <c r="U959" s="60" t="n">
        <f aca="false">S959+J959</f>
        <v>554.81</v>
      </c>
      <c r="V959" s="63" t="n">
        <f aca="false">IFERROR(S959/F959,0)</f>
        <v>0.240670637970792</v>
      </c>
      <c r="W959" s="63" t="n">
        <f aca="false">IFERROR(R959/F959,0)</f>
        <v>0.733469446579554</v>
      </c>
      <c r="X959" s="63" t="n">
        <f aca="false">IFERROR(T959/F959,0)</f>
        <v>0.144105495772483</v>
      </c>
      <c r="Y959" s="63" t="n">
        <f aca="false">IFERROR(G959/F959,0)</f>
        <v>0.708181206764028</v>
      </c>
      <c r="Z959" s="59" t="n">
        <f aca="false">IF(E959&gt;0,F959*1000000000/E959,"")</f>
        <v>1421.98853761244</v>
      </c>
      <c r="AA959" s="63" t="n">
        <f aca="false">IFERROR((R959+S959+J959)/F959,0)</f>
        <v>1</v>
      </c>
      <c r="AB959" s="0" t="str">
        <f aca="false">A959&amp;"|"&amp;D959</f>
        <v>India|2025</v>
      </c>
    </row>
    <row r="960" customFormat="false" ht="15" hidden="false" customHeight="false" outlineLevel="0" collapsed="false">
      <c r="A960" s="0" t="s">
        <v>272</v>
      </c>
      <c r="B960" s="0" t="s">
        <v>511</v>
      </c>
      <c r="C960" s="0" t="s">
        <v>127</v>
      </c>
      <c r="D960" s="0" t="n">
        <v>2015</v>
      </c>
      <c r="E960" s="59" t="n">
        <v>261799249</v>
      </c>
      <c r="F960" s="60" t="n">
        <v>243.28</v>
      </c>
      <c r="G960" s="61" t="n">
        <v>124.66</v>
      </c>
      <c r="H960" s="61" t="n">
        <v>54.14</v>
      </c>
      <c r="I960" s="61" t="n">
        <v>30.92</v>
      </c>
      <c r="J960" s="61" t="n">
        <v>0</v>
      </c>
      <c r="K960" s="61" t="n">
        <v>13.74</v>
      </c>
      <c r="L960" s="61" t="n">
        <v>0.01</v>
      </c>
      <c r="M960" s="61" t="n">
        <v>0</v>
      </c>
      <c r="N960" s="61" t="n">
        <v>9.75</v>
      </c>
      <c r="O960" s="61" t="n">
        <v>10.06</v>
      </c>
      <c r="P960" s="62" t="n">
        <v>696.3</v>
      </c>
      <c r="Q960" s="0" t="n">
        <v>0</v>
      </c>
      <c r="R960" s="60" t="n">
        <f aca="false">G960+H960+I960</f>
        <v>209.72</v>
      </c>
      <c r="S960" s="60" t="n">
        <f aca="false">K960+L960+M960+N960+O960</f>
        <v>33.56</v>
      </c>
      <c r="T960" s="60" t="n">
        <f aca="false">L960+M960</f>
        <v>0.01</v>
      </c>
      <c r="U960" s="60" t="n">
        <f aca="false">S960+J960</f>
        <v>33.56</v>
      </c>
      <c r="V960" s="63" t="n">
        <f aca="false">IFERROR(S960/F960,0)</f>
        <v>0.137948043406774</v>
      </c>
      <c r="W960" s="63" t="n">
        <f aca="false">IFERROR(R960/F960,0)</f>
        <v>0.862051956593226</v>
      </c>
      <c r="X960" s="63" t="n">
        <f aca="false">IFERROR(T960/F960,0)</f>
        <v>4.11048997040447E-005</v>
      </c>
      <c r="Y960" s="63" t="n">
        <f aca="false">IFERROR(G960/F960,0)</f>
        <v>0.512413679710622</v>
      </c>
      <c r="Z960" s="59" t="n">
        <f aca="false">IF(E960&gt;0,F960*1000000000/E960,"")</f>
        <v>929.261641999592</v>
      </c>
      <c r="AA960" s="63" t="n">
        <f aca="false">IFERROR((R960+S960+J960)/F960,0)</f>
        <v>1</v>
      </c>
      <c r="AB960" s="0" t="str">
        <f aca="false">A960&amp;"|"&amp;D960</f>
        <v>Indonesia|2015</v>
      </c>
    </row>
    <row r="961" customFormat="false" ht="15" hidden="false" customHeight="false" outlineLevel="0" collapsed="false">
      <c r="A961" s="0" t="s">
        <v>272</v>
      </c>
      <c r="B961" s="0" t="s">
        <v>511</v>
      </c>
      <c r="C961" s="0" t="s">
        <v>127</v>
      </c>
      <c r="D961" s="0" t="n">
        <v>2016</v>
      </c>
      <c r="E961" s="59" t="n">
        <v>264627429</v>
      </c>
      <c r="F961" s="60" t="n">
        <v>257.55</v>
      </c>
      <c r="G961" s="61" t="n">
        <v>135.38</v>
      </c>
      <c r="H961" s="61" t="n">
        <v>61.79</v>
      </c>
      <c r="I961" s="61" t="n">
        <v>20.8</v>
      </c>
      <c r="J961" s="61" t="n">
        <v>0</v>
      </c>
      <c r="K961" s="61" t="n">
        <v>18.68</v>
      </c>
      <c r="L961" s="61" t="n">
        <v>0.02</v>
      </c>
      <c r="M961" s="61" t="n">
        <v>0.01</v>
      </c>
      <c r="N961" s="61" t="n">
        <v>10.21</v>
      </c>
      <c r="O961" s="61" t="n">
        <v>10.66</v>
      </c>
      <c r="P961" s="62" t="n">
        <v>689</v>
      </c>
      <c r="Q961" s="0" t="n">
        <v>0</v>
      </c>
      <c r="R961" s="60" t="n">
        <f aca="false">G961+H961+I961</f>
        <v>217.97</v>
      </c>
      <c r="S961" s="60" t="n">
        <f aca="false">K961+L961+M961+N961+O961</f>
        <v>39.58</v>
      </c>
      <c r="T961" s="60" t="n">
        <f aca="false">L961+M961</f>
        <v>0.03</v>
      </c>
      <c r="U961" s="60" t="n">
        <f aca="false">S961+J961</f>
        <v>39.58</v>
      </c>
      <c r="V961" s="63" t="n">
        <f aca="false">IFERROR(S961/F961,0)</f>
        <v>0.153678897301495</v>
      </c>
      <c r="W961" s="63" t="n">
        <f aca="false">IFERROR(R961/F961,0)</f>
        <v>0.846321102698505</v>
      </c>
      <c r="X961" s="63" t="n">
        <f aca="false">IFERROR(T961/F961,0)</f>
        <v>0.00011648223645894</v>
      </c>
      <c r="Y961" s="63" t="n">
        <f aca="false">IFERROR(G961/F961,0)</f>
        <v>0.525645505727043</v>
      </c>
      <c r="Z961" s="59" t="n">
        <f aca="false">IF(E961&gt;0,F961*1000000000/E961,"")</f>
        <v>973.255119370109</v>
      </c>
      <c r="AA961" s="63" t="n">
        <f aca="false">IFERROR((R961+S961+J961)/F961,0)</f>
        <v>1</v>
      </c>
      <c r="AB961" s="0" t="str">
        <f aca="false">A961&amp;"|"&amp;D961</f>
        <v>Indonesia|2016</v>
      </c>
    </row>
    <row r="962" customFormat="false" ht="15" hidden="false" customHeight="false" outlineLevel="0" collapsed="false">
      <c r="A962" s="0" t="s">
        <v>272</v>
      </c>
      <c r="B962" s="0" t="s">
        <v>511</v>
      </c>
      <c r="C962" s="0" t="s">
        <v>127</v>
      </c>
      <c r="D962" s="0" t="n">
        <v>2017</v>
      </c>
      <c r="E962" s="59" t="n">
        <v>267346654</v>
      </c>
      <c r="F962" s="60" t="n">
        <v>265.83</v>
      </c>
      <c r="G962" s="61" t="n">
        <v>147.96</v>
      </c>
      <c r="H962" s="61" t="n">
        <v>55.83</v>
      </c>
      <c r="I962" s="61" t="n">
        <v>18.85</v>
      </c>
      <c r="J962" s="61" t="n">
        <v>0</v>
      </c>
      <c r="K962" s="61" t="n">
        <v>18.63</v>
      </c>
      <c r="L962" s="61" t="n">
        <v>0.03</v>
      </c>
      <c r="M962" s="61" t="n">
        <v>0</v>
      </c>
      <c r="N962" s="61" t="n">
        <v>11.47</v>
      </c>
      <c r="O962" s="61" t="n">
        <v>13.06</v>
      </c>
      <c r="P962" s="62" t="n">
        <v>688.5</v>
      </c>
      <c r="Q962" s="0" t="n">
        <v>0</v>
      </c>
      <c r="R962" s="60" t="n">
        <f aca="false">G962+H962+I962</f>
        <v>222.64</v>
      </c>
      <c r="S962" s="60" t="n">
        <f aca="false">K962+L962+M962+N962+O962</f>
        <v>43.19</v>
      </c>
      <c r="T962" s="60" t="n">
        <f aca="false">L962+M962</f>
        <v>0.03</v>
      </c>
      <c r="U962" s="60" t="n">
        <f aca="false">S962+J962</f>
        <v>43.19</v>
      </c>
      <c r="V962" s="63" t="n">
        <f aca="false">IFERROR(S962/F962,0)</f>
        <v>0.162472256705413</v>
      </c>
      <c r="W962" s="63" t="n">
        <f aca="false">IFERROR(R962/F962,0)</f>
        <v>0.837527743294587</v>
      </c>
      <c r="X962" s="63" t="n">
        <f aca="false">IFERROR(T962/F962,0)</f>
        <v>0.00011285407967498</v>
      </c>
      <c r="Y962" s="63" t="n">
        <f aca="false">IFERROR(G962/F962,0)</f>
        <v>0.556596320957003</v>
      </c>
      <c r="Z962" s="59" t="n">
        <f aca="false">IF(E962&gt;0,F962*1000000000/E962,"")</f>
        <v>994.3270133465</v>
      </c>
      <c r="AA962" s="63" t="n">
        <f aca="false">IFERROR((R962+S962+J962)/F962,0)</f>
        <v>1</v>
      </c>
      <c r="AB962" s="0" t="str">
        <f aca="false">A962&amp;"|"&amp;D962</f>
        <v>Indonesia|2017</v>
      </c>
    </row>
    <row r="963" customFormat="false" ht="15" hidden="false" customHeight="false" outlineLevel="0" collapsed="false">
      <c r="A963" s="0" t="s">
        <v>272</v>
      </c>
      <c r="B963" s="0" t="s">
        <v>511</v>
      </c>
      <c r="C963" s="0" t="s">
        <v>127</v>
      </c>
      <c r="D963" s="0" t="n">
        <v>2018</v>
      </c>
      <c r="E963" s="59" t="n">
        <v>269951847</v>
      </c>
      <c r="F963" s="60" t="n">
        <v>283.79</v>
      </c>
      <c r="G963" s="61" t="n">
        <v>160.01</v>
      </c>
      <c r="H963" s="61" t="n">
        <v>57.45</v>
      </c>
      <c r="I963" s="61" t="n">
        <v>17.95</v>
      </c>
      <c r="J963" s="61" t="n">
        <v>0</v>
      </c>
      <c r="K963" s="61" t="n">
        <v>21.64</v>
      </c>
      <c r="L963" s="61" t="n">
        <v>0.09</v>
      </c>
      <c r="M963" s="61" t="n">
        <v>0.19</v>
      </c>
      <c r="N963" s="61" t="n">
        <v>12.13</v>
      </c>
      <c r="O963" s="61" t="n">
        <v>14.33</v>
      </c>
      <c r="P963" s="62" t="n">
        <v>684.1</v>
      </c>
      <c r="Q963" s="0" t="n">
        <v>0</v>
      </c>
      <c r="R963" s="60" t="n">
        <f aca="false">G963+H963+I963</f>
        <v>235.41</v>
      </c>
      <c r="S963" s="60" t="n">
        <f aca="false">K963+L963+M963+N963+O963</f>
        <v>48.38</v>
      </c>
      <c r="T963" s="60" t="n">
        <f aca="false">L963+M963</f>
        <v>0.28</v>
      </c>
      <c r="U963" s="60" t="n">
        <f aca="false">S963+J963</f>
        <v>48.38</v>
      </c>
      <c r="V963" s="63" t="n">
        <f aca="false">IFERROR(S963/F963,0)</f>
        <v>0.170478170478171</v>
      </c>
      <c r="W963" s="63" t="n">
        <f aca="false">IFERROR(R963/F963,0)</f>
        <v>0.829521829521829</v>
      </c>
      <c r="X963" s="63" t="n">
        <f aca="false">IFERROR(T963/F963,0)</f>
        <v>0.000986645054441665</v>
      </c>
      <c r="Y963" s="63" t="n">
        <f aca="false">IFERROR(G963/F963,0)</f>
        <v>0.563832411290038</v>
      </c>
      <c r="Z963" s="59" t="n">
        <f aca="false">IF(E963&gt;0,F963*1000000000/E963,"")</f>
        <v>1051.26156073309</v>
      </c>
      <c r="AA963" s="63" t="n">
        <f aca="false">IFERROR((R963+S963+J963)/F963,0)</f>
        <v>1</v>
      </c>
      <c r="AB963" s="0" t="str">
        <f aca="false">A963&amp;"|"&amp;D963</f>
        <v>Indonesia|2018</v>
      </c>
    </row>
    <row r="964" customFormat="false" ht="15" hidden="false" customHeight="false" outlineLevel="0" collapsed="false">
      <c r="A964" s="0" t="s">
        <v>272</v>
      </c>
      <c r="B964" s="0" t="s">
        <v>511</v>
      </c>
      <c r="C964" s="0" t="s">
        <v>127</v>
      </c>
      <c r="D964" s="0" t="n">
        <v>2019</v>
      </c>
      <c r="E964" s="59" t="n">
        <v>272489381</v>
      </c>
      <c r="F964" s="60" t="n">
        <v>295.44</v>
      </c>
      <c r="G964" s="61" t="n">
        <v>174.49</v>
      </c>
      <c r="H964" s="61" t="n">
        <v>62.32</v>
      </c>
      <c r="I964" s="61" t="n">
        <v>10.59</v>
      </c>
      <c r="J964" s="61" t="n">
        <v>0</v>
      </c>
      <c r="K964" s="61" t="n">
        <v>21.16</v>
      </c>
      <c r="L964" s="61" t="n">
        <v>0.12</v>
      </c>
      <c r="M964" s="61" t="n">
        <v>0.48</v>
      </c>
      <c r="N964" s="61" t="n">
        <v>12.17</v>
      </c>
      <c r="O964" s="61" t="n">
        <v>14.11</v>
      </c>
      <c r="P964" s="62" t="n">
        <v>693.8</v>
      </c>
      <c r="Q964" s="0" t="n">
        <v>0</v>
      </c>
      <c r="R964" s="60" t="n">
        <f aca="false">G964+H964+I964</f>
        <v>247.4</v>
      </c>
      <c r="S964" s="60" t="n">
        <f aca="false">K964+L964+M964+N964+O964</f>
        <v>48.04</v>
      </c>
      <c r="T964" s="60" t="n">
        <f aca="false">L964+M964</f>
        <v>0.6</v>
      </c>
      <c r="U964" s="60" t="n">
        <f aca="false">S964+J964</f>
        <v>48.04</v>
      </c>
      <c r="V964" s="63" t="n">
        <f aca="false">IFERROR(S964/F964,0)</f>
        <v>0.162604928242621</v>
      </c>
      <c r="W964" s="63" t="n">
        <f aca="false">IFERROR(R964/F964,0)</f>
        <v>0.837395071757379</v>
      </c>
      <c r="X964" s="63" t="n">
        <f aca="false">IFERROR(T964/F964,0)</f>
        <v>0.00203086921202275</v>
      </c>
      <c r="Y964" s="63" t="n">
        <f aca="false">IFERROR(G964/F964,0)</f>
        <v>0.590610614676415</v>
      </c>
      <c r="Z964" s="59" t="n">
        <f aca="false">IF(E964&gt;0,F964*1000000000/E964,"")</f>
        <v>1084.2257372224</v>
      </c>
      <c r="AA964" s="63" t="n">
        <f aca="false">IFERROR((R964+S964+J964)/F964,0)</f>
        <v>1</v>
      </c>
      <c r="AB964" s="0" t="str">
        <f aca="false">A964&amp;"|"&amp;D964</f>
        <v>Indonesia|2019</v>
      </c>
    </row>
    <row r="965" customFormat="false" ht="15" hidden="false" customHeight="false" outlineLevel="0" collapsed="false">
      <c r="A965" s="0" t="s">
        <v>272</v>
      </c>
      <c r="B965" s="0" t="s">
        <v>511</v>
      </c>
      <c r="C965" s="0" t="s">
        <v>127</v>
      </c>
      <c r="D965" s="0" t="n">
        <v>2020</v>
      </c>
      <c r="E965" s="59" t="n">
        <v>274814861</v>
      </c>
      <c r="F965" s="60" t="n">
        <v>291.82</v>
      </c>
      <c r="G965" s="61" t="n">
        <v>180.87</v>
      </c>
      <c r="H965" s="61" t="n">
        <v>51.28</v>
      </c>
      <c r="I965" s="61" t="n">
        <v>6.78</v>
      </c>
      <c r="J965" s="61" t="n">
        <v>0</v>
      </c>
      <c r="K965" s="61" t="n">
        <v>24.33</v>
      </c>
      <c r="L965" s="61" t="n">
        <v>0.17</v>
      </c>
      <c r="M965" s="61" t="n">
        <v>0.47</v>
      </c>
      <c r="N965" s="61" t="n">
        <v>12.35</v>
      </c>
      <c r="O965" s="61" t="n">
        <v>15.57</v>
      </c>
      <c r="P965" s="62" t="n">
        <v>685.1</v>
      </c>
      <c r="Q965" s="0" t="n">
        <v>0</v>
      </c>
      <c r="R965" s="60" t="n">
        <f aca="false">G965+H965+I965</f>
        <v>238.93</v>
      </c>
      <c r="S965" s="60" t="n">
        <f aca="false">K965+L965+M965+N965+O965</f>
        <v>52.89</v>
      </c>
      <c r="T965" s="60" t="n">
        <f aca="false">L965+M965</f>
        <v>0.64</v>
      </c>
      <c r="U965" s="60" t="n">
        <f aca="false">S965+J965</f>
        <v>52.89</v>
      </c>
      <c r="V965" s="63" t="n">
        <f aca="false">IFERROR(S965/F965,0)</f>
        <v>0.181241861421424</v>
      </c>
      <c r="W965" s="63" t="n">
        <f aca="false">IFERROR(R965/F965,0)</f>
        <v>0.818758138578576</v>
      </c>
      <c r="X965" s="63" t="n">
        <f aca="false">IFERROR(T965/F965,0)</f>
        <v>0.00219313275306696</v>
      </c>
      <c r="Y965" s="63" t="n">
        <f aca="false">IFERROR(G965/F965,0)</f>
        <v>0.619799876636283</v>
      </c>
      <c r="Z965" s="59" t="n">
        <f aca="false">IF(E965&gt;0,F965*1000000000/E965,"")</f>
        <v>1061.8785277409</v>
      </c>
      <c r="AA965" s="63" t="n">
        <f aca="false">IFERROR((R965+S965+J965)/F965,0)</f>
        <v>1</v>
      </c>
      <c r="AB965" s="0" t="str">
        <f aca="false">A965&amp;"|"&amp;D965</f>
        <v>Indonesia|2020</v>
      </c>
    </row>
    <row r="966" customFormat="false" ht="15" hidden="false" customHeight="false" outlineLevel="0" collapsed="false">
      <c r="A966" s="0" t="s">
        <v>272</v>
      </c>
      <c r="B966" s="0" t="s">
        <v>511</v>
      </c>
      <c r="C966" s="0" t="s">
        <v>127</v>
      </c>
      <c r="D966" s="0" t="n">
        <v>2021</v>
      </c>
      <c r="E966" s="59" t="n">
        <v>276758056</v>
      </c>
      <c r="F966" s="60" t="n">
        <v>309.36</v>
      </c>
      <c r="G966" s="61" t="n">
        <v>189.96</v>
      </c>
      <c r="H966" s="61" t="n">
        <v>56.53</v>
      </c>
      <c r="I966" s="61" t="n">
        <v>6.67</v>
      </c>
      <c r="J966" s="61" t="n">
        <v>0</v>
      </c>
      <c r="K966" s="61" t="n">
        <v>24.7</v>
      </c>
      <c r="L966" s="61" t="n">
        <v>0.19</v>
      </c>
      <c r="M966" s="61" t="n">
        <v>0.44</v>
      </c>
      <c r="N966" s="61" t="n">
        <v>14.96</v>
      </c>
      <c r="O966" s="61" t="n">
        <v>15.91</v>
      </c>
      <c r="P966" s="62" t="n">
        <v>684.4</v>
      </c>
      <c r="Q966" s="0" t="n">
        <v>0</v>
      </c>
      <c r="R966" s="60" t="n">
        <f aca="false">G966+H966+I966</f>
        <v>253.16</v>
      </c>
      <c r="S966" s="60" t="n">
        <f aca="false">K966+L966+M966+N966+O966</f>
        <v>56.2</v>
      </c>
      <c r="T966" s="60" t="n">
        <f aca="false">L966+M966</f>
        <v>0.63</v>
      </c>
      <c r="U966" s="60" t="n">
        <f aca="false">S966+J966</f>
        <v>56.2</v>
      </c>
      <c r="V966" s="63" t="n">
        <f aca="false">IFERROR(S966/F966,0)</f>
        <v>0.181665373674683</v>
      </c>
      <c r="W966" s="63" t="n">
        <f aca="false">IFERROR(R966/F966,0)</f>
        <v>0.818334626325317</v>
      </c>
      <c r="X966" s="63" t="n">
        <f aca="false">IFERROR(T966/F966,0)</f>
        <v>0.00203646237393328</v>
      </c>
      <c r="Y966" s="63" t="n">
        <f aca="false">IFERROR(G966/F966,0)</f>
        <v>0.614041892940264</v>
      </c>
      <c r="Z966" s="59" t="n">
        <f aca="false">IF(E966&gt;0,F966*1000000000/E966,"")</f>
        <v>1117.7994399556</v>
      </c>
      <c r="AA966" s="63" t="n">
        <f aca="false">IFERROR((R966+S966+J966)/F966,0)</f>
        <v>1</v>
      </c>
      <c r="AB966" s="0" t="str">
        <f aca="false">A966&amp;"|"&amp;D966</f>
        <v>Indonesia|2021</v>
      </c>
    </row>
    <row r="967" customFormat="false" ht="15" hidden="false" customHeight="false" outlineLevel="0" collapsed="false">
      <c r="A967" s="0" t="s">
        <v>272</v>
      </c>
      <c r="B967" s="0" t="s">
        <v>511</v>
      </c>
      <c r="C967" s="0" t="s">
        <v>127</v>
      </c>
      <c r="D967" s="0" t="n">
        <v>2022</v>
      </c>
      <c r="E967" s="59" t="n">
        <v>278830527</v>
      </c>
      <c r="F967" s="60" t="n">
        <v>333.54</v>
      </c>
      <c r="G967" s="61" t="n">
        <v>205.31</v>
      </c>
      <c r="H967" s="61" t="n">
        <v>56.71</v>
      </c>
      <c r="I967" s="61" t="n">
        <v>6.11</v>
      </c>
      <c r="J967" s="61" t="n">
        <v>0</v>
      </c>
      <c r="K967" s="61" t="n">
        <v>27.3</v>
      </c>
      <c r="L967" s="61" t="n">
        <v>0.44</v>
      </c>
      <c r="M967" s="61" t="n">
        <v>0.36</v>
      </c>
      <c r="N967" s="61" t="n">
        <v>20.62</v>
      </c>
      <c r="O967" s="61" t="n">
        <v>16.69</v>
      </c>
      <c r="P967" s="62" t="n">
        <v>675.8</v>
      </c>
      <c r="Q967" s="0" t="n">
        <v>0</v>
      </c>
      <c r="R967" s="60" t="n">
        <f aca="false">G967+H967+I967</f>
        <v>268.13</v>
      </c>
      <c r="S967" s="60" t="n">
        <f aca="false">K967+L967+M967+N967+O967</f>
        <v>65.41</v>
      </c>
      <c r="T967" s="60" t="n">
        <f aca="false">L967+M967</f>
        <v>0.8</v>
      </c>
      <c r="U967" s="60" t="n">
        <f aca="false">S967+J967</f>
        <v>65.41</v>
      </c>
      <c r="V967" s="63" t="n">
        <f aca="false">IFERROR(S967/F967,0)</f>
        <v>0.196108412784074</v>
      </c>
      <c r="W967" s="63" t="n">
        <f aca="false">IFERROR(R967/F967,0)</f>
        <v>0.803891587215926</v>
      </c>
      <c r="X967" s="63" t="n">
        <f aca="false">IFERROR(T967/F967,0)</f>
        <v>0.00239851292198837</v>
      </c>
      <c r="Y967" s="63" t="n">
        <f aca="false">IFERROR(G967/F967,0)</f>
        <v>0.61554836001679</v>
      </c>
      <c r="Z967" s="59" t="n">
        <f aca="false">IF(E967&gt;0,F967*1000000000/E967,"")</f>
        <v>1196.21048523141</v>
      </c>
      <c r="AA967" s="63" t="n">
        <f aca="false">IFERROR((R967+S967+J967)/F967,0)</f>
        <v>1</v>
      </c>
      <c r="AB967" s="0" t="str">
        <f aca="false">A967&amp;"|"&amp;D967</f>
        <v>Indonesia|2022</v>
      </c>
    </row>
    <row r="968" customFormat="false" ht="15" hidden="false" customHeight="false" outlineLevel="0" collapsed="false">
      <c r="A968" s="0" t="s">
        <v>272</v>
      </c>
      <c r="B968" s="0" t="s">
        <v>511</v>
      </c>
      <c r="C968" s="0" t="s">
        <v>127</v>
      </c>
      <c r="D968" s="0" t="n">
        <v>2023</v>
      </c>
      <c r="E968" s="59" t="n">
        <v>281190068</v>
      </c>
      <c r="F968" s="60" t="n">
        <v>350.6</v>
      </c>
      <c r="G968" s="61" t="n">
        <v>216.78</v>
      </c>
      <c r="H968" s="61" t="n">
        <v>62.04</v>
      </c>
      <c r="I968" s="61" t="n">
        <v>6.58</v>
      </c>
      <c r="J968" s="61" t="n">
        <v>0</v>
      </c>
      <c r="K968" s="61" t="n">
        <v>24.59</v>
      </c>
      <c r="L968" s="61" t="n">
        <v>0.71</v>
      </c>
      <c r="M968" s="61" t="n">
        <v>0.48</v>
      </c>
      <c r="N968" s="61" t="n">
        <v>22.48</v>
      </c>
      <c r="O968" s="61" t="n">
        <v>16.94</v>
      </c>
      <c r="P968" s="62" t="n">
        <v>680.8</v>
      </c>
      <c r="Q968" s="0" t="n">
        <v>0</v>
      </c>
      <c r="R968" s="60" t="n">
        <f aca="false">G968+H968+I968</f>
        <v>285.4</v>
      </c>
      <c r="S968" s="60" t="n">
        <f aca="false">K968+L968+M968+N968+O968</f>
        <v>65.2</v>
      </c>
      <c r="T968" s="60" t="n">
        <f aca="false">L968+M968</f>
        <v>1.19</v>
      </c>
      <c r="U968" s="60" t="n">
        <f aca="false">S968+J968</f>
        <v>65.2</v>
      </c>
      <c r="V968" s="63" t="n">
        <f aca="false">IFERROR(S968/F968,0)</f>
        <v>0.185966913861951</v>
      </c>
      <c r="W968" s="63" t="n">
        <f aca="false">IFERROR(R968/F968,0)</f>
        <v>0.814033086138049</v>
      </c>
      <c r="X968" s="63" t="n">
        <f aca="false">IFERROR(T968/F968,0)</f>
        <v>0.00339418140330861</v>
      </c>
      <c r="Y968" s="63" t="n">
        <f aca="false">IFERROR(G968/F968,0)</f>
        <v>0.618311466058186</v>
      </c>
      <c r="Z968" s="59" t="n">
        <f aca="false">IF(E968&gt;0,F968*1000000000/E968,"")</f>
        <v>1246.84346959225</v>
      </c>
      <c r="AA968" s="63" t="n">
        <f aca="false">IFERROR((R968+S968+J968)/F968,0)</f>
        <v>1</v>
      </c>
      <c r="AB968" s="0" t="str">
        <f aca="false">A968&amp;"|"&amp;D968</f>
        <v>Indonesia|2023</v>
      </c>
    </row>
    <row r="969" customFormat="false" ht="15" hidden="false" customHeight="false" outlineLevel="0" collapsed="false">
      <c r="A969" s="0" t="s">
        <v>272</v>
      </c>
      <c r="B969" s="0" t="s">
        <v>511</v>
      </c>
      <c r="C969" s="0" t="s">
        <v>127</v>
      </c>
      <c r="D969" s="0" t="n">
        <v>2024</v>
      </c>
      <c r="E969" s="59" t="n">
        <v>283487933</v>
      </c>
      <c r="F969" s="60" t="n">
        <v>371.54</v>
      </c>
      <c r="G969" s="61" t="n">
        <v>228.43</v>
      </c>
      <c r="H969" s="61" t="n">
        <v>68.78</v>
      </c>
      <c r="I969" s="61" t="n">
        <v>7.12</v>
      </c>
      <c r="J969" s="61" t="n">
        <v>0</v>
      </c>
      <c r="K969" s="61" t="n">
        <v>27.29</v>
      </c>
      <c r="L969" s="61" t="n">
        <v>1.35</v>
      </c>
      <c r="M969" s="61" t="n">
        <v>0.47</v>
      </c>
      <c r="N969" s="61" t="n">
        <v>21.33</v>
      </c>
      <c r="O969" s="61" t="n">
        <v>16.77</v>
      </c>
      <c r="P969" s="62" t="n">
        <v>680.2</v>
      </c>
      <c r="Q969" s="0" t="n">
        <v>0</v>
      </c>
      <c r="R969" s="60" t="n">
        <f aca="false">G969+H969+I969</f>
        <v>304.33</v>
      </c>
      <c r="S969" s="60" t="n">
        <f aca="false">K969+L969+M969+N969+O969</f>
        <v>67.21</v>
      </c>
      <c r="T969" s="60" t="n">
        <f aca="false">L969+M969</f>
        <v>1.82</v>
      </c>
      <c r="U969" s="60" t="n">
        <f aca="false">S969+J969</f>
        <v>67.21</v>
      </c>
      <c r="V969" s="63" t="n">
        <f aca="false">IFERROR(S969/F969,0)</f>
        <v>0.180895731280616</v>
      </c>
      <c r="W969" s="63" t="n">
        <f aca="false">IFERROR(R969/F969,0)</f>
        <v>0.819104268719384</v>
      </c>
      <c r="X969" s="63" t="n">
        <f aca="false">IFERROR(T969/F969,0)</f>
        <v>0.00489853044086774</v>
      </c>
      <c r="Y969" s="63" t="n">
        <f aca="false">IFERROR(G969/F969,0)</f>
        <v>0.614819400333746</v>
      </c>
      <c r="Z969" s="59" t="n">
        <f aca="false">IF(E969&gt;0,F969*1000000000/E969,"")</f>
        <v>1310.60252218919</v>
      </c>
      <c r="AA969" s="63" t="n">
        <f aca="false">IFERROR((R969+S969+J969)/F969,0)</f>
        <v>1</v>
      </c>
      <c r="AB969" s="0" t="str">
        <f aca="false">A969&amp;"|"&amp;D969</f>
        <v>Indonesia|2024</v>
      </c>
    </row>
    <row r="970" customFormat="false" ht="15" hidden="false" customHeight="false" outlineLevel="0" collapsed="false">
      <c r="A970" s="0" t="s">
        <v>273</v>
      </c>
      <c r="B970" s="0" t="s">
        <v>512</v>
      </c>
      <c r="C970" s="0" t="s">
        <v>127</v>
      </c>
      <c r="D970" s="0" t="n">
        <v>2015</v>
      </c>
      <c r="E970" s="59" t="n">
        <v>82619365</v>
      </c>
      <c r="F970" s="60" t="n">
        <v>280.24</v>
      </c>
      <c r="G970" s="61" t="n">
        <v>0.46</v>
      </c>
      <c r="H970" s="61" t="n">
        <v>206.61</v>
      </c>
      <c r="I970" s="61" t="n">
        <v>56.26</v>
      </c>
      <c r="J970" s="61" t="n">
        <v>3.5</v>
      </c>
      <c r="K970" s="61" t="n">
        <v>13.25</v>
      </c>
      <c r="L970" s="61" t="n">
        <v>0</v>
      </c>
      <c r="M970" s="61" t="n">
        <v>0.14</v>
      </c>
      <c r="N970" s="61" t="n">
        <v>0.02</v>
      </c>
      <c r="O970" s="61" t="n">
        <v>0</v>
      </c>
      <c r="P970" s="62" t="n">
        <v>650.8</v>
      </c>
      <c r="Q970" s="0" t="n">
        <v>1</v>
      </c>
      <c r="R970" s="60" t="n">
        <f aca="false">G970+H970+I970</f>
        <v>263.33</v>
      </c>
      <c r="S970" s="60" t="n">
        <f aca="false">K970+L970+M970+N970+O970</f>
        <v>13.41</v>
      </c>
      <c r="T970" s="60" t="n">
        <f aca="false">L970+M970</f>
        <v>0.14</v>
      </c>
      <c r="U970" s="60" t="n">
        <f aca="false">S970+J970</f>
        <v>16.91</v>
      </c>
      <c r="V970" s="63" t="n">
        <f aca="false">IFERROR(S970/F970,0)</f>
        <v>0.0478518412789038</v>
      </c>
      <c r="W970" s="63" t="n">
        <f aca="false">IFERROR(R970/F970,0)</f>
        <v>0.939658863831002</v>
      </c>
      <c r="X970" s="63" t="n">
        <f aca="false">IFERROR(T970/F970,0)</f>
        <v>0.000499571795603768</v>
      </c>
      <c r="Y970" s="63" t="n">
        <f aca="false">IFERROR(G970/F970,0)</f>
        <v>0.00164145018555524</v>
      </c>
      <c r="Z970" s="59" t="n">
        <f aca="false">IF(E970&gt;0,F970*1000000000/E970,"")</f>
        <v>3391.94086035399</v>
      </c>
      <c r="AA970" s="63" t="n">
        <f aca="false">IFERROR((R970+S970+J970)/F970,0)</f>
        <v>1</v>
      </c>
      <c r="AB970" s="0" t="str">
        <f aca="false">A970&amp;"|"&amp;D970</f>
        <v>Iran|2015</v>
      </c>
    </row>
    <row r="971" customFormat="false" ht="15" hidden="false" customHeight="false" outlineLevel="0" collapsed="false">
      <c r="A971" s="0" t="s">
        <v>273</v>
      </c>
      <c r="B971" s="0" t="s">
        <v>512</v>
      </c>
      <c r="C971" s="0" t="s">
        <v>127</v>
      </c>
      <c r="D971" s="0" t="n">
        <v>2016</v>
      </c>
      <c r="E971" s="59" t="n">
        <v>83812230</v>
      </c>
      <c r="F971" s="60" t="n">
        <v>286.14</v>
      </c>
      <c r="G971" s="61" t="n">
        <v>0.49</v>
      </c>
      <c r="H971" s="61" t="n">
        <v>225.32</v>
      </c>
      <c r="I971" s="61" t="n">
        <v>38.26</v>
      </c>
      <c r="J971" s="61" t="n">
        <v>6.47</v>
      </c>
      <c r="K971" s="61" t="n">
        <v>15.42</v>
      </c>
      <c r="L971" s="61" t="n">
        <v>0</v>
      </c>
      <c r="M971" s="61" t="n">
        <v>0.16</v>
      </c>
      <c r="N971" s="61" t="n">
        <v>0.02</v>
      </c>
      <c r="O971" s="61" t="n">
        <v>0</v>
      </c>
      <c r="P971" s="62" t="n">
        <v>642.1</v>
      </c>
      <c r="Q971" s="0" t="n">
        <v>1</v>
      </c>
      <c r="R971" s="60" t="n">
        <f aca="false">G971+H971+I971</f>
        <v>264.07</v>
      </c>
      <c r="S971" s="60" t="n">
        <f aca="false">K971+L971+M971+N971+O971</f>
        <v>15.6</v>
      </c>
      <c r="T971" s="60" t="n">
        <f aca="false">L971+M971</f>
        <v>0.16</v>
      </c>
      <c r="U971" s="60" t="n">
        <f aca="false">S971+J971</f>
        <v>22.07</v>
      </c>
      <c r="V971" s="63" t="n">
        <f aca="false">IFERROR(S971/F971,0)</f>
        <v>0.0545187670371147</v>
      </c>
      <c r="W971" s="63" t="n">
        <f aca="false">IFERROR(R971/F971,0)</f>
        <v>0.922869923813518</v>
      </c>
      <c r="X971" s="63" t="n">
        <f aca="false">IFERROR(T971/F971,0)</f>
        <v>0.000559166841406305</v>
      </c>
      <c r="Y971" s="63" t="n">
        <f aca="false">IFERROR(G971/F971,0)</f>
        <v>0.00171244845180681</v>
      </c>
      <c r="Z971" s="59" t="n">
        <f aca="false">IF(E971&gt;0,F971*1000000000/E971,"")</f>
        <v>3414.06021531703</v>
      </c>
      <c r="AA971" s="63" t="n">
        <f aca="false">IFERROR((R971+S971+J971)/F971,0)</f>
        <v>1</v>
      </c>
      <c r="AB971" s="0" t="str">
        <f aca="false">A971&amp;"|"&amp;D971</f>
        <v>Iran|2016</v>
      </c>
    </row>
    <row r="972" customFormat="false" ht="15" hidden="false" customHeight="false" outlineLevel="0" collapsed="false">
      <c r="A972" s="0" t="s">
        <v>273</v>
      </c>
      <c r="B972" s="0" t="s">
        <v>512</v>
      </c>
      <c r="C972" s="0" t="s">
        <v>127</v>
      </c>
      <c r="D972" s="0" t="n">
        <v>2017</v>
      </c>
      <c r="E972" s="59" t="n">
        <v>85026761</v>
      </c>
      <c r="F972" s="60" t="n">
        <v>305.17</v>
      </c>
      <c r="G972" s="61" t="n">
        <v>0.69</v>
      </c>
      <c r="H972" s="61" t="n">
        <v>252.5</v>
      </c>
      <c r="I972" s="61" t="n">
        <v>27.36</v>
      </c>
      <c r="J972" s="61" t="n">
        <v>6.96</v>
      </c>
      <c r="K972" s="61" t="n">
        <v>17.23</v>
      </c>
      <c r="L972" s="61" t="n">
        <v>0.09</v>
      </c>
      <c r="M972" s="61" t="n">
        <v>0.32</v>
      </c>
      <c r="N972" s="61" t="n">
        <v>0.02</v>
      </c>
      <c r="O972" s="61" t="n">
        <v>0</v>
      </c>
      <c r="P972" s="62" t="n">
        <v>641.7</v>
      </c>
      <c r="Q972" s="0" t="n">
        <v>1</v>
      </c>
      <c r="R972" s="60" t="n">
        <f aca="false">G972+H972+I972</f>
        <v>280.55</v>
      </c>
      <c r="S972" s="60" t="n">
        <f aca="false">K972+L972+M972+N972+O972</f>
        <v>17.66</v>
      </c>
      <c r="T972" s="60" t="n">
        <f aca="false">L972+M972</f>
        <v>0.41</v>
      </c>
      <c r="U972" s="60" t="n">
        <f aca="false">S972+J972</f>
        <v>24.62</v>
      </c>
      <c r="V972" s="63" t="n">
        <f aca="false">IFERROR(S972/F972,0)</f>
        <v>0.0578693842776158</v>
      </c>
      <c r="W972" s="63" t="n">
        <f aca="false">IFERROR(R972/F972,0)</f>
        <v>0.919323655667333</v>
      </c>
      <c r="X972" s="63" t="n">
        <f aca="false">IFERROR(T972/F972,0)</f>
        <v>0.00134351345151883</v>
      </c>
      <c r="Y972" s="63" t="n">
        <f aca="false">IFERROR(G972/F972,0)</f>
        <v>0.00226103483304388</v>
      </c>
      <c r="Z972" s="59" t="n">
        <f aca="false">IF(E972&gt;0,F972*1000000000/E972,"")</f>
        <v>3589.10531708952</v>
      </c>
      <c r="AA972" s="63" t="n">
        <f aca="false">IFERROR((R972+S972+J972)/F972,0)</f>
        <v>1</v>
      </c>
      <c r="AB972" s="0" t="str">
        <f aca="false">A972&amp;"|"&amp;D972</f>
        <v>Iran|2017</v>
      </c>
    </row>
    <row r="973" customFormat="false" ht="15" hidden="false" customHeight="false" outlineLevel="0" collapsed="false">
      <c r="A973" s="0" t="s">
        <v>273</v>
      </c>
      <c r="B973" s="0" t="s">
        <v>512</v>
      </c>
      <c r="C973" s="0" t="s">
        <v>127</v>
      </c>
      <c r="D973" s="0" t="n">
        <v>2018</v>
      </c>
      <c r="E973" s="59" t="n">
        <v>86117999</v>
      </c>
      <c r="F973" s="60" t="n">
        <v>312.35</v>
      </c>
      <c r="G973" s="61" t="n">
        <v>0.64</v>
      </c>
      <c r="H973" s="61" t="n">
        <v>266.29</v>
      </c>
      <c r="I973" s="61" t="n">
        <v>27.7</v>
      </c>
      <c r="J973" s="61" t="n">
        <v>6.89</v>
      </c>
      <c r="K973" s="61" t="n">
        <v>9.84</v>
      </c>
      <c r="L973" s="61" t="n">
        <v>0.22</v>
      </c>
      <c r="M973" s="61" t="n">
        <v>0.75</v>
      </c>
      <c r="N973" s="61" t="n">
        <v>0.02</v>
      </c>
      <c r="O973" s="61" t="n">
        <v>0</v>
      </c>
      <c r="P973" s="62" t="n">
        <v>657.9</v>
      </c>
      <c r="Q973" s="0" t="n">
        <v>1</v>
      </c>
      <c r="R973" s="60" t="n">
        <f aca="false">G973+H973+I973</f>
        <v>294.63</v>
      </c>
      <c r="S973" s="60" t="n">
        <f aca="false">K973+L973+M973+N973+O973</f>
        <v>10.83</v>
      </c>
      <c r="T973" s="60" t="n">
        <f aca="false">L973+M973</f>
        <v>0.97</v>
      </c>
      <c r="U973" s="60" t="n">
        <f aca="false">S973+J973</f>
        <v>17.72</v>
      </c>
      <c r="V973" s="63" t="n">
        <f aca="false">IFERROR(S973/F973,0)</f>
        <v>0.0346726428685769</v>
      </c>
      <c r="W973" s="63" t="n">
        <f aca="false">IFERROR(R973/F973,0)</f>
        <v>0.943268769009124</v>
      </c>
      <c r="X973" s="63" t="n">
        <f aca="false">IFERROR(T973/F973,0)</f>
        <v>0.00310549063550504</v>
      </c>
      <c r="Y973" s="63" t="n">
        <f aca="false">IFERROR(G973/F973,0)</f>
        <v>0.0020489835120858</v>
      </c>
      <c r="Z973" s="59" t="n">
        <f aca="false">IF(E973&gt;0,F973*1000000000/E973,"")</f>
        <v>3627.00020468427</v>
      </c>
      <c r="AA973" s="63" t="n">
        <f aca="false">IFERROR((R973+S973+J973)/F973,0)</f>
        <v>1</v>
      </c>
      <c r="AB973" s="0" t="str">
        <f aca="false">A973&amp;"|"&amp;D973</f>
        <v>Iran|2018</v>
      </c>
    </row>
    <row r="974" customFormat="false" ht="15" hidden="false" customHeight="false" outlineLevel="0" collapsed="false">
      <c r="A974" s="0" t="s">
        <v>273</v>
      </c>
      <c r="B974" s="0" t="s">
        <v>512</v>
      </c>
      <c r="C974" s="0" t="s">
        <v>127</v>
      </c>
      <c r="D974" s="0" t="n">
        <v>2019</v>
      </c>
      <c r="E974" s="59" t="n">
        <v>87051649</v>
      </c>
      <c r="F974" s="60" t="n">
        <v>318.88</v>
      </c>
      <c r="G974" s="61" t="n">
        <v>0.81</v>
      </c>
      <c r="H974" s="61" t="n">
        <v>244.51</v>
      </c>
      <c r="I974" s="61" t="n">
        <v>32.04</v>
      </c>
      <c r="J974" s="61" t="n">
        <v>6.41</v>
      </c>
      <c r="K974" s="61" t="n">
        <v>33.87</v>
      </c>
      <c r="L974" s="61" t="n">
        <v>0.51</v>
      </c>
      <c r="M974" s="61" t="n">
        <v>0.72</v>
      </c>
      <c r="N974" s="61" t="n">
        <v>0.01</v>
      </c>
      <c r="O974" s="61" t="n">
        <v>0</v>
      </c>
      <c r="P974" s="62" t="n">
        <v>607.8</v>
      </c>
      <c r="Q974" s="0" t="n">
        <v>1</v>
      </c>
      <c r="R974" s="60" t="n">
        <f aca="false">G974+H974+I974</f>
        <v>277.36</v>
      </c>
      <c r="S974" s="60" t="n">
        <f aca="false">K974+L974+M974+N974+O974</f>
        <v>35.11</v>
      </c>
      <c r="T974" s="60" t="n">
        <f aca="false">L974+M974</f>
        <v>1.23</v>
      </c>
      <c r="U974" s="60" t="n">
        <f aca="false">S974+J974</f>
        <v>41.52</v>
      </c>
      <c r="V974" s="63" t="n">
        <f aca="false">IFERROR(S974/F974,0)</f>
        <v>0.110104114400401</v>
      </c>
      <c r="W974" s="63" t="n">
        <f aca="false">IFERROR(R974/F974,0)</f>
        <v>0.86979427997993</v>
      </c>
      <c r="X974" s="63" t="n">
        <f aca="false">IFERROR(T974/F974,0)</f>
        <v>0.00385725037631711</v>
      </c>
      <c r="Y974" s="63" t="n">
        <f aca="false">IFERROR(G974/F974,0)</f>
        <v>0.00254014049172102</v>
      </c>
      <c r="Z974" s="59" t="n">
        <f aca="false">IF(E974&gt;0,F974*1000000000/E974,"")</f>
        <v>3663.11268842248</v>
      </c>
      <c r="AA974" s="63" t="n">
        <f aca="false">IFERROR((R974+S974+J974)/F974,0)</f>
        <v>1</v>
      </c>
      <c r="AB974" s="0" t="str">
        <f aca="false">A974&amp;"|"&amp;D974</f>
        <v>Iran|2019</v>
      </c>
    </row>
    <row r="975" customFormat="false" ht="15" hidden="false" customHeight="false" outlineLevel="0" collapsed="false">
      <c r="A975" s="0" t="s">
        <v>273</v>
      </c>
      <c r="B975" s="0" t="s">
        <v>512</v>
      </c>
      <c r="C975" s="0" t="s">
        <v>127</v>
      </c>
      <c r="D975" s="0" t="n">
        <v>2020</v>
      </c>
      <c r="E975" s="59" t="n">
        <v>87723448</v>
      </c>
      <c r="F975" s="60" t="n">
        <v>337.21</v>
      </c>
      <c r="G975" s="61" t="n">
        <v>0.8</v>
      </c>
      <c r="H975" s="61" t="n">
        <v>268.23</v>
      </c>
      <c r="I975" s="61" t="n">
        <v>36.92</v>
      </c>
      <c r="J975" s="61" t="n">
        <v>6.33</v>
      </c>
      <c r="K975" s="61" t="n">
        <v>23.2</v>
      </c>
      <c r="L975" s="61" t="n">
        <v>0.58</v>
      </c>
      <c r="M975" s="61" t="n">
        <v>1.13</v>
      </c>
      <c r="N975" s="61" t="n">
        <v>0.02</v>
      </c>
      <c r="O975" s="61" t="n">
        <v>0</v>
      </c>
      <c r="P975" s="62" t="n">
        <v>632.8</v>
      </c>
      <c r="Q975" s="0" t="n">
        <v>1</v>
      </c>
      <c r="R975" s="60" t="n">
        <f aca="false">G975+H975+I975</f>
        <v>305.95</v>
      </c>
      <c r="S975" s="60" t="n">
        <f aca="false">K975+L975+M975+N975+O975</f>
        <v>24.93</v>
      </c>
      <c r="T975" s="60" t="n">
        <f aca="false">L975+M975</f>
        <v>1.71</v>
      </c>
      <c r="U975" s="60" t="n">
        <f aca="false">S975+J975</f>
        <v>31.26</v>
      </c>
      <c r="V975" s="63" t="n">
        <f aca="false">IFERROR(S975/F975,0)</f>
        <v>0.0739301918685685</v>
      </c>
      <c r="W975" s="63" t="n">
        <f aca="false">IFERROR(R975/F975,0)</f>
        <v>0.90729812283147</v>
      </c>
      <c r="X975" s="63" t="n">
        <f aca="false">IFERROR(T975/F975,0)</f>
        <v>0.00507102399098485</v>
      </c>
      <c r="Y975" s="63" t="n">
        <f aca="false">IFERROR(G975/F975,0)</f>
        <v>0.00237240888467127</v>
      </c>
      <c r="Z975" s="59" t="n">
        <f aca="false">IF(E975&gt;0,F975*1000000000/E975,"")</f>
        <v>3844.01215054839</v>
      </c>
      <c r="AA975" s="63" t="n">
        <f aca="false">IFERROR((R975+S975+J975)/F975,0)</f>
        <v>1</v>
      </c>
      <c r="AB975" s="0" t="str">
        <f aca="false">A975&amp;"|"&amp;D975</f>
        <v>Iran|2020</v>
      </c>
    </row>
    <row r="976" customFormat="false" ht="15" hidden="false" customHeight="false" outlineLevel="0" collapsed="false">
      <c r="A976" s="0" t="s">
        <v>273</v>
      </c>
      <c r="B976" s="0" t="s">
        <v>512</v>
      </c>
      <c r="C976" s="0" t="s">
        <v>127</v>
      </c>
      <c r="D976" s="0" t="n">
        <v>2021</v>
      </c>
      <c r="E976" s="59" t="n">
        <v>88455490</v>
      </c>
      <c r="F976" s="60" t="n">
        <v>356.41</v>
      </c>
      <c r="G976" s="61" t="n">
        <v>0.73</v>
      </c>
      <c r="H976" s="61" t="n">
        <v>302.18</v>
      </c>
      <c r="I976" s="61" t="n">
        <v>34.36</v>
      </c>
      <c r="J976" s="61" t="n">
        <v>3.54</v>
      </c>
      <c r="K976" s="61" t="n">
        <v>13.83</v>
      </c>
      <c r="L976" s="61" t="n">
        <v>0.62</v>
      </c>
      <c r="M976" s="61" t="n">
        <v>1.13</v>
      </c>
      <c r="N976" s="61" t="n">
        <v>0.02</v>
      </c>
      <c r="O976" s="61" t="n">
        <v>0</v>
      </c>
      <c r="P976" s="62" t="n">
        <v>659.8</v>
      </c>
      <c r="Q976" s="0" t="n">
        <v>1</v>
      </c>
      <c r="R976" s="60" t="n">
        <f aca="false">G976+H976+I976</f>
        <v>337.27</v>
      </c>
      <c r="S976" s="60" t="n">
        <f aca="false">K976+L976+M976+N976+O976</f>
        <v>15.6</v>
      </c>
      <c r="T976" s="60" t="n">
        <f aca="false">L976+M976</f>
        <v>1.75</v>
      </c>
      <c r="U976" s="60" t="n">
        <f aca="false">S976+J976</f>
        <v>19.14</v>
      </c>
      <c r="V976" s="63" t="n">
        <f aca="false">IFERROR(S976/F976,0)</f>
        <v>0.0437698156617379</v>
      </c>
      <c r="W976" s="63" t="n">
        <f aca="false">IFERROR(R976/F976,0)</f>
        <v>0.946297803091945</v>
      </c>
      <c r="X976" s="63" t="n">
        <f aca="false">IFERROR(T976/F976,0)</f>
        <v>0.00491007547487444</v>
      </c>
      <c r="Y976" s="63" t="n">
        <f aca="false">IFERROR(G976/F976,0)</f>
        <v>0.0020482029123762</v>
      </c>
      <c r="Z976" s="59" t="n">
        <f aca="false">IF(E976&gt;0,F976*1000000000/E976,"")</f>
        <v>4029.25810483894</v>
      </c>
      <c r="AA976" s="63" t="n">
        <f aca="false">IFERROR((R976+S976+J976)/F976,0)</f>
        <v>1</v>
      </c>
      <c r="AB976" s="0" t="str">
        <f aca="false">A976&amp;"|"&amp;D976</f>
        <v>Iran|2021</v>
      </c>
    </row>
    <row r="977" customFormat="false" ht="15" hidden="false" customHeight="false" outlineLevel="0" collapsed="false">
      <c r="A977" s="0" t="s">
        <v>273</v>
      </c>
      <c r="B977" s="0" t="s">
        <v>512</v>
      </c>
      <c r="C977" s="0" t="s">
        <v>127</v>
      </c>
      <c r="D977" s="0" t="n">
        <v>2022</v>
      </c>
      <c r="E977" s="59" t="n">
        <v>89524247</v>
      </c>
      <c r="F977" s="60" t="n">
        <v>367.06</v>
      </c>
      <c r="G977" s="61" t="n">
        <v>0.71</v>
      </c>
      <c r="H977" s="61" t="n">
        <v>313.42</v>
      </c>
      <c r="I977" s="61" t="n">
        <v>30.59</v>
      </c>
      <c r="J977" s="61" t="n">
        <v>6.57</v>
      </c>
      <c r="K977" s="61" t="n">
        <v>14</v>
      </c>
      <c r="L977" s="61" t="n">
        <v>0.62</v>
      </c>
      <c r="M977" s="61" t="n">
        <v>1.13</v>
      </c>
      <c r="N977" s="61" t="n">
        <v>0.02</v>
      </c>
      <c r="O977" s="61" t="n">
        <v>0</v>
      </c>
      <c r="P977" s="62" t="n">
        <v>655.4</v>
      </c>
      <c r="Q977" s="0" t="n">
        <v>1</v>
      </c>
      <c r="R977" s="60" t="n">
        <f aca="false">G977+H977+I977</f>
        <v>344.72</v>
      </c>
      <c r="S977" s="60" t="n">
        <f aca="false">K977+L977+M977+N977+O977</f>
        <v>15.77</v>
      </c>
      <c r="T977" s="60" t="n">
        <f aca="false">L977+M977</f>
        <v>1.75</v>
      </c>
      <c r="U977" s="60" t="n">
        <f aca="false">S977+J977</f>
        <v>22.34</v>
      </c>
      <c r="V977" s="63" t="n">
        <f aca="false">IFERROR(S977/F977,0)</f>
        <v>0.0429630033237073</v>
      </c>
      <c r="W977" s="63" t="n">
        <f aca="false">IFERROR(R977/F977,0)</f>
        <v>0.939138015583283</v>
      </c>
      <c r="X977" s="63" t="n">
        <f aca="false">IFERROR(T977/F977,0)</f>
        <v>0.00476761292431755</v>
      </c>
      <c r="Y977" s="63" t="n">
        <f aca="false">IFERROR(G977/F977,0)</f>
        <v>0.00193428867215169</v>
      </c>
      <c r="Z977" s="59" t="n">
        <f aca="false">IF(E977&gt;0,F977*1000000000/E977,"")</f>
        <v>4100.11826181571</v>
      </c>
      <c r="AA977" s="63" t="n">
        <f aca="false">IFERROR((R977+S977+J977)/F977,0)</f>
        <v>1</v>
      </c>
      <c r="AB977" s="0" t="str">
        <f aca="false">A977&amp;"|"&amp;D977</f>
        <v>Iran|2022</v>
      </c>
    </row>
    <row r="978" customFormat="false" ht="15" hidden="false" customHeight="false" outlineLevel="0" collapsed="false">
      <c r="A978" s="0" t="s">
        <v>273</v>
      </c>
      <c r="B978" s="0" t="s">
        <v>512</v>
      </c>
      <c r="C978" s="0" t="s">
        <v>127</v>
      </c>
      <c r="D978" s="0" t="n">
        <v>2023</v>
      </c>
      <c r="E978" s="59" t="n">
        <v>90608708</v>
      </c>
      <c r="F978" s="60" t="n">
        <v>382.02</v>
      </c>
      <c r="G978" s="61" t="n">
        <v>0.71</v>
      </c>
      <c r="H978" s="61" t="n">
        <v>321.96</v>
      </c>
      <c r="I978" s="61" t="n">
        <v>27.98</v>
      </c>
      <c r="J978" s="61" t="n">
        <v>6.64</v>
      </c>
      <c r="K978" s="61" t="n">
        <v>22.82</v>
      </c>
      <c r="L978" s="61" t="n">
        <v>0.68</v>
      </c>
      <c r="M978" s="61" t="n">
        <v>1.21</v>
      </c>
      <c r="N978" s="61" t="n">
        <v>0.02</v>
      </c>
      <c r="O978" s="61" t="n">
        <v>0</v>
      </c>
      <c r="P978" s="62" t="n">
        <v>641.4</v>
      </c>
      <c r="Q978" s="0" t="n">
        <v>1</v>
      </c>
      <c r="R978" s="60" t="n">
        <f aca="false">G978+H978+I978</f>
        <v>350.65</v>
      </c>
      <c r="S978" s="60" t="n">
        <f aca="false">K978+L978+M978+N978+O978</f>
        <v>24.73</v>
      </c>
      <c r="T978" s="60" t="n">
        <f aca="false">L978+M978</f>
        <v>1.89</v>
      </c>
      <c r="U978" s="60" t="n">
        <f aca="false">S978+J978</f>
        <v>31.37</v>
      </c>
      <c r="V978" s="63" t="n">
        <f aca="false">IFERROR(S978/F978,0)</f>
        <v>0.0647348306371394</v>
      </c>
      <c r="W978" s="63" t="n">
        <f aca="false">IFERROR(R978/F978,0)</f>
        <v>0.917883880425109</v>
      </c>
      <c r="X978" s="63" t="n">
        <f aca="false">IFERROR(T978/F978,0)</f>
        <v>0.00494738495366735</v>
      </c>
      <c r="Y978" s="63" t="n">
        <f aca="false">IFERROR(G978/F978,0)</f>
        <v>0.00185854143762107</v>
      </c>
      <c r="Z978" s="59" t="n">
        <f aca="false">IF(E978&gt;0,F978*1000000000/E978,"")</f>
        <v>4216.15105691608</v>
      </c>
      <c r="AA978" s="63" t="n">
        <f aca="false">IFERROR((R978+S978+J978)/F978,0)</f>
        <v>1</v>
      </c>
      <c r="AB978" s="0" t="str">
        <f aca="false">A978&amp;"|"&amp;D978</f>
        <v>Iran|2023</v>
      </c>
    </row>
    <row r="979" customFormat="false" ht="15" hidden="false" customHeight="false" outlineLevel="0" collapsed="false">
      <c r="A979" s="0" t="s">
        <v>273</v>
      </c>
      <c r="B979" s="0" t="s">
        <v>512</v>
      </c>
      <c r="C979" s="0" t="s">
        <v>127</v>
      </c>
      <c r="D979" s="0" t="n">
        <v>2024</v>
      </c>
      <c r="E979" s="59" t="n">
        <v>91567737</v>
      </c>
      <c r="F979" s="60" t="n">
        <v>395.79</v>
      </c>
      <c r="G979" s="61" t="n">
        <v>0.73</v>
      </c>
      <c r="H979" s="61" t="n">
        <v>340.05</v>
      </c>
      <c r="I979" s="61" t="n">
        <v>26.61</v>
      </c>
      <c r="J979" s="61" t="n">
        <v>7.35</v>
      </c>
      <c r="K979" s="61" t="n">
        <v>18.87</v>
      </c>
      <c r="L979" s="61" t="n">
        <v>0.9</v>
      </c>
      <c r="M979" s="61" t="n">
        <v>1.25</v>
      </c>
      <c r="N979" s="61" t="n">
        <v>0.03</v>
      </c>
      <c r="O979" s="61" t="n">
        <v>0</v>
      </c>
      <c r="P979" s="62" t="n">
        <v>648.7</v>
      </c>
      <c r="Q979" s="0" t="n">
        <v>1</v>
      </c>
      <c r="R979" s="60" t="n">
        <f aca="false">G979+H979+I979</f>
        <v>367.39</v>
      </c>
      <c r="S979" s="60" t="n">
        <f aca="false">K979+L979+M979+N979+O979</f>
        <v>21.05</v>
      </c>
      <c r="T979" s="60" t="n">
        <f aca="false">L979+M979</f>
        <v>2.15</v>
      </c>
      <c r="U979" s="60" t="n">
        <f aca="false">S979+J979</f>
        <v>28.4</v>
      </c>
      <c r="V979" s="63" t="n">
        <f aca="false">IFERROR(S979/F979,0)</f>
        <v>0.0531847697011041</v>
      </c>
      <c r="W979" s="63" t="n">
        <f aca="false">IFERROR(R979/F979,0)</f>
        <v>0.928244776270244</v>
      </c>
      <c r="X979" s="63" t="n">
        <f aca="false">IFERROR(T979/F979,0)</f>
        <v>0.00543217362742869</v>
      </c>
      <c r="Y979" s="63" t="n">
        <f aca="false">IFERROR(G979/F979,0)</f>
        <v>0.0018444124409409</v>
      </c>
      <c r="Z979" s="59" t="n">
        <f aca="false">IF(E979&gt;0,F979*1000000000/E979,"")</f>
        <v>4322.37393832284</v>
      </c>
      <c r="AA979" s="63" t="n">
        <f aca="false">IFERROR((R979+S979+J979)/F979,0)</f>
        <v>1</v>
      </c>
      <c r="AB979" s="0" t="str">
        <f aca="false">A979&amp;"|"&amp;D979</f>
        <v>Iran|2024</v>
      </c>
    </row>
    <row r="980" customFormat="false" ht="15" hidden="false" customHeight="false" outlineLevel="0" collapsed="false">
      <c r="A980" s="0" t="s">
        <v>273</v>
      </c>
      <c r="B980" s="0" t="s">
        <v>512</v>
      </c>
      <c r="C980" s="0" t="s">
        <v>127</v>
      </c>
      <c r="D980" s="0" t="n">
        <v>2025</v>
      </c>
      <c r="E980" s="59" t="n">
        <v>92417684</v>
      </c>
      <c r="F980" s="60" t="n">
        <v>395.78</v>
      </c>
      <c r="G980" s="61" t="n">
        <v>0.73</v>
      </c>
      <c r="H980" s="61" t="n">
        <v>354.39</v>
      </c>
      <c r="I980" s="61" t="n">
        <v>18.1</v>
      </c>
      <c r="J980" s="61" t="n">
        <v>7.35</v>
      </c>
      <c r="K980" s="61" t="n">
        <v>13.03</v>
      </c>
      <c r="L980" s="61" t="n">
        <v>0.9</v>
      </c>
      <c r="M980" s="61" t="n">
        <v>1.25</v>
      </c>
      <c r="N980" s="61" t="n">
        <v>0.03</v>
      </c>
      <c r="O980" s="61" t="n">
        <v>0</v>
      </c>
      <c r="P980" s="62" t="n">
        <v>659.5</v>
      </c>
      <c r="Q980" s="0" t="n">
        <v>1</v>
      </c>
      <c r="R980" s="60" t="n">
        <f aca="false">G980+H980+I980</f>
        <v>373.22</v>
      </c>
      <c r="S980" s="60" t="n">
        <f aca="false">K980+L980+M980+N980+O980</f>
        <v>15.21</v>
      </c>
      <c r="T980" s="60" t="n">
        <f aca="false">L980+M980</f>
        <v>2.15</v>
      </c>
      <c r="U980" s="60" t="n">
        <f aca="false">S980+J980</f>
        <v>22.56</v>
      </c>
      <c r="V980" s="63" t="n">
        <f aca="false">IFERROR(S980/F980,0)</f>
        <v>0.0384304411541766</v>
      </c>
      <c r="W980" s="63" t="n">
        <f aca="false">IFERROR(R980/F980,0)</f>
        <v>0.94299863560564</v>
      </c>
      <c r="X980" s="63" t="n">
        <f aca="false">IFERROR(T980/F980,0)</f>
        <v>0.0054323108797817</v>
      </c>
      <c r="Y980" s="63" t="n">
        <f aca="false">IFERROR(G980/F980,0)</f>
        <v>0.00184445904290262</v>
      </c>
      <c r="Z980" s="59" t="n">
        <f aca="false">IF(E980&gt;0,F980*1000000000/E980,"")</f>
        <v>4282.51372323937</v>
      </c>
      <c r="AA980" s="63" t="n">
        <f aca="false">IFERROR((R980+S980+J980)/F980,0)</f>
        <v>1</v>
      </c>
      <c r="AB980" s="0" t="str">
        <f aca="false">A980&amp;"|"&amp;D980</f>
        <v>Iran|2025</v>
      </c>
    </row>
    <row r="981" customFormat="false" ht="15" hidden="false" customHeight="false" outlineLevel="0" collapsed="false">
      <c r="A981" s="0" t="s">
        <v>274</v>
      </c>
      <c r="B981" s="0" t="s">
        <v>513</v>
      </c>
      <c r="C981" s="0" t="s">
        <v>127</v>
      </c>
      <c r="D981" s="0" t="n">
        <v>2015</v>
      </c>
      <c r="E981" s="59" t="n">
        <v>37560535</v>
      </c>
      <c r="F981" s="60" t="n">
        <v>70.64</v>
      </c>
      <c r="G981" s="61" t="n">
        <v>0</v>
      </c>
      <c r="H981" s="61" t="n">
        <v>21.07</v>
      </c>
      <c r="I981" s="61" t="n">
        <v>46.96</v>
      </c>
      <c r="J981" s="61" t="n">
        <v>0</v>
      </c>
      <c r="K981" s="61" t="n">
        <v>2.55</v>
      </c>
      <c r="L981" s="61" t="n">
        <v>0.06</v>
      </c>
      <c r="M981" s="61" t="n">
        <v>0</v>
      </c>
      <c r="N981" s="61" t="n">
        <v>0</v>
      </c>
      <c r="O981" s="61" t="n">
        <v>0</v>
      </c>
      <c r="P981" s="62" t="n">
        <v>654.5</v>
      </c>
      <c r="Q981" s="0" t="n">
        <v>0</v>
      </c>
      <c r="R981" s="60" t="n">
        <f aca="false">G981+H981+I981</f>
        <v>68.03</v>
      </c>
      <c r="S981" s="60" t="n">
        <f aca="false">K981+L981+M981+N981+O981</f>
        <v>2.61</v>
      </c>
      <c r="T981" s="60" t="n">
        <f aca="false">L981+M981</f>
        <v>0.06</v>
      </c>
      <c r="U981" s="60" t="n">
        <f aca="false">S981+J981</f>
        <v>2.61</v>
      </c>
      <c r="V981" s="63" t="n">
        <f aca="false">IFERROR(S981/F981,0)</f>
        <v>0.0369479048697622</v>
      </c>
      <c r="W981" s="63" t="n">
        <f aca="false">IFERROR(R981/F981,0)</f>
        <v>0.963052095130238</v>
      </c>
      <c r="X981" s="63" t="n">
        <f aca="false">IFERROR(T981/F981,0)</f>
        <v>0.000849377123442809</v>
      </c>
      <c r="Y981" s="63" t="n">
        <f aca="false">IFERROR(G981/F981,0)</f>
        <v>0</v>
      </c>
      <c r="Z981" s="59" t="n">
        <f aca="false">IF(E981&gt;0,F981*1000000000/E981,"")</f>
        <v>1880.69738623265</v>
      </c>
      <c r="AA981" s="63" t="n">
        <f aca="false">IFERROR((R981+S981+J981)/F981,0)</f>
        <v>1</v>
      </c>
      <c r="AB981" s="0" t="str">
        <f aca="false">A981&amp;"|"&amp;D981</f>
        <v>Iraq|2015</v>
      </c>
    </row>
    <row r="982" customFormat="false" ht="15" hidden="false" customHeight="false" outlineLevel="0" collapsed="false">
      <c r="A982" s="0" t="s">
        <v>274</v>
      </c>
      <c r="B982" s="0" t="s">
        <v>513</v>
      </c>
      <c r="C982" s="0" t="s">
        <v>127</v>
      </c>
      <c r="D982" s="0" t="n">
        <v>2016</v>
      </c>
      <c r="E982" s="59" t="n">
        <v>38469628</v>
      </c>
      <c r="F982" s="60" t="n">
        <v>81.93</v>
      </c>
      <c r="G982" s="61" t="n">
        <v>0</v>
      </c>
      <c r="H982" s="61" t="n">
        <v>20.89</v>
      </c>
      <c r="I982" s="61" t="n">
        <v>57.61</v>
      </c>
      <c r="J982" s="61" t="n">
        <v>0</v>
      </c>
      <c r="K982" s="61" t="n">
        <v>3.37</v>
      </c>
      <c r="L982" s="61" t="n">
        <v>0.06</v>
      </c>
      <c r="M982" s="61" t="n">
        <v>0</v>
      </c>
      <c r="N982" s="61" t="n">
        <v>0</v>
      </c>
      <c r="O982" s="61" t="n">
        <v>0</v>
      </c>
      <c r="P982" s="62" t="n">
        <v>648.5</v>
      </c>
      <c r="Q982" s="0" t="n">
        <v>0</v>
      </c>
      <c r="R982" s="60" t="n">
        <f aca="false">G982+H982+I982</f>
        <v>78.5</v>
      </c>
      <c r="S982" s="60" t="n">
        <f aca="false">K982+L982+M982+N982+O982</f>
        <v>3.43</v>
      </c>
      <c r="T982" s="60" t="n">
        <f aca="false">L982+M982</f>
        <v>0.06</v>
      </c>
      <c r="U982" s="60" t="n">
        <f aca="false">S982+J982</f>
        <v>3.43</v>
      </c>
      <c r="V982" s="63" t="n">
        <f aca="false">IFERROR(S982/F982,0)</f>
        <v>0.0418650067130477</v>
      </c>
      <c r="W982" s="63" t="n">
        <f aca="false">IFERROR(R982/F982,0)</f>
        <v>0.958134993286952</v>
      </c>
      <c r="X982" s="63" t="n">
        <f aca="false">IFERROR(T982/F982,0)</f>
        <v>0.000732332478945441</v>
      </c>
      <c r="Y982" s="63" t="n">
        <f aca="false">IFERROR(G982/F982,0)</f>
        <v>0</v>
      </c>
      <c r="Z982" s="59" t="n">
        <f aca="false">IF(E982&gt;0,F982*1000000000/E982,"")</f>
        <v>2129.73205771576</v>
      </c>
      <c r="AA982" s="63" t="n">
        <f aca="false">IFERROR((R982+S982+J982)/F982,0)</f>
        <v>1</v>
      </c>
      <c r="AB982" s="0" t="str">
        <f aca="false">A982&amp;"|"&amp;D982</f>
        <v>Iraq|2016</v>
      </c>
    </row>
    <row r="983" customFormat="false" ht="15" hidden="false" customHeight="false" outlineLevel="0" collapsed="false">
      <c r="A983" s="0" t="s">
        <v>274</v>
      </c>
      <c r="B983" s="0" t="s">
        <v>513</v>
      </c>
      <c r="C983" s="0" t="s">
        <v>127</v>
      </c>
      <c r="D983" s="0" t="n">
        <v>2017</v>
      </c>
      <c r="E983" s="59" t="n">
        <v>39337358</v>
      </c>
      <c r="F983" s="60" t="n">
        <v>93.58</v>
      </c>
      <c r="G983" s="61" t="n">
        <v>0</v>
      </c>
      <c r="H983" s="61" t="n">
        <v>33.75</v>
      </c>
      <c r="I983" s="61" t="n">
        <v>57.59</v>
      </c>
      <c r="J983" s="61" t="n">
        <v>0</v>
      </c>
      <c r="K983" s="61" t="n">
        <v>2.18</v>
      </c>
      <c r="L983" s="61" t="n">
        <v>0.06</v>
      </c>
      <c r="M983" s="61" t="n">
        <v>0</v>
      </c>
      <c r="N983" s="61" t="n">
        <v>0</v>
      </c>
      <c r="O983" s="61" t="n">
        <v>0</v>
      </c>
      <c r="P983" s="62" t="n">
        <v>666.8</v>
      </c>
      <c r="Q983" s="0" t="n">
        <v>0</v>
      </c>
      <c r="R983" s="60" t="n">
        <f aca="false">G983+H983+I983</f>
        <v>91.34</v>
      </c>
      <c r="S983" s="60" t="n">
        <f aca="false">K983+L983+M983+N983+O983</f>
        <v>2.24</v>
      </c>
      <c r="T983" s="60" t="n">
        <f aca="false">L983+M983</f>
        <v>0.06</v>
      </c>
      <c r="U983" s="60" t="n">
        <f aca="false">S983+J983</f>
        <v>2.24</v>
      </c>
      <c r="V983" s="63" t="n">
        <f aca="false">IFERROR(S983/F983,0)</f>
        <v>0.0239367386193631</v>
      </c>
      <c r="W983" s="63" t="n">
        <f aca="false">IFERROR(R983/F983,0)</f>
        <v>0.976063261380637</v>
      </c>
      <c r="X983" s="63" t="n">
        <f aca="false">IFERROR(T983/F983,0)</f>
        <v>0.000641162641590083</v>
      </c>
      <c r="Y983" s="63" t="n">
        <f aca="false">IFERROR(G983/F983,0)</f>
        <v>0</v>
      </c>
      <c r="Z983" s="59" t="n">
        <f aca="false">IF(E983&gt;0,F983*1000000000/E983,"")</f>
        <v>2378.90912755249</v>
      </c>
      <c r="AA983" s="63" t="n">
        <f aca="false">IFERROR((R983+S983+J983)/F983,0)</f>
        <v>1</v>
      </c>
      <c r="AB983" s="0" t="str">
        <f aca="false">A983&amp;"|"&amp;D983</f>
        <v>Iraq|2017</v>
      </c>
    </row>
    <row r="984" customFormat="false" ht="15" hidden="false" customHeight="false" outlineLevel="0" collapsed="false">
      <c r="A984" s="0" t="s">
        <v>274</v>
      </c>
      <c r="B984" s="0" t="s">
        <v>513</v>
      </c>
      <c r="C984" s="0" t="s">
        <v>127</v>
      </c>
      <c r="D984" s="0" t="n">
        <v>2018</v>
      </c>
      <c r="E984" s="59" t="n">
        <v>40265629</v>
      </c>
      <c r="F984" s="60" t="n">
        <v>98.41</v>
      </c>
      <c r="G984" s="61" t="n">
        <v>0</v>
      </c>
      <c r="H984" s="61" t="n">
        <v>53.45</v>
      </c>
      <c r="I984" s="61" t="n">
        <v>43.08</v>
      </c>
      <c r="J984" s="61" t="n">
        <v>0</v>
      </c>
      <c r="K984" s="61" t="n">
        <v>1.82</v>
      </c>
      <c r="L984" s="61" t="n">
        <v>0.06</v>
      </c>
      <c r="M984" s="61" t="n">
        <v>0</v>
      </c>
      <c r="N984" s="61" t="n">
        <v>0</v>
      </c>
      <c r="O984" s="61" t="n">
        <v>0</v>
      </c>
      <c r="P984" s="62" t="n">
        <v>682</v>
      </c>
      <c r="Q984" s="0" t="n">
        <v>0</v>
      </c>
      <c r="R984" s="60" t="n">
        <f aca="false">G984+H984+I984</f>
        <v>96.53</v>
      </c>
      <c r="S984" s="60" t="n">
        <f aca="false">K984+L984+M984+N984+O984</f>
        <v>1.88</v>
      </c>
      <c r="T984" s="60" t="n">
        <f aca="false">L984+M984</f>
        <v>0.06</v>
      </c>
      <c r="U984" s="60" t="n">
        <f aca="false">S984+J984</f>
        <v>1.88</v>
      </c>
      <c r="V984" s="63" t="n">
        <f aca="false">IFERROR(S984/F984,0)</f>
        <v>0.0191037496189412</v>
      </c>
      <c r="W984" s="63" t="n">
        <f aca="false">IFERROR(R984/F984,0)</f>
        <v>0.980896250381059</v>
      </c>
      <c r="X984" s="63" t="n">
        <f aca="false">IFERROR(T984/F984,0)</f>
        <v>0.000609694136774718</v>
      </c>
      <c r="Y984" s="63" t="n">
        <f aca="false">IFERROR(G984/F984,0)</f>
        <v>0</v>
      </c>
      <c r="Z984" s="59" t="n">
        <f aca="false">IF(E984&gt;0,F984*1000000000/E984,"")</f>
        <v>2444.01993571242</v>
      </c>
      <c r="AA984" s="63" t="n">
        <f aca="false">IFERROR((R984+S984+J984)/F984,0)</f>
        <v>1</v>
      </c>
      <c r="AB984" s="0" t="str">
        <f aca="false">A984&amp;"|"&amp;D984</f>
        <v>Iraq|2018</v>
      </c>
    </row>
    <row r="985" customFormat="false" ht="15" hidden="false" customHeight="false" outlineLevel="0" collapsed="false">
      <c r="A985" s="0" t="s">
        <v>274</v>
      </c>
      <c r="B985" s="0" t="s">
        <v>513</v>
      </c>
      <c r="C985" s="0" t="s">
        <v>127</v>
      </c>
      <c r="D985" s="0" t="n">
        <v>2019</v>
      </c>
      <c r="E985" s="59" t="n">
        <v>41192172</v>
      </c>
      <c r="F985" s="60" t="n">
        <v>115.21</v>
      </c>
      <c r="G985" s="61" t="n">
        <v>0</v>
      </c>
      <c r="H985" s="61" t="n">
        <v>66.44</v>
      </c>
      <c r="I985" s="61" t="n">
        <v>43.75</v>
      </c>
      <c r="J985" s="61" t="n">
        <v>0</v>
      </c>
      <c r="K985" s="61" t="n">
        <v>4.96</v>
      </c>
      <c r="L985" s="61" t="n">
        <v>0.06</v>
      </c>
      <c r="M985" s="61" t="n">
        <v>0</v>
      </c>
      <c r="N985" s="61" t="n">
        <v>0</v>
      </c>
      <c r="O985" s="61" t="n">
        <v>0</v>
      </c>
      <c r="P985" s="62" t="n">
        <v>668.9</v>
      </c>
      <c r="Q985" s="0" t="n">
        <v>0</v>
      </c>
      <c r="R985" s="60" t="n">
        <f aca="false">G985+H985+I985</f>
        <v>110.19</v>
      </c>
      <c r="S985" s="60" t="n">
        <f aca="false">K985+L985+M985+N985+O985</f>
        <v>5.02</v>
      </c>
      <c r="T985" s="60" t="n">
        <f aca="false">L985+M985</f>
        <v>0.06</v>
      </c>
      <c r="U985" s="60" t="n">
        <f aca="false">S985+J985</f>
        <v>5.02</v>
      </c>
      <c r="V985" s="63" t="n">
        <f aca="false">IFERROR(S985/F985,0)</f>
        <v>0.0435726065445708</v>
      </c>
      <c r="W985" s="63" t="n">
        <f aca="false">IFERROR(R985/F985,0)</f>
        <v>0.956427393455429</v>
      </c>
      <c r="X985" s="63" t="n">
        <f aca="false">IFERROR(T985/F985,0)</f>
        <v>0.000520788126030727</v>
      </c>
      <c r="Y985" s="63" t="n">
        <f aca="false">IFERROR(G985/F985,0)</f>
        <v>0</v>
      </c>
      <c r="Z985" s="59" t="n">
        <f aca="false">IF(E985&gt;0,F985*1000000000/E985,"")</f>
        <v>2796.89063252115</v>
      </c>
      <c r="AA985" s="63" t="n">
        <f aca="false">IFERROR((R985+S985+J985)/F985,0)</f>
        <v>1</v>
      </c>
      <c r="AB985" s="0" t="str">
        <f aca="false">A985&amp;"|"&amp;D985</f>
        <v>Iraq|2019</v>
      </c>
    </row>
    <row r="986" customFormat="false" ht="15" hidden="false" customHeight="false" outlineLevel="0" collapsed="false">
      <c r="A986" s="0" t="s">
        <v>274</v>
      </c>
      <c r="B986" s="0" t="s">
        <v>513</v>
      </c>
      <c r="C986" s="0" t="s">
        <v>127</v>
      </c>
      <c r="D986" s="0" t="n">
        <v>2020</v>
      </c>
      <c r="E986" s="59" t="n">
        <v>42116602</v>
      </c>
      <c r="F986" s="60" t="n">
        <v>117.12</v>
      </c>
      <c r="G986" s="61" t="n">
        <v>0</v>
      </c>
      <c r="H986" s="61" t="n">
        <v>71.51</v>
      </c>
      <c r="I986" s="61" t="n">
        <v>41.07</v>
      </c>
      <c r="J986" s="61" t="n">
        <v>0</v>
      </c>
      <c r="K986" s="61" t="n">
        <v>4.16</v>
      </c>
      <c r="L986" s="61" t="n">
        <v>0.38</v>
      </c>
      <c r="M986" s="61" t="n">
        <v>0</v>
      </c>
      <c r="N986" s="61" t="n">
        <v>0</v>
      </c>
      <c r="O986" s="61" t="n">
        <v>0</v>
      </c>
      <c r="P986" s="62" t="n">
        <v>674.2</v>
      </c>
      <c r="Q986" s="0" t="n">
        <v>0</v>
      </c>
      <c r="R986" s="60" t="n">
        <f aca="false">G986+H986+I986</f>
        <v>112.58</v>
      </c>
      <c r="S986" s="60" t="n">
        <f aca="false">K986+L986+M986+N986+O986</f>
        <v>4.54</v>
      </c>
      <c r="T986" s="60" t="n">
        <f aca="false">L986+M986</f>
        <v>0.38</v>
      </c>
      <c r="U986" s="60" t="n">
        <f aca="false">S986+J986</f>
        <v>4.54</v>
      </c>
      <c r="V986" s="63" t="n">
        <f aca="false">IFERROR(S986/F986,0)</f>
        <v>0.0387636612021858</v>
      </c>
      <c r="W986" s="63" t="n">
        <f aca="false">IFERROR(R986/F986,0)</f>
        <v>0.961236338797814</v>
      </c>
      <c r="X986" s="63" t="n">
        <f aca="false">IFERROR(T986/F986,0)</f>
        <v>0.00324453551912568</v>
      </c>
      <c r="Y986" s="63" t="n">
        <f aca="false">IFERROR(G986/F986,0)</f>
        <v>0</v>
      </c>
      <c r="Z986" s="59" t="n">
        <f aca="false">IF(E986&gt;0,F986*1000000000/E986,"")</f>
        <v>2780.8511237445</v>
      </c>
      <c r="AA986" s="63" t="n">
        <f aca="false">IFERROR((R986+S986+J986)/F986,0)</f>
        <v>1</v>
      </c>
      <c r="AB986" s="0" t="str">
        <f aca="false">A986&amp;"|"&amp;D986</f>
        <v>Iraq|2020</v>
      </c>
    </row>
    <row r="987" customFormat="false" ht="15" hidden="false" customHeight="false" outlineLevel="0" collapsed="false">
      <c r="A987" s="0" t="s">
        <v>274</v>
      </c>
      <c r="B987" s="0" t="s">
        <v>513</v>
      </c>
      <c r="C987" s="0" t="s">
        <v>127</v>
      </c>
      <c r="D987" s="0" t="n">
        <v>2021</v>
      </c>
      <c r="E987" s="59" t="n">
        <v>43071208</v>
      </c>
      <c r="F987" s="60" t="n">
        <v>120.46</v>
      </c>
      <c r="G987" s="61" t="n">
        <v>0</v>
      </c>
      <c r="H987" s="61" t="n">
        <v>70.87</v>
      </c>
      <c r="I987" s="61" t="n">
        <v>45.86</v>
      </c>
      <c r="J987" s="61" t="n">
        <v>0</v>
      </c>
      <c r="K987" s="61" t="n">
        <v>3.35</v>
      </c>
      <c r="L987" s="61" t="n">
        <v>0.38</v>
      </c>
      <c r="M987" s="61" t="n">
        <v>0</v>
      </c>
      <c r="N987" s="61" t="n">
        <v>0</v>
      </c>
      <c r="O987" s="61" t="n">
        <v>0</v>
      </c>
      <c r="P987" s="62" t="n">
        <v>677.7</v>
      </c>
      <c r="Q987" s="0" t="n">
        <v>0</v>
      </c>
      <c r="R987" s="60" t="n">
        <f aca="false">G987+H987+I987</f>
        <v>116.73</v>
      </c>
      <c r="S987" s="60" t="n">
        <f aca="false">K987+L987+M987+N987+O987</f>
        <v>3.73</v>
      </c>
      <c r="T987" s="60" t="n">
        <f aca="false">L987+M987</f>
        <v>0.38</v>
      </c>
      <c r="U987" s="60" t="n">
        <f aca="false">S987+J987</f>
        <v>3.73</v>
      </c>
      <c r="V987" s="63" t="n">
        <f aca="false">IFERROR(S987/F987,0)</f>
        <v>0.0309646355636726</v>
      </c>
      <c r="W987" s="63" t="n">
        <f aca="false">IFERROR(R987/F987,0)</f>
        <v>0.969035364436328</v>
      </c>
      <c r="X987" s="63" t="n">
        <f aca="false">IFERROR(T987/F987,0)</f>
        <v>0.00315457413249211</v>
      </c>
      <c r="Y987" s="63" t="n">
        <f aca="false">IFERROR(G987/F987,0)</f>
        <v>0</v>
      </c>
      <c r="Z987" s="59" t="n">
        <f aca="false">IF(E987&gt;0,F987*1000000000/E987,"")</f>
        <v>2796.76390780588</v>
      </c>
      <c r="AA987" s="63" t="n">
        <f aca="false">IFERROR((R987+S987+J987)/F987,0)</f>
        <v>1</v>
      </c>
      <c r="AB987" s="0" t="str">
        <f aca="false">A987&amp;"|"&amp;D987</f>
        <v>Iraq|2021</v>
      </c>
    </row>
    <row r="988" customFormat="false" ht="15" hidden="false" customHeight="false" outlineLevel="0" collapsed="false">
      <c r="A988" s="0" t="s">
        <v>274</v>
      </c>
      <c r="B988" s="0" t="s">
        <v>513</v>
      </c>
      <c r="C988" s="0" t="s">
        <v>127</v>
      </c>
      <c r="D988" s="0" t="n">
        <v>2022</v>
      </c>
      <c r="E988" s="59" t="n">
        <v>44070556</v>
      </c>
      <c r="F988" s="60" t="n">
        <v>133.86</v>
      </c>
      <c r="G988" s="61" t="n">
        <v>0</v>
      </c>
      <c r="H988" s="61" t="n">
        <v>90.24</v>
      </c>
      <c r="I988" s="61" t="n">
        <v>40.59</v>
      </c>
      <c r="J988" s="61" t="n">
        <v>0</v>
      </c>
      <c r="K988" s="61" t="n">
        <v>2.65</v>
      </c>
      <c r="L988" s="61" t="n">
        <v>0.38</v>
      </c>
      <c r="M988" s="61" t="n">
        <v>0</v>
      </c>
      <c r="N988" s="61" t="n">
        <v>0</v>
      </c>
      <c r="O988" s="61" t="n">
        <v>0</v>
      </c>
      <c r="P988" s="62" t="n">
        <v>688.7</v>
      </c>
      <c r="Q988" s="0" t="n">
        <v>0</v>
      </c>
      <c r="R988" s="60" t="n">
        <f aca="false">G988+H988+I988</f>
        <v>130.83</v>
      </c>
      <c r="S988" s="60" t="n">
        <f aca="false">K988+L988+M988+N988+O988</f>
        <v>3.03</v>
      </c>
      <c r="T988" s="60" t="n">
        <f aca="false">L988+M988</f>
        <v>0.38</v>
      </c>
      <c r="U988" s="60" t="n">
        <f aca="false">S988+J988</f>
        <v>3.03</v>
      </c>
      <c r="V988" s="63" t="n">
        <f aca="false">IFERROR(S988/F988,0)</f>
        <v>0.022635589421784</v>
      </c>
      <c r="W988" s="63" t="n">
        <f aca="false">IFERROR(R988/F988,0)</f>
        <v>0.977364410578216</v>
      </c>
      <c r="X988" s="63" t="n">
        <f aca="false">IFERROR(T988/F988,0)</f>
        <v>0.00283878679217092</v>
      </c>
      <c r="Y988" s="63" t="n">
        <f aca="false">IFERROR(G988/F988,0)</f>
        <v>0</v>
      </c>
      <c r="Z988" s="59" t="n">
        <f aca="false">IF(E988&gt;0,F988*1000000000/E988,"")</f>
        <v>3037.40211491772</v>
      </c>
      <c r="AA988" s="63" t="n">
        <f aca="false">IFERROR((R988+S988+J988)/F988,0)</f>
        <v>1</v>
      </c>
      <c r="AB988" s="0" t="str">
        <f aca="false">A988&amp;"|"&amp;D988</f>
        <v>Iraq|2022</v>
      </c>
    </row>
    <row r="989" customFormat="false" ht="15" hidden="false" customHeight="false" outlineLevel="0" collapsed="false">
      <c r="A989" s="0" t="s">
        <v>274</v>
      </c>
      <c r="B989" s="0" t="s">
        <v>513</v>
      </c>
      <c r="C989" s="0" t="s">
        <v>127</v>
      </c>
      <c r="D989" s="0" t="n">
        <v>2023</v>
      </c>
      <c r="E989" s="59" t="n">
        <v>45074055</v>
      </c>
      <c r="F989" s="60" t="n">
        <v>145.01</v>
      </c>
      <c r="G989" s="61" t="n">
        <v>0</v>
      </c>
      <c r="H989" s="61" t="n">
        <v>75.68</v>
      </c>
      <c r="I989" s="61" t="n">
        <v>67.57</v>
      </c>
      <c r="J989" s="61" t="n">
        <v>0</v>
      </c>
      <c r="K989" s="61" t="n">
        <v>1.38</v>
      </c>
      <c r="L989" s="61" t="n">
        <v>0.38</v>
      </c>
      <c r="M989" s="61" t="n">
        <v>0</v>
      </c>
      <c r="N989" s="61" t="n">
        <v>0</v>
      </c>
      <c r="O989" s="61" t="n">
        <v>0</v>
      </c>
      <c r="P989" s="62" t="n">
        <v>685.1</v>
      </c>
      <c r="Q989" s="0" t="n">
        <v>0</v>
      </c>
      <c r="R989" s="60" t="n">
        <f aca="false">G989+H989+I989</f>
        <v>143.25</v>
      </c>
      <c r="S989" s="60" t="n">
        <f aca="false">K989+L989+M989+N989+O989</f>
        <v>1.76</v>
      </c>
      <c r="T989" s="60" t="n">
        <f aca="false">L989+M989</f>
        <v>0.38</v>
      </c>
      <c r="U989" s="60" t="n">
        <f aca="false">S989+J989</f>
        <v>1.76</v>
      </c>
      <c r="V989" s="63" t="n">
        <f aca="false">IFERROR(S989/F989,0)</f>
        <v>0.0121370939935177</v>
      </c>
      <c r="W989" s="63" t="n">
        <f aca="false">IFERROR(R989/F989,0)</f>
        <v>0.987862906006482</v>
      </c>
      <c r="X989" s="63" t="n">
        <f aca="false">IFERROR(T989/F989,0)</f>
        <v>0.00262050893041859</v>
      </c>
      <c r="Y989" s="63" t="n">
        <f aca="false">IFERROR(G989/F989,0)</f>
        <v>0</v>
      </c>
      <c r="Z989" s="59" t="n">
        <f aca="false">IF(E989&gt;0,F989*1000000000/E989,"")</f>
        <v>3217.15008778332</v>
      </c>
      <c r="AA989" s="63" t="n">
        <f aca="false">IFERROR((R989+S989+J989)/F989,0)</f>
        <v>1</v>
      </c>
      <c r="AB989" s="0" t="str">
        <f aca="false">A989&amp;"|"&amp;D989</f>
        <v>Iraq|2023</v>
      </c>
    </row>
    <row r="990" customFormat="false" ht="15" hidden="false" customHeight="false" outlineLevel="0" collapsed="false">
      <c r="A990" s="0" t="s">
        <v>274</v>
      </c>
      <c r="B990" s="0" t="s">
        <v>513</v>
      </c>
      <c r="C990" s="0" t="s">
        <v>127</v>
      </c>
      <c r="D990" s="0" t="n">
        <v>2024</v>
      </c>
      <c r="E990" s="59" t="n">
        <v>46042015</v>
      </c>
      <c r="F990" s="60" t="n">
        <v>149.73</v>
      </c>
      <c r="G990" s="61" t="n">
        <v>0</v>
      </c>
      <c r="H990" s="61" t="n">
        <v>79.3</v>
      </c>
      <c r="I990" s="61" t="n">
        <v>68</v>
      </c>
      <c r="J990" s="61" t="n">
        <v>0</v>
      </c>
      <c r="K990" s="61" t="n">
        <v>2</v>
      </c>
      <c r="L990" s="61" t="n">
        <v>0.43</v>
      </c>
      <c r="M990" s="61" t="n">
        <v>0</v>
      </c>
      <c r="N990" s="61" t="n">
        <v>0</v>
      </c>
      <c r="O990" s="61" t="n">
        <v>0</v>
      </c>
      <c r="P990" s="62" t="n">
        <v>683.1</v>
      </c>
      <c r="Q990" s="0" t="n">
        <v>0</v>
      </c>
      <c r="R990" s="60" t="n">
        <f aca="false">G990+H990+I990</f>
        <v>147.3</v>
      </c>
      <c r="S990" s="60" t="n">
        <f aca="false">K990+L990+M990+N990+O990</f>
        <v>2.43</v>
      </c>
      <c r="T990" s="60" t="n">
        <f aca="false">L990+M990</f>
        <v>0.43</v>
      </c>
      <c r="U990" s="60" t="n">
        <f aca="false">S990+J990</f>
        <v>2.43</v>
      </c>
      <c r="V990" s="63" t="n">
        <f aca="false">IFERROR(S990/F990,0)</f>
        <v>0.0162292125826488</v>
      </c>
      <c r="W990" s="63" t="n">
        <f aca="false">IFERROR(R990/F990,0)</f>
        <v>0.983770787417351</v>
      </c>
      <c r="X990" s="63" t="n">
        <f aca="false">IFERROR(T990/F990,0)</f>
        <v>0.00287183597141521</v>
      </c>
      <c r="Y990" s="63" t="n">
        <f aca="false">IFERROR(G990/F990,0)</f>
        <v>0</v>
      </c>
      <c r="Z990" s="59" t="n">
        <f aca="false">IF(E990&gt;0,F990*1000000000/E990,"")</f>
        <v>3252.02969505136</v>
      </c>
      <c r="AA990" s="63" t="n">
        <f aca="false">IFERROR((R990+S990+J990)/F990,0)</f>
        <v>1</v>
      </c>
      <c r="AB990" s="0" t="str">
        <f aca="false">A990&amp;"|"&amp;D990</f>
        <v>Iraq|2024</v>
      </c>
    </row>
    <row r="991" customFormat="false" ht="15" hidden="false" customHeight="false" outlineLevel="0" collapsed="false">
      <c r="A991" s="0" t="s">
        <v>275</v>
      </c>
      <c r="B991" s="0" t="s">
        <v>514</v>
      </c>
      <c r="C991" s="0" t="s">
        <v>127</v>
      </c>
      <c r="D991" s="0" t="n">
        <v>2015</v>
      </c>
      <c r="E991" s="59" t="n">
        <v>4702497</v>
      </c>
      <c r="F991" s="60" t="n">
        <v>28.16</v>
      </c>
      <c r="G991" s="61" t="n">
        <v>4.87</v>
      </c>
      <c r="H991" s="61" t="n">
        <v>12.45</v>
      </c>
      <c r="I991" s="61" t="n">
        <v>2.87</v>
      </c>
      <c r="J991" s="61" t="n">
        <v>0</v>
      </c>
      <c r="K991" s="61" t="n">
        <v>0.81</v>
      </c>
      <c r="L991" s="61" t="n">
        <v>0</v>
      </c>
      <c r="M991" s="61" t="n">
        <v>6.68</v>
      </c>
      <c r="N991" s="61" t="n">
        <v>0.48</v>
      </c>
      <c r="O991" s="61" t="n">
        <v>0</v>
      </c>
      <c r="P991" s="62" t="n">
        <v>439.3</v>
      </c>
      <c r="Q991" s="0" t="n">
        <v>0</v>
      </c>
      <c r="R991" s="60" t="n">
        <f aca="false">G991+H991+I991</f>
        <v>20.19</v>
      </c>
      <c r="S991" s="60" t="n">
        <f aca="false">K991+L991+M991+N991+O991</f>
        <v>7.97</v>
      </c>
      <c r="T991" s="60" t="n">
        <f aca="false">L991+M991</f>
        <v>6.68</v>
      </c>
      <c r="U991" s="60" t="n">
        <f aca="false">S991+J991</f>
        <v>7.97</v>
      </c>
      <c r="V991" s="63" t="n">
        <f aca="false">IFERROR(S991/F991,0)</f>
        <v>0.283025568181818</v>
      </c>
      <c r="W991" s="63" t="n">
        <f aca="false">IFERROR(R991/F991,0)</f>
        <v>0.716974431818182</v>
      </c>
      <c r="X991" s="63" t="n">
        <f aca="false">IFERROR(T991/F991,0)</f>
        <v>0.237215909090909</v>
      </c>
      <c r="Y991" s="63" t="n">
        <f aca="false">IFERROR(G991/F991,0)</f>
        <v>0.172940340909091</v>
      </c>
      <c r="Z991" s="59" t="n">
        <f aca="false">IF(E991&gt;0,F991*1000000000/E991,"")</f>
        <v>5988.30791385938</v>
      </c>
      <c r="AA991" s="63" t="n">
        <f aca="false">IFERROR((R991+S991+J991)/F991,0)</f>
        <v>1</v>
      </c>
      <c r="AB991" s="0" t="str">
        <f aca="false">A991&amp;"|"&amp;D991</f>
        <v>Ireland|2015</v>
      </c>
    </row>
    <row r="992" customFormat="false" ht="15" hidden="false" customHeight="false" outlineLevel="0" collapsed="false">
      <c r="A992" s="0" t="s">
        <v>275</v>
      </c>
      <c r="B992" s="0" t="s">
        <v>514</v>
      </c>
      <c r="C992" s="0" t="s">
        <v>127</v>
      </c>
      <c r="D992" s="0" t="n">
        <v>2016</v>
      </c>
      <c r="E992" s="59" t="n">
        <v>4753506</v>
      </c>
      <c r="F992" s="60" t="n">
        <v>30.3</v>
      </c>
      <c r="G992" s="61" t="n">
        <v>4.7</v>
      </c>
      <c r="H992" s="61" t="n">
        <v>15.34</v>
      </c>
      <c r="I992" s="61" t="n">
        <v>2.65</v>
      </c>
      <c r="J992" s="61" t="n">
        <v>0</v>
      </c>
      <c r="K992" s="61" t="n">
        <v>0.68</v>
      </c>
      <c r="L992" s="61" t="n">
        <v>0</v>
      </c>
      <c r="M992" s="61" t="n">
        <v>6.25</v>
      </c>
      <c r="N992" s="61" t="n">
        <v>0.68</v>
      </c>
      <c r="O992" s="61" t="n">
        <v>0</v>
      </c>
      <c r="P992" s="62" t="n">
        <v>442.6</v>
      </c>
      <c r="Q992" s="0" t="n">
        <v>0</v>
      </c>
      <c r="R992" s="60" t="n">
        <f aca="false">G992+H992+I992</f>
        <v>22.69</v>
      </c>
      <c r="S992" s="60" t="n">
        <f aca="false">K992+L992+M992+N992+O992</f>
        <v>7.61</v>
      </c>
      <c r="T992" s="60" t="n">
        <f aca="false">L992+M992</f>
        <v>6.25</v>
      </c>
      <c r="U992" s="60" t="n">
        <f aca="false">S992+J992</f>
        <v>7.61</v>
      </c>
      <c r="V992" s="63" t="n">
        <f aca="false">IFERROR(S992/F992,0)</f>
        <v>0.251155115511551</v>
      </c>
      <c r="W992" s="63" t="n">
        <f aca="false">IFERROR(R992/F992,0)</f>
        <v>0.748844884488449</v>
      </c>
      <c r="X992" s="63" t="n">
        <f aca="false">IFERROR(T992/F992,0)</f>
        <v>0.206270627062706</v>
      </c>
      <c r="Y992" s="63" t="n">
        <f aca="false">IFERROR(G992/F992,0)</f>
        <v>0.155115511551155</v>
      </c>
      <c r="Z992" s="59" t="n">
        <f aca="false">IF(E992&gt;0,F992*1000000000/E992,"")</f>
        <v>6374.24250647838</v>
      </c>
      <c r="AA992" s="63" t="n">
        <f aca="false">IFERROR((R992+S992+J992)/F992,0)</f>
        <v>1</v>
      </c>
      <c r="AB992" s="0" t="str">
        <f aca="false">A992&amp;"|"&amp;D992</f>
        <v>Ireland|2016</v>
      </c>
    </row>
    <row r="993" customFormat="false" ht="15" hidden="false" customHeight="false" outlineLevel="0" collapsed="false">
      <c r="A993" s="0" t="s">
        <v>275</v>
      </c>
      <c r="B993" s="0" t="s">
        <v>514</v>
      </c>
      <c r="C993" s="0" t="s">
        <v>127</v>
      </c>
      <c r="D993" s="0" t="n">
        <v>2017</v>
      </c>
      <c r="E993" s="59" t="n">
        <v>4810258</v>
      </c>
      <c r="F993" s="60" t="n">
        <v>30.79</v>
      </c>
      <c r="G993" s="61" t="n">
        <v>3.64</v>
      </c>
      <c r="H993" s="61" t="n">
        <v>15.68</v>
      </c>
      <c r="I993" s="61" t="n">
        <v>2.46</v>
      </c>
      <c r="J993" s="61" t="n">
        <v>0</v>
      </c>
      <c r="K993" s="61" t="n">
        <v>0.69</v>
      </c>
      <c r="L993" s="61" t="n">
        <v>0.01</v>
      </c>
      <c r="M993" s="61" t="n">
        <v>7.57</v>
      </c>
      <c r="N993" s="61" t="n">
        <v>0.74</v>
      </c>
      <c r="O993" s="61" t="n">
        <v>0</v>
      </c>
      <c r="P993" s="62" t="n">
        <v>404</v>
      </c>
      <c r="Q993" s="0" t="n">
        <v>0</v>
      </c>
      <c r="R993" s="60" t="n">
        <f aca="false">G993+H993+I993</f>
        <v>21.78</v>
      </c>
      <c r="S993" s="60" t="n">
        <f aca="false">K993+L993+M993+N993+O993</f>
        <v>9.01</v>
      </c>
      <c r="T993" s="60" t="n">
        <f aca="false">L993+M993</f>
        <v>7.58</v>
      </c>
      <c r="U993" s="60" t="n">
        <f aca="false">S993+J993</f>
        <v>9.01</v>
      </c>
      <c r="V993" s="63" t="n">
        <f aca="false">IFERROR(S993/F993,0)</f>
        <v>0.292627476453394</v>
      </c>
      <c r="W993" s="63" t="n">
        <f aca="false">IFERROR(R993/F993,0)</f>
        <v>0.707372523546606</v>
      </c>
      <c r="X993" s="63" t="n">
        <f aca="false">IFERROR(T993/F993,0)</f>
        <v>0.246183825917506</v>
      </c>
      <c r="Y993" s="63" t="n">
        <f aca="false">IFERROR(G993/F993,0)</f>
        <v>0.118220201364079</v>
      </c>
      <c r="Z993" s="59" t="n">
        <f aca="false">IF(E993&gt;0,F993*1000000000/E993,"")</f>
        <v>6400.90406793149</v>
      </c>
      <c r="AA993" s="63" t="n">
        <f aca="false">IFERROR((R993+S993+J993)/F993,0)</f>
        <v>1</v>
      </c>
      <c r="AB993" s="0" t="str">
        <f aca="false">A993&amp;"|"&amp;D993</f>
        <v>Ireland|2017</v>
      </c>
    </row>
    <row r="994" customFormat="false" ht="15" hidden="false" customHeight="false" outlineLevel="0" collapsed="false">
      <c r="A994" s="0" t="s">
        <v>275</v>
      </c>
      <c r="B994" s="0" t="s">
        <v>514</v>
      </c>
      <c r="C994" s="0" t="s">
        <v>127</v>
      </c>
      <c r="D994" s="0" t="n">
        <v>2018</v>
      </c>
      <c r="E994" s="59" t="n">
        <v>4872559</v>
      </c>
      <c r="F994" s="60" t="n">
        <v>31.04</v>
      </c>
      <c r="G994" s="61" t="n">
        <v>2.15</v>
      </c>
      <c r="H994" s="61" t="n">
        <v>16.02</v>
      </c>
      <c r="I994" s="61" t="n">
        <v>2.53</v>
      </c>
      <c r="J994" s="61" t="n">
        <v>0</v>
      </c>
      <c r="K994" s="61" t="n">
        <v>0.69</v>
      </c>
      <c r="L994" s="61" t="n">
        <v>0.02</v>
      </c>
      <c r="M994" s="61" t="n">
        <v>8.78</v>
      </c>
      <c r="N994" s="61" t="n">
        <v>0.85</v>
      </c>
      <c r="O994" s="61" t="n">
        <v>0</v>
      </c>
      <c r="P994" s="62" t="n">
        <v>362.4</v>
      </c>
      <c r="Q994" s="0" t="n">
        <v>0</v>
      </c>
      <c r="R994" s="60" t="n">
        <f aca="false">G994+H994+I994</f>
        <v>20.7</v>
      </c>
      <c r="S994" s="60" t="n">
        <f aca="false">K994+L994+M994+N994+O994</f>
        <v>10.34</v>
      </c>
      <c r="T994" s="60" t="n">
        <f aca="false">L994+M994</f>
        <v>8.8</v>
      </c>
      <c r="U994" s="60" t="n">
        <f aca="false">S994+J994</f>
        <v>10.34</v>
      </c>
      <c r="V994" s="63" t="n">
        <f aca="false">IFERROR(S994/F994,0)</f>
        <v>0.333118556701031</v>
      </c>
      <c r="W994" s="63" t="n">
        <f aca="false">IFERROR(R994/F994,0)</f>
        <v>0.666881443298969</v>
      </c>
      <c r="X994" s="63" t="n">
        <f aca="false">IFERROR(T994/F994,0)</f>
        <v>0.283505154639175</v>
      </c>
      <c r="Y994" s="63" t="n">
        <f aca="false">IFERROR(G994/F994,0)</f>
        <v>0.0692654639175258</v>
      </c>
      <c r="Z994" s="59" t="n">
        <f aca="false">IF(E994&gt;0,F994*1000000000/E994,"")</f>
        <v>6370.36924540062</v>
      </c>
      <c r="AA994" s="63" t="n">
        <f aca="false">IFERROR((R994+S994+J994)/F994,0)</f>
        <v>1</v>
      </c>
      <c r="AB994" s="0" t="str">
        <f aca="false">A994&amp;"|"&amp;D994</f>
        <v>Ireland|2018</v>
      </c>
    </row>
    <row r="995" customFormat="false" ht="15" hidden="false" customHeight="false" outlineLevel="0" collapsed="false">
      <c r="A995" s="0" t="s">
        <v>275</v>
      </c>
      <c r="B995" s="0" t="s">
        <v>514</v>
      </c>
      <c r="C995" s="0" t="s">
        <v>127</v>
      </c>
      <c r="D995" s="0" t="n">
        <v>2019</v>
      </c>
      <c r="E995" s="59" t="n">
        <v>4933493</v>
      </c>
      <c r="F995" s="60" t="n">
        <v>30.87</v>
      </c>
      <c r="G995" s="61" t="n">
        <v>0.51</v>
      </c>
      <c r="H995" s="61" t="n">
        <v>15.91</v>
      </c>
      <c r="I995" s="61" t="n">
        <v>2.5</v>
      </c>
      <c r="J995" s="61" t="n">
        <v>0</v>
      </c>
      <c r="K995" s="61" t="n">
        <v>0.89</v>
      </c>
      <c r="L995" s="61" t="n">
        <v>0.03</v>
      </c>
      <c r="M995" s="61" t="n">
        <v>10.18</v>
      </c>
      <c r="N995" s="61" t="n">
        <v>0.85</v>
      </c>
      <c r="O995" s="61" t="n">
        <v>0</v>
      </c>
      <c r="P995" s="62" t="n">
        <v>311.9</v>
      </c>
      <c r="Q995" s="0" t="n">
        <v>0</v>
      </c>
      <c r="R995" s="60" t="n">
        <f aca="false">G995+H995+I995</f>
        <v>18.92</v>
      </c>
      <c r="S995" s="60" t="n">
        <f aca="false">K995+L995+M995+N995+O995</f>
        <v>11.95</v>
      </c>
      <c r="T995" s="60" t="n">
        <f aca="false">L995+M995</f>
        <v>10.21</v>
      </c>
      <c r="U995" s="60" t="n">
        <f aca="false">S995+J995</f>
        <v>11.95</v>
      </c>
      <c r="V995" s="63" t="n">
        <f aca="false">IFERROR(S995/F995,0)</f>
        <v>0.387107223841918</v>
      </c>
      <c r="W995" s="63" t="n">
        <f aca="false">IFERROR(R995/F995,0)</f>
        <v>0.612892776158082</v>
      </c>
      <c r="X995" s="63" t="n">
        <f aca="false">IFERROR(T995/F995,0)</f>
        <v>0.330741820537739</v>
      </c>
      <c r="Y995" s="63" t="n">
        <f aca="false">IFERROR(G995/F995,0)</f>
        <v>0.0165208940719145</v>
      </c>
      <c r="Z995" s="59" t="n">
        <f aca="false">IF(E995&gt;0,F995*1000000000/E995,"")</f>
        <v>6257.22991803171</v>
      </c>
      <c r="AA995" s="63" t="n">
        <f aca="false">IFERROR((R995+S995+J995)/F995,0)</f>
        <v>1</v>
      </c>
      <c r="AB995" s="0" t="str">
        <f aca="false">A995&amp;"|"&amp;D995</f>
        <v>Ireland|2019</v>
      </c>
    </row>
    <row r="996" customFormat="false" ht="15" hidden="false" customHeight="false" outlineLevel="0" collapsed="false">
      <c r="A996" s="0" t="s">
        <v>275</v>
      </c>
      <c r="B996" s="0" t="s">
        <v>514</v>
      </c>
      <c r="C996" s="0" t="s">
        <v>127</v>
      </c>
      <c r="D996" s="0" t="n">
        <v>2020</v>
      </c>
      <c r="E996" s="59" t="n">
        <v>4982602</v>
      </c>
      <c r="F996" s="60" t="n">
        <v>32.16</v>
      </c>
      <c r="G996" s="61" t="n">
        <v>0.67</v>
      </c>
      <c r="H996" s="61" t="n">
        <v>16.24</v>
      </c>
      <c r="I996" s="61" t="n">
        <v>1.6</v>
      </c>
      <c r="J996" s="61" t="n">
        <v>0</v>
      </c>
      <c r="K996" s="61" t="n">
        <v>0.93</v>
      </c>
      <c r="L996" s="61" t="n">
        <v>0.06</v>
      </c>
      <c r="M996" s="61" t="n">
        <v>11.74</v>
      </c>
      <c r="N996" s="61" t="n">
        <v>0.92</v>
      </c>
      <c r="O996" s="61" t="n">
        <v>0</v>
      </c>
      <c r="P996" s="62" t="n">
        <v>291.1</v>
      </c>
      <c r="Q996" s="0" t="n">
        <v>0</v>
      </c>
      <c r="R996" s="60" t="n">
        <f aca="false">G996+H996+I996</f>
        <v>18.51</v>
      </c>
      <c r="S996" s="60" t="n">
        <f aca="false">K996+L996+M996+N996+O996</f>
        <v>13.65</v>
      </c>
      <c r="T996" s="60" t="n">
        <f aca="false">L996+M996</f>
        <v>11.8</v>
      </c>
      <c r="U996" s="60" t="n">
        <f aca="false">S996+J996</f>
        <v>13.65</v>
      </c>
      <c r="V996" s="63" t="n">
        <f aca="false">IFERROR(S996/F996,0)</f>
        <v>0.424440298507463</v>
      </c>
      <c r="W996" s="63" t="n">
        <f aca="false">IFERROR(R996/F996,0)</f>
        <v>0.575559701492537</v>
      </c>
      <c r="X996" s="63" t="n">
        <f aca="false">IFERROR(T996/F996,0)</f>
        <v>0.366915422885572</v>
      </c>
      <c r="Y996" s="63" t="n">
        <f aca="false">IFERROR(G996/F996,0)</f>
        <v>0.0208333333333333</v>
      </c>
      <c r="Z996" s="59" t="n">
        <f aca="false">IF(E996&gt;0,F996*1000000000/E996,"")</f>
        <v>6454.45893531131</v>
      </c>
      <c r="AA996" s="63" t="n">
        <f aca="false">IFERROR((R996+S996+J996)/F996,0)</f>
        <v>1</v>
      </c>
      <c r="AB996" s="0" t="str">
        <f aca="false">A996&amp;"|"&amp;D996</f>
        <v>Ireland|2020</v>
      </c>
    </row>
    <row r="997" customFormat="false" ht="15" hidden="false" customHeight="false" outlineLevel="0" collapsed="false">
      <c r="A997" s="0" t="s">
        <v>275</v>
      </c>
      <c r="B997" s="0" t="s">
        <v>514</v>
      </c>
      <c r="C997" s="0" t="s">
        <v>127</v>
      </c>
      <c r="D997" s="0" t="n">
        <v>2021</v>
      </c>
      <c r="E997" s="59" t="n">
        <v>5028428</v>
      </c>
      <c r="F997" s="60" t="n">
        <v>31.74</v>
      </c>
      <c r="G997" s="61" t="n">
        <v>2.72</v>
      </c>
      <c r="H997" s="61" t="n">
        <v>15.16</v>
      </c>
      <c r="I997" s="61" t="n">
        <v>2.1</v>
      </c>
      <c r="J997" s="61" t="n">
        <v>0</v>
      </c>
      <c r="K997" s="61" t="n">
        <v>0.75</v>
      </c>
      <c r="L997" s="61" t="n">
        <v>0.08</v>
      </c>
      <c r="M997" s="61" t="n">
        <v>9.94</v>
      </c>
      <c r="N997" s="61" t="n">
        <v>0.99</v>
      </c>
      <c r="O997" s="61" t="n">
        <v>0</v>
      </c>
      <c r="P997" s="62" t="n">
        <v>351.9</v>
      </c>
      <c r="Q997" s="0" t="n">
        <v>0</v>
      </c>
      <c r="R997" s="60" t="n">
        <f aca="false">G997+H997+I997</f>
        <v>19.98</v>
      </c>
      <c r="S997" s="60" t="n">
        <f aca="false">K997+L997+M997+N997+O997</f>
        <v>11.76</v>
      </c>
      <c r="T997" s="60" t="n">
        <f aca="false">L997+M997</f>
        <v>10.02</v>
      </c>
      <c r="U997" s="60" t="n">
        <f aca="false">S997+J997</f>
        <v>11.76</v>
      </c>
      <c r="V997" s="63" t="n">
        <f aca="false">IFERROR(S997/F997,0)</f>
        <v>0.370510396975425</v>
      </c>
      <c r="W997" s="63" t="n">
        <f aca="false">IFERROR(R997/F997,0)</f>
        <v>0.629489603024575</v>
      </c>
      <c r="X997" s="63" t="n">
        <f aca="false">IFERROR(T997/F997,0)</f>
        <v>0.315689981096408</v>
      </c>
      <c r="Y997" s="63" t="n">
        <f aca="false">IFERROR(G997/F997,0)</f>
        <v>0.0856962822936358</v>
      </c>
      <c r="Z997" s="59" t="n">
        <f aca="false">IF(E997&gt;0,F997*1000000000/E997,"")</f>
        <v>6312.11185682683</v>
      </c>
      <c r="AA997" s="63" t="n">
        <f aca="false">IFERROR((R997+S997+J997)/F997,0)</f>
        <v>1</v>
      </c>
      <c r="AB997" s="0" t="str">
        <f aca="false">A997&amp;"|"&amp;D997</f>
        <v>Ireland|2021</v>
      </c>
    </row>
    <row r="998" customFormat="false" ht="15" hidden="false" customHeight="false" outlineLevel="0" collapsed="false">
      <c r="A998" s="0" t="s">
        <v>275</v>
      </c>
      <c r="B998" s="0" t="s">
        <v>514</v>
      </c>
      <c r="C998" s="0" t="s">
        <v>127</v>
      </c>
      <c r="D998" s="0" t="n">
        <v>2022</v>
      </c>
      <c r="E998" s="59" t="n">
        <v>5110015</v>
      </c>
      <c r="F998" s="60" t="n">
        <v>33.79</v>
      </c>
      <c r="G998" s="61" t="n">
        <v>2.37</v>
      </c>
      <c r="H998" s="61" t="n">
        <v>16.54</v>
      </c>
      <c r="I998" s="61" t="n">
        <v>1.63</v>
      </c>
      <c r="J998" s="61" t="n">
        <v>0</v>
      </c>
      <c r="K998" s="61" t="n">
        <v>0.7</v>
      </c>
      <c r="L998" s="61" t="n">
        <v>0.15</v>
      </c>
      <c r="M998" s="61" t="n">
        <v>11.39</v>
      </c>
      <c r="N998" s="61" t="n">
        <v>1.01</v>
      </c>
      <c r="O998" s="61" t="n">
        <v>0</v>
      </c>
      <c r="P998" s="62" t="n">
        <v>330.9</v>
      </c>
      <c r="Q998" s="0" t="n">
        <v>0</v>
      </c>
      <c r="R998" s="60" t="n">
        <f aca="false">G998+H998+I998</f>
        <v>20.54</v>
      </c>
      <c r="S998" s="60" t="n">
        <f aca="false">K998+L998+M998+N998+O998</f>
        <v>13.25</v>
      </c>
      <c r="T998" s="60" t="n">
        <f aca="false">L998+M998</f>
        <v>11.54</v>
      </c>
      <c r="U998" s="60" t="n">
        <f aca="false">S998+J998</f>
        <v>13.25</v>
      </c>
      <c r="V998" s="63" t="n">
        <f aca="false">IFERROR(S998/F998,0)</f>
        <v>0.39212784847588</v>
      </c>
      <c r="W998" s="63" t="n">
        <f aca="false">IFERROR(R998/F998,0)</f>
        <v>0.60787215152412</v>
      </c>
      <c r="X998" s="63" t="n">
        <f aca="false">IFERROR(T998/F998,0)</f>
        <v>0.34152116010654</v>
      </c>
      <c r="Y998" s="63" t="n">
        <f aca="false">IFERROR(G998/F998,0)</f>
        <v>0.0701390944066292</v>
      </c>
      <c r="Z998" s="59" t="n">
        <f aca="false">IF(E998&gt;0,F998*1000000000/E998,"")</f>
        <v>6612.50505135504</v>
      </c>
      <c r="AA998" s="63" t="n">
        <f aca="false">IFERROR((R998+S998+J998)/F998,0)</f>
        <v>1</v>
      </c>
      <c r="AB998" s="0" t="str">
        <f aca="false">A998&amp;"|"&amp;D998</f>
        <v>Ireland|2022</v>
      </c>
    </row>
    <row r="999" customFormat="false" ht="15" hidden="false" customHeight="false" outlineLevel="0" collapsed="false">
      <c r="A999" s="0" t="s">
        <v>275</v>
      </c>
      <c r="B999" s="0" t="s">
        <v>514</v>
      </c>
      <c r="C999" s="0" t="s">
        <v>127</v>
      </c>
      <c r="D999" s="0" t="n">
        <v>2023</v>
      </c>
      <c r="E999" s="59" t="n">
        <v>5196629</v>
      </c>
      <c r="F999" s="60" t="n">
        <v>31.55</v>
      </c>
      <c r="G999" s="61" t="n">
        <v>1.21</v>
      </c>
      <c r="H999" s="61" t="n">
        <v>15.36</v>
      </c>
      <c r="I999" s="61" t="n">
        <v>0.7</v>
      </c>
      <c r="J999" s="61" t="n">
        <v>0</v>
      </c>
      <c r="K999" s="61" t="n">
        <v>0.94</v>
      </c>
      <c r="L999" s="61" t="n">
        <v>0.65</v>
      </c>
      <c r="M999" s="61" t="n">
        <v>11.86</v>
      </c>
      <c r="N999" s="61" t="n">
        <v>0.83</v>
      </c>
      <c r="O999" s="61" t="n">
        <v>0</v>
      </c>
      <c r="P999" s="62" t="n">
        <v>282.4</v>
      </c>
      <c r="Q999" s="0" t="n">
        <v>0</v>
      </c>
      <c r="R999" s="60" t="n">
        <f aca="false">G999+H999+I999</f>
        <v>17.27</v>
      </c>
      <c r="S999" s="60" t="n">
        <f aca="false">K999+L999+M999+N999+O999</f>
        <v>14.28</v>
      </c>
      <c r="T999" s="60" t="n">
        <f aca="false">L999+M999</f>
        <v>12.51</v>
      </c>
      <c r="U999" s="60" t="n">
        <f aca="false">S999+J999</f>
        <v>14.28</v>
      </c>
      <c r="V999" s="63" t="n">
        <f aca="false">IFERROR(S999/F999,0)</f>
        <v>0.452614896988906</v>
      </c>
      <c r="W999" s="63" t="n">
        <f aca="false">IFERROR(R999/F999,0)</f>
        <v>0.547385103011093</v>
      </c>
      <c r="X999" s="63" t="n">
        <f aca="false">IFERROR(T999/F999,0)</f>
        <v>0.396513470681458</v>
      </c>
      <c r="Y999" s="63" t="n">
        <f aca="false">IFERROR(G999/F999,0)</f>
        <v>0.038351822503962</v>
      </c>
      <c r="Z999" s="59" t="n">
        <f aca="false">IF(E999&gt;0,F999*1000000000/E999,"")</f>
        <v>6071.24349265649</v>
      </c>
      <c r="AA999" s="63" t="n">
        <f aca="false">IFERROR((R999+S999+J999)/F999,0)</f>
        <v>1</v>
      </c>
      <c r="AB999" s="0" t="str">
        <f aca="false">A999&amp;"|"&amp;D999</f>
        <v>Ireland|2023</v>
      </c>
    </row>
    <row r="1000" customFormat="false" ht="15" hidden="false" customHeight="false" outlineLevel="0" collapsed="false">
      <c r="A1000" s="0" t="s">
        <v>275</v>
      </c>
      <c r="B1000" s="0" t="s">
        <v>514</v>
      </c>
      <c r="C1000" s="0" t="s">
        <v>127</v>
      </c>
      <c r="D1000" s="0" t="n">
        <v>2024</v>
      </c>
      <c r="E1000" s="59" t="n">
        <v>5255016</v>
      </c>
      <c r="F1000" s="60" t="n">
        <v>31.08</v>
      </c>
      <c r="G1000" s="61" t="n">
        <v>0.63</v>
      </c>
      <c r="H1000" s="61" t="n">
        <v>15.1</v>
      </c>
      <c r="I1000" s="61" t="n">
        <v>0.89</v>
      </c>
      <c r="J1000" s="61" t="n">
        <v>0</v>
      </c>
      <c r="K1000" s="61" t="n">
        <v>0.77</v>
      </c>
      <c r="L1000" s="61" t="n">
        <v>1.09</v>
      </c>
      <c r="M1000" s="61" t="n">
        <v>11.6</v>
      </c>
      <c r="N1000" s="61" t="n">
        <v>1</v>
      </c>
      <c r="O1000" s="61" t="n">
        <v>0</v>
      </c>
      <c r="P1000" s="62" t="n">
        <v>270.9</v>
      </c>
      <c r="Q1000" s="0" t="n">
        <v>0</v>
      </c>
      <c r="R1000" s="60" t="n">
        <f aca="false">G1000+H1000+I1000</f>
        <v>16.62</v>
      </c>
      <c r="S1000" s="60" t="n">
        <f aca="false">K1000+L1000+M1000+N1000+O1000</f>
        <v>14.46</v>
      </c>
      <c r="T1000" s="60" t="n">
        <f aca="false">L1000+M1000</f>
        <v>12.69</v>
      </c>
      <c r="U1000" s="60" t="n">
        <f aca="false">S1000+J1000</f>
        <v>14.46</v>
      </c>
      <c r="V1000" s="63" t="n">
        <f aca="false">IFERROR(S1000/F1000,0)</f>
        <v>0.465250965250965</v>
      </c>
      <c r="W1000" s="63" t="n">
        <f aca="false">IFERROR(R1000/F1000,0)</f>
        <v>0.534749034749035</v>
      </c>
      <c r="X1000" s="63" t="n">
        <f aca="false">IFERROR(T1000/F1000,0)</f>
        <v>0.408301158301158</v>
      </c>
      <c r="Y1000" s="63" t="n">
        <f aca="false">IFERROR(G1000/F1000,0)</f>
        <v>0.0202702702702703</v>
      </c>
      <c r="Z1000" s="59" t="n">
        <f aca="false">IF(E1000&gt;0,F1000*1000000000/E1000,"")</f>
        <v>5914.34926173393</v>
      </c>
      <c r="AA1000" s="63" t="n">
        <f aca="false">IFERROR((R1000+S1000+J1000)/F1000,0)</f>
        <v>1</v>
      </c>
      <c r="AB1000" s="0" t="str">
        <f aca="false">A1000&amp;"|"&amp;D1000</f>
        <v>Ireland|2024</v>
      </c>
    </row>
    <row r="1001" customFormat="false" ht="15" hidden="false" customHeight="false" outlineLevel="0" collapsed="false">
      <c r="A1001" s="0" t="s">
        <v>275</v>
      </c>
      <c r="B1001" s="0" t="s">
        <v>514</v>
      </c>
      <c r="C1001" s="0" t="s">
        <v>127</v>
      </c>
      <c r="D1001" s="0" t="n">
        <v>2025</v>
      </c>
      <c r="E1001" s="59" t="n">
        <v>5308035</v>
      </c>
      <c r="F1001" s="60" t="n">
        <v>30.95</v>
      </c>
      <c r="G1001" s="61" t="n">
        <v>0.16</v>
      </c>
      <c r="H1001" s="61" t="n">
        <v>14.97</v>
      </c>
      <c r="I1001" s="61" t="n">
        <v>0.92</v>
      </c>
      <c r="J1001" s="61" t="n">
        <v>0</v>
      </c>
      <c r="K1001" s="61" t="n">
        <v>0.65</v>
      </c>
      <c r="L1001" s="61" t="n">
        <v>1.47</v>
      </c>
      <c r="M1001" s="61" t="n">
        <v>11.76</v>
      </c>
      <c r="N1001" s="61" t="n">
        <v>1.02</v>
      </c>
      <c r="O1001" s="61" t="n">
        <v>0</v>
      </c>
      <c r="P1001" s="62" t="n">
        <v>256.5</v>
      </c>
      <c r="Q1001" s="0" t="n">
        <v>0</v>
      </c>
      <c r="R1001" s="60" t="n">
        <f aca="false">G1001+H1001+I1001</f>
        <v>16.05</v>
      </c>
      <c r="S1001" s="60" t="n">
        <f aca="false">K1001+L1001+M1001+N1001+O1001</f>
        <v>14.9</v>
      </c>
      <c r="T1001" s="60" t="n">
        <f aca="false">L1001+M1001</f>
        <v>13.23</v>
      </c>
      <c r="U1001" s="60" t="n">
        <f aca="false">S1001+J1001</f>
        <v>14.9</v>
      </c>
      <c r="V1001" s="63" t="n">
        <f aca="false">IFERROR(S1001/F1001,0)</f>
        <v>0.481421647819063</v>
      </c>
      <c r="W1001" s="63" t="n">
        <f aca="false">IFERROR(R1001/F1001,0)</f>
        <v>0.518578352180937</v>
      </c>
      <c r="X1001" s="63" t="n">
        <f aca="false">IFERROR(T1001/F1001,0)</f>
        <v>0.427463651050081</v>
      </c>
      <c r="Y1001" s="63" t="n">
        <f aca="false">IFERROR(G1001/F1001,0)</f>
        <v>0.00516962843295638</v>
      </c>
      <c r="Z1001" s="59" t="n">
        <f aca="false">IF(E1001&gt;0,F1001*1000000000/E1001,"")</f>
        <v>5830.78295452084</v>
      </c>
      <c r="AA1001" s="63" t="n">
        <f aca="false">IFERROR((R1001+S1001+J1001)/F1001,0)</f>
        <v>1</v>
      </c>
      <c r="AB1001" s="0" t="str">
        <f aca="false">A1001&amp;"|"&amp;D1001</f>
        <v>Ireland|2025</v>
      </c>
    </row>
    <row r="1002" customFormat="false" ht="15" hidden="false" customHeight="false" outlineLevel="0" collapsed="false">
      <c r="A1002" s="0" t="s">
        <v>276</v>
      </c>
      <c r="B1002" s="0" t="s">
        <v>515</v>
      </c>
      <c r="C1002" s="0" t="s">
        <v>127</v>
      </c>
      <c r="D1002" s="0" t="n">
        <v>2015</v>
      </c>
      <c r="E1002" s="59" t="n">
        <v>8052916</v>
      </c>
      <c r="F1002" s="60" t="n">
        <v>64.23</v>
      </c>
      <c r="G1002" s="61" t="n">
        <v>29.16</v>
      </c>
      <c r="H1002" s="61" t="n">
        <v>33.15</v>
      </c>
      <c r="I1002" s="61" t="n">
        <v>0.7</v>
      </c>
      <c r="J1002" s="61" t="n">
        <v>0</v>
      </c>
      <c r="K1002" s="61" t="n">
        <v>0.02</v>
      </c>
      <c r="L1002" s="61" t="n">
        <v>1.12</v>
      </c>
      <c r="M1002" s="61" t="n">
        <v>0.01</v>
      </c>
      <c r="N1002" s="61" t="n">
        <v>0.07</v>
      </c>
      <c r="O1002" s="61" t="n">
        <v>0</v>
      </c>
      <c r="P1002" s="62" t="n">
        <v>692.7</v>
      </c>
      <c r="Q1002" s="0" t="n">
        <v>0</v>
      </c>
      <c r="R1002" s="60" t="n">
        <f aca="false">G1002+H1002+I1002</f>
        <v>63.01</v>
      </c>
      <c r="S1002" s="60" t="n">
        <f aca="false">K1002+L1002+M1002+N1002+O1002</f>
        <v>1.22</v>
      </c>
      <c r="T1002" s="60" t="n">
        <f aca="false">L1002+M1002</f>
        <v>1.13</v>
      </c>
      <c r="U1002" s="60" t="n">
        <f aca="false">S1002+J1002</f>
        <v>1.22</v>
      </c>
      <c r="V1002" s="63" t="n">
        <f aca="false">IFERROR(S1002/F1002,0)</f>
        <v>0.0189942394519695</v>
      </c>
      <c r="W1002" s="63" t="n">
        <f aca="false">IFERROR(R1002/F1002,0)</f>
        <v>0.981005760548031</v>
      </c>
      <c r="X1002" s="63" t="n">
        <f aca="false">IFERROR(T1002/F1002,0)</f>
        <v>0.0175930250661685</v>
      </c>
      <c r="Y1002" s="63" t="n">
        <f aca="false">IFERROR(G1002/F1002,0)</f>
        <v>0.453993460999533</v>
      </c>
      <c r="Z1002" s="59" t="n">
        <f aca="false">IF(E1002&gt;0,F1002*1000000000/E1002,"")</f>
        <v>7975.99279565315</v>
      </c>
      <c r="AA1002" s="63" t="n">
        <f aca="false">IFERROR((R1002+S1002+J1002)/F1002,0)</f>
        <v>1</v>
      </c>
      <c r="AB1002" s="0" t="str">
        <f aca="false">A1002&amp;"|"&amp;D1002</f>
        <v>Israel|2015</v>
      </c>
    </row>
    <row r="1003" customFormat="false" ht="15" hidden="false" customHeight="false" outlineLevel="0" collapsed="false">
      <c r="A1003" s="0" t="s">
        <v>276</v>
      </c>
      <c r="B1003" s="0" t="s">
        <v>515</v>
      </c>
      <c r="C1003" s="0" t="s">
        <v>127</v>
      </c>
      <c r="D1003" s="0" t="n">
        <v>2016</v>
      </c>
      <c r="E1003" s="59" t="n">
        <v>8210006</v>
      </c>
      <c r="F1003" s="60" t="n">
        <v>67.01</v>
      </c>
      <c r="G1003" s="61" t="n">
        <v>24.16</v>
      </c>
      <c r="H1003" s="61" t="n">
        <v>40.82</v>
      </c>
      <c r="I1003" s="61" t="n">
        <v>0.33</v>
      </c>
      <c r="J1003" s="61" t="n">
        <v>0</v>
      </c>
      <c r="K1003" s="61" t="n">
        <v>0</v>
      </c>
      <c r="L1003" s="61" t="n">
        <v>1.54</v>
      </c>
      <c r="M1003" s="61" t="n">
        <v>0.05</v>
      </c>
      <c r="N1003" s="61" t="n">
        <v>0.11</v>
      </c>
      <c r="O1003" s="61" t="n">
        <v>0</v>
      </c>
      <c r="P1003" s="62" t="n">
        <v>662.1</v>
      </c>
      <c r="Q1003" s="0" t="n">
        <v>0</v>
      </c>
      <c r="R1003" s="60" t="n">
        <f aca="false">G1003+H1003+I1003</f>
        <v>65.31</v>
      </c>
      <c r="S1003" s="60" t="n">
        <f aca="false">K1003+L1003+M1003+N1003+O1003</f>
        <v>1.7</v>
      </c>
      <c r="T1003" s="60" t="n">
        <f aca="false">L1003+M1003</f>
        <v>1.59</v>
      </c>
      <c r="U1003" s="60" t="n">
        <f aca="false">S1003+J1003</f>
        <v>1.7</v>
      </c>
      <c r="V1003" s="63" t="n">
        <f aca="false">IFERROR(S1003/F1003,0)</f>
        <v>0.0253693478585286</v>
      </c>
      <c r="W1003" s="63" t="n">
        <f aca="false">IFERROR(R1003/F1003,0)</f>
        <v>0.974630652141471</v>
      </c>
      <c r="X1003" s="63" t="n">
        <f aca="false">IFERROR(T1003/F1003,0)</f>
        <v>0.0237278018206238</v>
      </c>
      <c r="Y1003" s="63" t="n">
        <f aca="false">IFERROR(G1003/F1003,0)</f>
        <v>0.360543202507089</v>
      </c>
      <c r="Z1003" s="59" t="n">
        <f aca="false">IF(E1003&gt;0,F1003*1000000000/E1003,"")</f>
        <v>8161.99159903172</v>
      </c>
      <c r="AA1003" s="63" t="n">
        <f aca="false">IFERROR((R1003+S1003+J1003)/F1003,0)</f>
        <v>1</v>
      </c>
      <c r="AB1003" s="0" t="str">
        <f aca="false">A1003&amp;"|"&amp;D1003</f>
        <v>Israel|2016</v>
      </c>
    </row>
    <row r="1004" customFormat="false" ht="15" hidden="false" customHeight="false" outlineLevel="0" collapsed="false">
      <c r="A1004" s="0" t="s">
        <v>276</v>
      </c>
      <c r="B1004" s="0" t="s">
        <v>515</v>
      </c>
      <c r="C1004" s="0" t="s">
        <v>127</v>
      </c>
      <c r="D1004" s="0" t="n">
        <v>2017</v>
      </c>
      <c r="E1004" s="59" t="n">
        <v>8361796</v>
      </c>
      <c r="F1004" s="60" t="n">
        <v>67.44</v>
      </c>
      <c r="G1004" s="61" t="n">
        <v>22.03</v>
      </c>
      <c r="H1004" s="61" t="n">
        <v>42.8</v>
      </c>
      <c r="I1004" s="61" t="n">
        <v>0.92</v>
      </c>
      <c r="J1004" s="61" t="n">
        <v>0</v>
      </c>
      <c r="K1004" s="61" t="n">
        <v>0</v>
      </c>
      <c r="L1004" s="61" t="n">
        <v>1.51</v>
      </c>
      <c r="M1004" s="61" t="n">
        <v>0.18</v>
      </c>
      <c r="N1004" s="61" t="n">
        <v>0</v>
      </c>
      <c r="O1004" s="61" t="n">
        <v>0</v>
      </c>
      <c r="P1004" s="62" t="n">
        <v>653.2</v>
      </c>
      <c r="Q1004" s="0" t="n">
        <v>0</v>
      </c>
      <c r="R1004" s="60" t="n">
        <f aca="false">G1004+H1004+I1004</f>
        <v>65.75</v>
      </c>
      <c r="S1004" s="60" t="n">
        <f aca="false">K1004+L1004+M1004+N1004+O1004</f>
        <v>1.69</v>
      </c>
      <c r="T1004" s="60" t="n">
        <f aca="false">L1004+M1004</f>
        <v>1.69</v>
      </c>
      <c r="U1004" s="60" t="n">
        <f aca="false">S1004+J1004</f>
        <v>1.69</v>
      </c>
      <c r="V1004" s="63" t="n">
        <f aca="false">IFERROR(S1004/F1004,0)</f>
        <v>0.0250593119810202</v>
      </c>
      <c r="W1004" s="63" t="n">
        <f aca="false">IFERROR(R1004/F1004,0)</f>
        <v>0.97494068801898</v>
      </c>
      <c r="X1004" s="63" t="n">
        <f aca="false">IFERROR(T1004/F1004,0)</f>
        <v>0.0250593119810202</v>
      </c>
      <c r="Y1004" s="63" t="n">
        <f aca="false">IFERROR(G1004/F1004,0)</f>
        <v>0.326660735468565</v>
      </c>
      <c r="Z1004" s="59" t="n">
        <f aca="false">IF(E1004&gt;0,F1004*1000000000/E1004,"")</f>
        <v>8065.25296718552</v>
      </c>
      <c r="AA1004" s="63" t="n">
        <f aca="false">IFERROR((R1004+S1004+J1004)/F1004,0)</f>
        <v>1</v>
      </c>
      <c r="AB1004" s="0" t="str">
        <f aca="false">A1004&amp;"|"&amp;D1004</f>
        <v>Israel|2017</v>
      </c>
    </row>
    <row r="1005" customFormat="false" ht="15" hidden="false" customHeight="false" outlineLevel="0" collapsed="false">
      <c r="A1005" s="0" t="s">
        <v>276</v>
      </c>
      <c r="B1005" s="0" t="s">
        <v>515</v>
      </c>
      <c r="C1005" s="0" t="s">
        <v>127</v>
      </c>
      <c r="D1005" s="0" t="n">
        <v>2018</v>
      </c>
      <c r="E1005" s="59" t="n">
        <v>8510067</v>
      </c>
      <c r="F1005" s="60" t="n">
        <v>69.02</v>
      </c>
      <c r="G1005" s="61" t="n">
        <v>20.6</v>
      </c>
      <c r="H1005" s="61" t="n">
        <v>46.04</v>
      </c>
      <c r="I1005" s="61" t="n">
        <v>0.5</v>
      </c>
      <c r="J1005" s="61" t="n">
        <v>0</v>
      </c>
      <c r="K1005" s="61" t="n">
        <v>0</v>
      </c>
      <c r="L1005" s="61" t="n">
        <v>1.57</v>
      </c>
      <c r="M1005" s="61" t="n">
        <v>0.18</v>
      </c>
      <c r="N1005" s="61" t="n">
        <v>0.13</v>
      </c>
      <c r="O1005" s="61" t="n">
        <v>0</v>
      </c>
      <c r="P1005" s="62" t="n">
        <v>643.6</v>
      </c>
      <c r="Q1005" s="0" t="n">
        <v>0</v>
      </c>
      <c r="R1005" s="60" t="n">
        <f aca="false">G1005+H1005+I1005</f>
        <v>67.14</v>
      </c>
      <c r="S1005" s="60" t="n">
        <f aca="false">K1005+L1005+M1005+N1005+O1005</f>
        <v>1.88</v>
      </c>
      <c r="T1005" s="60" t="n">
        <f aca="false">L1005+M1005</f>
        <v>1.75</v>
      </c>
      <c r="U1005" s="60" t="n">
        <f aca="false">S1005+J1005</f>
        <v>1.88</v>
      </c>
      <c r="V1005" s="63" t="n">
        <f aca="false">IFERROR(S1005/F1005,0)</f>
        <v>0.0272384815995364</v>
      </c>
      <c r="W1005" s="63" t="n">
        <f aca="false">IFERROR(R1005/F1005,0)</f>
        <v>0.972761518400464</v>
      </c>
      <c r="X1005" s="63" t="n">
        <f aca="false">IFERROR(T1005/F1005,0)</f>
        <v>0.0253549695740365</v>
      </c>
      <c r="Y1005" s="63" t="n">
        <f aca="false">IFERROR(G1005/F1005,0)</f>
        <v>0.298464213271516</v>
      </c>
      <c r="Z1005" s="59" t="n">
        <f aca="false">IF(E1005&gt;0,F1005*1000000000/E1005,"")</f>
        <v>8110.39443050213</v>
      </c>
      <c r="AA1005" s="63" t="n">
        <f aca="false">IFERROR((R1005+S1005+J1005)/F1005,0)</f>
        <v>1</v>
      </c>
      <c r="AB1005" s="0" t="str">
        <f aca="false">A1005&amp;"|"&amp;D1005</f>
        <v>Israel|2018</v>
      </c>
    </row>
    <row r="1006" customFormat="false" ht="15" hidden="false" customHeight="false" outlineLevel="0" collapsed="false">
      <c r="A1006" s="0" t="s">
        <v>276</v>
      </c>
      <c r="B1006" s="0" t="s">
        <v>515</v>
      </c>
      <c r="C1006" s="0" t="s">
        <v>127</v>
      </c>
      <c r="D1006" s="0" t="n">
        <v>2019</v>
      </c>
      <c r="E1006" s="59" t="n">
        <v>8657466</v>
      </c>
      <c r="F1006" s="60" t="n">
        <v>72.71</v>
      </c>
      <c r="G1006" s="61" t="n">
        <v>21.9</v>
      </c>
      <c r="H1006" s="61" t="n">
        <v>46.1</v>
      </c>
      <c r="I1006" s="61" t="n">
        <v>1.2</v>
      </c>
      <c r="J1006" s="61" t="n">
        <v>0</v>
      </c>
      <c r="K1006" s="61" t="n">
        <v>0</v>
      </c>
      <c r="L1006" s="61" t="n">
        <v>3.21</v>
      </c>
      <c r="M1006" s="61" t="n">
        <v>0.19</v>
      </c>
      <c r="N1006" s="61" t="n">
        <v>0.11</v>
      </c>
      <c r="O1006" s="61" t="n">
        <v>0</v>
      </c>
      <c r="P1006" s="62" t="n">
        <v>634</v>
      </c>
      <c r="Q1006" s="0" t="n">
        <v>0</v>
      </c>
      <c r="R1006" s="60" t="n">
        <f aca="false">G1006+H1006+I1006</f>
        <v>69.2</v>
      </c>
      <c r="S1006" s="60" t="n">
        <f aca="false">K1006+L1006+M1006+N1006+O1006</f>
        <v>3.51</v>
      </c>
      <c r="T1006" s="60" t="n">
        <f aca="false">L1006+M1006</f>
        <v>3.4</v>
      </c>
      <c r="U1006" s="60" t="n">
        <f aca="false">S1006+J1006</f>
        <v>3.51</v>
      </c>
      <c r="V1006" s="63" t="n">
        <f aca="false">IFERROR(S1006/F1006,0)</f>
        <v>0.0482739650667033</v>
      </c>
      <c r="W1006" s="63" t="n">
        <f aca="false">IFERROR(R1006/F1006,0)</f>
        <v>0.951726034933297</v>
      </c>
      <c r="X1006" s="63" t="n">
        <f aca="false">IFERROR(T1006/F1006,0)</f>
        <v>0.0467611057626186</v>
      </c>
      <c r="Y1006" s="63" t="n">
        <f aca="false">IFERROR(G1006/F1006,0)</f>
        <v>0.301196534176867</v>
      </c>
      <c r="Z1006" s="59" t="n">
        <f aca="false">IF(E1006&gt;0,F1006*1000000000/E1006,"")</f>
        <v>8398.53139475223</v>
      </c>
      <c r="AA1006" s="63" t="n">
        <f aca="false">IFERROR((R1006+S1006+J1006)/F1006,0)</f>
        <v>1</v>
      </c>
      <c r="AB1006" s="0" t="str">
        <f aca="false">A1006&amp;"|"&amp;D1006</f>
        <v>Israel|2019</v>
      </c>
    </row>
    <row r="1007" customFormat="false" ht="15" hidden="false" customHeight="false" outlineLevel="0" collapsed="false">
      <c r="A1007" s="0" t="s">
        <v>276</v>
      </c>
      <c r="B1007" s="0" t="s">
        <v>515</v>
      </c>
      <c r="C1007" s="0" t="s">
        <v>127</v>
      </c>
      <c r="D1007" s="0" t="n">
        <v>2020</v>
      </c>
      <c r="E1007" s="59" t="n">
        <v>8800380</v>
      </c>
      <c r="F1007" s="60" t="n">
        <v>72.74</v>
      </c>
      <c r="G1007" s="61" t="n">
        <v>19</v>
      </c>
      <c r="H1007" s="61" t="n">
        <v>48.8</v>
      </c>
      <c r="I1007" s="61" t="n">
        <v>0.5</v>
      </c>
      <c r="J1007" s="61" t="n">
        <v>0</v>
      </c>
      <c r="K1007" s="61" t="n">
        <v>0.02</v>
      </c>
      <c r="L1007" s="61" t="n">
        <v>4.1</v>
      </c>
      <c r="M1007" s="61" t="n">
        <v>0.2</v>
      </c>
      <c r="N1007" s="61" t="n">
        <v>0.12</v>
      </c>
      <c r="O1007" s="61" t="n">
        <v>0</v>
      </c>
      <c r="P1007" s="62" t="n">
        <v>615.2</v>
      </c>
      <c r="Q1007" s="0" t="n">
        <v>0</v>
      </c>
      <c r="R1007" s="60" t="n">
        <f aca="false">G1007+H1007+I1007</f>
        <v>68.3</v>
      </c>
      <c r="S1007" s="60" t="n">
        <f aca="false">K1007+L1007+M1007+N1007+O1007</f>
        <v>4.44</v>
      </c>
      <c r="T1007" s="60" t="n">
        <f aca="false">L1007+M1007</f>
        <v>4.3</v>
      </c>
      <c r="U1007" s="60" t="n">
        <f aca="false">S1007+J1007</f>
        <v>4.44</v>
      </c>
      <c r="V1007" s="63" t="n">
        <f aca="false">IFERROR(S1007/F1007,0)</f>
        <v>0.0610393181193291</v>
      </c>
      <c r="W1007" s="63" t="n">
        <f aca="false">IFERROR(R1007/F1007,0)</f>
        <v>0.938960681880671</v>
      </c>
      <c r="X1007" s="63" t="n">
        <f aca="false">IFERROR(T1007/F1007,0)</f>
        <v>0.0591146549353863</v>
      </c>
      <c r="Y1007" s="63" t="n">
        <f aca="false">IFERROR(G1007/F1007,0)</f>
        <v>0.261204289249381</v>
      </c>
      <c r="Z1007" s="59" t="n">
        <f aca="false">IF(E1007&gt;0,F1007*1000000000/E1007,"")</f>
        <v>8265.55216933814</v>
      </c>
      <c r="AA1007" s="63" t="n">
        <f aca="false">IFERROR((R1007+S1007+J1007)/F1007,0)</f>
        <v>1</v>
      </c>
      <c r="AB1007" s="0" t="str">
        <f aca="false">A1007&amp;"|"&amp;D1007</f>
        <v>Israel|2020</v>
      </c>
    </row>
    <row r="1008" customFormat="false" ht="15" hidden="false" customHeight="false" outlineLevel="0" collapsed="false">
      <c r="A1008" s="0" t="s">
        <v>276</v>
      </c>
      <c r="B1008" s="0" t="s">
        <v>515</v>
      </c>
      <c r="C1008" s="0" t="s">
        <v>127</v>
      </c>
      <c r="D1008" s="0" t="n">
        <v>2021</v>
      </c>
      <c r="E1008" s="59" t="n">
        <v>8942925</v>
      </c>
      <c r="F1008" s="60" t="n">
        <v>74.12</v>
      </c>
      <c r="G1008" s="61" t="n">
        <v>16.9</v>
      </c>
      <c r="H1008" s="61" t="n">
        <v>51</v>
      </c>
      <c r="I1008" s="61" t="n">
        <v>0.4</v>
      </c>
      <c r="J1008" s="61" t="n">
        <v>0</v>
      </c>
      <c r="K1008" s="61" t="n">
        <v>0.02</v>
      </c>
      <c r="L1008" s="61" t="n">
        <v>5.52</v>
      </c>
      <c r="M1008" s="61" t="n">
        <v>0.18</v>
      </c>
      <c r="N1008" s="61" t="n">
        <v>0.1</v>
      </c>
      <c r="O1008" s="61" t="n">
        <v>0</v>
      </c>
      <c r="P1008" s="62" t="n">
        <v>596.3</v>
      </c>
      <c r="Q1008" s="0" t="n">
        <v>0</v>
      </c>
      <c r="R1008" s="60" t="n">
        <f aca="false">G1008+H1008+I1008</f>
        <v>68.3</v>
      </c>
      <c r="S1008" s="60" t="n">
        <f aca="false">K1008+L1008+M1008+N1008+O1008</f>
        <v>5.82</v>
      </c>
      <c r="T1008" s="60" t="n">
        <f aca="false">L1008+M1008</f>
        <v>5.7</v>
      </c>
      <c r="U1008" s="60" t="n">
        <f aca="false">S1008+J1008</f>
        <v>5.82</v>
      </c>
      <c r="V1008" s="63" t="n">
        <f aca="false">IFERROR(S1008/F1008,0)</f>
        <v>0.0785213167835941</v>
      </c>
      <c r="W1008" s="63" t="n">
        <f aca="false">IFERROR(R1008/F1008,0)</f>
        <v>0.921478683216406</v>
      </c>
      <c r="X1008" s="63" t="n">
        <f aca="false">IFERROR(T1008/F1008,0)</f>
        <v>0.076902320561252</v>
      </c>
      <c r="Y1008" s="63" t="n">
        <f aca="false">IFERROR(G1008/F1008,0)</f>
        <v>0.228008634646519</v>
      </c>
      <c r="Z1008" s="59" t="n">
        <f aca="false">IF(E1008&gt;0,F1008*1000000000/E1008,"")</f>
        <v>8288.11602467873</v>
      </c>
      <c r="AA1008" s="63" t="n">
        <f aca="false">IFERROR((R1008+S1008+J1008)/F1008,0)</f>
        <v>1</v>
      </c>
      <c r="AB1008" s="0" t="str">
        <f aca="false">A1008&amp;"|"&amp;D1008</f>
        <v>Israel|2021</v>
      </c>
    </row>
    <row r="1009" customFormat="false" ht="15" hidden="false" customHeight="false" outlineLevel="0" collapsed="false">
      <c r="A1009" s="0" t="s">
        <v>276</v>
      </c>
      <c r="B1009" s="0" t="s">
        <v>515</v>
      </c>
      <c r="C1009" s="0" t="s">
        <v>127</v>
      </c>
      <c r="D1009" s="0" t="n">
        <v>2022</v>
      </c>
      <c r="E1009" s="59" t="n">
        <v>9103143</v>
      </c>
      <c r="F1009" s="60" t="n">
        <v>76.87</v>
      </c>
      <c r="G1009" s="61" t="n">
        <v>16.7</v>
      </c>
      <c r="H1009" s="61" t="n">
        <v>52.3</v>
      </c>
      <c r="I1009" s="61" t="n">
        <v>0.4</v>
      </c>
      <c r="J1009" s="61" t="n">
        <v>0</v>
      </c>
      <c r="K1009" s="61" t="n">
        <v>0.02</v>
      </c>
      <c r="L1009" s="61" t="n">
        <v>7.05</v>
      </c>
      <c r="M1009" s="61" t="n">
        <v>0.29</v>
      </c>
      <c r="N1009" s="61" t="n">
        <v>0.11</v>
      </c>
      <c r="O1009" s="61" t="n">
        <v>0</v>
      </c>
      <c r="P1009" s="62" t="n">
        <v>583.3</v>
      </c>
      <c r="Q1009" s="0" t="n">
        <v>0</v>
      </c>
      <c r="R1009" s="60" t="n">
        <f aca="false">G1009+H1009+I1009</f>
        <v>69.4</v>
      </c>
      <c r="S1009" s="60" t="n">
        <f aca="false">K1009+L1009+M1009+N1009+O1009</f>
        <v>7.47</v>
      </c>
      <c r="T1009" s="60" t="n">
        <f aca="false">L1009+M1009</f>
        <v>7.34</v>
      </c>
      <c r="U1009" s="60" t="n">
        <f aca="false">S1009+J1009</f>
        <v>7.47</v>
      </c>
      <c r="V1009" s="63" t="n">
        <f aca="false">IFERROR(S1009/F1009,0)</f>
        <v>0.0971770521659945</v>
      </c>
      <c r="W1009" s="63" t="n">
        <f aca="false">IFERROR(R1009/F1009,0)</f>
        <v>0.902822947834006</v>
      </c>
      <c r="X1009" s="63" t="n">
        <f aca="false">IFERROR(T1009/F1009,0)</f>
        <v>0.09548588526083</v>
      </c>
      <c r="Y1009" s="63" t="n">
        <f aca="false">IFERROR(G1009/F1009,0)</f>
        <v>0.217249902432679</v>
      </c>
      <c r="Z1009" s="59" t="n">
        <f aca="false">IF(E1009&gt;0,F1009*1000000000/E1009,"")</f>
        <v>8444.33620344094</v>
      </c>
      <c r="AA1009" s="63" t="n">
        <f aca="false">IFERROR((R1009+S1009+J1009)/F1009,0)</f>
        <v>1</v>
      </c>
      <c r="AB1009" s="0" t="str">
        <f aca="false">A1009&amp;"|"&amp;D1009</f>
        <v>Israel|2022</v>
      </c>
    </row>
    <row r="1010" customFormat="false" ht="15" hidden="false" customHeight="false" outlineLevel="0" collapsed="false">
      <c r="A1010" s="0" t="s">
        <v>276</v>
      </c>
      <c r="B1010" s="0" t="s">
        <v>515</v>
      </c>
      <c r="C1010" s="0" t="s">
        <v>127</v>
      </c>
      <c r="D1010" s="0" t="n">
        <v>2023</v>
      </c>
      <c r="E1010" s="59" t="n">
        <v>9256311</v>
      </c>
      <c r="F1010" s="60" t="n">
        <v>77.43</v>
      </c>
      <c r="G1010" s="61" t="n">
        <v>13.1</v>
      </c>
      <c r="H1010" s="61" t="n">
        <v>54.7</v>
      </c>
      <c r="I1010" s="61" t="n">
        <v>0.5</v>
      </c>
      <c r="J1010" s="61" t="n">
        <v>0</v>
      </c>
      <c r="K1010" s="61" t="n">
        <v>0</v>
      </c>
      <c r="L1010" s="61" t="n">
        <v>8.56</v>
      </c>
      <c r="M1010" s="61" t="n">
        <v>0.46</v>
      </c>
      <c r="N1010" s="61" t="n">
        <v>0.11</v>
      </c>
      <c r="O1010" s="61" t="n">
        <v>0</v>
      </c>
      <c r="P1010" s="62" t="n">
        <v>558.8</v>
      </c>
      <c r="Q1010" s="0" t="n">
        <v>0</v>
      </c>
      <c r="R1010" s="60" t="n">
        <f aca="false">G1010+H1010+I1010</f>
        <v>68.3</v>
      </c>
      <c r="S1010" s="60" t="n">
        <f aca="false">K1010+L1010+M1010+N1010+O1010</f>
        <v>9.13</v>
      </c>
      <c r="T1010" s="60" t="n">
        <f aca="false">L1010+M1010</f>
        <v>9.02</v>
      </c>
      <c r="U1010" s="60" t="n">
        <f aca="false">S1010+J1010</f>
        <v>9.13</v>
      </c>
      <c r="V1010" s="63" t="n">
        <f aca="false">IFERROR(S1010/F1010,0)</f>
        <v>0.117912953635542</v>
      </c>
      <c r="W1010" s="63" t="n">
        <f aca="false">IFERROR(R1010/F1010,0)</f>
        <v>0.882087046364458</v>
      </c>
      <c r="X1010" s="63" t="n">
        <f aca="false">IFERROR(T1010/F1010,0)</f>
        <v>0.116492315639933</v>
      </c>
      <c r="Y1010" s="63" t="n">
        <f aca="false">IFERROR(G1010/F1010,0)</f>
        <v>0.169185070386155</v>
      </c>
      <c r="Z1010" s="59" t="n">
        <f aca="false">IF(E1010&gt;0,F1010*1000000000/E1010,"")</f>
        <v>8365.10354935136</v>
      </c>
      <c r="AA1010" s="63" t="n">
        <f aca="false">IFERROR((R1010+S1010+J1010)/F1010,0)</f>
        <v>1</v>
      </c>
      <c r="AB1010" s="0" t="str">
        <f aca="false">A1010&amp;"|"&amp;D1010</f>
        <v>Israel|2023</v>
      </c>
    </row>
    <row r="1011" customFormat="false" ht="15" hidden="false" customHeight="false" outlineLevel="0" collapsed="false">
      <c r="A1011" s="0" t="s">
        <v>276</v>
      </c>
      <c r="B1011" s="0" t="s">
        <v>515</v>
      </c>
      <c r="C1011" s="0" t="s">
        <v>127</v>
      </c>
      <c r="D1011" s="0" t="n">
        <v>2024</v>
      </c>
      <c r="E1011" s="59" t="n">
        <v>9387015</v>
      </c>
      <c r="F1011" s="60" t="n">
        <v>80.4</v>
      </c>
      <c r="G1011" s="61" t="n">
        <v>11.5</v>
      </c>
      <c r="H1011" s="61" t="n">
        <v>57.4</v>
      </c>
      <c r="I1011" s="61" t="n">
        <v>0.4</v>
      </c>
      <c r="J1011" s="61" t="n">
        <v>0</v>
      </c>
      <c r="K1011" s="61" t="n">
        <v>0.01</v>
      </c>
      <c r="L1011" s="61" t="n">
        <v>10.52</v>
      </c>
      <c r="M1011" s="61" t="n">
        <v>0.46</v>
      </c>
      <c r="N1011" s="61" t="n">
        <v>0.11</v>
      </c>
      <c r="O1011" s="61" t="n">
        <v>0</v>
      </c>
      <c r="P1011" s="62" t="n">
        <v>540.5</v>
      </c>
      <c r="Q1011" s="0" t="n">
        <v>0</v>
      </c>
      <c r="R1011" s="60" t="n">
        <f aca="false">G1011+H1011+I1011</f>
        <v>69.3</v>
      </c>
      <c r="S1011" s="60" t="n">
        <f aca="false">K1011+L1011+M1011+N1011+O1011</f>
        <v>11.1</v>
      </c>
      <c r="T1011" s="60" t="n">
        <f aca="false">L1011+M1011</f>
        <v>10.98</v>
      </c>
      <c r="U1011" s="60" t="n">
        <f aca="false">S1011+J1011</f>
        <v>11.1</v>
      </c>
      <c r="V1011" s="63" t="n">
        <f aca="false">IFERROR(S1011/F1011,0)</f>
        <v>0.138059701492537</v>
      </c>
      <c r="W1011" s="63" t="n">
        <f aca="false">IFERROR(R1011/F1011,0)</f>
        <v>0.861940298507463</v>
      </c>
      <c r="X1011" s="63" t="n">
        <f aca="false">IFERROR(T1011/F1011,0)</f>
        <v>0.136567164179104</v>
      </c>
      <c r="Y1011" s="63" t="n">
        <f aca="false">IFERROR(G1011/F1011,0)</f>
        <v>0.143034825870647</v>
      </c>
      <c r="Z1011" s="59" t="n">
        <f aca="false">IF(E1011&gt;0,F1011*1000000000/E1011,"")</f>
        <v>8565.02306643805</v>
      </c>
      <c r="AA1011" s="63" t="n">
        <f aca="false">IFERROR((R1011+S1011+J1011)/F1011,0)</f>
        <v>1</v>
      </c>
      <c r="AB1011" s="0" t="str">
        <f aca="false">A1011&amp;"|"&amp;D1011</f>
        <v>Israel|2024</v>
      </c>
    </row>
    <row r="1012" customFormat="false" ht="15" hidden="false" customHeight="false" outlineLevel="0" collapsed="false">
      <c r="A1012" s="0" t="s">
        <v>276</v>
      </c>
      <c r="B1012" s="0" t="s">
        <v>515</v>
      </c>
      <c r="C1012" s="0" t="s">
        <v>127</v>
      </c>
      <c r="D1012" s="0" t="n">
        <v>2025</v>
      </c>
      <c r="E1012" s="59" t="n">
        <v>9517182</v>
      </c>
      <c r="F1012" s="60" t="n">
        <v>82.1</v>
      </c>
      <c r="G1012" s="61" t="n">
        <v>2.8</v>
      </c>
      <c r="H1012" s="61" t="n">
        <v>65.4</v>
      </c>
      <c r="I1012" s="61" t="n">
        <v>0</v>
      </c>
      <c r="J1012" s="61" t="n">
        <v>0</v>
      </c>
      <c r="K1012" s="61" t="n">
        <v>0</v>
      </c>
      <c r="L1012" s="61" t="n">
        <v>13.28</v>
      </c>
      <c r="M1012" s="61" t="n">
        <v>0.46</v>
      </c>
      <c r="N1012" s="61" t="n">
        <v>0.16</v>
      </c>
      <c r="O1012" s="61" t="n">
        <v>0</v>
      </c>
      <c r="P1012" s="62" t="n">
        <v>492.7</v>
      </c>
      <c r="Q1012" s="0" t="n">
        <v>0</v>
      </c>
      <c r="R1012" s="60" t="n">
        <f aca="false">G1012+H1012+I1012</f>
        <v>68.2</v>
      </c>
      <c r="S1012" s="60" t="n">
        <f aca="false">K1012+L1012+M1012+N1012+O1012</f>
        <v>13.9</v>
      </c>
      <c r="T1012" s="60" t="n">
        <f aca="false">L1012+M1012</f>
        <v>13.74</v>
      </c>
      <c r="U1012" s="60" t="n">
        <f aca="false">S1012+J1012</f>
        <v>13.9</v>
      </c>
      <c r="V1012" s="63" t="n">
        <f aca="false">IFERROR(S1012/F1012,0)</f>
        <v>0.169305724725944</v>
      </c>
      <c r="W1012" s="63" t="n">
        <f aca="false">IFERROR(R1012/F1012,0)</f>
        <v>0.830694275274056</v>
      </c>
      <c r="X1012" s="63" t="n">
        <f aca="false">IFERROR(T1012/F1012,0)</f>
        <v>0.167356881851401</v>
      </c>
      <c r="Y1012" s="63" t="n">
        <f aca="false">IFERROR(G1012/F1012,0)</f>
        <v>0.0341047503045067</v>
      </c>
      <c r="Z1012" s="59" t="n">
        <f aca="false">IF(E1012&gt;0,F1012*1000000000/E1012,"")</f>
        <v>8626.50309724034</v>
      </c>
      <c r="AA1012" s="63" t="n">
        <f aca="false">IFERROR((R1012+S1012+J1012)/F1012,0)</f>
        <v>1</v>
      </c>
      <c r="AB1012" s="0" t="str">
        <f aca="false">A1012&amp;"|"&amp;D1012</f>
        <v>Israel|2025</v>
      </c>
    </row>
    <row r="1013" customFormat="false" ht="15" hidden="false" customHeight="false" outlineLevel="0" collapsed="false">
      <c r="A1013" s="0" t="s">
        <v>277</v>
      </c>
      <c r="B1013" s="0" t="s">
        <v>516</v>
      </c>
      <c r="C1013" s="0" t="s">
        <v>127</v>
      </c>
      <c r="D1013" s="0" t="n">
        <v>2015</v>
      </c>
      <c r="E1013" s="59" t="n">
        <v>60575314</v>
      </c>
      <c r="F1013" s="60" t="n">
        <v>279.7</v>
      </c>
      <c r="G1013" s="61" t="n">
        <v>43.2</v>
      </c>
      <c r="H1013" s="61" t="n">
        <v>110.88</v>
      </c>
      <c r="I1013" s="61" t="n">
        <v>16.73</v>
      </c>
      <c r="J1013" s="61" t="n">
        <v>0</v>
      </c>
      <c r="K1013" s="61" t="n">
        <v>45.54</v>
      </c>
      <c r="L1013" s="61" t="n">
        <v>22.94</v>
      </c>
      <c r="M1013" s="61" t="n">
        <v>14.84</v>
      </c>
      <c r="N1013" s="61" t="n">
        <v>19.39</v>
      </c>
      <c r="O1013" s="61" t="n">
        <v>6.18</v>
      </c>
      <c r="P1013" s="62" t="n">
        <v>398.7</v>
      </c>
      <c r="Q1013" s="0" t="n">
        <v>0</v>
      </c>
      <c r="R1013" s="60" t="n">
        <f aca="false">G1013+H1013+I1013</f>
        <v>170.81</v>
      </c>
      <c r="S1013" s="60" t="n">
        <f aca="false">K1013+L1013+M1013+N1013+O1013</f>
        <v>108.89</v>
      </c>
      <c r="T1013" s="60" t="n">
        <f aca="false">L1013+M1013</f>
        <v>37.78</v>
      </c>
      <c r="U1013" s="60" t="n">
        <f aca="false">S1013+J1013</f>
        <v>108.89</v>
      </c>
      <c r="V1013" s="63" t="n">
        <f aca="false">IFERROR(S1013/F1013,0)</f>
        <v>0.389309974973186</v>
      </c>
      <c r="W1013" s="63" t="n">
        <f aca="false">IFERROR(R1013/F1013,0)</f>
        <v>0.610690025026814</v>
      </c>
      <c r="X1013" s="63" t="n">
        <f aca="false">IFERROR(T1013/F1013,0)</f>
        <v>0.135073292813729</v>
      </c>
      <c r="Y1013" s="63" t="n">
        <f aca="false">IFERROR(G1013/F1013,0)</f>
        <v>0.154451197711834</v>
      </c>
      <c r="Z1013" s="59" t="n">
        <f aca="false">IF(E1013&gt;0,F1013*1000000000/E1013,"")</f>
        <v>4617.39249094111</v>
      </c>
      <c r="AA1013" s="63" t="n">
        <f aca="false">IFERROR((R1013+S1013+J1013)/F1013,0)</f>
        <v>1</v>
      </c>
      <c r="AB1013" s="0" t="str">
        <f aca="false">A1013&amp;"|"&amp;D1013</f>
        <v>Italy|2015</v>
      </c>
    </row>
    <row r="1014" customFormat="false" ht="15" hidden="false" customHeight="false" outlineLevel="0" collapsed="false">
      <c r="A1014" s="0" t="s">
        <v>277</v>
      </c>
      <c r="B1014" s="0" t="s">
        <v>516</v>
      </c>
      <c r="C1014" s="0" t="s">
        <v>127</v>
      </c>
      <c r="D1014" s="0" t="n">
        <v>2016</v>
      </c>
      <c r="E1014" s="59" t="n">
        <v>60478103</v>
      </c>
      <c r="F1014" s="60" t="n">
        <v>285.95</v>
      </c>
      <c r="G1014" s="61" t="n">
        <v>35.61</v>
      </c>
      <c r="H1014" s="61" t="n">
        <v>126.17</v>
      </c>
      <c r="I1014" s="61" t="n">
        <v>16.16</v>
      </c>
      <c r="J1014" s="61" t="n">
        <v>0</v>
      </c>
      <c r="K1014" s="61" t="n">
        <v>42.43</v>
      </c>
      <c r="L1014" s="61" t="n">
        <v>22.1</v>
      </c>
      <c r="M1014" s="61" t="n">
        <v>17.69</v>
      </c>
      <c r="N1014" s="61" t="n">
        <v>19.5</v>
      </c>
      <c r="O1014" s="61" t="n">
        <v>6.29</v>
      </c>
      <c r="P1014" s="62" t="n">
        <v>389.6</v>
      </c>
      <c r="Q1014" s="0" t="n">
        <v>0</v>
      </c>
      <c r="R1014" s="60" t="n">
        <f aca="false">G1014+H1014+I1014</f>
        <v>177.94</v>
      </c>
      <c r="S1014" s="60" t="n">
        <f aca="false">K1014+L1014+M1014+N1014+O1014</f>
        <v>108.01</v>
      </c>
      <c r="T1014" s="60" t="n">
        <f aca="false">L1014+M1014</f>
        <v>39.79</v>
      </c>
      <c r="U1014" s="60" t="n">
        <f aca="false">S1014+J1014</f>
        <v>108.01</v>
      </c>
      <c r="V1014" s="63" t="n">
        <f aca="false">IFERROR(S1014/F1014,0)</f>
        <v>0.377723378212974</v>
      </c>
      <c r="W1014" s="63" t="n">
        <f aca="false">IFERROR(R1014/F1014,0)</f>
        <v>0.622276621787026</v>
      </c>
      <c r="X1014" s="63" t="n">
        <f aca="false">IFERROR(T1014/F1014,0)</f>
        <v>0.139150201084106</v>
      </c>
      <c r="Y1014" s="63" t="n">
        <f aca="false">IFERROR(G1014/F1014,0)</f>
        <v>0.12453226088477</v>
      </c>
      <c r="Z1014" s="59" t="n">
        <f aca="false">IF(E1014&gt;0,F1014*1000000000/E1014,"")</f>
        <v>4728.15756142351</v>
      </c>
      <c r="AA1014" s="63" t="n">
        <f aca="false">IFERROR((R1014+S1014+J1014)/F1014,0)</f>
        <v>1</v>
      </c>
      <c r="AB1014" s="0" t="str">
        <f aca="false">A1014&amp;"|"&amp;D1014</f>
        <v>Italy|2016</v>
      </c>
    </row>
    <row r="1015" customFormat="false" ht="15" hidden="false" customHeight="false" outlineLevel="0" collapsed="false">
      <c r="A1015" s="0" t="s">
        <v>277</v>
      </c>
      <c r="B1015" s="0" t="s">
        <v>516</v>
      </c>
      <c r="C1015" s="0" t="s">
        <v>127</v>
      </c>
      <c r="D1015" s="0" t="n">
        <v>2017</v>
      </c>
      <c r="E1015" s="59" t="n">
        <v>60390317</v>
      </c>
      <c r="F1015" s="60" t="n">
        <v>292.09</v>
      </c>
      <c r="G1015" s="61" t="n">
        <v>32.63</v>
      </c>
      <c r="H1015" s="61" t="n">
        <v>140.36</v>
      </c>
      <c r="I1015" s="61" t="n">
        <v>15.21</v>
      </c>
      <c r="J1015" s="61" t="n">
        <v>0</v>
      </c>
      <c r="K1015" s="61" t="n">
        <v>36.2</v>
      </c>
      <c r="L1015" s="61" t="n">
        <v>24.38</v>
      </c>
      <c r="M1015" s="61" t="n">
        <v>17.74</v>
      </c>
      <c r="N1015" s="61" t="n">
        <v>19.37</v>
      </c>
      <c r="O1015" s="61" t="n">
        <v>6.2</v>
      </c>
      <c r="P1015" s="62" t="n">
        <v>392.8</v>
      </c>
      <c r="Q1015" s="0" t="n">
        <v>0</v>
      </c>
      <c r="R1015" s="60" t="n">
        <f aca="false">G1015+H1015+I1015</f>
        <v>188.2</v>
      </c>
      <c r="S1015" s="60" t="n">
        <f aca="false">K1015+L1015+M1015+N1015+O1015</f>
        <v>103.89</v>
      </c>
      <c r="T1015" s="60" t="n">
        <f aca="false">L1015+M1015</f>
        <v>42.12</v>
      </c>
      <c r="U1015" s="60" t="n">
        <f aca="false">S1015+J1015</f>
        <v>103.89</v>
      </c>
      <c r="V1015" s="63" t="n">
        <f aca="false">IFERROR(S1015/F1015,0)</f>
        <v>0.355678044438358</v>
      </c>
      <c r="W1015" s="63" t="n">
        <f aca="false">IFERROR(R1015/F1015,0)</f>
        <v>0.644321955561642</v>
      </c>
      <c r="X1015" s="63" t="n">
        <f aca="false">IFERROR(T1015/F1015,0)</f>
        <v>0.14420212948064</v>
      </c>
      <c r="Y1015" s="63" t="n">
        <f aca="false">IFERROR(G1015/F1015,0)</f>
        <v>0.111712143517409</v>
      </c>
      <c r="Z1015" s="59" t="n">
        <f aca="false">IF(E1015&gt;0,F1015*1000000000/E1015,"")</f>
        <v>4836.70254620455</v>
      </c>
      <c r="AA1015" s="63" t="n">
        <f aca="false">IFERROR((R1015+S1015+J1015)/F1015,0)</f>
        <v>1</v>
      </c>
      <c r="AB1015" s="0" t="str">
        <f aca="false">A1015&amp;"|"&amp;D1015</f>
        <v>Italy|2017</v>
      </c>
    </row>
    <row r="1016" customFormat="false" ht="15" hidden="false" customHeight="false" outlineLevel="0" collapsed="false">
      <c r="A1016" s="0" t="s">
        <v>277</v>
      </c>
      <c r="B1016" s="0" t="s">
        <v>516</v>
      </c>
      <c r="C1016" s="0" t="s">
        <v>127</v>
      </c>
      <c r="D1016" s="0" t="n">
        <v>2018</v>
      </c>
      <c r="E1016" s="59" t="n">
        <v>60277496</v>
      </c>
      <c r="F1016" s="60" t="n">
        <v>286.06</v>
      </c>
      <c r="G1016" s="61" t="n">
        <v>28.47</v>
      </c>
      <c r="H1016" s="61" t="n">
        <v>128.56</v>
      </c>
      <c r="I1016" s="61" t="n">
        <v>14.62</v>
      </c>
      <c r="J1016" s="61" t="n">
        <v>0</v>
      </c>
      <c r="K1016" s="61" t="n">
        <v>48.79</v>
      </c>
      <c r="L1016" s="61" t="n">
        <v>22.65</v>
      </c>
      <c r="M1016" s="61" t="n">
        <v>17.72</v>
      </c>
      <c r="N1016" s="61" t="n">
        <v>19.14</v>
      </c>
      <c r="O1016" s="61" t="n">
        <v>6.11</v>
      </c>
      <c r="P1016" s="62" t="n">
        <v>366.9</v>
      </c>
      <c r="Q1016" s="0" t="n">
        <v>0</v>
      </c>
      <c r="R1016" s="60" t="n">
        <f aca="false">G1016+H1016+I1016</f>
        <v>171.65</v>
      </c>
      <c r="S1016" s="60" t="n">
        <f aca="false">K1016+L1016+M1016+N1016+O1016</f>
        <v>114.41</v>
      </c>
      <c r="T1016" s="60" t="n">
        <f aca="false">L1016+M1016</f>
        <v>40.37</v>
      </c>
      <c r="U1016" s="60" t="n">
        <f aca="false">S1016+J1016</f>
        <v>114.41</v>
      </c>
      <c r="V1016" s="63" t="n">
        <f aca="false">IFERROR(S1016/F1016,0)</f>
        <v>0.399951059218346</v>
      </c>
      <c r="W1016" s="63" t="n">
        <f aca="false">IFERROR(R1016/F1016,0)</f>
        <v>0.600048940781654</v>
      </c>
      <c r="X1016" s="63" t="n">
        <f aca="false">IFERROR(T1016/F1016,0)</f>
        <v>0.141124239669999</v>
      </c>
      <c r="Y1016" s="63" t="n">
        <f aca="false">IFERROR(G1016/F1016,0)</f>
        <v>0.0995245752639307</v>
      </c>
      <c r="Z1016" s="59" t="n">
        <f aca="false">IF(E1016&gt;0,F1016*1000000000/E1016,"")</f>
        <v>4745.71803712616</v>
      </c>
      <c r="AA1016" s="63" t="n">
        <f aca="false">IFERROR((R1016+S1016+J1016)/F1016,0)</f>
        <v>1</v>
      </c>
      <c r="AB1016" s="0" t="str">
        <f aca="false">A1016&amp;"|"&amp;D1016</f>
        <v>Italy|2018</v>
      </c>
    </row>
    <row r="1017" customFormat="false" ht="15" hidden="false" customHeight="false" outlineLevel="0" collapsed="false">
      <c r="A1017" s="0" t="s">
        <v>277</v>
      </c>
      <c r="B1017" s="0" t="s">
        <v>516</v>
      </c>
      <c r="C1017" s="0" t="s">
        <v>127</v>
      </c>
      <c r="D1017" s="0" t="n">
        <v>2019</v>
      </c>
      <c r="E1017" s="59" t="n">
        <v>60130136</v>
      </c>
      <c r="F1017" s="60" t="n">
        <v>289.99</v>
      </c>
      <c r="G1017" s="61" t="n">
        <v>18.84</v>
      </c>
      <c r="H1017" s="61" t="n">
        <v>141.7</v>
      </c>
      <c r="I1017" s="61" t="n">
        <v>13.62</v>
      </c>
      <c r="J1017" s="61" t="n">
        <v>0</v>
      </c>
      <c r="K1017" s="61" t="n">
        <v>46.32</v>
      </c>
      <c r="L1017" s="61" t="n">
        <v>23.69</v>
      </c>
      <c r="M1017" s="61" t="n">
        <v>20.2</v>
      </c>
      <c r="N1017" s="61" t="n">
        <v>19.55</v>
      </c>
      <c r="O1017" s="61" t="n">
        <v>6.07</v>
      </c>
      <c r="P1017" s="62" t="n">
        <v>351.3</v>
      </c>
      <c r="Q1017" s="0" t="n">
        <v>0</v>
      </c>
      <c r="R1017" s="60" t="n">
        <f aca="false">G1017+H1017+I1017</f>
        <v>174.16</v>
      </c>
      <c r="S1017" s="60" t="n">
        <f aca="false">K1017+L1017+M1017+N1017+O1017</f>
        <v>115.83</v>
      </c>
      <c r="T1017" s="60" t="n">
        <f aca="false">L1017+M1017</f>
        <v>43.89</v>
      </c>
      <c r="U1017" s="60" t="n">
        <f aca="false">S1017+J1017</f>
        <v>115.83</v>
      </c>
      <c r="V1017" s="63" t="n">
        <f aca="false">IFERROR(S1017/F1017,0)</f>
        <v>0.399427566467809</v>
      </c>
      <c r="W1017" s="63" t="n">
        <f aca="false">IFERROR(R1017/F1017,0)</f>
        <v>0.600572433532191</v>
      </c>
      <c r="X1017" s="63" t="n">
        <f aca="false">IFERROR(T1017/F1017,0)</f>
        <v>0.151350046553329</v>
      </c>
      <c r="Y1017" s="63" t="n">
        <f aca="false">IFERROR(G1017/F1017,0)</f>
        <v>0.0649677575088796</v>
      </c>
      <c r="Z1017" s="59" t="n">
        <f aca="false">IF(E1017&gt;0,F1017*1000000000/E1017,"")</f>
        <v>4822.70653770016</v>
      </c>
      <c r="AA1017" s="63" t="n">
        <f aca="false">IFERROR((R1017+S1017+J1017)/F1017,0)</f>
        <v>1</v>
      </c>
      <c r="AB1017" s="0" t="str">
        <f aca="false">A1017&amp;"|"&amp;D1017</f>
        <v>Italy|2019</v>
      </c>
    </row>
    <row r="1018" customFormat="false" ht="15" hidden="false" customHeight="false" outlineLevel="0" collapsed="false">
      <c r="A1018" s="0" t="s">
        <v>277</v>
      </c>
      <c r="B1018" s="0" t="s">
        <v>516</v>
      </c>
      <c r="C1018" s="0" t="s">
        <v>127</v>
      </c>
      <c r="D1018" s="0" t="n">
        <v>2020</v>
      </c>
      <c r="E1018" s="59" t="n">
        <v>59912763</v>
      </c>
      <c r="F1018" s="60" t="n">
        <v>276.81</v>
      </c>
      <c r="G1018" s="61" t="n">
        <v>13.38</v>
      </c>
      <c r="H1018" s="61" t="n">
        <v>133.7</v>
      </c>
      <c r="I1018" s="61" t="n">
        <v>12.83</v>
      </c>
      <c r="J1018" s="61" t="n">
        <v>0</v>
      </c>
      <c r="K1018" s="61" t="n">
        <v>47.55</v>
      </c>
      <c r="L1018" s="61" t="n">
        <v>24.94</v>
      </c>
      <c r="M1018" s="61" t="n">
        <v>18.76</v>
      </c>
      <c r="N1018" s="61" t="n">
        <v>19.62</v>
      </c>
      <c r="O1018" s="61" t="n">
        <v>6.03</v>
      </c>
      <c r="P1018" s="62" t="n">
        <v>334.2</v>
      </c>
      <c r="Q1018" s="0" t="n">
        <v>0</v>
      </c>
      <c r="R1018" s="60" t="n">
        <f aca="false">G1018+H1018+I1018</f>
        <v>159.91</v>
      </c>
      <c r="S1018" s="60" t="n">
        <f aca="false">K1018+L1018+M1018+N1018+O1018</f>
        <v>116.9</v>
      </c>
      <c r="T1018" s="60" t="n">
        <f aca="false">L1018+M1018</f>
        <v>43.7</v>
      </c>
      <c r="U1018" s="60" t="n">
        <f aca="false">S1018+J1018</f>
        <v>116.9</v>
      </c>
      <c r="V1018" s="63" t="n">
        <f aca="false">IFERROR(S1018/F1018,0)</f>
        <v>0.422311332683068</v>
      </c>
      <c r="W1018" s="63" t="n">
        <f aca="false">IFERROR(R1018/F1018,0)</f>
        <v>0.577688667316932</v>
      </c>
      <c r="X1018" s="63" t="n">
        <f aca="false">IFERROR(T1018/F1018,0)</f>
        <v>0.157870019146707</v>
      </c>
      <c r="Y1018" s="63" t="n">
        <f aca="false">IFERROR(G1018/F1018,0)</f>
        <v>0.0483364040316463</v>
      </c>
      <c r="Z1018" s="59" t="n">
        <f aca="false">IF(E1018&gt;0,F1018*1000000000/E1018,"")</f>
        <v>4620.21756532911</v>
      </c>
      <c r="AA1018" s="63" t="n">
        <f aca="false">IFERROR((R1018+S1018+J1018)/F1018,0)</f>
        <v>1</v>
      </c>
      <c r="AB1018" s="0" t="str">
        <f aca="false">A1018&amp;"|"&amp;D1018</f>
        <v>Italy|2020</v>
      </c>
    </row>
    <row r="1019" customFormat="false" ht="15" hidden="false" customHeight="false" outlineLevel="0" collapsed="false">
      <c r="A1019" s="0" t="s">
        <v>277</v>
      </c>
      <c r="B1019" s="0" t="s">
        <v>516</v>
      </c>
      <c r="C1019" s="0" t="s">
        <v>127</v>
      </c>
      <c r="D1019" s="0" t="n">
        <v>2021</v>
      </c>
      <c r="E1019" s="59" t="n">
        <v>59729353</v>
      </c>
      <c r="F1019" s="60" t="n">
        <v>285.49</v>
      </c>
      <c r="G1019" s="61" t="n">
        <v>14.02</v>
      </c>
      <c r="H1019" s="61" t="n">
        <v>144.01</v>
      </c>
      <c r="I1019" s="61" t="n">
        <v>11.13</v>
      </c>
      <c r="J1019" s="61" t="n">
        <v>0</v>
      </c>
      <c r="K1019" s="61" t="n">
        <v>45.39</v>
      </c>
      <c r="L1019" s="61" t="n">
        <v>25.04</v>
      </c>
      <c r="M1019" s="61" t="n">
        <v>20.93</v>
      </c>
      <c r="N1019" s="61" t="n">
        <v>19.06</v>
      </c>
      <c r="O1019" s="61" t="n">
        <v>5.91</v>
      </c>
      <c r="P1019" s="62" t="n">
        <v>339.1</v>
      </c>
      <c r="Q1019" s="0" t="n">
        <v>0</v>
      </c>
      <c r="R1019" s="60" t="n">
        <f aca="false">G1019+H1019+I1019</f>
        <v>169.16</v>
      </c>
      <c r="S1019" s="60" t="n">
        <f aca="false">K1019+L1019+M1019+N1019+O1019</f>
        <v>116.33</v>
      </c>
      <c r="T1019" s="60" t="n">
        <f aca="false">L1019+M1019</f>
        <v>45.97</v>
      </c>
      <c r="U1019" s="60" t="n">
        <f aca="false">S1019+J1019</f>
        <v>116.33</v>
      </c>
      <c r="V1019" s="63" t="n">
        <f aca="false">IFERROR(S1019/F1019,0)</f>
        <v>0.4074748677712</v>
      </c>
      <c r="W1019" s="63" t="n">
        <f aca="false">IFERROR(R1019/F1019,0)</f>
        <v>0.5925251322288</v>
      </c>
      <c r="X1019" s="63" t="n">
        <f aca="false">IFERROR(T1019/F1019,0)</f>
        <v>0.161021401800413</v>
      </c>
      <c r="Y1019" s="63" t="n">
        <f aca="false">IFERROR(G1019/F1019,0)</f>
        <v>0.0491085502119164</v>
      </c>
      <c r="Z1019" s="59" t="n">
        <f aca="false">IF(E1019&gt;0,F1019*1000000000/E1019,"")</f>
        <v>4779.72697946351</v>
      </c>
      <c r="AA1019" s="63" t="n">
        <f aca="false">IFERROR((R1019+S1019+J1019)/F1019,0)</f>
        <v>1</v>
      </c>
      <c r="AB1019" s="0" t="str">
        <f aca="false">A1019&amp;"|"&amp;D1019</f>
        <v>Italy|2021</v>
      </c>
    </row>
    <row r="1020" customFormat="false" ht="15" hidden="false" customHeight="false" outlineLevel="0" collapsed="false">
      <c r="A1020" s="0" t="s">
        <v>277</v>
      </c>
      <c r="B1020" s="0" t="s">
        <v>516</v>
      </c>
      <c r="C1020" s="0" t="s">
        <v>127</v>
      </c>
      <c r="D1020" s="0" t="n">
        <v>2022</v>
      </c>
      <c r="E1020" s="59" t="n">
        <v>59619106</v>
      </c>
      <c r="F1020" s="60" t="n">
        <v>280.17</v>
      </c>
      <c r="G1020" s="61" t="n">
        <v>22.61</v>
      </c>
      <c r="H1020" s="61" t="n">
        <v>141.47</v>
      </c>
      <c r="I1020" s="61" t="n">
        <v>15.63</v>
      </c>
      <c r="J1020" s="61" t="n">
        <v>0</v>
      </c>
      <c r="K1020" s="61" t="n">
        <v>28.4</v>
      </c>
      <c r="L1020" s="61" t="n">
        <v>28.12</v>
      </c>
      <c r="M1020" s="61" t="n">
        <v>20.49</v>
      </c>
      <c r="N1020" s="61" t="n">
        <v>17.61</v>
      </c>
      <c r="O1020" s="61" t="n">
        <v>5.84</v>
      </c>
      <c r="P1020" s="62" t="n">
        <v>377.8</v>
      </c>
      <c r="Q1020" s="0" t="n">
        <v>0</v>
      </c>
      <c r="R1020" s="60" t="n">
        <f aca="false">G1020+H1020+I1020</f>
        <v>179.71</v>
      </c>
      <c r="S1020" s="60" t="n">
        <f aca="false">K1020+L1020+M1020+N1020+O1020</f>
        <v>100.46</v>
      </c>
      <c r="T1020" s="60" t="n">
        <f aca="false">L1020+M1020</f>
        <v>48.61</v>
      </c>
      <c r="U1020" s="60" t="n">
        <f aca="false">S1020+J1020</f>
        <v>100.46</v>
      </c>
      <c r="V1020" s="63" t="n">
        <f aca="false">IFERROR(S1020/F1020,0)</f>
        <v>0.35856801227826</v>
      </c>
      <c r="W1020" s="63" t="n">
        <f aca="false">IFERROR(R1020/F1020,0)</f>
        <v>0.64143198772174</v>
      </c>
      <c r="X1020" s="63" t="n">
        <f aca="false">IFERROR(T1020/F1020,0)</f>
        <v>0.173501802477067</v>
      </c>
      <c r="Y1020" s="63" t="n">
        <f aca="false">IFERROR(G1020/F1020,0)</f>
        <v>0.0807010029624871</v>
      </c>
      <c r="Z1020" s="59" t="n">
        <f aca="false">IF(E1020&gt;0,F1020*1000000000/E1020,"")</f>
        <v>4699.33245896039</v>
      </c>
      <c r="AA1020" s="63" t="n">
        <f aca="false">IFERROR((R1020+S1020+J1020)/F1020,0)</f>
        <v>1</v>
      </c>
      <c r="AB1020" s="0" t="str">
        <f aca="false">A1020&amp;"|"&amp;D1020</f>
        <v>Italy|2022</v>
      </c>
    </row>
    <row r="1021" customFormat="false" ht="15" hidden="false" customHeight="false" outlineLevel="0" collapsed="false">
      <c r="A1021" s="0" t="s">
        <v>277</v>
      </c>
      <c r="B1021" s="0" t="s">
        <v>516</v>
      </c>
      <c r="C1021" s="0" t="s">
        <v>127</v>
      </c>
      <c r="D1021" s="0" t="n">
        <v>2023</v>
      </c>
      <c r="E1021" s="59" t="n">
        <v>59499452</v>
      </c>
      <c r="F1021" s="60" t="n">
        <v>261.55</v>
      </c>
      <c r="G1021" s="61" t="n">
        <v>13.22</v>
      </c>
      <c r="H1021" s="61" t="n">
        <v>119.02</v>
      </c>
      <c r="I1021" s="61" t="n">
        <v>12.79</v>
      </c>
      <c r="J1021" s="61" t="n">
        <v>0</v>
      </c>
      <c r="K1021" s="61" t="n">
        <v>40.52</v>
      </c>
      <c r="L1021" s="61" t="n">
        <v>30.71</v>
      </c>
      <c r="M1021" s="61" t="n">
        <v>23.59</v>
      </c>
      <c r="N1021" s="61" t="n">
        <v>16.01</v>
      </c>
      <c r="O1021" s="61" t="n">
        <v>5.69</v>
      </c>
      <c r="P1021" s="62" t="n">
        <v>323.2</v>
      </c>
      <c r="Q1021" s="0" t="n">
        <v>0</v>
      </c>
      <c r="R1021" s="60" t="n">
        <f aca="false">G1021+H1021+I1021</f>
        <v>145.03</v>
      </c>
      <c r="S1021" s="60" t="n">
        <f aca="false">K1021+L1021+M1021+N1021+O1021</f>
        <v>116.52</v>
      </c>
      <c r="T1021" s="60" t="n">
        <f aca="false">L1021+M1021</f>
        <v>54.3</v>
      </c>
      <c r="U1021" s="60" t="n">
        <f aca="false">S1021+J1021</f>
        <v>116.52</v>
      </c>
      <c r="V1021" s="63" t="n">
        <f aca="false">IFERROR(S1021/F1021,0)</f>
        <v>0.445497992735615</v>
      </c>
      <c r="W1021" s="63" t="n">
        <f aca="false">IFERROR(R1021/F1021,0)</f>
        <v>0.554502007264385</v>
      </c>
      <c r="X1021" s="63" t="n">
        <f aca="false">IFERROR(T1021/F1021,0)</f>
        <v>0.20760848786083</v>
      </c>
      <c r="Y1021" s="63" t="n">
        <f aca="false">IFERROR(G1021/F1021,0)</f>
        <v>0.0505448289046072</v>
      </c>
      <c r="Z1021" s="59" t="n">
        <f aca="false">IF(E1021&gt;0,F1021*1000000000/E1021,"")</f>
        <v>4395.83880537253</v>
      </c>
      <c r="AA1021" s="63" t="n">
        <f aca="false">IFERROR((R1021+S1021+J1021)/F1021,0)</f>
        <v>1</v>
      </c>
      <c r="AB1021" s="0" t="str">
        <f aca="false">A1021&amp;"|"&amp;D1021</f>
        <v>Italy|2023</v>
      </c>
    </row>
    <row r="1022" customFormat="false" ht="15" hidden="false" customHeight="false" outlineLevel="0" collapsed="false">
      <c r="A1022" s="0" t="s">
        <v>277</v>
      </c>
      <c r="B1022" s="0" t="s">
        <v>516</v>
      </c>
      <c r="C1022" s="0" t="s">
        <v>127</v>
      </c>
      <c r="D1022" s="0" t="n">
        <v>2024</v>
      </c>
      <c r="E1022" s="59" t="n">
        <v>59342870</v>
      </c>
      <c r="F1022" s="60" t="n">
        <v>267.56</v>
      </c>
      <c r="G1022" s="61" t="n">
        <v>3.95</v>
      </c>
      <c r="H1022" s="61" t="n">
        <v>118.59</v>
      </c>
      <c r="I1022" s="61" t="n">
        <v>10.78</v>
      </c>
      <c r="J1022" s="61" t="n">
        <v>0</v>
      </c>
      <c r="K1022" s="61" t="n">
        <v>53.13</v>
      </c>
      <c r="L1022" s="61" t="n">
        <v>35.99</v>
      </c>
      <c r="M1022" s="61" t="n">
        <v>22.22</v>
      </c>
      <c r="N1022" s="61" t="n">
        <v>17.23</v>
      </c>
      <c r="O1022" s="61" t="n">
        <v>5.67</v>
      </c>
      <c r="P1022" s="62" t="n">
        <v>281.4</v>
      </c>
      <c r="Q1022" s="0" t="n">
        <v>0</v>
      </c>
      <c r="R1022" s="60" t="n">
        <f aca="false">G1022+H1022+I1022</f>
        <v>133.32</v>
      </c>
      <c r="S1022" s="60" t="n">
        <f aca="false">K1022+L1022+M1022+N1022+O1022</f>
        <v>134.24</v>
      </c>
      <c r="T1022" s="60" t="n">
        <f aca="false">L1022+M1022</f>
        <v>58.21</v>
      </c>
      <c r="U1022" s="60" t="n">
        <f aca="false">S1022+J1022</f>
        <v>134.24</v>
      </c>
      <c r="V1022" s="63" t="n">
        <f aca="false">IFERROR(S1022/F1022,0)</f>
        <v>0.501719240544177</v>
      </c>
      <c r="W1022" s="63" t="n">
        <f aca="false">IFERROR(R1022/F1022,0)</f>
        <v>0.498280759455823</v>
      </c>
      <c r="X1022" s="63" t="n">
        <f aca="false">IFERROR(T1022/F1022,0)</f>
        <v>0.217558678427269</v>
      </c>
      <c r="Y1022" s="63" t="n">
        <f aca="false">IFERROR(G1022/F1022,0)</f>
        <v>0.0147630438032591</v>
      </c>
      <c r="Z1022" s="59" t="n">
        <f aca="false">IF(E1022&gt;0,F1022*1000000000/E1022,"")</f>
        <v>4508.7135152041</v>
      </c>
      <c r="AA1022" s="63" t="n">
        <f aca="false">IFERROR((R1022+S1022+J1022)/F1022,0)</f>
        <v>1</v>
      </c>
      <c r="AB1022" s="0" t="str">
        <f aca="false">A1022&amp;"|"&amp;D1022</f>
        <v>Italy|2024</v>
      </c>
    </row>
    <row r="1023" customFormat="false" ht="15" hidden="false" customHeight="false" outlineLevel="0" collapsed="false">
      <c r="A1023" s="0" t="s">
        <v>277</v>
      </c>
      <c r="B1023" s="0" t="s">
        <v>516</v>
      </c>
      <c r="C1023" s="0" t="s">
        <v>127</v>
      </c>
      <c r="D1023" s="0" t="n">
        <v>2025</v>
      </c>
      <c r="E1023" s="59" t="n">
        <v>59146263</v>
      </c>
      <c r="F1023" s="60" t="n">
        <v>264.7</v>
      </c>
      <c r="G1023" s="61" t="n">
        <v>3.73</v>
      </c>
      <c r="H1023" s="61" t="n">
        <v>125.05</v>
      </c>
      <c r="I1023" s="61" t="n">
        <v>6.81</v>
      </c>
      <c r="J1023" s="61" t="n">
        <v>0</v>
      </c>
      <c r="K1023" s="61" t="n">
        <v>41.7</v>
      </c>
      <c r="L1023" s="61" t="n">
        <v>44.63</v>
      </c>
      <c r="M1023" s="61" t="n">
        <v>21.48</v>
      </c>
      <c r="N1023" s="61" t="n">
        <v>15.61</v>
      </c>
      <c r="O1023" s="61" t="n">
        <v>5.69</v>
      </c>
      <c r="P1023" s="62" t="n">
        <v>284.8</v>
      </c>
      <c r="Q1023" s="0" t="n">
        <v>0</v>
      </c>
      <c r="R1023" s="60" t="n">
        <f aca="false">G1023+H1023+I1023</f>
        <v>135.59</v>
      </c>
      <c r="S1023" s="60" t="n">
        <f aca="false">K1023+L1023+M1023+N1023+O1023</f>
        <v>129.11</v>
      </c>
      <c r="T1023" s="60" t="n">
        <f aca="false">L1023+M1023</f>
        <v>66.11</v>
      </c>
      <c r="U1023" s="60" t="n">
        <f aca="false">S1023+J1023</f>
        <v>129.11</v>
      </c>
      <c r="V1023" s="63" t="n">
        <f aca="false">IFERROR(S1023/F1023,0)</f>
        <v>0.487759727993956</v>
      </c>
      <c r="W1023" s="63" t="n">
        <f aca="false">IFERROR(R1023/F1023,0)</f>
        <v>0.512240272006045</v>
      </c>
      <c r="X1023" s="63" t="n">
        <f aca="false">IFERROR(T1023/F1023,0)</f>
        <v>0.249754438987533</v>
      </c>
      <c r="Y1023" s="63" t="n">
        <f aca="false">IFERROR(G1023/F1023,0)</f>
        <v>0.0140914242538723</v>
      </c>
      <c r="Z1023" s="59" t="n">
        <f aca="false">IF(E1023&gt;0,F1023*1000000000/E1023,"")</f>
        <v>4475.34614317053</v>
      </c>
      <c r="AA1023" s="63" t="n">
        <f aca="false">IFERROR((R1023+S1023+J1023)/F1023,0)</f>
        <v>1</v>
      </c>
      <c r="AB1023" s="0" t="str">
        <f aca="false">A1023&amp;"|"&amp;D1023</f>
        <v>Italy|2025</v>
      </c>
    </row>
    <row r="1024" customFormat="false" ht="15" hidden="false" customHeight="false" outlineLevel="0" collapsed="false">
      <c r="A1024" s="0" t="s">
        <v>278</v>
      </c>
      <c r="B1024" s="0" t="s">
        <v>517</v>
      </c>
      <c r="C1024" s="0" t="s">
        <v>127</v>
      </c>
      <c r="D1024" s="0" t="n">
        <v>2015</v>
      </c>
      <c r="E1024" s="59" t="n">
        <v>2802536</v>
      </c>
      <c r="F1024" s="60" t="n">
        <v>4.28</v>
      </c>
      <c r="G1024" s="61" t="n">
        <v>0</v>
      </c>
      <c r="H1024" s="61" t="n">
        <v>0</v>
      </c>
      <c r="I1024" s="61" t="n">
        <v>3.84</v>
      </c>
      <c r="J1024" s="61" t="n">
        <v>0</v>
      </c>
      <c r="K1024" s="61" t="n">
        <v>0.13</v>
      </c>
      <c r="L1024" s="61" t="n">
        <v>0.01</v>
      </c>
      <c r="M1024" s="61" t="n">
        <v>0.13</v>
      </c>
      <c r="N1024" s="61" t="n">
        <v>0.17</v>
      </c>
      <c r="O1024" s="61" t="n">
        <v>0</v>
      </c>
      <c r="P1024" s="62" t="n">
        <v>600.5</v>
      </c>
      <c r="Q1024" s="0" t="n">
        <v>0</v>
      </c>
      <c r="R1024" s="60" t="n">
        <f aca="false">G1024+H1024+I1024</f>
        <v>3.84</v>
      </c>
      <c r="S1024" s="60" t="n">
        <f aca="false">K1024+L1024+M1024+N1024+O1024</f>
        <v>0.44</v>
      </c>
      <c r="T1024" s="60" t="n">
        <f aca="false">L1024+M1024</f>
        <v>0.14</v>
      </c>
      <c r="U1024" s="60" t="n">
        <f aca="false">S1024+J1024</f>
        <v>0.44</v>
      </c>
      <c r="V1024" s="63" t="n">
        <f aca="false">IFERROR(S1024/F1024,0)</f>
        <v>0.102803738317757</v>
      </c>
      <c r="W1024" s="63" t="n">
        <f aca="false">IFERROR(R1024/F1024,0)</f>
        <v>0.897196261682243</v>
      </c>
      <c r="X1024" s="63" t="n">
        <f aca="false">IFERROR(T1024/F1024,0)</f>
        <v>0.0327102803738318</v>
      </c>
      <c r="Y1024" s="63" t="n">
        <f aca="false">IFERROR(G1024/F1024,0)</f>
        <v>0</v>
      </c>
      <c r="Z1024" s="59" t="n">
        <f aca="false">IF(E1024&gt;0,F1024*1000000000/E1024,"")</f>
        <v>1527.18823237239</v>
      </c>
      <c r="AA1024" s="63" t="n">
        <f aca="false">IFERROR((R1024+S1024+J1024)/F1024,0)</f>
        <v>1</v>
      </c>
      <c r="AB1024" s="0" t="str">
        <f aca="false">A1024&amp;"|"&amp;D1024</f>
        <v>Jamaica|2015</v>
      </c>
    </row>
    <row r="1025" customFormat="false" ht="15" hidden="false" customHeight="false" outlineLevel="0" collapsed="false">
      <c r="A1025" s="0" t="s">
        <v>278</v>
      </c>
      <c r="B1025" s="0" t="s">
        <v>517</v>
      </c>
      <c r="C1025" s="0" t="s">
        <v>127</v>
      </c>
      <c r="D1025" s="0" t="n">
        <v>2016</v>
      </c>
      <c r="E1025" s="59" t="n">
        <v>2809919</v>
      </c>
      <c r="F1025" s="60" t="n">
        <v>4.49</v>
      </c>
      <c r="G1025" s="61" t="n">
        <v>0</v>
      </c>
      <c r="H1025" s="61" t="n">
        <v>0.05</v>
      </c>
      <c r="I1025" s="61" t="n">
        <v>3.89</v>
      </c>
      <c r="J1025" s="61" t="n">
        <v>0</v>
      </c>
      <c r="K1025" s="61" t="n">
        <v>0.12</v>
      </c>
      <c r="L1025" s="61" t="n">
        <v>0.01</v>
      </c>
      <c r="M1025" s="61" t="n">
        <v>0.21</v>
      </c>
      <c r="N1025" s="61" t="n">
        <v>0.21</v>
      </c>
      <c r="O1025" s="61" t="n">
        <v>0</v>
      </c>
      <c r="P1025" s="62" t="n">
        <v>588</v>
      </c>
      <c r="Q1025" s="0" t="n">
        <v>0</v>
      </c>
      <c r="R1025" s="60" t="n">
        <f aca="false">G1025+H1025+I1025</f>
        <v>3.94</v>
      </c>
      <c r="S1025" s="60" t="n">
        <f aca="false">K1025+L1025+M1025+N1025+O1025</f>
        <v>0.55</v>
      </c>
      <c r="T1025" s="60" t="n">
        <f aca="false">L1025+M1025</f>
        <v>0.22</v>
      </c>
      <c r="U1025" s="60" t="n">
        <f aca="false">S1025+J1025</f>
        <v>0.55</v>
      </c>
      <c r="V1025" s="63" t="n">
        <f aca="false">IFERROR(S1025/F1025,0)</f>
        <v>0.122494432071269</v>
      </c>
      <c r="W1025" s="63" t="n">
        <f aca="false">IFERROR(R1025/F1025,0)</f>
        <v>0.877505567928731</v>
      </c>
      <c r="X1025" s="63" t="n">
        <f aca="false">IFERROR(T1025/F1025,0)</f>
        <v>0.0489977728285078</v>
      </c>
      <c r="Y1025" s="63" t="n">
        <f aca="false">IFERROR(G1025/F1025,0)</f>
        <v>0</v>
      </c>
      <c r="Z1025" s="59" t="n">
        <f aca="false">IF(E1025&gt;0,F1025*1000000000/E1025,"")</f>
        <v>1597.91082945807</v>
      </c>
      <c r="AA1025" s="63" t="n">
        <f aca="false">IFERROR((R1025+S1025+J1025)/F1025,0)</f>
        <v>1</v>
      </c>
      <c r="AB1025" s="0" t="str">
        <f aca="false">A1025&amp;"|"&amp;D1025</f>
        <v>Jamaica|2016</v>
      </c>
    </row>
    <row r="1026" customFormat="false" ht="15" hidden="false" customHeight="false" outlineLevel="0" collapsed="false">
      <c r="A1026" s="0" t="s">
        <v>278</v>
      </c>
      <c r="B1026" s="0" t="s">
        <v>517</v>
      </c>
      <c r="C1026" s="0" t="s">
        <v>127</v>
      </c>
      <c r="D1026" s="0" t="n">
        <v>2017</v>
      </c>
      <c r="E1026" s="59" t="n">
        <v>2815765</v>
      </c>
      <c r="F1026" s="60" t="n">
        <v>4.38</v>
      </c>
      <c r="G1026" s="61" t="n">
        <v>0</v>
      </c>
      <c r="H1026" s="61" t="n">
        <v>0.82</v>
      </c>
      <c r="I1026" s="61" t="n">
        <v>3.05</v>
      </c>
      <c r="J1026" s="61" t="n">
        <v>0</v>
      </c>
      <c r="K1026" s="61" t="n">
        <v>0.15</v>
      </c>
      <c r="L1026" s="61" t="n">
        <v>0.04</v>
      </c>
      <c r="M1026" s="61" t="n">
        <v>0.25</v>
      </c>
      <c r="N1026" s="61" t="n">
        <v>0.07</v>
      </c>
      <c r="O1026" s="61" t="n">
        <v>0</v>
      </c>
      <c r="P1026" s="62" t="n">
        <v>579.9</v>
      </c>
      <c r="Q1026" s="0" t="n">
        <v>0</v>
      </c>
      <c r="R1026" s="60" t="n">
        <f aca="false">G1026+H1026+I1026</f>
        <v>3.87</v>
      </c>
      <c r="S1026" s="60" t="n">
        <f aca="false">K1026+L1026+M1026+N1026+O1026</f>
        <v>0.51</v>
      </c>
      <c r="T1026" s="60" t="n">
        <f aca="false">L1026+M1026</f>
        <v>0.29</v>
      </c>
      <c r="U1026" s="60" t="n">
        <f aca="false">S1026+J1026</f>
        <v>0.51</v>
      </c>
      <c r="V1026" s="63" t="n">
        <f aca="false">IFERROR(S1026/F1026,0)</f>
        <v>0.116438356164384</v>
      </c>
      <c r="W1026" s="63" t="n">
        <f aca="false">IFERROR(R1026/F1026,0)</f>
        <v>0.883561643835616</v>
      </c>
      <c r="X1026" s="63" t="n">
        <f aca="false">IFERROR(T1026/F1026,0)</f>
        <v>0.0662100456621005</v>
      </c>
      <c r="Y1026" s="63" t="n">
        <f aca="false">IFERROR(G1026/F1026,0)</f>
        <v>0</v>
      </c>
      <c r="Z1026" s="59" t="n">
        <f aca="false">IF(E1026&gt;0,F1026*1000000000/E1026,"")</f>
        <v>1555.5275386973</v>
      </c>
      <c r="AA1026" s="63" t="n">
        <f aca="false">IFERROR((R1026+S1026+J1026)/F1026,0)</f>
        <v>1</v>
      </c>
      <c r="AB1026" s="0" t="str">
        <f aca="false">A1026&amp;"|"&amp;D1026</f>
        <v>Jamaica|2017</v>
      </c>
    </row>
    <row r="1027" customFormat="false" ht="15" hidden="false" customHeight="false" outlineLevel="0" collapsed="false">
      <c r="A1027" s="0" t="s">
        <v>278</v>
      </c>
      <c r="B1027" s="0" t="s">
        <v>517</v>
      </c>
      <c r="C1027" s="0" t="s">
        <v>127</v>
      </c>
      <c r="D1027" s="0" t="n">
        <v>2018</v>
      </c>
      <c r="E1027" s="59" t="n">
        <v>2820103</v>
      </c>
      <c r="F1027" s="60" t="n">
        <v>3.96</v>
      </c>
      <c r="G1027" s="61" t="n">
        <v>0</v>
      </c>
      <c r="H1027" s="61" t="n">
        <v>0.47</v>
      </c>
      <c r="I1027" s="61" t="n">
        <v>2.91</v>
      </c>
      <c r="J1027" s="61" t="n">
        <v>0</v>
      </c>
      <c r="K1027" s="61" t="n">
        <v>0.18</v>
      </c>
      <c r="L1027" s="61" t="n">
        <v>0.05</v>
      </c>
      <c r="M1027" s="61" t="n">
        <v>0.3</v>
      </c>
      <c r="N1027" s="61" t="n">
        <v>0.05</v>
      </c>
      <c r="O1027" s="61" t="n">
        <v>0</v>
      </c>
      <c r="P1027" s="62" t="n">
        <v>558.1</v>
      </c>
      <c r="Q1027" s="0" t="n">
        <v>0</v>
      </c>
      <c r="R1027" s="60" t="n">
        <f aca="false">G1027+H1027+I1027</f>
        <v>3.38</v>
      </c>
      <c r="S1027" s="60" t="n">
        <f aca="false">K1027+L1027+M1027+N1027+O1027</f>
        <v>0.58</v>
      </c>
      <c r="T1027" s="60" t="n">
        <f aca="false">L1027+M1027</f>
        <v>0.35</v>
      </c>
      <c r="U1027" s="60" t="n">
        <f aca="false">S1027+J1027</f>
        <v>0.58</v>
      </c>
      <c r="V1027" s="63" t="n">
        <f aca="false">IFERROR(S1027/F1027,0)</f>
        <v>0.146464646464647</v>
      </c>
      <c r="W1027" s="63" t="n">
        <f aca="false">IFERROR(R1027/F1027,0)</f>
        <v>0.853535353535354</v>
      </c>
      <c r="X1027" s="63" t="n">
        <f aca="false">IFERROR(T1027/F1027,0)</f>
        <v>0.0883838383838384</v>
      </c>
      <c r="Y1027" s="63" t="n">
        <f aca="false">IFERROR(G1027/F1027,0)</f>
        <v>0</v>
      </c>
      <c r="Z1027" s="59" t="n">
        <f aca="false">IF(E1027&gt;0,F1027*1000000000/E1027,"")</f>
        <v>1404.20403084568</v>
      </c>
      <c r="AA1027" s="63" t="n">
        <f aca="false">IFERROR((R1027+S1027+J1027)/F1027,0)</f>
        <v>1</v>
      </c>
      <c r="AB1027" s="0" t="str">
        <f aca="false">A1027&amp;"|"&amp;D1027</f>
        <v>Jamaica|2018</v>
      </c>
    </row>
    <row r="1028" customFormat="false" ht="15" hidden="false" customHeight="false" outlineLevel="0" collapsed="false">
      <c r="A1028" s="0" t="s">
        <v>278</v>
      </c>
      <c r="B1028" s="0" t="s">
        <v>517</v>
      </c>
      <c r="C1028" s="0" t="s">
        <v>127</v>
      </c>
      <c r="D1028" s="0" t="n">
        <v>2019</v>
      </c>
      <c r="E1028" s="59" t="n">
        <v>2823275</v>
      </c>
      <c r="F1028" s="60" t="n">
        <v>4.64</v>
      </c>
      <c r="G1028" s="61" t="n">
        <v>0</v>
      </c>
      <c r="H1028" s="61" t="n">
        <v>1.26</v>
      </c>
      <c r="I1028" s="61" t="n">
        <v>2.79</v>
      </c>
      <c r="J1028" s="61" t="n">
        <v>0</v>
      </c>
      <c r="K1028" s="61" t="n">
        <v>0.16</v>
      </c>
      <c r="L1028" s="61" t="n">
        <v>0.09</v>
      </c>
      <c r="M1028" s="61" t="n">
        <v>0.27</v>
      </c>
      <c r="N1028" s="61" t="n">
        <v>0.07</v>
      </c>
      <c r="O1028" s="61" t="n">
        <v>0</v>
      </c>
      <c r="P1028" s="62" t="n">
        <v>571.1</v>
      </c>
      <c r="Q1028" s="0" t="n">
        <v>0</v>
      </c>
      <c r="R1028" s="60" t="n">
        <f aca="false">G1028+H1028+I1028</f>
        <v>4.05</v>
      </c>
      <c r="S1028" s="60" t="n">
        <f aca="false">K1028+L1028+M1028+N1028+O1028</f>
        <v>0.59</v>
      </c>
      <c r="T1028" s="60" t="n">
        <f aca="false">L1028+M1028</f>
        <v>0.36</v>
      </c>
      <c r="U1028" s="60" t="n">
        <f aca="false">S1028+J1028</f>
        <v>0.59</v>
      </c>
      <c r="V1028" s="63" t="n">
        <f aca="false">IFERROR(S1028/F1028,0)</f>
        <v>0.127155172413793</v>
      </c>
      <c r="W1028" s="63" t="n">
        <f aca="false">IFERROR(R1028/F1028,0)</f>
        <v>0.872844827586207</v>
      </c>
      <c r="X1028" s="63" t="n">
        <f aca="false">IFERROR(T1028/F1028,0)</f>
        <v>0.0775862068965517</v>
      </c>
      <c r="Y1028" s="63" t="n">
        <f aca="false">IFERROR(G1028/F1028,0)</f>
        <v>0</v>
      </c>
      <c r="Z1028" s="59" t="n">
        <f aca="false">IF(E1028&gt;0,F1028*1000000000/E1028,"")</f>
        <v>1643.48141785692</v>
      </c>
      <c r="AA1028" s="63" t="n">
        <f aca="false">IFERROR((R1028+S1028+J1028)/F1028,0)</f>
        <v>1</v>
      </c>
      <c r="AB1028" s="0" t="str">
        <f aca="false">A1028&amp;"|"&amp;D1028</f>
        <v>Jamaica|2019</v>
      </c>
    </row>
    <row r="1029" customFormat="false" ht="15" hidden="false" customHeight="false" outlineLevel="0" collapsed="false">
      <c r="A1029" s="0" t="s">
        <v>278</v>
      </c>
      <c r="B1029" s="0" t="s">
        <v>517</v>
      </c>
      <c r="C1029" s="0" t="s">
        <v>127</v>
      </c>
      <c r="D1029" s="0" t="n">
        <v>2020</v>
      </c>
      <c r="E1029" s="59" t="n">
        <v>2830745</v>
      </c>
      <c r="F1029" s="60" t="n">
        <v>4.28</v>
      </c>
      <c r="G1029" s="61" t="n">
        <v>0</v>
      </c>
      <c r="H1029" s="61" t="n">
        <v>2.48</v>
      </c>
      <c r="I1029" s="61" t="n">
        <v>1.21</v>
      </c>
      <c r="J1029" s="61" t="n">
        <v>0</v>
      </c>
      <c r="K1029" s="61" t="n">
        <v>0.14</v>
      </c>
      <c r="L1029" s="61" t="n">
        <v>0.12</v>
      </c>
      <c r="M1029" s="61" t="n">
        <v>0.28</v>
      </c>
      <c r="N1029" s="61" t="n">
        <v>0.05</v>
      </c>
      <c r="O1029" s="61" t="n">
        <v>0</v>
      </c>
      <c r="P1029" s="62" t="n">
        <v>553.7</v>
      </c>
      <c r="Q1029" s="0" t="n">
        <v>0</v>
      </c>
      <c r="R1029" s="60" t="n">
        <f aca="false">G1029+H1029+I1029</f>
        <v>3.69</v>
      </c>
      <c r="S1029" s="60" t="n">
        <f aca="false">K1029+L1029+M1029+N1029+O1029</f>
        <v>0.59</v>
      </c>
      <c r="T1029" s="60" t="n">
        <f aca="false">L1029+M1029</f>
        <v>0.4</v>
      </c>
      <c r="U1029" s="60" t="n">
        <f aca="false">S1029+J1029</f>
        <v>0.59</v>
      </c>
      <c r="V1029" s="63" t="n">
        <f aca="false">IFERROR(S1029/F1029,0)</f>
        <v>0.13785046728972</v>
      </c>
      <c r="W1029" s="63" t="n">
        <f aca="false">IFERROR(R1029/F1029,0)</f>
        <v>0.86214953271028</v>
      </c>
      <c r="X1029" s="63" t="n">
        <f aca="false">IFERROR(T1029/F1029,0)</f>
        <v>0.0934579439252336</v>
      </c>
      <c r="Y1029" s="63" t="n">
        <f aca="false">IFERROR(G1029/F1029,0)</f>
        <v>0</v>
      </c>
      <c r="Z1029" s="59" t="n">
        <f aca="false">IF(E1029&gt;0,F1029*1000000000/E1029,"")</f>
        <v>1511.96946386905</v>
      </c>
      <c r="AA1029" s="63" t="n">
        <f aca="false">IFERROR((R1029+S1029+J1029)/F1029,0)</f>
        <v>1</v>
      </c>
      <c r="AB1029" s="0" t="str">
        <f aca="false">A1029&amp;"|"&amp;D1029</f>
        <v>Jamaica|2020</v>
      </c>
    </row>
    <row r="1030" customFormat="false" ht="15" hidden="false" customHeight="false" outlineLevel="0" collapsed="false">
      <c r="A1030" s="0" t="s">
        <v>278</v>
      </c>
      <c r="B1030" s="0" t="s">
        <v>517</v>
      </c>
      <c r="C1030" s="0" t="s">
        <v>127</v>
      </c>
      <c r="D1030" s="0" t="n">
        <v>2021</v>
      </c>
      <c r="E1030" s="59" t="n">
        <v>2837680</v>
      </c>
      <c r="F1030" s="60" t="n">
        <v>4.35</v>
      </c>
      <c r="G1030" s="61" t="n">
        <v>0</v>
      </c>
      <c r="H1030" s="61" t="n">
        <v>2.54</v>
      </c>
      <c r="I1030" s="61" t="n">
        <v>1.23</v>
      </c>
      <c r="J1030" s="61" t="n">
        <v>0</v>
      </c>
      <c r="K1030" s="61" t="n">
        <v>0.14</v>
      </c>
      <c r="L1030" s="61" t="n">
        <v>0.13</v>
      </c>
      <c r="M1030" s="61" t="n">
        <v>0.26</v>
      </c>
      <c r="N1030" s="61" t="n">
        <v>0.05</v>
      </c>
      <c r="O1030" s="61" t="n">
        <v>0</v>
      </c>
      <c r="P1030" s="62" t="n">
        <v>556.3</v>
      </c>
      <c r="Q1030" s="0" t="n">
        <v>0</v>
      </c>
      <c r="R1030" s="60" t="n">
        <f aca="false">G1030+H1030+I1030</f>
        <v>3.77</v>
      </c>
      <c r="S1030" s="60" t="n">
        <f aca="false">K1030+L1030+M1030+N1030+O1030</f>
        <v>0.58</v>
      </c>
      <c r="T1030" s="60" t="n">
        <f aca="false">L1030+M1030</f>
        <v>0.39</v>
      </c>
      <c r="U1030" s="60" t="n">
        <f aca="false">S1030+J1030</f>
        <v>0.58</v>
      </c>
      <c r="V1030" s="63" t="n">
        <f aca="false">IFERROR(S1030/F1030,0)</f>
        <v>0.133333333333333</v>
      </c>
      <c r="W1030" s="63" t="n">
        <f aca="false">IFERROR(R1030/F1030,0)</f>
        <v>0.866666666666667</v>
      </c>
      <c r="X1030" s="63" t="n">
        <f aca="false">IFERROR(T1030/F1030,0)</f>
        <v>0.0896551724137931</v>
      </c>
      <c r="Y1030" s="63" t="n">
        <f aca="false">IFERROR(G1030/F1030,0)</f>
        <v>0</v>
      </c>
      <c r="Z1030" s="59" t="n">
        <f aca="false">IF(E1030&gt;0,F1030*1000000000/E1030,"")</f>
        <v>1532.94240365369</v>
      </c>
      <c r="AA1030" s="63" t="n">
        <f aca="false">IFERROR((R1030+S1030+J1030)/F1030,0)</f>
        <v>1</v>
      </c>
      <c r="AB1030" s="0" t="str">
        <f aca="false">A1030&amp;"|"&amp;D1030</f>
        <v>Jamaica|2021</v>
      </c>
    </row>
    <row r="1031" customFormat="false" ht="15" hidden="false" customHeight="false" outlineLevel="0" collapsed="false">
      <c r="A1031" s="0" t="s">
        <v>278</v>
      </c>
      <c r="B1031" s="0" t="s">
        <v>517</v>
      </c>
      <c r="C1031" s="0" t="s">
        <v>127</v>
      </c>
      <c r="D1031" s="0" t="n">
        <v>2022</v>
      </c>
      <c r="E1031" s="59" t="n">
        <v>2839150</v>
      </c>
      <c r="F1031" s="60" t="n">
        <v>4.49</v>
      </c>
      <c r="G1031" s="61" t="n">
        <v>0</v>
      </c>
      <c r="H1031" s="61" t="n">
        <v>2.39</v>
      </c>
      <c r="I1031" s="61" t="n">
        <v>1.52</v>
      </c>
      <c r="J1031" s="61" t="n">
        <v>0</v>
      </c>
      <c r="K1031" s="61" t="n">
        <v>0.12</v>
      </c>
      <c r="L1031" s="61" t="n">
        <v>0.13</v>
      </c>
      <c r="M1031" s="61" t="n">
        <v>0.27</v>
      </c>
      <c r="N1031" s="61" t="n">
        <v>0.06</v>
      </c>
      <c r="O1031" s="61" t="n">
        <v>0</v>
      </c>
      <c r="P1031" s="62" t="n">
        <v>561.2</v>
      </c>
      <c r="Q1031" s="0" t="n">
        <v>0</v>
      </c>
      <c r="R1031" s="60" t="n">
        <f aca="false">G1031+H1031+I1031</f>
        <v>3.91</v>
      </c>
      <c r="S1031" s="60" t="n">
        <f aca="false">K1031+L1031+M1031+N1031+O1031</f>
        <v>0.58</v>
      </c>
      <c r="T1031" s="60" t="n">
        <f aca="false">L1031+M1031</f>
        <v>0.4</v>
      </c>
      <c r="U1031" s="60" t="n">
        <f aca="false">S1031+J1031</f>
        <v>0.58</v>
      </c>
      <c r="V1031" s="63" t="n">
        <f aca="false">IFERROR(S1031/F1031,0)</f>
        <v>0.129175946547884</v>
      </c>
      <c r="W1031" s="63" t="n">
        <f aca="false">IFERROR(R1031/F1031,0)</f>
        <v>0.870824053452116</v>
      </c>
      <c r="X1031" s="63" t="n">
        <f aca="false">IFERROR(T1031/F1031,0)</f>
        <v>0.089086859688196</v>
      </c>
      <c r="Y1031" s="63" t="n">
        <f aca="false">IFERROR(G1031/F1031,0)</f>
        <v>0</v>
      </c>
      <c r="Z1031" s="59" t="n">
        <f aca="false">IF(E1031&gt;0,F1031*1000000000/E1031,"")</f>
        <v>1581.45923956114</v>
      </c>
      <c r="AA1031" s="63" t="n">
        <f aca="false">IFERROR((R1031+S1031+J1031)/F1031,0)</f>
        <v>1</v>
      </c>
      <c r="AB1031" s="0" t="str">
        <f aca="false">A1031&amp;"|"&amp;D1031</f>
        <v>Jamaica|2022</v>
      </c>
    </row>
    <row r="1032" customFormat="false" ht="15" hidden="false" customHeight="false" outlineLevel="0" collapsed="false">
      <c r="A1032" s="0" t="s">
        <v>278</v>
      </c>
      <c r="B1032" s="0" t="s">
        <v>517</v>
      </c>
      <c r="C1032" s="0" t="s">
        <v>127</v>
      </c>
      <c r="D1032" s="0" t="n">
        <v>2023</v>
      </c>
      <c r="E1032" s="59" t="n">
        <v>2839785</v>
      </c>
      <c r="F1032" s="60" t="n">
        <v>4.77</v>
      </c>
      <c r="G1032" s="61" t="n">
        <v>0</v>
      </c>
      <c r="H1032" s="61" t="n">
        <v>2.81</v>
      </c>
      <c r="I1032" s="61" t="n">
        <v>1.38</v>
      </c>
      <c r="J1032" s="61" t="n">
        <v>0</v>
      </c>
      <c r="K1032" s="61" t="n">
        <v>0.12</v>
      </c>
      <c r="L1032" s="61" t="n">
        <v>0.13</v>
      </c>
      <c r="M1032" s="61" t="n">
        <v>0.27</v>
      </c>
      <c r="N1032" s="61" t="n">
        <v>0.06</v>
      </c>
      <c r="O1032" s="61" t="n">
        <v>0</v>
      </c>
      <c r="P1032" s="62" t="n">
        <v>563.9</v>
      </c>
      <c r="Q1032" s="0" t="n">
        <v>0</v>
      </c>
      <c r="R1032" s="60" t="n">
        <f aca="false">G1032+H1032+I1032</f>
        <v>4.19</v>
      </c>
      <c r="S1032" s="60" t="n">
        <f aca="false">K1032+L1032+M1032+N1032+O1032</f>
        <v>0.58</v>
      </c>
      <c r="T1032" s="60" t="n">
        <f aca="false">L1032+M1032</f>
        <v>0.4</v>
      </c>
      <c r="U1032" s="60" t="n">
        <f aca="false">S1032+J1032</f>
        <v>0.58</v>
      </c>
      <c r="V1032" s="63" t="n">
        <f aca="false">IFERROR(S1032/F1032,0)</f>
        <v>0.121593291404612</v>
      </c>
      <c r="W1032" s="63" t="n">
        <f aca="false">IFERROR(R1032/F1032,0)</f>
        <v>0.878406708595388</v>
      </c>
      <c r="X1032" s="63" t="n">
        <f aca="false">IFERROR(T1032/F1032,0)</f>
        <v>0.0838574423480084</v>
      </c>
      <c r="Y1032" s="63" t="n">
        <f aca="false">IFERROR(G1032/F1032,0)</f>
        <v>0</v>
      </c>
      <c r="Z1032" s="59" t="n">
        <f aca="false">IF(E1032&gt;0,F1032*1000000000/E1032,"")</f>
        <v>1679.70462552623</v>
      </c>
      <c r="AA1032" s="63" t="n">
        <f aca="false">IFERROR((R1032+S1032+J1032)/F1032,0)</f>
        <v>1</v>
      </c>
      <c r="AB1032" s="0" t="str">
        <f aca="false">A1032&amp;"|"&amp;D1032</f>
        <v>Jamaica|2023</v>
      </c>
    </row>
    <row r="1033" customFormat="false" ht="15" hidden="false" customHeight="false" outlineLevel="0" collapsed="false">
      <c r="A1033" s="0" t="s">
        <v>278</v>
      </c>
      <c r="B1033" s="0" t="s">
        <v>517</v>
      </c>
      <c r="C1033" s="0" t="s">
        <v>127</v>
      </c>
      <c r="D1033" s="0" t="n">
        <v>2024</v>
      </c>
      <c r="E1033" s="59" t="n">
        <v>2839182</v>
      </c>
      <c r="F1033" s="60" t="n">
        <v>4.92</v>
      </c>
      <c r="G1033" s="61" t="n">
        <v>0</v>
      </c>
      <c r="H1033" s="61" t="n">
        <v>2.8</v>
      </c>
      <c r="I1033" s="61" t="n">
        <v>1.5</v>
      </c>
      <c r="J1033" s="61" t="n">
        <v>0</v>
      </c>
      <c r="K1033" s="61" t="n">
        <v>0.12</v>
      </c>
      <c r="L1033" s="61" t="n">
        <v>0.15</v>
      </c>
      <c r="M1033" s="61" t="n">
        <v>0.29</v>
      </c>
      <c r="N1033" s="61" t="n">
        <v>0.06</v>
      </c>
      <c r="O1033" s="61" t="n">
        <v>0</v>
      </c>
      <c r="P1033" s="62" t="n">
        <v>563</v>
      </c>
      <c r="Q1033" s="0" t="n">
        <v>0</v>
      </c>
      <c r="R1033" s="60" t="n">
        <f aca="false">G1033+H1033+I1033</f>
        <v>4.3</v>
      </c>
      <c r="S1033" s="60" t="n">
        <f aca="false">K1033+L1033+M1033+N1033+O1033</f>
        <v>0.62</v>
      </c>
      <c r="T1033" s="60" t="n">
        <f aca="false">L1033+M1033</f>
        <v>0.44</v>
      </c>
      <c r="U1033" s="60" t="n">
        <f aca="false">S1033+J1033</f>
        <v>0.62</v>
      </c>
      <c r="V1033" s="63" t="n">
        <f aca="false">IFERROR(S1033/F1033,0)</f>
        <v>0.126016260162602</v>
      </c>
      <c r="W1033" s="63" t="n">
        <f aca="false">IFERROR(R1033/F1033,0)</f>
        <v>0.873983739837398</v>
      </c>
      <c r="X1033" s="63" t="n">
        <f aca="false">IFERROR(T1033/F1033,0)</f>
        <v>0.0894308943089431</v>
      </c>
      <c r="Y1033" s="63" t="n">
        <f aca="false">IFERROR(G1033/F1033,0)</f>
        <v>0</v>
      </c>
      <c r="Z1033" s="59" t="n">
        <f aca="false">IF(E1033&gt;0,F1033*1000000000/E1033,"")</f>
        <v>1732.89348833573</v>
      </c>
      <c r="AA1033" s="63" t="n">
        <f aca="false">IFERROR((R1033+S1033+J1033)/F1033,0)</f>
        <v>1</v>
      </c>
      <c r="AB1033" s="0" t="str">
        <f aca="false">A1033&amp;"|"&amp;D1033</f>
        <v>Jamaica|2024</v>
      </c>
    </row>
    <row r="1034" customFormat="false" ht="15" hidden="false" customHeight="false" outlineLevel="0" collapsed="false">
      <c r="A1034" s="0" t="s">
        <v>279</v>
      </c>
      <c r="B1034" s="0" t="s">
        <v>518</v>
      </c>
      <c r="C1034" s="0" t="s">
        <v>127</v>
      </c>
      <c r="D1034" s="0" t="n">
        <v>2015</v>
      </c>
      <c r="E1034" s="59" t="n">
        <v>127275868</v>
      </c>
      <c r="F1034" s="60" t="n">
        <v>1030.12</v>
      </c>
      <c r="G1034" s="61" t="n">
        <v>349.64</v>
      </c>
      <c r="H1034" s="61" t="n">
        <v>417.5</v>
      </c>
      <c r="I1034" s="61" t="n">
        <v>104.44</v>
      </c>
      <c r="J1034" s="61" t="n">
        <v>4.52</v>
      </c>
      <c r="K1034" s="61" t="n">
        <v>85.77</v>
      </c>
      <c r="L1034" s="61" t="n">
        <v>34.54</v>
      </c>
      <c r="M1034" s="61" t="n">
        <v>5.22</v>
      </c>
      <c r="N1034" s="61" t="n">
        <v>28.49</v>
      </c>
      <c r="O1034" s="61" t="n">
        <v>0</v>
      </c>
      <c r="P1034" s="62" t="n">
        <v>578</v>
      </c>
      <c r="Q1034" s="0" t="n">
        <v>1</v>
      </c>
      <c r="R1034" s="60" t="n">
        <f aca="false">G1034+H1034+I1034</f>
        <v>871.58</v>
      </c>
      <c r="S1034" s="60" t="n">
        <f aca="false">K1034+L1034+M1034+N1034+O1034</f>
        <v>154.02</v>
      </c>
      <c r="T1034" s="60" t="n">
        <f aca="false">L1034+M1034</f>
        <v>39.76</v>
      </c>
      <c r="U1034" s="60" t="n">
        <f aca="false">S1034+J1034</f>
        <v>158.54</v>
      </c>
      <c r="V1034" s="63" t="n">
        <f aca="false">IFERROR(S1034/F1034,0)</f>
        <v>0.149516561177339</v>
      </c>
      <c r="W1034" s="63" t="n">
        <f aca="false">IFERROR(R1034/F1034,0)</f>
        <v>0.846095600512562</v>
      </c>
      <c r="X1034" s="63" t="n">
        <f aca="false">IFERROR(T1034/F1034,0)</f>
        <v>0.038597444957869</v>
      </c>
      <c r="Y1034" s="63" t="n">
        <f aca="false">IFERROR(G1034/F1034,0)</f>
        <v>0.339416766978604</v>
      </c>
      <c r="Z1034" s="59" t="n">
        <f aca="false">IF(E1034&gt;0,F1034*1000000000/E1034,"")</f>
        <v>8093.60027306983</v>
      </c>
      <c r="AA1034" s="63" t="n">
        <f aca="false">IFERROR((R1034+S1034+J1034)/F1034,0)</f>
        <v>1</v>
      </c>
      <c r="AB1034" s="0" t="str">
        <f aca="false">A1034&amp;"|"&amp;D1034</f>
        <v>Japan|2015</v>
      </c>
    </row>
    <row r="1035" customFormat="false" ht="15" hidden="false" customHeight="false" outlineLevel="0" collapsed="false">
      <c r="A1035" s="0" t="s">
        <v>279</v>
      </c>
      <c r="B1035" s="0" t="s">
        <v>518</v>
      </c>
      <c r="C1035" s="0" t="s">
        <v>127</v>
      </c>
      <c r="D1035" s="0" t="n">
        <v>2016</v>
      </c>
      <c r="E1035" s="59" t="n">
        <v>127159950</v>
      </c>
      <c r="F1035" s="60" t="n">
        <v>1063.7</v>
      </c>
      <c r="G1035" s="61" t="n">
        <v>338.59</v>
      </c>
      <c r="H1035" s="61" t="n">
        <v>458.43</v>
      </c>
      <c r="I1035" s="61" t="n">
        <v>97.23</v>
      </c>
      <c r="J1035" s="61" t="n">
        <v>17.68</v>
      </c>
      <c r="K1035" s="61" t="n">
        <v>79.43</v>
      </c>
      <c r="L1035" s="61" t="n">
        <v>43.33</v>
      </c>
      <c r="M1035" s="61" t="n">
        <v>5.34</v>
      </c>
      <c r="N1035" s="61" t="n">
        <v>23.67</v>
      </c>
      <c r="O1035" s="61" t="n">
        <v>0</v>
      </c>
      <c r="P1035" s="62" t="n">
        <v>567</v>
      </c>
      <c r="Q1035" s="0" t="n">
        <v>1</v>
      </c>
      <c r="R1035" s="60" t="n">
        <f aca="false">G1035+H1035+I1035</f>
        <v>894.25</v>
      </c>
      <c r="S1035" s="60" t="n">
        <f aca="false">K1035+L1035+M1035+N1035+O1035</f>
        <v>151.77</v>
      </c>
      <c r="T1035" s="60" t="n">
        <f aca="false">L1035+M1035</f>
        <v>48.67</v>
      </c>
      <c r="U1035" s="60" t="n">
        <f aca="false">S1035+J1035</f>
        <v>169.45</v>
      </c>
      <c r="V1035" s="63" t="n">
        <f aca="false">IFERROR(S1035/F1035,0)</f>
        <v>0.142681207107267</v>
      </c>
      <c r="W1035" s="63" t="n">
        <f aca="false">IFERROR(R1035/F1035,0)</f>
        <v>0.840697565102943</v>
      </c>
      <c r="X1035" s="63" t="n">
        <f aca="false">IFERROR(T1035/F1035,0)</f>
        <v>0.0457553821566231</v>
      </c>
      <c r="Y1035" s="63" t="n">
        <f aca="false">IFERROR(G1035/F1035,0)</f>
        <v>0.318313434238977</v>
      </c>
      <c r="Z1035" s="59" t="n">
        <f aca="false">IF(E1035&gt;0,F1035*1000000000/E1035,"")</f>
        <v>8365.05519229915</v>
      </c>
      <c r="AA1035" s="63" t="n">
        <f aca="false">IFERROR((R1035+S1035+J1035)/F1035,0)</f>
        <v>1</v>
      </c>
      <c r="AB1035" s="0" t="str">
        <f aca="false">A1035&amp;"|"&amp;D1035</f>
        <v>Japan|2016</v>
      </c>
    </row>
    <row r="1036" customFormat="false" ht="15" hidden="false" customHeight="false" outlineLevel="0" collapsed="false">
      <c r="A1036" s="0" t="s">
        <v>279</v>
      </c>
      <c r="B1036" s="0" t="s">
        <v>518</v>
      </c>
      <c r="C1036" s="0" t="s">
        <v>127</v>
      </c>
      <c r="D1036" s="0" t="n">
        <v>2017</v>
      </c>
      <c r="E1036" s="59" t="n">
        <v>127064686</v>
      </c>
      <c r="F1036" s="60" t="n">
        <v>1076.86</v>
      </c>
      <c r="G1036" s="61" t="n">
        <v>363.47</v>
      </c>
      <c r="H1036" s="61" t="n">
        <v>464.13</v>
      </c>
      <c r="I1036" s="61" t="n">
        <v>56.89</v>
      </c>
      <c r="J1036" s="61" t="n">
        <v>29.07</v>
      </c>
      <c r="K1036" s="61" t="n">
        <v>79.24</v>
      </c>
      <c r="L1036" s="61" t="n">
        <v>54.04</v>
      </c>
      <c r="M1036" s="61" t="n">
        <v>6.22</v>
      </c>
      <c r="N1036" s="61" t="n">
        <v>23.8</v>
      </c>
      <c r="O1036" s="61" t="n">
        <v>0</v>
      </c>
      <c r="P1036" s="62" t="n">
        <v>558</v>
      </c>
      <c r="Q1036" s="0" t="n">
        <v>1</v>
      </c>
      <c r="R1036" s="60" t="n">
        <f aca="false">G1036+H1036+I1036</f>
        <v>884.49</v>
      </c>
      <c r="S1036" s="60" t="n">
        <f aca="false">K1036+L1036+M1036+N1036+O1036</f>
        <v>163.3</v>
      </c>
      <c r="T1036" s="60" t="n">
        <f aca="false">L1036+M1036</f>
        <v>60.26</v>
      </c>
      <c r="U1036" s="60" t="n">
        <f aca="false">S1036+J1036</f>
        <v>192.37</v>
      </c>
      <c r="V1036" s="63" t="n">
        <f aca="false">IFERROR(S1036/F1036,0)</f>
        <v>0.151644596326356</v>
      </c>
      <c r="W1036" s="63" t="n">
        <f aca="false">IFERROR(R1036/F1036,0)</f>
        <v>0.821360251100422</v>
      </c>
      <c r="X1036" s="63" t="n">
        <f aca="false">IFERROR(T1036/F1036,0)</f>
        <v>0.0559589918838103</v>
      </c>
      <c r="Y1036" s="63" t="n">
        <f aca="false">IFERROR(G1036/F1036,0)</f>
        <v>0.337527626618131</v>
      </c>
      <c r="Z1036" s="59" t="n">
        <f aca="false">IF(E1036&gt;0,F1036*1000000000/E1036,"")</f>
        <v>8474.8960069047</v>
      </c>
      <c r="AA1036" s="63" t="n">
        <f aca="false">IFERROR((R1036+S1036+J1036)/F1036,0)</f>
        <v>1</v>
      </c>
      <c r="AB1036" s="0" t="str">
        <f aca="false">A1036&amp;"|"&amp;D1036</f>
        <v>Japan|2017</v>
      </c>
    </row>
    <row r="1037" customFormat="false" ht="15" hidden="false" customHeight="false" outlineLevel="0" collapsed="false">
      <c r="A1037" s="0" t="s">
        <v>279</v>
      </c>
      <c r="B1037" s="0" t="s">
        <v>518</v>
      </c>
      <c r="C1037" s="0" t="s">
        <v>127</v>
      </c>
      <c r="D1037" s="0" t="n">
        <v>2018</v>
      </c>
      <c r="E1037" s="59" t="n">
        <v>126913432</v>
      </c>
      <c r="F1037" s="60" t="n">
        <v>1082.93</v>
      </c>
      <c r="G1037" s="61" t="n">
        <v>360.66</v>
      </c>
      <c r="H1037" s="61" t="n">
        <v>445.61</v>
      </c>
      <c r="I1037" s="61" t="n">
        <v>52.21</v>
      </c>
      <c r="J1037" s="61" t="n">
        <v>49.11</v>
      </c>
      <c r="K1037" s="61" t="n">
        <v>81</v>
      </c>
      <c r="L1037" s="61" t="n">
        <v>61.22</v>
      </c>
      <c r="M1037" s="61" t="n">
        <v>7.37</v>
      </c>
      <c r="N1037" s="61" t="n">
        <v>25.75</v>
      </c>
      <c r="O1037" s="61" t="n">
        <v>0</v>
      </c>
      <c r="P1037" s="62" t="n">
        <v>541.5</v>
      </c>
      <c r="Q1037" s="0" t="n">
        <v>1</v>
      </c>
      <c r="R1037" s="60" t="n">
        <f aca="false">G1037+H1037+I1037</f>
        <v>858.48</v>
      </c>
      <c r="S1037" s="60" t="n">
        <f aca="false">K1037+L1037+M1037+N1037+O1037</f>
        <v>175.34</v>
      </c>
      <c r="T1037" s="60" t="n">
        <f aca="false">L1037+M1037</f>
        <v>68.59</v>
      </c>
      <c r="U1037" s="60" t="n">
        <f aca="false">S1037+J1037</f>
        <v>224.45</v>
      </c>
      <c r="V1037" s="63" t="n">
        <f aca="false">IFERROR(S1037/F1037,0)</f>
        <v>0.161912588994672</v>
      </c>
      <c r="W1037" s="63" t="n">
        <f aca="false">IFERROR(R1037/F1037,0)</f>
        <v>0.792738219460168</v>
      </c>
      <c r="X1037" s="63" t="n">
        <f aca="false">IFERROR(T1037/F1037,0)</f>
        <v>0.0633374271651907</v>
      </c>
      <c r="Y1037" s="63" t="n">
        <f aca="false">IFERROR(G1037/F1037,0)</f>
        <v>0.333040916772091</v>
      </c>
      <c r="Z1037" s="59" t="n">
        <f aca="false">IF(E1037&gt;0,F1037*1000000000/E1037,"")</f>
        <v>8532.8241694701</v>
      </c>
      <c r="AA1037" s="63" t="n">
        <f aca="false">IFERROR((R1037+S1037+J1037)/F1037,0)</f>
        <v>1</v>
      </c>
      <c r="AB1037" s="0" t="str">
        <f aca="false">A1037&amp;"|"&amp;D1037</f>
        <v>Japan|2018</v>
      </c>
    </row>
    <row r="1038" customFormat="false" ht="15" hidden="false" customHeight="false" outlineLevel="0" collapsed="false">
      <c r="A1038" s="0" t="s">
        <v>279</v>
      </c>
      <c r="B1038" s="0" t="s">
        <v>518</v>
      </c>
      <c r="C1038" s="0" t="s">
        <v>127</v>
      </c>
      <c r="D1038" s="0" t="n">
        <v>2019</v>
      </c>
      <c r="E1038" s="59" t="n">
        <v>126699421</v>
      </c>
      <c r="F1038" s="60" t="n">
        <v>1047.4</v>
      </c>
      <c r="G1038" s="61" t="n">
        <v>350.77</v>
      </c>
      <c r="H1038" s="61" t="n">
        <v>416.95</v>
      </c>
      <c r="I1038" s="61" t="n">
        <v>37.63</v>
      </c>
      <c r="J1038" s="61" t="n">
        <v>65.64</v>
      </c>
      <c r="K1038" s="61" t="n">
        <v>73.92</v>
      </c>
      <c r="L1038" s="61" t="n">
        <v>67.43</v>
      </c>
      <c r="M1038" s="61" t="n">
        <v>7.46</v>
      </c>
      <c r="N1038" s="61" t="n">
        <v>27.6</v>
      </c>
      <c r="O1038" s="61" t="n">
        <v>0</v>
      </c>
      <c r="P1038" s="62" t="n">
        <v>528.5</v>
      </c>
      <c r="Q1038" s="0" t="n">
        <v>1</v>
      </c>
      <c r="R1038" s="60" t="n">
        <f aca="false">G1038+H1038+I1038</f>
        <v>805.35</v>
      </c>
      <c r="S1038" s="60" t="n">
        <f aca="false">K1038+L1038+M1038+N1038+O1038</f>
        <v>176.41</v>
      </c>
      <c r="T1038" s="60" t="n">
        <f aca="false">L1038+M1038</f>
        <v>74.89</v>
      </c>
      <c r="U1038" s="60" t="n">
        <f aca="false">S1038+J1038</f>
        <v>242.05</v>
      </c>
      <c r="V1038" s="63" t="n">
        <f aca="false">IFERROR(S1038/F1038,0)</f>
        <v>0.168426580103112</v>
      </c>
      <c r="W1038" s="63" t="n">
        <f aca="false">IFERROR(R1038/F1038,0)</f>
        <v>0.768903952644644</v>
      </c>
      <c r="X1038" s="63" t="n">
        <f aca="false">IFERROR(T1038/F1038,0)</f>
        <v>0.0715008592705748</v>
      </c>
      <c r="Y1038" s="63" t="n">
        <f aca="false">IFERROR(G1038/F1038,0)</f>
        <v>0.334895932785946</v>
      </c>
      <c r="Z1038" s="59" t="n">
        <f aca="false">IF(E1038&gt;0,F1038*1000000000/E1038,"")</f>
        <v>8266.80968021156</v>
      </c>
      <c r="AA1038" s="63" t="n">
        <f aca="false">IFERROR((R1038+S1038+J1038)/F1038,0)</f>
        <v>1</v>
      </c>
      <c r="AB1038" s="0" t="str">
        <f aca="false">A1038&amp;"|"&amp;D1038</f>
        <v>Japan|2019</v>
      </c>
    </row>
    <row r="1039" customFormat="false" ht="15" hidden="false" customHeight="false" outlineLevel="0" collapsed="false">
      <c r="A1039" s="0" t="s">
        <v>279</v>
      </c>
      <c r="B1039" s="0" t="s">
        <v>518</v>
      </c>
      <c r="C1039" s="0" t="s">
        <v>127</v>
      </c>
      <c r="D1039" s="0" t="n">
        <v>2020</v>
      </c>
      <c r="E1039" s="59" t="n">
        <v>126304533</v>
      </c>
      <c r="F1039" s="60" t="n">
        <v>1011.03</v>
      </c>
      <c r="G1039" s="61" t="n">
        <v>340.25</v>
      </c>
      <c r="H1039" s="61" t="n">
        <v>409.44</v>
      </c>
      <c r="I1039" s="61" t="n">
        <v>25.31</v>
      </c>
      <c r="J1039" s="61" t="n">
        <v>43</v>
      </c>
      <c r="K1039" s="61" t="n">
        <v>78.33</v>
      </c>
      <c r="L1039" s="61" t="n">
        <v>75.92</v>
      </c>
      <c r="M1039" s="61" t="n">
        <v>8.41</v>
      </c>
      <c r="N1039" s="61" t="n">
        <v>30.37</v>
      </c>
      <c r="O1039" s="61" t="n">
        <v>0</v>
      </c>
      <c r="P1039" s="62" t="n">
        <v>527.8</v>
      </c>
      <c r="Q1039" s="0" t="n">
        <v>1</v>
      </c>
      <c r="R1039" s="60" t="n">
        <f aca="false">G1039+H1039+I1039</f>
        <v>775</v>
      </c>
      <c r="S1039" s="60" t="n">
        <f aca="false">K1039+L1039+M1039+N1039+O1039</f>
        <v>193.03</v>
      </c>
      <c r="T1039" s="60" t="n">
        <f aca="false">L1039+M1039</f>
        <v>84.33</v>
      </c>
      <c r="U1039" s="60" t="n">
        <f aca="false">S1039+J1039</f>
        <v>236.03</v>
      </c>
      <c r="V1039" s="63" t="n">
        <f aca="false">IFERROR(S1039/F1039,0)</f>
        <v>0.190924107098701</v>
      </c>
      <c r="W1039" s="63" t="n">
        <f aca="false">IFERROR(R1039/F1039,0)</f>
        <v>0.766545008555632</v>
      </c>
      <c r="X1039" s="63" t="n">
        <f aca="false">IFERROR(T1039/F1039,0)</f>
        <v>0.0834099878341889</v>
      </c>
      <c r="Y1039" s="63" t="n">
        <f aca="false">IFERROR(G1039/F1039,0)</f>
        <v>0.336537986014263</v>
      </c>
      <c r="Z1039" s="59" t="n">
        <f aca="false">IF(E1039&gt;0,F1039*1000000000/E1039,"")</f>
        <v>8004.70082890849</v>
      </c>
      <c r="AA1039" s="63" t="n">
        <f aca="false">IFERROR((R1039+S1039+J1039)/F1039,0)</f>
        <v>1</v>
      </c>
      <c r="AB1039" s="0" t="str">
        <f aca="false">A1039&amp;"|"&amp;D1039</f>
        <v>Japan|2020</v>
      </c>
    </row>
    <row r="1040" customFormat="false" ht="15" hidden="false" customHeight="false" outlineLevel="0" collapsed="false">
      <c r="A1040" s="0" t="s">
        <v>279</v>
      </c>
      <c r="B1040" s="0" t="s">
        <v>518</v>
      </c>
      <c r="C1040" s="0" t="s">
        <v>127</v>
      </c>
      <c r="D1040" s="0" t="n">
        <v>2021</v>
      </c>
      <c r="E1040" s="59" t="n">
        <v>125679342</v>
      </c>
      <c r="F1040" s="60" t="n">
        <v>1034.67</v>
      </c>
      <c r="G1040" s="61" t="n">
        <v>348.26</v>
      </c>
      <c r="H1040" s="61" t="n">
        <v>385.78</v>
      </c>
      <c r="I1040" s="61" t="n">
        <v>31.27</v>
      </c>
      <c r="J1040" s="61" t="n">
        <v>61.22</v>
      </c>
      <c r="K1040" s="61" t="n">
        <v>79.63</v>
      </c>
      <c r="L1040" s="61" t="n">
        <v>84.18</v>
      </c>
      <c r="M1040" s="61" t="n">
        <v>9.54</v>
      </c>
      <c r="N1040" s="61" t="n">
        <v>34.79</v>
      </c>
      <c r="O1040" s="61" t="n">
        <v>0</v>
      </c>
      <c r="P1040" s="62" t="n">
        <v>514.5</v>
      </c>
      <c r="Q1040" s="0" t="n">
        <v>1</v>
      </c>
      <c r="R1040" s="60" t="n">
        <f aca="false">G1040+H1040+I1040</f>
        <v>765.31</v>
      </c>
      <c r="S1040" s="60" t="n">
        <f aca="false">K1040+L1040+M1040+N1040+O1040</f>
        <v>208.14</v>
      </c>
      <c r="T1040" s="60" t="n">
        <f aca="false">L1040+M1040</f>
        <v>93.72</v>
      </c>
      <c r="U1040" s="60" t="n">
        <f aca="false">S1040+J1040</f>
        <v>269.36</v>
      </c>
      <c r="V1040" s="63" t="n">
        <f aca="false">IFERROR(S1040/F1040,0)</f>
        <v>0.201165589028386</v>
      </c>
      <c r="W1040" s="63" t="n">
        <f aca="false">IFERROR(R1040/F1040,0)</f>
        <v>0.739665787159191</v>
      </c>
      <c r="X1040" s="63" t="n">
        <f aca="false">IFERROR(T1040/F1040,0)</f>
        <v>0.0905796050914784</v>
      </c>
      <c r="Y1040" s="63" t="n">
        <f aca="false">IFERROR(G1040/F1040,0)</f>
        <v>0.336590410469038</v>
      </c>
      <c r="Z1040" s="59" t="n">
        <f aca="false">IF(E1040&gt;0,F1040*1000000000/E1040,"")</f>
        <v>8232.61789515098</v>
      </c>
      <c r="AA1040" s="63" t="n">
        <f aca="false">IFERROR((R1040+S1040+J1040)/F1040,0)</f>
        <v>1</v>
      </c>
      <c r="AB1040" s="0" t="str">
        <f aca="false">A1040&amp;"|"&amp;D1040</f>
        <v>Japan|2021</v>
      </c>
    </row>
    <row r="1041" customFormat="false" ht="15" hidden="false" customHeight="false" outlineLevel="0" collapsed="false">
      <c r="A1041" s="0" t="s">
        <v>279</v>
      </c>
      <c r="B1041" s="0" t="s">
        <v>518</v>
      </c>
      <c r="C1041" s="0" t="s">
        <v>127</v>
      </c>
      <c r="D1041" s="0" t="n">
        <v>2022</v>
      </c>
      <c r="E1041" s="59" t="n">
        <v>124997585</v>
      </c>
      <c r="F1041" s="60" t="n">
        <v>1040.57</v>
      </c>
      <c r="G1041" s="61" t="n">
        <v>350.99</v>
      </c>
      <c r="H1041" s="61" t="n">
        <v>378.84</v>
      </c>
      <c r="I1041" s="61" t="n">
        <v>45.78</v>
      </c>
      <c r="J1041" s="61" t="n">
        <v>51.77</v>
      </c>
      <c r="K1041" s="61" t="n">
        <v>74.87</v>
      </c>
      <c r="L1041" s="61" t="n">
        <v>91.07</v>
      </c>
      <c r="M1041" s="61" t="n">
        <v>9.42</v>
      </c>
      <c r="N1041" s="61" t="n">
        <v>37.83</v>
      </c>
      <c r="O1041" s="61" t="n">
        <v>0</v>
      </c>
      <c r="P1041" s="62" t="n">
        <v>519.6</v>
      </c>
      <c r="Q1041" s="0" t="n">
        <v>1</v>
      </c>
      <c r="R1041" s="60" t="n">
        <f aca="false">G1041+H1041+I1041</f>
        <v>775.61</v>
      </c>
      <c r="S1041" s="60" t="n">
        <f aca="false">K1041+L1041+M1041+N1041+O1041</f>
        <v>213.19</v>
      </c>
      <c r="T1041" s="60" t="n">
        <f aca="false">L1041+M1041</f>
        <v>100.49</v>
      </c>
      <c r="U1041" s="60" t="n">
        <f aca="false">S1041+J1041</f>
        <v>264.96</v>
      </c>
      <c r="V1041" s="63" t="n">
        <f aca="false">IFERROR(S1041/F1041,0)</f>
        <v>0.20487809565911</v>
      </c>
      <c r="W1041" s="63" t="n">
        <f aca="false">IFERROR(R1041/F1041,0)</f>
        <v>0.745370325879086</v>
      </c>
      <c r="X1041" s="63" t="n">
        <f aca="false">IFERROR(T1041/F1041,0)</f>
        <v>0.0965720710764293</v>
      </c>
      <c r="Y1041" s="63" t="n">
        <f aca="false">IFERROR(G1041/F1041,0)</f>
        <v>0.337305515246451</v>
      </c>
      <c r="Z1041" s="59" t="n">
        <f aca="false">IF(E1041&gt;0,F1041*1000000000/E1041,"")</f>
        <v>8324.72083360651</v>
      </c>
      <c r="AA1041" s="63" t="n">
        <f aca="false">IFERROR((R1041+S1041+J1041)/F1041,0)</f>
        <v>1</v>
      </c>
      <c r="AB1041" s="0" t="str">
        <f aca="false">A1041&amp;"|"&amp;D1041</f>
        <v>Japan|2022</v>
      </c>
    </row>
    <row r="1042" customFormat="false" ht="15" hidden="false" customHeight="false" outlineLevel="0" collapsed="false">
      <c r="A1042" s="0" t="s">
        <v>279</v>
      </c>
      <c r="B1042" s="0" t="s">
        <v>518</v>
      </c>
      <c r="C1042" s="0" t="s">
        <v>127</v>
      </c>
      <c r="D1042" s="0" t="n">
        <v>2023</v>
      </c>
      <c r="E1042" s="59" t="n">
        <v>124370947</v>
      </c>
      <c r="F1042" s="60" t="n">
        <v>1006.73</v>
      </c>
      <c r="G1042" s="61" t="n">
        <v>326.93</v>
      </c>
      <c r="H1042" s="61" t="n">
        <v>346.98</v>
      </c>
      <c r="I1042" s="61" t="n">
        <v>32.5</v>
      </c>
      <c r="J1042" s="61" t="n">
        <v>77.46</v>
      </c>
      <c r="K1042" s="61" t="n">
        <v>74.53</v>
      </c>
      <c r="L1042" s="61" t="n">
        <v>96.36</v>
      </c>
      <c r="M1042" s="61" t="n">
        <v>9.96</v>
      </c>
      <c r="N1042" s="61" t="n">
        <v>42.01</v>
      </c>
      <c r="O1042" s="61" t="n">
        <v>0</v>
      </c>
      <c r="P1042" s="62" t="n">
        <v>492.4</v>
      </c>
      <c r="Q1042" s="0" t="n">
        <v>1</v>
      </c>
      <c r="R1042" s="60" t="n">
        <f aca="false">G1042+H1042+I1042</f>
        <v>706.41</v>
      </c>
      <c r="S1042" s="60" t="n">
        <f aca="false">K1042+L1042+M1042+N1042+O1042</f>
        <v>222.86</v>
      </c>
      <c r="T1042" s="60" t="n">
        <f aca="false">L1042+M1042</f>
        <v>106.32</v>
      </c>
      <c r="U1042" s="60" t="n">
        <f aca="false">S1042+J1042</f>
        <v>300.32</v>
      </c>
      <c r="V1042" s="63" t="n">
        <f aca="false">IFERROR(S1042/F1042,0)</f>
        <v>0.221370178697367</v>
      </c>
      <c r="W1042" s="63" t="n">
        <f aca="false">IFERROR(R1042/F1042,0)</f>
        <v>0.701687642168208</v>
      </c>
      <c r="X1042" s="63" t="n">
        <f aca="false">IFERROR(T1042/F1042,0)</f>
        <v>0.105609249749188</v>
      </c>
      <c r="Y1042" s="63" t="n">
        <f aca="false">IFERROR(G1042/F1042,0)</f>
        <v>0.324744469718793</v>
      </c>
      <c r="Z1042" s="59" t="n">
        <f aca="false">IF(E1042&gt;0,F1042*1000000000/E1042,"")</f>
        <v>8094.5753351866</v>
      </c>
      <c r="AA1042" s="63" t="n">
        <f aca="false">IFERROR((R1042+S1042+J1042)/F1042,0)</f>
        <v>1</v>
      </c>
      <c r="AB1042" s="0" t="str">
        <f aca="false">A1042&amp;"|"&amp;D1042</f>
        <v>Japan|2023</v>
      </c>
    </row>
    <row r="1043" customFormat="false" ht="15" hidden="false" customHeight="false" outlineLevel="0" collapsed="false">
      <c r="A1043" s="0" t="s">
        <v>279</v>
      </c>
      <c r="B1043" s="0" t="s">
        <v>518</v>
      </c>
      <c r="C1043" s="0" t="s">
        <v>127</v>
      </c>
      <c r="D1043" s="0" t="n">
        <v>2024</v>
      </c>
      <c r="E1043" s="59" t="n">
        <v>123753041</v>
      </c>
      <c r="F1043" s="60" t="n">
        <v>1016.39</v>
      </c>
      <c r="G1043" s="61" t="n">
        <v>327.13</v>
      </c>
      <c r="H1043" s="61" t="n">
        <v>346.24</v>
      </c>
      <c r="I1043" s="61" t="n">
        <v>25</v>
      </c>
      <c r="J1043" s="61" t="n">
        <v>84.91</v>
      </c>
      <c r="K1043" s="61" t="n">
        <v>79.45</v>
      </c>
      <c r="L1043" s="61" t="n">
        <v>96.7</v>
      </c>
      <c r="M1043" s="61" t="n">
        <v>11.54</v>
      </c>
      <c r="N1043" s="61" t="n">
        <v>45.42</v>
      </c>
      <c r="O1043" s="61" t="n">
        <v>0</v>
      </c>
      <c r="P1043" s="62" t="n">
        <v>483.4</v>
      </c>
      <c r="Q1043" s="0" t="n">
        <v>1</v>
      </c>
      <c r="R1043" s="60" t="n">
        <f aca="false">G1043+H1043+I1043</f>
        <v>698.37</v>
      </c>
      <c r="S1043" s="60" t="n">
        <f aca="false">K1043+L1043+M1043+N1043+O1043</f>
        <v>233.11</v>
      </c>
      <c r="T1043" s="60" t="n">
        <f aca="false">L1043+M1043</f>
        <v>108.24</v>
      </c>
      <c r="U1043" s="60" t="n">
        <f aca="false">S1043+J1043</f>
        <v>318.02</v>
      </c>
      <c r="V1043" s="63" t="n">
        <f aca="false">IFERROR(S1043/F1043,0)</f>
        <v>0.229350938124145</v>
      </c>
      <c r="W1043" s="63" t="n">
        <f aca="false">IFERROR(R1043/F1043,0)</f>
        <v>0.687108295044225</v>
      </c>
      <c r="X1043" s="63" t="n">
        <f aca="false">IFERROR(T1043/F1043,0)</f>
        <v>0.106494554255748</v>
      </c>
      <c r="Y1043" s="63" t="n">
        <f aca="false">IFERROR(G1043/F1043,0)</f>
        <v>0.321854799830774</v>
      </c>
      <c r="Z1043" s="59" t="n">
        <f aca="false">IF(E1043&gt;0,F1043*1000000000/E1043,"")</f>
        <v>8213.05069990159</v>
      </c>
      <c r="AA1043" s="63" t="n">
        <f aca="false">IFERROR((R1043+S1043+J1043)/F1043,0)</f>
        <v>1</v>
      </c>
      <c r="AB1043" s="0" t="str">
        <f aca="false">A1043&amp;"|"&amp;D1043</f>
        <v>Japan|2024</v>
      </c>
    </row>
    <row r="1044" customFormat="false" ht="15" hidden="false" customHeight="false" outlineLevel="0" collapsed="false">
      <c r="A1044" s="0" t="s">
        <v>279</v>
      </c>
      <c r="B1044" s="0" t="s">
        <v>518</v>
      </c>
      <c r="C1044" s="0" t="s">
        <v>127</v>
      </c>
      <c r="D1044" s="0" t="n">
        <v>2025</v>
      </c>
      <c r="E1044" s="59" t="n">
        <v>123103480</v>
      </c>
      <c r="F1044" s="60" t="n">
        <v>1029.86</v>
      </c>
      <c r="G1044" s="61" t="n">
        <v>330.08</v>
      </c>
      <c r="H1044" s="61" t="n">
        <v>337.57</v>
      </c>
      <c r="I1044" s="61" t="n">
        <v>25.39</v>
      </c>
      <c r="J1044" s="61" t="n">
        <v>94.09</v>
      </c>
      <c r="K1044" s="61" t="n">
        <v>73.9</v>
      </c>
      <c r="L1044" s="61" t="n">
        <v>101.06</v>
      </c>
      <c r="M1044" s="61" t="n">
        <v>12.85</v>
      </c>
      <c r="N1044" s="61" t="n">
        <v>54.92</v>
      </c>
      <c r="O1044" s="61" t="n">
        <v>0</v>
      </c>
      <c r="P1044" s="62" t="n">
        <v>477.3</v>
      </c>
      <c r="Q1044" s="0" t="n">
        <v>1</v>
      </c>
      <c r="R1044" s="60" t="n">
        <f aca="false">G1044+H1044+I1044</f>
        <v>693.04</v>
      </c>
      <c r="S1044" s="60" t="n">
        <f aca="false">K1044+L1044+M1044+N1044+O1044</f>
        <v>242.73</v>
      </c>
      <c r="T1044" s="60" t="n">
        <f aca="false">L1044+M1044</f>
        <v>113.91</v>
      </c>
      <c r="U1044" s="60" t="n">
        <f aca="false">S1044+J1044</f>
        <v>336.82</v>
      </c>
      <c r="V1044" s="63" t="n">
        <f aca="false">IFERROR(S1044/F1044,0)</f>
        <v>0.235692230011846</v>
      </c>
      <c r="W1044" s="63" t="n">
        <f aca="false">IFERROR(R1044/F1044,0)</f>
        <v>0.672945837298274</v>
      </c>
      <c r="X1044" s="63" t="n">
        <f aca="false">IFERROR(T1044/F1044,0)</f>
        <v>0.110607267007166</v>
      </c>
      <c r="Y1044" s="63" t="n">
        <f aca="false">IFERROR(G1044/F1044,0)</f>
        <v>0.320509583826928</v>
      </c>
      <c r="Z1044" s="59" t="n">
        <f aca="false">IF(E1044&gt;0,F1044*1000000000/E1044,"")</f>
        <v>8365.80736791519</v>
      </c>
      <c r="AA1044" s="63" t="n">
        <f aca="false">IFERROR((R1044+S1044+J1044)/F1044,0)</f>
        <v>1</v>
      </c>
      <c r="AB1044" s="0" t="str">
        <f aca="false">A1044&amp;"|"&amp;D1044</f>
        <v>Japan|2025</v>
      </c>
    </row>
    <row r="1045" customFormat="false" ht="15" hidden="false" customHeight="false" outlineLevel="0" collapsed="false">
      <c r="A1045" s="0" t="s">
        <v>280</v>
      </c>
      <c r="B1045" s="0" t="s">
        <v>519</v>
      </c>
      <c r="C1045" s="0" t="s">
        <v>127</v>
      </c>
      <c r="D1045" s="0" t="n">
        <v>2015</v>
      </c>
      <c r="E1045" s="59" t="n">
        <v>9544730</v>
      </c>
      <c r="F1045" s="60" t="n">
        <v>19.06</v>
      </c>
      <c r="G1045" s="61" t="n">
        <v>0</v>
      </c>
      <c r="H1045" s="61" t="n">
        <v>9.21</v>
      </c>
      <c r="I1045" s="61" t="n">
        <v>9.62</v>
      </c>
      <c r="J1045" s="61" t="n">
        <v>0</v>
      </c>
      <c r="K1045" s="61" t="n">
        <v>0.05</v>
      </c>
      <c r="L1045" s="61" t="n">
        <v>0.05</v>
      </c>
      <c r="M1045" s="61" t="n">
        <v>0.12</v>
      </c>
      <c r="N1045" s="61" t="n">
        <v>0.01</v>
      </c>
      <c r="O1045" s="61" t="n">
        <v>0</v>
      </c>
      <c r="P1045" s="62" t="n">
        <v>666.8</v>
      </c>
      <c r="Q1045" s="0" t="n">
        <v>0</v>
      </c>
      <c r="R1045" s="60" t="n">
        <f aca="false">G1045+H1045+I1045</f>
        <v>18.83</v>
      </c>
      <c r="S1045" s="60" t="n">
        <f aca="false">K1045+L1045+M1045+N1045+O1045</f>
        <v>0.23</v>
      </c>
      <c r="T1045" s="60" t="n">
        <f aca="false">L1045+M1045</f>
        <v>0.17</v>
      </c>
      <c r="U1045" s="60" t="n">
        <f aca="false">S1045+J1045</f>
        <v>0.23</v>
      </c>
      <c r="V1045" s="63" t="n">
        <f aca="false">IFERROR(S1045/F1045,0)</f>
        <v>0.0120671563483736</v>
      </c>
      <c r="W1045" s="63" t="n">
        <f aca="false">IFERROR(R1045/F1045,0)</f>
        <v>0.987932843651626</v>
      </c>
      <c r="X1045" s="63" t="n">
        <f aca="false">IFERROR(T1045/F1045,0)</f>
        <v>0.00891920251836306</v>
      </c>
      <c r="Y1045" s="63" t="n">
        <f aca="false">IFERROR(G1045/F1045,0)</f>
        <v>0</v>
      </c>
      <c r="Z1045" s="59" t="n">
        <f aca="false">IF(E1045&gt;0,F1045*1000000000/E1045,"")</f>
        <v>1996.91348000415</v>
      </c>
      <c r="AA1045" s="63" t="n">
        <f aca="false">IFERROR((R1045+S1045+J1045)/F1045,0)</f>
        <v>1</v>
      </c>
      <c r="AB1045" s="0" t="str">
        <f aca="false">A1045&amp;"|"&amp;D1045</f>
        <v>Jordan|2015</v>
      </c>
    </row>
    <row r="1046" customFormat="false" ht="15" hidden="false" customHeight="false" outlineLevel="0" collapsed="false">
      <c r="A1046" s="0" t="s">
        <v>280</v>
      </c>
      <c r="B1046" s="0" t="s">
        <v>519</v>
      </c>
      <c r="C1046" s="0" t="s">
        <v>127</v>
      </c>
      <c r="D1046" s="0" t="n">
        <v>2016</v>
      </c>
      <c r="E1046" s="59" t="n">
        <v>10006369</v>
      </c>
      <c r="F1046" s="60" t="n">
        <v>19.67</v>
      </c>
      <c r="G1046" s="61" t="n">
        <v>0</v>
      </c>
      <c r="H1046" s="61" t="n">
        <v>16.64</v>
      </c>
      <c r="I1046" s="61" t="n">
        <v>2.17</v>
      </c>
      <c r="J1046" s="61" t="n">
        <v>0</v>
      </c>
      <c r="K1046" s="61" t="n">
        <v>0.04</v>
      </c>
      <c r="L1046" s="61" t="n">
        <v>0.43</v>
      </c>
      <c r="M1046" s="61" t="n">
        <v>0.39</v>
      </c>
      <c r="N1046" s="61" t="n">
        <v>0</v>
      </c>
      <c r="O1046" s="61" t="n">
        <v>0</v>
      </c>
      <c r="P1046" s="62" t="n">
        <v>659.9</v>
      </c>
      <c r="Q1046" s="0" t="n">
        <v>0</v>
      </c>
      <c r="R1046" s="60" t="n">
        <f aca="false">G1046+H1046+I1046</f>
        <v>18.81</v>
      </c>
      <c r="S1046" s="60" t="n">
        <f aca="false">K1046+L1046+M1046+N1046+O1046</f>
        <v>0.86</v>
      </c>
      <c r="T1046" s="60" t="n">
        <f aca="false">L1046+M1046</f>
        <v>0.82</v>
      </c>
      <c r="U1046" s="60" t="n">
        <f aca="false">S1046+J1046</f>
        <v>0.86</v>
      </c>
      <c r="V1046" s="63" t="n">
        <f aca="false">IFERROR(S1046/F1046,0)</f>
        <v>0.0437214031520081</v>
      </c>
      <c r="W1046" s="63" t="n">
        <f aca="false">IFERROR(R1046/F1046,0)</f>
        <v>0.956278596847992</v>
      </c>
      <c r="X1046" s="63" t="n">
        <f aca="false">IFERROR(T1046/F1046,0)</f>
        <v>0.041687849517031</v>
      </c>
      <c r="Y1046" s="63" t="n">
        <f aca="false">IFERROR(G1046/F1046,0)</f>
        <v>0</v>
      </c>
      <c r="Z1046" s="59" t="n">
        <f aca="false">IF(E1046&gt;0,F1046*1000000000/E1046,"")</f>
        <v>1965.74801508919</v>
      </c>
      <c r="AA1046" s="63" t="n">
        <f aca="false">IFERROR((R1046+S1046+J1046)/F1046,0)</f>
        <v>1</v>
      </c>
      <c r="AB1046" s="0" t="str">
        <f aca="false">A1046&amp;"|"&amp;D1046</f>
        <v>Jordan|2016</v>
      </c>
    </row>
    <row r="1047" customFormat="false" ht="15" hidden="false" customHeight="false" outlineLevel="0" collapsed="false">
      <c r="A1047" s="0" t="s">
        <v>280</v>
      </c>
      <c r="B1047" s="0" t="s">
        <v>519</v>
      </c>
      <c r="C1047" s="0" t="s">
        <v>127</v>
      </c>
      <c r="D1047" s="0" t="n">
        <v>2017</v>
      </c>
      <c r="E1047" s="59" t="n">
        <v>10234227</v>
      </c>
      <c r="F1047" s="60" t="n">
        <v>20.78</v>
      </c>
      <c r="G1047" s="61" t="n">
        <v>0</v>
      </c>
      <c r="H1047" s="61" t="n">
        <v>16.56</v>
      </c>
      <c r="I1047" s="61" t="n">
        <v>2.82</v>
      </c>
      <c r="J1047" s="61" t="n">
        <v>0</v>
      </c>
      <c r="K1047" s="61" t="n">
        <v>0.04</v>
      </c>
      <c r="L1047" s="61" t="n">
        <v>0.91</v>
      </c>
      <c r="M1047" s="61" t="n">
        <v>0.45</v>
      </c>
      <c r="N1047" s="61" t="n">
        <v>0</v>
      </c>
      <c r="O1047" s="61" t="n">
        <v>0</v>
      </c>
      <c r="P1047" s="62" t="n">
        <v>643.4</v>
      </c>
      <c r="Q1047" s="0" t="n">
        <v>0</v>
      </c>
      <c r="R1047" s="60" t="n">
        <f aca="false">G1047+H1047+I1047</f>
        <v>19.38</v>
      </c>
      <c r="S1047" s="60" t="n">
        <f aca="false">K1047+L1047+M1047+N1047+O1047</f>
        <v>1.4</v>
      </c>
      <c r="T1047" s="60" t="n">
        <f aca="false">L1047+M1047</f>
        <v>1.36</v>
      </c>
      <c r="U1047" s="60" t="n">
        <f aca="false">S1047+J1047</f>
        <v>1.4</v>
      </c>
      <c r="V1047" s="63" t="n">
        <f aca="false">IFERROR(S1047/F1047,0)</f>
        <v>0.0673724735322425</v>
      </c>
      <c r="W1047" s="63" t="n">
        <f aca="false">IFERROR(R1047/F1047,0)</f>
        <v>0.932627526467757</v>
      </c>
      <c r="X1047" s="63" t="n">
        <f aca="false">IFERROR(T1047/F1047,0)</f>
        <v>0.0654475457170356</v>
      </c>
      <c r="Y1047" s="63" t="n">
        <f aca="false">IFERROR(G1047/F1047,0)</f>
        <v>0</v>
      </c>
      <c r="Z1047" s="59" t="n">
        <f aca="false">IF(E1047&gt;0,F1047*1000000000/E1047,"")</f>
        <v>2030.44157609559</v>
      </c>
      <c r="AA1047" s="63" t="n">
        <f aca="false">IFERROR((R1047+S1047+J1047)/F1047,0)</f>
        <v>1</v>
      </c>
      <c r="AB1047" s="0" t="str">
        <f aca="false">A1047&amp;"|"&amp;D1047</f>
        <v>Jordan|2017</v>
      </c>
    </row>
    <row r="1048" customFormat="false" ht="15" hidden="false" customHeight="false" outlineLevel="0" collapsed="false">
      <c r="A1048" s="0" t="s">
        <v>280</v>
      </c>
      <c r="B1048" s="0" t="s">
        <v>519</v>
      </c>
      <c r="C1048" s="0" t="s">
        <v>127</v>
      </c>
      <c r="D1048" s="0" t="n">
        <v>2018</v>
      </c>
      <c r="E1048" s="59" t="n">
        <v>10462310</v>
      </c>
      <c r="F1048" s="60" t="n">
        <v>20.37</v>
      </c>
      <c r="G1048" s="61" t="n">
        <v>0</v>
      </c>
      <c r="H1048" s="61" t="n">
        <v>16.95</v>
      </c>
      <c r="I1048" s="61" t="n">
        <v>1.26</v>
      </c>
      <c r="J1048" s="61" t="n">
        <v>0</v>
      </c>
      <c r="K1048" s="61" t="n">
        <v>0.02</v>
      </c>
      <c r="L1048" s="61" t="n">
        <v>1.43</v>
      </c>
      <c r="M1048" s="61" t="n">
        <v>0.71</v>
      </c>
      <c r="N1048" s="61" t="n">
        <v>0</v>
      </c>
      <c r="O1048" s="61" t="n">
        <v>0</v>
      </c>
      <c r="P1048" s="62" t="n">
        <v>621</v>
      </c>
      <c r="Q1048" s="0" t="n">
        <v>0</v>
      </c>
      <c r="R1048" s="60" t="n">
        <f aca="false">G1048+H1048+I1048</f>
        <v>18.21</v>
      </c>
      <c r="S1048" s="60" t="n">
        <f aca="false">K1048+L1048+M1048+N1048+O1048</f>
        <v>2.16</v>
      </c>
      <c r="T1048" s="60" t="n">
        <f aca="false">L1048+M1048</f>
        <v>2.14</v>
      </c>
      <c r="U1048" s="60" t="n">
        <f aca="false">S1048+J1048</f>
        <v>2.16</v>
      </c>
      <c r="V1048" s="63" t="n">
        <f aca="false">IFERROR(S1048/F1048,0)</f>
        <v>0.106038291605302</v>
      </c>
      <c r="W1048" s="63" t="n">
        <f aca="false">IFERROR(R1048/F1048,0)</f>
        <v>0.893961708394698</v>
      </c>
      <c r="X1048" s="63" t="n">
        <f aca="false">IFERROR(T1048/F1048,0)</f>
        <v>0.105056455571919</v>
      </c>
      <c r="Y1048" s="63" t="n">
        <f aca="false">IFERROR(G1048/F1048,0)</f>
        <v>0</v>
      </c>
      <c r="Z1048" s="59" t="n">
        <f aca="false">IF(E1048&gt;0,F1048*1000000000/E1048,"")</f>
        <v>1946.98876251994</v>
      </c>
      <c r="AA1048" s="63" t="n">
        <f aca="false">IFERROR((R1048+S1048+J1048)/F1048,0)</f>
        <v>1</v>
      </c>
      <c r="AB1048" s="0" t="str">
        <f aca="false">A1048&amp;"|"&amp;D1048</f>
        <v>Jordan|2018</v>
      </c>
    </row>
    <row r="1049" customFormat="false" ht="15" hidden="false" customHeight="false" outlineLevel="0" collapsed="false">
      <c r="A1049" s="0" t="s">
        <v>280</v>
      </c>
      <c r="B1049" s="0" t="s">
        <v>519</v>
      </c>
      <c r="C1049" s="0" t="s">
        <v>127</v>
      </c>
      <c r="D1049" s="0" t="n">
        <v>2019</v>
      </c>
      <c r="E1049" s="59" t="n">
        <v>10671893</v>
      </c>
      <c r="F1049" s="60" t="n">
        <v>20.53</v>
      </c>
      <c r="G1049" s="61" t="n">
        <v>0</v>
      </c>
      <c r="H1049" s="61" t="n">
        <v>16.66</v>
      </c>
      <c r="I1049" s="61" t="n">
        <v>0.91</v>
      </c>
      <c r="J1049" s="61" t="n">
        <v>0</v>
      </c>
      <c r="K1049" s="61" t="n">
        <v>0.02</v>
      </c>
      <c r="L1049" s="61" t="n">
        <v>2.06</v>
      </c>
      <c r="M1049" s="61" t="n">
        <v>0.88</v>
      </c>
      <c r="N1049" s="61" t="n">
        <v>0</v>
      </c>
      <c r="O1049" s="61" t="n">
        <v>0</v>
      </c>
      <c r="P1049" s="62" t="n">
        <v>596.7</v>
      </c>
      <c r="Q1049" s="0" t="n">
        <v>0</v>
      </c>
      <c r="R1049" s="60" t="n">
        <f aca="false">G1049+H1049+I1049</f>
        <v>17.57</v>
      </c>
      <c r="S1049" s="60" t="n">
        <f aca="false">K1049+L1049+M1049+N1049+O1049</f>
        <v>2.96</v>
      </c>
      <c r="T1049" s="60" t="n">
        <f aca="false">L1049+M1049</f>
        <v>2.94</v>
      </c>
      <c r="U1049" s="60" t="n">
        <f aca="false">S1049+J1049</f>
        <v>2.96</v>
      </c>
      <c r="V1049" s="63" t="n">
        <f aca="false">IFERROR(S1049/F1049,0)</f>
        <v>0.144179249878227</v>
      </c>
      <c r="W1049" s="63" t="n">
        <f aca="false">IFERROR(R1049/F1049,0)</f>
        <v>0.855820750121773</v>
      </c>
      <c r="X1049" s="63" t="n">
        <f aca="false">IFERROR(T1049/F1049,0)</f>
        <v>0.143205065757428</v>
      </c>
      <c r="Y1049" s="63" t="n">
        <f aca="false">IFERROR(G1049/F1049,0)</f>
        <v>0</v>
      </c>
      <c r="Z1049" s="59" t="n">
        <f aca="false">IF(E1049&gt;0,F1049*1000000000/E1049,"")</f>
        <v>1923.74492510373</v>
      </c>
      <c r="AA1049" s="63" t="n">
        <f aca="false">IFERROR((R1049+S1049+J1049)/F1049,0)</f>
        <v>1</v>
      </c>
      <c r="AB1049" s="0" t="str">
        <f aca="false">A1049&amp;"|"&amp;D1049</f>
        <v>Jordan|2019</v>
      </c>
    </row>
    <row r="1050" customFormat="false" ht="15" hidden="false" customHeight="false" outlineLevel="0" collapsed="false">
      <c r="A1050" s="0" t="s">
        <v>280</v>
      </c>
      <c r="B1050" s="0" t="s">
        <v>519</v>
      </c>
      <c r="C1050" s="0" t="s">
        <v>127</v>
      </c>
      <c r="D1050" s="0" t="n">
        <v>2020</v>
      </c>
      <c r="E1050" s="59" t="n">
        <v>10865232</v>
      </c>
      <c r="F1050" s="60" t="n">
        <v>20.7</v>
      </c>
      <c r="G1050" s="61" t="n">
        <v>0</v>
      </c>
      <c r="H1050" s="61" t="n">
        <v>15.95</v>
      </c>
      <c r="I1050" s="61" t="n">
        <v>0.83</v>
      </c>
      <c r="J1050" s="61" t="n">
        <v>0</v>
      </c>
      <c r="K1050" s="61" t="n">
        <v>0.02</v>
      </c>
      <c r="L1050" s="61" t="n">
        <v>2.52</v>
      </c>
      <c r="M1050" s="61" t="n">
        <v>1.38</v>
      </c>
      <c r="N1050" s="61" t="n">
        <v>0</v>
      </c>
      <c r="O1050" s="61" t="n">
        <v>0</v>
      </c>
      <c r="P1050" s="62" t="n">
        <v>566.7</v>
      </c>
      <c r="Q1050" s="0" t="n">
        <v>0</v>
      </c>
      <c r="R1050" s="60" t="n">
        <f aca="false">G1050+H1050+I1050</f>
        <v>16.78</v>
      </c>
      <c r="S1050" s="60" t="n">
        <f aca="false">K1050+L1050+M1050+N1050+O1050</f>
        <v>3.92</v>
      </c>
      <c r="T1050" s="60" t="n">
        <f aca="false">L1050+M1050</f>
        <v>3.9</v>
      </c>
      <c r="U1050" s="60" t="n">
        <f aca="false">S1050+J1050</f>
        <v>3.92</v>
      </c>
      <c r="V1050" s="63" t="n">
        <f aca="false">IFERROR(S1050/F1050,0)</f>
        <v>0.189371980676329</v>
      </c>
      <c r="W1050" s="63" t="n">
        <f aca="false">IFERROR(R1050/F1050,0)</f>
        <v>0.810628019323672</v>
      </c>
      <c r="X1050" s="63" t="n">
        <f aca="false">IFERROR(T1050/F1050,0)</f>
        <v>0.188405797101449</v>
      </c>
      <c r="Y1050" s="63" t="n">
        <f aca="false">IFERROR(G1050/F1050,0)</f>
        <v>0</v>
      </c>
      <c r="Z1050" s="59" t="n">
        <f aca="false">IF(E1050&gt;0,F1050*1000000000/E1050,"")</f>
        <v>1905.15950326693</v>
      </c>
      <c r="AA1050" s="63" t="n">
        <f aca="false">IFERROR((R1050+S1050+J1050)/F1050,0)</f>
        <v>1</v>
      </c>
      <c r="AB1050" s="0" t="str">
        <f aca="false">A1050&amp;"|"&amp;D1050</f>
        <v>Jordan|2020</v>
      </c>
    </row>
    <row r="1051" customFormat="false" ht="15" hidden="false" customHeight="false" outlineLevel="0" collapsed="false">
      <c r="A1051" s="0" t="s">
        <v>280</v>
      </c>
      <c r="B1051" s="0" t="s">
        <v>519</v>
      </c>
      <c r="C1051" s="0" t="s">
        <v>127</v>
      </c>
      <c r="D1051" s="0" t="n">
        <v>2021</v>
      </c>
      <c r="E1051" s="59" t="n">
        <v>11066356</v>
      </c>
      <c r="F1051" s="60" t="n">
        <v>21.36</v>
      </c>
      <c r="G1051" s="61" t="n">
        <v>0</v>
      </c>
      <c r="H1051" s="61" t="n">
        <v>15.52</v>
      </c>
      <c r="I1051" s="61" t="n">
        <v>0.93</v>
      </c>
      <c r="J1051" s="61" t="n">
        <v>0</v>
      </c>
      <c r="K1051" s="61" t="n">
        <v>0.02</v>
      </c>
      <c r="L1051" s="61" t="n">
        <v>3.29</v>
      </c>
      <c r="M1051" s="61" t="n">
        <v>1.6</v>
      </c>
      <c r="N1051" s="61" t="n">
        <v>0</v>
      </c>
      <c r="O1051" s="61" t="n">
        <v>0</v>
      </c>
      <c r="P1051" s="62" t="n">
        <v>540.3</v>
      </c>
      <c r="Q1051" s="0" t="n">
        <v>0</v>
      </c>
      <c r="R1051" s="60" t="n">
        <f aca="false">G1051+H1051+I1051</f>
        <v>16.45</v>
      </c>
      <c r="S1051" s="60" t="n">
        <f aca="false">K1051+L1051+M1051+N1051+O1051</f>
        <v>4.91</v>
      </c>
      <c r="T1051" s="60" t="n">
        <f aca="false">L1051+M1051</f>
        <v>4.89</v>
      </c>
      <c r="U1051" s="60" t="n">
        <f aca="false">S1051+J1051</f>
        <v>4.91</v>
      </c>
      <c r="V1051" s="63" t="n">
        <f aca="false">IFERROR(S1051/F1051,0)</f>
        <v>0.229868913857678</v>
      </c>
      <c r="W1051" s="63" t="n">
        <f aca="false">IFERROR(R1051/F1051,0)</f>
        <v>0.770131086142322</v>
      </c>
      <c r="X1051" s="63" t="n">
        <f aca="false">IFERROR(T1051/F1051,0)</f>
        <v>0.228932584269663</v>
      </c>
      <c r="Y1051" s="63" t="n">
        <f aca="false">IFERROR(G1051/F1051,0)</f>
        <v>0</v>
      </c>
      <c r="Z1051" s="59" t="n">
        <f aca="false">IF(E1051&gt;0,F1051*1000000000/E1051,"")</f>
        <v>1930.17466634907</v>
      </c>
      <c r="AA1051" s="63" t="n">
        <f aca="false">IFERROR((R1051+S1051+J1051)/F1051,0)</f>
        <v>1</v>
      </c>
      <c r="AB1051" s="0" t="str">
        <f aca="false">A1051&amp;"|"&amp;D1051</f>
        <v>Jordan|2021</v>
      </c>
    </row>
    <row r="1052" customFormat="false" ht="15" hidden="false" customHeight="false" outlineLevel="0" collapsed="false">
      <c r="A1052" s="0" t="s">
        <v>280</v>
      </c>
      <c r="B1052" s="0" t="s">
        <v>519</v>
      </c>
      <c r="C1052" s="0" t="s">
        <v>127</v>
      </c>
      <c r="D1052" s="0" t="n">
        <v>2022</v>
      </c>
      <c r="E1052" s="59" t="n">
        <v>11256269</v>
      </c>
      <c r="F1052" s="60" t="n">
        <v>22.57</v>
      </c>
      <c r="G1052" s="61" t="n">
        <v>0</v>
      </c>
      <c r="H1052" s="61" t="n">
        <v>16.49</v>
      </c>
      <c r="I1052" s="61" t="n">
        <v>0.86</v>
      </c>
      <c r="J1052" s="61" t="n">
        <v>0</v>
      </c>
      <c r="K1052" s="61" t="n">
        <v>0.02</v>
      </c>
      <c r="L1052" s="61" t="n">
        <v>3.45</v>
      </c>
      <c r="M1052" s="61" t="n">
        <v>1.75</v>
      </c>
      <c r="N1052" s="61" t="n">
        <v>0</v>
      </c>
      <c r="O1052" s="61" t="n">
        <v>0</v>
      </c>
      <c r="P1052" s="62" t="n">
        <v>539.2</v>
      </c>
      <c r="Q1052" s="0" t="n">
        <v>0</v>
      </c>
      <c r="R1052" s="60" t="n">
        <f aca="false">G1052+H1052+I1052</f>
        <v>17.35</v>
      </c>
      <c r="S1052" s="60" t="n">
        <f aca="false">K1052+L1052+M1052+N1052+O1052</f>
        <v>5.22</v>
      </c>
      <c r="T1052" s="60" t="n">
        <f aca="false">L1052+M1052</f>
        <v>5.2</v>
      </c>
      <c r="U1052" s="60" t="n">
        <f aca="false">S1052+J1052</f>
        <v>5.22</v>
      </c>
      <c r="V1052" s="63" t="n">
        <f aca="false">IFERROR(S1052/F1052,0)</f>
        <v>0.231280460788658</v>
      </c>
      <c r="W1052" s="63" t="n">
        <f aca="false">IFERROR(R1052/F1052,0)</f>
        <v>0.768719539211342</v>
      </c>
      <c r="X1052" s="63" t="n">
        <f aca="false">IFERROR(T1052/F1052,0)</f>
        <v>0.230394328754985</v>
      </c>
      <c r="Y1052" s="63" t="n">
        <f aca="false">IFERROR(G1052/F1052,0)</f>
        <v>0</v>
      </c>
      <c r="Z1052" s="59" t="n">
        <f aca="false">IF(E1052&gt;0,F1052*1000000000/E1052,"")</f>
        <v>2005.10488866249</v>
      </c>
      <c r="AA1052" s="63" t="n">
        <f aca="false">IFERROR((R1052+S1052+J1052)/F1052,0)</f>
        <v>1</v>
      </c>
      <c r="AB1052" s="0" t="str">
        <f aca="false">A1052&amp;"|"&amp;D1052</f>
        <v>Jordan|2022</v>
      </c>
    </row>
    <row r="1053" customFormat="false" ht="15" hidden="false" customHeight="false" outlineLevel="0" collapsed="false">
      <c r="A1053" s="0" t="s">
        <v>280</v>
      </c>
      <c r="B1053" s="0" t="s">
        <v>519</v>
      </c>
      <c r="C1053" s="0" t="s">
        <v>127</v>
      </c>
      <c r="D1053" s="0" t="n">
        <v>2023</v>
      </c>
      <c r="E1053" s="59" t="n">
        <v>11439220</v>
      </c>
      <c r="F1053" s="60" t="n">
        <v>23.77</v>
      </c>
      <c r="G1053" s="61" t="n">
        <v>0</v>
      </c>
      <c r="H1053" s="61" t="n">
        <v>14.67</v>
      </c>
      <c r="I1053" s="61" t="n">
        <v>3.88</v>
      </c>
      <c r="J1053" s="61" t="n">
        <v>0</v>
      </c>
      <c r="K1053" s="61" t="n">
        <v>0.02</v>
      </c>
      <c r="L1053" s="61" t="n">
        <v>3.45</v>
      </c>
      <c r="M1053" s="61" t="n">
        <v>1.75</v>
      </c>
      <c r="N1053" s="61" t="n">
        <v>0</v>
      </c>
      <c r="O1053" s="61" t="n">
        <v>0</v>
      </c>
      <c r="P1053" s="62" t="n">
        <v>542.3</v>
      </c>
      <c r="Q1053" s="0" t="n">
        <v>0</v>
      </c>
      <c r="R1053" s="60" t="n">
        <f aca="false">G1053+H1053+I1053</f>
        <v>18.55</v>
      </c>
      <c r="S1053" s="60" t="n">
        <f aca="false">K1053+L1053+M1053+N1053+O1053</f>
        <v>5.22</v>
      </c>
      <c r="T1053" s="60" t="n">
        <f aca="false">L1053+M1053</f>
        <v>5.2</v>
      </c>
      <c r="U1053" s="60" t="n">
        <f aca="false">S1053+J1053</f>
        <v>5.22</v>
      </c>
      <c r="V1053" s="63" t="n">
        <f aca="false">IFERROR(S1053/F1053,0)</f>
        <v>0.21960454354228</v>
      </c>
      <c r="W1053" s="63" t="n">
        <f aca="false">IFERROR(R1053/F1053,0)</f>
        <v>0.78039545645772</v>
      </c>
      <c r="X1053" s="63" t="n">
        <f aca="false">IFERROR(T1053/F1053,0)</f>
        <v>0.218763146823727</v>
      </c>
      <c r="Y1053" s="63" t="n">
        <f aca="false">IFERROR(G1053/F1053,0)</f>
        <v>0</v>
      </c>
      <c r="Z1053" s="59" t="n">
        <f aca="false">IF(E1053&gt;0,F1053*1000000000/E1053,"")</f>
        <v>2077.93888044814</v>
      </c>
      <c r="AA1053" s="63" t="n">
        <f aca="false">IFERROR((R1053+S1053+J1053)/F1053,0)</f>
        <v>1</v>
      </c>
      <c r="AB1053" s="0" t="str">
        <f aca="false">A1053&amp;"|"&amp;D1053</f>
        <v>Jordan|2023</v>
      </c>
    </row>
    <row r="1054" customFormat="false" ht="15" hidden="false" customHeight="false" outlineLevel="0" collapsed="false">
      <c r="A1054" s="0" t="s">
        <v>280</v>
      </c>
      <c r="B1054" s="0" t="s">
        <v>519</v>
      </c>
      <c r="C1054" s="0" t="s">
        <v>127</v>
      </c>
      <c r="D1054" s="0" t="n">
        <v>2024</v>
      </c>
      <c r="E1054" s="59" t="n">
        <v>11552885</v>
      </c>
      <c r="F1054" s="60" t="n">
        <v>23.67</v>
      </c>
      <c r="G1054" s="61" t="n">
        <v>0</v>
      </c>
      <c r="H1054" s="61" t="n">
        <v>14.67</v>
      </c>
      <c r="I1054" s="61" t="n">
        <v>3.3</v>
      </c>
      <c r="J1054" s="61" t="n">
        <v>0</v>
      </c>
      <c r="K1054" s="61" t="n">
        <v>0.02</v>
      </c>
      <c r="L1054" s="61" t="n">
        <v>3.93</v>
      </c>
      <c r="M1054" s="61" t="n">
        <v>1.75</v>
      </c>
      <c r="N1054" s="61" t="n">
        <v>0</v>
      </c>
      <c r="O1054" s="61" t="n">
        <v>0</v>
      </c>
      <c r="P1054" s="62" t="n">
        <v>529.8</v>
      </c>
      <c r="Q1054" s="0" t="n">
        <v>0</v>
      </c>
      <c r="R1054" s="60" t="n">
        <f aca="false">G1054+H1054+I1054</f>
        <v>17.97</v>
      </c>
      <c r="S1054" s="60" t="n">
        <f aca="false">K1054+L1054+M1054+N1054+O1054</f>
        <v>5.7</v>
      </c>
      <c r="T1054" s="60" t="n">
        <f aca="false">L1054+M1054</f>
        <v>5.68</v>
      </c>
      <c r="U1054" s="60" t="n">
        <f aca="false">S1054+J1054</f>
        <v>5.7</v>
      </c>
      <c r="V1054" s="63" t="n">
        <f aca="false">IFERROR(S1054/F1054,0)</f>
        <v>0.240811153358682</v>
      </c>
      <c r="W1054" s="63" t="n">
        <f aca="false">IFERROR(R1054/F1054,0)</f>
        <v>0.759188846641318</v>
      </c>
      <c r="X1054" s="63" t="n">
        <f aca="false">IFERROR(T1054/F1054,0)</f>
        <v>0.239966201943388</v>
      </c>
      <c r="Y1054" s="63" t="n">
        <f aca="false">IFERROR(G1054/F1054,0)</f>
        <v>0</v>
      </c>
      <c r="Z1054" s="59" t="n">
        <f aca="false">IF(E1054&gt;0,F1054*1000000000/E1054,"")</f>
        <v>2048.83888310149</v>
      </c>
      <c r="AA1054" s="63" t="n">
        <f aca="false">IFERROR((R1054+S1054+J1054)/F1054,0)</f>
        <v>1</v>
      </c>
      <c r="AB1054" s="0" t="str">
        <f aca="false">A1054&amp;"|"&amp;D1054</f>
        <v>Jordan|2024</v>
      </c>
    </row>
    <row r="1055" customFormat="false" ht="15" hidden="false" customHeight="false" outlineLevel="0" collapsed="false">
      <c r="A1055" s="0" t="s">
        <v>281</v>
      </c>
      <c r="B1055" s="0" t="s">
        <v>520</v>
      </c>
      <c r="C1055" s="0" t="s">
        <v>127</v>
      </c>
      <c r="D1055" s="0" t="n">
        <v>2015</v>
      </c>
      <c r="E1055" s="59" t="n">
        <v>18084175</v>
      </c>
      <c r="F1055" s="60" t="n">
        <v>91.65</v>
      </c>
      <c r="G1055" s="61" t="n">
        <v>64.73</v>
      </c>
      <c r="H1055" s="61" t="n">
        <v>16.09</v>
      </c>
      <c r="I1055" s="61" t="n">
        <v>1.38</v>
      </c>
      <c r="J1055" s="61" t="n">
        <v>0</v>
      </c>
      <c r="K1055" s="61" t="n">
        <v>9.27</v>
      </c>
      <c r="L1055" s="61" t="n">
        <v>0.05</v>
      </c>
      <c r="M1055" s="61" t="n">
        <v>0.13</v>
      </c>
      <c r="N1055" s="61" t="n">
        <v>0</v>
      </c>
      <c r="O1055" s="61" t="n">
        <v>0</v>
      </c>
      <c r="P1055" s="62" t="n">
        <v>836.1</v>
      </c>
      <c r="Q1055" s="0" t="n">
        <v>1</v>
      </c>
      <c r="R1055" s="60" t="n">
        <f aca="false">G1055+H1055+I1055</f>
        <v>82.2</v>
      </c>
      <c r="S1055" s="60" t="n">
        <f aca="false">K1055+L1055+M1055+N1055+O1055</f>
        <v>9.45</v>
      </c>
      <c r="T1055" s="60" t="n">
        <f aca="false">L1055+M1055</f>
        <v>0.18</v>
      </c>
      <c r="U1055" s="60" t="n">
        <f aca="false">S1055+J1055</f>
        <v>9.45</v>
      </c>
      <c r="V1055" s="63" t="n">
        <f aca="false">IFERROR(S1055/F1055,0)</f>
        <v>0.103109656301146</v>
      </c>
      <c r="W1055" s="63" t="n">
        <f aca="false">IFERROR(R1055/F1055,0)</f>
        <v>0.896890343698854</v>
      </c>
      <c r="X1055" s="63" t="n">
        <f aca="false">IFERROR(T1055/F1055,0)</f>
        <v>0.00196399345335516</v>
      </c>
      <c r="Y1055" s="63" t="n">
        <f aca="false">IFERROR(G1055/F1055,0)</f>
        <v>0.706273867975996</v>
      </c>
      <c r="Z1055" s="59" t="n">
        <f aca="false">IF(E1055&gt;0,F1055*1000000000/E1055,"")</f>
        <v>5067.9668826474</v>
      </c>
      <c r="AA1055" s="63" t="n">
        <f aca="false">IFERROR((R1055+S1055+J1055)/F1055,0)</f>
        <v>1</v>
      </c>
      <c r="AB1055" s="0" t="str">
        <f aca="false">A1055&amp;"|"&amp;D1055</f>
        <v>Kazakhstan|2015</v>
      </c>
    </row>
    <row r="1056" customFormat="false" ht="15" hidden="false" customHeight="false" outlineLevel="0" collapsed="false">
      <c r="A1056" s="0" t="s">
        <v>281</v>
      </c>
      <c r="B1056" s="0" t="s">
        <v>520</v>
      </c>
      <c r="C1056" s="0" t="s">
        <v>127</v>
      </c>
      <c r="D1056" s="0" t="n">
        <v>2016</v>
      </c>
      <c r="E1056" s="59" t="n">
        <v>18363600</v>
      </c>
      <c r="F1056" s="60" t="n">
        <v>94.63</v>
      </c>
      <c r="G1056" s="61" t="n">
        <v>63.15</v>
      </c>
      <c r="H1056" s="61" t="n">
        <v>17.55</v>
      </c>
      <c r="I1056" s="61" t="n">
        <v>1.95</v>
      </c>
      <c r="J1056" s="61" t="n">
        <v>0</v>
      </c>
      <c r="K1056" s="61" t="n">
        <v>11.62</v>
      </c>
      <c r="L1056" s="61" t="n">
        <v>0.09</v>
      </c>
      <c r="M1056" s="61" t="n">
        <v>0.27</v>
      </c>
      <c r="N1056" s="61" t="n">
        <v>0</v>
      </c>
      <c r="O1056" s="61" t="n">
        <v>0</v>
      </c>
      <c r="P1056" s="62" t="n">
        <v>815</v>
      </c>
      <c r="Q1056" s="0" t="n">
        <v>1</v>
      </c>
      <c r="R1056" s="60" t="n">
        <f aca="false">G1056+H1056+I1056</f>
        <v>82.65</v>
      </c>
      <c r="S1056" s="60" t="n">
        <f aca="false">K1056+L1056+M1056+N1056+O1056</f>
        <v>11.98</v>
      </c>
      <c r="T1056" s="60" t="n">
        <f aca="false">L1056+M1056</f>
        <v>0.36</v>
      </c>
      <c r="U1056" s="60" t="n">
        <f aca="false">S1056+J1056</f>
        <v>11.98</v>
      </c>
      <c r="V1056" s="63" t="n">
        <f aca="false">IFERROR(S1056/F1056,0)</f>
        <v>0.126598330339216</v>
      </c>
      <c r="W1056" s="63" t="n">
        <f aca="false">IFERROR(R1056/F1056,0)</f>
        <v>0.873401669660784</v>
      </c>
      <c r="X1056" s="63" t="n">
        <f aca="false">IFERROR(T1056/F1056,0)</f>
        <v>0.00380429039416676</v>
      </c>
      <c r="Y1056" s="63" t="n">
        <f aca="false">IFERROR(G1056/F1056,0)</f>
        <v>0.667335939976752</v>
      </c>
      <c r="Z1056" s="59" t="n">
        <f aca="false">IF(E1056&gt;0,F1056*1000000000/E1056,"")</f>
        <v>5153.12901609706</v>
      </c>
      <c r="AA1056" s="63" t="n">
        <f aca="false">IFERROR((R1056+S1056+J1056)/F1056,0)</f>
        <v>1</v>
      </c>
      <c r="AB1056" s="0" t="str">
        <f aca="false">A1056&amp;"|"&amp;D1056</f>
        <v>Kazakhstan|2016</v>
      </c>
    </row>
    <row r="1057" customFormat="false" ht="15" hidden="false" customHeight="false" outlineLevel="0" collapsed="false">
      <c r="A1057" s="0" t="s">
        <v>281</v>
      </c>
      <c r="B1057" s="0" t="s">
        <v>520</v>
      </c>
      <c r="C1057" s="0" t="s">
        <v>127</v>
      </c>
      <c r="D1057" s="0" t="n">
        <v>2017</v>
      </c>
      <c r="E1057" s="59" t="n">
        <v>18651931</v>
      </c>
      <c r="F1057" s="60" t="n">
        <v>103.12</v>
      </c>
      <c r="G1057" s="61" t="n">
        <v>70.53</v>
      </c>
      <c r="H1057" s="61" t="n">
        <v>20.19</v>
      </c>
      <c r="I1057" s="61" t="n">
        <v>0.76</v>
      </c>
      <c r="J1057" s="61" t="n">
        <v>0</v>
      </c>
      <c r="K1057" s="61" t="n">
        <v>11.21</v>
      </c>
      <c r="L1057" s="61" t="n">
        <v>0.09</v>
      </c>
      <c r="M1057" s="61" t="n">
        <v>0.34</v>
      </c>
      <c r="N1057" s="61" t="n">
        <v>0</v>
      </c>
      <c r="O1057" s="61" t="n">
        <v>0</v>
      </c>
      <c r="P1057" s="62" t="n">
        <v>831.9</v>
      </c>
      <c r="Q1057" s="0" t="n">
        <v>1</v>
      </c>
      <c r="R1057" s="60" t="n">
        <f aca="false">G1057+H1057+I1057</f>
        <v>91.48</v>
      </c>
      <c r="S1057" s="60" t="n">
        <f aca="false">K1057+L1057+M1057+N1057+O1057</f>
        <v>11.64</v>
      </c>
      <c r="T1057" s="60" t="n">
        <f aca="false">L1057+M1057</f>
        <v>0.43</v>
      </c>
      <c r="U1057" s="60" t="n">
        <f aca="false">S1057+J1057</f>
        <v>11.64</v>
      </c>
      <c r="V1057" s="63" t="n">
        <f aca="false">IFERROR(S1057/F1057,0)</f>
        <v>0.112878200155159</v>
      </c>
      <c r="W1057" s="63" t="n">
        <f aca="false">IFERROR(R1057/F1057,0)</f>
        <v>0.887121799844841</v>
      </c>
      <c r="X1057" s="63" t="n">
        <f aca="false">IFERROR(T1057/F1057,0)</f>
        <v>0.00416989914662529</v>
      </c>
      <c r="Y1057" s="63" t="n">
        <f aca="false">IFERROR(G1057/F1057,0)</f>
        <v>0.683960434445306</v>
      </c>
      <c r="Z1057" s="59" t="n">
        <f aca="false">IF(E1057&gt;0,F1057*1000000000/E1057,"")</f>
        <v>5528.65008990222</v>
      </c>
      <c r="AA1057" s="63" t="n">
        <f aca="false">IFERROR((R1057+S1057+J1057)/F1057,0)</f>
        <v>1</v>
      </c>
      <c r="AB1057" s="0" t="str">
        <f aca="false">A1057&amp;"|"&amp;D1057</f>
        <v>Kazakhstan|2017</v>
      </c>
    </row>
    <row r="1058" customFormat="false" ht="15" hidden="false" customHeight="false" outlineLevel="0" collapsed="false">
      <c r="A1058" s="0" t="s">
        <v>281</v>
      </c>
      <c r="B1058" s="0" t="s">
        <v>520</v>
      </c>
      <c r="C1058" s="0" t="s">
        <v>127</v>
      </c>
      <c r="D1058" s="0" t="n">
        <v>2018</v>
      </c>
      <c r="E1058" s="59" t="n">
        <v>18932725</v>
      </c>
      <c r="F1058" s="60" t="n">
        <v>107.28</v>
      </c>
      <c r="G1058" s="61" t="n">
        <v>75.72</v>
      </c>
      <c r="H1058" s="61" t="n">
        <v>19.92</v>
      </c>
      <c r="I1058" s="61" t="n">
        <v>0.73</v>
      </c>
      <c r="J1058" s="61" t="n">
        <v>0</v>
      </c>
      <c r="K1058" s="61" t="n">
        <v>10.38</v>
      </c>
      <c r="L1058" s="61" t="n">
        <v>0.14</v>
      </c>
      <c r="M1058" s="61" t="n">
        <v>0.39</v>
      </c>
      <c r="N1058" s="61" t="n">
        <v>0</v>
      </c>
      <c r="O1058" s="61" t="n">
        <v>0</v>
      </c>
      <c r="P1058" s="62" t="n">
        <v>841.2</v>
      </c>
      <c r="Q1058" s="0" t="n">
        <v>1</v>
      </c>
      <c r="R1058" s="60" t="n">
        <f aca="false">G1058+H1058+I1058</f>
        <v>96.37</v>
      </c>
      <c r="S1058" s="60" t="n">
        <f aca="false">K1058+L1058+M1058+N1058+O1058</f>
        <v>10.91</v>
      </c>
      <c r="T1058" s="60" t="n">
        <f aca="false">L1058+M1058</f>
        <v>0.53</v>
      </c>
      <c r="U1058" s="60" t="n">
        <f aca="false">S1058+J1058</f>
        <v>10.91</v>
      </c>
      <c r="V1058" s="63" t="n">
        <f aca="false">IFERROR(S1058/F1058,0)</f>
        <v>0.101696495152871</v>
      </c>
      <c r="W1058" s="63" t="n">
        <f aca="false">IFERROR(R1058/F1058,0)</f>
        <v>0.898303504847129</v>
      </c>
      <c r="X1058" s="63" t="n">
        <f aca="false">IFERROR(T1058/F1058,0)</f>
        <v>0.00494034302759135</v>
      </c>
      <c r="Y1058" s="63" t="n">
        <f aca="false">IFERROR(G1058/F1058,0)</f>
        <v>0.705816554809843</v>
      </c>
      <c r="Z1058" s="59" t="n">
        <f aca="false">IF(E1058&gt;0,F1058*1000000000/E1058,"")</f>
        <v>5666.37924545991</v>
      </c>
      <c r="AA1058" s="63" t="n">
        <f aca="false">IFERROR((R1058+S1058+J1058)/F1058,0)</f>
        <v>1</v>
      </c>
      <c r="AB1058" s="0" t="str">
        <f aca="false">A1058&amp;"|"&amp;D1058</f>
        <v>Kazakhstan|2018</v>
      </c>
    </row>
    <row r="1059" customFormat="false" ht="15" hidden="false" customHeight="false" outlineLevel="0" collapsed="false">
      <c r="A1059" s="0" t="s">
        <v>281</v>
      </c>
      <c r="B1059" s="0" t="s">
        <v>520</v>
      </c>
      <c r="C1059" s="0" t="s">
        <v>127</v>
      </c>
      <c r="D1059" s="0" t="n">
        <v>2019</v>
      </c>
      <c r="E1059" s="59" t="n">
        <v>19209556</v>
      </c>
      <c r="F1059" s="60" t="n">
        <v>106.48</v>
      </c>
      <c r="G1059" s="61" t="n">
        <v>74.93</v>
      </c>
      <c r="H1059" s="61" t="n">
        <v>19.84</v>
      </c>
      <c r="I1059" s="61" t="n">
        <v>0.62</v>
      </c>
      <c r="J1059" s="61" t="n">
        <v>0</v>
      </c>
      <c r="K1059" s="61" t="n">
        <v>9.99</v>
      </c>
      <c r="L1059" s="61" t="n">
        <v>0.39</v>
      </c>
      <c r="M1059" s="61" t="n">
        <v>0.71</v>
      </c>
      <c r="N1059" s="61" t="n">
        <v>0</v>
      </c>
      <c r="O1059" s="61" t="n">
        <v>0</v>
      </c>
      <c r="P1059" s="62" t="n">
        <v>839.4</v>
      </c>
      <c r="Q1059" s="0" t="n">
        <v>1</v>
      </c>
      <c r="R1059" s="60" t="n">
        <f aca="false">G1059+H1059+I1059</f>
        <v>95.39</v>
      </c>
      <c r="S1059" s="60" t="n">
        <f aca="false">K1059+L1059+M1059+N1059+O1059</f>
        <v>11.09</v>
      </c>
      <c r="T1059" s="60" t="n">
        <f aca="false">L1059+M1059</f>
        <v>1.1</v>
      </c>
      <c r="U1059" s="60" t="n">
        <f aca="false">S1059+J1059</f>
        <v>11.09</v>
      </c>
      <c r="V1059" s="63" t="n">
        <f aca="false">IFERROR(S1059/F1059,0)</f>
        <v>0.104151014274981</v>
      </c>
      <c r="W1059" s="63" t="n">
        <f aca="false">IFERROR(R1059/F1059,0)</f>
        <v>0.895848985725019</v>
      </c>
      <c r="X1059" s="63" t="n">
        <f aca="false">IFERROR(T1059/F1059,0)</f>
        <v>0.0103305785123967</v>
      </c>
      <c r="Y1059" s="63" t="n">
        <f aca="false">IFERROR(G1059/F1059,0)</f>
        <v>0.70370022539444</v>
      </c>
      <c r="Z1059" s="59" t="n">
        <f aca="false">IF(E1059&gt;0,F1059*1000000000/E1059,"")</f>
        <v>5543.07449896291</v>
      </c>
      <c r="AA1059" s="63" t="n">
        <f aca="false">IFERROR((R1059+S1059+J1059)/F1059,0)</f>
        <v>1</v>
      </c>
      <c r="AB1059" s="0" t="str">
        <f aca="false">A1059&amp;"|"&amp;D1059</f>
        <v>Kazakhstan|2019</v>
      </c>
    </row>
    <row r="1060" customFormat="false" ht="15" hidden="false" customHeight="false" outlineLevel="0" collapsed="false">
      <c r="A1060" s="0" t="s">
        <v>281</v>
      </c>
      <c r="B1060" s="0" t="s">
        <v>520</v>
      </c>
      <c r="C1060" s="0" t="s">
        <v>127</v>
      </c>
      <c r="D1060" s="0" t="n">
        <v>2020</v>
      </c>
      <c r="E1060" s="59" t="n">
        <v>19482116</v>
      </c>
      <c r="F1060" s="60" t="n">
        <v>108.64</v>
      </c>
      <c r="G1060" s="61" t="n">
        <v>73.55</v>
      </c>
      <c r="H1060" s="61" t="n">
        <v>22.51</v>
      </c>
      <c r="I1060" s="61" t="n">
        <v>0.64</v>
      </c>
      <c r="J1060" s="61" t="n">
        <v>0</v>
      </c>
      <c r="K1060" s="61" t="n">
        <v>9.66</v>
      </c>
      <c r="L1060" s="61" t="n">
        <v>1.24</v>
      </c>
      <c r="M1060" s="61" t="n">
        <v>1.03</v>
      </c>
      <c r="N1060" s="61" t="n">
        <v>0.01</v>
      </c>
      <c r="O1060" s="61" t="n">
        <v>0</v>
      </c>
      <c r="P1060" s="62" t="n">
        <v>835.9</v>
      </c>
      <c r="Q1060" s="0" t="n">
        <v>1</v>
      </c>
      <c r="R1060" s="60" t="n">
        <f aca="false">G1060+H1060+I1060</f>
        <v>96.7</v>
      </c>
      <c r="S1060" s="60" t="n">
        <f aca="false">K1060+L1060+M1060+N1060+O1060</f>
        <v>11.94</v>
      </c>
      <c r="T1060" s="60" t="n">
        <f aca="false">L1060+M1060</f>
        <v>2.27</v>
      </c>
      <c r="U1060" s="60" t="n">
        <f aca="false">S1060+J1060</f>
        <v>11.94</v>
      </c>
      <c r="V1060" s="63" t="n">
        <f aca="false">IFERROR(S1060/F1060,0)</f>
        <v>0.109904270986745</v>
      </c>
      <c r="W1060" s="63" t="n">
        <f aca="false">IFERROR(R1060/F1060,0)</f>
        <v>0.890095729013255</v>
      </c>
      <c r="X1060" s="63" t="n">
        <f aca="false">IFERROR(T1060/F1060,0)</f>
        <v>0.0208946980854197</v>
      </c>
      <c r="Y1060" s="63" t="n">
        <f aca="false">IFERROR(G1060/F1060,0)</f>
        <v>0.677006627393225</v>
      </c>
      <c r="Z1060" s="59" t="n">
        <f aca="false">IF(E1060&gt;0,F1060*1000000000/E1060,"")</f>
        <v>5576.39632163159</v>
      </c>
      <c r="AA1060" s="63" t="n">
        <f aca="false">IFERROR((R1060+S1060+J1060)/F1060,0)</f>
        <v>1</v>
      </c>
      <c r="AB1060" s="0" t="str">
        <f aca="false">A1060&amp;"|"&amp;D1060</f>
        <v>Kazakhstan|2020</v>
      </c>
    </row>
    <row r="1061" customFormat="false" ht="15" hidden="false" customHeight="false" outlineLevel="0" collapsed="false">
      <c r="A1061" s="0" t="s">
        <v>281</v>
      </c>
      <c r="B1061" s="0" t="s">
        <v>520</v>
      </c>
      <c r="C1061" s="0" t="s">
        <v>127</v>
      </c>
      <c r="D1061" s="0" t="n">
        <v>2021</v>
      </c>
      <c r="E1061" s="59" t="n">
        <v>19743607</v>
      </c>
      <c r="F1061" s="60" t="n">
        <v>115.08</v>
      </c>
      <c r="G1061" s="61" t="n">
        <v>73.8</v>
      </c>
      <c r="H1061" s="61" t="n">
        <v>26.01</v>
      </c>
      <c r="I1061" s="61" t="n">
        <v>2.68</v>
      </c>
      <c r="J1061" s="61" t="n">
        <v>0</v>
      </c>
      <c r="K1061" s="61" t="n">
        <v>9.21</v>
      </c>
      <c r="L1061" s="61" t="n">
        <v>1.63</v>
      </c>
      <c r="M1061" s="61" t="n">
        <v>1.75</v>
      </c>
      <c r="N1061" s="61" t="n">
        <v>0</v>
      </c>
      <c r="O1061" s="61" t="n">
        <v>0</v>
      </c>
      <c r="P1061" s="62" t="n">
        <v>833.2</v>
      </c>
      <c r="Q1061" s="0" t="n">
        <v>1</v>
      </c>
      <c r="R1061" s="60" t="n">
        <f aca="false">G1061+H1061+I1061</f>
        <v>102.49</v>
      </c>
      <c r="S1061" s="60" t="n">
        <f aca="false">K1061+L1061+M1061+N1061+O1061</f>
        <v>12.59</v>
      </c>
      <c r="T1061" s="60" t="n">
        <f aca="false">L1061+M1061</f>
        <v>3.38</v>
      </c>
      <c r="U1061" s="60" t="n">
        <f aca="false">S1061+J1061</f>
        <v>12.59</v>
      </c>
      <c r="V1061" s="63" t="n">
        <f aca="false">IFERROR(S1061/F1061,0)</f>
        <v>0.109402155022593</v>
      </c>
      <c r="W1061" s="63" t="n">
        <f aca="false">IFERROR(R1061/F1061,0)</f>
        <v>0.890597844977407</v>
      </c>
      <c r="X1061" s="63" t="n">
        <f aca="false">IFERROR(T1061/F1061,0)</f>
        <v>0.0293708724365659</v>
      </c>
      <c r="Y1061" s="63" t="n">
        <f aca="false">IFERROR(G1061/F1061,0)</f>
        <v>0.641293013555787</v>
      </c>
      <c r="Z1061" s="59" t="n">
        <f aca="false">IF(E1061&gt;0,F1061*1000000000/E1061,"")</f>
        <v>5828.72217827269</v>
      </c>
      <c r="AA1061" s="63" t="n">
        <f aca="false">IFERROR((R1061+S1061+J1061)/F1061,0)</f>
        <v>1</v>
      </c>
      <c r="AB1061" s="0" t="str">
        <f aca="false">A1061&amp;"|"&amp;D1061</f>
        <v>Kazakhstan|2021</v>
      </c>
    </row>
    <row r="1062" customFormat="false" ht="15" hidden="false" customHeight="false" outlineLevel="0" collapsed="false">
      <c r="A1062" s="0" t="s">
        <v>281</v>
      </c>
      <c r="B1062" s="0" t="s">
        <v>520</v>
      </c>
      <c r="C1062" s="0" t="s">
        <v>127</v>
      </c>
      <c r="D1062" s="0" t="n">
        <v>2022</v>
      </c>
      <c r="E1062" s="59" t="n">
        <v>20034612</v>
      </c>
      <c r="F1062" s="60" t="n">
        <v>113.44</v>
      </c>
      <c r="G1062" s="61" t="n">
        <v>70.52</v>
      </c>
      <c r="H1062" s="61" t="n">
        <v>28.23</v>
      </c>
      <c r="I1062" s="61" t="n">
        <v>1.41</v>
      </c>
      <c r="J1062" s="61" t="n">
        <v>0</v>
      </c>
      <c r="K1062" s="61" t="n">
        <v>9.2</v>
      </c>
      <c r="L1062" s="61" t="n">
        <v>1.77</v>
      </c>
      <c r="M1062" s="61" t="n">
        <v>2.31</v>
      </c>
      <c r="N1062" s="61" t="n">
        <v>0</v>
      </c>
      <c r="O1062" s="61" t="n">
        <v>0</v>
      </c>
      <c r="P1062" s="62" t="n">
        <v>831</v>
      </c>
      <c r="Q1062" s="0" t="n">
        <v>1</v>
      </c>
      <c r="R1062" s="60" t="n">
        <f aca="false">G1062+H1062+I1062</f>
        <v>100.16</v>
      </c>
      <c r="S1062" s="60" t="n">
        <f aca="false">K1062+L1062+M1062+N1062+O1062</f>
        <v>13.28</v>
      </c>
      <c r="T1062" s="60" t="n">
        <f aca="false">L1062+M1062</f>
        <v>4.08</v>
      </c>
      <c r="U1062" s="60" t="n">
        <f aca="false">S1062+J1062</f>
        <v>13.28</v>
      </c>
      <c r="V1062" s="63" t="n">
        <f aca="false">IFERROR(S1062/F1062,0)</f>
        <v>0.117066290550071</v>
      </c>
      <c r="W1062" s="63" t="n">
        <f aca="false">IFERROR(R1062/F1062,0)</f>
        <v>0.882933709449929</v>
      </c>
      <c r="X1062" s="63" t="n">
        <f aca="false">IFERROR(T1062/F1062,0)</f>
        <v>0.035966149506347</v>
      </c>
      <c r="Y1062" s="63" t="n">
        <f aca="false">IFERROR(G1062/F1062,0)</f>
        <v>0.621650211565585</v>
      </c>
      <c r="Z1062" s="59" t="n">
        <f aca="false">IF(E1062&gt;0,F1062*1000000000/E1062,"")</f>
        <v>5662.20099495813</v>
      </c>
      <c r="AA1062" s="63" t="n">
        <f aca="false">IFERROR((R1062+S1062+J1062)/F1062,0)</f>
        <v>1</v>
      </c>
      <c r="AB1062" s="0" t="str">
        <f aca="false">A1062&amp;"|"&amp;D1062</f>
        <v>Kazakhstan|2022</v>
      </c>
    </row>
    <row r="1063" customFormat="false" ht="15" hidden="false" customHeight="false" outlineLevel="0" collapsed="false">
      <c r="A1063" s="0" t="s">
        <v>281</v>
      </c>
      <c r="B1063" s="0" t="s">
        <v>520</v>
      </c>
      <c r="C1063" s="0" t="s">
        <v>127</v>
      </c>
      <c r="D1063" s="0" t="n">
        <v>2023</v>
      </c>
      <c r="E1063" s="59" t="n">
        <v>20330109</v>
      </c>
      <c r="F1063" s="60" t="n">
        <v>113.59</v>
      </c>
      <c r="G1063" s="61" t="n">
        <v>65.25</v>
      </c>
      <c r="H1063" s="61" t="n">
        <v>33.25</v>
      </c>
      <c r="I1063" s="61" t="n">
        <v>0.63</v>
      </c>
      <c r="J1063" s="61" t="n">
        <v>0</v>
      </c>
      <c r="K1063" s="61" t="n">
        <v>8.8</v>
      </c>
      <c r="L1063" s="61" t="n">
        <v>1.87</v>
      </c>
      <c r="M1063" s="61" t="n">
        <v>3.78</v>
      </c>
      <c r="N1063" s="61" t="n">
        <v>0.01</v>
      </c>
      <c r="O1063" s="61" t="n">
        <v>0</v>
      </c>
      <c r="P1063" s="62" t="n">
        <v>826.7</v>
      </c>
      <c r="Q1063" s="0" t="n">
        <v>1</v>
      </c>
      <c r="R1063" s="60" t="n">
        <f aca="false">G1063+H1063+I1063</f>
        <v>99.13</v>
      </c>
      <c r="S1063" s="60" t="n">
        <f aca="false">K1063+L1063+M1063+N1063+O1063</f>
        <v>14.46</v>
      </c>
      <c r="T1063" s="60" t="n">
        <f aca="false">L1063+M1063</f>
        <v>5.65</v>
      </c>
      <c r="U1063" s="60" t="n">
        <f aca="false">S1063+J1063</f>
        <v>14.46</v>
      </c>
      <c r="V1063" s="63" t="n">
        <f aca="false">IFERROR(S1063/F1063,0)</f>
        <v>0.127299938374857</v>
      </c>
      <c r="W1063" s="63" t="n">
        <f aca="false">IFERROR(R1063/F1063,0)</f>
        <v>0.872700061625143</v>
      </c>
      <c r="X1063" s="63" t="n">
        <f aca="false">IFERROR(T1063/F1063,0)</f>
        <v>0.0497402940399683</v>
      </c>
      <c r="Y1063" s="63" t="n">
        <f aca="false">IFERROR(G1063/F1063,0)</f>
        <v>0.574434369222643</v>
      </c>
      <c r="Z1063" s="59" t="n">
        <f aca="false">IF(E1063&gt;0,F1063*1000000000/E1063,"")</f>
        <v>5587.27943859032</v>
      </c>
      <c r="AA1063" s="63" t="n">
        <f aca="false">IFERROR((R1063+S1063+J1063)/F1063,0)</f>
        <v>1</v>
      </c>
      <c r="AB1063" s="0" t="str">
        <f aca="false">A1063&amp;"|"&amp;D1063</f>
        <v>Kazakhstan|2023</v>
      </c>
    </row>
    <row r="1064" customFormat="false" ht="15" hidden="false" customHeight="false" outlineLevel="0" collapsed="false">
      <c r="A1064" s="0" t="s">
        <v>281</v>
      </c>
      <c r="B1064" s="0" t="s">
        <v>520</v>
      </c>
      <c r="C1064" s="0" t="s">
        <v>127</v>
      </c>
      <c r="D1064" s="0" t="n">
        <v>2024</v>
      </c>
      <c r="E1064" s="59" t="n">
        <v>20592574</v>
      </c>
      <c r="F1064" s="60" t="n">
        <v>118.51</v>
      </c>
      <c r="G1064" s="61" t="n">
        <v>64.03</v>
      </c>
      <c r="H1064" s="61" t="n">
        <v>34.71</v>
      </c>
      <c r="I1064" s="61" t="n">
        <v>1.74</v>
      </c>
      <c r="J1064" s="61" t="n">
        <v>0</v>
      </c>
      <c r="K1064" s="61" t="n">
        <v>11.25</v>
      </c>
      <c r="L1064" s="61" t="n">
        <v>1.87</v>
      </c>
      <c r="M1064" s="61" t="n">
        <v>4.91</v>
      </c>
      <c r="N1064" s="61" t="n">
        <v>0</v>
      </c>
      <c r="O1064" s="61" t="n">
        <v>0</v>
      </c>
      <c r="P1064" s="62" t="n">
        <v>802</v>
      </c>
      <c r="Q1064" s="0" t="n">
        <v>1</v>
      </c>
      <c r="R1064" s="60" t="n">
        <f aca="false">G1064+H1064+I1064</f>
        <v>100.48</v>
      </c>
      <c r="S1064" s="60" t="n">
        <f aca="false">K1064+L1064+M1064+N1064+O1064</f>
        <v>18.03</v>
      </c>
      <c r="T1064" s="60" t="n">
        <f aca="false">L1064+M1064</f>
        <v>6.78</v>
      </c>
      <c r="U1064" s="60" t="n">
        <f aca="false">S1064+J1064</f>
        <v>18.03</v>
      </c>
      <c r="V1064" s="63" t="n">
        <f aca="false">IFERROR(S1064/F1064,0)</f>
        <v>0.152139059994937</v>
      </c>
      <c r="W1064" s="63" t="n">
        <f aca="false">IFERROR(R1064/F1064,0)</f>
        <v>0.847860940005063</v>
      </c>
      <c r="X1064" s="63" t="n">
        <f aca="false">IFERROR(T1064/F1064,0)</f>
        <v>0.0572103619947684</v>
      </c>
      <c r="Y1064" s="63" t="n">
        <f aca="false">IFERROR(G1064/F1064,0)</f>
        <v>0.540291958484516</v>
      </c>
      <c r="Z1064" s="59" t="n">
        <f aca="false">IF(E1064&gt;0,F1064*1000000000/E1064,"")</f>
        <v>5754.98721043809</v>
      </c>
      <c r="AA1064" s="63" t="n">
        <f aca="false">IFERROR((R1064+S1064+J1064)/F1064,0)</f>
        <v>1</v>
      </c>
      <c r="AB1064" s="0" t="str">
        <f aca="false">A1064&amp;"|"&amp;D1064</f>
        <v>Kazakhstan|2024</v>
      </c>
    </row>
    <row r="1065" customFormat="false" ht="15" hidden="false" customHeight="false" outlineLevel="0" collapsed="false">
      <c r="A1065" s="0" t="s">
        <v>281</v>
      </c>
      <c r="B1065" s="0" t="s">
        <v>520</v>
      </c>
      <c r="C1065" s="0" t="s">
        <v>127</v>
      </c>
      <c r="D1065" s="0" t="n">
        <v>2025</v>
      </c>
      <c r="E1065" s="59" t="n">
        <v>20843758</v>
      </c>
      <c r="F1065" s="60" t="n">
        <v>123.69</v>
      </c>
      <c r="G1065" s="61" t="n">
        <v>67.12</v>
      </c>
      <c r="H1065" s="61" t="n">
        <v>36.37</v>
      </c>
      <c r="I1065" s="61" t="n">
        <v>1.82</v>
      </c>
      <c r="J1065" s="61" t="n">
        <v>0</v>
      </c>
      <c r="K1065" s="61" t="n">
        <v>10.51</v>
      </c>
      <c r="L1065" s="61" t="n">
        <v>2.04</v>
      </c>
      <c r="M1065" s="61" t="n">
        <v>5.83</v>
      </c>
      <c r="N1065" s="61" t="n">
        <v>0</v>
      </c>
      <c r="O1065" s="61" t="n">
        <v>0</v>
      </c>
      <c r="P1065" s="62" t="n">
        <v>805.3</v>
      </c>
      <c r="Q1065" s="0" t="n">
        <v>2</v>
      </c>
      <c r="R1065" s="60" t="n">
        <f aca="false">G1065+H1065+I1065</f>
        <v>105.31</v>
      </c>
      <c r="S1065" s="60" t="n">
        <f aca="false">K1065+L1065+M1065+N1065+O1065</f>
        <v>18.38</v>
      </c>
      <c r="T1065" s="60" t="n">
        <f aca="false">L1065+M1065</f>
        <v>7.87</v>
      </c>
      <c r="U1065" s="60" t="n">
        <f aca="false">S1065+J1065</f>
        <v>18.38</v>
      </c>
      <c r="V1065" s="63" t="n">
        <f aca="false">IFERROR(S1065/F1065,0)</f>
        <v>0.148597299700865</v>
      </c>
      <c r="W1065" s="63" t="n">
        <f aca="false">IFERROR(R1065/F1065,0)</f>
        <v>0.851402700299135</v>
      </c>
      <c r="X1065" s="63" t="n">
        <f aca="false">IFERROR(T1065/F1065,0)</f>
        <v>0.0636268089578786</v>
      </c>
      <c r="Y1065" s="63" t="n">
        <f aca="false">IFERROR(G1065/F1065,0)</f>
        <v>0.542646939930471</v>
      </c>
      <c r="Z1065" s="59" t="n">
        <f aca="false">IF(E1065&gt;0,F1065*1000000000/E1065,"")</f>
        <v>5934.15064596317</v>
      </c>
      <c r="AA1065" s="63" t="n">
        <f aca="false">IFERROR((R1065+S1065+J1065)/F1065,0)</f>
        <v>1</v>
      </c>
      <c r="AB1065" s="0" t="str">
        <f aca="false">A1065&amp;"|"&amp;D1065</f>
        <v>Kazakhstan|2025</v>
      </c>
    </row>
    <row r="1066" customFormat="false" ht="15" hidden="false" customHeight="false" outlineLevel="0" collapsed="false">
      <c r="A1066" s="0" t="s">
        <v>282</v>
      </c>
      <c r="B1066" s="0" t="s">
        <v>521</v>
      </c>
      <c r="C1066" s="0" t="s">
        <v>127</v>
      </c>
      <c r="D1066" s="0" t="n">
        <v>2015</v>
      </c>
      <c r="E1066" s="59" t="n">
        <v>47088528</v>
      </c>
      <c r="F1066" s="60" t="n">
        <v>9.81</v>
      </c>
      <c r="G1066" s="61" t="n">
        <v>0</v>
      </c>
      <c r="H1066" s="61" t="n">
        <v>0</v>
      </c>
      <c r="I1066" s="61" t="n">
        <v>1</v>
      </c>
      <c r="J1066" s="61" t="n">
        <v>0</v>
      </c>
      <c r="K1066" s="61" t="n">
        <v>3.75</v>
      </c>
      <c r="L1066" s="61" t="n">
        <v>0.05</v>
      </c>
      <c r="M1066" s="61" t="n">
        <v>0.06</v>
      </c>
      <c r="N1066" s="61" t="n">
        <v>0.47</v>
      </c>
      <c r="O1066" s="61" t="n">
        <v>4.48</v>
      </c>
      <c r="P1066" s="62" t="n">
        <v>104</v>
      </c>
      <c r="Q1066" s="0" t="n">
        <v>0</v>
      </c>
      <c r="R1066" s="60" t="n">
        <f aca="false">G1066+H1066+I1066</f>
        <v>1</v>
      </c>
      <c r="S1066" s="60" t="n">
        <f aca="false">K1066+L1066+M1066+N1066+O1066</f>
        <v>8.81</v>
      </c>
      <c r="T1066" s="60" t="n">
        <f aca="false">L1066+M1066</f>
        <v>0.11</v>
      </c>
      <c r="U1066" s="60" t="n">
        <f aca="false">S1066+J1066</f>
        <v>8.81</v>
      </c>
      <c r="V1066" s="63" t="n">
        <f aca="false">IFERROR(S1066/F1066,0)</f>
        <v>0.898063200815494</v>
      </c>
      <c r="W1066" s="63" t="n">
        <f aca="false">IFERROR(R1066/F1066,0)</f>
        <v>0.101936799184506</v>
      </c>
      <c r="X1066" s="63" t="n">
        <f aca="false">IFERROR(T1066/F1066,0)</f>
        <v>0.0112130479102956</v>
      </c>
      <c r="Y1066" s="63" t="n">
        <f aca="false">IFERROR(G1066/F1066,0)</f>
        <v>0</v>
      </c>
      <c r="Z1066" s="59" t="n">
        <f aca="false">IF(E1066&gt;0,F1066*1000000000/E1066,"")</f>
        <v>208.330997307879</v>
      </c>
      <c r="AA1066" s="63" t="n">
        <f aca="false">IFERROR((R1066+S1066+J1066)/F1066,0)</f>
        <v>1</v>
      </c>
      <c r="AB1066" s="0" t="str">
        <f aca="false">A1066&amp;"|"&amp;D1066</f>
        <v>Kenya|2015</v>
      </c>
    </row>
    <row r="1067" customFormat="false" ht="15" hidden="false" customHeight="false" outlineLevel="0" collapsed="false">
      <c r="A1067" s="0" t="s">
        <v>282</v>
      </c>
      <c r="B1067" s="0" t="s">
        <v>521</v>
      </c>
      <c r="C1067" s="0" t="s">
        <v>127</v>
      </c>
      <c r="D1067" s="0" t="n">
        <v>2016</v>
      </c>
      <c r="E1067" s="59" t="n">
        <v>48139683</v>
      </c>
      <c r="F1067" s="60" t="n">
        <v>9.68</v>
      </c>
      <c r="G1067" s="61" t="n">
        <v>0</v>
      </c>
      <c r="H1067" s="61" t="n">
        <v>0</v>
      </c>
      <c r="I1067" s="61" t="n">
        <v>1.04</v>
      </c>
      <c r="J1067" s="61" t="n">
        <v>0</v>
      </c>
      <c r="K1067" s="61" t="n">
        <v>3.31</v>
      </c>
      <c r="L1067" s="61" t="n">
        <v>0.06</v>
      </c>
      <c r="M1067" s="61" t="n">
        <v>0.06</v>
      </c>
      <c r="N1067" s="61" t="n">
        <v>0.52</v>
      </c>
      <c r="O1067" s="61" t="n">
        <v>4.69</v>
      </c>
      <c r="P1067" s="62" t="n">
        <v>108.5</v>
      </c>
      <c r="Q1067" s="0" t="n">
        <v>0</v>
      </c>
      <c r="R1067" s="60" t="n">
        <f aca="false">G1067+H1067+I1067</f>
        <v>1.04</v>
      </c>
      <c r="S1067" s="60" t="n">
        <f aca="false">K1067+L1067+M1067+N1067+O1067</f>
        <v>8.64</v>
      </c>
      <c r="T1067" s="60" t="n">
        <f aca="false">L1067+M1067</f>
        <v>0.12</v>
      </c>
      <c r="U1067" s="60" t="n">
        <f aca="false">S1067+J1067</f>
        <v>8.64</v>
      </c>
      <c r="V1067" s="63" t="n">
        <f aca="false">IFERROR(S1067/F1067,0)</f>
        <v>0.892561983471075</v>
      </c>
      <c r="W1067" s="63" t="n">
        <f aca="false">IFERROR(R1067/F1067,0)</f>
        <v>0.107438016528926</v>
      </c>
      <c r="X1067" s="63" t="n">
        <f aca="false">IFERROR(T1067/F1067,0)</f>
        <v>0.012396694214876</v>
      </c>
      <c r="Y1067" s="63" t="n">
        <f aca="false">IFERROR(G1067/F1067,0)</f>
        <v>0</v>
      </c>
      <c r="Z1067" s="59" t="n">
        <f aca="false">IF(E1067&gt;0,F1067*1000000000/E1067,"")</f>
        <v>201.081506913953</v>
      </c>
      <c r="AA1067" s="63" t="n">
        <f aca="false">IFERROR((R1067+S1067+J1067)/F1067,0)</f>
        <v>1</v>
      </c>
      <c r="AB1067" s="0" t="str">
        <f aca="false">A1067&amp;"|"&amp;D1067</f>
        <v>Kenya|2016</v>
      </c>
    </row>
    <row r="1068" customFormat="false" ht="15" hidden="false" customHeight="false" outlineLevel="0" collapsed="false">
      <c r="A1068" s="0" t="s">
        <v>282</v>
      </c>
      <c r="B1068" s="0" t="s">
        <v>521</v>
      </c>
      <c r="C1068" s="0" t="s">
        <v>127</v>
      </c>
      <c r="D1068" s="0" t="n">
        <v>2017</v>
      </c>
      <c r="E1068" s="59" t="n">
        <v>49197757</v>
      </c>
      <c r="F1068" s="60" t="n">
        <v>10.83</v>
      </c>
      <c r="G1068" s="61" t="n">
        <v>0</v>
      </c>
      <c r="H1068" s="61" t="n">
        <v>0</v>
      </c>
      <c r="I1068" s="61" t="n">
        <v>2.07</v>
      </c>
      <c r="J1068" s="61" t="n">
        <v>0</v>
      </c>
      <c r="K1068" s="61" t="n">
        <v>3.17</v>
      </c>
      <c r="L1068" s="61" t="n">
        <v>0.07</v>
      </c>
      <c r="M1068" s="61" t="n">
        <v>0.06</v>
      </c>
      <c r="N1068" s="61" t="n">
        <v>0.7</v>
      </c>
      <c r="O1068" s="61" t="n">
        <v>4.76</v>
      </c>
      <c r="P1068" s="62" t="n">
        <v>163.4</v>
      </c>
      <c r="Q1068" s="0" t="n">
        <v>0</v>
      </c>
      <c r="R1068" s="60" t="n">
        <f aca="false">G1068+H1068+I1068</f>
        <v>2.07</v>
      </c>
      <c r="S1068" s="60" t="n">
        <f aca="false">K1068+L1068+M1068+N1068+O1068</f>
        <v>8.76</v>
      </c>
      <c r="T1068" s="60" t="n">
        <f aca="false">L1068+M1068</f>
        <v>0.13</v>
      </c>
      <c r="U1068" s="60" t="n">
        <f aca="false">S1068+J1068</f>
        <v>8.76</v>
      </c>
      <c r="V1068" s="63" t="n">
        <f aca="false">IFERROR(S1068/F1068,0)</f>
        <v>0.808864265927978</v>
      </c>
      <c r="W1068" s="63" t="n">
        <f aca="false">IFERROR(R1068/F1068,0)</f>
        <v>0.191135734072022</v>
      </c>
      <c r="X1068" s="63" t="n">
        <f aca="false">IFERROR(T1068/F1068,0)</f>
        <v>0.0120036934441367</v>
      </c>
      <c r="Y1068" s="63" t="n">
        <f aca="false">IFERROR(G1068/F1068,0)</f>
        <v>0</v>
      </c>
      <c r="Z1068" s="59" t="n">
        <f aca="false">IF(E1068&gt;0,F1068*1000000000/E1068,"")</f>
        <v>220.131986911517</v>
      </c>
      <c r="AA1068" s="63" t="n">
        <f aca="false">IFERROR((R1068+S1068+J1068)/F1068,0)</f>
        <v>1</v>
      </c>
      <c r="AB1068" s="0" t="str">
        <f aca="false">A1068&amp;"|"&amp;D1068</f>
        <v>Kenya|2017</v>
      </c>
    </row>
    <row r="1069" customFormat="false" ht="15" hidden="false" customHeight="false" outlineLevel="0" collapsed="false">
      <c r="A1069" s="0" t="s">
        <v>282</v>
      </c>
      <c r="B1069" s="0" t="s">
        <v>521</v>
      </c>
      <c r="C1069" s="0" t="s">
        <v>127</v>
      </c>
      <c r="D1069" s="0" t="n">
        <v>2018</v>
      </c>
      <c r="E1069" s="59" t="n">
        <v>50207109</v>
      </c>
      <c r="F1069" s="60" t="n">
        <v>11.3</v>
      </c>
      <c r="G1069" s="61" t="n">
        <v>0</v>
      </c>
      <c r="H1069" s="61" t="n">
        <v>0</v>
      </c>
      <c r="I1069" s="61" t="n">
        <v>1.55</v>
      </c>
      <c r="J1069" s="61" t="n">
        <v>0</v>
      </c>
      <c r="K1069" s="61" t="n">
        <v>3.99</v>
      </c>
      <c r="L1069" s="61" t="n">
        <v>0.09</v>
      </c>
      <c r="M1069" s="61" t="n">
        <v>0.38</v>
      </c>
      <c r="N1069" s="61" t="n">
        <v>0.16</v>
      </c>
      <c r="O1069" s="61" t="n">
        <v>5.13</v>
      </c>
      <c r="P1069" s="62" t="n">
        <v>117.7</v>
      </c>
      <c r="Q1069" s="0" t="n">
        <v>0</v>
      </c>
      <c r="R1069" s="60" t="n">
        <f aca="false">G1069+H1069+I1069</f>
        <v>1.55</v>
      </c>
      <c r="S1069" s="60" t="n">
        <f aca="false">K1069+L1069+M1069+N1069+O1069</f>
        <v>9.75</v>
      </c>
      <c r="T1069" s="60" t="n">
        <f aca="false">L1069+M1069</f>
        <v>0.47</v>
      </c>
      <c r="U1069" s="60" t="n">
        <f aca="false">S1069+J1069</f>
        <v>9.75</v>
      </c>
      <c r="V1069" s="63" t="n">
        <f aca="false">IFERROR(S1069/F1069,0)</f>
        <v>0.86283185840708</v>
      </c>
      <c r="W1069" s="63" t="n">
        <f aca="false">IFERROR(R1069/F1069,0)</f>
        <v>0.13716814159292</v>
      </c>
      <c r="X1069" s="63" t="n">
        <f aca="false">IFERROR(T1069/F1069,0)</f>
        <v>0.0415929203539823</v>
      </c>
      <c r="Y1069" s="63" t="n">
        <f aca="false">IFERROR(G1069/F1069,0)</f>
        <v>0</v>
      </c>
      <c r="Z1069" s="59" t="n">
        <f aca="false">IF(E1069&gt;0,F1069*1000000000/E1069,"")</f>
        <v>225.067728954479</v>
      </c>
      <c r="AA1069" s="63" t="n">
        <f aca="false">IFERROR((R1069+S1069+J1069)/F1069,0)</f>
        <v>1</v>
      </c>
      <c r="AB1069" s="0" t="str">
        <f aca="false">A1069&amp;"|"&amp;D1069</f>
        <v>Kenya|2018</v>
      </c>
    </row>
    <row r="1070" customFormat="false" ht="15" hidden="false" customHeight="false" outlineLevel="0" collapsed="false">
      <c r="A1070" s="0" t="s">
        <v>282</v>
      </c>
      <c r="B1070" s="0" t="s">
        <v>521</v>
      </c>
      <c r="C1070" s="0" t="s">
        <v>127</v>
      </c>
      <c r="D1070" s="0" t="n">
        <v>2019</v>
      </c>
      <c r="E1070" s="59" t="n">
        <v>51202829</v>
      </c>
      <c r="F1070" s="60" t="n">
        <v>11.56</v>
      </c>
      <c r="G1070" s="61" t="n">
        <v>0</v>
      </c>
      <c r="H1070" s="61" t="n">
        <v>0</v>
      </c>
      <c r="I1070" s="61" t="n">
        <v>1.31</v>
      </c>
      <c r="J1070" s="61" t="n">
        <v>0</v>
      </c>
      <c r="K1070" s="61" t="n">
        <v>3.21</v>
      </c>
      <c r="L1070" s="61" t="n">
        <v>0.09</v>
      </c>
      <c r="M1070" s="61" t="n">
        <v>1.56</v>
      </c>
      <c r="N1070" s="61" t="n">
        <v>0.15</v>
      </c>
      <c r="O1070" s="61" t="n">
        <v>5.24</v>
      </c>
      <c r="P1070" s="62" t="n">
        <v>102.9</v>
      </c>
      <c r="Q1070" s="0" t="n">
        <v>0</v>
      </c>
      <c r="R1070" s="60" t="n">
        <f aca="false">G1070+H1070+I1070</f>
        <v>1.31</v>
      </c>
      <c r="S1070" s="60" t="n">
        <f aca="false">K1070+L1070+M1070+N1070+O1070</f>
        <v>10.25</v>
      </c>
      <c r="T1070" s="60" t="n">
        <f aca="false">L1070+M1070</f>
        <v>1.65</v>
      </c>
      <c r="U1070" s="60" t="n">
        <f aca="false">S1070+J1070</f>
        <v>10.25</v>
      </c>
      <c r="V1070" s="63" t="n">
        <f aca="false">IFERROR(S1070/F1070,0)</f>
        <v>0.886678200692042</v>
      </c>
      <c r="W1070" s="63" t="n">
        <f aca="false">IFERROR(R1070/F1070,0)</f>
        <v>0.113321799307958</v>
      </c>
      <c r="X1070" s="63" t="n">
        <f aca="false">IFERROR(T1070/F1070,0)</f>
        <v>0.142733564013841</v>
      </c>
      <c r="Y1070" s="63" t="n">
        <f aca="false">IFERROR(G1070/F1070,0)</f>
        <v>0</v>
      </c>
      <c r="Z1070" s="59" t="n">
        <f aca="false">IF(E1070&gt;0,F1070*1000000000/E1070,"")</f>
        <v>225.76877539325</v>
      </c>
      <c r="AA1070" s="63" t="n">
        <f aca="false">IFERROR((R1070+S1070+J1070)/F1070,0)</f>
        <v>1</v>
      </c>
      <c r="AB1070" s="0" t="str">
        <f aca="false">A1070&amp;"|"&amp;D1070</f>
        <v>Kenya|2019</v>
      </c>
    </row>
    <row r="1071" customFormat="false" ht="15" hidden="false" customHeight="false" outlineLevel="0" collapsed="false">
      <c r="A1071" s="0" t="s">
        <v>282</v>
      </c>
      <c r="B1071" s="0" t="s">
        <v>521</v>
      </c>
      <c r="C1071" s="0" t="s">
        <v>127</v>
      </c>
      <c r="D1071" s="0" t="n">
        <v>2020</v>
      </c>
      <c r="E1071" s="59" t="n">
        <v>52217327</v>
      </c>
      <c r="F1071" s="60" t="n">
        <v>11.68</v>
      </c>
      <c r="G1071" s="61" t="n">
        <v>0</v>
      </c>
      <c r="H1071" s="61" t="n">
        <v>0</v>
      </c>
      <c r="I1071" s="61" t="n">
        <v>0.75</v>
      </c>
      <c r="J1071" s="61" t="n">
        <v>0</v>
      </c>
      <c r="K1071" s="61" t="n">
        <v>4.23</v>
      </c>
      <c r="L1071" s="61" t="n">
        <v>0.09</v>
      </c>
      <c r="M1071" s="61" t="n">
        <v>1.33</v>
      </c>
      <c r="N1071" s="61" t="n">
        <v>0.22</v>
      </c>
      <c r="O1071" s="61" t="n">
        <v>5.06</v>
      </c>
      <c r="P1071" s="62" t="n">
        <v>71.9</v>
      </c>
      <c r="Q1071" s="0" t="n">
        <v>0</v>
      </c>
      <c r="R1071" s="60" t="n">
        <f aca="false">G1071+H1071+I1071</f>
        <v>0.75</v>
      </c>
      <c r="S1071" s="60" t="n">
        <f aca="false">K1071+L1071+M1071+N1071+O1071</f>
        <v>10.93</v>
      </c>
      <c r="T1071" s="60" t="n">
        <f aca="false">L1071+M1071</f>
        <v>1.42</v>
      </c>
      <c r="U1071" s="60" t="n">
        <f aca="false">S1071+J1071</f>
        <v>10.93</v>
      </c>
      <c r="V1071" s="63" t="n">
        <f aca="false">IFERROR(S1071/F1071,0)</f>
        <v>0.935787671232877</v>
      </c>
      <c r="W1071" s="63" t="n">
        <f aca="false">IFERROR(R1071/F1071,0)</f>
        <v>0.0642123287671233</v>
      </c>
      <c r="X1071" s="63" t="n">
        <f aca="false">IFERROR(T1071/F1071,0)</f>
        <v>0.121575342465753</v>
      </c>
      <c r="Y1071" s="63" t="n">
        <f aca="false">IFERROR(G1071/F1071,0)</f>
        <v>0</v>
      </c>
      <c r="Z1071" s="59" t="n">
        <f aca="false">IF(E1071&gt;0,F1071*1000000000/E1071,"")</f>
        <v>223.68054190135</v>
      </c>
      <c r="AA1071" s="63" t="n">
        <f aca="false">IFERROR((R1071+S1071+J1071)/F1071,0)</f>
        <v>1</v>
      </c>
      <c r="AB1071" s="0" t="str">
        <f aca="false">A1071&amp;"|"&amp;D1071</f>
        <v>Kenya|2020</v>
      </c>
    </row>
    <row r="1072" customFormat="false" ht="15" hidden="false" customHeight="false" outlineLevel="0" collapsed="false">
      <c r="A1072" s="0" t="s">
        <v>282</v>
      </c>
      <c r="B1072" s="0" t="s">
        <v>521</v>
      </c>
      <c r="C1072" s="0" t="s">
        <v>127</v>
      </c>
      <c r="D1072" s="0" t="n">
        <v>2021</v>
      </c>
      <c r="E1072" s="59" t="n">
        <v>53219167</v>
      </c>
      <c r="F1072" s="60" t="n">
        <v>12.38</v>
      </c>
      <c r="G1072" s="61" t="n">
        <v>0</v>
      </c>
      <c r="H1072" s="61" t="n">
        <v>0</v>
      </c>
      <c r="I1072" s="61" t="n">
        <v>1.26</v>
      </c>
      <c r="J1072" s="61" t="n">
        <v>0</v>
      </c>
      <c r="K1072" s="61" t="n">
        <v>3.67</v>
      </c>
      <c r="L1072" s="61" t="n">
        <v>0.17</v>
      </c>
      <c r="M1072" s="61" t="n">
        <v>1.99</v>
      </c>
      <c r="N1072" s="61" t="n">
        <v>0.25</v>
      </c>
      <c r="O1072" s="61" t="n">
        <v>5.04</v>
      </c>
      <c r="P1072" s="62" t="n">
        <v>96.1</v>
      </c>
      <c r="Q1072" s="0" t="n">
        <v>0</v>
      </c>
      <c r="R1072" s="60" t="n">
        <f aca="false">G1072+H1072+I1072</f>
        <v>1.26</v>
      </c>
      <c r="S1072" s="60" t="n">
        <f aca="false">K1072+L1072+M1072+N1072+O1072</f>
        <v>11.12</v>
      </c>
      <c r="T1072" s="60" t="n">
        <f aca="false">L1072+M1072</f>
        <v>2.16</v>
      </c>
      <c r="U1072" s="60" t="n">
        <f aca="false">S1072+J1072</f>
        <v>11.12</v>
      </c>
      <c r="V1072" s="63" t="n">
        <f aca="false">IFERROR(S1072/F1072,0)</f>
        <v>0.898222940226171</v>
      </c>
      <c r="W1072" s="63" t="n">
        <f aca="false">IFERROR(R1072/F1072,0)</f>
        <v>0.101777059773829</v>
      </c>
      <c r="X1072" s="63" t="n">
        <f aca="false">IFERROR(T1072/F1072,0)</f>
        <v>0.174474959612278</v>
      </c>
      <c r="Y1072" s="63" t="n">
        <f aca="false">IFERROR(G1072/F1072,0)</f>
        <v>0</v>
      </c>
      <c r="Z1072" s="59" t="n">
        <f aca="false">IF(E1072&gt;0,F1072*1000000000/E1072,"")</f>
        <v>232.622957063571</v>
      </c>
      <c r="AA1072" s="63" t="n">
        <f aca="false">IFERROR((R1072+S1072+J1072)/F1072,0)</f>
        <v>1</v>
      </c>
      <c r="AB1072" s="0" t="str">
        <f aca="false">A1072&amp;"|"&amp;D1072</f>
        <v>Kenya|2021</v>
      </c>
    </row>
    <row r="1073" customFormat="false" ht="15" hidden="false" customHeight="false" outlineLevel="0" collapsed="false">
      <c r="A1073" s="0" t="s">
        <v>282</v>
      </c>
      <c r="B1073" s="0" t="s">
        <v>521</v>
      </c>
      <c r="C1073" s="0" t="s">
        <v>127</v>
      </c>
      <c r="D1073" s="0" t="n">
        <v>2022</v>
      </c>
      <c r="E1073" s="59" t="n">
        <v>54252458</v>
      </c>
      <c r="F1073" s="60" t="n">
        <v>12.96</v>
      </c>
      <c r="G1073" s="61" t="n">
        <v>0</v>
      </c>
      <c r="H1073" s="61" t="n">
        <v>0</v>
      </c>
      <c r="I1073" s="61" t="n">
        <v>1.58</v>
      </c>
      <c r="J1073" s="61" t="n">
        <v>0</v>
      </c>
      <c r="K1073" s="61" t="n">
        <v>3.04</v>
      </c>
      <c r="L1073" s="61" t="n">
        <v>0.42</v>
      </c>
      <c r="M1073" s="61" t="n">
        <v>2.14</v>
      </c>
      <c r="N1073" s="61" t="n">
        <v>0.26</v>
      </c>
      <c r="O1073" s="61" t="n">
        <v>5.52</v>
      </c>
      <c r="P1073" s="62" t="n">
        <v>109.6</v>
      </c>
      <c r="Q1073" s="0" t="n">
        <v>0</v>
      </c>
      <c r="R1073" s="60" t="n">
        <f aca="false">G1073+H1073+I1073</f>
        <v>1.58</v>
      </c>
      <c r="S1073" s="60" t="n">
        <f aca="false">K1073+L1073+M1073+N1073+O1073</f>
        <v>11.38</v>
      </c>
      <c r="T1073" s="60" t="n">
        <f aca="false">L1073+M1073</f>
        <v>2.56</v>
      </c>
      <c r="U1073" s="60" t="n">
        <f aca="false">S1073+J1073</f>
        <v>11.38</v>
      </c>
      <c r="V1073" s="63" t="n">
        <f aca="false">IFERROR(S1073/F1073,0)</f>
        <v>0.878086419753086</v>
      </c>
      <c r="W1073" s="63" t="n">
        <f aca="false">IFERROR(R1073/F1073,0)</f>
        <v>0.121913580246914</v>
      </c>
      <c r="X1073" s="63" t="n">
        <f aca="false">IFERROR(T1073/F1073,0)</f>
        <v>0.197530864197531</v>
      </c>
      <c r="Y1073" s="63" t="n">
        <f aca="false">IFERROR(G1073/F1073,0)</f>
        <v>0</v>
      </c>
      <c r="Z1073" s="59" t="n">
        <f aca="false">IF(E1073&gt;0,F1073*1000000000/E1073,"")</f>
        <v>238.883185716673</v>
      </c>
      <c r="AA1073" s="63" t="n">
        <f aca="false">IFERROR((R1073+S1073+J1073)/F1073,0)</f>
        <v>1</v>
      </c>
      <c r="AB1073" s="0" t="str">
        <f aca="false">A1073&amp;"|"&amp;D1073</f>
        <v>Kenya|2022</v>
      </c>
    </row>
    <row r="1074" customFormat="false" ht="15" hidden="false" customHeight="false" outlineLevel="0" collapsed="false">
      <c r="A1074" s="0" t="s">
        <v>282</v>
      </c>
      <c r="B1074" s="0" t="s">
        <v>521</v>
      </c>
      <c r="C1074" s="0" t="s">
        <v>127</v>
      </c>
      <c r="D1074" s="0" t="n">
        <v>2023</v>
      </c>
      <c r="E1074" s="59" t="n">
        <v>55339007</v>
      </c>
      <c r="F1074" s="60" t="n">
        <v>12.8</v>
      </c>
      <c r="G1074" s="61" t="n">
        <v>0</v>
      </c>
      <c r="H1074" s="61" t="n">
        <v>0</v>
      </c>
      <c r="I1074" s="61" t="n">
        <v>1.31</v>
      </c>
      <c r="J1074" s="61" t="n">
        <v>0</v>
      </c>
      <c r="K1074" s="61" t="n">
        <v>2.67</v>
      </c>
      <c r="L1074" s="61" t="n">
        <v>0.58</v>
      </c>
      <c r="M1074" s="61" t="n">
        <v>2.01</v>
      </c>
      <c r="N1074" s="61" t="n">
        <v>0.2</v>
      </c>
      <c r="O1074" s="61" t="n">
        <v>6.03</v>
      </c>
      <c r="P1074" s="62" t="n">
        <v>96.9</v>
      </c>
      <c r="Q1074" s="0" t="n">
        <v>0</v>
      </c>
      <c r="R1074" s="60" t="n">
        <f aca="false">G1074+H1074+I1074</f>
        <v>1.31</v>
      </c>
      <c r="S1074" s="60" t="n">
        <f aca="false">K1074+L1074+M1074+N1074+O1074</f>
        <v>11.49</v>
      </c>
      <c r="T1074" s="60" t="n">
        <f aca="false">L1074+M1074</f>
        <v>2.59</v>
      </c>
      <c r="U1074" s="60" t="n">
        <f aca="false">S1074+J1074</f>
        <v>11.49</v>
      </c>
      <c r="V1074" s="63" t="n">
        <f aca="false">IFERROR(S1074/F1074,0)</f>
        <v>0.89765625</v>
      </c>
      <c r="W1074" s="63" t="n">
        <f aca="false">IFERROR(R1074/F1074,0)</f>
        <v>0.10234375</v>
      </c>
      <c r="X1074" s="63" t="n">
        <f aca="false">IFERROR(T1074/F1074,0)</f>
        <v>0.20234375</v>
      </c>
      <c r="Y1074" s="63" t="n">
        <f aca="false">IFERROR(G1074/F1074,0)</f>
        <v>0</v>
      </c>
      <c r="Z1074" s="59" t="n">
        <f aca="false">IF(E1074&gt;0,F1074*1000000000/E1074,"")</f>
        <v>231.301584432117</v>
      </c>
      <c r="AA1074" s="63" t="n">
        <f aca="false">IFERROR((R1074+S1074+J1074)/F1074,0)</f>
        <v>1</v>
      </c>
      <c r="AB1074" s="0" t="str">
        <f aca="false">A1074&amp;"|"&amp;D1074</f>
        <v>Kenya|2023</v>
      </c>
    </row>
    <row r="1075" customFormat="false" ht="15" hidden="false" customHeight="false" outlineLevel="0" collapsed="false">
      <c r="A1075" s="0" t="s">
        <v>282</v>
      </c>
      <c r="B1075" s="0" t="s">
        <v>521</v>
      </c>
      <c r="C1075" s="0" t="s">
        <v>127</v>
      </c>
      <c r="D1075" s="0" t="n">
        <v>2024</v>
      </c>
      <c r="E1075" s="59" t="n">
        <v>56432946</v>
      </c>
      <c r="F1075" s="60" t="n">
        <v>13.26</v>
      </c>
      <c r="G1075" s="61" t="n">
        <v>0</v>
      </c>
      <c r="H1075" s="61" t="n">
        <v>0</v>
      </c>
      <c r="I1075" s="61" t="n">
        <v>1.13</v>
      </c>
      <c r="J1075" s="61" t="n">
        <v>0</v>
      </c>
      <c r="K1075" s="61" t="n">
        <v>3.1</v>
      </c>
      <c r="L1075" s="61" t="n">
        <v>0.66</v>
      </c>
      <c r="M1075" s="61" t="n">
        <v>2.17</v>
      </c>
      <c r="N1075" s="61" t="n">
        <v>0.2</v>
      </c>
      <c r="O1075" s="61" t="n">
        <v>6</v>
      </c>
      <c r="P1075" s="62" t="n">
        <v>85.2</v>
      </c>
      <c r="Q1075" s="0" t="n">
        <v>0</v>
      </c>
      <c r="R1075" s="60" t="n">
        <f aca="false">G1075+H1075+I1075</f>
        <v>1.13</v>
      </c>
      <c r="S1075" s="60" t="n">
        <f aca="false">K1075+L1075+M1075+N1075+O1075</f>
        <v>12.13</v>
      </c>
      <c r="T1075" s="60" t="n">
        <f aca="false">L1075+M1075</f>
        <v>2.83</v>
      </c>
      <c r="U1075" s="60" t="n">
        <f aca="false">S1075+J1075</f>
        <v>12.13</v>
      </c>
      <c r="V1075" s="63" t="n">
        <f aca="false">IFERROR(S1075/F1075,0)</f>
        <v>0.914781297134238</v>
      </c>
      <c r="W1075" s="63" t="n">
        <f aca="false">IFERROR(R1075/F1075,0)</f>
        <v>0.0852187028657617</v>
      </c>
      <c r="X1075" s="63" t="n">
        <f aca="false">IFERROR(T1075/F1075,0)</f>
        <v>0.21342383107089</v>
      </c>
      <c r="Y1075" s="63" t="n">
        <f aca="false">IFERROR(G1075/F1075,0)</f>
        <v>0</v>
      </c>
      <c r="Z1075" s="59" t="n">
        <f aca="false">IF(E1075&gt;0,F1075*1000000000/E1075,"")</f>
        <v>234.96912601373</v>
      </c>
      <c r="AA1075" s="63" t="n">
        <f aca="false">IFERROR((R1075+S1075+J1075)/F1075,0)</f>
        <v>1</v>
      </c>
      <c r="AB1075" s="0" t="str">
        <f aca="false">A1075&amp;"|"&amp;D1075</f>
        <v>Kenya|2024</v>
      </c>
    </row>
    <row r="1076" customFormat="false" ht="15" hidden="false" customHeight="false" outlineLevel="0" collapsed="false">
      <c r="A1076" s="0" t="s">
        <v>282</v>
      </c>
      <c r="B1076" s="0" t="s">
        <v>521</v>
      </c>
      <c r="C1076" s="0" t="s">
        <v>127</v>
      </c>
      <c r="D1076" s="0" t="n">
        <v>2025</v>
      </c>
      <c r="E1076" s="59" t="n">
        <v>57532491</v>
      </c>
      <c r="F1076" s="60" t="n">
        <v>14.04</v>
      </c>
      <c r="G1076" s="61" t="n">
        <v>0</v>
      </c>
      <c r="H1076" s="61" t="n">
        <v>0</v>
      </c>
      <c r="I1076" s="61" t="n">
        <v>1.4</v>
      </c>
      <c r="J1076" s="61" t="n">
        <v>0</v>
      </c>
      <c r="K1076" s="61" t="n">
        <v>2.94</v>
      </c>
      <c r="L1076" s="61" t="n">
        <v>0.65</v>
      </c>
      <c r="M1076" s="61" t="n">
        <v>2.3</v>
      </c>
      <c r="N1076" s="61" t="n">
        <v>0.3</v>
      </c>
      <c r="O1076" s="61" t="n">
        <v>6.45</v>
      </c>
      <c r="P1076" s="62" t="n">
        <v>95.4</v>
      </c>
      <c r="Q1076" s="0" t="n">
        <v>0</v>
      </c>
      <c r="R1076" s="60" t="n">
        <f aca="false">G1076+H1076+I1076</f>
        <v>1.4</v>
      </c>
      <c r="S1076" s="60" t="n">
        <f aca="false">K1076+L1076+M1076+N1076+O1076</f>
        <v>12.64</v>
      </c>
      <c r="T1076" s="60" t="n">
        <f aca="false">L1076+M1076</f>
        <v>2.95</v>
      </c>
      <c r="U1076" s="60" t="n">
        <f aca="false">S1076+J1076</f>
        <v>12.64</v>
      </c>
      <c r="V1076" s="63" t="n">
        <f aca="false">IFERROR(S1076/F1076,0)</f>
        <v>0.9002849002849</v>
      </c>
      <c r="W1076" s="63" t="n">
        <f aca="false">IFERROR(R1076/F1076,0)</f>
        <v>0.0997150997150997</v>
      </c>
      <c r="X1076" s="63" t="n">
        <f aca="false">IFERROR(T1076/F1076,0)</f>
        <v>0.21011396011396</v>
      </c>
      <c r="Y1076" s="63" t="n">
        <f aca="false">IFERROR(G1076/F1076,0)</f>
        <v>0</v>
      </c>
      <c r="Z1076" s="59" t="n">
        <f aca="false">IF(E1076&gt;0,F1076*1000000000/E1076,"")</f>
        <v>244.036017839033</v>
      </c>
      <c r="AA1076" s="63" t="n">
        <f aca="false">IFERROR((R1076+S1076+J1076)/F1076,0)</f>
        <v>1</v>
      </c>
      <c r="AB1076" s="0" t="str">
        <f aca="false">A1076&amp;"|"&amp;D1076</f>
        <v>Kenya|2025</v>
      </c>
    </row>
    <row r="1077" customFormat="false" ht="15" hidden="false" customHeight="false" outlineLevel="0" collapsed="false">
      <c r="A1077" s="0" t="s">
        <v>283</v>
      </c>
      <c r="B1077" s="0" t="s">
        <v>522</v>
      </c>
      <c r="C1077" s="0" t="s">
        <v>127</v>
      </c>
      <c r="D1077" s="0" t="n">
        <v>2015</v>
      </c>
      <c r="E1077" s="59" t="n">
        <v>116826</v>
      </c>
      <c r="F1077" s="60" t="n">
        <v>0.03</v>
      </c>
      <c r="G1077" s="61" t="n">
        <v>0</v>
      </c>
      <c r="H1077" s="61" t="n">
        <v>0</v>
      </c>
      <c r="I1077" s="61" t="n">
        <v>0.03</v>
      </c>
      <c r="J1077" s="61" t="n">
        <v>0</v>
      </c>
      <c r="K1077" s="61" t="n">
        <v>0</v>
      </c>
      <c r="L1077" s="61" t="n">
        <v>0</v>
      </c>
      <c r="M1077" s="61" t="n">
        <v>0</v>
      </c>
      <c r="N1077" s="61" t="n">
        <v>0</v>
      </c>
      <c r="O1077" s="61" t="n">
        <v>0</v>
      </c>
      <c r="P1077" s="62" t="n">
        <v>666.7</v>
      </c>
      <c r="Q1077" s="0" t="n">
        <v>0</v>
      </c>
      <c r="R1077" s="60" t="n">
        <f aca="false">G1077+H1077+I1077</f>
        <v>0.03</v>
      </c>
      <c r="S1077" s="60" t="n">
        <f aca="false">K1077+L1077+M1077+N1077+O1077</f>
        <v>0</v>
      </c>
      <c r="T1077" s="60" t="n">
        <f aca="false">L1077+M1077</f>
        <v>0</v>
      </c>
      <c r="U1077" s="60" t="n">
        <f aca="false">S1077+J1077</f>
        <v>0</v>
      </c>
      <c r="V1077" s="63" t="n">
        <f aca="false">IFERROR(S1077/F1077,0)</f>
        <v>0</v>
      </c>
      <c r="W1077" s="63" t="n">
        <f aca="false">IFERROR(R1077/F1077,0)</f>
        <v>1</v>
      </c>
      <c r="X1077" s="63" t="n">
        <f aca="false">IFERROR(T1077/F1077,0)</f>
        <v>0</v>
      </c>
      <c r="Y1077" s="63" t="n">
        <f aca="false">IFERROR(G1077/F1077,0)</f>
        <v>0</v>
      </c>
      <c r="Z1077" s="59" t="n">
        <f aca="false">IF(E1077&gt;0,F1077*1000000000/E1077,"")</f>
        <v>256.792152431822</v>
      </c>
      <c r="AA1077" s="63" t="n">
        <f aca="false">IFERROR((R1077+S1077+J1077)/F1077,0)</f>
        <v>1</v>
      </c>
      <c r="AB1077" s="0" t="str">
        <f aca="false">A1077&amp;"|"&amp;D1077</f>
        <v>Kiribati|2015</v>
      </c>
    </row>
    <row r="1078" customFormat="false" ht="15" hidden="false" customHeight="false" outlineLevel="0" collapsed="false">
      <c r="A1078" s="0" t="s">
        <v>283</v>
      </c>
      <c r="B1078" s="0" t="s">
        <v>522</v>
      </c>
      <c r="C1078" s="0" t="s">
        <v>127</v>
      </c>
      <c r="D1078" s="0" t="n">
        <v>2016</v>
      </c>
      <c r="E1078" s="59" t="n">
        <v>118488</v>
      </c>
      <c r="F1078" s="60" t="n">
        <v>0.03</v>
      </c>
      <c r="G1078" s="61" t="n">
        <v>0</v>
      </c>
      <c r="H1078" s="61" t="n">
        <v>0</v>
      </c>
      <c r="I1078" s="61" t="n">
        <v>0.03</v>
      </c>
      <c r="J1078" s="61" t="n">
        <v>0</v>
      </c>
      <c r="K1078" s="61" t="n">
        <v>0</v>
      </c>
      <c r="L1078" s="61" t="n">
        <v>0</v>
      </c>
      <c r="M1078" s="61" t="n">
        <v>0</v>
      </c>
      <c r="N1078" s="61" t="n">
        <v>0</v>
      </c>
      <c r="O1078" s="61" t="n">
        <v>0</v>
      </c>
      <c r="P1078" s="62" t="n">
        <v>666.7</v>
      </c>
      <c r="Q1078" s="0" t="n">
        <v>0</v>
      </c>
      <c r="R1078" s="60" t="n">
        <f aca="false">G1078+H1078+I1078</f>
        <v>0.03</v>
      </c>
      <c r="S1078" s="60" t="n">
        <f aca="false">K1078+L1078+M1078+N1078+O1078</f>
        <v>0</v>
      </c>
      <c r="T1078" s="60" t="n">
        <f aca="false">L1078+M1078</f>
        <v>0</v>
      </c>
      <c r="U1078" s="60" t="n">
        <f aca="false">S1078+J1078</f>
        <v>0</v>
      </c>
      <c r="V1078" s="63" t="n">
        <f aca="false">IFERROR(S1078/F1078,0)</f>
        <v>0</v>
      </c>
      <c r="W1078" s="63" t="n">
        <f aca="false">IFERROR(R1078/F1078,0)</f>
        <v>1</v>
      </c>
      <c r="X1078" s="63" t="n">
        <f aca="false">IFERROR(T1078/F1078,0)</f>
        <v>0</v>
      </c>
      <c r="Y1078" s="63" t="n">
        <f aca="false">IFERROR(G1078/F1078,0)</f>
        <v>0</v>
      </c>
      <c r="Z1078" s="59" t="n">
        <f aca="false">IF(E1078&gt;0,F1078*1000000000/E1078,"")</f>
        <v>253.190196475592</v>
      </c>
      <c r="AA1078" s="63" t="n">
        <f aca="false">IFERROR((R1078+S1078+J1078)/F1078,0)</f>
        <v>1</v>
      </c>
      <c r="AB1078" s="0" t="str">
        <f aca="false">A1078&amp;"|"&amp;D1078</f>
        <v>Kiribati|2016</v>
      </c>
    </row>
    <row r="1079" customFormat="false" ht="15" hidden="false" customHeight="false" outlineLevel="0" collapsed="false">
      <c r="A1079" s="0" t="s">
        <v>283</v>
      </c>
      <c r="B1079" s="0" t="s">
        <v>522</v>
      </c>
      <c r="C1079" s="0" t="s">
        <v>127</v>
      </c>
      <c r="D1079" s="0" t="n">
        <v>2017</v>
      </c>
      <c r="E1079" s="59" t="n">
        <v>120288</v>
      </c>
      <c r="F1079" s="60" t="n">
        <v>0.03</v>
      </c>
      <c r="G1079" s="61" t="n">
        <v>0</v>
      </c>
      <c r="H1079" s="61" t="n">
        <v>0</v>
      </c>
      <c r="I1079" s="61" t="n">
        <v>0.03</v>
      </c>
      <c r="J1079" s="61" t="n">
        <v>0</v>
      </c>
      <c r="K1079" s="61" t="n">
        <v>0</v>
      </c>
      <c r="L1079" s="61" t="n">
        <v>0</v>
      </c>
      <c r="M1079" s="61" t="n">
        <v>0</v>
      </c>
      <c r="N1079" s="61" t="n">
        <v>0</v>
      </c>
      <c r="O1079" s="61" t="n">
        <v>0</v>
      </c>
      <c r="P1079" s="62" t="n">
        <v>666.7</v>
      </c>
      <c r="Q1079" s="0" t="n">
        <v>0</v>
      </c>
      <c r="R1079" s="60" t="n">
        <f aca="false">G1079+H1079+I1079</f>
        <v>0.03</v>
      </c>
      <c r="S1079" s="60" t="n">
        <f aca="false">K1079+L1079+M1079+N1079+O1079</f>
        <v>0</v>
      </c>
      <c r="T1079" s="60" t="n">
        <f aca="false">L1079+M1079</f>
        <v>0</v>
      </c>
      <c r="U1079" s="60" t="n">
        <f aca="false">S1079+J1079</f>
        <v>0</v>
      </c>
      <c r="V1079" s="63" t="n">
        <f aca="false">IFERROR(S1079/F1079,0)</f>
        <v>0</v>
      </c>
      <c r="W1079" s="63" t="n">
        <f aca="false">IFERROR(R1079/F1079,0)</f>
        <v>1</v>
      </c>
      <c r="X1079" s="63" t="n">
        <f aca="false">IFERROR(T1079/F1079,0)</f>
        <v>0</v>
      </c>
      <c r="Y1079" s="63" t="n">
        <f aca="false">IFERROR(G1079/F1079,0)</f>
        <v>0</v>
      </c>
      <c r="Z1079" s="59" t="n">
        <f aca="false">IF(E1079&gt;0,F1079*1000000000/E1079,"")</f>
        <v>249.401436552275</v>
      </c>
      <c r="AA1079" s="63" t="n">
        <f aca="false">IFERROR((R1079+S1079+J1079)/F1079,0)</f>
        <v>1</v>
      </c>
      <c r="AB1079" s="0" t="str">
        <f aca="false">A1079&amp;"|"&amp;D1079</f>
        <v>Kiribati|2017</v>
      </c>
    </row>
    <row r="1080" customFormat="false" ht="15" hidden="false" customHeight="false" outlineLevel="0" collapsed="false">
      <c r="A1080" s="0" t="s">
        <v>283</v>
      </c>
      <c r="B1080" s="0" t="s">
        <v>522</v>
      </c>
      <c r="C1080" s="0" t="s">
        <v>127</v>
      </c>
      <c r="D1080" s="0" t="n">
        <v>2018</v>
      </c>
      <c r="E1080" s="59" t="n">
        <v>122097</v>
      </c>
      <c r="F1080" s="60" t="n">
        <v>0.03</v>
      </c>
      <c r="G1080" s="61" t="n">
        <v>0</v>
      </c>
      <c r="H1080" s="61" t="n">
        <v>0</v>
      </c>
      <c r="I1080" s="61" t="n">
        <v>0.03</v>
      </c>
      <c r="J1080" s="61" t="n">
        <v>0</v>
      </c>
      <c r="K1080" s="61" t="n">
        <v>0</v>
      </c>
      <c r="L1080" s="61" t="n">
        <v>0</v>
      </c>
      <c r="M1080" s="61" t="n">
        <v>0</v>
      </c>
      <c r="N1080" s="61" t="n">
        <v>0</v>
      </c>
      <c r="O1080" s="61" t="n">
        <v>0</v>
      </c>
      <c r="P1080" s="62" t="n">
        <v>666.7</v>
      </c>
      <c r="Q1080" s="0" t="n">
        <v>0</v>
      </c>
      <c r="R1080" s="60" t="n">
        <f aca="false">G1080+H1080+I1080</f>
        <v>0.03</v>
      </c>
      <c r="S1080" s="60" t="n">
        <f aca="false">K1080+L1080+M1080+N1080+O1080</f>
        <v>0</v>
      </c>
      <c r="T1080" s="60" t="n">
        <f aca="false">L1080+M1080</f>
        <v>0</v>
      </c>
      <c r="U1080" s="60" t="n">
        <f aca="false">S1080+J1080</f>
        <v>0</v>
      </c>
      <c r="V1080" s="63" t="n">
        <f aca="false">IFERROR(S1080/F1080,0)</f>
        <v>0</v>
      </c>
      <c r="W1080" s="63" t="n">
        <f aca="false">IFERROR(R1080/F1080,0)</f>
        <v>1</v>
      </c>
      <c r="X1080" s="63" t="n">
        <f aca="false">IFERROR(T1080/F1080,0)</f>
        <v>0</v>
      </c>
      <c r="Y1080" s="63" t="n">
        <f aca="false">IFERROR(G1080/F1080,0)</f>
        <v>0</v>
      </c>
      <c r="Z1080" s="59" t="n">
        <f aca="false">IF(E1080&gt;0,F1080*1000000000/E1080,"")</f>
        <v>245.706282709649</v>
      </c>
      <c r="AA1080" s="63" t="n">
        <f aca="false">IFERROR((R1080+S1080+J1080)/F1080,0)</f>
        <v>1</v>
      </c>
      <c r="AB1080" s="0" t="str">
        <f aca="false">A1080&amp;"|"&amp;D1080</f>
        <v>Kiribati|2018</v>
      </c>
    </row>
    <row r="1081" customFormat="false" ht="15" hidden="false" customHeight="false" outlineLevel="0" collapsed="false">
      <c r="A1081" s="0" t="s">
        <v>283</v>
      </c>
      <c r="B1081" s="0" t="s">
        <v>522</v>
      </c>
      <c r="C1081" s="0" t="s">
        <v>127</v>
      </c>
      <c r="D1081" s="0" t="n">
        <v>2019</v>
      </c>
      <c r="E1081" s="59" t="n">
        <v>123928</v>
      </c>
      <c r="F1081" s="60" t="n">
        <v>0.04</v>
      </c>
      <c r="G1081" s="61" t="n">
        <v>0</v>
      </c>
      <c r="H1081" s="61" t="n">
        <v>0</v>
      </c>
      <c r="I1081" s="61" t="n">
        <v>0.03</v>
      </c>
      <c r="J1081" s="61" t="n">
        <v>0</v>
      </c>
      <c r="K1081" s="61" t="n">
        <v>0</v>
      </c>
      <c r="L1081" s="61" t="n">
        <v>0.01</v>
      </c>
      <c r="M1081" s="61" t="n">
        <v>0</v>
      </c>
      <c r="N1081" s="61" t="n">
        <v>0</v>
      </c>
      <c r="O1081" s="61" t="n">
        <v>0</v>
      </c>
      <c r="P1081" s="62" t="n">
        <v>500</v>
      </c>
      <c r="Q1081" s="0" t="n">
        <v>0</v>
      </c>
      <c r="R1081" s="60" t="n">
        <f aca="false">G1081+H1081+I1081</f>
        <v>0.03</v>
      </c>
      <c r="S1081" s="60" t="n">
        <f aca="false">K1081+L1081+M1081+N1081+O1081</f>
        <v>0.01</v>
      </c>
      <c r="T1081" s="60" t="n">
        <f aca="false">L1081+M1081</f>
        <v>0.01</v>
      </c>
      <c r="U1081" s="60" t="n">
        <f aca="false">S1081+J1081</f>
        <v>0.01</v>
      </c>
      <c r="V1081" s="63" t="n">
        <f aca="false">IFERROR(S1081/F1081,0)</f>
        <v>0.25</v>
      </c>
      <c r="W1081" s="63" t="n">
        <f aca="false">IFERROR(R1081/F1081,0)</f>
        <v>0.75</v>
      </c>
      <c r="X1081" s="63" t="n">
        <f aca="false">IFERROR(T1081/F1081,0)</f>
        <v>0.25</v>
      </c>
      <c r="Y1081" s="63" t="n">
        <f aca="false">IFERROR(G1081/F1081,0)</f>
        <v>0</v>
      </c>
      <c r="Z1081" s="59" t="n">
        <f aca="false">IF(E1081&gt;0,F1081*1000000000/E1081,"")</f>
        <v>322.768058872894</v>
      </c>
      <c r="AA1081" s="63" t="n">
        <f aca="false">IFERROR((R1081+S1081+J1081)/F1081,0)</f>
        <v>1</v>
      </c>
      <c r="AB1081" s="0" t="str">
        <f aca="false">A1081&amp;"|"&amp;D1081</f>
        <v>Kiribati|2019</v>
      </c>
    </row>
    <row r="1082" customFormat="false" ht="15" hidden="false" customHeight="false" outlineLevel="0" collapsed="false">
      <c r="A1082" s="0" t="s">
        <v>283</v>
      </c>
      <c r="B1082" s="0" t="s">
        <v>522</v>
      </c>
      <c r="C1082" s="0" t="s">
        <v>127</v>
      </c>
      <c r="D1082" s="0" t="n">
        <v>2020</v>
      </c>
      <c r="E1082" s="59" t="n">
        <v>126110</v>
      </c>
      <c r="F1082" s="60" t="n">
        <v>0.04</v>
      </c>
      <c r="G1082" s="61" t="n">
        <v>0</v>
      </c>
      <c r="H1082" s="61" t="n">
        <v>0</v>
      </c>
      <c r="I1082" s="61" t="n">
        <v>0.03</v>
      </c>
      <c r="J1082" s="61" t="n">
        <v>0</v>
      </c>
      <c r="K1082" s="61" t="n">
        <v>0</v>
      </c>
      <c r="L1082" s="61" t="n">
        <v>0.01</v>
      </c>
      <c r="M1082" s="61" t="n">
        <v>0</v>
      </c>
      <c r="N1082" s="61" t="n">
        <v>0</v>
      </c>
      <c r="O1082" s="61" t="n">
        <v>0</v>
      </c>
      <c r="P1082" s="62" t="n">
        <v>500</v>
      </c>
      <c r="Q1082" s="0" t="n">
        <v>0</v>
      </c>
      <c r="R1082" s="60" t="n">
        <f aca="false">G1082+H1082+I1082</f>
        <v>0.03</v>
      </c>
      <c r="S1082" s="60" t="n">
        <f aca="false">K1082+L1082+M1082+N1082+O1082</f>
        <v>0.01</v>
      </c>
      <c r="T1082" s="60" t="n">
        <f aca="false">L1082+M1082</f>
        <v>0.01</v>
      </c>
      <c r="U1082" s="60" t="n">
        <f aca="false">S1082+J1082</f>
        <v>0.01</v>
      </c>
      <c r="V1082" s="63" t="n">
        <f aca="false">IFERROR(S1082/F1082,0)</f>
        <v>0.25</v>
      </c>
      <c r="W1082" s="63" t="n">
        <f aca="false">IFERROR(R1082/F1082,0)</f>
        <v>0.75</v>
      </c>
      <c r="X1082" s="63" t="n">
        <f aca="false">IFERROR(T1082/F1082,0)</f>
        <v>0.25</v>
      </c>
      <c r="Y1082" s="63" t="n">
        <f aca="false">IFERROR(G1082/F1082,0)</f>
        <v>0</v>
      </c>
      <c r="Z1082" s="59" t="n">
        <f aca="false">IF(E1082&gt;0,F1082*1000000000/E1082,"")</f>
        <v>317.183411307589</v>
      </c>
      <c r="AA1082" s="63" t="n">
        <f aca="false">IFERROR((R1082+S1082+J1082)/F1082,0)</f>
        <v>1</v>
      </c>
      <c r="AB1082" s="0" t="str">
        <f aca="false">A1082&amp;"|"&amp;D1082</f>
        <v>Kiribati|2020</v>
      </c>
    </row>
    <row r="1083" customFormat="false" ht="15" hidden="false" customHeight="false" outlineLevel="0" collapsed="false">
      <c r="A1083" s="0" t="s">
        <v>283</v>
      </c>
      <c r="B1083" s="0" t="s">
        <v>522</v>
      </c>
      <c r="C1083" s="0" t="s">
        <v>127</v>
      </c>
      <c r="D1083" s="0" t="n">
        <v>2021</v>
      </c>
      <c r="E1083" s="59" t="n">
        <v>128387</v>
      </c>
      <c r="F1083" s="60" t="n">
        <v>0.04</v>
      </c>
      <c r="G1083" s="61" t="n">
        <v>0</v>
      </c>
      <c r="H1083" s="61" t="n">
        <v>0</v>
      </c>
      <c r="I1083" s="61" t="n">
        <v>0.03</v>
      </c>
      <c r="J1083" s="61" t="n">
        <v>0</v>
      </c>
      <c r="K1083" s="61" t="n">
        <v>0</v>
      </c>
      <c r="L1083" s="61" t="n">
        <v>0.01</v>
      </c>
      <c r="M1083" s="61" t="n">
        <v>0</v>
      </c>
      <c r="N1083" s="61" t="n">
        <v>0</v>
      </c>
      <c r="O1083" s="61" t="n">
        <v>0</v>
      </c>
      <c r="P1083" s="62" t="n">
        <v>500</v>
      </c>
      <c r="Q1083" s="0" t="n">
        <v>0</v>
      </c>
      <c r="R1083" s="60" t="n">
        <f aca="false">G1083+H1083+I1083</f>
        <v>0.03</v>
      </c>
      <c r="S1083" s="60" t="n">
        <f aca="false">K1083+L1083+M1083+N1083+O1083</f>
        <v>0.01</v>
      </c>
      <c r="T1083" s="60" t="n">
        <f aca="false">L1083+M1083</f>
        <v>0.01</v>
      </c>
      <c r="U1083" s="60" t="n">
        <f aca="false">S1083+J1083</f>
        <v>0.01</v>
      </c>
      <c r="V1083" s="63" t="n">
        <f aca="false">IFERROR(S1083/F1083,0)</f>
        <v>0.25</v>
      </c>
      <c r="W1083" s="63" t="n">
        <f aca="false">IFERROR(R1083/F1083,0)</f>
        <v>0.75</v>
      </c>
      <c r="X1083" s="63" t="n">
        <f aca="false">IFERROR(T1083/F1083,0)</f>
        <v>0.25</v>
      </c>
      <c r="Y1083" s="63" t="n">
        <f aca="false">IFERROR(G1083/F1083,0)</f>
        <v>0</v>
      </c>
      <c r="Z1083" s="59" t="n">
        <f aca="false">IF(E1083&gt;0,F1083*1000000000/E1083,"")</f>
        <v>311.558023787455</v>
      </c>
      <c r="AA1083" s="63" t="n">
        <f aca="false">IFERROR((R1083+S1083+J1083)/F1083,0)</f>
        <v>1</v>
      </c>
      <c r="AB1083" s="0" t="str">
        <f aca="false">A1083&amp;"|"&amp;D1083</f>
        <v>Kiribati|2021</v>
      </c>
    </row>
    <row r="1084" customFormat="false" ht="15" hidden="false" customHeight="false" outlineLevel="0" collapsed="false">
      <c r="A1084" s="0" t="s">
        <v>283</v>
      </c>
      <c r="B1084" s="0" t="s">
        <v>522</v>
      </c>
      <c r="C1084" s="0" t="s">
        <v>127</v>
      </c>
      <c r="D1084" s="0" t="n">
        <v>2022</v>
      </c>
      <c r="E1084" s="59" t="n">
        <v>130483</v>
      </c>
      <c r="F1084" s="60" t="n">
        <v>0.04</v>
      </c>
      <c r="G1084" s="61" t="n">
        <v>0</v>
      </c>
      <c r="H1084" s="61" t="n">
        <v>0</v>
      </c>
      <c r="I1084" s="61" t="n">
        <v>0.03</v>
      </c>
      <c r="J1084" s="61" t="n">
        <v>0</v>
      </c>
      <c r="K1084" s="61" t="n">
        <v>0</v>
      </c>
      <c r="L1084" s="61" t="n">
        <v>0.01</v>
      </c>
      <c r="M1084" s="61" t="n">
        <v>0</v>
      </c>
      <c r="N1084" s="61" t="n">
        <v>0</v>
      </c>
      <c r="O1084" s="61" t="n">
        <v>0</v>
      </c>
      <c r="P1084" s="62" t="n">
        <v>500</v>
      </c>
      <c r="Q1084" s="0" t="n">
        <v>0</v>
      </c>
      <c r="R1084" s="60" t="n">
        <f aca="false">G1084+H1084+I1084</f>
        <v>0.03</v>
      </c>
      <c r="S1084" s="60" t="n">
        <f aca="false">K1084+L1084+M1084+N1084+O1084</f>
        <v>0.01</v>
      </c>
      <c r="T1084" s="60" t="n">
        <f aca="false">L1084+M1084</f>
        <v>0.01</v>
      </c>
      <c r="U1084" s="60" t="n">
        <f aca="false">S1084+J1084</f>
        <v>0.01</v>
      </c>
      <c r="V1084" s="63" t="n">
        <f aca="false">IFERROR(S1084/F1084,0)</f>
        <v>0.25</v>
      </c>
      <c r="W1084" s="63" t="n">
        <f aca="false">IFERROR(R1084/F1084,0)</f>
        <v>0.75</v>
      </c>
      <c r="X1084" s="63" t="n">
        <f aca="false">IFERROR(T1084/F1084,0)</f>
        <v>0.25</v>
      </c>
      <c r="Y1084" s="63" t="n">
        <f aca="false">IFERROR(G1084/F1084,0)</f>
        <v>0</v>
      </c>
      <c r="Z1084" s="59" t="n">
        <f aca="false">IF(E1084&gt;0,F1084*1000000000/E1084,"")</f>
        <v>306.553344113793</v>
      </c>
      <c r="AA1084" s="63" t="n">
        <f aca="false">IFERROR((R1084+S1084+J1084)/F1084,0)</f>
        <v>1</v>
      </c>
      <c r="AB1084" s="0" t="str">
        <f aca="false">A1084&amp;"|"&amp;D1084</f>
        <v>Kiribati|2022</v>
      </c>
    </row>
    <row r="1085" customFormat="false" ht="15" hidden="false" customHeight="false" outlineLevel="0" collapsed="false">
      <c r="A1085" s="0" t="s">
        <v>283</v>
      </c>
      <c r="B1085" s="0" t="s">
        <v>522</v>
      </c>
      <c r="C1085" s="0" t="s">
        <v>127</v>
      </c>
      <c r="D1085" s="0" t="n">
        <v>2023</v>
      </c>
      <c r="E1085" s="59" t="n">
        <v>132540</v>
      </c>
      <c r="F1085" s="60" t="n">
        <v>0.04</v>
      </c>
      <c r="G1085" s="61" t="n">
        <v>0</v>
      </c>
      <c r="H1085" s="61" t="n">
        <v>0</v>
      </c>
      <c r="I1085" s="61" t="n">
        <v>0.03</v>
      </c>
      <c r="J1085" s="61" t="n">
        <v>0</v>
      </c>
      <c r="K1085" s="61" t="n">
        <v>0</v>
      </c>
      <c r="L1085" s="61" t="n">
        <v>0.01</v>
      </c>
      <c r="M1085" s="61" t="n">
        <v>0</v>
      </c>
      <c r="N1085" s="61" t="n">
        <v>0</v>
      </c>
      <c r="O1085" s="61" t="n">
        <v>0</v>
      </c>
      <c r="P1085" s="62" t="n">
        <v>500</v>
      </c>
      <c r="Q1085" s="0" t="n">
        <v>0</v>
      </c>
      <c r="R1085" s="60" t="n">
        <f aca="false">G1085+H1085+I1085</f>
        <v>0.03</v>
      </c>
      <c r="S1085" s="60" t="n">
        <f aca="false">K1085+L1085+M1085+N1085+O1085</f>
        <v>0.01</v>
      </c>
      <c r="T1085" s="60" t="n">
        <f aca="false">L1085+M1085</f>
        <v>0.01</v>
      </c>
      <c r="U1085" s="60" t="n">
        <f aca="false">S1085+J1085</f>
        <v>0.01</v>
      </c>
      <c r="V1085" s="63" t="n">
        <f aca="false">IFERROR(S1085/F1085,0)</f>
        <v>0.25</v>
      </c>
      <c r="W1085" s="63" t="n">
        <f aca="false">IFERROR(R1085/F1085,0)</f>
        <v>0.75</v>
      </c>
      <c r="X1085" s="63" t="n">
        <f aca="false">IFERROR(T1085/F1085,0)</f>
        <v>0.25</v>
      </c>
      <c r="Y1085" s="63" t="n">
        <f aca="false">IFERROR(G1085/F1085,0)</f>
        <v>0</v>
      </c>
      <c r="Z1085" s="59" t="n">
        <f aca="false">IF(E1085&gt;0,F1085*1000000000/E1085,"")</f>
        <v>301.795684321714</v>
      </c>
      <c r="AA1085" s="63" t="n">
        <f aca="false">IFERROR((R1085+S1085+J1085)/F1085,0)</f>
        <v>1</v>
      </c>
      <c r="AB1085" s="0" t="str">
        <f aca="false">A1085&amp;"|"&amp;D1085</f>
        <v>Kiribati|2023</v>
      </c>
    </row>
    <row r="1086" customFormat="false" ht="15" hidden="false" customHeight="false" outlineLevel="0" collapsed="false">
      <c r="A1086" s="0" t="s">
        <v>283</v>
      </c>
      <c r="B1086" s="0" t="s">
        <v>522</v>
      </c>
      <c r="C1086" s="0" t="s">
        <v>127</v>
      </c>
      <c r="D1086" s="0" t="n">
        <v>2024</v>
      </c>
      <c r="E1086" s="59" t="n">
        <v>134521</v>
      </c>
      <c r="F1086" s="60" t="n">
        <v>0.04</v>
      </c>
      <c r="G1086" s="61" t="n">
        <v>0</v>
      </c>
      <c r="H1086" s="61" t="n">
        <v>0</v>
      </c>
      <c r="I1086" s="61" t="n">
        <v>0.03</v>
      </c>
      <c r="J1086" s="61" t="n">
        <v>0</v>
      </c>
      <c r="K1086" s="61" t="n">
        <v>0</v>
      </c>
      <c r="L1086" s="61" t="n">
        <v>0.01</v>
      </c>
      <c r="M1086" s="61" t="n">
        <v>0</v>
      </c>
      <c r="N1086" s="61" t="n">
        <v>0</v>
      </c>
      <c r="O1086" s="61" t="n">
        <v>0</v>
      </c>
      <c r="P1086" s="62" t="n">
        <v>500</v>
      </c>
      <c r="Q1086" s="0" t="n">
        <v>0</v>
      </c>
      <c r="R1086" s="60" t="n">
        <f aca="false">G1086+H1086+I1086</f>
        <v>0.03</v>
      </c>
      <c r="S1086" s="60" t="n">
        <f aca="false">K1086+L1086+M1086+N1086+O1086</f>
        <v>0.01</v>
      </c>
      <c r="T1086" s="60" t="n">
        <f aca="false">L1086+M1086</f>
        <v>0.01</v>
      </c>
      <c r="U1086" s="60" t="n">
        <f aca="false">S1086+J1086</f>
        <v>0.01</v>
      </c>
      <c r="V1086" s="63" t="n">
        <f aca="false">IFERROR(S1086/F1086,0)</f>
        <v>0.25</v>
      </c>
      <c r="W1086" s="63" t="n">
        <f aca="false">IFERROR(R1086/F1086,0)</f>
        <v>0.75</v>
      </c>
      <c r="X1086" s="63" t="n">
        <f aca="false">IFERROR(T1086/F1086,0)</f>
        <v>0.25</v>
      </c>
      <c r="Y1086" s="63" t="n">
        <f aca="false">IFERROR(G1086/F1086,0)</f>
        <v>0</v>
      </c>
      <c r="Z1086" s="59" t="n">
        <f aca="false">IF(E1086&gt;0,F1086*1000000000/E1086,"")</f>
        <v>297.351342913002</v>
      </c>
      <c r="AA1086" s="63" t="n">
        <f aca="false">IFERROR((R1086+S1086+J1086)/F1086,0)</f>
        <v>1</v>
      </c>
      <c r="AB1086" s="0" t="str">
        <f aca="false">A1086&amp;"|"&amp;D1086</f>
        <v>Kiribati|2024</v>
      </c>
    </row>
    <row r="1087" customFormat="false" ht="15" hidden="false" customHeight="false" outlineLevel="0" collapsed="false">
      <c r="A1087" s="0" t="s">
        <v>284</v>
      </c>
      <c r="B1087" s="0" t="s">
        <v>523</v>
      </c>
      <c r="C1087" s="0" t="s">
        <v>127</v>
      </c>
      <c r="D1087" s="0" t="n">
        <v>2015</v>
      </c>
      <c r="E1087" s="59" t="n">
        <v>3834465</v>
      </c>
      <c r="F1087" s="60" t="n">
        <v>68.3</v>
      </c>
      <c r="G1087" s="61" t="n">
        <v>0</v>
      </c>
      <c r="H1087" s="61" t="n">
        <v>37.77</v>
      </c>
      <c r="I1087" s="61" t="n">
        <v>30.52</v>
      </c>
      <c r="J1087" s="61" t="n">
        <v>0</v>
      </c>
      <c r="K1087" s="61" t="n">
        <v>0</v>
      </c>
      <c r="L1087" s="61" t="n">
        <v>0</v>
      </c>
      <c r="M1087" s="61" t="n">
        <v>0.01</v>
      </c>
      <c r="N1087" s="61" t="n">
        <v>0</v>
      </c>
      <c r="O1087" s="61" t="n">
        <v>0</v>
      </c>
      <c r="P1087" s="62" t="n">
        <v>650.5</v>
      </c>
      <c r="Q1087" s="0" t="n">
        <v>0</v>
      </c>
      <c r="R1087" s="60" t="n">
        <f aca="false">G1087+H1087+I1087</f>
        <v>68.29</v>
      </c>
      <c r="S1087" s="60" t="n">
        <f aca="false">K1087+L1087+M1087+N1087+O1087</f>
        <v>0.01</v>
      </c>
      <c r="T1087" s="60" t="n">
        <f aca="false">L1087+M1087</f>
        <v>0.01</v>
      </c>
      <c r="U1087" s="60" t="n">
        <f aca="false">S1087+J1087</f>
        <v>0.01</v>
      </c>
      <c r="V1087" s="63" t="n">
        <f aca="false">IFERROR(S1087/F1087,0)</f>
        <v>0.000146412884333821</v>
      </c>
      <c r="W1087" s="63" t="n">
        <f aca="false">IFERROR(R1087/F1087,0)</f>
        <v>0.999853587115666</v>
      </c>
      <c r="X1087" s="63" t="n">
        <f aca="false">IFERROR(T1087/F1087,0)</f>
        <v>0.000146412884333821</v>
      </c>
      <c r="Y1087" s="63" t="n">
        <f aca="false">IFERROR(G1087/F1087,0)</f>
        <v>0</v>
      </c>
      <c r="Z1087" s="59" t="n">
        <f aca="false">IF(E1087&gt;0,F1087*1000000000/E1087,"")</f>
        <v>17812.1328529534</v>
      </c>
      <c r="AA1087" s="63" t="n">
        <f aca="false">IFERROR((R1087+S1087+J1087)/F1087,0)</f>
        <v>1</v>
      </c>
      <c r="AB1087" s="0" t="str">
        <f aca="false">A1087&amp;"|"&amp;D1087</f>
        <v>Kuwait|2015</v>
      </c>
    </row>
    <row r="1088" customFormat="false" ht="15" hidden="false" customHeight="false" outlineLevel="0" collapsed="false">
      <c r="A1088" s="0" t="s">
        <v>284</v>
      </c>
      <c r="B1088" s="0" t="s">
        <v>523</v>
      </c>
      <c r="C1088" s="0" t="s">
        <v>127</v>
      </c>
      <c r="D1088" s="0" t="n">
        <v>2016</v>
      </c>
      <c r="E1088" s="59" t="n">
        <v>4003976</v>
      </c>
      <c r="F1088" s="60" t="n">
        <v>70.1</v>
      </c>
      <c r="G1088" s="61" t="n">
        <v>0</v>
      </c>
      <c r="H1088" s="61" t="n">
        <v>40.73</v>
      </c>
      <c r="I1088" s="61" t="n">
        <v>29.35</v>
      </c>
      <c r="J1088" s="61" t="n">
        <v>0</v>
      </c>
      <c r="K1088" s="61" t="n">
        <v>0</v>
      </c>
      <c r="L1088" s="61" t="n">
        <v>0.01</v>
      </c>
      <c r="M1088" s="61" t="n">
        <v>0.01</v>
      </c>
      <c r="N1088" s="61" t="n">
        <v>0</v>
      </c>
      <c r="O1088" s="61" t="n">
        <v>0</v>
      </c>
      <c r="P1088" s="62" t="n">
        <v>650.1</v>
      </c>
      <c r="Q1088" s="0" t="n">
        <v>0</v>
      </c>
      <c r="R1088" s="60" t="n">
        <f aca="false">G1088+H1088+I1088</f>
        <v>70.08</v>
      </c>
      <c r="S1088" s="60" t="n">
        <f aca="false">K1088+L1088+M1088+N1088+O1088</f>
        <v>0.02</v>
      </c>
      <c r="T1088" s="60" t="n">
        <f aca="false">L1088+M1088</f>
        <v>0.02</v>
      </c>
      <c r="U1088" s="60" t="n">
        <f aca="false">S1088+J1088</f>
        <v>0.02</v>
      </c>
      <c r="V1088" s="63" t="n">
        <f aca="false">IFERROR(S1088/F1088,0)</f>
        <v>0.000285306704707561</v>
      </c>
      <c r="W1088" s="63" t="n">
        <f aca="false">IFERROR(R1088/F1088,0)</f>
        <v>0.999714693295293</v>
      </c>
      <c r="X1088" s="63" t="n">
        <f aca="false">IFERROR(T1088/F1088,0)</f>
        <v>0.000285306704707561</v>
      </c>
      <c r="Y1088" s="63" t="n">
        <f aca="false">IFERROR(G1088/F1088,0)</f>
        <v>0</v>
      </c>
      <c r="Z1088" s="59" t="n">
        <f aca="false">IF(E1088&gt;0,F1088*1000000000/E1088,"")</f>
        <v>17507.5974481366</v>
      </c>
      <c r="AA1088" s="63" t="n">
        <f aca="false">IFERROR((R1088+S1088+J1088)/F1088,0)</f>
        <v>1</v>
      </c>
      <c r="AB1088" s="0" t="str">
        <f aca="false">A1088&amp;"|"&amp;D1088</f>
        <v>Kuwait|2016</v>
      </c>
    </row>
    <row r="1089" customFormat="false" ht="15" hidden="false" customHeight="false" outlineLevel="0" collapsed="false">
      <c r="A1089" s="0" t="s">
        <v>284</v>
      </c>
      <c r="B1089" s="0" t="s">
        <v>523</v>
      </c>
      <c r="C1089" s="0" t="s">
        <v>127</v>
      </c>
      <c r="D1089" s="0" t="n">
        <v>2017</v>
      </c>
      <c r="E1089" s="59" t="n">
        <v>4154686</v>
      </c>
      <c r="F1089" s="60" t="n">
        <v>68.89</v>
      </c>
      <c r="G1089" s="61" t="n">
        <v>0</v>
      </c>
      <c r="H1089" s="61" t="n">
        <v>36.41</v>
      </c>
      <c r="I1089" s="61" t="n">
        <v>32.44</v>
      </c>
      <c r="J1089" s="61" t="n">
        <v>0</v>
      </c>
      <c r="K1089" s="61" t="n">
        <v>0</v>
      </c>
      <c r="L1089" s="61" t="n">
        <v>0.01</v>
      </c>
      <c r="M1089" s="61" t="n">
        <v>0.03</v>
      </c>
      <c r="N1089" s="61" t="n">
        <v>0</v>
      </c>
      <c r="O1089" s="61" t="n">
        <v>0</v>
      </c>
      <c r="P1089" s="62" t="n">
        <v>650.6</v>
      </c>
      <c r="Q1089" s="0" t="n">
        <v>0</v>
      </c>
      <c r="R1089" s="60" t="n">
        <f aca="false">G1089+H1089+I1089</f>
        <v>68.85</v>
      </c>
      <c r="S1089" s="60" t="n">
        <f aca="false">K1089+L1089+M1089+N1089+O1089</f>
        <v>0.04</v>
      </c>
      <c r="T1089" s="60" t="n">
        <f aca="false">L1089+M1089</f>
        <v>0.04</v>
      </c>
      <c r="U1089" s="60" t="n">
        <f aca="false">S1089+J1089</f>
        <v>0.04</v>
      </c>
      <c r="V1089" s="63" t="n">
        <f aca="false">IFERROR(S1089/F1089,0)</f>
        <v>0.000580635796196836</v>
      </c>
      <c r="W1089" s="63" t="n">
        <f aca="false">IFERROR(R1089/F1089,0)</f>
        <v>0.999419364203803</v>
      </c>
      <c r="X1089" s="63" t="n">
        <f aca="false">IFERROR(T1089/F1089,0)</f>
        <v>0.000580635796196836</v>
      </c>
      <c r="Y1089" s="63" t="n">
        <f aca="false">IFERROR(G1089/F1089,0)</f>
        <v>0</v>
      </c>
      <c r="Z1089" s="59" t="n">
        <f aca="false">IF(E1089&gt;0,F1089*1000000000/E1089,"")</f>
        <v>16581.2771410403</v>
      </c>
      <c r="AA1089" s="63" t="n">
        <f aca="false">IFERROR((R1089+S1089+J1089)/F1089,0)</f>
        <v>1</v>
      </c>
      <c r="AB1089" s="0" t="str">
        <f aca="false">A1089&amp;"|"&amp;D1089</f>
        <v>Kuwait|2017</v>
      </c>
    </row>
    <row r="1090" customFormat="false" ht="15" hidden="false" customHeight="false" outlineLevel="0" collapsed="false">
      <c r="A1090" s="0" t="s">
        <v>284</v>
      </c>
      <c r="B1090" s="0" t="s">
        <v>523</v>
      </c>
      <c r="C1090" s="0" t="s">
        <v>127</v>
      </c>
      <c r="D1090" s="0" t="n">
        <v>2018</v>
      </c>
      <c r="E1090" s="59" t="n">
        <v>4323389</v>
      </c>
      <c r="F1090" s="60" t="n">
        <v>74.13</v>
      </c>
      <c r="G1090" s="61" t="n">
        <v>0</v>
      </c>
      <c r="H1090" s="61" t="n">
        <v>39.44</v>
      </c>
      <c r="I1090" s="61" t="n">
        <v>34.6</v>
      </c>
      <c r="J1090" s="61" t="n">
        <v>0</v>
      </c>
      <c r="K1090" s="61" t="n">
        <v>0</v>
      </c>
      <c r="L1090" s="61" t="n">
        <v>0.05</v>
      </c>
      <c r="M1090" s="61" t="n">
        <v>0.04</v>
      </c>
      <c r="N1090" s="61" t="n">
        <v>0</v>
      </c>
      <c r="O1090" s="61" t="n">
        <v>0</v>
      </c>
      <c r="P1090" s="62" t="n">
        <v>650.1</v>
      </c>
      <c r="Q1090" s="0" t="n">
        <v>0</v>
      </c>
      <c r="R1090" s="60" t="n">
        <f aca="false">G1090+H1090+I1090</f>
        <v>74.04</v>
      </c>
      <c r="S1090" s="60" t="n">
        <f aca="false">K1090+L1090+M1090+N1090+O1090</f>
        <v>0.09</v>
      </c>
      <c r="T1090" s="60" t="n">
        <f aca="false">L1090+M1090</f>
        <v>0.09</v>
      </c>
      <c r="U1090" s="60" t="n">
        <f aca="false">S1090+J1090</f>
        <v>0.09</v>
      </c>
      <c r="V1090" s="63" t="n">
        <f aca="false">IFERROR(S1090/F1090,0)</f>
        <v>0.00121408336705787</v>
      </c>
      <c r="W1090" s="63" t="n">
        <f aca="false">IFERROR(R1090/F1090,0)</f>
        <v>0.998785916632942</v>
      </c>
      <c r="X1090" s="63" t="n">
        <f aca="false">IFERROR(T1090/F1090,0)</f>
        <v>0.00121408336705787</v>
      </c>
      <c r="Y1090" s="63" t="n">
        <f aca="false">IFERROR(G1090/F1090,0)</f>
        <v>0</v>
      </c>
      <c r="Z1090" s="59" t="n">
        <f aca="false">IF(E1090&gt;0,F1090*1000000000/E1090,"")</f>
        <v>17146.2711312815</v>
      </c>
      <c r="AA1090" s="63" t="n">
        <f aca="false">IFERROR((R1090+S1090+J1090)/F1090,0)</f>
        <v>1</v>
      </c>
      <c r="AB1090" s="0" t="str">
        <f aca="false">A1090&amp;"|"&amp;D1090</f>
        <v>Kuwait|2018</v>
      </c>
    </row>
    <row r="1091" customFormat="false" ht="15" hidden="false" customHeight="false" outlineLevel="0" collapsed="false">
      <c r="A1091" s="0" t="s">
        <v>284</v>
      </c>
      <c r="B1091" s="0" t="s">
        <v>523</v>
      </c>
      <c r="C1091" s="0" t="s">
        <v>127</v>
      </c>
      <c r="D1091" s="0" t="n">
        <v>2019</v>
      </c>
      <c r="E1091" s="59" t="n">
        <v>4442201</v>
      </c>
      <c r="F1091" s="60" t="n">
        <v>75.04</v>
      </c>
      <c r="G1091" s="61" t="n">
        <v>0</v>
      </c>
      <c r="H1091" s="61" t="n">
        <v>42.4</v>
      </c>
      <c r="I1091" s="61" t="n">
        <v>32.54</v>
      </c>
      <c r="J1091" s="61" t="n">
        <v>0</v>
      </c>
      <c r="K1091" s="61" t="n">
        <v>0</v>
      </c>
      <c r="L1091" s="61" t="n">
        <v>0.06</v>
      </c>
      <c r="M1091" s="61" t="n">
        <v>0.04</v>
      </c>
      <c r="N1091" s="61" t="n">
        <v>0</v>
      </c>
      <c r="O1091" s="61" t="n">
        <v>0</v>
      </c>
      <c r="P1091" s="62" t="n">
        <v>649.5</v>
      </c>
      <c r="Q1091" s="0" t="n">
        <v>0</v>
      </c>
      <c r="R1091" s="60" t="n">
        <f aca="false">G1091+H1091+I1091</f>
        <v>74.94</v>
      </c>
      <c r="S1091" s="60" t="n">
        <f aca="false">K1091+L1091+M1091+N1091+O1091</f>
        <v>0.1</v>
      </c>
      <c r="T1091" s="60" t="n">
        <f aca="false">L1091+M1091</f>
        <v>0.1</v>
      </c>
      <c r="U1091" s="60" t="n">
        <f aca="false">S1091+J1091</f>
        <v>0.1</v>
      </c>
      <c r="V1091" s="63" t="n">
        <f aca="false">IFERROR(S1091/F1091,0)</f>
        <v>0.00133262260127932</v>
      </c>
      <c r="W1091" s="63" t="n">
        <f aca="false">IFERROR(R1091/F1091,0)</f>
        <v>0.998667377398721</v>
      </c>
      <c r="X1091" s="63" t="n">
        <f aca="false">IFERROR(T1091/F1091,0)</f>
        <v>0.00133262260127932</v>
      </c>
      <c r="Y1091" s="63" t="n">
        <f aca="false">IFERROR(G1091/F1091,0)</f>
        <v>0</v>
      </c>
      <c r="Z1091" s="59" t="n">
        <f aca="false">IF(E1091&gt;0,F1091*1000000000/E1091,"")</f>
        <v>16892.5269252787</v>
      </c>
      <c r="AA1091" s="63" t="n">
        <f aca="false">IFERROR((R1091+S1091+J1091)/F1091,0)</f>
        <v>1</v>
      </c>
      <c r="AB1091" s="0" t="str">
        <f aca="false">A1091&amp;"|"&amp;D1091</f>
        <v>Kuwait|2019</v>
      </c>
    </row>
    <row r="1092" customFormat="false" ht="15" hidden="false" customHeight="false" outlineLevel="0" collapsed="false">
      <c r="A1092" s="0" t="s">
        <v>284</v>
      </c>
      <c r="B1092" s="0" t="s">
        <v>523</v>
      </c>
      <c r="C1092" s="0" t="s">
        <v>127</v>
      </c>
      <c r="D1092" s="0" t="n">
        <v>2020</v>
      </c>
      <c r="E1092" s="59" t="n">
        <v>4400146</v>
      </c>
      <c r="F1092" s="60" t="n">
        <v>74.64</v>
      </c>
      <c r="G1092" s="61" t="n">
        <v>0</v>
      </c>
      <c r="H1092" s="61" t="n">
        <v>39.24</v>
      </c>
      <c r="I1092" s="61" t="n">
        <v>35.31</v>
      </c>
      <c r="J1092" s="61" t="n">
        <v>0</v>
      </c>
      <c r="K1092" s="61" t="n">
        <v>0</v>
      </c>
      <c r="L1092" s="61" t="n">
        <v>0.06</v>
      </c>
      <c r="M1092" s="61" t="n">
        <v>0.03</v>
      </c>
      <c r="N1092" s="61" t="n">
        <v>0</v>
      </c>
      <c r="O1092" s="61" t="n">
        <v>0</v>
      </c>
      <c r="P1092" s="62" t="n">
        <v>650.2</v>
      </c>
      <c r="Q1092" s="0" t="n">
        <v>0</v>
      </c>
      <c r="R1092" s="60" t="n">
        <f aca="false">G1092+H1092+I1092</f>
        <v>74.55</v>
      </c>
      <c r="S1092" s="60" t="n">
        <f aca="false">K1092+L1092+M1092+N1092+O1092</f>
        <v>0.09</v>
      </c>
      <c r="T1092" s="60" t="n">
        <f aca="false">L1092+M1092</f>
        <v>0.09</v>
      </c>
      <c r="U1092" s="60" t="n">
        <f aca="false">S1092+J1092</f>
        <v>0.09</v>
      </c>
      <c r="V1092" s="63" t="n">
        <f aca="false">IFERROR(S1092/F1092,0)</f>
        <v>0.00120578778135048</v>
      </c>
      <c r="W1092" s="63" t="n">
        <f aca="false">IFERROR(R1092/F1092,0)</f>
        <v>0.99879421221865</v>
      </c>
      <c r="X1092" s="63" t="n">
        <f aca="false">IFERROR(T1092/F1092,0)</f>
        <v>0.00120578778135048</v>
      </c>
      <c r="Y1092" s="63" t="n">
        <f aca="false">IFERROR(G1092/F1092,0)</f>
        <v>0</v>
      </c>
      <c r="Z1092" s="59" t="n">
        <f aca="false">IF(E1092&gt;0,F1092*1000000000/E1092,"")</f>
        <v>16963.0734980157</v>
      </c>
      <c r="AA1092" s="63" t="n">
        <f aca="false">IFERROR((R1092+S1092+J1092)/F1092,0)</f>
        <v>1</v>
      </c>
      <c r="AB1092" s="0" t="str">
        <f aca="false">A1092&amp;"|"&amp;D1092</f>
        <v>Kuwait|2020</v>
      </c>
    </row>
    <row r="1093" customFormat="false" ht="15" hidden="false" customHeight="false" outlineLevel="0" collapsed="false">
      <c r="A1093" s="0" t="s">
        <v>284</v>
      </c>
      <c r="B1093" s="0" t="s">
        <v>523</v>
      </c>
      <c r="C1093" s="0" t="s">
        <v>127</v>
      </c>
      <c r="D1093" s="0" t="n">
        <v>2021</v>
      </c>
      <c r="E1093" s="59" t="n">
        <v>4360748</v>
      </c>
      <c r="F1093" s="60" t="n">
        <v>80.8</v>
      </c>
      <c r="G1093" s="61" t="n">
        <v>0</v>
      </c>
      <c r="H1093" s="61" t="n">
        <v>41.08</v>
      </c>
      <c r="I1093" s="61" t="n">
        <v>39.51</v>
      </c>
      <c r="J1093" s="61" t="n">
        <v>0</v>
      </c>
      <c r="K1093" s="61" t="n">
        <v>0</v>
      </c>
      <c r="L1093" s="61" t="n">
        <v>0.14</v>
      </c>
      <c r="M1093" s="61" t="n">
        <v>0.07</v>
      </c>
      <c r="N1093" s="61" t="n">
        <v>0</v>
      </c>
      <c r="O1093" s="61" t="n">
        <v>0</v>
      </c>
      <c r="P1093" s="62" t="n">
        <v>649.6</v>
      </c>
      <c r="Q1093" s="0" t="n">
        <v>0</v>
      </c>
      <c r="R1093" s="60" t="n">
        <f aca="false">G1093+H1093+I1093</f>
        <v>80.59</v>
      </c>
      <c r="S1093" s="60" t="n">
        <f aca="false">K1093+L1093+M1093+N1093+O1093</f>
        <v>0.21</v>
      </c>
      <c r="T1093" s="60" t="n">
        <f aca="false">L1093+M1093</f>
        <v>0.21</v>
      </c>
      <c r="U1093" s="60" t="n">
        <f aca="false">S1093+J1093</f>
        <v>0.21</v>
      </c>
      <c r="V1093" s="63" t="n">
        <f aca="false">IFERROR(S1093/F1093,0)</f>
        <v>0.0025990099009901</v>
      </c>
      <c r="W1093" s="63" t="n">
        <f aca="false">IFERROR(R1093/F1093,0)</f>
        <v>0.99740099009901</v>
      </c>
      <c r="X1093" s="63" t="n">
        <f aca="false">IFERROR(T1093/F1093,0)</f>
        <v>0.0025990099009901</v>
      </c>
      <c r="Y1093" s="63" t="n">
        <f aca="false">IFERROR(G1093/F1093,0)</f>
        <v>0</v>
      </c>
      <c r="Z1093" s="59" t="n">
        <f aca="false">IF(E1093&gt;0,F1093*1000000000/E1093,"")</f>
        <v>18528.9312750932</v>
      </c>
      <c r="AA1093" s="63" t="n">
        <f aca="false">IFERROR((R1093+S1093+J1093)/F1093,0)</f>
        <v>1</v>
      </c>
      <c r="AB1093" s="0" t="str">
        <f aca="false">A1093&amp;"|"&amp;D1093</f>
        <v>Kuwait|2021</v>
      </c>
    </row>
    <row r="1094" customFormat="false" ht="15" hidden="false" customHeight="false" outlineLevel="0" collapsed="false">
      <c r="A1094" s="0" t="s">
        <v>284</v>
      </c>
      <c r="B1094" s="0" t="s">
        <v>523</v>
      </c>
      <c r="C1094" s="0" t="s">
        <v>127</v>
      </c>
      <c r="D1094" s="0" t="n">
        <v>2022</v>
      </c>
      <c r="E1094" s="59" t="n">
        <v>4589514</v>
      </c>
      <c r="F1094" s="60" t="n">
        <v>85.29</v>
      </c>
      <c r="G1094" s="61" t="n">
        <v>0</v>
      </c>
      <c r="H1094" s="61" t="n">
        <v>43.51</v>
      </c>
      <c r="I1094" s="61" t="n">
        <v>39.88</v>
      </c>
      <c r="J1094" s="61" t="n">
        <v>0</v>
      </c>
      <c r="K1094" s="61" t="n">
        <v>0</v>
      </c>
      <c r="L1094" s="61" t="n">
        <v>0.18</v>
      </c>
      <c r="M1094" s="61" t="n">
        <v>1.72</v>
      </c>
      <c r="N1094" s="61" t="n">
        <v>0</v>
      </c>
      <c r="O1094" s="61" t="n">
        <v>0</v>
      </c>
      <c r="P1094" s="62" t="n">
        <v>636.9</v>
      </c>
      <c r="Q1094" s="0" t="n">
        <v>0</v>
      </c>
      <c r="R1094" s="60" t="n">
        <f aca="false">G1094+H1094+I1094</f>
        <v>83.39</v>
      </c>
      <c r="S1094" s="60" t="n">
        <f aca="false">K1094+L1094+M1094+N1094+O1094</f>
        <v>1.9</v>
      </c>
      <c r="T1094" s="60" t="n">
        <f aca="false">L1094+M1094</f>
        <v>1.9</v>
      </c>
      <c r="U1094" s="60" t="n">
        <f aca="false">S1094+J1094</f>
        <v>1.9</v>
      </c>
      <c r="V1094" s="63" t="n">
        <f aca="false">IFERROR(S1094/F1094,0)</f>
        <v>0.0222769375073279</v>
      </c>
      <c r="W1094" s="63" t="n">
        <f aca="false">IFERROR(R1094/F1094,0)</f>
        <v>0.977723062492672</v>
      </c>
      <c r="X1094" s="63" t="n">
        <f aca="false">IFERROR(T1094/F1094,0)</f>
        <v>0.0222769375073279</v>
      </c>
      <c r="Y1094" s="63" t="n">
        <f aca="false">IFERROR(G1094/F1094,0)</f>
        <v>0</v>
      </c>
      <c r="Z1094" s="59" t="n">
        <f aca="false">IF(E1094&gt;0,F1094*1000000000/E1094,"")</f>
        <v>18583.6670287965</v>
      </c>
      <c r="AA1094" s="63" t="n">
        <f aca="false">IFERROR((R1094+S1094+J1094)/F1094,0)</f>
        <v>1</v>
      </c>
      <c r="AB1094" s="0" t="str">
        <f aca="false">A1094&amp;"|"&amp;D1094</f>
        <v>Kuwait|2022</v>
      </c>
    </row>
    <row r="1095" customFormat="false" ht="15" hidden="false" customHeight="false" outlineLevel="0" collapsed="false">
      <c r="A1095" s="0" t="s">
        <v>284</v>
      </c>
      <c r="B1095" s="0" t="s">
        <v>523</v>
      </c>
      <c r="C1095" s="0" t="s">
        <v>127</v>
      </c>
      <c r="D1095" s="0" t="n">
        <v>2023</v>
      </c>
      <c r="E1095" s="59" t="n">
        <v>4838781</v>
      </c>
      <c r="F1095" s="60" t="n">
        <v>89.76</v>
      </c>
      <c r="G1095" s="61" t="n">
        <v>0</v>
      </c>
      <c r="H1095" s="61" t="n">
        <v>55.06</v>
      </c>
      <c r="I1095" s="61" t="n">
        <v>32.79</v>
      </c>
      <c r="J1095" s="61" t="n">
        <v>0</v>
      </c>
      <c r="K1095" s="61" t="n">
        <v>0</v>
      </c>
      <c r="L1095" s="61" t="n">
        <v>0.19</v>
      </c>
      <c r="M1095" s="61" t="n">
        <v>1.72</v>
      </c>
      <c r="N1095" s="61" t="n">
        <v>0</v>
      </c>
      <c r="O1095" s="61" t="n">
        <v>0</v>
      </c>
      <c r="P1095" s="62" t="n">
        <v>636.1</v>
      </c>
      <c r="Q1095" s="0" t="n">
        <v>0</v>
      </c>
      <c r="R1095" s="60" t="n">
        <f aca="false">G1095+H1095+I1095</f>
        <v>87.85</v>
      </c>
      <c r="S1095" s="60" t="n">
        <f aca="false">K1095+L1095+M1095+N1095+O1095</f>
        <v>1.91</v>
      </c>
      <c r="T1095" s="60" t="n">
        <f aca="false">L1095+M1095</f>
        <v>1.91</v>
      </c>
      <c r="U1095" s="60" t="n">
        <f aca="false">S1095+J1095</f>
        <v>1.91</v>
      </c>
      <c r="V1095" s="63" t="n">
        <f aca="false">IFERROR(S1095/F1095,0)</f>
        <v>0.0212789661319073</v>
      </c>
      <c r="W1095" s="63" t="n">
        <f aca="false">IFERROR(R1095/F1095,0)</f>
        <v>0.978721033868093</v>
      </c>
      <c r="X1095" s="63" t="n">
        <f aca="false">IFERROR(T1095/F1095,0)</f>
        <v>0.0212789661319073</v>
      </c>
      <c r="Y1095" s="63" t="n">
        <f aca="false">IFERROR(G1095/F1095,0)</f>
        <v>0</v>
      </c>
      <c r="Z1095" s="59" t="n">
        <f aca="false">IF(E1095&gt;0,F1095*1000000000/E1095,"")</f>
        <v>18550.1265711343</v>
      </c>
      <c r="AA1095" s="63" t="n">
        <f aca="false">IFERROR((R1095+S1095+J1095)/F1095,0)</f>
        <v>1</v>
      </c>
      <c r="AB1095" s="0" t="str">
        <f aca="false">A1095&amp;"|"&amp;D1095</f>
        <v>Kuwait|2023</v>
      </c>
    </row>
    <row r="1096" customFormat="false" ht="15" hidden="false" customHeight="false" outlineLevel="0" collapsed="false">
      <c r="A1096" s="0" t="s">
        <v>284</v>
      </c>
      <c r="B1096" s="0" t="s">
        <v>523</v>
      </c>
      <c r="C1096" s="0" t="s">
        <v>127</v>
      </c>
      <c r="D1096" s="0" t="n">
        <v>2024</v>
      </c>
      <c r="E1096" s="59" t="n">
        <v>4934508</v>
      </c>
      <c r="F1096" s="60" t="n">
        <v>92.49</v>
      </c>
      <c r="G1096" s="61" t="n">
        <v>0</v>
      </c>
      <c r="H1096" s="61" t="n">
        <v>57.42</v>
      </c>
      <c r="I1096" s="61" t="n">
        <v>33</v>
      </c>
      <c r="J1096" s="61" t="n">
        <v>0</v>
      </c>
      <c r="K1096" s="61" t="n">
        <v>0</v>
      </c>
      <c r="L1096" s="61" t="n">
        <v>0.21</v>
      </c>
      <c r="M1096" s="61" t="n">
        <v>1.86</v>
      </c>
      <c r="N1096" s="61" t="n">
        <v>0</v>
      </c>
      <c r="O1096" s="61" t="n">
        <v>0</v>
      </c>
      <c r="P1096" s="62" t="n">
        <v>635.2</v>
      </c>
      <c r="Q1096" s="0" t="n">
        <v>0</v>
      </c>
      <c r="R1096" s="60" t="n">
        <f aca="false">G1096+H1096+I1096</f>
        <v>90.42</v>
      </c>
      <c r="S1096" s="60" t="n">
        <f aca="false">K1096+L1096+M1096+N1096+O1096</f>
        <v>2.07</v>
      </c>
      <c r="T1096" s="60" t="n">
        <f aca="false">L1096+M1096</f>
        <v>2.07</v>
      </c>
      <c r="U1096" s="60" t="n">
        <f aca="false">S1096+J1096</f>
        <v>2.07</v>
      </c>
      <c r="V1096" s="63" t="n">
        <f aca="false">IFERROR(S1096/F1096,0)</f>
        <v>0.0223807979240999</v>
      </c>
      <c r="W1096" s="63" t="n">
        <f aca="false">IFERROR(R1096/F1096,0)</f>
        <v>0.9776192020759</v>
      </c>
      <c r="X1096" s="63" t="n">
        <f aca="false">IFERROR(T1096/F1096,0)</f>
        <v>0.0223807979240999</v>
      </c>
      <c r="Y1096" s="63" t="n">
        <f aca="false">IFERROR(G1096/F1096,0)</f>
        <v>0</v>
      </c>
      <c r="Z1096" s="59" t="n">
        <f aca="false">IF(E1096&gt;0,F1096*1000000000/E1096,"")</f>
        <v>18743.5099912696</v>
      </c>
      <c r="AA1096" s="63" t="n">
        <f aca="false">IFERROR((R1096+S1096+J1096)/F1096,0)</f>
        <v>1</v>
      </c>
      <c r="AB1096" s="0" t="str">
        <f aca="false">A1096&amp;"|"&amp;D1096</f>
        <v>Kuwait|2024</v>
      </c>
    </row>
    <row r="1097" customFormat="false" ht="15" hidden="false" customHeight="false" outlineLevel="0" collapsed="false">
      <c r="A1097" s="0" t="s">
        <v>284</v>
      </c>
      <c r="B1097" s="0" t="s">
        <v>523</v>
      </c>
      <c r="C1097" s="0" t="s">
        <v>127</v>
      </c>
      <c r="D1097" s="0" t="n">
        <v>2025</v>
      </c>
      <c r="E1097" s="59" t="n">
        <v>5026079</v>
      </c>
      <c r="F1097" s="60" t="n">
        <v>92.49</v>
      </c>
      <c r="G1097" s="61" t="n">
        <v>0</v>
      </c>
      <c r="H1097" s="61" t="n">
        <v>57.35</v>
      </c>
      <c r="I1097" s="61" t="n">
        <v>33.07</v>
      </c>
      <c r="J1097" s="61" t="n">
        <v>0</v>
      </c>
      <c r="K1097" s="61" t="n">
        <v>0</v>
      </c>
      <c r="L1097" s="61" t="n">
        <v>0.21</v>
      </c>
      <c r="M1097" s="61" t="n">
        <v>1.86</v>
      </c>
      <c r="N1097" s="61" t="n">
        <v>0</v>
      </c>
      <c r="O1097" s="61" t="n">
        <v>0</v>
      </c>
      <c r="P1097" s="62" t="n">
        <v>635.3</v>
      </c>
      <c r="Q1097" s="0" t="n">
        <v>0</v>
      </c>
      <c r="R1097" s="60" t="n">
        <f aca="false">G1097+H1097+I1097</f>
        <v>90.42</v>
      </c>
      <c r="S1097" s="60" t="n">
        <f aca="false">K1097+L1097+M1097+N1097+O1097</f>
        <v>2.07</v>
      </c>
      <c r="T1097" s="60" t="n">
        <f aca="false">L1097+M1097</f>
        <v>2.07</v>
      </c>
      <c r="U1097" s="60" t="n">
        <f aca="false">S1097+J1097</f>
        <v>2.07</v>
      </c>
      <c r="V1097" s="63" t="n">
        <f aca="false">IFERROR(S1097/F1097,0)</f>
        <v>0.0223807979240999</v>
      </c>
      <c r="W1097" s="63" t="n">
        <f aca="false">IFERROR(R1097/F1097,0)</f>
        <v>0.9776192020759</v>
      </c>
      <c r="X1097" s="63" t="n">
        <f aca="false">IFERROR(T1097/F1097,0)</f>
        <v>0.0223807979240999</v>
      </c>
      <c r="Y1097" s="63" t="n">
        <f aca="false">IFERROR(G1097/F1097,0)</f>
        <v>0</v>
      </c>
      <c r="Z1097" s="59" t="n">
        <f aca="false">IF(E1097&gt;0,F1097*1000000000/E1097,"")</f>
        <v>18402.0187506006</v>
      </c>
      <c r="AA1097" s="63" t="n">
        <f aca="false">IFERROR((R1097+S1097+J1097)/F1097,0)</f>
        <v>1</v>
      </c>
      <c r="AB1097" s="0" t="str">
        <f aca="false">A1097&amp;"|"&amp;D1097</f>
        <v>Kuwait|2025</v>
      </c>
    </row>
    <row r="1098" customFormat="false" ht="15" hidden="false" customHeight="false" outlineLevel="0" collapsed="false">
      <c r="A1098" s="0" t="s">
        <v>285</v>
      </c>
      <c r="B1098" s="0" t="s">
        <v>524</v>
      </c>
      <c r="C1098" s="0" t="s">
        <v>127</v>
      </c>
      <c r="D1098" s="0" t="n">
        <v>2015</v>
      </c>
      <c r="E1098" s="59" t="n">
        <v>6001876</v>
      </c>
      <c r="F1098" s="60" t="n">
        <v>12.92</v>
      </c>
      <c r="G1098" s="61" t="n">
        <v>1.72</v>
      </c>
      <c r="H1098" s="61" t="n">
        <v>0.17</v>
      </c>
      <c r="I1098" s="61" t="n">
        <v>0.04</v>
      </c>
      <c r="J1098" s="61" t="n">
        <v>0</v>
      </c>
      <c r="K1098" s="61" t="n">
        <v>10.99</v>
      </c>
      <c r="L1098" s="61" t="n">
        <v>0</v>
      </c>
      <c r="M1098" s="61" t="n">
        <v>0</v>
      </c>
      <c r="N1098" s="61" t="n">
        <v>0</v>
      </c>
      <c r="O1098" s="61" t="n">
        <v>0</v>
      </c>
      <c r="P1098" s="62" t="n">
        <v>154.8</v>
      </c>
      <c r="Q1098" s="0" t="n">
        <v>0</v>
      </c>
      <c r="R1098" s="60" t="n">
        <f aca="false">G1098+H1098+I1098</f>
        <v>1.93</v>
      </c>
      <c r="S1098" s="60" t="n">
        <f aca="false">K1098+L1098+M1098+N1098+O1098</f>
        <v>10.99</v>
      </c>
      <c r="T1098" s="60" t="n">
        <f aca="false">L1098+M1098</f>
        <v>0</v>
      </c>
      <c r="U1098" s="60" t="n">
        <f aca="false">S1098+J1098</f>
        <v>10.99</v>
      </c>
      <c r="V1098" s="63" t="n">
        <f aca="false">IFERROR(S1098/F1098,0)</f>
        <v>0.85061919504644</v>
      </c>
      <c r="W1098" s="63" t="n">
        <f aca="false">IFERROR(R1098/F1098,0)</f>
        <v>0.14938080495356</v>
      </c>
      <c r="X1098" s="63" t="n">
        <f aca="false">IFERROR(T1098/F1098,0)</f>
        <v>0</v>
      </c>
      <c r="Y1098" s="63" t="n">
        <f aca="false">IFERROR(G1098/F1098,0)</f>
        <v>0.13312693498452</v>
      </c>
      <c r="Z1098" s="59" t="n">
        <f aca="false">IF(E1098&gt;0,F1098*1000000000/E1098,"")</f>
        <v>2152.6602682228</v>
      </c>
      <c r="AA1098" s="63" t="n">
        <f aca="false">IFERROR((R1098+S1098+J1098)/F1098,0)</f>
        <v>1</v>
      </c>
      <c r="AB1098" s="0" t="str">
        <f aca="false">A1098&amp;"|"&amp;D1098</f>
        <v>Kyrgyzstan|2015</v>
      </c>
    </row>
    <row r="1099" customFormat="false" ht="15" hidden="false" customHeight="false" outlineLevel="0" collapsed="false">
      <c r="A1099" s="0" t="s">
        <v>285</v>
      </c>
      <c r="B1099" s="0" t="s">
        <v>524</v>
      </c>
      <c r="C1099" s="0" t="s">
        <v>127</v>
      </c>
      <c r="D1099" s="0" t="n">
        <v>2016</v>
      </c>
      <c r="E1099" s="59" t="n">
        <v>6108460</v>
      </c>
      <c r="F1099" s="60" t="n">
        <v>13.15</v>
      </c>
      <c r="G1099" s="61" t="n">
        <v>1.56</v>
      </c>
      <c r="H1099" s="61" t="n">
        <v>0.19</v>
      </c>
      <c r="I1099" s="61" t="n">
        <v>0.02</v>
      </c>
      <c r="J1099" s="61" t="n">
        <v>0</v>
      </c>
      <c r="K1099" s="61" t="n">
        <v>11.38</v>
      </c>
      <c r="L1099" s="61" t="n">
        <v>0</v>
      </c>
      <c r="M1099" s="61" t="n">
        <v>0</v>
      </c>
      <c r="N1099" s="61" t="n">
        <v>0</v>
      </c>
      <c r="O1099" s="61" t="n">
        <v>0</v>
      </c>
      <c r="P1099" s="62" t="n">
        <v>139.2</v>
      </c>
      <c r="Q1099" s="0" t="n">
        <v>0</v>
      </c>
      <c r="R1099" s="60" t="n">
        <f aca="false">G1099+H1099+I1099</f>
        <v>1.77</v>
      </c>
      <c r="S1099" s="60" t="n">
        <f aca="false">K1099+L1099+M1099+N1099+O1099</f>
        <v>11.38</v>
      </c>
      <c r="T1099" s="60" t="n">
        <f aca="false">L1099+M1099</f>
        <v>0</v>
      </c>
      <c r="U1099" s="60" t="n">
        <f aca="false">S1099+J1099</f>
        <v>11.38</v>
      </c>
      <c r="V1099" s="63" t="n">
        <f aca="false">IFERROR(S1099/F1099,0)</f>
        <v>0.865399239543726</v>
      </c>
      <c r="W1099" s="63" t="n">
        <f aca="false">IFERROR(R1099/F1099,0)</f>
        <v>0.134600760456274</v>
      </c>
      <c r="X1099" s="63" t="n">
        <f aca="false">IFERROR(T1099/F1099,0)</f>
        <v>0</v>
      </c>
      <c r="Y1099" s="63" t="n">
        <f aca="false">IFERROR(G1099/F1099,0)</f>
        <v>0.118631178707224</v>
      </c>
      <c r="Z1099" s="59" t="n">
        <f aca="false">IF(E1099&gt;0,F1099*1000000000/E1099,"")</f>
        <v>2152.75208481352</v>
      </c>
      <c r="AA1099" s="63" t="n">
        <f aca="false">IFERROR((R1099+S1099+J1099)/F1099,0)</f>
        <v>1</v>
      </c>
      <c r="AB1099" s="0" t="str">
        <f aca="false">A1099&amp;"|"&amp;D1099</f>
        <v>Kyrgyzstan|2016</v>
      </c>
    </row>
    <row r="1100" customFormat="false" ht="15" hidden="false" customHeight="false" outlineLevel="0" collapsed="false">
      <c r="A1100" s="0" t="s">
        <v>285</v>
      </c>
      <c r="B1100" s="0" t="s">
        <v>524</v>
      </c>
      <c r="C1100" s="0" t="s">
        <v>127</v>
      </c>
      <c r="D1100" s="0" t="n">
        <v>2017</v>
      </c>
      <c r="E1100" s="59" t="n">
        <v>6220148</v>
      </c>
      <c r="F1100" s="60" t="n">
        <v>15.37</v>
      </c>
      <c r="G1100" s="61" t="n">
        <v>1.16</v>
      </c>
      <c r="H1100" s="61" t="n">
        <v>0.12</v>
      </c>
      <c r="I1100" s="61" t="n">
        <v>0.03</v>
      </c>
      <c r="J1100" s="61" t="n">
        <v>0</v>
      </c>
      <c r="K1100" s="61" t="n">
        <v>14.06</v>
      </c>
      <c r="L1100" s="61" t="n">
        <v>0</v>
      </c>
      <c r="M1100" s="61" t="n">
        <v>0</v>
      </c>
      <c r="N1100" s="61" t="n">
        <v>0</v>
      </c>
      <c r="O1100" s="61" t="n">
        <v>0</v>
      </c>
      <c r="P1100" s="62" t="n">
        <v>97.6</v>
      </c>
      <c r="Q1100" s="0" t="n">
        <v>0</v>
      </c>
      <c r="R1100" s="60" t="n">
        <f aca="false">G1100+H1100+I1100</f>
        <v>1.31</v>
      </c>
      <c r="S1100" s="60" t="n">
        <f aca="false">K1100+L1100+M1100+N1100+O1100</f>
        <v>14.06</v>
      </c>
      <c r="T1100" s="60" t="n">
        <f aca="false">L1100+M1100</f>
        <v>0</v>
      </c>
      <c r="U1100" s="60" t="n">
        <f aca="false">S1100+J1100</f>
        <v>14.06</v>
      </c>
      <c r="V1100" s="63" t="n">
        <f aca="false">IFERROR(S1100/F1100,0)</f>
        <v>0.91476903057905</v>
      </c>
      <c r="W1100" s="63" t="n">
        <f aca="false">IFERROR(R1100/F1100,0)</f>
        <v>0.0852309694209499</v>
      </c>
      <c r="X1100" s="63" t="n">
        <f aca="false">IFERROR(T1100/F1100,0)</f>
        <v>0</v>
      </c>
      <c r="Y1100" s="63" t="n">
        <f aca="false">IFERROR(G1100/F1100,0)</f>
        <v>0.0754716981132075</v>
      </c>
      <c r="Z1100" s="59" t="n">
        <f aca="false">IF(E1100&gt;0,F1100*1000000000/E1100,"")</f>
        <v>2471.00229769452</v>
      </c>
      <c r="AA1100" s="63" t="n">
        <f aca="false">IFERROR((R1100+S1100+J1100)/F1100,0)</f>
        <v>1</v>
      </c>
      <c r="AB1100" s="0" t="str">
        <f aca="false">A1100&amp;"|"&amp;D1100</f>
        <v>Kyrgyzstan|2017</v>
      </c>
    </row>
    <row r="1101" customFormat="false" ht="15" hidden="false" customHeight="false" outlineLevel="0" collapsed="false">
      <c r="A1101" s="0" t="s">
        <v>285</v>
      </c>
      <c r="B1101" s="0" t="s">
        <v>524</v>
      </c>
      <c r="C1101" s="0" t="s">
        <v>127</v>
      </c>
      <c r="D1101" s="0" t="n">
        <v>2018</v>
      </c>
      <c r="E1101" s="59" t="n">
        <v>6341733</v>
      </c>
      <c r="F1101" s="60" t="n">
        <v>15.43</v>
      </c>
      <c r="G1101" s="61" t="n">
        <v>1.09</v>
      </c>
      <c r="H1101" s="61" t="n">
        <v>0.08</v>
      </c>
      <c r="I1101" s="61" t="n">
        <v>0.09</v>
      </c>
      <c r="J1101" s="61" t="n">
        <v>0</v>
      </c>
      <c r="K1101" s="61" t="n">
        <v>14.17</v>
      </c>
      <c r="L1101" s="61" t="n">
        <v>0</v>
      </c>
      <c r="M1101" s="61" t="n">
        <v>0</v>
      </c>
      <c r="N1101" s="61" t="n">
        <v>0</v>
      </c>
      <c r="O1101" s="61" t="n">
        <v>0</v>
      </c>
      <c r="P1101" s="62" t="n">
        <v>95.3</v>
      </c>
      <c r="Q1101" s="0" t="n">
        <v>0</v>
      </c>
      <c r="R1101" s="60" t="n">
        <f aca="false">G1101+H1101+I1101</f>
        <v>1.26</v>
      </c>
      <c r="S1101" s="60" t="n">
        <f aca="false">K1101+L1101+M1101+N1101+O1101</f>
        <v>14.17</v>
      </c>
      <c r="T1101" s="60" t="n">
        <f aca="false">L1101+M1101</f>
        <v>0</v>
      </c>
      <c r="U1101" s="60" t="n">
        <f aca="false">S1101+J1101</f>
        <v>14.17</v>
      </c>
      <c r="V1101" s="63" t="n">
        <f aca="false">IFERROR(S1101/F1101,0)</f>
        <v>0.918340894361633</v>
      </c>
      <c r="W1101" s="63" t="n">
        <f aca="false">IFERROR(R1101/F1101,0)</f>
        <v>0.0816591056383668</v>
      </c>
      <c r="X1101" s="63" t="n">
        <f aca="false">IFERROR(T1101/F1101,0)</f>
        <v>0</v>
      </c>
      <c r="Y1101" s="63" t="n">
        <f aca="false">IFERROR(G1101/F1101,0)</f>
        <v>0.0706416072585872</v>
      </c>
      <c r="Z1101" s="59" t="n">
        <f aca="false">IF(E1101&gt;0,F1101*1000000000/E1101,"")</f>
        <v>2433.08887334109</v>
      </c>
      <c r="AA1101" s="63" t="n">
        <f aca="false">IFERROR((R1101+S1101+J1101)/F1101,0)</f>
        <v>1</v>
      </c>
      <c r="AB1101" s="0" t="str">
        <f aca="false">A1101&amp;"|"&amp;D1101</f>
        <v>Kyrgyzstan|2018</v>
      </c>
    </row>
    <row r="1102" customFormat="false" ht="15" hidden="false" customHeight="false" outlineLevel="0" collapsed="false">
      <c r="A1102" s="0" t="s">
        <v>285</v>
      </c>
      <c r="B1102" s="0" t="s">
        <v>524</v>
      </c>
      <c r="C1102" s="0" t="s">
        <v>127</v>
      </c>
      <c r="D1102" s="0" t="n">
        <v>2019</v>
      </c>
      <c r="E1102" s="59" t="n">
        <v>6494036</v>
      </c>
      <c r="F1102" s="60" t="n">
        <v>14.97</v>
      </c>
      <c r="G1102" s="61" t="n">
        <v>1.13</v>
      </c>
      <c r="H1102" s="61" t="n">
        <v>0.09</v>
      </c>
      <c r="I1102" s="61" t="n">
        <v>0.04</v>
      </c>
      <c r="J1102" s="61" t="n">
        <v>0</v>
      </c>
      <c r="K1102" s="61" t="n">
        <v>13.71</v>
      </c>
      <c r="L1102" s="61" t="n">
        <v>0</v>
      </c>
      <c r="M1102" s="61" t="n">
        <v>0</v>
      </c>
      <c r="N1102" s="61" t="n">
        <v>0</v>
      </c>
      <c r="O1102" s="61" t="n">
        <v>0</v>
      </c>
      <c r="P1102" s="62" t="n">
        <v>98.2</v>
      </c>
      <c r="Q1102" s="0" t="n">
        <v>0</v>
      </c>
      <c r="R1102" s="60" t="n">
        <f aca="false">G1102+H1102+I1102</f>
        <v>1.26</v>
      </c>
      <c r="S1102" s="60" t="n">
        <f aca="false">K1102+L1102+M1102+N1102+O1102</f>
        <v>13.71</v>
      </c>
      <c r="T1102" s="60" t="n">
        <f aca="false">L1102+M1102</f>
        <v>0</v>
      </c>
      <c r="U1102" s="60" t="n">
        <f aca="false">S1102+J1102</f>
        <v>13.71</v>
      </c>
      <c r="V1102" s="63" t="n">
        <f aca="false">IFERROR(S1102/F1102,0)</f>
        <v>0.915831663326653</v>
      </c>
      <c r="W1102" s="63" t="n">
        <f aca="false">IFERROR(R1102/F1102,0)</f>
        <v>0.0841683366733467</v>
      </c>
      <c r="X1102" s="63" t="n">
        <f aca="false">IFERROR(T1102/F1102,0)</f>
        <v>0</v>
      </c>
      <c r="Y1102" s="63" t="n">
        <f aca="false">IFERROR(G1102/F1102,0)</f>
        <v>0.0754843019372077</v>
      </c>
      <c r="Z1102" s="59" t="n">
        <f aca="false">IF(E1102&gt;0,F1102*1000000000/E1102,"")</f>
        <v>2305.19202542148</v>
      </c>
      <c r="AA1102" s="63" t="n">
        <f aca="false">IFERROR((R1102+S1102+J1102)/F1102,0)</f>
        <v>1</v>
      </c>
      <c r="AB1102" s="0" t="str">
        <f aca="false">A1102&amp;"|"&amp;D1102</f>
        <v>Kyrgyzstan|2019</v>
      </c>
    </row>
    <row r="1103" customFormat="false" ht="15" hidden="false" customHeight="false" outlineLevel="0" collapsed="false">
      <c r="A1103" s="0" t="s">
        <v>285</v>
      </c>
      <c r="B1103" s="0" t="s">
        <v>524</v>
      </c>
      <c r="C1103" s="0" t="s">
        <v>127</v>
      </c>
      <c r="D1103" s="0" t="n">
        <v>2020</v>
      </c>
      <c r="E1103" s="59" t="n">
        <v>6664143</v>
      </c>
      <c r="F1103" s="60" t="n">
        <v>15.4</v>
      </c>
      <c r="G1103" s="61" t="n">
        <v>1.29</v>
      </c>
      <c r="H1103" s="61" t="n">
        <v>0.08</v>
      </c>
      <c r="I1103" s="61" t="n">
        <v>0.05</v>
      </c>
      <c r="J1103" s="61" t="n">
        <v>0</v>
      </c>
      <c r="K1103" s="61" t="n">
        <v>13.98</v>
      </c>
      <c r="L1103" s="61" t="n">
        <v>0</v>
      </c>
      <c r="M1103" s="61" t="n">
        <v>0</v>
      </c>
      <c r="N1103" s="61" t="n">
        <v>0</v>
      </c>
      <c r="O1103" s="61" t="n">
        <v>0</v>
      </c>
      <c r="P1103" s="62" t="n">
        <v>105.2</v>
      </c>
      <c r="Q1103" s="0" t="n">
        <v>0</v>
      </c>
      <c r="R1103" s="60" t="n">
        <f aca="false">G1103+H1103+I1103</f>
        <v>1.42</v>
      </c>
      <c r="S1103" s="60" t="n">
        <f aca="false">K1103+L1103+M1103+N1103+O1103</f>
        <v>13.98</v>
      </c>
      <c r="T1103" s="60" t="n">
        <f aca="false">L1103+M1103</f>
        <v>0</v>
      </c>
      <c r="U1103" s="60" t="n">
        <f aca="false">S1103+J1103</f>
        <v>13.98</v>
      </c>
      <c r="V1103" s="63" t="n">
        <f aca="false">IFERROR(S1103/F1103,0)</f>
        <v>0.907792207792208</v>
      </c>
      <c r="W1103" s="63" t="n">
        <f aca="false">IFERROR(R1103/F1103,0)</f>
        <v>0.0922077922077922</v>
      </c>
      <c r="X1103" s="63" t="n">
        <f aca="false">IFERROR(T1103/F1103,0)</f>
        <v>0</v>
      </c>
      <c r="Y1103" s="63" t="n">
        <f aca="false">IFERROR(G1103/F1103,0)</f>
        <v>0.0837662337662338</v>
      </c>
      <c r="Z1103" s="59" t="n">
        <f aca="false">IF(E1103&gt;0,F1103*1000000000/E1103,"")</f>
        <v>2310.87478164859</v>
      </c>
      <c r="AA1103" s="63" t="n">
        <f aca="false">IFERROR((R1103+S1103+J1103)/F1103,0)</f>
        <v>1</v>
      </c>
      <c r="AB1103" s="0" t="str">
        <f aca="false">A1103&amp;"|"&amp;D1103</f>
        <v>Kyrgyzstan|2020</v>
      </c>
    </row>
    <row r="1104" customFormat="false" ht="15" hidden="false" customHeight="false" outlineLevel="0" collapsed="false">
      <c r="A1104" s="0" t="s">
        <v>285</v>
      </c>
      <c r="B1104" s="0" t="s">
        <v>524</v>
      </c>
      <c r="C1104" s="0" t="s">
        <v>127</v>
      </c>
      <c r="D1104" s="0" t="n">
        <v>2021</v>
      </c>
      <c r="E1104" s="59" t="n">
        <v>6820483</v>
      </c>
      <c r="F1104" s="60" t="n">
        <v>15.14</v>
      </c>
      <c r="G1104" s="61" t="n">
        <v>1.97</v>
      </c>
      <c r="H1104" s="61" t="n">
        <v>0.17</v>
      </c>
      <c r="I1104" s="61" t="n">
        <v>0.04</v>
      </c>
      <c r="J1104" s="61" t="n">
        <v>0</v>
      </c>
      <c r="K1104" s="61" t="n">
        <v>12.96</v>
      </c>
      <c r="L1104" s="61" t="n">
        <v>0</v>
      </c>
      <c r="M1104" s="61" t="n">
        <v>0</v>
      </c>
      <c r="N1104" s="61" t="n">
        <v>0</v>
      </c>
      <c r="O1104" s="61" t="n">
        <v>0</v>
      </c>
      <c r="P1104" s="62" t="n">
        <v>151.3</v>
      </c>
      <c r="Q1104" s="0" t="n">
        <v>0</v>
      </c>
      <c r="R1104" s="60" t="n">
        <f aca="false">G1104+H1104+I1104</f>
        <v>2.18</v>
      </c>
      <c r="S1104" s="60" t="n">
        <f aca="false">K1104+L1104+M1104+N1104+O1104</f>
        <v>12.96</v>
      </c>
      <c r="T1104" s="60" t="n">
        <f aca="false">L1104+M1104</f>
        <v>0</v>
      </c>
      <c r="U1104" s="60" t="n">
        <f aca="false">S1104+J1104</f>
        <v>12.96</v>
      </c>
      <c r="V1104" s="63" t="n">
        <f aca="false">IFERROR(S1104/F1104,0)</f>
        <v>0.856010568031704</v>
      </c>
      <c r="W1104" s="63" t="n">
        <f aca="false">IFERROR(R1104/F1104,0)</f>
        <v>0.143989431968296</v>
      </c>
      <c r="X1104" s="63" t="n">
        <f aca="false">IFERROR(T1104/F1104,0)</f>
        <v>0</v>
      </c>
      <c r="Y1104" s="63" t="n">
        <f aca="false">IFERROR(G1104/F1104,0)</f>
        <v>0.130118890356671</v>
      </c>
      <c r="Z1104" s="59" t="n">
        <f aca="false">IF(E1104&gt;0,F1104*1000000000/E1104,"")</f>
        <v>2219.78414138705</v>
      </c>
      <c r="AA1104" s="63" t="n">
        <f aca="false">IFERROR((R1104+S1104+J1104)/F1104,0)</f>
        <v>1</v>
      </c>
      <c r="AB1104" s="0" t="str">
        <f aca="false">A1104&amp;"|"&amp;D1104</f>
        <v>Kyrgyzstan|2021</v>
      </c>
    </row>
    <row r="1105" customFormat="false" ht="15" hidden="false" customHeight="false" outlineLevel="0" collapsed="false">
      <c r="A1105" s="0" t="s">
        <v>285</v>
      </c>
      <c r="B1105" s="0" t="s">
        <v>524</v>
      </c>
      <c r="C1105" s="0" t="s">
        <v>127</v>
      </c>
      <c r="D1105" s="0" t="n">
        <v>2022</v>
      </c>
      <c r="E1105" s="59" t="n">
        <v>6955792</v>
      </c>
      <c r="F1105" s="60" t="n">
        <v>13.82</v>
      </c>
      <c r="G1105" s="61" t="n">
        <v>1.76</v>
      </c>
      <c r="H1105" s="61" t="n">
        <v>0.12</v>
      </c>
      <c r="I1105" s="61" t="n">
        <v>0.04</v>
      </c>
      <c r="J1105" s="61" t="n">
        <v>0</v>
      </c>
      <c r="K1105" s="61" t="n">
        <v>11.9</v>
      </c>
      <c r="L1105" s="61" t="n">
        <v>0</v>
      </c>
      <c r="M1105" s="61" t="n">
        <v>0</v>
      </c>
      <c r="N1105" s="61" t="n">
        <v>0</v>
      </c>
      <c r="O1105" s="61" t="n">
        <v>0</v>
      </c>
      <c r="P1105" s="62" t="n">
        <v>146.9</v>
      </c>
      <c r="Q1105" s="0" t="n">
        <v>0</v>
      </c>
      <c r="R1105" s="60" t="n">
        <f aca="false">G1105+H1105+I1105</f>
        <v>1.92</v>
      </c>
      <c r="S1105" s="60" t="n">
        <f aca="false">K1105+L1105+M1105+N1105+O1105</f>
        <v>11.9</v>
      </c>
      <c r="T1105" s="60" t="n">
        <f aca="false">L1105+M1105</f>
        <v>0</v>
      </c>
      <c r="U1105" s="60" t="n">
        <f aca="false">S1105+J1105</f>
        <v>11.9</v>
      </c>
      <c r="V1105" s="63" t="n">
        <f aca="false">IFERROR(S1105/F1105,0)</f>
        <v>0.861070911722142</v>
      </c>
      <c r="W1105" s="63" t="n">
        <f aca="false">IFERROR(R1105/F1105,0)</f>
        <v>0.138929088277858</v>
      </c>
      <c r="X1105" s="63" t="n">
        <f aca="false">IFERROR(T1105/F1105,0)</f>
        <v>0</v>
      </c>
      <c r="Y1105" s="63" t="n">
        <f aca="false">IFERROR(G1105/F1105,0)</f>
        <v>0.127351664254703</v>
      </c>
      <c r="Z1105" s="59" t="n">
        <f aca="false">IF(E1105&gt;0,F1105*1000000000/E1105,"")</f>
        <v>1986.83341882564</v>
      </c>
      <c r="AA1105" s="63" t="n">
        <f aca="false">IFERROR((R1105+S1105+J1105)/F1105,0)</f>
        <v>1</v>
      </c>
      <c r="AB1105" s="0" t="str">
        <f aca="false">A1105&amp;"|"&amp;D1105</f>
        <v>Kyrgyzstan|2022</v>
      </c>
    </row>
    <row r="1106" customFormat="false" ht="15" hidden="false" customHeight="false" outlineLevel="0" collapsed="false">
      <c r="A1106" s="0" t="s">
        <v>285</v>
      </c>
      <c r="B1106" s="0" t="s">
        <v>524</v>
      </c>
      <c r="C1106" s="0" t="s">
        <v>127</v>
      </c>
      <c r="D1106" s="0" t="n">
        <v>2023</v>
      </c>
      <c r="E1106" s="59" t="n">
        <v>7073523</v>
      </c>
      <c r="F1106" s="60" t="n">
        <v>13.6</v>
      </c>
      <c r="G1106" s="61" t="n">
        <v>1.59</v>
      </c>
      <c r="H1106" s="61" t="n">
        <v>0.2</v>
      </c>
      <c r="I1106" s="61" t="n">
        <v>0.05</v>
      </c>
      <c r="J1106" s="61" t="n">
        <v>0</v>
      </c>
      <c r="K1106" s="61" t="n">
        <v>11.76</v>
      </c>
      <c r="L1106" s="61" t="n">
        <v>0</v>
      </c>
      <c r="M1106" s="61" t="n">
        <v>0</v>
      </c>
      <c r="N1106" s="61" t="n">
        <v>0</v>
      </c>
      <c r="O1106" s="61" t="n">
        <v>0</v>
      </c>
      <c r="P1106" s="62" t="n">
        <v>139.7</v>
      </c>
      <c r="Q1106" s="0" t="n">
        <v>0</v>
      </c>
      <c r="R1106" s="60" t="n">
        <f aca="false">G1106+H1106+I1106</f>
        <v>1.84</v>
      </c>
      <c r="S1106" s="60" t="n">
        <f aca="false">K1106+L1106+M1106+N1106+O1106</f>
        <v>11.76</v>
      </c>
      <c r="T1106" s="60" t="n">
        <f aca="false">L1106+M1106</f>
        <v>0</v>
      </c>
      <c r="U1106" s="60" t="n">
        <f aca="false">S1106+J1106</f>
        <v>11.76</v>
      </c>
      <c r="V1106" s="63" t="n">
        <f aca="false">IFERROR(S1106/F1106,0)</f>
        <v>0.864705882352941</v>
      </c>
      <c r="W1106" s="63" t="n">
        <f aca="false">IFERROR(R1106/F1106,0)</f>
        <v>0.135294117647059</v>
      </c>
      <c r="X1106" s="63" t="n">
        <f aca="false">IFERROR(T1106/F1106,0)</f>
        <v>0</v>
      </c>
      <c r="Y1106" s="63" t="n">
        <f aca="false">IFERROR(G1106/F1106,0)</f>
        <v>0.116911764705882</v>
      </c>
      <c r="Z1106" s="59" t="n">
        <f aca="false">IF(E1106&gt;0,F1106*1000000000/E1106,"")</f>
        <v>1922.66286544908</v>
      </c>
      <c r="AA1106" s="63" t="n">
        <f aca="false">IFERROR((R1106+S1106+J1106)/F1106,0)</f>
        <v>1</v>
      </c>
      <c r="AB1106" s="0" t="str">
        <f aca="false">A1106&amp;"|"&amp;D1106</f>
        <v>Kyrgyzstan|2023</v>
      </c>
    </row>
    <row r="1107" customFormat="false" ht="15" hidden="false" customHeight="false" outlineLevel="0" collapsed="false">
      <c r="A1107" s="0" t="s">
        <v>285</v>
      </c>
      <c r="B1107" s="0" t="s">
        <v>524</v>
      </c>
      <c r="C1107" s="0" t="s">
        <v>127</v>
      </c>
      <c r="D1107" s="0" t="n">
        <v>2024</v>
      </c>
      <c r="E1107" s="59" t="n">
        <v>7186014</v>
      </c>
      <c r="F1107" s="60" t="n">
        <v>15.77</v>
      </c>
      <c r="G1107" s="61" t="n">
        <v>1.53</v>
      </c>
      <c r="H1107" s="61" t="n">
        <v>0.19</v>
      </c>
      <c r="I1107" s="61" t="n">
        <v>0.05</v>
      </c>
      <c r="J1107" s="61" t="n">
        <v>0</v>
      </c>
      <c r="K1107" s="61" t="n">
        <v>14</v>
      </c>
      <c r="L1107" s="61" t="n">
        <v>0</v>
      </c>
      <c r="M1107" s="61" t="n">
        <v>0</v>
      </c>
      <c r="N1107" s="61" t="n">
        <v>0</v>
      </c>
      <c r="O1107" s="61" t="n">
        <v>0</v>
      </c>
      <c r="P1107" s="62" t="n">
        <v>119.2</v>
      </c>
      <c r="Q1107" s="0" t="n">
        <v>0</v>
      </c>
      <c r="R1107" s="60" t="n">
        <f aca="false">G1107+H1107+I1107</f>
        <v>1.77</v>
      </c>
      <c r="S1107" s="60" t="n">
        <f aca="false">K1107+L1107+M1107+N1107+O1107</f>
        <v>14</v>
      </c>
      <c r="T1107" s="60" t="n">
        <f aca="false">L1107+M1107</f>
        <v>0</v>
      </c>
      <c r="U1107" s="60" t="n">
        <f aca="false">S1107+J1107</f>
        <v>14</v>
      </c>
      <c r="V1107" s="63" t="n">
        <f aca="false">IFERROR(S1107/F1107,0)</f>
        <v>0.887761572606214</v>
      </c>
      <c r="W1107" s="63" t="n">
        <f aca="false">IFERROR(R1107/F1107,0)</f>
        <v>0.112238427393786</v>
      </c>
      <c r="X1107" s="63" t="n">
        <f aca="false">IFERROR(T1107/F1107,0)</f>
        <v>0</v>
      </c>
      <c r="Y1107" s="63" t="n">
        <f aca="false">IFERROR(G1107/F1107,0)</f>
        <v>0.0970196575776791</v>
      </c>
      <c r="Z1107" s="59" t="n">
        <f aca="false">IF(E1107&gt;0,F1107*1000000000/E1107,"")</f>
        <v>2194.54067303515</v>
      </c>
      <c r="AA1107" s="63" t="n">
        <f aca="false">IFERROR((R1107+S1107+J1107)/F1107,0)</f>
        <v>1</v>
      </c>
      <c r="AB1107" s="0" t="str">
        <f aca="false">A1107&amp;"|"&amp;D1107</f>
        <v>Kyrgyzstan|2024</v>
      </c>
    </row>
    <row r="1108" customFormat="false" ht="15" hidden="false" customHeight="false" outlineLevel="0" collapsed="false">
      <c r="A1108" s="0" t="s">
        <v>285</v>
      </c>
      <c r="B1108" s="0" t="s">
        <v>524</v>
      </c>
      <c r="C1108" s="0" t="s">
        <v>127</v>
      </c>
      <c r="D1108" s="0" t="n">
        <v>2025</v>
      </c>
      <c r="E1108" s="59" t="n">
        <v>7295037</v>
      </c>
      <c r="F1108" s="60" t="n">
        <v>15.78</v>
      </c>
      <c r="G1108" s="61" t="n">
        <v>1.99</v>
      </c>
      <c r="H1108" s="61" t="n">
        <v>0.27</v>
      </c>
      <c r="I1108" s="61" t="n">
        <v>0.15</v>
      </c>
      <c r="J1108" s="61" t="n">
        <v>0</v>
      </c>
      <c r="K1108" s="61" t="n">
        <v>13.37</v>
      </c>
      <c r="L1108" s="61" t="n">
        <v>0</v>
      </c>
      <c r="M1108" s="61" t="n">
        <v>0</v>
      </c>
      <c r="N1108" s="61" t="n">
        <v>0</v>
      </c>
      <c r="O1108" s="61" t="n">
        <v>0</v>
      </c>
      <c r="P1108" s="62" t="n">
        <v>152.7</v>
      </c>
      <c r="Q1108" s="0" t="n">
        <v>0</v>
      </c>
      <c r="R1108" s="60" t="n">
        <f aca="false">G1108+H1108+I1108</f>
        <v>2.41</v>
      </c>
      <c r="S1108" s="60" t="n">
        <f aca="false">K1108+L1108+M1108+N1108+O1108</f>
        <v>13.37</v>
      </c>
      <c r="T1108" s="60" t="n">
        <f aca="false">L1108+M1108</f>
        <v>0</v>
      </c>
      <c r="U1108" s="60" t="n">
        <f aca="false">S1108+J1108</f>
        <v>13.37</v>
      </c>
      <c r="V1108" s="63" t="n">
        <f aca="false">IFERROR(S1108/F1108,0)</f>
        <v>0.847275031685678</v>
      </c>
      <c r="W1108" s="63" t="n">
        <f aca="false">IFERROR(R1108/F1108,0)</f>
        <v>0.152724968314322</v>
      </c>
      <c r="X1108" s="63" t="n">
        <f aca="false">IFERROR(T1108/F1108,0)</f>
        <v>0</v>
      </c>
      <c r="Y1108" s="63" t="n">
        <f aca="false">IFERROR(G1108/F1108,0)</f>
        <v>0.126108998732573</v>
      </c>
      <c r="Z1108" s="59" t="n">
        <f aca="false">IF(E1108&gt;0,F1108*1000000000/E1108,"")</f>
        <v>2163.11445713024</v>
      </c>
      <c r="AA1108" s="63" t="n">
        <f aca="false">IFERROR((R1108+S1108+J1108)/F1108,0)</f>
        <v>1</v>
      </c>
      <c r="AB1108" s="0" t="str">
        <f aca="false">A1108&amp;"|"&amp;D1108</f>
        <v>Kyrgyzstan|2025</v>
      </c>
    </row>
    <row r="1109" customFormat="false" ht="15" hidden="false" customHeight="false" outlineLevel="0" collapsed="false">
      <c r="A1109" s="0" t="s">
        <v>286</v>
      </c>
      <c r="B1109" s="0" t="s">
        <v>525</v>
      </c>
      <c r="C1109" s="0" t="s">
        <v>127</v>
      </c>
      <c r="D1109" s="0" t="n">
        <v>2015</v>
      </c>
      <c r="E1109" s="59" t="n">
        <v>6801647</v>
      </c>
      <c r="F1109" s="60" t="n">
        <v>16.16</v>
      </c>
      <c r="G1109" s="61" t="n">
        <v>2.26</v>
      </c>
      <c r="H1109" s="61" t="n">
        <v>0</v>
      </c>
      <c r="I1109" s="61" t="n">
        <v>0</v>
      </c>
      <c r="J1109" s="61" t="n">
        <v>0</v>
      </c>
      <c r="K1109" s="61" t="n">
        <v>13.9</v>
      </c>
      <c r="L1109" s="61" t="n">
        <v>0</v>
      </c>
      <c r="M1109" s="61" t="n">
        <v>0</v>
      </c>
      <c r="N1109" s="61" t="n">
        <v>0</v>
      </c>
      <c r="O1109" s="61" t="n">
        <v>0</v>
      </c>
      <c r="P1109" s="62" t="n">
        <v>148.5</v>
      </c>
      <c r="Q1109" s="0" t="n">
        <v>0</v>
      </c>
      <c r="R1109" s="60" t="n">
        <f aca="false">G1109+H1109+I1109</f>
        <v>2.26</v>
      </c>
      <c r="S1109" s="60" t="n">
        <f aca="false">K1109+L1109+M1109+N1109+O1109</f>
        <v>13.9</v>
      </c>
      <c r="T1109" s="60" t="n">
        <f aca="false">L1109+M1109</f>
        <v>0</v>
      </c>
      <c r="U1109" s="60" t="n">
        <f aca="false">S1109+J1109</f>
        <v>13.9</v>
      </c>
      <c r="V1109" s="63" t="n">
        <f aca="false">IFERROR(S1109/F1109,0)</f>
        <v>0.860148514851485</v>
      </c>
      <c r="W1109" s="63" t="n">
        <f aca="false">IFERROR(R1109/F1109,0)</f>
        <v>0.139851485148515</v>
      </c>
      <c r="X1109" s="63" t="n">
        <f aca="false">IFERROR(T1109/F1109,0)</f>
        <v>0</v>
      </c>
      <c r="Y1109" s="63" t="n">
        <f aca="false">IFERROR(G1109/F1109,0)</f>
        <v>0.139851485148515</v>
      </c>
      <c r="Z1109" s="59" t="n">
        <f aca="false">IF(E1109&gt;0,F1109*1000000000/E1109,"")</f>
        <v>2375.89513245836</v>
      </c>
      <c r="AA1109" s="63" t="n">
        <f aca="false">IFERROR((R1109+S1109+J1109)/F1109,0)</f>
        <v>1</v>
      </c>
      <c r="AB1109" s="0" t="str">
        <f aca="false">A1109&amp;"|"&amp;D1109</f>
        <v>Laos|2015</v>
      </c>
    </row>
    <row r="1110" customFormat="false" ht="15" hidden="false" customHeight="false" outlineLevel="0" collapsed="false">
      <c r="A1110" s="0" t="s">
        <v>286</v>
      </c>
      <c r="B1110" s="0" t="s">
        <v>525</v>
      </c>
      <c r="C1110" s="0" t="s">
        <v>127</v>
      </c>
      <c r="D1110" s="0" t="n">
        <v>2016</v>
      </c>
      <c r="E1110" s="59" t="n">
        <v>6908800</v>
      </c>
      <c r="F1110" s="60" t="n">
        <v>25.49</v>
      </c>
      <c r="G1110" s="61" t="n">
        <v>7.96</v>
      </c>
      <c r="H1110" s="61" t="n">
        <v>0</v>
      </c>
      <c r="I1110" s="61" t="n">
        <v>0</v>
      </c>
      <c r="J1110" s="61" t="n">
        <v>0</v>
      </c>
      <c r="K1110" s="61" t="n">
        <v>17.53</v>
      </c>
      <c r="L1110" s="61" t="n">
        <v>0</v>
      </c>
      <c r="M1110" s="61" t="n">
        <v>0</v>
      </c>
      <c r="N1110" s="61" t="n">
        <v>0</v>
      </c>
      <c r="O1110" s="61" t="n">
        <v>0</v>
      </c>
      <c r="P1110" s="62" t="n">
        <v>302.9</v>
      </c>
      <c r="Q1110" s="0" t="n">
        <v>0</v>
      </c>
      <c r="R1110" s="60" t="n">
        <f aca="false">G1110+H1110+I1110</f>
        <v>7.96</v>
      </c>
      <c r="S1110" s="60" t="n">
        <f aca="false">K1110+L1110+M1110+N1110+O1110</f>
        <v>17.53</v>
      </c>
      <c r="T1110" s="60" t="n">
        <f aca="false">L1110+M1110</f>
        <v>0</v>
      </c>
      <c r="U1110" s="60" t="n">
        <f aca="false">S1110+J1110</f>
        <v>17.53</v>
      </c>
      <c r="V1110" s="63" t="n">
        <f aca="false">IFERROR(S1110/F1110,0)</f>
        <v>0.687720674774421</v>
      </c>
      <c r="W1110" s="63" t="n">
        <f aca="false">IFERROR(R1110/F1110,0)</f>
        <v>0.312279325225579</v>
      </c>
      <c r="X1110" s="63" t="n">
        <f aca="false">IFERROR(T1110/F1110,0)</f>
        <v>0</v>
      </c>
      <c r="Y1110" s="63" t="n">
        <f aca="false">IFERROR(G1110/F1110,0)</f>
        <v>0.312279325225579</v>
      </c>
      <c r="Z1110" s="59" t="n">
        <f aca="false">IF(E1110&gt;0,F1110*1000000000/E1110,"")</f>
        <v>3689.49745252432</v>
      </c>
      <c r="AA1110" s="63" t="n">
        <f aca="false">IFERROR((R1110+S1110+J1110)/F1110,0)</f>
        <v>1</v>
      </c>
      <c r="AB1110" s="0" t="str">
        <f aca="false">A1110&amp;"|"&amp;D1110</f>
        <v>Laos|2016</v>
      </c>
    </row>
    <row r="1111" customFormat="false" ht="15" hidden="false" customHeight="false" outlineLevel="0" collapsed="false">
      <c r="A1111" s="0" t="s">
        <v>286</v>
      </c>
      <c r="B1111" s="0" t="s">
        <v>525</v>
      </c>
      <c r="C1111" s="0" t="s">
        <v>127</v>
      </c>
      <c r="D1111" s="0" t="n">
        <v>2017</v>
      </c>
      <c r="E1111" s="59" t="n">
        <v>7018150</v>
      </c>
      <c r="F1111" s="60" t="n">
        <v>31.07</v>
      </c>
      <c r="G1111" s="61" t="n">
        <v>10.93</v>
      </c>
      <c r="H1111" s="61" t="n">
        <v>0</v>
      </c>
      <c r="I1111" s="61" t="n">
        <v>0</v>
      </c>
      <c r="J1111" s="61" t="n">
        <v>0</v>
      </c>
      <c r="K1111" s="61" t="n">
        <v>20.1</v>
      </c>
      <c r="L1111" s="61" t="n">
        <v>0.01</v>
      </c>
      <c r="M1111" s="61" t="n">
        <v>0</v>
      </c>
      <c r="N1111" s="61" t="n">
        <v>0.03</v>
      </c>
      <c r="O1111" s="61" t="n">
        <v>0</v>
      </c>
      <c r="P1111" s="62" t="n">
        <v>338.6</v>
      </c>
      <c r="Q1111" s="0" t="n">
        <v>0</v>
      </c>
      <c r="R1111" s="60" t="n">
        <f aca="false">G1111+H1111+I1111</f>
        <v>10.93</v>
      </c>
      <c r="S1111" s="60" t="n">
        <f aca="false">K1111+L1111+M1111+N1111+O1111</f>
        <v>20.14</v>
      </c>
      <c r="T1111" s="60" t="n">
        <f aca="false">L1111+M1111</f>
        <v>0.01</v>
      </c>
      <c r="U1111" s="60" t="n">
        <f aca="false">S1111+J1111</f>
        <v>20.14</v>
      </c>
      <c r="V1111" s="63" t="n">
        <f aca="false">IFERROR(S1111/F1111,0)</f>
        <v>0.648213710975217</v>
      </c>
      <c r="W1111" s="63" t="n">
        <f aca="false">IFERROR(R1111/F1111,0)</f>
        <v>0.351786289024783</v>
      </c>
      <c r="X1111" s="63" t="n">
        <f aca="false">IFERROR(T1111/F1111,0)</f>
        <v>0.000321853878339234</v>
      </c>
      <c r="Y1111" s="63" t="n">
        <f aca="false">IFERROR(G1111/F1111,0)</f>
        <v>0.351786289024783</v>
      </c>
      <c r="Z1111" s="59" t="n">
        <f aca="false">IF(E1111&gt;0,F1111*1000000000/E1111,"")</f>
        <v>4427.09260987582</v>
      </c>
      <c r="AA1111" s="63" t="n">
        <f aca="false">IFERROR((R1111+S1111+J1111)/F1111,0)</f>
        <v>1</v>
      </c>
      <c r="AB1111" s="0" t="str">
        <f aca="false">A1111&amp;"|"&amp;D1111</f>
        <v>Laos|2017</v>
      </c>
    </row>
    <row r="1112" customFormat="false" ht="15" hidden="false" customHeight="false" outlineLevel="0" collapsed="false">
      <c r="A1112" s="0" t="s">
        <v>286</v>
      </c>
      <c r="B1112" s="0" t="s">
        <v>525</v>
      </c>
      <c r="C1112" s="0" t="s">
        <v>127</v>
      </c>
      <c r="D1112" s="0" t="n">
        <v>2018</v>
      </c>
      <c r="E1112" s="59" t="n">
        <v>7128043</v>
      </c>
      <c r="F1112" s="60" t="n">
        <v>34.42</v>
      </c>
      <c r="G1112" s="61" t="n">
        <v>12.02</v>
      </c>
      <c r="H1112" s="61" t="n">
        <v>0</v>
      </c>
      <c r="I1112" s="61" t="n">
        <v>0</v>
      </c>
      <c r="J1112" s="61" t="n">
        <v>0</v>
      </c>
      <c r="K1112" s="61" t="n">
        <v>22.33</v>
      </c>
      <c r="L1112" s="61" t="n">
        <v>0.02</v>
      </c>
      <c r="M1112" s="61" t="n">
        <v>0</v>
      </c>
      <c r="N1112" s="61" t="n">
        <v>0.05</v>
      </c>
      <c r="O1112" s="61" t="n">
        <v>0</v>
      </c>
      <c r="P1112" s="62" t="n">
        <v>336.1</v>
      </c>
      <c r="Q1112" s="0" t="n">
        <v>0</v>
      </c>
      <c r="R1112" s="60" t="n">
        <f aca="false">G1112+H1112+I1112</f>
        <v>12.02</v>
      </c>
      <c r="S1112" s="60" t="n">
        <f aca="false">K1112+L1112+M1112+N1112+O1112</f>
        <v>22.4</v>
      </c>
      <c r="T1112" s="60" t="n">
        <f aca="false">L1112+M1112</f>
        <v>0.02</v>
      </c>
      <c r="U1112" s="60" t="n">
        <f aca="false">S1112+J1112</f>
        <v>22.4</v>
      </c>
      <c r="V1112" s="63" t="n">
        <f aca="false">IFERROR(S1112/F1112,0)</f>
        <v>0.650784427658338</v>
      </c>
      <c r="W1112" s="63" t="n">
        <f aca="false">IFERROR(R1112/F1112,0)</f>
        <v>0.349215572341662</v>
      </c>
      <c r="X1112" s="63" t="n">
        <f aca="false">IFERROR(T1112/F1112,0)</f>
        <v>0.000581057524694945</v>
      </c>
      <c r="Y1112" s="63" t="n">
        <f aca="false">IFERROR(G1112/F1112,0)</f>
        <v>0.349215572341662</v>
      </c>
      <c r="Z1112" s="59" t="n">
        <f aca="false">IF(E1112&gt;0,F1112*1000000000/E1112,"")</f>
        <v>4828.81486545466</v>
      </c>
      <c r="AA1112" s="63" t="n">
        <f aca="false">IFERROR((R1112+S1112+J1112)/F1112,0)</f>
        <v>1</v>
      </c>
      <c r="AB1112" s="0" t="str">
        <f aca="false">A1112&amp;"|"&amp;D1112</f>
        <v>Laos|2018</v>
      </c>
    </row>
    <row r="1113" customFormat="false" ht="15" hidden="false" customHeight="false" outlineLevel="0" collapsed="false">
      <c r="A1113" s="0" t="s">
        <v>286</v>
      </c>
      <c r="B1113" s="0" t="s">
        <v>525</v>
      </c>
      <c r="C1113" s="0" t="s">
        <v>127</v>
      </c>
      <c r="D1113" s="0" t="n">
        <v>2019</v>
      </c>
      <c r="E1113" s="59" t="n">
        <v>7237635</v>
      </c>
      <c r="F1113" s="60" t="n">
        <v>31.24</v>
      </c>
      <c r="G1113" s="61" t="n">
        <v>11.41</v>
      </c>
      <c r="H1113" s="61" t="n">
        <v>0</v>
      </c>
      <c r="I1113" s="61" t="n">
        <v>0</v>
      </c>
      <c r="J1113" s="61" t="n">
        <v>0</v>
      </c>
      <c r="K1113" s="61" t="n">
        <v>19.74</v>
      </c>
      <c r="L1113" s="61" t="n">
        <v>0.04</v>
      </c>
      <c r="M1113" s="61" t="n">
        <v>0</v>
      </c>
      <c r="N1113" s="61" t="n">
        <v>0.05</v>
      </c>
      <c r="O1113" s="61" t="n">
        <v>0</v>
      </c>
      <c r="P1113" s="62" t="n">
        <v>350.5</v>
      </c>
      <c r="Q1113" s="0" t="n">
        <v>0</v>
      </c>
      <c r="R1113" s="60" t="n">
        <f aca="false">G1113+H1113+I1113</f>
        <v>11.41</v>
      </c>
      <c r="S1113" s="60" t="n">
        <f aca="false">K1113+L1113+M1113+N1113+O1113</f>
        <v>19.83</v>
      </c>
      <c r="T1113" s="60" t="n">
        <f aca="false">L1113+M1113</f>
        <v>0.04</v>
      </c>
      <c r="U1113" s="60" t="n">
        <f aca="false">S1113+J1113</f>
        <v>19.83</v>
      </c>
      <c r="V1113" s="63" t="n">
        <f aca="false">IFERROR(S1113/F1113,0)</f>
        <v>0.634763124199744</v>
      </c>
      <c r="W1113" s="63" t="n">
        <f aca="false">IFERROR(R1113/F1113,0)</f>
        <v>0.365236875800256</v>
      </c>
      <c r="X1113" s="63" t="n">
        <f aca="false">IFERROR(T1113/F1113,0)</f>
        <v>0.00128040973111396</v>
      </c>
      <c r="Y1113" s="63" t="n">
        <f aca="false">IFERROR(G1113/F1113,0)</f>
        <v>0.365236875800256</v>
      </c>
      <c r="Z1113" s="59" t="n">
        <f aca="false">IF(E1113&gt;0,F1113*1000000000/E1113,"")</f>
        <v>4316.32708750856</v>
      </c>
      <c r="AA1113" s="63" t="n">
        <f aca="false">IFERROR((R1113+S1113+J1113)/F1113,0)</f>
        <v>1</v>
      </c>
      <c r="AB1113" s="0" t="str">
        <f aca="false">A1113&amp;"|"&amp;D1113</f>
        <v>Laos|2019</v>
      </c>
    </row>
    <row r="1114" customFormat="false" ht="15" hidden="false" customHeight="false" outlineLevel="0" collapsed="false">
      <c r="A1114" s="0" t="s">
        <v>286</v>
      </c>
      <c r="B1114" s="0" t="s">
        <v>525</v>
      </c>
      <c r="C1114" s="0" t="s">
        <v>127</v>
      </c>
      <c r="D1114" s="0" t="n">
        <v>2020</v>
      </c>
      <c r="E1114" s="59" t="n">
        <v>7346534</v>
      </c>
      <c r="F1114" s="60" t="n">
        <v>39.96</v>
      </c>
      <c r="G1114" s="61" t="n">
        <v>11.35</v>
      </c>
      <c r="H1114" s="61" t="n">
        <v>0</v>
      </c>
      <c r="I1114" s="61" t="n">
        <v>0</v>
      </c>
      <c r="J1114" s="61" t="n">
        <v>0</v>
      </c>
      <c r="K1114" s="61" t="n">
        <v>28.51</v>
      </c>
      <c r="L1114" s="61" t="n">
        <v>0.04</v>
      </c>
      <c r="M1114" s="61" t="n">
        <v>0</v>
      </c>
      <c r="N1114" s="61" t="n">
        <v>0.06</v>
      </c>
      <c r="O1114" s="61" t="n">
        <v>0</v>
      </c>
      <c r="P1114" s="62" t="n">
        <v>278</v>
      </c>
      <c r="Q1114" s="0" t="n">
        <v>0</v>
      </c>
      <c r="R1114" s="60" t="n">
        <f aca="false">G1114+H1114+I1114</f>
        <v>11.35</v>
      </c>
      <c r="S1114" s="60" t="n">
        <f aca="false">K1114+L1114+M1114+N1114+O1114</f>
        <v>28.61</v>
      </c>
      <c r="T1114" s="60" t="n">
        <f aca="false">L1114+M1114</f>
        <v>0.04</v>
      </c>
      <c r="U1114" s="60" t="n">
        <f aca="false">S1114+J1114</f>
        <v>28.61</v>
      </c>
      <c r="V1114" s="63" t="n">
        <f aca="false">IFERROR(S1114/F1114,0)</f>
        <v>0.715965965965966</v>
      </c>
      <c r="W1114" s="63" t="n">
        <f aca="false">IFERROR(R1114/F1114,0)</f>
        <v>0.284034034034034</v>
      </c>
      <c r="X1114" s="63" t="n">
        <f aca="false">IFERROR(T1114/F1114,0)</f>
        <v>0.001001001001001</v>
      </c>
      <c r="Y1114" s="63" t="n">
        <f aca="false">IFERROR(G1114/F1114,0)</f>
        <v>0.284034034034034</v>
      </c>
      <c r="Z1114" s="59" t="n">
        <f aca="false">IF(E1114&gt;0,F1114*1000000000/E1114,"")</f>
        <v>5439.29967519377</v>
      </c>
      <c r="AA1114" s="63" t="n">
        <f aca="false">IFERROR((R1114+S1114+J1114)/F1114,0)</f>
        <v>1</v>
      </c>
      <c r="AB1114" s="0" t="str">
        <f aca="false">A1114&amp;"|"&amp;D1114</f>
        <v>Laos|2020</v>
      </c>
    </row>
    <row r="1115" customFormat="false" ht="15" hidden="false" customHeight="false" outlineLevel="0" collapsed="false">
      <c r="A1115" s="0" t="s">
        <v>286</v>
      </c>
      <c r="B1115" s="0" t="s">
        <v>525</v>
      </c>
      <c r="C1115" s="0" t="s">
        <v>127</v>
      </c>
      <c r="D1115" s="0" t="n">
        <v>2021</v>
      </c>
      <c r="E1115" s="59" t="n">
        <v>7453192</v>
      </c>
      <c r="F1115" s="60" t="n">
        <v>44.9</v>
      </c>
      <c r="G1115" s="61" t="n">
        <v>11.88</v>
      </c>
      <c r="H1115" s="61" t="n">
        <v>0</v>
      </c>
      <c r="I1115" s="61" t="n">
        <v>0</v>
      </c>
      <c r="J1115" s="61" t="n">
        <v>0</v>
      </c>
      <c r="K1115" s="61" t="n">
        <v>32.9</v>
      </c>
      <c r="L1115" s="61" t="n">
        <v>0.07</v>
      </c>
      <c r="M1115" s="61" t="n">
        <v>0</v>
      </c>
      <c r="N1115" s="61" t="n">
        <v>0.05</v>
      </c>
      <c r="O1115" s="61" t="n">
        <v>0</v>
      </c>
      <c r="P1115" s="62" t="n">
        <v>260.4</v>
      </c>
      <c r="Q1115" s="0" t="n">
        <v>0</v>
      </c>
      <c r="R1115" s="60" t="n">
        <f aca="false">G1115+H1115+I1115</f>
        <v>11.88</v>
      </c>
      <c r="S1115" s="60" t="n">
        <f aca="false">K1115+L1115+M1115+N1115+O1115</f>
        <v>33.02</v>
      </c>
      <c r="T1115" s="60" t="n">
        <f aca="false">L1115+M1115</f>
        <v>0.07</v>
      </c>
      <c r="U1115" s="60" t="n">
        <f aca="false">S1115+J1115</f>
        <v>33.02</v>
      </c>
      <c r="V1115" s="63" t="n">
        <f aca="false">IFERROR(S1115/F1115,0)</f>
        <v>0.735412026726058</v>
      </c>
      <c r="W1115" s="63" t="n">
        <f aca="false">IFERROR(R1115/F1115,0)</f>
        <v>0.264587973273942</v>
      </c>
      <c r="X1115" s="63" t="n">
        <f aca="false">IFERROR(T1115/F1115,0)</f>
        <v>0.00155902004454343</v>
      </c>
      <c r="Y1115" s="63" t="n">
        <f aca="false">IFERROR(G1115/F1115,0)</f>
        <v>0.264587973273942</v>
      </c>
      <c r="Z1115" s="59" t="n">
        <f aca="false">IF(E1115&gt;0,F1115*1000000000/E1115,"")</f>
        <v>6024.26450304782</v>
      </c>
      <c r="AA1115" s="63" t="n">
        <f aca="false">IFERROR((R1115+S1115+J1115)/F1115,0)</f>
        <v>1</v>
      </c>
      <c r="AB1115" s="0" t="str">
        <f aca="false">A1115&amp;"|"&amp;D1115</f>
        <v>Laos|2021</v>
      </c>
    </row>
    <row r="1116" customFormat="false" ht="15" hidden="false" customHeight="false" outlineLevel="0" collapsed="false">
      <c r="A1116" s="0" t="s">
        <v>286</v>
      </c>
      <c r="B1116" s="0" t="s">
        <v>525</v>
      </c>
      <c r="C1116" s="0" t="s">
        <v>127</v>
      </c>
      <c r="D1116" s="0" t="n">
        <v>2022</v>
      </c>
      <c r="E1116" s="59" t="n">
        <v>7559008</v>
      </c>
      <c r="F1116" s="60" t="n">
        <v>51.04</v>
      </c>
      <c r="G1116" s="61" t="n">
        <v>12.18</v>
      </c>
      <c r="H1116" s="61" t="n">
        <v>0</v>
      </c>
      <c r="I1116" s="61" t="n">
        <v>0</v>
      </c>
      <c r="J1116" s="61" t="n">
        <v>0</v>
      </c>
      <c r="K1116" s="61" t="n">
        <v>38.74</v>
      </c>
      <c r="L1116" s="61" t="n">
        <v>0.08</v>
      </c>
      <c r="M1116" s="61" t="n">
        <v>0</v>
      </c>
      <c r="N1116" s="61" t="n">
        <v>0.04</v>
      </c>
      <c r="O1116" s="61" t="n">
        <v>0</v>
      </c>
      <c r="P1116" s="62" t="n">
        <v>237.3</v>
      </c>
      <c r="Q1116" s="0" t="n">
        <v>0</v>
      </c>
      <c r="R1116" s="60" t="n">
        <f aca="false">G1116+H1116+I1116</f>
        <v>12.18</v>
      </c>
      <c r="S1116" s="60" t="n">
        <f aca="false">K1116+L1116+M1116+N1116+O1116</f>
        <v>38.86</v>
      </c>
      <c r="T1116" s="60" t="n">
        <f aca="false">L1116+M1116</f>
        <v>0.08</v>
      </c>
      <c r="U1116" s="60" t="n">
        <f aca="false">S1116+J1116</f>
        <v>38.86</v>
      </c>
      <c r="V1116" s="63" t="n">
        <f aca="false">IFERROR(S1116/F1116,0)</f>
        <v>0.761363636363636</v>
      </c>
      <c r="W1116" s="63" t="n">
        <f aca="false">IFERROR(R1116/F1116,0)</f>
        <v>0.238636363636364</v>
      </c>
      <c r="X1116" s="63" t="n">
        <f aca="false">IFERROR(T1116/F1116,0)</f>
        <v>0.00156739811912226</v>
      </c>
      <c r="Y1116" s="63" t="n">
        <f aca="false">IFERROR(G1116/F1116,0)</f>
        <v>0.238636363636364</v>
      </c>
      <c r="Z1116" s="59" t="n">
        <f aca="false">IF(E1116&gt;0,F1116*1000000000/E1116,"")</f>
        <v>6752.20875543458</v>
      </c>
      <c r="AA1116" s="63" t="n">
        <f aca="false">IFERROR((R1116+S1116+J1116)/F1116,0)</f>
        <v>1</v>
      </c>
      <c r="AB1116" s="0" t="str">
        <f aca="false">A1116&amp;"|"&amp;D1116</f>
        <v>Laos|2022</v>
      </c>
    </row>
    <row r="1117" customFormat="false" ht="15" hidden="false" customHeight="false" outlineLevel="0" collapsed="false">
      <c r="A1117" s="0" t="s">
        <v>286</v>
      </c>
      <c r="B1117" s="0" t="s">
        <v>525</v>
      </c>
      <c r="C1117" s="0" t="s">
        <v>127</v>
      </c>
      <c r="D1117" s="0" t="n">
        <v>2023</v>
      </c>
      <c r="E1117" s="59" t="n">
        <v>7665001</v>
      </c>
      <c r="F1117" s="60" t="n">
        <v>52.3</v>
      </c>
      <c r="G1117" s="61" t="n">
        <v>12.18</v>
      </c>
      <c r="H1117" s="61" t="n">
        <v>0</v>
      </c>
      <c r="I1117" s="61" t="n">
        <v>0</v>
      </c>
      <c r="J1117" s="61" t="n">
        <v>0</v>
      </c>
      <c r="K1117" s="61" t="n">
        <v>40</v>
      </c>
      <c r="L1117" s="61" t="n">
        <v>0.08</v>
      </c>
      <c r="M1117" s="61" t="n">
        <v>0</v>
      </c>
      <c r="N1117" s="61" t="n">
        <v>0.04</v>
      </c>
      <c r="O1117" s="61" t="n">
        <v>0</v>
      </c>
      <c r="P1117" s="62" t="n">
        <v>232.1</v>
      </c>
      <c r="Q1117" s="0" t="n">
        <v>0</v>
      </c>
      <c r="R1117" s="60" t="n">
        <f aca="false">G1117+H1117+I1117</f>
        <v>12.18</v>
      </c>
      <c r="S1117" s="60" t="n">
        <f aca="false">K1117+L1117+M1117+N1117+O1117</f>
        <v>40.12</v>
      </c>
      <c r="T1117" s="60" t="n">
        <f aca="false">L1117+M1117</f>
        <v>0.08</v>
      </c>
      <c r="U1117" s="60" t="n">
        <f aca="false">S1117+J1117</f>
        <v>40.12</v>
      </c>
      <c r="V1117" s="63" t="n">
        <f aca="false">IFERROR(S1117/F1117,0)</f>
        <v>0.767112810707457</v>
      </c>
      <c r="W1117" s="63" t="n">
        <f aca="false">IFERROR(R1117/F1117,0)</f>
        <v>0.232887189292543</v>
      </c>
      <c r="X1117" s="63" t="n">
        <f aca="false">IFERROR(T1117/F1117,0)</f>
        <v>0.00152963671128107</v>
      </c>
      <c r="Y1117" s="63" t="n">
        <f aca="false">IFERROR(G1117/F1117,0)</f>
        <v>0.232887189292543</v>
      </c>
      <c r="Z1117" s="59" t="n">
        <f aca="false">IF(E1117&gt;0,F1117*1000000000/E1117,"")</f>
        <v>6823.22154948186</v>
      </c>
      <c r="AA1117" s="63" t="n">
        <f aca="false">IFERROR((R1117+S1117+J1117)/F1117,0)</f>
        <v>1</v>
      </c>
      <c r="AB1117" s="0" t="str">
        <f aca="false">A1117&amp;"|"&amp;D1117</f>
        <v>Laos|2023</v>
      </c>
    </row>
    <row r="1118" customFormat="false" ht="15" hidden="false" customHeight="false" outlineLevel="0" collapsed="false">
      <c r="A1118" s="0" t="s">
        <v>286</v>
      </c>
      <c r="B1118" s="0" t="s">
        <v>525</v>
      </c>
      <c r="C1118" s="0" t="s">
        <v>127</v>
      </c>
      <c r="D1118" s="0" t="n">
        <v>2024</v>
      </c>
      <c r="E1118" s="59" t="n">
        <v>7769823</v>
      </c>
      <c r="F1118" s="60" t="n">
        <v>52.31</v>
      </c>
      <c r="G1118" s="61" t="n">
        <v>12.18</v>
      </c>
      <c r="H1118" s="61" t="n">
        <v>0</v>
      </c>
      <c r="I1118" s="61" t="n">
        <v>0</v>
      </c>
      <c r="J1118" s="61" t="n">
        <v>0</v>
      </c>
      <c r="K1118" s="61" t="n">
        <v>40</v>
      </c>
      <c r="L1118" s="61" t="n">
        <v>0.09</v>
      </c>
      <c r="M1118" s="61" t="n">
        <v>0</v>
      </c>
      <c r="N1118" s="61" t="n">
        <v>0.04</v>
      </c>
      <c r="O1118" s="61" t="n">
        <v>0</v>
      </c>
      <c r="P1118" s="62" t="n">
        <v>232.1</v>
      </c>
      <c r="Q1118" s="0" t="n">
        <v>0</v>
      </c>
      <c r="R1118" s="60" t="n">
        <f aca="false">G1118+H1118+I1118</f>
        <v>12.18</v>
      </c>
      <c r="S1118" s="60" t="n">
        <f aca="false">K1118+L1118+M1118+N1118+O1118</f>
        <v>40.13</v>
      </c>
      <c r="T1118" s="60" t="n">
        <f aca="false">L1118+M1118</f>
        <v>0.09</v>
      </c>
      <c r="U1118" s="60" t="n">
        <f aca="false">S1118+J1118</f>
        <v>40.13</v>
      </c>
      <c r="V1118" s="63" t="n">
        <f aca="false">IFERROR(S1118/F1118,0)</f>
        <v>0.767157331294208</v>
      </c>
      <c r="W1118" s="63" t="n">
        <f aca="false">IFERROR(R1118/F1118,0)</f>
        <v>0.232842668705792</v>
      </c>
      <c r="X1118" s="63" t="n">
        <f aca="false">IFERROR(T1118/F1118,0)</f>
        <v>0.00172051233033837</v>
      </c>
      <c r="Y1118" s="63" t="n">
        <f aca="false">IFERROR(G1118/F1118,0)</f>
        <v>0.232842668705792</v>
      </c>
      <c r="Z1118" s="59" t="n">
        <f aca="false">IF(E1118&gt;0,F1118*1000000000/E1118,"")</f>
        <v>6732.45709715652</v>
      </c>
      <c r="AA1118" s="63" t="n">
        <f aca="false">IFERROR((R1118+S1118+J1118)/F1118,0)</f>
        <v>1</v>
      </c>
      <c r="AB1118" s="0" t="str">
        <f aca="false">A1118&amp;"|"&amp;D1118</f>
        <v>Laos|2024</v>
      </c>
    </row>
    <row r="1119" customFormat="false" ht="15" hidden="false" customHeight="false" outlineLevel="0" collapsed="false">
      <c r="A1119" s="0" t="s">
        <v>287</v>
      </c>
      <c r="B1119" s="0" t="s">
        <v>526</v>
      </c>
      <c r="C1119" s="0" t="s">
        <v>127</v>
      </c>
      <c r="D1119" s="0" t="n">
        <v>2015</v>
      </c>
      <c r="E1119" s="59" t="n">
        <v>1977874</v>
      </c>
      <c r="F1119" s="60" t="n">
        <v>5.54</v>
      </c>
      <c r="G1119" s="61" t="n">
        <v>0</v>
      </c>
      <c r="H1119" s="61" t="n">
        <v>2.76</v>
      </c>
      <c r="I1119" s="61" t="n">
        <v>0</v>
      </c>
      <c r="J1119" s="61" t="n">
        <v>0</v>
      </c>
      <c r="K1119" s="61" t="n">
        <v>1.86</v>
      </c>
      <c r="L1119" s="61" t="n">
        <v>0</v>
      </c>
      <c r="M1119" s="61" t="n">
        <v>0.15</v>
      </c>
      <c r="N1119" s="61" t="n">
        <v>0.77</v>
      </c>
      <c r="O1119" s="61" t="n">
        <v>0</v>
      </c>
      <c r="P1119" s="62" t="n">
        <v>220.2</v>
      </c>
      <c r="Q1119" s="0" t="n">
        <v>0</v>
      </c>
      <c r="R1119" s="60" t="n">
        <f aca="false">G1119+H1119+I1119</f>
        <v>2.76</v>
      </c>
      <c r="S1119" s="60" t="n">
        <f aca="false">K1119+L1119+M1119+N1119+O1119</f>
        <v>2.78</v>
      </c>
      <c r="T1119" s="60" t="n">
        <f aca="false">L1119+M1119</f>
        <v>0.15</v>
      </c>
      <c r="U1119" s="60" t="n">
        <f aca="false">S1119+J1119</f>
        <v>2.78</v>
      </c>
      <c r="V1119" s="63" t="n">
        <f aca="false">IFERROR(S1119/F1119,0)</f>
        <v>0.501805054151625</v>
      </c>
      <c r="W1119" s="63" t="n">
        <f aca="false">IFERROR(R1119/F1119,0)</f>
        <v>0.498194945848375</v>
      </c>
      <c r="X1119" s="63" t="n">
        <f aca="false">IFERROR(T1119/F1119,0)</f>
        <v>0.0270758122743682</v>
      </c>
      <c r="Y1119" s="63" t="n">
        <f aca="false">IFERROR(G1119/F1119,0)</f>
        <v>0</v>
      </c>
      <c r="Z1119" s="59" t="n">
        <f aca="false">IF(E1119&gt;0,F1119*1000000000/E1119,"")</f>
        <v>2800.9873227516</v>
      </c>
      <c r="AA1119" s="63" t="n">
        <f aca="false">IFERROR((R1119+S1119+J1119)/F1119,0)</f>
        <v>1</v>
      </c>
      <c r="AB1119" s="0" t="str">
        <f aca="false">A1119&amp;"|"&amp;D1119</f>
        <v>Latvia|2015</v>
      </c>
    </row>
    <row r="1120" customFormat="false" ht="15" hidden="false" customHeight="false" outlineLevel="0" collapsed="false">
      <c r="A1120" s="0" t="s">
        <v>287</v>
      </c>
      <c r="B1120" s="0" t="s">
        <v>526</v>
      </c>
      <c r="C1120" s="0" t="s">
        <v>127</v>
      </c>
      <c r="D1120" s="0" t="n">
        <v>2016</v>
      </c>
      <c r="E1120" s="59" t="n">
        <v>1959863</v>
      </c>
      <c r="F1120" s="60" t="n">
        <v>6.42</v>
      </c>
      <c r="G1120" s="61" t="n">
        <v>0</v>
      </c>
      <c r="H1120" s="61" t="n">
        <v>2.94</v>
      </c>
      <c r="I1120" s="61" t="n">
        <v>0</v>
      </c>
      <c r="J1120" s="61" t="n">
        <v>0</v>
      </c>
      <c r="K1120" s="61" t="n">
        <v>2.53</v>
      </c>
      <c r="L1120" s="61" t="n">
        <v>0</v>
      </c>
      <c r="M1120" s="61" t="n">
        <v>0.13</v>
      </c>
      <c r="N1120" s="61" t="n">
        <v>0.82</v>
      </c>
      <c r="O1120" s="61" t="n">
        <v>0</v>
      </c>
      <c r="P1120" s="62" t="n">
        <v>204.1</v>
      </c>
      <c r="Q1120" s="0" t="n">
        <v>0</v>
      </c>
      <c r="R1120" s="60" t="n">
        <f aca="false">G1120+H1120+I1120</f>
        <v>2.94</v>
      </c>
      <c r="S1120" s="60" t="n">
        <f aca="false">K1120+L1120+M1120+N1120+O1120</f>
        <v>3.48</v>
      </c>
      <c r="T1120" s="60" t="n">
        <f aca="false">L1120+M1120</f>
        <v>0.13</v>
      </c>
      <c r="U1120" s="60" t="n">
        <f aca="false">S1120+J1120</f>
        <v>3.48</v>
      </c>
      <c r="V1120" s="63" t="n">
        <f aca="false">IFERROR(S1120/F1120,0)</f>
        <v>0.542056074766355</v>
      </c>
      <c r="W1120" s="63" t="n">
        <f aca="false">IFERROR(R1120/F1120,0)</f>
        <v>0.457943925233645</v>
      </c>
      <c r="X1120" s="63" t="n">
        <f aca="false">IFERROR(T1120/F1120,0)</f>
        <v>0.0202492211838006</v>
      </c>
      <c r="Y1120" s="63" t="n">
        <f aca="false">IFERROR(G1120/F1120,0)</f>
        <v>0</v>
      </c>
      <c r="Z1120" s="59" t="n">
        <f aca="false">IF(E1120&gt;0,F1120*1000000000/E1120,"")</f>
        <v>3275.73917156454</v>
      </c>
      <c r="AA1120" s="63" t="n">
        <f aca="false">IFERROR((R1120+S1120+J1120)/F1120,0)</f>
        <v>1</v>
      </c>
      <c r="AB1120" s="0" t="str">
        <f aca="false">A1120&amp;"|"&amp;D1120</f>
        <v>Latvia|2016</v>
      </c>
    </row>
    <row r="1121" customFormat="false" ht="15" hidden="false" customHeight="false" outlineLevel="0" collapsed="false">
      <c r="A1121" s="0" t="s">
        <v>287</v>
      </c>
      <c r="B1121" s="0" t="s">
        <v>526</v>
      </c>
      <c r="C1121" s="0" t="s">
        <v>127</v>
      </c>
      <c r="D1121" s="0" t="n">
        <v>2017</v>
      </c>
      <c r="E1121" s="59" t="n">
        <v>1942599</v>
      </c>
      <c r="F1121" s="60" t="n">
        <v>7.53</v>
      </c>
      <c r="G1121" s="61" t="n">
        <v>0</v>
      </c>
      <c r="H1121" s="61" t="n">
        <v>2.07</v>
      </c>
      <c r="I1121" s="61" t="n">
        <v>0</v>
      </c>
      <c r="J1121" s="61" t="n">
        <v>0</v>
      </c>
      <c r="K1121" s="61" t="n">
        <v>4.38</v>
      </c>
      <c r="L1121" s="61" t="n">
        <v>0</v>
      </c>
      <c r="M1121" s="61" t="n">
        <v>0.15</v>
      </c>
      <c r="N1121" s="61" t="n">
        <v>0.93</v>
      </c>
      <c r="O1121" s="61" t="n">
        <v>0</v>
      </c>
      <c r="P1121" s="62" t="n">
        <v>140.8</v>
      </c>
      <c r="Q1121" s="0" t="n">
        <v>0</v>
      </c>
      <c r="R1121" s="60" t="n">
        <f aca="false">G1121+H1121+I1121</f>
        <v>2.07</v>
      </c>
      <c r="S1121" s="60" t="n">
        <f aca="false">K1121+L1121+M1121+N1121+O1121</f>
        <v>5.46</v>
      </c>
      <c r="T1121" s="60" t="n">
        <f aca="false">L1121+M1121</f>
        <v>0.15</v>
      </c>
      <c r="U1121" s="60" t="n">
        <f aca="false">S1121+J1121</f>
        <v>5.46</v>
      </c>
      <c r="V1121" s="63" t="n">
        <f aca="false">IFERROR(S1121/F1121,0)</f>
        <v>0.725099601593626</v>
      </c>
      <c r="W1121" s="63" t="n">
        <f aca="false">IFERROR(R1121/F1121,0)</f>
        <v>0.274900398406375</v>
      </c>
      <c r="X1121" s="63" t="n">
        <f aca="false">IFERROR(T1121/F1121,0)</f>
        <v>0.0199203187250996</v>
      </c>
      <c r="Y1121" s="63" t="n">
        <f aca="false">IFERROR(G1121/F1121,0)</f>
        <v>0</v>
      </c>
      <c r="Z1121" s="59" t="n">
        <f aca="false">IF(E1121&gt;0,F1121*1000000000/E1121,"")</f>
        <v>3876.25032237739</v>
      </c>
      <c r="AA1121" s="63" t="n">
        <f aca="false">IFERROR((R1121+S1121+J1121)/F1121,0)</f>
        <v>1</v>
      </c>
      <c r="AB1121" s="0" t="str">
        <f aca="false">A1121&amp;"|"&amp;D1121</f>
        <v>Latvia|2017</v>
      </c>
    </row>
    <row r="1122" customFormat="false" ht="15" hidden="false" customHeight="false" outlineLevel="0" collapsed="false">
      <c r="A1122" s="0" t="s">
        <v>287</v>
      </c>
      <c r="B1122" s="0" t="s">
        <v>526</v>
      </c>
      <c r="C1122" s="0" t="s">
        <v>127</v>
      </c>
      <c r="D1122" s="0" t="n">
        <v>2018</v>
      </c>
      <c r="E1122" s="59" t="n">
        <v>1927586</v>
      </c>
      <c r="F1122" s="60" t="n">
        <v>6.72</v>
      </c>
      <c r="G1122" s="61" t="n">
        <v>0</v>
      </c>
      <c r="H1122" s="61" t="n">
        <v>3.22</v>
      </c>
      <c r="I1122" s="61" t="n">
        <v>0.01</v>
      </c>
      <c r="J1122" s="61" t="n">
        <v>0</v>
      </c>
      <c r="K1122" s="61" t="n">
        <v>2.43</v>
      </c>
      <c r="L1122" s="61" t="n">
        <v>0</v>
      </c>
      <c r="M1122" s="61" t="n">
        <v>0.12</v>
      </c>
      <c r="N1122" s="61" t="n">
        <v>0.94</v>
      </c>
      <c r="O1122" s="61" t="n">
        <v>0</v>
      </c>
      <c r="P1122" s="62" t="n">
        <v>215.8</v>
      </c>
      <c r="Q1122" s="0" t="n">
        <v>0</v>
      </c>
      <c r="R1122" s="60" t="n">
        <f aca="false">G1122+H1122+I1122</f>
        <v>3.23</v>
      </c>
      <c r="S1122" s="60" t="n">
        <f aca="false">K1122+L1122+M1122+N1122+O1122</f>
        <v>3.49</v>
      </c>
      <c r="T1122" s="60" t="n">
        <f aca="false">L1122+M1122</f>
        <v>0.12</v>
      </c>
      <c r="U1122" s="60" t="n">
        <f aca="false">S1122+J1122</f>
        <v>3.49</v>
      </c>
      <c r="V1122" s="63" t="n">
        <f aca="false">IFERROR(S1122/F1122,0)</f>
        <v>0.519345238095238</v>
      </c>
      <c r="W1122" s="63" t="n">
        <f aca="false">IFERROR(R1122/F1122,0)</f>
        <v>0.480654761904762</v>
      </c>
      <c r="X1122" s="63" t="n">
        <f aca="false">IFERROR(T1122/F1122,0)</f>
        <v>0.0178571428571429</v>
      </c>
      <c r="Y1122" s="63" t="n">
        <f aca="false">IFERROR(G1122/F1122,0)</f>
        <v>0</v>
      </c>
      <c r="Z1122" s="59" t="n">
        <f aca="false">IF(E1122&gt;0,F1122*1000000000/E1122,"")</f>
        <v>3486.22577669686</v>
      </c>
      <c r="AA1122" s="63" t="n">
        <f aca="false">IFERROR((R1122+S1122+J1122)/F1122,0)</f>
        <v>1</v>
      </c>
      <c r="AB1122" s="0" t="str">
        <f aca="false">A1122&amp;"|"&amp;D1122</f>
        <v>Latvia|2018</v>
      </c>
    </row>
    <row r="1123" customFormat="false" ht="15" hidden="false" customHeight="false" outlineLevel="0" collapsed="false">
      <c r="A1123" s="0" t="s">
        <v>287</v>
      </c>
      <c r="B1123" s="0" t="s">
        <v>526</v>
      </c>
      <c r="C1123" s="0" t="s">
        <v>127</v>
      </c>
      <c r="D1123" s="0" t="n">
        <v>2019</v>
      </c>
      <c r="E1123" s="59" t="n">
        <v>1914267</v>
      </c>
      <c r="F1123" s="60" t="n">
        <v>6.44</v>
      </c>
      <c r="G1123" s="61" t="n">
        <v>0</v>
      </c>
      <c r="H1123" s="61" t="n">
        <v>3.25</v>
      </c>
      <c r="I1123" s="61" t="n">
        <v>0</v>
      </c>
      <c r="J1123" s="61" t="n">
        <v>0</v>
      </c>
      <c r="K1123" s="61" t="n">
        <v>2.11</v>
      </c>
      <c r="L1123" s="61" t="n">
        <v>0</v>
      </c>
      <c r="M1123" s="61" t="n">
        <v>0.15</v>
      </c>
      <c r="N1123" s="61" t="n">
        <v>0.93</v>
      </c>
      <c r="O1123" s="61" t="n">
        <v>0</v>
      </c>
      <c r="P1123" s="62" t="n">
        <v>223.6</v>
      </c>
      <c r="Q1123" s="0" t="n">
        <v>0</v>
      </c>
      <c r="R1123" s="60" t="n">
        <f aca="false">G1123+H1123+I1123</f>
        <v>3.25</v>
      </c>
      <c r="S1123" s="60" t="n">
        <f aca="false">K1123+L1123+M1123+N1123+O1123</f>
        <v>3.19</v>
      </c>
      <c r="T1123" s="60" t="n">
        <f aca="false">L1123+M1123</f>
        <v>0.15</v>
      </c>
      <c r="U1123" s="60" t="n">
        <f aca="false">S1123+J1123</f>
        <v>3.19</v>
      </c>
      <c r="V1123" s="63" t="n">
        <f aca="false">IFERROR(S1123/F1123,0)</f>
        <v>0.495341614906832</v>
      </c>
      <c r="W1123" s="63" t="n">
        <f aca="false">IFERROR(R1123/F1123,0)</f>
        <v>0.504658385093168</v>
      </c>
      <c r="X1123" s="63" t="n">
        <f aca="false">IFERROR(T1123/F1123,0)</f>
        <v>0.0232919254658385</v>
      </c>
      <c r="Y1123" s="63" t="n">
        <f aca="false">IFERROR(G1123/F1123,0)</f>
        <v>0</v>
      </c>
      <c r="Z1123" s="59" t="n">
        <f aca="false">IF(E1123&gt;0,F1123*1000000000/E1123,"")</f>
        <v>3364.21199341576</v>
      </c>
      <c r="AA1123" s="63" t="n">
        <f aca="false">IFERROR((R1123+S1123+J1123)/F1123,0)</f>
        <v>1</v>
      </c>
      <c r="AB1123" s="0" t="str">
        <f aca="false">A1123&amp;"|"&amp;D1123</f>
        <v>Latvia|2019</v>
      </c>
    </row>
    <row r="1124" customFormat="false" ht="15" hidden="false" customHeight="false" outlineLevel="0" collapsed="false">
      <c r="A1124" s="0" t="s">
        <v>287</v>
      </c>
      <c r="B1124" s="0" t="s">
        <v>526</v>
      </c>
      <c r="C1124" s="0" t="s">
        <v>127</v>
      </c>
      <c r="D1124" s="0" t="n">
        <v>2020</v>
      </c>
      <c r="E1124" s="59" t="n">
        <v>1901119</v>
      </c>
      <c r="F1124" s="60" t="n">
        <v>5.72</v>
      </c>
      <c r="G1124" s="61" t="n">
        <v>0</v>
      </c>
      <c r="H1124" s="61" t="n">
        <v>2.08</v>
      </c>
      <c r="I1124" s="61" t="n">
        <v>0</v>
      </c>
      <c r="J1124" s="61" t="n">
        <v>0</v>
      </c>
      <c r="K1124" s="61" t="n">
        <v>2.6</v>
      </c>
      <c r="L1124" s="61" t="n">
        <v>0</v>
      </c>
      <c r="M1124" s="61" t="n">
        <v>0.18</v>
      </c>
      <c r="N1124" s="61" t="n">
        <v>0.86</v>
      </c>
      <c r="O1124" s="61" t="n">
        <v>0</v>
      </c>
      <c r="P1124" s="62" t="n">
        <v>176.6</v>
      </c>
      <c r="Q1124" s="0" t="n">
        <v>0</v>
      </c>
      <c r="R1124" s="60" t="n">
        <f aca="false">G1124+H1124+I1124</f>
        <v>2.08</v>
      </c>
      <c r="S1124" s="60" t="n">
        <f aca="false">K1124+L1124+M1124+N1124+O1124</f>
        <v>3.64</v>
      </c>
      <c r="T1124" s="60" t="n">
        <f aca="false">L1124+M1124</f>
        <v>0.18</v>
      </c>
      <c r="U1124" s="60" t="n">
        <f aca="false">S1124+J1124</f>
        <v>3.64</v>
      </c>
      <c r="V1124" s="63" t="n">
        <f aca="false">IFERROR(S1124/F1124,0)</f>
        <v>0.636363636363637</v>
      </c>
      <c r="W1124" s="63" t="n">
        <f aca="false">IFERROR(R1124/F1124,0)</f>
        <v>0.363636363636364</v>
      </c>
      <c r="X1124" s="63" t="n">
        <f aca="false">IFERROR(T1124/F1124,0)</f>
        <v>0.0314685314685315</v>
      </c>
      <c r="Y1124" s="63" t="n">
        <f aca="false">IFERROR(G1124/F1124,0)</f>
        <v>0</v>
      </c>
      <c r="Z1124" s="59" t="n">
        <f aca="false">IF(E1124&gt;0,F1124*1000000000/E1124,"")</f>
        <v>3008.75431785175</v>
      </c>
      <c r="AA1124" s="63" t="n">
        <f aca="false">IFERROR((R1124+S1124+J1124)/F1124,0)</f>
        <v>1</v>
      </c>
      <c r="AB1124" s="0" t="str">
        <f aca="false">A1124&amp;"|"&amp;D1124</f>
        <v>Latvia|2020</v>
      </c>
    </row>
    <row r="1125" customFormat="false" ht="15" hidden="false" customHeight="false" outlineLevel="0" collapsed="false">
      <c r="A1125" s="0" t="s">
        <v>287</v>
      </c>
      <c r="B1125" s="0" t="s">
        <v>526</v>
      </c>
      <c r="C1125" s="0" t="s">
        <v>127</v>
      </c>
      <c r="D1125" s="0" t="n">
        <v>2021</v>
      </c>
      <c r="E1125" s="59" t="n">
        <v>1885593</v>
      </c>
      <c r="F1125" s="60" t="n">
        <v>5.85</v>
      </c>
      <c r="G1125" s="61" t="n">
        <v>0</v>
      </c>
      <c r="H1125" s="61" t="n">
        <v>2.13</v>
      </c>
      <c r="I1125" s="61" t="n">
        <v>0</v>
      </c>
      <c r="J1125" s="61" t="n">
        <v>0</v>
      </c>
      <c r="K1125" s="61" t="n">
        <v>2.71</v>
      </c>
      <c r="L1125" s="61" t="n">
        <v>0.01</v>
      </c>
      <c r="M1125" s="61" t="n">
        <v>0.14</v>
      </c>
      <c r="N1125" s="61" t="n">
        <v>0.86</v>
      </c>
      <c r="O1125" s="61" t="n">
        <v>0</v>
      </c>
      <c r="P1125" s="62" t="n">
        <v>176.1</v>
      </c>
      <c r="Q1125" s="0" t="n">
        <v>0</v>
      </c>
      <c r="R1125" s="60" t="n">
        <f aca="false">G1125+H1125+I1125</f>
        <v>2.13</v>
      </c>
      <c r="S1125" s="60" t="n">
        <f aca="false">K1125+L1125+M1125+N1125+O1125</f>
        <v>3.72</v>
      </c>
      <c r="T1125" s="60" t="n">
        <f aca="false">L1125+M1125</f>
        <v>0.15</v>
      </c>
      <c r="U1125" s="60" t="n">
        <f aca="false">S1125+J1125</f>
        <v>3.72</v>
      </c>
      <c r="V1125" s="63" t="n">
        <f aca="false">IFERROR(S1125/F1125,0)</f>
        <v>0.635897435897436</v>
      </c>
      <c r="W1125" s="63" t="n">
        <f aca="false">IFERROR(R1125/F1125,0)</f>
        <v>0.364102564102564</v>
      </c>
      <c r="X1125" s="63" t="n">
        <f aca="false">IFERROR(T1125/F1125,0)</f>
        <v>0.0256410256410256</v>
      </c>
      <c r="Y1125" s="63" t="n">
        <f aca="false">IFERROR(G1125/F1125,0)</f>
        <v>0</v>
      </c>
      <c r="Z1125" s="59" t="n">
        <f aca="false">IF(E1125&gt;0,F1125*1000000000/E1125,"")</f>
        <v>3102.47227264845</v>
      </c>
      <c r="AA1125" s="63" t="n">
        <f aca="false">IFERROR((R1125+S1125+J1125)/F1125,0)</f>
        <v>1</v>
      </c>
      <c r="AB1125" s="0" t="str">
        <f aca="false">A1125&amp;"|"&amp;D1125</f>
        <v>Latvia|2021</v>
      </c>
    </row>
    <row r="1126" customFormat="false" ht="15" hidden="false" customHeight="false" outlineLevel="0" collapsed="false">
      <c r="A1126" s="0" t="s">
        <v>287</v>
      </c>
      <c r="B1126" s="0" t="s">
        <v>526</v>
      </c>
      <c r="C1126" s="0" t="s">
        <v>127</v>
      </c>
      <c r="D1126" s="0" t="n">
        <v>2022</v>
      </c>
      <c r="E1126" s="59" t="n">
        <v>1881059</v>
      </c>
      <c r="F1126" s="60" t="n">
        <v>5.03</v>
      </c>
      <c r="G1126" s="61" t="n">
        <v>0</v>
      </c>
      <c r="H1126" s="61" t="n">
        <v>1.21</v>
      </c>
      <c r="I1126" s="61" t="n">
        <v>0</v>
      </c>
      <c r="J1126" s="61" t="n">
        <v>0</v>
      </c>
      <c r="K1126" s="61" t="n">
        <v>2.75</v>
      </c>
      <c r="L1126" s="61" t="n">
        <v>0.08</v>
      </c>
      <c r="M1126" s="61" t="n">
        <v>0.19</v>
      </c>
      <c r="N1126" s="61" t="n">
        <v>0.8</v>
      </c>
      <c r="O1126" s="61" t="n">
        <v>0</v>
      </c>
      <c r="P1126" s="62" t="n">
        <v>135.2</v>
      </c>
      <c r="Q1126" s="0" t="n">
        <v>0</v>
      </c>
      <c r="R1126" s="60" t="n">
        <f aca="false">G1126+H1126+I1126</f>
        <v>1.21</v>
      </c>
      <c r="S1126" s="60" t="n">
        <f aca="false">K1126+L1126+M1126+N1126+O1126</f>
        <v>3.82</v>
      </c>
      <c r="T1126" s="60" t="n">
        <f aca="false">L1126+M1126</f>
        <v>0.27</v>
      </c>
      <c r="U1126" s="60" t="n">
        <f aca="false">S1126+J1126</f>
        <v>3.82</v>
      </c>
      <c r="V1126" s="63" t="n">
        <f aca="false">IFERROR(S1126/F1126,0)</f>
        <v>0.759443339960239</v>
      </c>
      <c r="W1126" s="63" t="n">
        <f aca="false">IFERROR(R1126/F1126,0)</f>
        <v>0.240556660039761</v>
      </c>
      <c r="X1126" s="63" t="n">
        <f aca="false">IFERROR(T1126/F1126,0)</f>
        <v>0.0536779324055666</v>
      </c>
      <c r="Y1126" s="63" t="n">
        <f aca="false">IFERROR(G1126/F1126,0)</f>
        <v>0</v>
      </c>
      <c r="Z1126" s="59" t="n">
        <f aca="false">IF(E1126&gt;0,F1126*1000000000/E1126,"")</f>
        <v>2674.02564193893</v>
      </c>
      <c r="AA1126" s="63" t="n">
        <f aca="false">IFERROR((R1126+S1126+J1126)/F1126,0)</f>
        <v>1</v>
      </c>
      <c r="AB1126" s="0" t="str">
        <f aca="false">A1126&amp;"|"&amp;D1126</f>
        <v>Latvia|2022</v>
      </c>
    </row>
    <row r="1127" customFormat="false" ht="15" hidden="false" customHeight="false" outlineLevel="0" collapsed="false">
      <c r="A1127" s="0" t="s">
        <v>287</v>
      </c>
      <c r="B1127" s="0" t="s">
        <v>526</v>
      </c>
      <c r="C1127" s="0" t="s">
        <v>127</v>
      </c>
      <c r="D1127" s="0" t="n">
        <v>2023</v>
      </c>
      <c r="E1127" s="59" t="n">
        <v>1882399</v>
      </c>
      <c r="F1127" s="60" t="n">
        <v>6.38</v>
      </c>
      <c r="G1127" s="61" t="n">
        <v>0</v>
      </c>
      <c r="H1127" s="61" t="n">
        <v>1.42</v>
      </c>
      <c r="I1127" s="61" t="n">
        <v>0</v>
      </c>
      <c r="J1127" s="61" t="n">
        <v>0</v>
      </c>
      <c r="K1127" s="61" t="n">
        <v>3.79</v>
      </c>
      <c r="L1127" s="61" t="n">
        <v>0.24</v>
      </c>
      <c r="M1127" s="61" t="n">
        <v>0.27</v>
      </c>
      <c r="N1127" s="61" t="n">
        <v>0.66</v>
      </c>
      <c r="O1127" s="61" t="n">
        <v>0</v>
      </c>
      <c r="P1127" s="62" t="n">
        <v>119.1</v>
      </c>
      <c r="Q1127" s="0" t="n">
        <v>0</v>
      </c>
      <c r="R1127" s="60" t="n">
        <f aca="false">G1127+H1127+I1127</f>
        <v>1.42</v>
      </c>
      <c r="S1127" s="60" t="n">
        <f aca="false">K1127+L1127+M1127+N1127+O1127</f>
        <v>4.96</v>
      </c>
      <c r="T1127" s="60" t="n">
        <f aca="false">L1127+M1127</f>
        <v>0.51</v>
      </c>
      <c r="U1127" s="60" t="n">
        <f aca="false">S1127+J1127</f>
        <v>4.96</v>
      </c>
      <c r="V1127" s="63" t="n">
        <f aca="false">IFERROR(S1127/F1127,0)</f>
        <v>0.77742946708464</v>
      </c>
      <c r="W1127" s="63" t="n">
        <f aca="false">IFERROR(R1127/F1127,0)</f>
        <v>0.222570532915361</v>
      </c>
      <c r="X1127" s="63" t="n">
        <f aca="false">IFERROR(T1127/F1127,0)</f>
        <v>0.0799373040752351</v>
      </c>
      <c r="Y1127" s="63" t="n">
        <f aca="false">IFERROR(G1127/F1127,0)</f>
        <v>0</v>
      </c>
      <c r="Z1127" s="59" t="n">
        <f aca="false">IF(E1127&gt;0,F1127*1000000000/E1127,"")</f>
        <v>3389.2920682597</v>
      </c>
      <c r="AA1127" s="63" t="n">
        <f aca="false">IFERROR((R1127+S1127+J1127)/F1127,0)</f>
        <v>1</v>
      </c>
      <c r="AB1127" s="0" t="str">
        <f aca="false">A1127&amp;"|"&amp;D1127</f>
        <v>Latvia|2023</v>
      </c>
    </row>
    <row r="1128" customFormat="false" ht="15" hidden="false" customHeight="false" outlineLevel="0" collapsed="false">
      <c r="A1128" s="0" t="s">
        <v>287</v>
      </c>
      <c r="B1128" s="0" t="s">
        <v>526</v>
      </c>
      <c r="C1128" s="0" t="s">
        <v>127</v>
      </c>
      <c r="D1128" s="0" t="n">
        <v>2024</v>
      </c>
      <c r="E1128" s="59" t="n">
        <v>1871874</v>
      </c>
      <c r="F1128" s="60" t="n">
        <v>6.33</v>
      </c>
      <c r="G1128" s="61" t="n">
        <v>0</v>
      </c>
      <c r="H1128" s="61" t="n">
        <v>1.68</v>
      </c>
      <c r="I1128" s="61" t="n">
        <v>0</v>
      </c>
      <c r="J1128" s="61" t="n">
        <v>0</v>
      </c>
      <c r="K1128" s="61" t="n">
        <v>3.21</v>
      </c>
      <c r="L1128" s="61" t="n">
        <v>0.54</v>
      </c>
      <c r="M1128" s="61" t="n">
        <v>0.28</v>
      </c>
      <c r="N1128" s="61" t="n">
        <v>0.62</v>
      </c>
      <c r="O1128" s="61" t="n">
        <v>0</v>
      </c>
      <c r="P1128" s="62" t="n">
        <v>134.3</v>
      </c>
      <c r="Q1128" s="0" t="n">
        <v>0</v>
      </c>
      <c r="R1128" s="60" t="n">
        <f aca="false">G1128+H1128+I1128</f>
        <v>1.68</v>
      </c>
      <c r="S1128" s="60" t="n">
        <f aca="false">K1128+L1128+M1128+N1128+O1128</f>
        <v>4.65</v>
      </c>
      <c r="T1128" s="60" t="n">
        <f aca="false">L1128+M1128</f>
        <v>0.82</v>
      </c>
      <c r="U1128" s="60" t="n">
        <f aca="false">S1128+J1128</f>
        <v>4.65</v>
      </c>
      <c r="V1128" s="63" t="n">
        <f aca="false">IFERROR(S1128/F1128,0)</f>
        <v>0.734597156398104</v>
      </c>
      <c r="W1128" s="63" t="n">
        <f aca="false">IFERROR(R1128/F1128,0)</f>
        <v>0.265402843601896</v>
      </c>
      <c r="X1128" s="63" t="n">
        <f aca="false">IFERROR(T1128/F1128,0)</f>
        <v>0.129541864139021</v>
      </c>
      <c r="Y1128" s="63" t="n">
        <f aca="false">IFERROR(G1128/F1128,0)</f>
        <v>0</v>
      </c>
      <c r="Z1128" s="59" t="n">
        <f aca="false">IF(E1128&gt;0,F1128*1000000000/E1128,"")</f>
        <v>3381.63786665128</v>
      </c>
      <c r="AA1128" s="63" t="n">
        <f aca="false">IFERROR((R1128+S1128+J1128)/F1128,0)</f>
        <v>1</v>
      </c>
      <c r="AB1128" s="0" t="str">
        <f aca="false">A1128&amp;"|"&amp;D1128</f>
        <v>Latvia|2024</v>
      </c>
    </row>
    <row r="1129" customFormat="false" ht="15" hidden="false" customHeight="false" outlineLevel="0" collapsed="false">
      <c r="A1129" s="0" t="s">
        <v>287</v>
      </c>
      <c r="B1129" s="0" t="s">
        <v>526</v>
      </c>
      <c r="C1129" s="0" t="s">
        <v>127</v>
      </c>
      <c r="D1129" s="0" t="n">
        <v>2025</v>
      </c>
      <c r="E1129" s="59" t="n">
        <v>1853560</v>
      </c>
      <c r="F1129" s="60" t="n">
        <v>6.27</v>
      </c>
      <c r="G1129" s="61" t="n">
        <v>0</v>
      </c>
      <c r="H1129" s="61" t="n">
        <v>1.64</v>
      </c>
      <c r="I1129" s="61" t="n">
        <v>0.05</v>
      </c>
      <c r="J1129" s="61" t="n">
        <v>0</v>
      </c>
      <c r="K1129" s="61" t="n">
        <v>2.93</v>
      </c>
      <c r="L1129" s="61" t="n">
        <v>0.82</v>
      </c>
      <c r="M1129" s="61" t="n">
        <v>0.22</v>
      </c>
      <c r="N1129" s="61" t="n">
        <v>0.61</v>
      </c>
      <c r="O1129" s="61" t="n">
        <v>0</v>
      </c>
      <c r="P1129" s="62" t="n">
        <v>138.8</v>
      </c>
      <c r="Q1129" s="0" t="n">
        <v>0</v>
      </c>
      <c r="R1129" s="60" t="n">
        <f aca="false">G1129+H1129+I1129</f>
        <v>1.69</v>
      </c>
      <c r="S1129" s="60" t="n">
        <f aca="false">K1129+L1129+M1129+N1129+O1129</f>
        <v>4.58</v>
      </c>
      <c r="T1129" s="60" t="n">
        <f aca="false">L1129+M1129</f>
        <v>1.04</v>
      </c>
      <c r="U1129" s="60" t="n">
        <f aca="false">S1129+J1129</f>
        <v>4.58</v>
      </c>
      <c r="V1129" s="63" t="n">
        <f aca="false">IFERROR(S1129/F1129,0)</f>
        <v>0.730462519936204</v>
      </c>
      <c r="W1129" s="63" t="n">
        <f aca="false">IFERROR(R1129/F1129,0)</f>
        <v>0.269537480063796</v>
      </c>
      <c r="X1129" s="63" t="n">
        <f aca="false">IFERROR(T1129/F1129,0)</f>
        <v>0.165869218500797</v>
      </c>
      <c r="Y1129" s="63" t="n">
        <f aca="false">IFERROR(G1129/F1129,0)</f>
        <v>0</v>
      </c>
      <c r="Z1129" s="59" t="n">
        <f aca="false">IF(E1129&gt;0,F1129*1000000000/E1129,"")</f>
        <v>3382.67981613759</v>
      </c>
      <c r="AA1129" s="63" t="n">
        <f aca="false">IFERROR((R1129+S1129+J1129)/F1129,0)</f>
        <v>1</v>
      </c>
      <c r="AB1129" s="0" t="str">
        <f aca="false">A1129&amp;"|"&amp;D1129</f>
        <v>Latvia|2025</v>
      </c>
    </row>
    <row r="1130" customFormat="false" ht="15" hidden="false" customHeight="false" outlineLevel="0" collapsed="false">
      <c r="A1130" s="0" t="s">
        <v>288</v>
      </c>
      <c r="B1130" s="0" t="s">
        <v>527</v>
      </c>
      <c r="C1130" s="0" t="s">
        <v>127</v>
      </c>
      <c r="D1130" s="0" t="n">
        <v>2015</v>
      </c>
      <c r="E1130" s="59" t="n">
        <v>6472470</v>
      </c>
      <c r="F1130" s="60" t="n">
        <v>18.64</v>
      </c>
      <c r="G1130" s="61" t="n">
        <v>0</v>
      </c>
      <c r="H1130" s="61" t="n">
        <v>0</v>
      </c>
      <c r="I1130" s="61" t="n">
        <v>18.14</v>
      </c>
      <c r="J1130" s="61" t="n">
        <v>0</v>
      </c>
      <c r="K1130" s="61" t="n">
        <v>0.47</v>
      </c>
      <c r="L1130" s="61" t="n">
        <v>0.02</v>
      </c>
      <c r="M1130" s="61" t="n">
        <v>0.01</v>
      </c>
      <c r="N1130" s="61" t="n">
        <v>0</v>
      </c>
      <c r="O1130" s="61" t="n">
        <v>0</v>
      </c>
      <c r="P1130" s="62" t="n">
        <v>641.1</v>
      </c>
      <c r="Q1130" s="0" t="n">
        <v>0</v>
      </c>
      <c r="R1130" s="60" t="n">
        <f aca="false">G1130+H1130+I1130</f>
        <v>18.14</v>
      </c>
      <c r="S1130" s="60" t="n">
        <f aca="false">K1130+L1130+M1130+N1130+O1130</f>
        <v>0.5</v>
      </c>
      <c r="T1130" s="60" t="n">
        <f aca="false">L1130+M1130</f>
        <v>0.03</v>
      </c>
      <c r="U1130" s="60" t="n">
        <f aca="false">S1130+J1130</f>
        <v>0.5</v>
      </c>
      <c r="V1130" s="63" t="n">
        <f aca="false">IFERROR(S1130/F1130,0)</f>
        <v>0.026824034334764</v>
      </c>
      <c r="W1130" s="63" t="n">
        <f aca="false">IFERROR(R1130/F1130,0)</f>
        <v>0.973175965665236</v>
      </c>
      <c r="X1130" s="63" t="n">
        <f aca="false">IFERROR(T1130/F1130,0)</f>
        <v>0.00160944206008584</v>
      </c>
      <c r="Y1130" s="63" t="n">
        <f aca="false">IFERROR(G1130/F1130,0)</f>
        <v>0</v>
      </c>
      <c r="Z1130" s="59" t="n">
        <f aca="false">IF(E1130&gt;0,F1130*1000000000/E1130,"")</f>
        <v>2879.8897484268</v>
      </c>
      <c r="AA1130" s="63" t="n">
        <f aca="false">IFERROR((R1130+S1130+J1130)/F1130,0)</f>
        <v>1</v>
      </c>
      <c r="AB1130" s="0" t="str">
        <f aca="false">A1130&amp;"|"&amp;D1130</f>
        <v>Lebanon|2015</v>
      </c>
    </row>
    <row r="1131" customFormat="false" ht="15" hidden="false" customHeight="false" outlineLevel="0" collapsed="false">
      <c r="A1131" s="0" t="s">
        <v>288</v>
      </c>
      <c r="B1131" s="0" t="s">
        <v>527</v>
      </c>
      <c r="C1131" s="0" t="s">
        <v>127</v>
      </c>
      <c r="D1131" s="0" t="n">
        <v>2016</v>
      </c>
      <c r="E1131" s="59" t="n">
        <v>6323061</v>
      </c>
      <c r="F1131" s="60" t="n">
        <v>19.41</v>
      </c>
      <c r="G1131" s="61" t="n">
        <v>0</v>
      </c>
      <c r="H1131" s="61" t="n">
        <v>0</v>
      </c>
      <c r="I1131" s="61" t="n">
        <v>18.98</v>
      </c>
      <c r="J1131" s="61" t="n">
        <v>0</v>
      </c>
      <c r="K1131" s="61" t="n">
        <v>0.38</v>
      </c>
      <c r="L1131" s="61" t="n">
        <v>0.04</v>
      </c>
      <c r="M1131" s="61" t="n">
        <v>0.01</v>
      </c>
      <c r="N1131" s="61" t="n">
        <v>0</v>
      </c>
      <c r="O1131" s="61" t="n">
        <v>0</v>
      </c>
      <c r="P1131" s="62" t="n">
        <v>644</v>
      </c>
      <c r="Q1131" s="0" t="n">
        <v>0</v>
      </c>
      <c r="R1131" s="60" t="n">
        <f aca="false">G1131+H1131+I1131</f>
        <v>18.98</v>
      </c>
      <c r="S1131" s="60" t="n">
        <f aca="false">K1131+L1131+M1131+N1131+O1131</f>
        <v>0.43</v>
      </c>
      <c r="T1131" s="60" t="n">
        <f aca="false">L1131+M1131</f>
        <v>0.05</v>
      </c>
      <c r="U1131" s="60" t="n">
        <f aca="false">S1131+J1131</f>
        <v>0.43</v>
      </c>
      <c r="V1131" s="63" t="n">
        <f aca="false">IFERROR(S1131/F1131,0)</f>
        <v>0.0221535291087069</v>
      </c>
      <c r="W1131" s="63" t="n">
        <f aca="false">IFERROR(R1131/F1131,0)</f>
        <v>0.977846470891293</v>
      </c>
      <c r="X1131" s="63" t="n">
        <f aca="false">IFERROR(T1131/F1131,0)</f>
        <v>0.00257599175682638</v>
      </c>
      <c r="Y1131" s="63" t="n">
        <f aca="false">IFERROR(G1131/F1131,0)</f>
        <v>0</v>
      </c>
      <c r="Z1131" s="59" t="n">
        <f aca="false">IF(E1131&gt;0,F1131*1000000000/E1131,"")</f>
        <v>3069.71575950319</v>
      </c>
      <c r="AA1131" s="63" t="n">
        <f aca="false">IFERROR((R1131+S1131+J1131)/F1131,0)</f>
        <v>1</v>
      </c>
      <c r="AB1131" s="0" t="str">
        <f aca="false">A1131&amp;"|"&amp;D1131</f>
        <v>Lebanon|2016</v>
      </c>
    </row>
    <row r="1132" customFormat="false" ht="15" hidden="false" customHeight="false" outlineLevel="0" collapsed="false">
      <c r="A1132" s="0" t="s">
        <v>288</v>
      </c>
      <c r="B1132" s="0" t="s">
        <v>527</v>
      </c>
      <c r="C1132" s="0" t="s">
        <v>127</v>
      </c>
      <c r="D1132" s="0" t="n">
        <v>2017</v>
      </c>
      <c r="E1132" s="59" t="n">
        <v>6160129</v>
      </c>
      <c r="F1132" s="60" t="n">
        <v>21.25</v>
      </c>
      <c r="G1132" s="61" t="n">
        <v>0</v>
      </c>
      <c r="H1132" s="61" t="n">
        <v>0</v>
      </c>
      <c r="I1132" s="61" t="n">
        <v>20.77</v>
      </c>
      <c r="J1132" s="61" t="n">
        <v>0</v>
      </c>
      <c r="K1132" s="61" t="n">
        <v>0.41</v>
      </c>
      <c r="L1132" s="61" t="n">
        <v>0.06</v>
      </c>
      <c r="M1132" s="61" t="n">
        <v>0.01</v>
      </c>
      <c r="N1132" s="61" t="n">
        <v>0</v>
      </c>
      <c r="O1132" s="61" t="n">
        <v>0</v>
      </c>
      <c r="P1132" s="62" t="n">
        <v>643.8</v>
      </c>
      <c r="Q1132" s="0" t="n">
        <v>0</v>
      </c>
      <c r="R1132" s="60" t="n">
        <f aca="false">G1132+H1132+I1132</f>
        <v>20.77</v>
      </c>
      <c r="S1132" s="60" t="n">
        <f aca="false">K1132+L1132+M1132+N1132+O1132</f>
        <v>0.48</v>
      </c>
      <c r="T1132" s="60" t="n">
        <f aca="false">L1132+M1132</f>
        <v>0.07</v>
      </c>
      <c r="U1132" s="60" t="n">
        <f aca="false">S1132+J1132</f>
        <v>0.48</v>
      </c>
      <c r="V1132" s="63" t="n">
        <f aca="false">IFERROR(S1132/F1132,0)</f>
        <v>0.0225882352941176</v>
      </c>
      <c r="W1132" s="63" t="n">
        <f aca="false">IFERROR(R1132/F1132,0)</f>
        <v>0.977411764705882</v>
      </c>
      <c r="X1132" s="63" t="n">
        <f aca="false">IFERROR(T1132/F1132,0)</f>
        <v>0.00329411764705882</v>
      </c>
      <c r="Y1132" s="63" t="n">
        <f aca="false">IFERROR(G1132/F1132,0)</f>
        <v>0</v>
      </c>
      <c r="Z1132" s="59" t="n">
        <f aca="false">IF(E1132&gt;0,F1132*1000000000/E1132,"")</f>
        <v>3449.60308461073</v>
      </c>
      <c r="AA1132" s="63" t="n">
        <f aca="false">IFERROR((R1132+S1132+J1132)/F1132,0)</f>
        <v>1</v>
      </c>
      <c r="AB1132" s="0" t="str">
        <f aca="false">A1132&amp;"|"&amp;D1132</f>
        <v>Lebanon|2017</v>
      </c>
    </row>
    <row r="1133" customFormat="false" ht="15" hidden="false" customHeight="false" outlineLevel="0" collapsed="false">
      <c r="A1133" s="0" t="s">
        <v>288</v>
      </c>
      <c r="B1133" s="0" t="s">
        <v>527</v>
      </c>
      <c r="C1133" s="0" t="s">
        <v>127</v>
      </c>
      <c r="D1133" s="0" t="n">
        <v>2018</v>
      </c>
      <c r="E1133" s="59" t="n">
        <v>5984120</v>
      </c>
      <c r="F1133" s="60" t="n">
        <v>21.28</v>
      </c>
      <c r="G1133" s="61" t="n">
        <v>0</v>
      </c>
      <c r="H1133" s="61" t="n">
        <v>0</v>
      </c>
      <c r="I1133" s="61" t="n">
        <v>20.81</v>
      </c>
      <c r="J1133" s="61" t="n">
        <v>0</v>
      </c>
      <c r="K1133" s="61" t="n">
        <v>0.34</v>
      </c>
      <c r="L1133" s="61" t="n">
        <v>0.09</v>
      </c>
      <c r="M1133" s="61" t="n">
        <v>0.01</v>
      </c>
      <c r="N1133" s="61" t="n">
        <v>0.03</v>
      </c>
      <c r="O1133" s="61" t="n">
        <v>0</v>
      </c>
      <c r="P1133" s="62" t="n">
        <v>644.3</v>
      </c>
      <c r="Q1133" s="0" t="n">
        <v>0</v>
      </c>
      <c r="R1133" s="60" t="n">
        <f aca="false">G1133+H1133+I1133</f>
        <v>20.81</v>
      </c>
      <c r="S1133" s="60" t="n">
        <f aca="false">K1133+L1133+M1133+N1133+O1133</f>
        <v>0.47</v>
      </c>
      <c r="T1133" s="60" t="n">
        <f aca="false">L1133+M1133</f>
        <v>0.1</v>
      </c>
      <c r="U1133" s="60" t="n">
        <f aca="false">S1133+J1133</f>
        <v>0.47</v>
      </c>
      <c r="V1133" s="63" t="n">
        <f aca="false">IFERROR(S1133/F1133,0)</f>
        <v>0.0220864661654135</v>
      </c>
      <c r="W1133" s="63" t="n">
        <f aca="false">IFERROR(R1133/F1133,0)</f>
        <v>0.977913533834586</v>
      </c>
      <c r="X1133" s="63" t="n">
        <f aca="false">IFERROR(T1133/F1133,0)</f>
        <v>0.00469924812030075</v>
      </c>
      <c r="Y1133" s="63" t="n">
        <f aca="false">IFERROR(G1133/F1133,0)</f>
        <v>0</v>
      </c>
      <c r="Z1133" s="59" t="n">
        <f aca="false">IF(E1133&gt;0,F1133*1000000000/E1133,"")</f>
        <v>3556.07842088728</v>
      </c>
      <c r="AA1133" s="63" t="n">
        <f aca="false">IFERROR((R1133+S1133+J1133)/F1133,0)</f>
        <v>1</v>
      </c>
      <c r="AB1133" s="0" t="str">
        <f aca="false">A1133&amp;"|"&amp;D1133</f>
        <v>Lebanon|2018</v>
      </c>
    </row>
    <row r="1134" customFormat="false" ht="15" hidden="false" customHeight="false" outlineLevel="0" collapsed="false">
      <c r="A1134" s="0" t="s">
        <v>288</v>
      </c>
      <c r="B1134" s="0" t="s">
        <v>527</v>
      </c>
      <c r="C1134" s="0" t="s">
        <v>127</v>
      </c>
      <c r="D1134" s="0" t="n">
        <v>2019</v>
      </c>
      <c r="E1134" s="59" t="n">
        <v>5794601</v>
      </c>
      <c r="F1134" s="60" t="n">
        <v>21.59</v>
      </c>
      <c r="G1134" s="61" t="n">
        <v>0</v>
      </c>
      <c r="H1134" s="61" t="n">
        <v>0</v>
      </c>
      <c r="I1134" s="61" t="n">
        <v>20.47</v>
      </c>
      <c r="J1134" s="61" t="n">
        <v>0</v>
      </c>
      <c r="K1134" s="61" t="n">
        <v>0.96</v>
      </c>
      <c r="L1134" s="61" t="n">
        <v>0.12</v>
      </c>
      <c r="M1134" s="61" t="n">
        <v>0.01</v>
      </c>
      <c r="N1134" s="61" t="n">
        <v>0.03</v>
      </c>
      <c r="O1134" s="61" t="n">
        <v>0</v>
      </c>
      <c r="P1134" s="62" t="n">
        <v>625.8</v>
      </c>
      <c r="Q1134" s="0" t="n">
        <v>0</v>
      </c>
      <c r="R1134" s="60" t="n">
        <f aca="false">G1134+H1134+I1134</f>
        <v>20.47</v>
      </c>
      <c r="S1134" s="60" t="n">
        <f aca="false">K1134+L1134+M1134+N1134+O1134</f>
        <v>1.12</v>
      </c>
      <c r="T1134" s="60" t="n">
        <f aca="false">L1134+M1134</f>
        <v>0.13</v>
      </c>
      <c r="U1134" s="60" t="n">
        <f aca="false">S1134+J1134</f>
        <v>1.12</v>
      </c>
      <c r="V1134" s="63" t="n">
        <f aca="false">IFERROR(S1134/F1134,0)</f>
        <v>0.0518758684576193</v>
      </c>
      <c r="W1134" s="63" t="n">
        <f aca="false">IFERROR(R1134/F1134,0)</f>
        <v>0.948124131542381</v>
      </c>
      <c r="X1134" s="63" t="n">
        <f aca="false">IFERROR(T1134/F1134,0)</f>
        <v>0.00602130616025938</v>
      </c>
      <c r="Y1134" s="63" t="n">
        <f aca="false">IFERROR(G1134/F1134,0)</f>
        <v>0</v>
      </c>
      <c r="Z1134" s="59" t="n">
        <f aca="false">IF(E1134&gt;0,F1134*1000000000/E1134,"")</f>
        <v>3725.88207540088</v>
      </c>
      <c r="AA1134" s="63" t="n">
        <f aca="false">IFERROR((R1134+S1134+J1134)/F1134,0)</f>
        <v>1</v>
      </c>
      <c r="AB1134" s="0" t="str">
        <f aca="false">A1134&amp;"|"&amp;D1134</f>
        <v>Lebanon|2019</v>
      </c>
    </row>
    <row r="1135" customFormat="false" ht="15" hidden="false" customHeight="false" outlineLevel="0" collapsed="false">
      <c r="A1135" s="0" t="s">
        <v>288</v>
      </c>
      <c r="B1135" s="0" t="s">
        <v>527</v>
      </c>
      <c r="C1135" s="0" t="s">
        <v>127</v>
      </c>
      <c r="D1135" s="0" t="n">
        <v>2020</v>
      </c>
      <c r="E1135" s="59" t="n">
        <v>5702400</v>
      </c>
      <c r="F1135" s="60" t="n">
        <v>18.25</v>
      </c>
      <c r="G1135" s="61" t="n">
        <v>0</v>
      </c>
      <c r="H1135" s="61" t="n">
        <v>0</v>
      </c>
      <c r="I1135" s="61" t="n">
        <v>17.02</v>
      </c>
      <c r="J1135" s="61" t="n">
        <v>0</v>
      </c>
      <c r="K1135" s="61" t="n">
        <v>1.05</v>
      </c>
      <c r="L1135" s="61" t="n">
        <v>0.14</v>
      </c>
      <c r="M1135" s="61" t="n">
        <v>0.01</v>
      </c>
      <c r="N1135" s="61" t="n">
        <v>0.03</v>
      </c>
      <c r="O1135" s="61" t="n">
        <v>0</v>
      </c>
      <c r="P1135" s="62" t="n">
        <v>615.9</v>
      </c>
      <c r="Q1135" s="0" t="n">
        <v>0</v>
      </c>
      <c r="R1135" s="60" t="n">
        <f aca="false">G1135+H1135+I1135</f>
        <v>17.02</v>
      </c>
      <c r="S1135" s="60" t="n">
        <f aca="false">K1135+L1135+M1135+N1135+O1135</f>
        <v>1.23</v>
      </c>
      <c r="T1135" s="60" t="n">
        <f aca="false">L1135+M1135</f>
        <v>0.15</v>
      </c>
      <c r="U1135" s="60" t="n">
        <f aca="false">S1135+J1135</f>
        <v>1.23</v>
      </c>
      <c r="V1135" s="63" t="n">
        <f aca="false">IFERROR(S1135/F1135,0)</f>
        <v>0.0673972602739726</v>
      </c>
      <c r="W1135" s="63" t="n">
        <f aca="false">IFERROR(R1135/F1135,0)</f>
        <v>0.932602739726027</v>
      </c>
      <c r="X1135" s="63" t="n">
        <f aca="false">IFERROR(T1135/F1135,0)</f>
        <v>0.00821917808219178</v>
      </c>
      <c r="Y1135" s="63" t="n">
        <f aca="false">IFERROR(G1135/F1135,0)</f>
        <v>0</v>
      </c>
      <c r="Z1135" s="59" t="n">
        <f aca="false">IF(E1135&gt;0,F1135*1000000000/E1135,"")</f>
        <v>3200.40684624018</v>
      </c>
      <c r="AA1135" s="63" t="n">
        <f aca="false">IFERROR((R1135+S1135+J1135)/F1135,0)</f>
        <v>1</v>
      </c>
      <c r="AB1135" s="0" t="str">
        <f aca="false">A1135&amp;"|"&amp;D1135</f>
        <v>Lebanon|2020</v>
      </c>
    </row>
    <row r="1136" customFormat="false" ht="15" hidden="false" customHeight="false" outlineLevel="0" collapsed="false">
      <c r="A1136" s="0" t="s">
        <v>288</v>
      </c>
      <c r="B1136" s="0" t="s">
        <v>527</v>
      </c>
      <c r="C1136" s="0" t="s">
        <v>127</v>
      </c>
      <c r="D1136" s="0" t="n">
        <v>2021</v>
      </c>
      <c r="E1136" s="59" t="n">
        <v>5718129</v>
      </c>
      <c r="F1136" s="60" t="n">
        <v>10.34</v>
      </c>
      <c r="G1136" s="61" t="n">
        <v>0</v>
      </c>
      <c r="H1136" s="61" t="n">
        <v>0</v>
      </c>
      <c r="I1136" s="61" t="n">
        <v>9.38</v>
      </c>
      <c r="J1136" s="61" t="n">
        <v>0</v>
      </c>
      <c r="K1136" s="61" t="n">
        <v>0.61</v>
      </c>
      <c r="L1136" s="61" t="n">
        <v>0.31</v>
      </c>
      <c r="M1136" s="61" t="n">
        <v>0.01</v>
      </c>
      <c r="N1136" s="61" t="n">
        <v>0.03</v>
      </c>
      <c r="O1136" s="61" t="n">
        <v>0</v>
      </c>
      <c r="P1136" s="62" t="n">
        <v>599.6</v>
      </c>
      <c r="Q1136" s="0" t="n">
        <v>0</v>
      </c>
      <c r="R1136" s="60" t="n">
        <f aca="false">G1136+H1136+I1136</f>
        <v>9.38</v>
      </c>
      <c r="S1136" s="60" t="n">
        <f aca="false">K1136+L1136+M1136+N1136+O1136</f>
        <v>0.96</v>
      </c>
      <c r="T1136" s="60" t="n">
        <f aca="false">L1136+M1136</f>
        <v>0.32</v>
      </c>
      <c r="U1136" s="60" t="n">
        <f aca="false">S1136+J1136</f>
        <v>0.96</v>
      </c>
      <c r="V1136" s="63" t="n">
        <f aca="false">IFERROR(S1136/F1136,0)</f>
        <v>0.0928433268858801</v>
      </c>
      <c r="W1136" s="63" t="n">
        <f aca="false">IFERROR(R1136/F1136,0)</f>
        <v>0.90715667311412</v>
      </c>
      <c r="X1136" s="63" t="n">
        <f aca="false">IFERROR(T1136/F1136,0)</f>
        <v>0.0309477756286267</v>
      </c>
      <c r="Y1136" s="63" t="n">
        <f aca="false">IFERROR(G1136/F1136,0)</f>
        <v>0</v>
      </c>
      <c r="Z1136" s="59" t="n">
        <f aca="false">IF(E1136&gt;0,F1136*1000000000/E1136,"")</f>
        <v>1808.28379352757</v>
      </c>
      <c r="AA1136" s="63" t="n">
        <f aca="false">IFERROR((R1136+S1136+J1136)/F1136,0)</f>
        <v>1</v>
      </c>
      <c r="AB1136" s="0" t="str">
        <f aca="false">A1136&amp;"|"&amp;D1136</f>
        <v>Lebanon|2021</v>
      </c>
    </row>
    <row r="1137" customFormat="false" ht="15" hidden="false" customHeight="false" outlineLevel="0" collapsed="false">
      <c r="A1137" s="0" t="s">
        <v>288</v>
      </c>
      <c r="B1137" s="0" t="s">
        <v>527</v>
      </c>
      <c r="C1137" s="0" t="s">
        <v>127</v>
      </c>
      <c r="D1137" s="0" t="n">
        <v>2022</v>
      </c>
      <c r="E1137" s="59" t="n">
        <v>5744492</v>
      </c>
      <c r="F1137" s="60" t="n">
        <v>4.37</v>
      </c>
      <c r="G1137" s="61" t="n">
        <v>0</v>
      </c>
      <c r="H1137" s="61" t="n">
        <v>0</v>
      </c>
      <c r="I1137" s="61" t="n">
        <v>2.38</v>
      </c>
      <c r="J1137" s="61" t="n">
        <v>0</v>
      </c>
      <c r="K1137" s="61" t="n">
        <v>0.69</v>
      </c>
      <c r="L1137" s="61" t="n">
        <v>1.26</v>
      </c>
      <c r="M1137" s="61" t="n">
        <v>0.01</v>
      </c>
      <c r="N1137" s="61" t="n">
        <v>0.03</v>
      </c>
      <c r="O1137" s="61" t="n">
        <v>0</v>
      </c>
      <c r="P1137" s="62" t="n">
        <v>379.9</v>
      </c>
      <c r="Q1137" s="0" t="n">
        <v>0</v>
      </c>
      <c r="R1137" s="60" t="n">
        <f aca="false">G1137+H1137+I1137</f>
        <v>2.38</v>
      </c>
      <c r="S1137" s="60" t="n">
        <f aca="false">K1137+L1137+M1137+N1137+O1137</f>
        <v>1.99</v>
      </c>
      <c r="T1137" s="60" t="n">
        <f aca="false">L1137+M1137</f>
        <v>1.27</v>
      </c>
      <c r="U1137" s="60" t="n">
        <f aca="false">S1137+J1137</f>
        <v>1.99</v>
      </c>
      <c r="V1137" s="63" t="n">
        <f aca="false">IFERROR(S1137/F1137,0)</f>
        <v>0.455377574370709</v>
      </c>
      <c r="W1137" s="63" t="n">
        <f aca="false">IFERROR(R1137/F1137,0)</f>
        <v>0.544622425629291</v>
      </c>
      <c r="X1137" s="63" t="n">
        <f aca="false">IFERROR(T1137/F1137,0)</f>
        <v>0.290617848970252</v>
      </c>
      <c r="Y1137" s="63" t="n">
        <f aca="false">IFERROR(G1137/F1137,0)</f>
        <v>0</v>
      </c>
      <c r="Z1137" s="59" t="n">
        <f aca="false">IF(E1137&gt;0,F1137*1000000000/E1137,"")</f>
        <v>760.728711955731</v>
      </c>
      <c r="AA1137" s="63" t="n">
        <f aca="false">IFERROR((R1137+S1137+J1137)/F1137,0)</f>
        <v>1</v>
      </c>
      <c r="AB1137" s="0" t="str">
        <f aca="false">A1137&amp;"|"&amp;D1137</f>
        <v>Lebanon|2022</v>
      </c>
    </row>
    <row r="1138" customFormat="false" ht="15" hidden="false" customHeight="false" outlineLevel="0" collapsed="false">
      <c r="A1138" s="0" t="s">
        <v>288</v>
      </c>
      <c r="B1138" s="0" t="s">
        <v>527</v>
      </c>
      <c r="C1138" s="0" t="s">
        <v>127</v>
      </c>
      <c r="D1138" s="0" t="n">
        <v>2023</v>
      </c>
      <c r="E1138" s="59" t="n">
        <v>5773494</v>
      </c>
      <c r="F1138" s="60" t="n">
        <v>6.28</v>
      </c>
      <c r="G1138" s="61" t="n">
        <v>0</v>
      </c>
      <c r="H1138" s="61" t="n">
        <v>0</v>
      </c>
      <c r="I1138" s="61" t="n">
        <v>4.14</v>
      </c>
      <c r="J1138" s="61" t="n">
        <v>0</v>
      </c>
      <c r="K1138" s="61" t="n">
        <v>0.7</v>
      </c>
      <c r="L1138" s="61" t="n">
        <v>1.4</v>
      </c>
      <c r="M1138" s="61" t="n">
        <v>0.01</v>
      </c>
      <c r="N1138" s="61" t="n">
        <v>0.03</v>
      </c>
      <c r="O1138" s="61" t="n">
        <v>0</v>
      </c>
      <c r="P1138" s="62" t="n">
        <v>449.1</v>
      </c>
      <c r="Q1138" s="0" t="n">
        <v>0</v>
      </c>
      <c r="R1138" s="60" t="n">
        <f aca="false">G1138+H1138+I1138</f>
        <v>4.14</v>
      </c>
      <c r="S1138" s="60" t="n">
        <f aca="false">K1138+L1138+M1138+N1138+O1138</f>
        <v>2.14</v>
      </c>
      <c r="T1138" s="60" t="n">
        <f aca="false">L1138+M1138</f>
        <v>1.41</v>
      </c>
      <c r="U1138" s="60" t="n">
        <f aca="false">S1138+J1138</f>
        <v>2.14</v>
      </c>
      <c r="V1138" s="63" t="n">
        <f aca="false">IFERROR(S1138/F1138,0)</f>
        <v>0.340764331210191</v>
      </c>
      <c r="W1138" s="63" t="n">
        <f aca="false">IFERROR(R1138/F1138,0)</f>
        <v>0.659235668789809</v>
      </c>
      <c r="X1138" s="63" t="n">
        <f aca="false">IFERROR(T1138/F1138,0)</f>
        <v>0.224522292993631</v>
      </c>
      <c r="Y1138" s="63" t="n">
        <f aca="false">IFERROR(G1138/F1138,0)</f>
        <v>0</v>
      </c>
      <c r="Z1138" s="59" t="n">
        <f aca="false">IF(E1138&gt;0,F1138*1000000000/E1138,"")</f>
        <v>1087.72954470898</v>
      </c>
      <c r="AA1138" s="63" t="n">
        <f aca="false">IFERROR((R1138+S1138+J1138)/F1138,0)</f>
        <v>1</v>
      </c>
      <c r="AB1138" s="0" t="str">
        <f aca="false">A1138&amp;"|"&amp;D1138</f>
        <v>Lebanon|2023</v>
      </c>
    </row>
    <row r="1139" customFormat="false" ht="15" hidden="false" customHeight="false" outlineLevel="0" collapsed="false">
      <c r="A1139" s="0" t="s">
        <v>288</v>
      </c>
      <c r="B1139" s="0" t="s">
        <v>527</v>
      </c>
      <c r="C1139" s="0" t="s">
        <v>127</v>
      </c>
      <c r="D1139" s="0" t="n">
        <v>2024</v>
      </c>
      <c r="E1139" s="59" t="n">
        <v>5805962</v>
      </c>
      <c r="F1139" s="60" t="n">
        <v>5.34</v>
      </c>
      <c r="G1139" s="61" t="n">
        <v>0</v>
      </c>
      <c r="H1139" s="61" t="n">
        <v>0</v>
      </c>
      <c r="I1139" s="61" t="n">
        <v>3</v>
      </c>
      <c r="J1139" s="61" t="n">
        <v>0</v>
      </c>
      <c r="K1139" s="61" t="n">
        <v>0.7</v>
      </c>
      <c r="L1139" s="61" t="n">
        <v>1.6</v>
      </c>
      <c r="M1139" s="61" t="n">
        <v>0.01</v>
      </c>
      <c r="N1139" s="61" t="n">
        <v>0.03</v>
      </c>
      <c r="O1139" s="61" t="n">
        <v>0</v>
      </c>
      <c r="P1139" s="62" t="n">
        <v>389.5</v>
      </c>
      <c r="Q1139" s="0" t="n">
        <v>0</v>
      </c>
      <c r="R1139" s="60" t="n">
        <f aca="false">G1139+H1139+I1139</f>
        <v>3</v>
      </c>
      <c r="S1139" s="60" t="n">
        <f aca="false">K1139+L1139+M1139+N1139+O1139</f>
        <v>2.34</v>
      </c>
      <c r="T1139" s="60" t="n">
        <f aca="false">L1139+M1139</f>
        <v>1.61</v>
      </c>
      <c r="U1139" s="60" t="n">
        <f aca="false">S1139+J1139</f>
        <v>2.34</v>
      </c>
      <c r="V1139" s="63" t="n">
        <f aca="false">IFERROR(S1139/F1139,0)</f>
        <v>0.438202247191011</v>
      </c>
      <c r="W1139" s="63" t="n">
        <f aca="false">IFERROR(R1139/F1139,0)</f>
        <v>0.561797752808989</v>
      </c>
      <c r="X1139" s="63" t="n">
        <f aca="false">IFERROR(T1139/F1139,0)</f>
        <v>0.301498127340824</v>
      </c>
      <c r="Y1139" s="63" t="n">
        <f aca="false">IFERROR(G1139/F1139,0)</f>
        <v>0</v>
      </c>
      <c r="Z1139" s="59" t="n">
        <f aca="false">IF(E1139&gt;0,F1139*1000000000/E1139,"")</f>
        <v>919.744221543303</v>
      </c>
      <c r="AA1139" s="63" t="n">
        <f aca="false">IFERROR((R1139+S1139+J1139)/F1139,0)</f>
        <v>1</v>
      </c>
      <c r="AB1139" s="0" t="str">
        <f aca="false">A1139&amp;"|"&amp;D1139</f>
        <v>Lebanon|2024</v>
      </c>
    </row>
    <row r="1140" customFormat="false" ht="15" hidden="false" customHeight="false" outlineLevel="0" collapsed="false">
      <c r="A1140" s="0" t="s">
        <v>289</v>
      </c>
      <c r="B1140" s="0" t="s">
        <v>528</v>
      </c>
      <c r="C1140" s="0" t="s">
        <v>127</v>
      </c>
      <c r="D1140" s="0" t="n">
        <v>2015</v>
      </c>
      <c r="E1140" s="59" t="n">
        <v>2104614</v>
      </c>
      <c r="F1140" s="60" t="n">
        <v>0.53</v>
      </c>
      <c r="G1140" s="61" t="n">
        <v>0</v>
      </c>
      <c r="H1140" s="61" t="n">
        <v>0</v>
      </c>
      <c r="I1140" s="61" t="n">
        <v>0</v>
      </c>
      <c r="J1140" s="61" t="n">
        <v>0</v>
      </c>
      <c r="K1140" s="61" t="n">
        <v>0.53</v>
      </c>
      <c r="L1140" s="61" t="n">
        <v>0</v>
      </c>
      <c r="M1140" s="61" t="n">
        <v>0</v>
      </c>
      <c r="N1140" s="61" t="n">
        <v>0</v>
      </c>
      <c r="O1140" s="61" t="n">
        <v>0</v>
      </c>
      <c r="P1140" s="62" t="n">
        <v>18.9</v>
      </c>
      <c r="Q1140" s="0" t="n">
        <v>0</v>
      </c>
      <c r="R1140" s="60" t="n">
        <f aca="false">G1140+H1140+I1140</f>
        <v>0</v>
      </c>
      <c r="S1140" s="60" t="n">
        <f aca="false">K1140+L1140+M1140+N1140+O1140</f>
        <v>0.53</v>
      </c>
      <c r="T1140" s="60" t="n">
        <f aca="false">L1140+M1140</f>
        <v>0</v>
      </c>
      <c r="U1140" s="60" t="n">
        <f aca="false">S1140+J1140</f>
        <v>0.53</v>
      </c>
      <c r="V1140" s="63" t="n">
        <f aca="false">IFERROR(S1140/F1140,0)</f>
        <v>1</v>
      </c>
      <c r="W1140" s="63" t="n">
        <f aca="false">IFERROR(R1140/F1140,0)</f>
        <v>0</v>
      </c>
      <c r="X1140" s="63" t="n">
        <f aca="false">IFERROR(T1140/F1140,0)</f>
        <v>0</v>
      </c>
      <c r="Y1140" s="63" t="n">
        <f aca="false">IFERROR(G1140/F1140,0)</f>
        <v>0</v>
      </c>
      <c r="Z1140" s="59" t="n">
        <f aca="false">IF(E1140&gt;0,F1140*1000000000/E1140,"")</f>
        <v>251.827651056203</v>
      </c>
      <c r="AA1140" s="63" t="n">
        <f aca="false">IFERROR((R1140+S1140+J1140)/F1140,0)</f>
        <v>1</v>
      </c>
      <c r="AB1140" s="0" t="str">
        <f aca="false">A1140&amp;"|"&amp;D1140</f>
        <v>Lesotho|2015</v>
      </c>
    </row>
    <row r="1141" customFormat="false" ht="15" hidden="false" customHeight="false" outlineLevel="0" collapsed="false">
      <c r="A1141" s="0" t="s">
        <v>289</v>
      </c>
      <c r="B1141" s="0" t="s">
        <v>528</v>
      </c>
      <c r="C1141" s="0" t="s">
        <v>127</v>
      </c>
      <c r="D1141" s="0" t="n">
        <v>2016</v>
      </c>
      <c r="E1141" s="59" t="n">
        <v>2130424</v>
      </c>
      <c r="F1141" s="60" t="n">
        <v>0.52</v>
      </c>
      <c r="G1141" s="61" t="n">
        <v>0</v>
      </c>
      <c r="H1141" s="61" t="n">
        <v>0</v>
      </c>
      <c r="I1141" s="61" t="n">
        <v>0</v>
      </c>
      <c r="J1141" s="61" t="n">
        <v>0</v>
      </c>
      <c r="K1141" s="61" t="n">
        <v>0.52</v>
      </c>
      <c r="L1141" s="61" t="n">
        <v>0</v>
      </c>
      <c r="M1141" s="61" t="n">
        <v>0</v>
      </c>
      <c r="N1141" s="61" t="n">
        <v>0</v>
      </c>
      <c r="O1141" s="61" t="n">
        <v>0</v>
      </c>
      <c r="P1141" s="62" t="n">
        <v>19.2</v>
      </c>
      <c r="Q1141" s="0" t="n">
        <v>0</v>
      </c>
      <c r="R1141" s="60" t="n">
        <f aca="false">G1141+H1141+I1141</f>
        <v>0</v>
      </c>
      <c r="S1141" s="60" t="n">
        <f aca="false">K1141+L1141+M1141+N1141+O1141</f>
        <v>0.52</v>
      </c>
      <c r="T1141" s="60" t="n">
        <f aca="false">L1141+M1141</f>
        <v>0</v>
      </c>
      <c r="U1141" s="60" t="n">
        <f aca="false">S1141+J1141</f>
        <v>0.52</v>
      </c>
      <c r="V1141" s="63" t="n">
        <f aca="false">IFERROR(S1141/F1141,0)</f>
        <v>1</v>
      </c>
      <c r="W1141" s="63" t="n">
        <f aca="false">IFERROR(R1141/F1141,0)</f>
        <v>0</v>
      </c>
      <c r="X1141" s="63" t="n">
        <f aca="false">IFERROR(T1141/F1141,0)</f>
        <v>0</v>
      </c>
      <c r="Y1141" s="63" t="n">
        <f aca="false">IFERROR(G1141/F1141,0)</f>
        <v>0</v>
      </c>
      <c r="Z1141" s="59" t="n">
        <f aca="false">IF(E1141&gt;0,F1141*1000000000/E1141,"")</f>
        <v>244.08286801125</v>
      </c>
      <c r="AA1141" s="63" t="n">
        <f aca="false">IFERROR((R1141+S1141+J1141)/F1141,0)</f>
        <v>1</v>
      </c>
      <c r="AB1141" s="0" t="str">
        <f aca="false">A1141&amp;"|"&amp;D1141</f>
        <v>Lesotho|2016</v>
      </c>
    </row>
    <row r="1142" customFormat="false" ht="15" hidden="false" customHeight="false" outlineLevel="0" collapsed="false">
      <c r="A1142" s="0" t="s">
        <v>289</v>
      </c>
      <c r="B1142" s="0" t="s">
        <v>528</v>
      </c>
      <c r="C1142" s="0" t="s">
        <v>127</v>
      </c>
      <c r="D1142" s="0" t="n">
        <v>2017</v>
      </c>
      <c r="E1142" s="59" t="n">
        <v>2157117</v>
      </c>
      <c r="F1142" s="60" t="n">
        <v>0.54</v>
      </c>
      <c r="G1142" s="61" t="n">
        <v>0</v>
      </c>
      <c r="H1142" s="61" t="n">
        <v>0</v>
      </c>
      <c r="I1142" s="61" t="n">
        <v>0</v>
      </c>
      <c r="J1142" s="61" t="n">
        <v>0</v>
      </c>
      <c r="K1142" s="61" t="n">
        <v>0.54</v>
      </c>
      <c r="L1142" s="61" t="n">
        <v>0</v>
      </c>
      <c r="M1142" s="61" t="n">
        <v>0</v>
      </c>
      <c r="N1142" s="61" t="n">
        <v>0</v>
      </c>
      <c r="O1142" s="61" t="n">
        <v>0</v>
      </c>
      <c r="P1142" s="62" t="n">
        <v>18.5</v>
      </c>
      <c r="Q1142" s="0" t="n">
        <v>0</v>
      </c>
      <c r="R1142" s="60" t="n">
        <f aca="false">G1142+H1142+I1142</f>
        <v>0</v>
      </c>
      <c r="S1142" s="60" t="n">
        <f aca="false">K1142+L1142+M1142+N1142+O1142</f>
        <v>0.54</v>
      </c>
      <c r="T1142" s="60" t="n">
        <f aca="false">L1142+M1142</f>
        <v>0</v>
      </c>
      <c r="U1142" s="60" t="n">
        <f aca="false">S1142+J1142</f>
        <v>0.54</v>
      </c>
      <c r="V1142" s="63" t="n">
        <f aca="false">IFERROR(S1142/F1142,0)</f>
        <v>1</v>
      </c>
      <c r="W1142" s="63" t="n">
        <f aca="false">IFERROR(R1142/F1142,0)</f>
        <v>0</v>
      </c>
      <c r="X1142" s="63" t="n">
        <f aca="false">IFERROR(T1142/F1142,0)</f>
        <v>0</v>
      </c>
      <c r="Y1142" s="63" t="n">
        <f aca="false">IFERROR(G1142/F1142,0)</f>
        <v>0</v>
      </c>
      <c r="Z1142" s="59" t="n">
        <f aca="false">IF(E1142&gt;0,F1142*1000000000/E1142,"")</f>
        <v>250.334126521649</v>
      </c>
      <c r="AA1142" s="63" t="n">
        <f aca="false">IFERROR((R1142+S1142+J1142)/F1142,0)</f>
        <v>1</v>
      </c>
      <c r="AB1142" s="0" t="str">
        <f aca="false">A1142&amp;"|"&amp;D1142</f>
        <v>Lesotho|2017</v>
      </c>
    </row>
    <row r="1143" customFormat="false" ht="15" hidden="false" customHeight="false" outlineLevel="0" collapsed="false">
      <c r="A1143" s="0" t="s">
        <v>289</v>
      </c>
      <c r="B1143" s="0" t="s">
        <v>528</v>
      </c>
      <c r="C1143" s="0" t="s">
        <v>127</v>
      </c>
      <c r="D1143" s="0" t="n">
        <v>2018</v>
      </c>
      <c r="E1143" s="59" t="n">
        <v>2183611</v>
      </c>
      <c r="F1143" s="60" t="n">
        <v>0.52</v>
      </c>
      <c r="G1143" s="61" t="n">
        <v>0</v>
      </c>
      <c r="H1143" s="61" t="n">
        <v>0</v>
      </c>
      <c r="I1143" s="61" t="n">
        <v>0</v>
      </c>
      <c r="J1143" s="61" t="n">
        <v>0</v>
      </c>
      <c r="K1143" s="61" t="n">
        <v>0.52</v>
      </c>
      <c r="L1143" s="61" t="n">
        <v>0</v>
      </c>
      <c r="M1143" s="61" t="n">
        <v>0</v>
      </c>
      <c r="N1143" s="61" t="n">
        <v>0</v>
      </c>
      <c r="O1143" s="61" t="n">
        <v>0</v>
      </c>
      <c r="P1143" s="62" t="n">
        <v>19.2</v>
      </c>
      <c r="Q1143" s="0" t="n">
        <v>0</v>
      </c>
      <c r="R1143" s="60" t="n">
        <f aca="false">G1143+H1143+I1143</f>
        <v>0</v>
      </c>
      <c r="S1143" s="60" t="n">
        <f aca="false">K1143+L1143+M1143+N1143+O1143</f>
        <v>0.52</v>
      </c>
      <c r="T1143" s="60" t="n">
        <f aca="false">L1143+M1143</f>
        <v>0</v>
      </c>
      <c r="U1143" s="60" t="n">
        <f aca="false">S1143+J1143</f>
        <v>0.52</v>
      </c>
      <c r="V1143" s="63" t="n">
        <f aca="false">IFERROR(S1143/F1143,0)</f>
        <v>1</v>
      </c>
      <c r="W1143" s="63" t="n">
        <f aca="false">IFERROR(R1143/F1143,0)</f>
        <v>0</v>
      </c>
      <c r="X1143" s="63" t="n">
        <f aca="false">IFERROR(T1143/F1143,0)</f>
        <v>0</v>
      </c>
      <c r="Y1143" s="63" t="n">
        <f aca="false">IFERROR(G1143/F1143,0)</f>
        <v>0</v>
      </c>
      <c r="Z1143" s="59" t="n">
        <f aca="false">IF(E1143&gt;0,F1143*1000000000/E1143,"")</f>
        <v>238.137653638858</v>
      </c>
      <c r="AA1143" s="63" t="n">
        <f aca="false">IFERROR((R1143+S1143+J1143)/F1143,0)</f>
        <v>1</v>
      </c>
      <c r="AB1143" s="0" t="str">
        <f aca="false">A1143&amp;"|"&amp;D1143</f>
        <v>Lesotho|2018</v>
      </c>
    </row>
    <row r="1144" customFormat="false" ht="15" hidden="false" customHeight="false" outlineLevel="0" collapsed="false">
      <c r="A1144" s="0" t="s">
        <v>289</v>
      </c>
      <c r="B1144" s="0" t="s">
        <v>528</v>
      </c>
      <c r="C1144" s="0" t="s">
        <v>127</v>
      </c>
      <c r="D1144" s="0" t="n">
        <v>2019</v>
      </c>
      <c r="E1144" s="59" t="n">
        <v>2209414</v>
      </c>
      <c r="F1144" s="60" t="n">
        <v>0.39</v>
      </c>
      <c r="G1144" s="61" t="n">
        <v>0</v>
      </c>
      <c r="H1144" s="61" t="n">
        <v>0</v>
      </c>
      <c r="I1144" s="61" t="n">
        <v>0</v>
      </c>
      <c r="J1144" s="61" t="n">
        <v>0</v>
      </c>
      <c r="K1144" s="61" t="n">
        <v>0.39</v>
      </c>
      <c r="L1144" s="61" t="n">
        <v>0</v>
      </c>
      <c r="M1144" s="61" t="n">
        <v>0</v>
      </c>
      <c r="N1144" s="61" t="n">
        <v>0</v>
      </c>
      <c r="O1144" s="61" t="n">
        <v>0</v>
      </c>
      <c r="P1144" s="62" t="n">
        <v>25.6</v>
      </c>
      <c r="Q1144" s="0" t="n">
        <v>0</v>
      </c>
      <c r="R1144" s="60" t="n">
        <f aca="false">G1144+H1144+I1144</f>
        <v>0</v>
      </c>
      <c r="S1144" s="60" t="n">
        <f aca="false">K1144+L1144+M1144+N1144+O1144</f>
        <v>0.39</v>
      </c>
      <c r="T1144" s="60" t="n">
        <f aca="false">L1144+M1144</f>
        <v>0</v>
      </c>
      <c r="U1144" s="60" t="n">
        <f aca="false">S1144+J1144</f>
        <v>0.39</v>
      </c>
      <c r="V1144" s="63" t="n">
        <f aca="false">IFERROR(S1144/F1144,0)</f>
        <v>1</v>
      </c>
      <c r="W1144" s="63" t="n">
        <f aca="false">IFERROR(R1144/F1144,0)</f>
        <v>0</v>
      </c>
      <c r="X1144" s="63" t="n">
        <f aca="false">IFERROR(T1144/F1144,0)</f>
        <v>0</v>
      </c>
      <c r="Y1144" s="63" t="n">
        <f aca="false">IFERROR(G1144/F1144,0)</f>
        <v>0</v>
      </c>
      <c r="Z1144" s="59" t="n">
        <f aca="false">IF(E1144&gt;0,F1144*1000000000/E1144,"")</f>
        <v>176.517393299762</v>
      </c>
      <c r="AA1144" s="63" t="n">
        <f aca="false">IFERROR((R1144+S1144+J1144)/F1144,0)</f>
        <v>1</v>
      </c>
      <c r="AB1144" s="0" t="str">
        <f aca="false">A1144&amp;"|"&amp;D1144</f>
        <v>Lesotho|2019</v>
      </c>
    </row>
    <row r="1145" customFormat="false" ht="15" hidden="false" customHeight="false" outlineLevel="0" collapsed="false">
      <c r="A1145" s="0" t="s">
        <v>289</v>
      </c>
      <c r="B1145" s="0" t="s">
        <v>528</v>
      </c>
      <c r="C1145" s="0" t="s">
        <v>127</v>
      </c>
      <c r="D1145" s="0" t="n">
        <v>2020</v>
      </c>
      <c r="E1145" s="59" t="n">
        <v>2235727</v>
      </c>
      <c r="F1145" s="60" t="n">
        <v>0.43</v>
      </c>
      <c r="G1145" s="61" t="n">
        <v>0</v>
      </c>
      <c r="H1145" s="61" t="n">
        <v>0</v>
      </c>
      <c r="I1145" s="61" t="n">
        <v>0</v>
      </c>
      <c r="J1145" s="61" t="n">
        <v>0</v>
      </c>
      <c r="K1145" s="61" t="n">
        <v>0.43</v>
      </c>
      <c r="L1145" s="61" t="n">
        <v>0</v>
      </c>
      <c r="M1145" s="61" t="n">
        <v>0</v>
      </c>
      <c r="N1145" s="61" t="n">
        <v>0</v>
      </c>
      <c r="O1145" s="61" t="n">
        <v>0</v>
      </c>
      <c r="P1145" s="62" t="n">
        <v>23.3</v>
      </c>
      <c r="Q1145" s="0" t="n">
        <v>0</v>
      </c>
      <c r="R1145" s="60" t="n">
        <f aca="false">G1145+H1145+I1145</f>
        <v>0</v>
      </c>
      <c r="S1145" s="60" t="n">
        <f aca="false">K1145+L1145+M1145+N1145+O1145</f>
        <v>0.43</v>
      </c>
      <c r="T1145" s="60" t="n">
        <f aca="false">L1145+M1145</f>
        <v>0</v>
      </c>
      <c r="U1145" s="60" t="n">
        <f aca="false">S1145+J1145</f>
        <v>0.43</v>
      </c>
      <c r="V1145" s="63" t="n">
        <f aca="false">IFERROR(S1145/F1145,0)</f>
        <v>1</v>
      </c>
      <c r="W1145" s="63" t="n">
        <f aca="false">IFERROR(R1145/F1145,0)</f>
        <v>0</v>
      </c>
      <c r="X1145" s="63" t="n">
        <f aca="false">IFERROR(T1145/F1145,0)</f>
        <v>0</v>
      </c>
      <c r="Y1145" s="63" t="n">
        <f aca="false">IFERROR(G1145/F1145,0)</f>
        <v>0</v>
      </c>
      <c r="Z1145" s="59" t="n">
        <f aca="false">IF(E1145&gt;0,F1145*1000000000/E1145,"")</f>
        <v>192.331174602266</v>
      </c>
      <c r="AA1145" s="63" t="n">
        <f aca="false">IFERROR((R1145+S1145+J1145)/F1145,0)</f>
        <v>1</v>
      </c>
      <c r="AB1145" s="0" t="str">
        <f aca="false">A1145&amp;"|"&amp;D1145</f>
        <v>Lesotho|2020</v>
      </c>
    </row>
    <row r="1146" customFormat="false" ht="15" hidden="false" customHeight="false" outlineLevel="0" collapsed="false">
      <c r="A1146" s="0" t="s">
        <v>289</v>
      </c>
      <c r="B1146" s="0" t="s">
        <v>528</v>
      </c>
      <c r="C1146" s="0" t="s">
        <v>127</v>
      </c>
      <c r="D1146" s="0" t="n">
        <v>2021</v>
      </c>
      <c r="E1146" s="59" t="n">
        <v>2261549</v>
      </c>
      <c r="F1146" s="60" t="n">
        <v>0.53</v>
      </c>
      <c r="G1146" s="61" t="n">
        <v>0</v>
      </c>
      <c r="H1146" s="61" t="n">
        <v>0</v>
      </c>
      <c r="I1146" s="61" t="n">
        <v>0</v>
      </c>
      <c r="J1146" s="61" t="n">
        <v>0</v>
      </c>
      <c r="K1146" s="61" t="n">
        <v>0.53</v>
      </c>
      <c r="L1146" s="61" t="n">
        <v>0</v>
      </c>
      <c r="M1146" s="61" t="n">
        <v>0</v>
      </c>
      <c r="N1146" s="61" t="n">
        <v>0</v>
      </c>
      <c r="O1146" s="61" t="n">
        <v>0</v>
      </c>
      <c r="P1146" s="62" t="n">
        <v>18.9</v>
      </c>
      <c r="Q1146" s="0" t="n">
        <v>0</v>
      </c>
      <c r="R1146" s="60" t="n">
        <f aca="false">G1146+H1146+I1146</f>
        <v>0</v>
      </c>
      <c r="S1146" s="60" t="n">
        <f aca="false">K1146+L1146+M1146+N1146+O1146</f>
        <v>0.53</v>
      </c>
      <c r="T1146" s="60" t="n">
        <f aca="false">L1146+M1146</f>
        <v>0</v>
      </c>
      <c r="U1146" s="60" t="n">
        <f aca="false">S1146+J1146</f>
        <v>0.53</v>
      </c>
      <c r="V1146" s="63" t="n">
        <f aca="false">IFERROR(S1146/F1146,0)</f>
        <v>1</v>
      </c>
      <c r="W1146" s="63" t="n">
        <f aca="false">IFERROR(R1146/F1146,0)</f>
        <v>0</v>
      </c>
      <c r="X1146" s="63" t="n">
        <f aca="false">IFERROR(T1146/F1146,0)</f>
        <v>0</v>
      </c>
      <c r="Y1146" s="63" t="n">
        <f aca="false">IFERROR(G1146/F1146,0)</f>
        <v>0</v>
      </c>
      <c r="Z1146" s="59" t="n">
        <f aca="false">IF(E1146&gt;0,F1146*1000000000/E1146,"")</f>
        <v>234.352649445137</v>
      </c>
      <c r="AA1146" s="63" t="n">
        <f aca="false">IFERROR((R1146+S1146+J1146)/F1146,0)</f>
        <v>1</v>
      </c>
      <c r="AB1146" s="0" t="str">
        <f aca="false">A1146&amp;"|"&amp;D1146</f>
        <v>Lesotho|2021</v>
      </c>
    </row>
    <row r="1147" customFormat="false" ht="15" hidden="false" customHeight="false" outlineLevel="0" collapsed="false">
      <c r="A1147" s="0" t="s">
        <v>289</v>
      </c>
      <c r="B1147" s="0" t="s">
        <v>528</v>
      </c>
      <c r="C1147" s="0" t="s">
        <v>127</v>
      </c>
      <c r="D1147" s="0" t="n">
        <v>2022</v>
      </c>
      <c r="E1147" s="59" t="n">
        <v>2286112</v>
      </c>
      <c r="F1147" s="60" t="n">
        <v>0.48</v>
      </c>
      <c r="G1147" s="61" t="n">
        <v>0</v>
      </c>
      <c r="H1147" s="61" t="n">
        <v>0</v>
      </c>
      <c r="I1147" s="61" t="n">
        <v>0</v>
      </c>
      <c r="J1147" s="61" t="n">
        <v>0</v>
      </c>
      <c r="K1147" s="61" t="n">
        <v>0.48</v>
      </c>
      <c r="L1147" s="61" t="n">
        <v>0</v>
      </c>
      <c r="M1147" s="61" t="n">
        <v>0</v>
      </c>
      <c r="N1147" s="61" t="n">
        <v>0</v>
      </c>
      <c r="O1147" s="61" t="n">
        <v>0</v>
      </c>
      <c r="P1147" s="62" t="n">
        <v>20.8</v>
      </c>
      <c r="Q1147" s="0" t="n">
        <v>0</v>
      </c>
      <c r="R1147" s="60" t="n">
        <f aca="false">G1147+H1147+I1147</f>
        <v>0</v>
      </c>
      <c r="S1147" s="60" t="n">
        <f aca="false">K1147+L1147+M1147+N1147+O1147</f>
        <v>0.48</v>
      </c>
      <c r="T1147" s="60" t="n">
        <f aca="false">L1147+M1147</f>
        <v>0</v>
      </c>
      <c r="U1147" s="60" t="n">
        <f aca="false">S1147+J1147</f>
        <v>0.48</v>
      </c>
      <c r="V1147" s="63" t="n">
        <f aca="false">IFERROR(S1147/F1147,0)</f>
        <v>1</v>
      </c>
      <c r="W1147" s="63" t="n">
        <f aca="false">IFERROR(R1147/F1147,0)</f>
        <v>0</v>
      </c>
      <c r="X1147" s="63" t="n">
        <f aca="false">IFERROR(T1147/F1147,0)</f>
        <v>0</v>
      </c>
      <c r="Y1147" s="63" t="n">
        <f aca="false">IFERROR(G1147/F1147,0)</f>
        <v>0</v>
      </c>
      <c r="Z1147" s="59" t="n">
        <f aca="false">IF(E1147&gt;0,F1147*1000000000/E1147,"")</f>
        <v>209.963466356854</v>
      </c>
      <c r="AA1147" s="63" t="n">
        <f aca="false">IFERROR((R1147+S1147+J1147)/F1147,0)</f>
        <v>1</v>
      </c>
      <c r="AB1147" s="0" t="str">
        <f aca="false">A1147&amp;"|"&amp;D1147</f>
        <v>Lesotho|2022</v>
      </c>
    </row>
    <row r="1148" customFormat="false" ht="15" hidden="false" customHeight="false" outlineLevel="0" collapsed="false">
      <c r="A1148" s="0" t="s">
        <v>290</v>
      </c>
      <c r="B1148" s="0" t="s">
        <v>529</v>
      </c>
      <c r="C1148" s="0" t="s">
        <v>127</v>
      </c>
      <c r="D1148" s="0" t="n">
        <v>2015</v>
      </c>
      <c r="E1148" s="59" t="n">
        <v>4659436</v>
      </c>
      <c r="F1148" s="60" t="n">
        <v>0.31</v>
      </c>
      <c r="G1148" s="61" t="n">
        <v>0</v>
      </c>
      <c r="H1148" s="61" t="n">
        <v>0</v>
      </c>
      <c r="I1148" s="61" t="n">
        <v>0.31</v>
      </c>
      <c r="J1148" s="61" t="n">
        <v>0</v>
      </c>
      <c r="K1148" s="61" t="n">
        <v>0</v>
      </c>
      <c r="L1148" s="61" t="n">
        <v>0</v>
      </c>
      <c r="M1148" s="61" t="n">
        <v>0</v>
      </c>
      <c r="N1148" s="61" t="n">
        <v>0</v>
      </c>
      <c r="O1148" s="61" t="n">
        <v>0</v>
      </c>
      <c r="P1148" s="62" t="n">
        <v>645.2</v>
      </c>
      <c r="Q1148" s="0" t="n">
        <v>0</v>
      </c>
      <c r="R1148" s="60" t="n">
        <f aca="false">G1148+H1148+I1148</f>
        <v>0.31</v>
      </c>
      <c r="S1148" s="60" t="n">
        <f aca="false">K1148+L1148+M1148+N1148+O1148</f>
        <v>0</v>
      </c>
      <c r="T1148" s="60" t="n">
        <f aca="false">L1148+M1148</f>
        <v>0</v>
      </c>
      <c r="U1148" s="60" t="n">
        <f aca="false">S1148+J1148</f>
        <v>0</v>
      </c>
      <c r="V1148" s="63" t="n">
        <f aca="false">IFERROR(S1148/F1148,0)</f>
        <v>0</v>
      </c>
      <c r="W1148" s="63" t="n">
        <f aca="false">IFERROR(R1148/F1148,0)</f>
        <v>1</v>
      </c>
      <c r="X1148" s="63" t="n">
        <f aca="false">IFERROR(T1148/F1148,0)</f>
        <v>0</v>
      </c>
      <c r="Y1148" s="63" t="n">
        <f aca="false">IFERROR(G1148/F1148,0)</f>
        <v>0</v>
      </c>
      <c r="Z1148" s="59" t="n">
        <f aca="false">IF(E1148&gt;0,F1148*1000000000/E1148,"")</f>
        <v>66.5316574795748</v>
      </c>
      <c r="AA1148" s="63" t="n">
        <f aca="false">IFERROR((R1148+S1148+J1148)/F1148,0)</f>
        <v>1</v>
      </c>
      <c r="AB1148" s="0" t="str">
        <f aca="false">A1148&amp;"|"&amp;D1148</f>
        <v>Liberia|2015</v>
      </c>
    </row>
    <row r="1149" customFormat="false" ht="15" hidden="false" customHeight="false" outlineLevel="0" collapsed="false">
      <c r="A1149" s="0" t="s">
        <v>290</v>
      </c>
      <c r="B1149" s="0" t="s">
        <v>529</v>
      </c>
      <c r="C1149" s="0" t="s">
        <v>127</v>
      </c>
      <c r="D1149" s="0" t="n">
        <v>2016</v>
      </c>
      <c r="E1149" s="59" t="n">
        <v>4755607</v>
      </c>
      <c r="F1149" s="60" t="n">
        <v>0.3</v>
      </c>
      <c r="G1149" s="61" t="n">
        <v>0</v>
      </c>
      <c r="H1149" s="61" t="n">
        <v>0</v>
      </c>
      <c r="I1149" s="61" t="n">
        <v>0.3</v>
      </c>
      <c r="J1149" s="61" t="n">
        <v>0</v>
      </c>
      <c r="K1149" s="61" t="n">
        <v>0</v>
      </c>
      <c r="L1149" s="61" t="n">
        <v>0</v>
      </c>
      <c r="M1149" s="61" t="n">
        <v>0</v>
      </c>
      <c r="N1149" s="61" t="n">
        <v>0</v>
      </c>
      <c r="O1149" s="61" t="n">
        <v>0</v>
      </c>
      <c r="P1149" s="62" t="n">
        <v>666.7</v>
      </c>
      <c r="Q1149" s="0" t="n">
        <v>0</v>
      </c>
      <c r="R1149" s="60" t="n">
        <f aca="false">G1149+H1149+I1149</f>
        <v>0.3</v>
      </c>
      <c r="S1149" s="60" t="n">
        <f aca="false">K1149+L1149+M1149+N1149+O1149</f>
        <v>0</v>
      </c>
      <c r="T1149" s="60" t="n">
        <f aca="false">L1149+M1149</f>
        <v>0</v>
      </c>
      <c r="U1149" s="60" t="n">
        <f aca="false">S1149+J1149</f>
        <v>0</v>
      </c>
      <c r="V1149" s="63" t="n">
        <f aca="false">IFERROR(S1149/F1149,0)</f>
        <v>0</v>
      </c>
      <c r="W1149" s="63" t="n">
        <f aca="false">IFERROR(R1149/F1149,0)</f>
        <v>1</v>
      </c>
      <c r="X1149" s="63" t="n">
        <f aca="false">IFERROR(T1149/F1149,0)</f>
        <v>0</v>
      </c>
      <c r="Y1149" s="63" t="n">
        <f aca="false">IFERROR(G1149/F1149,0)</f>
        <v>0</v>
      </c>
      <c r="Z1149" s="59" t="n">
        <f aca="false">IF(E1149&gt;0,F1149*1000000000/E1149,"")</f>
        <v>63.0834297283186</v>
      </c>
      <c r="AA1149" s="63" t="n">
        <f aca="false">IFERROR((R1149+S1149+J1149)/F1149,0)</f>
        <v>1</v>
      </c>
      <c r="AB1149" s="0" t="str">
        <f aca="false">A1149&amp;"|"&amp;D1149</f>
        <v>Liberia|2016</v>
      </c>
    </row>
    <row r="1150" customFormat="false" ht="15" hidden="false" customHeight="false" outlineLevel="0" collapsed="false">
      <c r="A1150" s="0" t="s">
        <v>290</v>
      </c>
      <c r="B1150" s="0" t="s">
        <v>529</v>
      </c>
      <c r="C1150" s="0" t="s">
        <v>127</v>
      </c>
      <c r="D1150" s="0" t="n">
        <v>2017</v>
      </c>
      <c r="E1150" s="59" t="n">
        <v>4848927</v>
      </c>
      <c r="F1150" s="60" t="n">
        <v>0.35</v>
      </c>
      <c r="G1150" s="61" t="n">
        <v>0</v>
      </c>
      <c r="H1150" s="61" t="n">
        <v>0</v>
      </c>
      <c r="I1150" s="61" t="n">
        <v>0.35</v>
      </c>
      <c r="J1150" s="61" t="n">
        <v>0</v>
      </c>
      <c r="K1150" s="61" t="n">
        <v>0</v>
      </c>
      <c r="L1150" s="61" t="n">
        <v>0</v>
      </c>
      <c r="M1150" s="61" t="n">
        <v>0</v>
      </c>
      <c r="N1150" s="61" t="n">
        <v>0</v>
      </c>
      <c r="O1150" s="61" t="n">
        <v>0</v>
      </c>
      <c r="P1150" s="62" t="n">
        <v>657.1</v>
      </c>
      <c r="Q1150" s="0" t="n">
        <v>0</v>
      </c>
      <c r="R1150" s="60" t="n">
        <f aca="false">G1150+H1150+I1150</f>
        <v>0.35</v>
      </c>
      <c r="S1150" s="60" t="n">
        <f aca="false">K1150+L1150+M1150+N1150+O1150</f>
        <v>0</v>
      </c>
      <c r="T1150" s="60" t="n">
        <f aca="false">L1150+M1150</f>
        <v>0</v>
      </c>
      <c r="U1150" s="60" t="n">
        <f aca="false">S1150+J1150</f>
        <v>0</v>
      </c>
      <c r="V1150" s="63" t="n">
        <f aca="false">IFERROR(S1150/F1150,0)</f>
        <v>0</v>
      </c>
      <c r="W1150" s="63" t="n">
        <f aca="false">IFERROR(R1150/F1150,0)</f>
        <v>1</v>
      </c>
      <c r="X1150" s="63" t="n">
        <f aca="false">IFERROR(T1150/F1150,0)</f>
        <v>0</v>
      </c>
      <c r="Y1150" s="63" t="n">
        <f aca="false">IFERROR(G1150/F1150,0)</f>
        <v>0</v>
      </c>
      <c r="Z1150" s="59" t="n">
        <f aca="false">IF(E1150&gt;0,F1150*1000000000/E1150,"")</f>
        <v>72.18091755145</v>
      </c>
      <c r="AA1150" s="63" t="n">
        <f aca="false">IFERROR((R1150+S1150+J1150)/F1150,0)</f>
        <v>1</v>
      </c>
      <c r="AB1150" s="0" t="str">
        <f aca="false">A1150&amp;"|"&amp;D1150</f>
        <v>Liberia|2017</v>
      </c>
    </row>
    <row r="1151" customFormat="false" ht="15" hidden="false" customHeight="false" outlineLevel="0" collapsed="false">
      <c r="A1151" s="0" t="s">
        <v>290</v>
      </c>
      <c r="B1151" s="0" t="s">
        <v>529</v>
      </c>
      <c r="C1151" s="0" t="s">
        <v>127</v>
      </c>
      <c r="D1151" s="0" t="n">
        <v>2018</v>
      </c>
      <c r="E1151" s="59" t="n">
        <v>4944728</v>
      </c>
      <c r="F1151" s="60" t="n">
        <v>0.41</v>
      </c>
      <c r="G1151" s="61" t="n">
        <v>0</v>
      </c>
      <c r="H1151" s="61" t="n">
        <v>0</v>
      </c>
      <c r="I1151" s="61" t="n">
        <v>0.28</v>
      </c>
      <c r="J1151" s="61" t="n">
        <v>0</v>
      </c>
      <c r="K1151" s="61" t="n">
        <v>0.13</v>
      </c>
      <c r="L1151" s="61" t="n">
        <v>0</v>
      </c>
      <c r="M1151" s="61" t="n">
        <v>0</v>
      </c>
      <c r="N1151" s="61" t="n">
        <v>0</v>
      </c>
      <c r="O1151" s="61" t="n">
        <v>0</v>
      </c>
      <c r="P1151" s="62" t="n">
        <v>439</v>
      </c>
      <c r="Q1151" s="0" t="n">
        <v>0</v>
      </c>
      <c r="R1151" s="60" t="n">
        <f aca="false">G1151+H1151+I1151</f>
        <v>0.28</v>
      </c>
      <c r="S1151" s="60" t="n">
        <f aca="false">K1151+L1151+M1151+N1151+O1151</f>
        <v>0.13</v>
      </c>
      <c r="T1151" s="60" t="n">
        <f aca="false">L1151+M1151</f>
        <v>0</v>
      </c>
      <c r="U1151" s="60" t="n">
        <f aca="false">S1151+J1151</f>
        <v>0.13</v>
      </c>
      <c r="V1151" s="63" t="n">
        <f aca="false">IFERROR(S1151/F1151,0)</f>
        <v>0.317073170731707</v>
      </c>
      <c r="W1151" s="63" t="n">
        <f aca="false">IFERROR(R1151/F1151,0)</f>
        <v>0.682926829268293</v>
      </c>
      <c r="X1151" s="63" t="n">
        <f aca="false">IFERROR(T1151/F1151,0)</f>
        <v>0</v>
      </c>
      <c r="Y1151" s="63" t="n">
        <f aca="false">IFERROR(G1151/F1151,0)</f>
        <v>0</v>
      </c>
      <c r="Z1151" s="59" t="n">
        <f aca="false">IF(E1151&gt;0,F1151*1000000000/E1151,"")</f>
        <v>82.9165931877345</v>
      </c>
      <c r="AA1151" s="63" t="n">
        <f aca="false">IFERROR((R1151+S1151+J1151)/F1151,0)</f>
        <v>1</v>
      </c>
      <c r="AB1151" s="0" t="str">
        <f aca="false">A1151&amp;"|"&amp;D1151</f>
        <v>Liberia|2018</v>
      </c>
    </row>
    <row r="1152" customFormat="false" ht="15" hidden="false" customHeight="false" outlineLevel="0" collapsed="false">
      <c r="A1152" s="0" t="s">
        <v>290</v>
      </c>
      <c r="B1152" s="0" t="s">
        <v>529</v>
      </c>
      <c r="C1152" s="0" t="s">
        <v>127</v>
      </c>
      <c r="D1152" s="0" t="n">
        <v>2019</v>
      </c>
      <c r="E1152" s="59" t="n">
        <v>5043719</v>
      </c>
      <c r="F1152" s="60" t="n">
        <v>0.42</v>
      </c>
      <c r="G1152" s="61" t="n">
        <v>0</v>
      </c>
      <c r="H1152" s="61" t="n">
        <v>0</v>
      </c>
      <c r="I1152" s="61" t="n">
        <v>0.29</v>
      </c>
      <c r="J1152" s="61" t="n">
        <v>0</v>
      </c>
      <c r="K1152" s="61" t="n">
        <v>0.13</v>
      </c>
      <c r="L1152" s="61" t="n">
        <v>0</v>
      </c>
      <c r="M1152" s="61" t="n">
        <v>0</v>
      </c>
      <c r="N1152" s="61" t="n">
        <v>0</v>
      </c>
      <c r="O1152" s="61" t="n">
        <v>0</v>
      </c>
      <c r="P1152" s="62" t="n">
        <v>452.4</v>
      </c>
      <c r="Q1152" s="0" t="n">
        <v>0</v>
      </c>
      <c r="R1152" s="60" t="n">
        <f aca="false">G1152+H1152+I1152</f>
        <v>0.29</v>
      </c>
      <c r="S1152" s="60" t="n">
        <f aca="false">K1152+L1152+M1152+N1152+O1152</f>
        <v>0.13</v>
      </c>
      <c r="T1152" s="60" t="n">
        <f aca="false">L1152+M1152</f>
        <v>0</v>
      </c>
      <c r="U1152" s="60" t="n">
        <f aca="false">S1152+J1152</f>
        <v>0.13</v>
      </c>
      <c r="V1152" s="63" t="n">
        <f aca="false">IFERROR(S1152/F1152,0)</f>
        <v>0.30952380952381</v>
      </c>
      <c r="W1152" s="63" t="n">
        <f aca="false">IFERROR(R1152/F1152,0)</f>
        <v>0.690476190476191</v>
      </c>
      <c r="X1152" s="63" t="n">
        <f aca="false">IFERROR(T1152/F1152,0)</f>
        <v>0</v>
      </c>
      <c r="Y1152" s="63" t="n">
        <f aca="false">IFERROR(G1152/F1152,0)</f>
        <v>0</v>
      </c>
      <c r="Z1152" s="59" t="n">
        <f aca="false">IF(E1152&gt;0,F1152*1000000000/E1152,"")</f>
        <v>83.2718872720705</v>
      </c>
      <c r="AA1152" s="63" t="n">
        <f aca="false">IFERROR((R1152+S1152+J1152)/F1152,0)</f>
        <v>1</v>
      </c>
      <c r="AB1152" s="0" t="str">
        <f aca="false">A1152&amp;"|"&amp;D1152</f>
        <v>Liberia|2019</v>
      </c>
    </row>
    <row r="1153" customFormat="false" ht="15" hidden="false" customHeight="false" outlineLevel="0" collapsed="false">
      <c r="A1153" s="0" t="s">
        <v>290</v>
      </c>
      <c r="B1153" s="0" t="s">
        <v>529</v>
      </c>
      <c r="C1153" s="0" t="s">
        <v>127</v>
      </c>
      <c r="D1153" s="0" t="n">
        <v>2020</v>
      </c>
      <c r="E1153" s="59" t="n">
        <v>5149470</v>
      </c>
      <c r="F1153" s="60" t="n">
        <v>0.45</v>
      </c>
      <c r="G1153" s="61" t="n">
        <v>0</v>
      </c>
      <c r="H1153" s="61" t="n">
        <v>0</v>
      </c>
      <c r="I1153" s="61" t="n">
        <v>0.32</v>
      </c>
      <c r="J1153" s="61" t="n">
        <v>0</v>
      </c>
      <c r="K1153" s="61" t="n">
        <v>0.13</v>
      </c>
      <c r="L1153" s="61" t="n">
        <v>0</v>
      </c>
      <c r="M1153" s="61" t="n">
        <v>0</v>
      </c>
      <c r="N1153" s="61" t="n">
        <v>0</v>
      </c>
      <c r="O1153" s="61" t="n">
        <v>0</v>
      </c>
      <c r="P1153" s="62" t="n">
        <v>466.7</v>
      </c>
      <c r="Q1153" s="0" t="n">
        <v>0</v>
      </c>
      <c r="R1153" s="60" t="n">
        <f aca="false">G1153+H1153+I1153</f>
        <v>0.32</v>
      </c>
      <c r="S1153" s="60" t="n">
        <f aca="false">K1153+L1153+M1153+N1153+O1153</f>
        <v>0.13</v>
      </c>
      <c r="T1153" s="60" t="n">
        <f aca="false">L1153+M1153</f>
        <v>0</v>
      </c>
      <c r="U1153" s="60" t="n">
        <f aca="false">S1153+J1153</f>
        <v>0.13</v>
      </c>
      <c r="V1153" s="63" t="n">
        <f aca="false">IFERROR(S1153/F1153,0)</f>
        <v>0.288888888888889</v>
      </c>
      <c r="W1153" s="63" t="n">
        <f aca="false">IFERROR(R1153/F1153,0)</f>
        <v>0.711111111111111</v>
      </c>
      <c r="X1153" s="63" t="n">
        <f aca="false">IFERROR(T1153/F1153,0)</f>
        <v>0</v>
      </c>
      <c r="Y1153" s="63" t="n">
        <f aca="false">IFERROR(G1153/F1153,0)</f>
        <v>0</v>
      </c>
      <c r="Z1153" s="59" t="n">
        <f aca="false">IF(E1153&gt;0,F1153*1000000000/E1153,"")</f>
        <v>87.3876340671953</v>
      </c>
      <c r="AA1153" s="63" t="n">
        <f aca="false">IFERROR((R1153+S1153+J1153)/F1153,0)</f>
        <v>1</v>
      </c>
      <c r="AB1153" s="0" t="str">
        <f aca="false">A1153&amp;"|"&amp;D1153</f>
        <v>Liberia|2020</v>
      </c>
    </row>
    <row r="1154" customFormat="false" ht="15" hidden="false" customHeight="false" outlineLevel="0" collapsed="false">
      <c r="A1154" s="0" t="s">
        <v>290</v>
      </c>
      <c r="B1154" s="0" t="s">
        <v>529</v>
      </c>
      <c r="C1154" s="0" t="s">
        <v>127</v>
      </c>
      <c r="D1154" s="0" t="n">
        <v>2021</v>
      </c>
      <c r="E1154" s="59" t="n">
        <v>5259327</v>
      </c>
      <c r="F1154" s="60" t="n">
        <v>0.38</v>
      </c>
      <c r="G1154" s="61" t="n">
        <v>0</v>
      </c>
      <c r="H1154" s="61" t="n">
        <v>0</v>
      </c>
      <c r="I1154" s="61" t="n">
        <v>0.25</v>
      </c>
      <c r="J1154" s="61" t="n">
        <v>0</v>
      </c>
      <c r="K1154" s="61" t="n">
        <v>0.13</v>
      </c>
      <c r="L1154" s="61" t="n">
        <v>0</v>
      </c>
      <c r="M1154" s="61" t="n">
        <v>0</v>
      </c>
      <c r="N1154" s="61" t="n">
        <v>0</v>
      </c>
      <c r="O1154" s="61" t="n">
        <v>0</v>
      </c>
      <c r="P1154" s="62" t="n">
        <v>421.1</v>
      </c>
      <c r="Q1154" s="0" t="n">
        <v>0</v>
      </c>
      <c r="R1154" s="60" t="n">
        <f aca="false">G1154+H1154+I1154</f>
        <v>0.25</v>
      </c>
      <c r="S1154" s="60" t="n">
        <f aca="false">K1154+L1154+M1154+N1154+O1154</f>
        <v>0.13</v>
      </c>
      <c r="T1154" s="60" t="n">
        <f aca="false">L1154+M1154</f>
        <v>0</v>
      </c>
      <c r="U1154" s="60" t="n">
        <f aca="false">S1154+J1154</f>
        <v>0.13</v>
      </c>
      <c r="V1154" s="63" t="n">
        <f aca="false">IFERROR(S1154/F1154,0)</f>
        <v>0.342105263157895</v>
      </c>
      <c r="W1154" s="63" t="n">
        <f aca="false">IFERROR(R1154/F1154,0)</f>
        <v>0.657894736842105</v>
      </c>
      <c r="X1154" s="63" t="n">
        <f aca="false">IFERROR(T1154/F1154,0)</f>
        <v>0</v>
      </c>
      <c r="Y1154" s="63" t="n">
        <f aca="false">IFERROR(G1154/F1154,0)</f>
        <v>0</v>
      </c>
      <c r="Z1154" s="59" t="n">
        <f aca="false">IF(E1154&gt;0,F1154*1000000000/E1154,"")</f>
        <v>72.2525904930422</v>
      </c>
      <c r="AA1154" s="63" t="n">
        <f aca="false">IFERROR((R1154+S1154+J1154)/F1154,0)</f>
        <v>1</v>
      </c>
      <c r="AB1154" s="0" t="str">
        <f aca="false">A1154&amp;"|"&amp;D1154</f>
        <v>Liberia|2021</v>
      </c>
    </row>
    <row r="1155" customFormat="false" ht="15" hidden="false" customHeight="false" outlineLevel="0" collapsed="false">
      <c r="A1155" s="0" t="s">
        <v>290</v>
      </c>
      <c r="B1155" s="0" t="s">
        <v>529</v>
      </c>
      <c r="C1155" s="0" t="s">
        <v>127</v>
      </c>
      <c r="D1155" s="0" t="n">
        <v>2022</v>
      </c>
      <c r="E1155" s="59" t="n">
        <v>5373297</v>
      </c>
      <c r="F1155" s="60" t="n">
        <v>0.39</v>
      </c>
      <c r="G1155" s="61" t="n">
        <v>0</v>
      </c>
      <c r="H1155" s="61" t="n">
        <v>0</v>
      </c>
      <c r="I1155" s="61" t="n">
        <v>0.26</v>
      </c>
      <c r="J1155" s="61" t="n">
        <v>0</v>
      </c>
      <c r="K1155" s="61" t="n">
        <v>0.13</v>
      </c>
      <c r="L1155" s="61" t="n">
        <v>0</v>
      </c>
      <c r="M1155" s="61" t="n">
        <v>0</v>
      </c>
      <c r="N1155" s="61" t="n">
        <v>0</v>
      </c>
      <c r="O1155" s="61" t="n">
        <v>0</v>
      </c>
      <c r="P1155" s="62" t="n">
        <v>435.9</v>
      </c>
      <c r="Q1155" s="0" t="n">
        <v>0</v>
      </c>
      <c r="R1155" s="60" t="n">
        <f aca="false">G1155+H1155+I1155</f>
        <v>0.26</v>
      </c>
      <c r="S1155" s="60" t="n">
        <f aca="false">K1155+L1155+M1155+N1155+O1155</f>
        <v>0.13</v>
      </c>
      <c r="T1155" s="60" t="n">
        <f aca="false">L1155+M1155</f>
        <v>0</v>
      </c>
      <c r="U1155" s="60" t="n">
        <f aca="false">S1155+J1155</f>
        <v>0.13</v>
      </c>
      <c r="V1155" s="63" t="n">
        <f aca="false">IFERROR(S1155/F1155,0)</f>
        <v>0.333333333333333</v>
      </c>
      <c r="W1155" s="63" t="n">
        <f aca="false">IFERROR(R1155/F1155,0)</f>
        <v>0.666666666666667</v>
      </c>
      <c r="X1155" s="63" t="n">
        <f aca="false">IFERROR(T1155/F1155,0)</f>
        <v>0</v>
      </c>
      <c r="Y1155" s="63" t="n">
        <f aca="false">IFERROR(G1155/F1155,0)</f>
        <v>0</v>
      </c>
      <c r="Z1155" s="59" t="n">
        <f aca="false">IF(E1155&gt;0,F1155*1000000000/E1155,"")</f>
        <v>72.5811359394428</v>
      </c>
      <c r="AA1155" s="63" t="n">
        <f aca="false">IFERROR((R1155+S1155+J1155)/F1155,0)</f>
        <v>1</v>
      </c>
      <c r="AB1155" s="0" t="str">
        <f aca="false">A1155&amp;"|"&amp;D1155</f>
        <v>Liberia|2022</v>
      </c>
    </row>
    <row r="1156" customFormat="false" ht="15" hidden="false" customHeight="false" outlineLevel="0" collapsed="false">
      <c r="A1156" s="0" t="s">
        <v>290</v>
      </c>
      <c r="B1156" s="0" t="s">
        <v>529</v>
      </c>
      <c r="C1156" s="0" t="s">
        <v>127</v>
      </c>
      <c r="D1156" s="0" t="n">
        <v>2023</v>
      </c>
      <c r="E1156" s="59" t="n">
        <v>5493035</v>
      </c>
      <c r="F1156" s="60" t="n">
        <v>0.61</v>
      </c>
      <c r="G1156" s="61" t="n">
        <v>0</v>
      </c>
      <c r="H1156" s="61" t="n">
        <v>0</v>
      </c>
      <c r="I1156" s="61" t="n">
        <v>0.26</v>
      </c>
      <c r="J1156" s="61" t="n">
        <v>0</v>
      </c>
      <c r="K1156" s="61" t="n">
        <v>0.35</v>
      </c>
      <c r="L1156" s="61" t="n">
        <v>0</v>
      </c>
      <c r="M1156" s="61" t="n">
        <v>0</v>
      </c>
      <c r="N1156" s="61" t="n">
        <v>0</v>
      </c>
      <c r="O1156" s="61" t="n">
        <v>0</v>
      </c>
      <c r="P1156" s="62" t="n">
        <v>295.1</v>
      </c>
      <c r="Q1156" s="0" t="n">
        <v>0</v>
      </c>
      <c r="R1156" s="60" t="n">
        <f aca="false">G1156+H1156+I1156</f>
        <v>0.26</v>
      </c>
      <c r="S1156" s="60" t="n">
        <f aca="false">K1156+L1156+M1156+N1156+O1156</f>
        <v>0.35</v>
      </c>
      <c r="T1156" s="60" t="n">
        <f aca="false">L1156+M1156</f>
        <v>0</v>
      </c>
      <c r="U1156" s="60" t="n">
        <f aca="false">S1156+J1156</f>
        <v>0.35</v>
      </c>
      <c r="V1156" s="63" t="n">
        <f aca="false">IFERROR(S1156/F1156,0)</f>
        <v>0.573770491803279</v>
      </c>
      <c r="W1156" s="63" t="n">
        <f aca="false">IFERROR(R1156/F1156,0)</f>
        <v>0.426229508196721</v>
      </c>
      <c r="X1156" s="63" t="n">
        <f aca="false">IFERROR(T1156/F1156,0)</f>
        <v>0</v>
      </c>
      <c r="Y1156" s="63" t="n">
        <f aca="false">IFERROR(G1156/F1156,0)</f>
        <v>0</v>
      </c>
      <c r="Z1156" s="59" t="n">
        <f aca="false">IF(E1156&gt;0,F1156*1000000000/E1156,"")</f>
        <v>111.049720236627</v>
      </c>
      <c r="AA1156" s="63" t="n">
        <f aca="false">IFERROR((R1156+S1156+J1156)/F1156,0)</f>
        <v>1</v>
      </c>
      <c r="AB1156" s="0" t="str">
        <f aca="false">A1156&amp;"|"&amp;D1156</f>
        <v>Liberia|2023</v>
      </c>
    </row>
    <row r="1157" customFormat="false" ht="15" hidden="false" customHeight="false" outlineLevel="0" collapsed="false">
      <c r="A1157" s="0" t="s">
        <v>290</v>
      </c>
      <c r="B1157" s="0" t="s">
        <v>529</v>
      </c>
      <c r="C1157" s="0" t="s">
        <v>127</v>
      </c>
      <c r="D1157" s="0" t="n">
        <v>2024</v>
      </c>
      <c r="E1157" s="59" t="n">
        <v>5612813</v>
      </c>
      <c r="F1157" s="60" t="n">
        <v>0.57</v>
      </c>
      <c r="G1157" s="61" t="n">
        <v>0</v>
      </c>
      <c r="H1157" s="61" t="n">
        <v>0</v>
      </c>
      <c r="I1157" s="61" t="n">
        <v>0.26</v>
      </c>
      <c r="J1157" s="61" t="n">
        <v>0</v>
      </c>
      <c r="K1157" s="61" t="n">
        <v>0.3</v>
      </c>
      <c r="L1157" s="61" t="n">
        <v>0.01</v>
      </c>
      <c r="M1157" s="61" t="n">
        <v>0</v>
      </c>
      <c r="N1157" s="61" t="n">
        <v>0</v>
      </c>
      <c r="O1157" s="61" t="n">
        <v>0</v>
      </c>
      <c r="P1157" s="62" t="n">
        <v>315.8</v>
      </c>
      <c r="Q1157" s="0" t="n">
        <v>0</v>
      </c>
      <c r="R1157" s="60" t="n">
        <f aca="false">G1157+H1157+I1157</f>
        <v>0.26</v>
      </c>
      <c r="S1157" s="60" t="n">
        <f aca="false">K1157+L1157+M1157+N1157+O1157</f>
        <v>0.31</v>
      </c>
      <c r="T1157" s="60" t="n">
        <f aca="false">L1157+M1157</f>
        <v>0.01</v>
      </c>
      <c r="U1157" s="60" t="n">
        <f aca="false">S1157+J1157</f>
        <v>0.31</v>
      </c>
      <c r="V1157" s="63" t="n">
        <f aca="false">IFERROR(S1157/F1157,0)</f>
        <v>0.543859649122807</v>
      </c>
      <c r="W1157" s="63" t="n">
        <f aca="false">IFERROR(R1157/F1157,0)</f>
        <v>0.456140350877193</v>
      </c>
      <c r="X1157" s="63" t="n">
        <f aca="false">IFERROR(T1157/F1157,0)</f>
        <v>0.0175438596491228</v>
      </c>
      <c r="Y1157" s="63" t="n">
        <f aca="false">IFERROR(G1157/F1157,0)</f>
        <v>0</v>
      </c>
      <c r="Z1157" s="59" t="n">
        <f aca="false">IF(E1157&gt;0,F1157*1000000000/E1157,"")</f>
        <v>101.553356578956</v>
      </c>
      <c r="AA1157" s="63" t="n">
        <f aca="false">IFERROR((R1157+S1157+J1157)/F1157,0)</f>
        <v>1</v>
      </c>
      <c r="AB1157" s="0" t="str">
        <f aca="false">A1157&amp;"|"&amp;D1157</f>
        <v>Liberia|2024</v>
      </c>
    </row>
    <row r="1158" customFormat="false" ht="15" hidden="false" customHeight="false" outlineLevel="0" collapsed="false">
      <c r="A1158" s="0" t="s">
        <v>291</v>
      </c>
      <c r="B1158" s="0" t="s">
        <v>530</v>
      </c>
      <c r="C1158" s="0" t="s">
        <v>127</v>
      </c>
      <c r="D1158" s="0" t="n">
        <v>2015</v>
      </c>
      <c r="E1158" s="59" t="n">
        <v>6531825</v>
      </c>
      <c r="F1158" s="60" t="n">
        <v>37.51</v>
      </c>
      <c r="G1158" s="61" t="n">
        <v>0</v>
      </c>
      <c r="H1158" s="61" t="n">
        <v>20.26</v>
      </c>
      <c r="I1158" s="61" t="n">
        <v>17.24</v>
      </c>
      <c r="J1158" s="61" t="n">
        <v>0</v>
      </c>
      <c r="K1158" s="61" t="n">
        <v>0</v>
      </c>
      <c r="L1158" s="61" t="n">
        <v>0.01</v>
      </c>
      <c r="M1158" s="61" t="n">
        <v>0</v>
      </c>
      <c r="N1158" s="61" t="n">
        <v>0</v>
      </c>
      <c r="O1158" s="61" t="n">
        <v>0</v>
      </c>
      <c r="P1158" s="62" t="n">
        <v>780.3</v>
      </c>
      <c r="Q1158" s="0" t="n">
        <v>0</v>
      </c>
      <c r="R1158" s="60" t="n">
        <f aca="false">G1158+H1158+I1158</f>
        <v>37.5</v>
      </c>
      <c r="S1158" s="60" t="n">
        <f aca="false">K1158+L1158+M1158+N1158+O1158</f>
        <v>0.01</v>
      </c>
      <c r="T1158" s="60" t="n">
        <f aca="false">L1158+M1158</f>
        <v>0.01</v>
      </c>
      <c r="U1158" s="60" t="n">
        <f aca="false">S1158+J1158</f>
        <v>0.01</v>
      </c>
      <c r="V1158" s="63" t="n">
        <f aca="false">IFERROR(S1158/F1158,0)</f>
        <v>0.000266595574513463</v>
      </c>
      <c r="W1158" s="63" t="n">
        <f aca="false">IFERROR(R1158/F1158,0)</f>
        <v>0.999733404425487</v>
      </c>
      <c r="X1158" s="63" t="n">
        <f aca="false">IFERROR(T1158/F1158,0)</f>
        <v>0.000266595574513463</v>
      </c>
      <c r="Y1158" s="63" t="n">
        <f aca="false">IFERROR(G1158/F1158,0)</f>
        <v>0</v>
      </c>
      <c r="Z1158" s="59" t="n">
        <f aca="false">IF(E1158&gt;0,F1158*1000000000/E1158,"")</f>
        <v>5742.65232151811</v>
      </c>
      <c r="AA1158" s="63" t="n">
        <f aca="false">IFERROR((R1158+S1158+J1158)/F1158,0)</f>
        <v>1</v>
      </c>
      <c r="AB1158" s="0" t="str">
        <f aca="false">A1158&amp;"|"&amp;D1158</f>
        <v>Libya|2015</v>
      </c>
    </row>
    <row r="1159" customFormat="false" ht="15" hidden="false" customHeight="false" outlineLevel="0" collapsed="false">
      <c r="A1159" s="0" t="s">
        <v>291</v>
      </c>
      <c r="B1159" s="0" t="s">
        <v>530</v>
      </c>
      <c r="C1159" s="0" t="s">
        <v>127</v>
      </c>
      <c r="D1159" s="0" t="n">
        <v>2016</v>
      </c>
      <c r="E1159" s="59" t="n">
        <v>6632130</v>
      </c>
      <c r="F1159" s="60" t="n">
        <v>31.42</v>
      </c>
      <c r="G1159" s="61" t="n">
        <v>0</v>
      </c>
      <c r="H1159" s="61" t="n">
        <v>22.8</v>
      </c>
      <c r="I1159" s="61" t="n">
        <v>8.61</v>
      </c>
      <c r="J1159" s="61" t="n">
        <v>0</v>
      </c>
      <c r="K1159" s="61" t="n">
        <v>0</v>
      </c>
      <c r="L1159" s="61" t="n">
        <v>0.01</v>
      </c>
      <c r="M1159" s="61" t="n">
        <v>0</v>
      </c>
      <c r="N1159" s="61" t="n">
        <v>0</v>
      </c>
      <c r="O1159" s="61" t="n">
        <v>0</v>
      </c>
      <c r="P1159" s="62" t="n">
        <v>822.7</v>
      </c>
      <c r="Q1159" s="0" t="n">
        <v>0</v>
      </c>
      <c r="R1159" s="60" t="n">
        <f aca="false">G1159+H1159+I1159</f>
        <v>31.41</v>
      </c>
      <c r="S1159" s="60" t="n">
        <f aca="false">K1159+L1159+M1159+N1159+O1159</f>
        <v>0.01</v>
      </c>
      <c r="T1159" s="60" t="n">
        <f aca="false">L1159+M1159</f>
        <v>0.01</v>
      </c>
      <c r="U1159" s="60" t="n">
        <f aca="false">S1159+J1159</f>
        <v>0.01</v>
      </c>
      <c r="V1159" s="63" t="n">
        <f aca="false">IFERROR(S1159/F1159,0)</f>
        <v>0.000318268618714195</v>
      </c>
      <c r="W1159" s="63" t="n">
        <f aca="false">IFERROR(R1159/F1159,0)</f>
        <v>0.999681731381286</v>
      </c>
      <c r="X1159" s="63" t="n">
        <f aca="false">IFERROR(T1159/F1159,0)</f>
        <v>0.000318268618714195</v>
      </c>
      <c r="Y1159" s="63" t="n">
        <f aca="false">IFERROR(G1159/F1159,0)</f>
        <v>0</v>
      </c>
      <c r="Z1159" s="59" t="n">
        <f aca="false">IF(E1159&gt;0,F1159*1000000000/E1159,"")</f>
        <v>4737.54284068618</v>
      </c>
      <c r="AA1159" s="63" t="n">
        <f aca="false">IFERROR((R1159+S1159+J1159)/F1159,0)</f>
        <v>1</v>
      </c>
      <c r="AB1159" s="0" t="str">
        <f aca="false">A1159&amp;"|"&amp;D1159</f>
        <v>Libya|2016</v>
      </c>
    </row>
    <row r="1160" customFormat="false" ht="15" hidden="false" customHeight="false" outlineLevel="0" collapsed="false">
      <c r="A1160" s="0" t="s">
        <v>291</v>
      </c>
      <c r="B1160" s="0" t="s">
        <v>530</v>
      </c>
      <c r="C1160" s="0" t="s">
        <v>127</v>
      </c>
      <c r="D1160" s="0" t="n">
        <v>2017</v>
      </c>
      <c r="E1160" s="59" t="n">
        <v>6738771</v>
      </c>
      <c r="F1160" s="60" t="n">
        <v>33.28</v>
      </c>
      <c r="G1160" s="61" t="n">
        <v>0</v>
      </c>
      <c r="H1160" s="61" t="n">
        <v>22.83</v>
      </c>
      <c r="I1160" s="61" t="n">
        <v>10.44</v>
      </c>
      <c r="J1160" s="61" t="n">
        <v>0</v>
      </c>
      <c r="K1160" s="61" t="n">
        <v>0</v>
      </c>
      <c r="L1160" s="61" t="n">
        <v>0.01</v>
      </c>
      <c r="M1160" s="61" t="n">
        <v>0</v>
      </c>
      <c r="N1160" s="61" t="n">
        <v>0</v>
      </c>
      <c r="O1160" s="61" t="n">
        <v>0</v>
      </c>
      <c r="P1160" s="62" t="n">
        <v>813.4</v>
      </c>
      <c r="Q1160" s="0" t="n">
        <v>0</v>
      </c>
      <c r="R1160" s="60" t="n">
        <f aca="false">G1160+H1160+I1160</f>
        <v>33.27</v>
      </c>
      <c r="S1160" s="60" t="n">
        <f aca="false">K1160+L1160+M1160+N1160+O1160</f>
        <v>0.01</v>
      </c>
      <c r="T1160" s="60" t="n">
        <f aca="false">L1160+M1160</f>
        <v>0.01</v>
      </c>
      <c r="U1160" s="60" t="n">
        <f aca="false">S1160+J1160</f>
        <v>0.01</v>
      </c>
      <c r="V1160" s="63" t="n">
        <f aca="false">IFERROR(S1160/F1160,0)</f>
        <v>0.000300480769230769</v>
      </c>
      <c r="W1160" s="63" t="n">
        <f aca="false">IFERROR(R1160/F1160,0)</f>
        <v>0.999699519230769</v>
      </c>
      <c r="X1160" s="63" t="n">
        <f aca="false">IFERROR(T1160/F1160,0)</f>
        <v>0.000300480769230769</v>
      </c>
      <c r="Y1160" s="63" t="n">
        <f aca="false">IFERROR(G1160/F1160,0)</f>
        <v>0</v>
      </c>
      <c r="Z1160" s="59" t="n">
        <f aca="false">IF(E1160&gt;0,F1160*1000000000/E1160,"")</f>
        <v>4938.58598251818</v>
      </c>
      <c r="AA1160" s="63" t="n">
        <f aca="false">IFERROR((R1160+S1160+J1160)/F1160,0)</f>
        <v>1</v>
      </c>
      <c r="AB1160" s="0" t="str">
        <f aca="false">A1160&amp;"|"&amp;D1160</f>
        <v>Libya|2017</v>
      </c>
    </row>
    <row r="1161" customFormat="false" ht="15" hidden="false" customHeight="false" outlineLevel="0" collapsed="false">
      <c r="A1161" s="0" t="s">
        <v>291</v>
      </c>
      <c r="B1161" s="0" t="s">
        <v>530</v>
      </c>
      <c r="C1161" s="0" t="s">
        <v>127</v>
      </c>
      <c r="D1161" s="0" t="n">
        <v>2018</v>
      </c>
      <c r="E1161" s="59" t="n">
        <v>6849058</v>
      </c>
      <c r="F1161" s="60" t="n">
        <v>34.18</v>
      </c>
      <c r="G1161" s="61" t="n">
        <v>0</v>
      </c>
      <c r="H1161" s="61" t="n">
        <v>22.41</v>
      </c>
      <c r="I1161" s="61" t="n">
        <v>11.76</v>
      </c>
      <c r="J1161" s="61" t="n">
        <v>0</v>
      </c>
      <c r="K1161" s="61" t="n">
        <v>0</v>
      </c>
      <c r="L1161" s="61" t="n">
        <v>0.01</v>
      </c>
      <c r="M1161" s="61" t="n">
        <v>0</v>
      </c>
      <c r="N1161" s="61" t="n">
        <v>0</v>
      </c>
      <c r="O1161" s="61" t="n">
        <v>0</v>
      </c>
      <c r="P1161" s="62" t="n">
        <v>806.6</v>
      </c>
      <c r="Q1161" s="0" t="n">
        <v>0</v>
      </c>
      <c r="R1161" s="60" t="n">
        <f aca="false">G1161+H1161+I1161</f>
        <v>34.17</v>
      </c>
      <c r="S1161" s="60" t="n">
        <f aca="false">K1161+L1161+M1161+N1161+O1161</f>
        <v>0.01</v>
      </c>
      <c r="T1161" s="60" t="n">
        <f aca="false">L1161+M1161</f>
        <v>0.01</v>
      </c>
      <c r="U1161" s="60" t="n">
        <f aca="false">S1161+J1161</f>
        <v>0.01</v>
      </c>
      <c r="V1161" s="63" t="n">
        <f aca="false">IFERROR(S1161/F1161,0)</f>
        <v>0.000292568753657109</v>
      </c>
      <c r="W1161" s="63" t="n">
        <f aca="false">IFERROR(R1161/F1161,0)</f>
        <v>0.999707431246343</v>
      </c>
      <c r="X1161" s="63" t="n">
        <f aca="false">IFERROR(T1161/F1161,0)</f>
        <v>0.000292568753657109</v>
      </c>
      <c r="Y1161" s="63" t="n">
        <f aca="false">IFERROR(G1161/F1161,0)</f>
        <v>0</v>
      </c>
      <c r="Z1161" s="59" t="n">
        <f aca="false">IF(E1161&gt;0,F1161*1000000000/E1161,"")</f>
        <v>4990.46730221879</v>
      </c>
      <c r="AA1161" s="63" t="n">
        <f aca="false">IFERROR((R1161+S1161+J1161)/F1161,0)</f>
        <v>1</v>
      </c>
      <c r="AB1161" s="0" t="str">
        <f aca="false">A1161&amp;"|"&amp;D1161</f>
        <v>Libya|2018</v>
      </c>
    </row>
    <row r="1162" customFormat="false" ht="15" hidden="false" customHeight="false" outlineLevel="0" collapsed="false">
      <c r="A1162" s="0" t="s">
        <v>291</v>
      </c>
      <c r="B1162" s="0" t="s">
        <v>530</v>
      </c>
      <c r="C1162" s="0" t="s">
        <v>127</v>
      </c>
      <c r="D1162" s="0" t="n">
        <v>2019</v>
      </c>
      <c r="E1162" s="59" t="n">
        <v>6951040</v>
      </c>
      <c r="F1162" s="60" t="n">
        <v>34.63</v>
      </c>
      <c r="G1162" s="61" t="n">
        <v>0</v>
      </c>
      <c r="H1162" s="61" t="n">
        <v>23.25</v>
      </c>
      <c r="I1162" s="61" t="n">
        <v>11.37</v>
      </c>
      <c r="J1162" s="61" t="n">
        <v>0</v>
      </c>
      <c r="K1162" s="61" t="n">
        <v>0</v>
      </c>
      <c r="L1162" s="61" t="n">
        <v>0.01</v>
      </c>
      <c r="M1162" s="61" t="n">
        <v>0</v>
      </c>
      <c r="N1162" s="61" t="n">
        <v>0</v>
      </c>
      <c r="O1162" s="61" t="n">
        <v>0</v>
      </c>
      <c r="P1162" s="62" t="n">
        <v>810</v>
      </c>
      <c r="Q1162" s="0" t="n">
        <v>0</v>
      </c>
      <c r="R1162" s="60" t="n">
        <f aca="false">G1162+H1162+I1162</f>
        <v>34.62</v>
      </c>
      <c r="S1162" s="60" t="n">
        <f aca="false">K1162+L1162+M1162+N1162+O1162</f>
        <v>0.01</v>
      </c>
      <c r="T1162" s="60" t="n">
        <f aca="false">L1162+M1162</f>
        <v>0.01</v>
      </c>
      <c r="U1162" s="60" t="n">
        <f aca="false">S1162+J1162</f>
        <v>0.01</v>
      </c>
      <c r="V1162" s="63" t="n">
        <f aca="false">IFERROR(S1162/F1162,0)</f>
        <v>0.000288766965059197</v>
      </c>
      <c r="W1162" s="63" t="n">
        <f aca="false">IFERROR(R1162/F1162,0)</f>
        <v>0.999711233034941</v>
      </c>
      <c r="X1162" s="63" t="n">
        <f aca="false">IFERROR(T1162/F1162,0)</f>
        <v>0.000288766965059197</v>
      </c>
      <c r="Y1162" s="63" t="n">
        <f aca="false">IFERROR(G1162/F1162,0)</f>
        <v>0</v>
      </c>
      <c r="Z1162" s="59" t="n">
        <f aca="false">IF(E1162&gt;0,F1162*1000000000/E1162,"")</f>
        <v>4981.98830678575</v>
      </c>
      <c r="AA1162" s="63" t="n">
        <f aca="false">IFERROR((R1162+S1162+J1162)/F1162,0)</f>
        <v>1</v>
      </c>
      <c r="AB1162" s="0" t="str">
        <f aca="false">A1162&amp;"|"&amp;D1162</f>
        <v>Libya|2019</v>
      </c>
    </row>
    <row r="1163" customFormat="false" ht="15" hidden="false" customHeight="false" outlineLevel="0" collapsed="false">
      <c r="A1163" s="0" t="s">
        <v>291</v>
      </c>
      <c r="B1163" s="0" t="s">
        <v>530</v>
      </c>
      <c r="C1163" s="0" t="s">
        <v>127</v>
      </c>
      <c r="D1163" s="0" t="n">
        <v>2020</v>
      </c>
      <c r="E1163" s="59" t="n">
        <v>7045403</v>
      </c>
      <c r="F1163" s="60" t="n">
        <v>29.5</v>
      </c>
      <c r="G1163" s="61" t="n">
        <v>0</v>
      </c>
      <c r="H1163" s="61" t="n">
        <v>21.63</v>
      </c>
      <c r="I1163" s="61" t="n">
        <v>7.86</v>
      </c>
      <c r="J1163" s="61" t="n">
        <v>0</v>
      </c>
      <c r="K1163" s="61" t="n">
        <v>0</v>
      </c>
      <c r="L1163" s="61" t="n">
        <v>0.01</v>
      </c>
      <c r="M1163" s="61" t="n">
        <v>0</v>
      </c>
      <c r="N1163" s="61" t="n">
        <v>0</v>
      </c>
      <c r="O1163" s="61" t="n">
        <v>0</v>
      </c>
      <c r="P1163" s="62" t="n">
        <v>824.1</v>
      </c>
      <c r="Q1163" s="0" t="n">
        <v>0</v>
      </c>
      <c r="R1163" s="60" t="n">
        <f aca="false">G1163+H1163+I1163</f>
        <v>29.49</v>
      </c>
      <c r="S1163" s="60" t="n">
        <f aca="false">K1163+L1163+M1163+N1163+O1163</f>
        <v>0.01</v>
      </c>
      <c r="T1163" s="60" t="n">
        <f aca="false">L1163+M1163</f>
        <v>0.01</v>
      </c>
      <c r="U1163" s="60" t="n">
        <f aca="false">S1163+J1163</f>
        <v>0.01</v>
      </c>
      <c r="V1163" s="63" t="n">
        <f aca="false">IFERROR(S1163/F1163,0)</f>
        <v>0.000338983050847458</v>
      </c>
      <c r="W1163" s="63" t="n">
        <f aca="false">IFERROR(R1163/F1163,0)</f>
        <v>0.999661016949152</v>
      </c>
      <c r="X1163" s="63" t="n">
        <f aca="false">IFERROR(T1163/F1163,0)</f>
        <v>0.000338983050847458</v>
      </c>
      <c r="Y1163" s="63" t="n">
        <f aca="false">IFERROR(G1163/F1163,0)</f>
        <v>0</v>
      </c>
      <c r="Z1163" s="59" t="n">
        <f aca="false">IF(E1163&gt;0,F1163*1000000000/E1163,"")</f>
        <v>4187.12740775794</v>
      </c>
      <c r="AA1163" s="63" t="n">
        <f aca="false">IFERROR((R1163+S1163+J1163)/F1163,0)</f>
        <v>1</v>
      </c>
      <c r="AB1163" s="0" t="str">
        <f aca="false">A1163&amp;"|"&amp;D1163</f>
        <v>Libya|2020</v>
      </c>
    </row>
    <row r="1164" customFormat="false" ht="15" hidden="false" customHeight="false" outlineLevel="0" collapsed="false">
      <c r="A1164" s="0" t="s">
        <v>291</v>
      </c>
      <c r="B1164" s="0" t="s">
        <v>530</v>
      </c>
      <c r="C1164" s="0" t="s">
        <v>127</v>
      </c>
      <c r="D1164" s="0" t="n">
        <v>2021</v>
      </c>
      <c r="E1164" s="59" t="n">
        <v>7135179</v>
      </c>
      <c r="F1164" s="60" t="n">
        <v>34.79</v>
      </c>
      <c r="G1164" s="61" t="n">
        <v>0</v>
      </c>
      <c r="H1164" s="61" t="n">
        <v>26.61</v>
      </c>
      <c r="I1164" s="61" t="n">
        <v>8.17</v>
      </c>
      <c r="J1164" s="61" t="n">
        <v>0</v>
      </c>
      <c r="K1164" s="61" t="n">
        <v>0</v>
      </c>
      <c r="L1164" s="61" t="n">
        <v>0.01</v>
      </c>
      <c r="M1164" s="61" t="n">
        <v>0</v>
      </c>
      <c r="N1164" s="61" t="n">
        <v>0</v>
      </c>
      <c r="O1164" s="61" t="n">
        <v>0</v>
      </c>
      <c r="P1164" s="62" t="n">
        <v>831.6</v>
      </c>
      <c r="Q1164" s="0" t="n">
        <v>0</v>
      </c>
      <c r="R1164" s="60" t="n">
        <f aca="false">G1164+H1164+I1164</f>
        <v>34.78</v>
      </c>
      <c r="S1164" s="60" t="n">
        <f aca="false">K1164+L1164+M1164+N1164+O1164</f>
        <v>0.01</v>
      </c>
      <c r="T1164" s="60" t="n">
        <f aca="false">L1164+M1164</f>
        <v>0.01</v>
      </c>
      <c r="U1164" s="60" t="n">
        <f aca="false">S1164+J1164</f>
        <v>0.01</v>
      </c>
      <c r="V1164" s="63" t="n">
        <f aca="false">IFERROR(S1164/F1164,0)</f>
        <v>0.000287438919229664</v>
      </c>
      <c r="W1164" s="63" t="n">
        <f aca="false">IFERROR(R1164/F1164,0)</f>
        <v>0.99971256108077</v>
      </c>
      <c r="X1164" s="63" t="n">
        <f aca="false">IFERROR(T1164/F1164,0)</f>
        <v>0.000287438919229664</v>
      </c>
      <c r="Y1164" s="63" t="n">
        <f aca="false">IFERROR(G1164/F1164,0)</f>
        <v>0</v>
      </c>
      <c r="Z1164" s="59" t="n">
        <f aca="false">IF(E1164&gt;0,F1164*1000000000/E1164,"")</f>
        <v>4875.84123677906</v>
      </c>
      <c r="AA1164" s="63" t="n">
        <f aca="false">IFERROR((R1164+S1164+J1164)/F1164,0)</f>
        <v>1</v>
      </c>
      <c r="AB1164" s="0" t="str">
        <f aca="false">A1164&amp;"|"&amp;D1164</f>
        <v>Libya|2021</v>
      </c>
    </row>
    <row r="1165" customFormat="false" ht="15" hidden="false" customHeight="false" outlineLevel="0" collapsed="false">
      <c r="A1165" s="0" t="s">
        <v>291</v>
      </c>
      <c r="B1165" s="0" t="s">
        <v>530</v>
      </c>
      <c r="C1165" s="0" t="s">
        <v>127</v>
      </c>
      <c r="D1165" s="0" t="n">
        <v>2022</v>
      </c>
      <c r="E1165" s="59" t="n">
        <v>7223804</v>
      </c>
      <c r="F1165" s="60" t="n">
        <v>35.11</v>
      </c>
      <c r="G1165" s="61" t="n">
        <v>0</v>
      </c>
      <c r="H1165" s="61" t="n">
        <v>26.7</v>
      </c>
      <c r="I1165" s="61" t="n">
        <v>8.4</v>
      </c>
      <c r="J1165" s="61" t="n">
        <v>0</v>
      </c>
      <c r="K1165" s="61" t="n">
        <v>0</v>
      </c>
      <c r="L1165" s="61" t="n">
        <v>0.01</v>
      </c>
      <c r="M1165" s="61" t="n">
        <v>0</v>
      </c>
      <c r="N1165" s="61" t="n">
        <v>0</v>
      </c>
      <c r="O1165" s="61" t="n">
        <v>0</v>
      </c>
      <c r="P1165" s="62" t="n">
        <v>830.5</v>
      </c>
      <c r="Q1165" s="0" t="n">
        <v>0</v>
      </c>
      <c r="R1165" s="60" t="n">
        <f aca="false">G1165+H1165+I1165</f>
        <v>35.1</v>
      </c>
      <c r="S1165" s="60" t="n">
        <f aca="false">K1165+L1165+M1165+N1165+O1165</f>
        <v>0.01</v>
      </c>
      <c r="T1165" s="60" t="n">
        <f aca="false">L1165+M1165</f>
        <v>0.01</v>
      </c>
      <c r="U1165" s="60" t="n">
        <f aca="false">S1165+J1165</f>
        <v>0.01</v>
      </c>
      <c r="V1165" s="63" t="n">
        <f aca="false">IFERROR(S1165/F1165,0)</f>
        <v>0.000284819139846198</v>
      </c>
      <c r="W1165" s="63" t="n">
        <f aca="false">IFERROR(R1165/F1165,0)</f>
        <v>0.999715180860154</v>
      </c>
      <c r="X1165" s="63" t="n">
        <f aca="false">IFERROR(T1165/F1165,0)</f>
        <v>0.000284819139846198</v>
      </c>
      <c r="Y1165" s="63" t="n">
        <f aca="false">IFERROR(G1165/F1165,0)</f>
        <v>0</v>
      </c>
      <c r="Z1165" s="59" t="n">
        <f aca="false">IF(E1165&gt;0,F1165*1000000000/E1165,"")</f>
        <v>4860.32013050188</v>
      </c>
      <c r="AA1165" s="63" t="n">
        <f aca="false">IFERROR((R1165+S1165+J1165)/F1165,0)</f>
        <v>1</v>
      </c>
      <c r="AB1165" s="0" t="str">
        <f aca="false">A1165&amp;"|"&amp;D1165</f>
        <v>Libya|2022</v>
      </c>
    </row>
    <row r="1166" customFormat="false" ht="15" hidden="false" customHeight="false" outlineLevel="0" collapsed="false">
      <c r="A1166" s="0" t="s">
        <v>291</v>
      </c>
      <c r="B1166" s="0" t="s">
        <v>530</v>
      </c>
      <c r="C1166" s="0" t="s">
        <v>127</v>
      </c>
      <c r="D1166" s="0" t="n">
        <v>2023</v>
      </c>
      <c r="E1166" s="59" t="n">
        <v>7305659</v>
      </c>
      <c r="F1166" s="60" t="n">
        <v>33.75</v>
      </c>
      <c r="G1166" s="61" t="n">
        <v>0</v>
      </c>
      <c r="H1166" s="61" t="n">
        <v>24.9</v>
      </c>
      <c r="I1166" s="61" t="n">
        <v>8.84</v>
      </c>
      <c r="J1166" s="61" t="n">
        <v>0</v>
      </c>
      <c r="K1166" s="61" t="n">
        <v>0</v>
      </c>
      <c r="L1166" s="61" t="n">
        <v>0.01</v>
      </c>
      <c r="M1166" s="61" t="n">
        <v>0</v>
      </c>
      <c r="N1166" s="61" t="n">
        <v>0</v>
      </c>
      <c r="O1166" s="61" t="n">
        <v>0</v>
      </c>
      <c r="P1166" s="62" t="n">
        <v>825.2</v>
      </c>
      <c r="Q1166" s="0" t="n">
        <v>0</v>
      </c>
      <c r="R1166" s="60" t="n">
        <f aca="false">G1166+H1166+I1166</f>
        <v>33.74</v>
      </c>
      <c r="S1166" s="60" t="n">
        <f aca="false">K1166+L1166+M1166+N1166+O1166</f>
        <v>0.01</v>
      </c>
      <c r="T1166" s="60" t="n">
        <f aca="false">L1166+M1166</f>
        <v>0.01</v>
      </c>
      <c r="U1166" s="60" t="n">
        <f aca="false">S1166+J1166</f>
        <v>0.01</v>
      </c>
      <c r="V1166" s="63" t="n">
        <f aca="false">IFERROR(S1166/F1166,0)</f>
        <v>0.000296296296296296</v>
      </c>
      <c r="W1166" s="63" t="n">
        <f aca="false">IFERROR(R1166/F1166,0)</f>
        <v>0.999703703703704</v>
      </c>
      <c r="X1166" s="63" t="n">
        <f aca="false">IFERROR(T1166/F1166,0)</f>
        <v>0.000296296296296296</v>
      </c>
      <c r="Y1166" s="63" t="n">
        <f aca="false">IFERROR(G1166/F1166,0)</f>
        <v>0</v>
      </c>
      <c r="Z1166" s="59" t="n">
        <f aca="false">IF(E1166&gt;0,F1166*1000000000/E1166,"")</f>
        <v>4619.70644947978</v>
      </c>
      <c r="AA1166" s="63" t="n">
        <f aca="false">IFERROR((R1166+S1166+J1166)/F1166,0)</f>
        <v>1</v>
      </c>
      <c r="AB1166" s="0" t="str">
        <f aca="false">A1166&amp;"|"&amp;D1166</f>
        <v>Libya|2023</v>
      </c>
    </row>
    <row r="1167" customFormat="false" ht="15" hidden="false" customHeight="false" outlineLevel="0" collapsed="false">
      <c r="A1167" s="0" t="s">
        <v>291</v>
      </c>
      <c r="B1167" s="0" t="s">
        <v>530</v>
      </c>
      <c r="C1167" s="0" t="s">
        <v>127</v>
      </c>
      <c r="D1167" s="0" t="n">
        <v>2024</v>
      </c>
      <c r="E1167" s="59" t="n">
        <v>7381029</v>
      </c>
      <c r="F1167" s="60" t="n">
        <v>34.59</v>
      </c>
      <c r="G1167" s="61" t="n">
        <v>0</v>
      </c>
      <c r="H1167" s="61" t="n">
        <v>25.78</v>
      </c>
      <c r="I1167" s="61" t="n">
        <v>8.8</v>
      </c>
      <c r="J1167" s="61" t="n">
        <v>0</v>
      </c>
      <c r="K1167" s="61" t="n">
        <v>0</v>
      </c>
      <c r="L1167" s="61" t="n">
        <v>0.01</v>
      </c>
      <c r="M1167" s="61" t="n">
        <v>0</v>
      </c>
      <c r="N1167" s="61" t="n">
        <v>0</v>
      </c>
      <c r="O1167" s="61" t="n">
        <v>0</v>
      </c>
      <c r="P1167" s="62" t="n">
        <v>826.8</v>
      </c>
      <c r="Q1167" s="0" t="n">
        <v>0</v>
      </c>
      <c r="R1167" s="60" t="n">
        <f aca="false">G1167+H1167+I1167</f>
        <v>34.58</v>
      </c>
      <c r="S1167" s="60" t="n">
        <f aca="false">K1167+L1167+M1167+N1167+O1167</f>
        <v>0.01</v>
      </c>
      <c r="T1167" s="60" t="n">
        <f aca="false">L1167+M1167</f>
        <v>0.01</v>
      </c>
      <c r="U1167" s="60" t="n">
        <f aca="false">S1167+J1167</f>
        <v>0.01</v>
      </c>
      <c r="V1167" s="63" t="n">
        <f aca="false">IFERROR(S1167/F1167,0)</f>
        <v>0.000289100896212778</v>
      </c>
      <c r="W1167" s="63" t="n">
        <f aca="false">IFERROR(R1167/F1167,0)</f>
        <v>0.999710899103787</v>
      </c>
      <c r="X1167" s="63" t="n">
        <f aca="false">IFERROR(T1167/F1167,0)</f>
        <v>0.000289100896212778</v>
      </c>
      <c r="Y1167" s="63" t="n">
        <f aca="false">IFERROR(G1167/F1167,0)</f>
        <v>0</v>
      </c>
      <c r="Z1167" s="59" t="n">
        <f aca="false">IF(E1167&gt;0,F1167*1000000000/E1167,"")</f>
        <v>4686.33844955764</v>
      </c>
      <c r="AA1167" s="63" t="n">
        <f aca="false">IFERROR((R1167+S1167+J1167)/F1167,0)</f>
        <v>1</v>
      </c>
      <c r="AB1167" s="0" t="str">
        <f aca="false">A1167&amp;"|"&amp;D1167</f>
        <v>Libya|2024</v>
      </c>
    </row>
    <row r="1168" customFormat="false" ht="15" hidden="false" customHeight="false" outlineLevel="0" collapsed="false">
      <c r="A1168" s="0" t="s">
        <v>292</v>
      </c>
      <c r="B1168" s="0" t="s">
        <v>531</v>
      </c>
      <c r="C1168" s="0" t="s">
        <v>127</v>
      </c>
      <c r="D1168" s="0" t="n">
        <v>2015</v>
      </c>
      <c r="E1168" s="59" t="n">
        <v>2905771</v>
      </c>
      <c r="F1168" s="60" t="n">
        <v>4.23</v>
      </c>
      <c r="G1168" s="61" t="n">
        <v>0</v>
      </c>
      <c r="H1168" s="61" t="n">
        <v>1.98</v>
      </c>
      <c r="I1168" s="61" t="n">
        <v>0.57</v>
      </c>
      <c r="J1168" s="61" t="n">
        <v>0</v>
      </c>
      <c r="K1168" s="61" t="n">
        <v>0.35</v>
      </c>
      <c r="L1168" s="61" t="n">
        <v>0.07</v>
      </c>
      <c r="M1168" s="61" t="n">
        <v>0.81</v>
      </c>
      <c r="N1168" s="61" t="n">
        <v>0.45</v>
      </c>
      <c r="O1168" s="61" t="n">
        <v>0</v>
      </c>
      <c r="P1168" s="62" t="n">
        <v>295.5</v>
      </c>
      <c r="Q1168" s="0" t="n">
        <v>0</v>
      </c>
      <c r="R1168" s="60" t="n">
        <f aca="false">G1168+H1168+I1168</f>
        <v>2.55</v>
      </c>
      <c r="S1168" s="60" t="n">
        <f aca="false">K1168+L1168+M1168+N1168+O1168</f>
        <v>1.68</v>
      </c>
      <c r="T1168" s="60" t="n">
        <f aca="false">L1168+M1168</f>
        <v>0.88</v>
      </c>
      <c r="U1168" s="60" t="n">
        <f aca="false">S1168+J1168</f>
        <v>1.68</v>
      </c>
      <c r="V1168" s="63" t="n">
        <f aca="false">IFERROR(S1168/F1168,0)</f>
        <v>0.397163120567376</v>
      </c>
      <c r="W1168" s="63" t="n">
        <f aca="false">IFERROR(R1168/F1168,0)</f>
        <v>0.602836879432624</v>
      </c>
      <c r="X1168" s="63" t="n">
        <f aca="false">IFERROR(T1168/F1168,0)</f>
        <v>0.208037825059102</v>
      </c>
      <c r="Y1168" s="63" t="n">
        <f aca="false">IFERROR(G1168/F1168,0)</f>
        <v>0</v>
      </c>
      <c r="Z1168" s="59" t="n">
        <f aca="false">IF(E1168&gt;0,F1168*1000000000/E1168,"")</f>
        <v>1455.72379929458</v>
      </c>
      <c r="AA1168" s="63" t="n">
        <f aca="false">IFERROR((R1168+S1168+J1168)/F1168,0)</f>
        <v>1</v>
      </c>
      <c r="AB1168" s="0" t="str">
        <f aca="false">A1168&amp;"|"&amp;D1168</f>
        <v>Lithuania|2015</v>
      </c>
    </row>
    <row r="1169" customFormat="false" ht="15" hidden="false" customHeight="false" outlineLevel="0" collapsed="false">
      <c r="A1169" s="0" t="s">
        <v>292</v>
      </c>
      <c r="B1169" s="0" t="s">
        <v>531</v>
      </c>
      <c r="C1169" s="0" t="s">
        <v>127</v>
      </c>
      <c r="D1169" s="0" t="n">
        <v>2016</v>
      </c>
      <c r="E1169" s="59" t="n">
        <v>2869109</v>
      </c>
      <c r="F1169" s="60" t="n">
        <v>3.63</v>
      </c>
      <c r="G1169" s="61" t="n">
        <v>0</v>
      </c>
      <c r="H1169" s="61" t="n">
        <v>0.99</v>
      </c>
      <c r="I1169" s="61" t="n">
        <v>0.54</v>
      </c>
      <c r="J1169" s="61" t="n">
        <v>0</v>
      </c>
      <c r="K1169" s="61" t="n">
        <v>0.45</v>
      </c>
      <c r="L1169" s="61" t="n">
        <v>0.07</v>
      </c>
      <c r="M1169" s="61" t="n">
        <v>1.14</v>
      </c>
      <c r="N1169" s="61" t="n">
        <v>0.44</v>
      </c>
      <c r="O1169" s="61" t="n">
        <v>0</v>
      </c>
      <c r="P1169" s="62" t="n">
        <v>234.2</v>
      </c>
      <c r="Q1169" s="0" t="n">
        <v>0</v>
      </c>
      <c r="R1169" s="60" t="n">
        <f aca="false">G1169+H1169+I1169</f>
        <v>1.53</v>
      </c>
      <c r="S1169" s="60" t="n">
        <f aca="false">K1169+L1169+M1169+N1169+O1169</f>
        <v>2.1</v>
      </c>
      <c r="T1169" s="60" t="n">
        <f aca="false">L1169+M1169</f>
        <v>1.21</v>
      </c>
      <c r="U1169" s="60" t="n">
        <f aca="false">S1169+J1169</f>
        <v>2.1</v>
      </c>
      <c r="V1169" s="63" t="n">
        <f aca="false">IFERROR(S1169/F1169,0)</f>
        <v>0.578512396694215</v>
      </c>
      <c r="W1169" s="63" t="n">
        <f aca="false">IFERROR(R1169/F1169,0)</f>
        <v>0.421487603305785</v>
      </c>
      <c r="X1169" s="63" t="n">
        <f aca="false">IFERROR(T1169/F1169,0)</f>
        <v>0.333333333333333</v>
      </c>
      <c r="Y1169" s="63" t="n">
        <f aca="false">IFERROR(G1169/F1169,0)</f>
        <v>0</v>
      </c>
      <c r="Z1169" s="59" t="n">
        <f aca="false">IF(E1169&gt;0,F1169*1000000000/E1169,"")</f>
        <v>1265.20114781279</v>
      </c>
      <c r="AA1169" s="63" t="n">
        <f aca="false">IFERROR((R1169+S1169+J1169)/F1169,0)</f>
        <v>1</v>
      </c>
      <c r="AB1169" s="0" t="str">
        <f aca="false">A1169&amp;"|"&amp;D1169</f>
        <v>Lithuania|2016</v>
      </c>
    </row>
    <row r="1170" customFormat="false" ht="15" hidden="false" customHeight="false" outlineLevel="0" collapsed="false">
      <c r="A1170" s="0" t="s">
        <v>292</v>
      </c>
      <c r="B1170" s="0" t="s">
        <v>531</v>
      </c>
      <c r="C1170" s="0" t="s">
        <v>127</v>
      </c>
      <c r="D1170" s="0" t="n">
        <v>2017</v>
      </c>
      <c r="E1170" s="59" t="n">
        <v>2829317</v>
      </c>
      <c r="F1170" s="60" t="n">
        <v>3.56</v>
      </c>
      <c r="G1170" s="61" t="n">
        <v>0</v>
      </c>
      <c r="H1170" s="61" t="n">
        <v>0.6</v>
      </c>
      <c r="I1170" s="61" t="n">
        <v>0.43</v>
      </c>
      <c r="J1170" s="61" t="n">
        <v>0</v>
      </c>
      <c r="K1170" s="61" t="n">
        <v>0.6</v>
      </c>
      <c r="L1170" s="61" t="n">
        <v>0.07</v>
      </c>
      <c r="M1170" s="61" t="n">
        <v>1.36</v>
      </c>
      <c r="N1170" s="61" t="n">
        <v>0.5</v>
      </c>
      <c r="O1170" s="61" t="n">
        <v>0</v>
      </c>
      <c r="P1170" s="62" t="n">
        <v>182.6</v>
      </c>
      <c r="Q1170" s="0" t="n">
        <v>0</v>
      </c>
      <c r="R1170" s="60" t="n">
        <f aca="false">G1170+H1170+I1170</f>
        <v>1.03</v>
      </c>
      <c r="S1170" s="60" t="n">
        <f aca="false">K1170+L1170+M1170+N1170+O1170</f>
        <v>2.53</v>
      </c>
      <c r="T1170" s="60" t="n">
        <f aca="false">L1170+M1170</f>
        <v>1.43</v>
      </c>
      <c r="U1170" s="60" t="n">
        <f aca="false">S1170+J1170</f>
        <v>2.53</v>
      </c>
      <c r="V1170" s="63" t="n">
        <f aca="false">IFERROR(S1170/F1170,0)</f>
        <v>0.710674157303371</v>
      </c>
      <c r="W1170" s="63" t="n">
        <f aca="false">IFERROR(R1170/F1170,0)</f>
        <v>0.289325842696629</v>
      </c>
      <c r="X1170" s="63" t="n">
        <f aca="false">IFERROR(T1170/F1170,0)</f>
        <v>0.401685393258427</v>
      </c>
      <c r="Y1170" s="63" t="n">
        <f aca="false">IFERROR(G1170/F1170,0)</f>
        <v>0</v>
      </c>
      <c r="Z1170" s="59" t="n">
        <f aca="false">IF(E1170&gt;0,F1170*1000000000/E1170,"")</f>
        <v>1258.25420057208</v>
      </c>
      <c r="AA1170" s="63" t="n">
        <f aca="false">IFERROR((R1170+S1170+J1170)/F1170,0)</f>
        <v>1</v>
      </c>
      <c r="AB1170" s="0" t="str">
        <f aca="false">A1170&amp;"|"&amp;D1170</f>
        <v>Lithuania|2017</v>
      </c>
    </row>
    <row r="1171" customFormat="false" ht="15" hidden="false" customHeight="false" outlineLevel="0" collapsed="false">
      <c r="A1171" s="0" t="s">
        <v>292</v>
      </c>
      <c r="B1171" s="0" t="s">
        <v>531</v>
      </c>
      <c r="C1171" s="0" t="s">
        <v>127</v>
      </c>
      <c r="D1171" s="0" t="n">
        <v>2018</v>
      </c>
      <c r="E1171" s="59" t="n">
        <v>2802485</v>
      </c>
      <c r="F1171" s="60" t="n">
        <v>2.92</v>
      </c>
      <c r="G1171" s="61" t="n">
        <v>0</v>
      </c>
      <c r="H1171" s="61" t="n">
        <v>0.33</v>
      </c>
      <c r="I1171" s="61" t="n">
        <v>0.39</v>
      </c>
      <c r="J1171" s="61" t="n">
        <v>0</v>
      </c>
      <c r="K1171" s="61" t="n">
        <v>0.43</v>
      </c>
      <c r="L1171" s="61" t="n">
        <v>0.09</v>
      </c>
      <c r="M1171" s="61" t="n">
        <v>1.14</v>
      </c>
      <c r="N1171" s="61" t="n">
        <v>0.54</v>
      </c>
      <c r="O1171" s="61" t="n">
        <v>0</v>
      </c>
      <c r="P1171" s="62" t="n">
        <v>178.1</v>
      </c>
      <c r="Q1171" s="0" t="n">
        <v>0</v>
      </c>
      <c r="R1171" s="60" t="n">
        <f aca="false">G1171+H1171+I1171</f>
        <v>0.72</v>
      </c>
      <c r="S1171" s="60" t="n">
        <f aca="false">K1171+L1171+M1171+N1171+O1171</f>
        <v>2.2</v>
      </c>
      <c r="T1171" s="60" t="n">
        <f aca="false">L1171+M1171</f>
        <v>1.23</v>
      </c>
      <c r="U1171" s="60" t="n">
        <f aca="false">S1171+J1171</f>
        <v>2.2</v>
      </c>
      <c r="V1171" s="63" t="n">
        <f aca="false">IFERROR(S1171/F1171,0)</f>
        <v>0.753424657534247</v>
      </c>
      <c r="W1171" s="63" t="n">
        <f aca="false">IFERROR(R1171/F1171,0)</f>
        <v>0.246575342465753</v>
      </c>
      <c r="X1171" s="63" t="n">
        <f aca="false">IFERROR(T1171/F1171,0)</f>
        <v>0.421232876712329</v>
      </c>
      <c r="Y1171" s="63" t="n">
        <f aca="false">IFERROR(G1171/F1171,0)</f>
        <v>0</v>
      </c>
      <c r="Z1171" s="59" t="n">
        <f aca="false">IF(E1171&gt;0,F1171*1000000000/E1171,"")</f>
        <v>1041.93242782745</v>
      </c>
      <c r="AA1171" s="63" t="n">
        <f aca="false">IFERROR((R1171+S1171+J1171)/F1171,0)</f>
        <v>1</v>
      </c>
      <c r="AB1171" s="0" t="str">
        <f aca="false">A1171&amp;"|"&amp;D1171</f>
        <v>Lithuania|2018</v>
      </c>
    </row>
    <row r="1172" customFormat="false" ht="15" hidden="false" customHeight="false" outlineLevel="0" collapsed="false">
      <c r="A1172" s="0" t="s">
        <v>292</v>
      </c>
      <c r="B1172" s="0" t="s">
        <v>531</v>
      </c>
      <c r="C1172" s="0" t="s">
        <v>127</v>
      </c>
      <c r="D1172" s="0" t="n">
        <v>2019</v>
      </c>
      <c r="E1172" s="59" t="n">
        <v>2795057</v>
      </c>
      <c r="F1172" s="60" t="n">
        <v>3.34</v>
      </c>
      <c r="G1172" s="61" t="n">
        <v>0</v>
      </c>
      <c r="H1172" s="61" t="n">
        <v>0.52</v>
      </c>
      <c r="I1172" s="61" t="n">
        <v>0.35</v>
      </c>
      <c r="J1172" s="61" t="n">
        <v>0</v>
      </c>
      <c r="K1172" s="61" t="n">
        <v>0.35</v>
      </c>
      <c r="L1172" s="61" t="n">
        <v>0.09</v>
      </c>
      <c r="M1172" s="61" t="n">
        <v>1.5</v>
      </c>
      <c r="N1172" s="61" t="n">
        <v>0.53</v>
      </c>
      <c r="O1172" s="61" t="n">
        <v>0</v>
      </c>
      <c r="P1172" s="62" t="n">
        <v>170.7</v>
      </c>
      <c r="Q1172" s="0" t="n">
        <v>0</v>
      </c>
      <c r="R1172" s="60" t="n">
        <f aca="false">G1172+H1172+I1172</f>
        <v>0.87</v>
      </c>
      <c r="S1172" s="60" t="n">
        <f aca="false">K1172+L1172+M1172+N1172+O1172</f>
        <v>2.47</v>
      </c>
      <c r="T1172" s="60" t="n">
        <f aca="false">L1172+M1172</f>
        <v>1.59</v>
      </c>
      <c r="U1172" s="60" t="n">
        <f aca="false">S1172+J1172</f>
        <v>2.47</v>
      </c>
      <c r="V1172" s="63" t="n">
        <f aca="false">IFERROR(S1172/F1172,0)</f>
        <v>0.739520958083832</v>
      </c>
      <c r="W1172" s="63" t="n">
        <f aca="false">IFERROR(R1172/F1172,0)</f>
        <v>0.260479041916168</v>
      </c>
      <c r="X1172" s="63" t="n">
        <f aca="false">IFERROR(T1172/F1172,0)</f>
        <v>0.476047904191617</v>
      </c>
      <c r="Y1172" s="63" t="n">
        <f aca="false">IFERROR(G1172/F1172,0)</f>
        <v>0</v>
      </c>
      <c r="Z1172" s="59" t="n">
        <f aca="false">IF(E1172&gt;0,F1172*1000000000/E1172,"")</f>
        <v>1194.96668583145</v>
      </c>
      <c r="AA1172" s="63" t="n">
        <f aca="false">IFERROR((R1172+S1172+J1172)/F1172,0)</f>
        <v>1</v>
      </c>
      <c r="AB1172" s="0" t="str">
        <f aca="false">A1172&amp;"|"&amp;D1172</f>
        <v>Lithuania|2019</v>
      </c>
    </row>
    <row r="1173" customFormat="false" ht="15" hidden="false" customHeight="false" outlineLevel="0" collapsed="false">
      <c r="A1173" s="0" t="s">
        <v>292</v>
      </c>
      <c r="B1173" s="0" t="s">
        <v>531</v>
      </c>
      <c r="C1173" s="0" t="s">
        <v>127</v>
      </c>
      <c r="D1173" s="0" t="n">
        <v>2020</v>
      </c>
      <c r="E1173" s="59" t="n">
        <v>2795766</v>
      </c>
      <c r="F1173" s="60" t="n">
        <v>4.7</v>
      </c>
      <c r="G1173" s="61" t="n">
        <v>0</v>
      </c>
      <c r="H1173" s="61" t="n">
        <v>1.7</v>
      </c>
      <c r="I1173" s="61" t="n">
        <v>0.43</v>
      </c>
      <c r="J1173" s="61" t="n">
        <v>0</v>
      </c>
      <c r="K1173" s="61" t="n">
        <v>0.3</v>
      </c>
      <c r="L1173" s="61" t="n">
        <v>0.13</v>
      </c>
      <c r="M1173" s="61" t="n">
        <v>1.55</v>
      </c>
      <c r="N1173" s="61" t="n">
        <v>0.59</v>
      </c>
      <c r="O1173" s="61" t="n">
        <v>0</v>
      </c>
      <c r="P1173" s="62" t="n">
        <v>231.9</v>
      </c>
      <c r="Q1173" s="0" t="n">
        <v>0</v>
      </c>
      <c r="R1173" s="60" t="n">
        <f aca="false">G1173+H1173+I1173</f>
        <v>2.13</v>
      </c>
      <c r="S1173" s="60" t="n">
        <f aca="false">K1173+L1173+M1173+N1173+O1173</f>
        <v>2.57</v>
      </c>
      <c r="T1173" s="60" t="n">
        <f aca="false">L1173+M1173</f>
        <v>1.68</v>
      </c>
      <c r="U1173" s="60" t="n">
        <f aca="false">S1173+J1173</f>
        <v>2.57</v>
      </c>
      <c r="V1173" s="63" t="n">
        <f aca="false">IFERROR(S1173/F1173,0)</f>
        <v>0.546808510638298</v>
      </c>
      <c r="W1173" s="63" t="n">
        <f aca="false">IFERROR(R1173/F1173,0)</f>
        <v>0.453191489361702</v>
      </c>
      <c r="X1173" s="63" t="n">
        <f aca="false">IFERROR(T1173/F1173,0)</f>
        <v>0.357446808510638</v>
      </c>
      <c r="Y1173" s="63" t="n">
        <f aca="false">IFERROR(G1173/F1173,0)</f>
        <v>0</v>
      </c>
      <c r="Z1173" s="59" t="n">
        <f aca="false">IF(E1173&gt;0,F1173*1000000000/E1173,"")</f>
        <v>1681.11351236119</v>
      </c>
      <c r="AA1173" s="63" t="n">
        <f aca="false">IFERROR((R1173+S1173+J1173)/F1173,0)</f>
        <v>1</v>
      </c>
      <c r="AB1173" s="0" t="str">
        <f aca="false">A1173&amp;"|"&amp;D1173</f>
        <v>Lithuania|2020</v>
      </c>
    </row>
    <row r="1174" customFormat="false" ht="15" hidden="false" customHeight="false" outlineLevel="0" collapsed="false">
      <c r="A1174" s="0" t="s">
        <v>292</v>
      </c>
      <c r="B1174" s="0" t="s">
        <v>531</v>
      </c>
      <c r="C1174" s="0" t="s">
        <v>127</v>
      </c>
      <c r="D1174" s="0" t="n">
        <v>2021</v>
      </c>
      <c r="E1174" s="59" t="n">
        <v>2794490</v>
      </c>
      <c r="F1174" s="60" t="n">
        <v>4.3</v>
      </c>
      <c r="G1174" s="61" t="n">
        <v>0</v>
      </c>
      <c r="H1174" s="61" t="n">
        <v>1.22</v>
      </c>
      <c r="I1174" s="61" t="n">
        <v>0.46</v>
      </c>
      <c r="J1174" s="61" t="n">
        <v>0</v>
      </c>
      <c r="K1174" s="61" t="n">
        <v>0.38</v>
      </c>
      <c r="L1174" s="61" t="n">
        <v>0.19</v>
      </c>
      <c r="M1174" s="61" t="n">
        <v>1.36</v>
      </c>
      <c r="N1174" s="61" t="n">
        <v>0.69</v>
      </c>
      <c r="O1174" s="61" t="n">
        <v>0</v>
      </c>
      <c r="P1174" s="62" t="n">
        <v>220.9</v>
      </c>
      <c r="Q1174" s="0" t="n">
        <v>0</v>
      </c>
      <c r="R1174" s="60" t="n">
        <f aca="false">G1174+H1174+I1174</f>
        <v>1.68</v>
      </c>
      <c r="S1174" s="60" t="n">
        <f aca="false">K1174+L1174+M1174+N1174+O1174</f>
        <v>2.62</v>
      </c>
      <c r="T1174" s="60" t="n">
        <f aca="false">L1174+M1174</f>
        <v>1.55</v>
      </c>
      <c r="U1174" s="60" t="n">
        <f aca="false">S1174+J1174</f>
        <v>2.62</v>
      </c>
      <c r="V1174" s="63" t="n">
        <f aca="false">IFERROR(S1174/F1174,0)</f>
        <v>0.609302325581395</v>
      </c>
      <c r="W1174" s="63" t="n">
        <f aca="false">IFERROR(R1174/F1174,0)</f>
        <v>0.390697674418605</v>
      </c>
      <c r="X1174" s="63" t="n">
        <f aca="false">IFERROR(T1174/F1174,0)</f>
        <v>0.36046511627907</v>
      </c>
      <c r="Y1174" s="63" t="n">
        <f aca="false">IFERROR(G1174/F1174,0)</f>
        <v>0</v>
      </c>
      <c r="Z1174" s="59" t="n">
        <f aca="false">IF(E1174&gt;0,F1174*1000000000/E1174,"")</f>
        <v>1538.74231076153</v>
      </c>
      <c r="AA1174" s="63" t="n">
        <f aca="false">IFERROR((R1174+S1174+J1174)/F1174,0)</f>
        <v>1</v>
      </c>
      <c r="AB1174" s="0" t="str">
        <f aca="false">A1174&amp;"|"&amp;D1174</f>
        <v>Lithuania|2021</v>
      </c>
    </row>
    <row r="1175" customFormat="false" ht="15" hidden="false" customHeight="false" outlineLevel="0" collapsed="false">
      <c r="A1175" s="0" t="s">
        <v>292</v>
      </c>
      <c r="B1175" s="0" t="s">
        <v>531</v>
      </c>
      <c r="C1175" s="0" t="s">
        <v>127</v>
      </c>
      <c r="D1175" s="0" t="n">
        <v>2022</v>
      </c>
      <c r="E1175" s="59" t="n">
        <v>2816923</v>
      </c>
      <c r="F1175" s="60" t="n">
        <v>4.04</v>
      </c>
      <c r="G1175" s="61" t="n">
        <v>0</v>
      </c>
      <c r="H1175" s="61" t="n">
        <v>0.51</v>
      </c>
      <c r="I1175" s="61" t="n">
        <v>0.51</v>
      </c>
      <c r="J1175" s="61" t="n">
        <v>0</v>
      </c>
      <c r="K1175" s="61" t="n">
        <v>0.46</v>
      </c>
      <c r="L1175" s="61" t="n">
        <v>0.34</v>
      </c>
      <c r="M1175" s="61" t="n">
        <v>1.51</v>
      </c>
      <c r="N1175" s="61" t="n">
        <v>0.71</v>
      </c>
      <c r="O1175" s="61" t="n">
        <v>0</v>
      </c>
      <c r="P1175" s="62" t="n">
        <v>180.7</v>
      </c>
      <c r="Q1175" s="0" t="n">
        <v>0</v>
      </c>
      <c r="R1175" s="60" t="n">
        <f aca="false">G1175+H1175+I1175</f>
        <v>1.02</v>
      </c>
      <c r="S1175" s="60" t="n">
        <f aca="false">K1175+L1175+M1175+N1175+O1175</f>
        <v>3.02</v>
      </c>
      <c r="T1175" s="60" t="n">
        <f aca="false">L1175+M1175</f>
        <v>1.85</v>
      </c>
      <c r="U1175" s="60" t="n">
        <f aca="false">S1175+J1175</f>
        <v>3.02</v>
      </c>
      <c r="V1175" s="63" t="n">
        <f aca="false">IFERROR(S1175/F1175,0)</f>
        <v>0.747524752475248</v>
      </c>
      <c r="W1175" s="63" t="n">
        <f aca="false">IFERROR(R1175/F1175,0)</f>
        <v>0.252475247524753</v>
      </c>
      <c r="X1175" s="63" t="n">
        <f aca="false">IFERROR(T1175/F1175,0)</f>
        <v>0.457920792079208</v>
      </c>
      <c r="Y1175" s="63" t="n">
        <f aca="false">IFERROR(G1175/F1175,0)</f>
        <v>0</v>
      </c>
      <c r="Z1175" s="59" t="n">
        <f aca="false">IF(E1175&gt;0,F1175*1000000000/E1175,"")</f>
        <v>1434.18900694126</v>
      </c>
      <c r="AA1175" s="63" t="n">
        <f aca="false">IFERROR((R1175+S1175+J1175)/F1175,0)</f>
        <v>1</v>
      </c>
      <c r="AB1175" s="0" t="str">
        <f aca="false">A1175&amp;"|"&amp;D1175</f>
        <v>Lithuania|2022</v>
      </c>
    </row>
    <row r="1176" customFormat="false" ht="15" hidden="false" customHeight="false" outlineLevel="0" collapsed="false">
      <c r="A1176" s="0" t="s">
        <v>292</v>
      </c>
      <c r="B1176" s="0" t="s">
        <v>531</v>
      </c>
      <c r="C1176" s="0" t="s">
        <v>127</v>
      </c>
      <c r="D1176" s="0" t="n">
        <v>2023</v>
      </c>
      <c r="E1176" s="59" t="n">
        <v>2854104</v>
      </c>
      <c r="F1176" s="60" t="n">
        <v>5.3</v>
      </c>
      <c r="G1176" s="61" t="n">
        <v>0</v>
      </c>
      <c r="H1176" s="61" t="n">
        <v>0.58</v>
      </c>
      <c r="I1176" s="61" t="n">
        <v>0.28</v>
      </c>
      <c r="J1176" s="61" t="n">
        <v>0</v>
      </c>
      <c r="K1176" s="61" t="n">
        <v>0.45</v>
      </c>
      <c r="L1176" s="61" t="n">
        <v>0.69</v>
      </c>
      <c r="M1176" s="61" t="n">
        <v>2.54</v>
      </c>
      <c r="N1176" s="61" t="n">
        <v>0.76</v>
      </c>
      <c r="O1176" s="61" t="n">
        <v>0</v>
      </c>
      <c r="P1176" s="62" t="n">
        <v>118.9</v>
      </c>
      <c r="Q1176" s="0" t="n">
        <v>0</v>
      </c>
      <c r="R1176" s="60" t="n">
        <f aca="false">G1176+H1176+I1176</f>
        <v>0.86</v>
      </c>
      <c r="S1176" s="60" t="n">
        <f aca="false">K1176+L1176+M1176+N1176+O1176</f>
        <v>4.44</v>
      </c>
      <c r="T1176" s="60" t="n">
        <f aca="false">L1176+M1176</f>
        <v>3.23</v>
      </c>
      <c r="U1176" s="60" t="n">
        <f aca="false">S1176+J1176</f>
        <v>4.44</v>
      </c>
      <c r="V1176" s="63" t="n">
        <f aca="false">IFERROR(S1176/F1176,0)</f>
        <v>0.837735849056604</v>
      </c>
      <c r="W1176" s="63" t="n">
        <f aca="false">IFERROR(R1176/F1176,0)</f>
        <v>0.162264150943396</v>
      </c>
      <c r="X1176" s="63" t="n">
        <f aca="false">IFERROR(T1176/F1176,0)</f>
        <v>0.609433962264151</v>
      </c>
      <c r="Y1176" s="63" t="n">
        <f aca="false">IFERROR(G1176/F1176,0)</f>
        <v>0</v>
      </c>
      <c r="Z1176" s="59" t="n">
        <f aca="false">IF(E1176&gt;0,F1176*1000000000/E1176,"")</f>
        <v>1856.9750786937</v>
      </c>
      <c r="AA1176" s="63" t="n">
        <f aca="false">IFERROR((R1176+S1176+J1176)/F1176,0)</f>
        <v>1</v>
      </c>
      <c r="AB1176" s="0" t="str">
        <f aca="false">A1176&amp;"|"&amp;D1176</f>
        <v>Lithuania|2023</v>
      </c>
    </row>
    <row r="1177" customFormat="false" ht="15" hidden="false" customHeight="false" outlineLevel="0" collapsed="false">
      <c r="A1177" s="0" t="s">
        <v>292</v>
      </c>
      <c r="B1177" s="0" t="s">
        <v>531</v>
      </c>
      <c r="C1177" s="0" t="s">
        <v>127</v>
      </c>
      <c r="D1177" s="0" t="n">
        <v>2024</v>
      </c>
      <c r="E1177" s="59" t="n">
        <v>2859112</v>
      </c>
      <c r="F1177" s="60" t="n">
        <v>7.39</v>
      </c>
      <c r="G1177" s="61" t="n">
        <v>0</v>
      </c>
      <c r="H1177" s="61" t="n">
        <v>0.84</v>
      </c>
      <c r="I1177" s="61" t="n">
        <v>0.32</v>
      </c>
      <c r="J1177" s="61" t="n">
        <v>0</v>
      </c>
      <c r="K1177" s="61" t="n">
        <v>0.44</v>
      </c>
      <c r="L1177" s="61" t="n">
        <v>1.4</v>
      </c>
      <c r="M1177" s="61" t="n">
        <v>3.41</v>
      </c>
      <c r="N1177" s="61" t="n">
        <v>0.98</v>
      </c>
      <c r="O1177" s="61" t="n">
        <v>0</v>
      </c>
      <c r="P1177" s="62" t="n">
        <v>116.4</v>
      </c>
      <c r="Q1177" s="0" t="n">
        <v>0</v>
      </c>
      <c r="R1177" s="60" t="n">
        <f aca="false">G1177+H1177+I1177</f>
        <v>1.16</v>
      </c>
      <c r="S1177" s="60" t="n">
        <f aca="false">K1177+L1177+M1177+N1177+O1177</f>
        <v>6.23</v>
      </c>
      <c r="T1177" s="60" t="n">
        <f aca="false">L1177+M1177</f>
        <v>4.81</v>
      </c>
      <c r="U1177" s="60" t="n">
        <f aca="false">S1177+J1177</f>
        <v>6.23</v>
      </c>
      <c r="V1177" s="63" t="n">
        <f aca="false">IFERROR(S1177/F1177,0)</f>
        <v>0.843031123139378</v>
      </c>
      <c r="W1177" s="63" t="n">
        <f aca="false">IFERROR(R1177/F1177,0)</f>
        <v>0.156968876860622</v>
      </c>
      <c r="X1177" s="63" t="n">
        <f aca="false">IFERROR(T1177/F1177,0)</f>
        <v>0.650879566982409</v>
      </c>
      <c r="Y1177" s="63" t="n">
        <f aca="false">IFERROR(G1177/F1177,0)</f>
        <v>0</v>
      </c>
      <c r="Z1177" s="59" t="n">
        <f aca="false">IF(E1177&gt;0,F1177*1000000000/E1177,"")</f>
        <v>2584.71861193266</v>
      </c>
      <c r="AA1177" s="63" t="n">
        <f aca="false">IFERROR((R1177+S1177+J1177)/F1177,0)</f>
        <v>1</v>
      </c>
      <c r="AB1177" s="0" t="str">
        <f aca="false">A1177&amp;"|"&amp;D1177</f>
        <v>Lithuania|2024</v>
      </c>
    </row>
    <row r="1178" customFormat="false" ht="15" hidden="false" customHeight="false" outlineLevel="0" collapsed="false">
      <c r="A1178" s="0" t="s">
        <v>292</v>
      </c>
      <c r="B1178" s="0" t="s">
        <v>531</v>
      </c>
      <c r="C1178" s="0" t="s">
        <v>127</v>
      </c>
      <c r="D1178" s="0" t="n">
        <v>2025</v>
      </c>
      <c r="E1178" s="59" t="n">
        <v>2830150</v>
      </c>
      <c r="F1178" s="60" t="n">
        <v>8.89</v>
      </c>
      <c r="G1178" s="61" t="n">
        <v>0</v>
      </c>
      <c r="H1178" s="61" t="n">
        <v>1.47</v>
      </c>
      <c r="I1178" s="61" t="n">
        <v>0.52</v>
      </c>
      <c r="J1178" s="61" t="n">
        <v>0</v>
      </c>
      <c r="K1178" s="61" t="n">
        <v>0.35</v>
      </c>
      <c r="L1178" s="61" t="n">
        <v>1.67</v>
      </c>
      <c r="M1178" s="61" t="n">
        <v>3.99</v>
      </c>
      <c r="N1178" s="61" t="n">
        <v>0.89</v>
      </c>
      <c r="O1178" s="61" t="n">
        <v>0</v>
      </c>
      <c r="P1178" s="62" t="n">
        <v>138.4</v>
      </c>
      <c r="Q1178" s="0" t="n">
        <v>0</v>
      </c>
      <c r="R1178" s="60" t="n">
        <f aca="false">G1178+H1178+I1178</f>
        <v>1.99</v>
      </c>
      <c r="S1178" s="60" t="n">
        <f aca="false">K1178+L1178+M1178+N1178+O1178</f>
        <v>6.9</v>
      </c>
      <c r="T1178" s="60" t="n">
        <f aca="false">L1178+M1178</f>
        <v>5.66</v>
      </c>
      <c r="U1178" s="60" t="n">
        <f aca="false">S1178+J1178</f>
        <v>6.9</v>
      </c>
      <c r="V1178" s="63" t="n">
        <f aca="false">IFERROR(S1178/F1178,0)</f>
        <v>0.77615298087739</v>
      </c>
      <c r="W1178" s="63" t="n">
        <f aca="false">IFERROR(R1178/F1178,0)</f>
        <v>0.22384701912261</v>
      </c>
      <c r="X1178" s="63" t="n">
        <f aca="false">IFERROR(T1178/F1178,0)</f>
        <v>0.636670416197975</v>
      </c>
      <c r="Y1178" s="63" t="n">
        <f aca="false">IFERROR(G1178/F1178,0)</f>
        <v>0</v>
      </c>
      <c r="Z1178" s="59" t="n">
        <f aca="false">IF(E1178&gt;0,F1178*1000000000/E1178,"")</f>
        <v>3141.17626274226</v>
      </c>
      <c r="AA1178" s="63" t="n">
        <f aca="false">IFERROR((R1178+S1178+J1178)/F1178,0)</f>
        <v>1</v>
      </c>
      <c r="AB1178" s="0" t="str">
        <f aca="false">A1178&amp;"|"&amp;D1178</f>
        <v>Lithuania|2025</v>
      </c>
    </row>
    <row r="1179" customFormat="false" ht="15" hidden="false" customHeight="false" outlineLevel="0" collapsed="false">
      <c r="A1179" s="0" t="s">
        <v>293</v>
      </c>
      <c r="B1179" s="0" t="s">
        <v>532</v>
      </c>
      <c r="C1179" s="0" t="s">
        <v>127</v>
      </c>
      <c r="D1179" s="0" t="n">
        <v>2015</v>
      </c>
      <c r="E1179" s="59" t="n">
        <v>569540</v>
      </c>
      <c r="F1179" s="60" t="n">
        <v>1.34</v>
      </c>
      <c r="G1179" s="61" t="n">
        <v>0</v>
      </c>
      <c r="H1179" s="61" t="n">
        <v>0.84</v>
      </c>
      <c r="I1179" s="61" t="n">
        <v>0.07</v>
      </c>
      <c r="J1179" s="61" t="n">
        <v>0</v>
      </c>
      <c r="K1179" s="61" t="n">
        <v>0.1</v>
      </c>
      <c r="L1179" s="61" t="n">
        <v>0.1</v>
      </c>
      <c r="M1179" s="61" t="n">
        <v>0.1</v>
      </c>
      <c r="N1179" s="61" t="n">
        <v>0.13</v>
      </c>
      <c r="O1179" s="61" t="n">
        <v>0</v>
      </c>
      <c r="P1179" s="62" t="n">
        <v>268.7</v>
      </c>
      <c r="Q1179" s="0" t="n">
        <v>0</v>
      </c>
      <c r="R1179" s="60" t="n">
        <f aca="false">G1179+H1179+I1179</f>
        <v>0.91</v>
      </c>
      <c r="S1179" s="60" t="n">
        <f aca="false">K1179+L1179+M1179+N1179+O1179</f>
        <v>0.43</v>
      </c>
      <c r="T1179" s="60" t="n">
        <f aca="false">L1179+M1179</f>
        <v>0.2</v>
      </c>
      <c r="U1179" s="60" t="n">
        <f aca="false">S1179+J1179</f>
        <v>0.43</v>
      </c>
      <c r="V1179" s="63" t="n">
        <f aca="false">IFERROR(S1179/F1179,0)</f>
        <v>0.32089552238806</v>
      </c>
      <c r="W1179" s="63" t="n">
        <f aca="false">IFERROR(R1179/F1179,0)</f>
        <v>0.67910447761194</v>
      </c>
      <c r="X1179" s="63" t="n">
        <f aca="false">IFERROR(T1179/F1179,0)</f>
        <v>0.149253731343284</v>
      </c>
      <c r="Y1179" s="63" t="n">
        <f aca="false">IFERROR(G1179/F1179,0)</f>
        <v>0</v>
      </c>
      <c r="Z1179" s="59" t="n">
        <f aca="false">IF(E1179&gt;0,F1179*1000000000/E1179,"")</f>
        <v>2352.77592443024</v>
      </c>
      <c r="AA1179" s="63" t="n">
        <f aca="false">IFERROR((R1179+S1179+J1179)/F1179,0)</f>
        <v>1</v>
      </c>
      <c r="AB1179" s="0" t="str">
        <f aca="false">A1179&amp;"|"&amp;D1179</f>
        <v>Luxembourg|2015</v>
      </c>
    </row>
    <row r="1180" customFormat="false" ht="15" hidden="false" customHeight="false" outlineLevel="0" collapsed="false">
      <c r="A1180" s="0" t="s">
        <v>293</v>
      </c>
      <c r="B1180" s="0" t="s">
        <v>532</v>
      </c>
      <c r="C1180" s="0" t="s">
        <v>127</v>
      </c>
      <c r="D1180" s="0" t="n">
        <v>2016</v>
      </c>
      <c r="E1180" s="59" t="n">
        <v>583511</v>
      </c>
      <c r="F1180" s="60" t="n">
        <v>0.79</v>
      </c>
      <c r="G1180" s="61" t="n">
        <v>0</v>
      </c>
      <c r="H1180" s="61" t="n">
        <v>0.26</v>
      </c>
      <c r="I1180" s="61" t="n">
        <v>0.07</v>
      </c>
      <c r="J1180" s="61" t="n">
        <v>0</v>
      </c>
      <c r="K1180" s="61" t="n">
        <v>0.12</v>
      </c>
      <c r="L1180" s="61" t="n">
        <v>0.1</v>
      </c>
      <c r="M1180" s="61" t="n">
        <v>0.1</v>
      </c>
      <c r="N1180" s="61" t="n">
        <v>0.14</v>
      </c>
      <c r="O1180" s="61" t="n">
        <v>0</v>
      </c>
      <c r="P1180" s="62" t="n">
        <v>215.2</v>
      </c>
      <c r="Q1180" s="0" t="n">
        <v>0</v>
      </c>
      <c r="R1180" s="60" t="n">
        <f aca="false">G1180+H1180+I1180</f>
        <v>0.33</v>
      </c>
      <c r="S1180" s="60" t="n">
        <f aca="false">K1180+L1180+M1180+N1180+O1180</f>
        <v>0.46</v>
      </c>
      <c r="T1180" s="60" t="n">
        <f aca="false">L1180+M1180</f>
        <v>0.2</v>
      </c>
      <c r="U1180" s="60" t="n">
        <f aca="false">S1180+J1180</f>
        <v>0.46</v>
      </c>
      <c r="V1180" s="63" t="n">
        <f aca="false">IFERROR(S1180/F1180,0)</f>
        <v>0.582278481012658</v>
      </c>
      <c r="W1180" s="63" t="n">
        <f aca="false">IFERROR(R1180/F1180,0)</f>
        <v>0.417721518987342</v>
      </c>
      <c r="X1180" s="63" t="n">
        <f aca="false">IFERROR(T1180/F1180,0)</f>
        <v>0.253164556962025</v>
      </c>
      <c r="Y1180" s="63" t="n">
        <f aca="false">IFERROR(G1180/F1180,0)</f>
        <v>0</v>
      </c>
      <c r="Z1180" s="59" t="n">
        <f aca="false">IF(E1180&gt;0,F1180*1000000000/E1180,"")</f>
        <v>1353.8733631414</v>
      </c>
      <c r="AA1180" s="63" t="n">
        <f aca="false">IFERROR((R1180+S1180+J1180)/F1180,0)</f>
        <v>1</v>
      </c>
      <c r="AB1180" s="0" t="str">
        <f aca="false">A1180&amp;"|"&amp;D1180</f>
        <v>Luxembourg|2016</v>
      </c>
    </row>
    <row r="1181" customFormat="false" ht="15" hidden="false" customHeight="false" outlineLevel="0" collapsed="false">
      <c r="A1181" s="0" t="s">
        <v>293</v>
      </c>
      <c r="B1181" s="0" t="s">
        <v>532</v>
      </c>
      <c r="C1181" s="0" t="s">
        <v>127</v>
      </c>
      <c r="D1181" s="0" t="n">
        <v>2017</v>
      </c>
      <c r="E1181" s="59" t="n">
        <v>596506</v>
      </c>
      <c r="F1181" s="60" t="n">
        <v>0.9</v>
      </c>
      <c r="G1181" s="61" t="n">
        <v>0</v>
      </c>
      <c r="H1181" s="61" t="n">
        <v>0.22</v>
      </c>
      <c r="I1181" s="61" t="n">
        <v>0.08</v>
      </c>
      <c r="J1181" s="61" t="n">
        <v>0</v>
      </c>
      <c r="K1181" s="61" t="n">
        <v>0.09</v>
      </c>
      <c r="L1181" s="61" t="n">
        <v>0.11</v>
      </c>
      <c r="M1181" s="61" t="n">
        <v>0.23</v>
      </c>
      <c r="N1181" s="61" t="n">
        <v>0.17</v>
      </c>
      <c r="O1181" s="61" t="n">
        <v>0</v>
      </c>
      <c r="P1181" s="62" t="n">
        <v>188.9</v>
      </c>
      <c r="Q1181" s="0" t="n">
        <v>0</v>
      </c>
      <c r="R1181" s="60" t="n">
        <f aca="false">G1181+H1181+I1181</f>
        <v>0.3</v>
      </c>
      <c r="S1181" s="60" t="n">
        <f aca="false">K1181+L1181+M1181+N1181+O1181</f>
        <v>0.6</v>
      </c>
      <c r="T1181" s="60" t="n">
        <f aca="false">L1181+M1181</f>
        <v>0.34</v>
      </c>
      <c r="U1181" s="60" t="n">
        <f aca="false">S1181+J1181</f>
        <v>0.6</v>
      </c>
      <c r="V1181" s="63" t="n">
        <f aca="false">IFERROR(S1181/F1181,0)</f>
        <v>0.666666666666667</v>
      </c>
      <c r="W1181" s="63" t="n">
        <f aca="false">IFERROR(R1181/F1181,0)</f>
        <v>0.333333333333333</v>
      </c>
      <c r="X1181" s="63" t="n">
        <f aca="false">IFERROR(T1181/F1181,0)</f>
        <v>0.377777777777778</v>
      </c>
      <c r="Y1181" s="63" t="n">
        <f aca="false">IFERROR(G1181/F1181,0)</f>
        <v>0</v>
      </c>
      <c r="Z1181" s="59" t="n">
        <f aca="false">IF(E1181&gt;0,F1181*1000000000/E1181,"")</f>
        <v>1508.78616476615</v>
      </c>
      <c r="AA1181" s="63" t="n">
        <f aca="false">IFERROR((R1181+S1181+J1181)/F1181,0)</f>
        <v>1</v>
      </c>
      <c r="AB1181" s="0" t="str">
        <f aca="false">A1181&amp;"|"&amp;D1181</f>
        <v>Luxembourg|2017</v>
      </c>
    </row>
    <row r="1182" customFormat="false" ht="15" hidden="false" customHeight="false" outlineLevel="0" collapsed="false">
      <c r="A1182" s="0" t="s">
        <v>293</v>
      </c>
      <c r="B1182" s="0" t="s">
        <v>532</v>
      </c>
      <c r="C1182" s="0" t="s">
        <v>127</v>
      </c>
      <c r="D1182" s="0" t="n">
        <v>2018</v>
      </c>
      <c r="E1182" s="59" t="n">
        <v>608109</v>
      </c>
      <c r="F1182" s="60" t="n">
        <v>0.96</v>
      </c>
      <c r="G1182" s="61" t="n">
        <v>0</v>
      </c>
      <c r="H1182" s="61" t="n">
        <v>0.2</v>
      </c>
      <c r="I1182" s="61" t="n">
        <v>0.08</v>
      </c>
      <c r="J1182" s="61" t="n">
        <v>0</v>
      </c>
      <c r="K1182" s="61" t="n">
        <v>0.09</v>
      </c>
      <c r="L1182" s="61" t="n">
        <v>0.12</v>
      </c>
      <c r="M1182" s="61" t="n">
        <v>0.25</v>
      </c>
      <c r="N1182" s="61" t="n">
        <v>0.22</v>
      </c>
      <c r="O1182" s="61" t="n">
        <v>0</v>
      </c>
      <c r="P1182" s="62" t="n">
        <v>187.5</v>
      </c>
      <c r="Q1182" s="0" t="n">
        <v>0</v>
      </c>
      <c r="R1182" s="60" t="n">
        <f aca="false">G1182+H1182+I1182</f>
        <v>0.28</v>
      </c>
      <c r="S1182" s="60" t="n">
        <f aca="false">K1182+L1182+M1182+N1182+O1182</f>
        <v>0.68</v>
      </c>
      <c r="T1182" s="60" t="n">
        <f aca="false">L1182+M1182</f>
        <v>0.37</v>
      </c>
      <c r="U1182" s="60" t="n">
        <f aca="false">S1182+J1182</f>
        <v>0.68</v>
      </c>
      <c r="V1182" s="63" t="n">
        <f aca="false">IFERROR(S1182/F1182,0)</f>
        <v>0.708333333333333</v>
      </c>
      <c r="W1182" s="63" t="n">
        <f aca="false">IFERROR(R1182/F1182,0)</f>
        <v>0.291666666666667</v>
      </c>
      <c r="X1182" s="63" t="n">
        <f aca="false">IFERROR(T1182/F1182,0)</f>
        <v>0.385416666666667</v>
      </c>
      <c r="Y1182" s="63" t="n">
        <f aca="false">IFERROR(G1182/F1182,0)</f>
        <v>0</v>
      </c>
      <c r="Z1182" s="59" t="n">
        <f aca="false">IF(E1182&gt;0,F1182*1000000000/E1182,"")</f>
        <v>1578.66435129228</v>
      </c>
      <c r="AA1182" s="63" t="n">
        <f aca="false">IFERROR((R1182+S1182+J1182)/F1182,0)</f>
        <v>1</v>
      </c>
      <c r="AB1182" s="0" t="str">
        <f aca="false">A1182&amp;"|"&amp;D1182</f>
        <v>Luxembourg|2018</v>
      </c>
    </row>
    <row r="1183" customFormat="false" ht="15" hidden="false" customHeight="false" outlineLevel="0" collapsed="false">
      <c r="A1183" s="0" t="s">
        <v>293</v>
      </c>
      <c r="B1183" s="0" t="s">
        <v>532</v>
      </c>
      <c r="C1183" s="0" t="s">
        <v>127</v>
      </c>
      <c r="D1183" s="0" t="n">
        <v>2019</v>
      </c>
      <c r="E1183" s="59" t="n">
        <v>620167</v>
      </c>
      <c r="F1183" s="60" t="n">
        <v>1.07</v>
      </c>
      <c r="G1183" s="61" t="n">
        <v>0</v>
      </c>
      <c r="H1183" s="61" t="n">
        <v>0.19</v>
      </c>
      <c r="I1183" s="61" t="n">
        <v>0.08</v>
      </c>
      <c r="J1183" s="61" t="n">
        <v>0</v>
      </c>
      <c r="K1183" s="61" t="n">
        <v>0.11</v>
      </c>
      <c r="L1183" s="61" t="n">
        <v>0.13</v>
      </c>
      <c r="M1183" s="61" t="n">
        <v>0.28</v>
      </c>
      <c r="N1183" s="61" t="n">
        <v>0.28</v>
      </c>
      <c r="O1183" s="61" t="n">
        <v>0</v>
      </c>
      <c r="P1183" s="62" t="n">
        <v>168.2</v>
      </c>
      <c r="Q1183" s="0" t="n">
        <v>0</v>
      </c>
      <c r="R1183" s="60" t="n">
        <f aca="false">G1183+H1183+I1183</f>
        <v>0.27</v>
      </c>
      <c r="S1183" s="60" t="n">
        <f aca="false">K1183+L1183+M1183+N1183+O1183</f>
        <v>0.8</v>
      </c>
      <c r="T1183" s="60" t="n">
        <f aca="false">L1183+M1183</f>
        <v>0.41</v>
      </c>
      <c r="U1183" s="60" t="n">
        <f aca="false">S1183+J1183</f>
        <v>0.8</v>
      </c>
      <c r="V1183" s="63" t="n">
        <f aca="false">IFERROR(S1183/F1183,0)</f>
        <v>0.747663551401869</v>
      </c>
      <c r="W1183" s="63" t="n">
        <f aca="false">IFERROR(R1183/F1183,0)</f>
        <v>0.252336448598131</v>
      </c>
      <c r="X1183" s="63" t="n">
        <f aca="false">IFERROR(T1183/F1183,0)</f>
        <v>0.383177570093458</v>
      </c>
      <c r="Y1183" s="63" t="n">
        <f aca="false">IFERROR(G1183/F1183,0)</f>
        <v>0</v>
      </c>
      <c r="Z1183" s="59" t="n">
        <f aca="false">IF(E1183&gt;0,F1183*1000000000/E1183,"")</f>
        <v>1725.34172247153</v>
      </c>
      <c r="AA1183" s="63" t="n">
        <f aca="false">IFERROR((R1183+S1183+J1183)/F1183,0)</f>
        <v>1</v>
      </c>
      <c r="AB1183" s="0" t="str">
        <f aca="false">A1183&amp;"|"&amp;D1183</f>
        <v>Luxembourg|2019</v>
      </c>
    </row>
    <row r="1184" customFormat="false" ht="15" hidden="false" customHeight="false" outlineLevel="0" collapsed="false">
      <c r="A1184" s="0" t="s">
        <v>293</v>
      </c>
      <c r="B1184" s="0" t="s">
        <v>532</v>
      </c>
      <c r="C1184" s="0" t="s">
        <v>127</v>
      </c>
      <c r="D1184" s="0" t="n">
        <v>2020</v>
      </c>
      <c r="E1184" s="59" t="n">
        <v>630597</v>
      </c>
      <c r="F1184" s="60" t="n">
        <v>1.22</v>
      </c>
      <c r="G1184" s="61" t="n">
        <v>0</v>
      </c>
      <c r="H1184" s="61" t="n">
        <v>0.18</v>
      </c>
      <c r="I1184" s="61" t="n">
        <v>0.07</v>
      </c>
      <c r="J1184" s="61" t="n">
        <v>0</v>
      </c>
      <c r="K1184" s="61" t="n">
        <v>0.09</v>
      </c>
      <c r="L1184" s="61" t="n">
        <v>0.16</v>
      </c>
      <c r="M1184" s="61" t="n">
        <v>0.35</v>
      </c>
      <c r="N1184" s="61" t="n">
        <v>0.37</v>
      </c>
      <c r="O1184" s="61" t="n">
        <v>0</v>
      </c>
      <c r="P1184" s="62" t="n">
        <v>163.9</v>
      </c>
      <c r="Q1184" s="0" t="n">
        <v>0</v>
      </c>
      <c r="R1184" s="60" t="n">
        <f aca="false">G1184+H1184+I1184</f>
        <v>0.25</v>
      </c>
      <c r="S1184" s="60" t="n">
        <f aca="false">K1184+L1184+M1184+N1184+O1184</f>
        <v>0.97</v>
      </c>
      <c r="T1184" s="60" t="n">
        <f aca="false">L1184+M1184</f>
        <v>0.51</v>
      </c>
      <c r="U1184" s="60" t="n">
        <f aca="false">S1184+J1184</f>
        <v>0.97</v>
      </c>
      <c r="V1184" s="63" t="n">
        <f aca="false">IFERROR(S1184/F1184,0)</f>
        <v>0.795081967213115</v>
      </c>
      <c r="W1184" s="63" t="n">
        <f aca="false">IFERROR(R1184/F1184,0)</f>
        <v>0.204918032786885</v>
      </c>
      <c r="X1184" s="63" t="n">
        <f aca="false">IFERROR(T1184/F1184,0)</f>
        <v>0.418032786885246</v>
      </c>
      <c r="Y1184" s="63" t="n">
        <f aca="false">IFERROR(G1184/F1184,0)</f>
        <v>0</v>
      </c>
      <c r="Z1184" s="59" t="n">
        <f aca="false">IF(E1184&gt;0,F1184*1000000000/E1184,"")</f>
        <v>1934.67460200413</v>
      </c>
      <c r="AA1184" s="63" t="n">
        <f aca="false">IFERROR((R1184+S1184+J1184)/F1184,0)</f>
        <v>1</v>
      </c>
      <c r="AB1184" s="0" t="str">
        <f aca="false">A1184&amp;"|"&amp;D1184</f>
        <v>Luxembourg|2020</v>
      </c>
    </row>
    <row r="1185" customFormat="false" ht="15" hidden="false" customHeight="false" outlineLevel="0" collapsed="false">
      <c r="A1185" s="0" t="s">
        <v>293</v>
      </c>
      <c r="B1185" s="0" t="s">
        <v>532</v>
      </c>
      <c r="C1185" s="0" t="s">
        <v>127</v>
      </c>
      <c r="D1185" s="0" t="n">
        <v>2021</v>
      </c>
      <c r="E1185" s="59" t="n">
        <v>640276</v>
      </c>
      <c r="F1185" s="60" t="n">
        <v>1.23</v>
      </c>
      <c r="G1185" s="61" t="n">
        <v>0</v>
      </c>
      <c r="H1185" s="61" t="n">
        <v>0.17</v>
      </c>
      <c r="I1185" s="61" t="n">
        <v>0.07</v>
      </c>
      <c r="J1185" s="61" t="n">
        <v>0</v>
      </c>
      <c r="K1185" s="61" t="n">
        <v>0.11</v>
      </c>
      <c r="L1185" s="61" t="n">
        <v>0.18</v>
      </c>
      <c r="M1185" s="61" t="n">
        <v>0.31</v>
      </c>
      <c r="N1185" s="61" t="n">
        <v>0.39</v>
      </c>
      <c r="O1185" s="61" t="n">
        <v>0</v>
      </c>
      <c r="P1185" s="62" t="n">
        <v>162.6</v>
      </c>
      <c r="Q1185" s="0" t="n">
        <v>0</v>
      </c>
      <c r="R1185" s="60" t="n">
        <f aca="false">G1185+H1185+I1185</f>
        <v>0.24</v>
      </c>
      <c r="S1185" s="60" t="n">
        <f aca="false">K1185+L1185+M1185+N1185+O1185</f>
        <v>0.99</v>
      </c>
      <c r="T1185" s="60" t="n">
        <f aca="false">L1185+M1185</f>
        <v>0.49</v>
      </c>
      <c r="U1185" s="60" t="n">
        <f aca="false">S1185+J1185</f>
        <v>0.99</v>
      </c>
      <c r="V1185" s="63" t="n">
        <f aca="false">IFERROR(S1185/F1185,0)</f>
        <v>0.804878048780488</v>
      </c>
      <c r="W1185" s="63" t="n">
        <f aca="false">IFERROR(R1185/F1185,0)</f>
        <v>0.195121951219512</v>
      </c>
      <c r="X1185" s="63" t="n">
        <f aca="false">IFERROR(T1185/F1185,0)</f>
        <v>0.398373983739837</v>
      </c>
      <c r="Y1185" s="63" t="n">
        <f aca="false">IFERROR(G1185/F1185,0)</f>
        <v>0</v>
      </c>
      <c r="Z1185" s="59" t="n">
        <f aca="false">IF(E1185&gt;0,F1185*1000000000/E1185,"")</f>
        <v>1921.04654867588</v>
      </c>
      <c r="AA1185" s="63" t="n">
        <f aca="false">IFERROR((R1185+S1185+J1185)/F1185,0)</f>
        <v>1</v>
      </c>
      <c r="AB1185" s="0" t="str">
        <f aca="false">A1185&amp;"|"&amp;D1185</f>
        <v>Luxembourg|2021</v>
      </c>
    </row>
    <row r="1186" customFormat="false" ht="15" hidden="false" customHeight="false" outlineLevel="0" collapsed="false">
      <c r="A1186" s="0" t="s">
        <v>293</v>
      </c>
      <c r="B1186" s="0" t="s">
        <v>532</v>
      </c>
      <c r="C1186" s="0" t="s">
        <v>127</v>
      </c>
      <c r="D1186" s="0" t="n">
        <v>2022</v>
      </c>
      <c r="E1186" s="59" t="n">
        <v>653315</v>
      </c>
      <c r="F1186" s="60" t="n">
        <v>1.21</v>
      </c>
      <c r="G1186" s="61" t="n">
        <v>0</v>
      </c>
      <c r="H1186" s="61" t="n">
        <v>0.1</v>
      </c>
      <c r="I1186" s="61" t="n">
        <v>0.07</v>
      </c>
      <c r="J1186" s="61" t="n">
        <v>0</v>
      </c>
      <c r="K1186" s="61" t="n">
        <v>0.06</v>
      </c>
      <c r="L1186" s="61" t="n">
        <v>0.28</v>
      </c>
      <c r="M1186" s="61" t="n">
        <v>0.31</v>
      </c>
      <c r="N1186" s="61" t="n">
        <v>0.39</v>
      </c>
      <c r="O1186" s="61" t="n">
        <v>0</v>
      </c>
      <c r="P1186" s="62" t="n">
        <v>140.5</v>
      </c>
      <c r="Q1186" s="0" t="n">
        <v>0</v>
      </c>
      <c r="R1186" s="60" t="n">
        <f aca="false">G1186+H1186+I1186</f>
        <v>0.17</v>
      </c>
      <c r="S1186" s="60" t="n">
        <f aca="false">K1186+L1186+M1186+N1186+O1186</f>
        <v>1.04</v>
      </c>
      <c r="T1186" s="60" t="n">
        <f aca="false">L1186+M1186</f>
        <v>0.59</v>
      </c>
      <c r="U1186" s="60" t="n">
        <f aca="false">S1186+J1186</f>
        <v>1.04</v>
      </c>
      <c r="V1186" s="63" t="n">
        <f aca="false">IFERROR(S1186/F1186,0)</f>
        <v>0.859504132231405</v>
      </c>
      <c r="W1186" s="63" t="n">
        <f aca="false">IFERROR(R1186/F1186,0)</f>
        <v>0.140495867768595</v>
      </c>
      <c r="X1186" s="63" t="n">
        <f aca="false">IFERROR(T1186/F1186,0)</f>
        <v>0.487603305785124</v>
      </c>
      <c r="Y1186" s="63" t="n">
        <f aca="false">IFERROR(G1186/F1186,0)</f>
        <v>0</v>
      </c>
      <c r="Z1186" s="59" t="n">
        <f aca="false">IF(E1186&gt;0,F1186*1000000000/E1186,"")</f>
        <v>1852.09278831804</v>
      </c>
      <c r="AA1186" s="63" t="n">
        <f aca="false">IFERROR((R1186+S1186+J1186)/F1186,0)</f>
        <v>1</v>
      </c>
      <c r="AB1186" s="0" t="str">
        <f aca="false">A1186&amp;"|"&amp;D1186</f>
        <v>Luxembourg|2022</v>
      </c>
    </row>
    <row r="1187" customFormat="false" ht="15" hidden="false" customHeight="false" outlineLevel="0" collapsed="false">
      <c r="A1187" s="0" t="s">
        <v>293</v>
      </c>
      <c r="B1187" s="0" t="s">
        <v>532</v>
      </c>
      <c r="C1187" s="0" t="s">
        <v>127</v>
      </c>
      <c r="D1187" s="0" t="n">
        <v>2023</v>
      </c>
      <c r="E1187" s="59" t="n">
        <v>665101</v>
      </c>
      <c r="F1187" s="60" t="n">
        <v>1.41</v>
      </c>
      <c r="G1187" s="61" t="n">
        <v>0</v>
      </c>
      <c r="H1187" s="61" t="n">
        <v>0.09</v>
      </c>
      <c r="I1187" s="61" t="n">
        <v>0.06</v>
      </c>
      <c r="J1187" s="61" t="n">
        <v>0</v>
      </c>
      <c r="K1187" s="61" t="n">
        <v>0.09</v>
      </c>
      <c r="L1187" s="61" t="n">
        <v>0.29</v>
      </c>
      <c r="M1187" s="61" t="n">
        <v>0.5</v>
      </c>
      <c r="N1187" s="61" t="n">
        <v>0.38</v>
      </c>
      <c r="O1187" s="61" t="n">
        <v>0</v>
      </c>
      <c r="P1187" s="62" t="n">
        <v>120.6</v>
      </c>
      <c r="Q1187" s="0" t="n">
        <v>0</v>
      </c>
      <c r="R1187" s="60" t="n">
        <f aca="false">G1187+H1187+I1187</f>
        <v>0.15</v>
      </c>
      <c r="S1187" s="60" t="n">
        <f aca="false">K1187+L1187+M1187+N1187+O1187</f>
        <v>1.26</v>
      </c>
      <c r="T1187" s="60" t="n">
        <f aca="false">L1187+M1187</f>
        <v>0.79</v>
      </c>
      <c r="U1187" s="60" t="n">
        <f aca="false">S1187+J1187</f>
        <v>1.26</v>
      </c>
      <c r="V1187" s="63" t="n">
        <f aca="false">IFERROR(S1187/F1187,0)</f>
        <v>0.893617021276596</v>
      </c>
      <c r="W1187" s="63" t="n">
        <f aca="false">IFERROR(R1187/F1187,0)</f>
        <v>0.106382978723404</v>
      </c>
      <c r="X1187" s="63" t="n">
        <f aca="false">IFERROR(T1187/F1187,0)</f>
        <v>0.560283687943262</v>
      </c>
      <c r="Y1187" s="63" t="n">
        <f aca="false">IFERROR(G1187/F1187,0)</f>
        <v>0</v>
      </c>
      <c r="Z1187" s="59" t="n">
        <f aca="false">IF(E1187&gt;0,F1187*1000000000/E1187,"")</f>
        <v>2119.97877014168</v>
      </c>
      <c r="AA1187" s="63" t="n">
        <f aca="false">IFERROR((R1187+S1187+J1187)/F1187,0)</f>
        <v>1</v>
      </c>
      <c r="AB1187" s="0" t="str">
        <f aca="false">A1187&amp;"|"&amp;D1187</f>
        <v>Luxembourg|2023</v>
      </c>
    </row>
    <row r="1188" customFormat="false" ht="15" hidden="false" customHeight="false" outlineLevel="0" collapsed="false">
      <c r="A1188" s="0" t="s">
        <v>293</v>
      </c>
      <c r="B1188" s="0" t="s">
        <v>532</v>
      </c>
      <c r="C1188" s="0" t="s">
        <v>127</v>
      </c>
      <c r="D1188" s="0" t="n">
        <v>2024</v>
      </c>
      <c r="E1188" s="59" t="n">
        <v>673042</v>
      </c>
      <c r="F1188" s="60" t="n">
        <v>1.51</v>
      </c>
      <c r="G1188" s="61" t="n">
        <v>0</v>
      </c>
      <c r="H1188" s="61" t="n">
        <v>0.07</v>
      </c>
      <c r="I1188" s="61" t="n">
        <v>0.07</v>
      </c>
      <c r="J1188" s="61" t="n">
        <v>0</v>
      </c>
      <c r="K1188" s="61" t="n">
        <v>0.11</v>
      </c>
      <c r="L1188" s="61" t="n">
        <v>0.36</v>
      </c>
      <c r="M1188" s="61" t="n">
        <v>0.46</v>
      </c>
      <c r="N1188" s="61" t="n">
        <v>0.44</v>
      </c>
      <c r="O1188" s="61" t="n">
        <v>0</v>
      </c>
      <c r="P1188" s="62" t="n">
        <v>132.4</v>
      </c>
      <c r="Q1188" s="0" t="n">
        <v>0</v>
      </c>
      <c r="R1188" s="60" t="n">
        <f aca="false">G1188+H1188+I1188</f>
        <v>0.14</v>
      </c>
      <c r="S1188" s="60" t="n">
        <f aca="false">K1188+L1188+M1188+N1188+O1188</f>
        <v>1.37</v>
      </c>
      <c r="T1188" s="60" t="n">
        <f aca="false">L1188+M1188</f>
        <v>0.82</v>
      </c>
      <c r="U1188" s="60" t="n">
        <f aca="false">S1188+J1188</f>
        <v>1.37</v>
      </c>
      <c r="V1188" s="63" t="n">
        <f aca="false">IFERROR(S1188/F1188,0)</f>
        <v>0.907284768211921</v>
      </c>
      <c r="W1188" s="63" t="n">
        <f aca="false">IFERROR(R1188/F1188,0)</f>
        <v>0.0927152317880795</v>
      </c>
      <c r="X1188" s="63" t="n">
        <f aca="false">IFERROR(T1188/F1188,0)</f>
        <v>0.543046357615894</v>
      </c>
      <c r="Y1188" s="63" t="n">
        <f aca="false">IFERROR(G1188/F1188,0)</f>
        <v>0</v>
      </c>
      <c r="Z1188" s="59" t="n">
        <f aca="false">IF(E1188&gt;0,F1188*1000000000/E1188,"")</f>
        <v>2243.54497936236</v>
      </c>
      <c r="AA1188" s="63" t="n">
        <f aca="false">IFERROR((R1188+S1188+J1188)/F1188,0)</f>
        <v>1</v>
      </c>
      <c r="AB1188" s="0" t="str">
        <f aca="false">A1188&amp;"|"&amp;D1188</f>
        <v>Luxembourg|2024</v>
      </c>
    </row>
    <row r="1189" customFormat="false" ht="15" hidden="false" customHeight="false" outlineLevel="0" collapsed="false">
      <c r="A1189" s="0" t="s">
        <v>293</v>
      </c>
      <c r="B1189" s="0" t="s">
        <v>532</v>
      </c>
      <c r="C1189" s="0" t="s">
        <v>127</v>
      </c>
      <c r="D1189" s="0" t="n">
        <v>2025</v>
      </c>
      <c r="E1189" s="59" t="n">
        <v>680454</v>
      </c>
      <c r="F1189" s="60" t="n">
        <v>1.54</v>
      </c>
      <c r="G1189" s="61" t="n">
        <v>0</v>
      </c>
      <c r="H1189" s="61" t="n">
        <v>0.06</v>
      </c>
      <c r="I1189" s="61" t="n">
        <v>0.07</v>
      </c>
      <c r="J1189" s="61" t="n">
        <v>0</v>
      </c>
      <c r="K1189" s="61" t="n">
        <v>0.05</v>
      </c>
      <c r="L1189" s="61" t="n">
        <v>0.47</v>
      </c>
      <c r="M1189" s="61" t="n">
        <v>0.47</v>
      </c>
      <c r="N1189" s="61" t="n">
        <v>0.42</v>
      </c>
      <c r="O1189" s="61" t="n">
        <v>0</v>
      </c>
      <c r="P1189" s="62" t="n">
        <v>123.4</v>
      </c>
      <c r="Q1189" s="0" t="n">
        <v>0</v>
      </c>
      <c r="R1189" s="60" t="n">
        <f aca="false">G1189+H1189+I1189</f>
        <v>0.13</v>
      </c>
      <c r="S1189" s="60" t="n">
        <f aca="false">K1189+L1189+M1189+N1189+O1189</f>
        <v>1.41</v>
      </c>
      <c r="T1189" s="60" t="n">
        <f aca="false">L1189+M1189</f>
        <v>0.94</v>
      </c>
      <c r="U1189" s="60" t="n">
        <f aca="false">S1189+J1189</f>
        <v>1.41</v>
      </c>
      <c r="V1189" s="63" t="n">
        <f aca="false">IFERROR(S1189/F1189,0)</f>
        <v>0.915584415584416</v>
      </c>
      <c r="W1189" s="63" t="n">
        <f aca="false">IFERROR(R1189/F1189,0)</f>
        <v>0.0844155844155844</v>
      </c>
      <c r="X1189" s="63" t="n">
        <f aca="false">IFERROR(T1189/F1189,0)</f>
        <v>0.61038961038961</v>
      </c>
      <c r="Y1189" s="63" t="n">
        <f aca="false">IFERROR(G1189/F1189,0)</f>
        <v>0</v>
      </c>
      <c r="Z1189" s="59" t="n">
        <f aca="false">IF(E1189&gt;0,F1189*1000000000/E1189,"")</f>
        <v>2263.19486695647</v>
      </c>
      <c r="AA1189" s="63" t="n">
        <f aca="false">IFERROR((R1189+S1189+J1189)/F1189,0)</f>
        <v>1</v>
      </c>
      <c r="AB1189" s="0" t="str">
        <f aca="false">A1189&amp;"|"&amp;D1189</f>
        <v>Luxembourg|2025</v>
      </c>
    </row>
    <row r="1190" customFormat="false" ht="15" hidden="false" customHeight="false" outlineLevel="0" collapsed="false">
      <c r="A1190" s="0" t="s">
        <v>294</v>
      </c>
      <c r="B1190" s="0" t="s">
        <v>533</v>
      </c>
      <c r="C1190" s="0" t="s">
        <v>127</v>
      </c>
      <c r="D1190" s="0" t="n">
        <v>2015</v>
      </c>
      <c r="E1190" s="59" t="n">
        <v>622185</v>
      </c>
      <c r="F1190" s="60" t="n">
        <v>0.95</v>
      </c>
      <c r="G1190" s="61" t="n">
        <v>0</v>
      </c>
      <c r="H1190" s="61" t="n">
        <v>0</v>
      </c>
      <c r="I1190" s="61" t="n">
        <v>0.75</v>
      </c>
      <c r="J1190" s="61" t="n">
        <v>0</v>
      </c>
      <c r="K1190" s="61" t="n">
        <v>0</v>
      </c>
      <c r="L1190" s="61" t="n">
        <v>0</v>
      </c>
      <c r="M1190" s="61" t="n">
        <v>0</v>
      </c>
      <c r="N1190" s="61" t="n">
        <v>0.2</v>
      </c>
      <c r="O1190" s="61" t="n">
        <v>0</v>
      </c>
      <c r="P1190" s="62" t="n">
        <v>557.9</v>
      </c>
      <c r="Q1190" s="0" t="n">
        <v>0</v>
      </c>
      <c r="R1190" s="60" t="n">
        <f aca="false">G1190+H1190+I1190</f>
        <v>0.75</v>
      </c>
      <c r="S1190" s="60" t="n">
        <f aca="false">K1190+L1190+M1190+N1190+O1190</f>
        <v>0.2</v>
      </c>
      <c r="T1190" s="60" t="n">
        <f aca="false">L1190+M1190</f>
        <v>0</v>
      </c>
      <c r="U1190" s="60" t="n">
        <f aca="false">S1190+J1190</f>
        <v>0.2</v>
      </c>
      <c r="V1190" s="63" t="n">
        <f aca="false">IFERROR(S1190/F1190,0)</f>
        <v>0.210526315789474</v>
      </c>
      <c r="W1190" s="63" t="n">
        <f aca="false">IFERROR(R1190/F1190,0)</f>
        <v>0.789473684210526</v>
      </c>
      <c r="X1190" s="63" t="n">
        <f aca="false">IFERROR(T1190/F1190,0)</f>
        <v>0</v>
      </c>
      <c r="Y1190" s="63" t="n">
        <f aca="false">IFERROR(G1190/F1190,0)</f>
        <v>0</v>
      </c>
      <c r="Z1190" s="59" t="n">
        <f aca="false">IF(E1190&gt;0,F1190*1000000000/E1190,"")</f>
        <v>1526.87705425235</v>
      </c>
      <c r="AA1190" s="63" t="n">
        <f aca="false">IFERROR((R1190+S1190+J1190)/F1190,0)</f>
        <v>1</v>
      </c>
      <c r="AB1190" s="0" t="str">
        <f aca="false">A1190&amp;"|"&amp;D1190</f>
        <v>Macao|2015</v>
      </c>
    </row>
    <row r="1191" customFormat="false" ht="15" hidden="false" customHeight="false" outlineLevel="0" collapsed="false">
      <c r="A1191" s="0" t="s">
        <v>294</v>
      </c>
      <c r="B1191" s="0" t="s">
        <v>533</v>
      </c>
      <c r="C1191" s="0" t="s">
        <v>127</v>
      </c>
      <c r="D1191" s="0" t="n">
        <v>2016</v>
      </c>
      <c r="E1191" s="59" t="n">
        <v>634317</v>
      </c>
      <c r="F1191" s="60" t="n">
        <v>0.99</v>
      </c>
      <c r="G1191" s="61" t="n">
        <v>0</v>
      </c>
      <c r="H1191" s="61" t="n">
        <v>0</v>
      </c>
      <c r="I1191" s="61" t="n">
        <v>0.79</v>
      </c>
      <c r="J1191" s="61" t="n">
        <v>0</v>
      </c>
      <c r="K1191" s="61" t="n">
        <v>0</v>
      </c>
      <c r="L1191" s="61" t="n">
        <v>0</v>
      </c>
      <c r="M1191" s="61" t="n">
        <v>0</v>
      </c>
      <c r="N1191" s="61" t="n">
        <v>0.2</v>
      </c>
      <c r="O1191" s="61" t="n">
        <v>0</v>
      </c>
      <c r="P1191" s="62" t="n">
        <v>565.7</v>
      </c>
      <c r="Q1191" s="0" t="n">
        <v>0</v>
      </c>
      <c r="R1191" s="60" t="n">
        <f aca="false">G1191+H1191+I1191</f>
        <v>0.79</v>
      </c>
      <c r="S1191" s="60" t="n">
        <f aca="false">K1191+L1191+M1191+N1191+O1191</f>
        <v>0.2</v>
      </c>
      <c r="T1191" s="60" t="n">
        <f aca="false">L1191+M1191</f>
        <v>0</v>
      </c>
      <c r="U1191" s="60" t="n">
        <f aca="false">S1191+J1191</f>
        <v>0.2</v>
      </c>
      <c r="V1191" s="63" t="n">
        <f aca="false">IFERROR(S1191/F1191,0)</f>
        <v>0.202020202020202</v>
      </c>
      <c r="W1191" s="63" t="n">
        <f aca="false">IFERROR(R1191/F1191,0)</f>
        <v>0.797979797979798</v>
      </c>
      <c r="X1191" s="63" t="n">
        <f aca="false">IFERROR(T1191/F1191,0)</f>
        <v>0</v>
      </c>
      <c r="Y1191" s="63" t="n">
        <f aca="false">IFERROR(G1191/F1191,0)</f>
        <v>0</v>
      </c>
      <c r="Z1191" s="59" t="n">
        <f aca="false">IF(E1191&gt;0,F1191*1000000000/E1191,"")</f>
        <v>1560.73382866926</v>
      </c>
      <c r="AA1191" s="63" t="n">
        <f aca="false">IFERROR((R1191+S1191+J1191)/F1191,0)</f>
        <v>1</v>
      </c>
      <c r="AB1191" s="0" t="str">
        <f aca="false">A1191&amp;"|"&amp;D1191</f>
        <v>Macao|2016</v>
      </c>
    </row>
    <row r="1192" customFormat="false" ht="15" hidden="false" customHeight="false" outlineLevel="0" collapsed="false">
      <c r="A1192" s="0" t="s">
        <v>294</v>
      </c>
      <c r="B1192" s="0" t="s">
        <v>533</v>
      </c>
      <c r="C1192" s="0" t="s">
        <v>127</v>
      </c>
      <c r="D1192" s="0" t="n">
        <v>2017</v>
      </c>
      <c r="E1192" s="59" t="n">
        <v>646558</v>
      </c>
      <c r="F1192" s="60" t="n">
        <v>1.47</v>
      </c>
      <c r="G1192" s="61" t="n">
        <v>0</v>
      </c>
      <c r="H1192" s="61" t="n">
        <v>0.67</v>
      </c>
      <c r="I1192" s="61" t="n">
        <v>0.59</v>
      </c>
      <c r="J1192" s="61" t="n">
        <v>0</v>
      </c>
      <c r="K1192" s="61" t="n">
        <v>0</v>
      </c>
      <c r="L1192" s="61" t="n">
        <v>0</v>
      </c>
      <c r="M1192" s="61" t="n">
        <v>0</v>
      </c>
      <c r="N1192" s="61" t="n">
        <v>0.21</v>
      </c>
      <c r="O1192" s="61" t="n">
        <v>0</v>
      </c>
      <c r="P1192" s="62" t="n">
        <v>564.6</v>
      </c>
      <c r="Q1192" s="0" t="n">
        <v>0</v>
      </c>
      <c r="R1192" s="60" t="n">
        <f aca="false">G1192+H1192+I1192</f>
        <v>1.26</v>
      </c>
      <c r="S1192" s="60" t="n">
        <f aca="false">K1192+L1192+M1192+N1192+O1192</f>
        <v>0.21</v>
      </c>
      <c r="T1192" s="60" t="n">
        <f aca="false">L1192+M1192</f>
        <v>0</v>
      </c>
      <c r="U1192" s="60" t="n">
        <f aca="false">S1192+J1192</f>
        <v>0.21</v>
      </c>
      <c r="V1192" s="63" t="n">
        <f aca="false">IFERROR(S1192/F1192,0)</f>
        <v>0.142857142857143</v>
      </c>
      <c r="W1192" s="63" t="n">
        <f aca="false">IFERROR(R1192/F1192,0)</f>
        <v>0.857142857142857</v>
      </c>
      <c r="X1192" s="63" t="n">
        <f aca="false">IFERROR(T1192/F1192,0)</f>
        <v>0</v>
      </c>
      <c r="Y1192" s="63" t="n">
        <f aca="false">IFERROR(G1192/F1192,0)</f>
        <v>0</v>
      </c>
      <c r="Z1192" s="59" t="n">
        <f aca="false">IF(E1192&gt;0,F1192*1000000000/E1192,"")</f>
        <v>2273.57793113688</v>
      </c>
      <c r="AA1192" s="63" t="n">
        <f aca="false">IFERROR((R1192+S1192+J1192)/F1192,0)</f>
        <v>1</v>
      </c>
      <c r="AB1192" s="0" t="str">
        <f aca="false">A1192&amp;"|"&amp;D1192</f>
        <v>Macao|2017</v>
      </c>
    </row>
    <row r="1193" customFormat="false" ht="15" hidden="false" customHeight="false" outlineLevel="0" collapsed="false">
      <c r="A1193" s="0" t="s">
        <v>294</v>
      </c>
      <c r="B1193" s="0" t="s">
        <v>533</v>
      </c>
      <c r="C1193" s="0" t="s">
        <v>127</v>
      </c>
      <c r="D1193" s="0" t="n">
        <v>2018</v>
      </c>
      <c r="E1193" s="59" t="n">
        <v>658777</v>
      </c>
      <c r="F1193" s="60" t="n">
        <v>0.65</v>
      </c>
      <c r="G1193" s="61" t="n">
        <v>0</v>
      </c>
      <c r="H1193" s="61" t="n">
        <v>0.26</v>
      </c>
      <c r="I1193" s="61" t="n">
        <v>0.21</v>
      </c>
      <c r="J1193" s="61" t="n">
        <v>0</v>
      </c>
      <c r="K1193" s="61" t="n">
        <v>0</v>
      </c>
      <c r="L1193" s="61" t="n">
        <v>0</v>
      </c>
      <c r="M1193" s="61" t="n">
        <v>0</v>
      </c>
      <c r="N1193" s="61" t="n">
        <v>0.18</v>
      </c>
      <c r="O1193" s="61" t="n">
        <v>0</v>
      </c>
      <c r="P1193" s="62" t="n">
        <v>507.7</v>
      </c>
      <c r="Q1193" s="0" t="n">
        <v>0</v>
      </c>
      <c r="R1193" s="60" t="n">
        <f aca="false">G1193+H1193+I1193</f>
        <v>0.47</v>
      </c>
      <c r="S1193" s="60" t="n">
        <f aca="false">K1193+L1193+M1193+N1193+O1193</f>
        <v>0.18</v>
      </c>
      <c r="T1193" s="60" t="n">
        <f aca="false">L1193+M1193</f>
        <v>0</v>
      </c>
      <c r="U1193" s="60" t="n">
        <f aca="false">S1193+J1193</f>
        <v>0.18</v>
      </c>
      <c r="V1193" s="63" t="n">
        <f aca="false">IFERROR(S1193/F1193,0)</f>
        <v>0.276923076923077</v>
      </c>
      <c r="W1193" s="63" t="n">
        <f aca="false">IFERROR(R1193/F1193,0)</f>
        <v>0.723076923076923</v>
      </c>
      <c r="X1193" s="63" t="n">
        <f aca="false">IFERROR(T1193/F1193,0)</f>
        <v>0</v>
      </c>
      <c r="Y1193" s="63" t="n">
        <f aca="false">IFERROR(G1193/F1193,0)</f>
        <v>0</v>
      </c>
      <c r="Z1193" s="59" t="n">
        <f aca="false">IF(E1193&gt;0,F1193*1000000000/E1193,"")</f>
        <v>986.676826908043</v>
      </c>
      <c r="AA1193" s="63" t="n">
        <f aca="false">IFERROR((R1193+S1193+J1193)/F1193,0)</f>
        <v>1</v>
      </c>
      <c r="AB1193" s="0" t="str">
        <f aca="false">A1193&amp;"|"&amp;D1193</f>
        <v>Macao|2018</v>
      </c>
    </row>
    <row r="1194" customFormat="false" ht="15" hidden="false" customHeight="false" outlineLevel="0" collapsed="false">
      <c r="A1194" s="0" t="s">
        <v>294</v>
      </c>
      <c r="B1194" s="0" t="s">
        <v>533</v>
      </c>
      <c r="C1194" s="0" t="s">
        <v>127</v>
      </c>
      <c r="D1194" s="0" t="n">
        <v>2019</v>
      </c>
      <c r="E1194" s="59" t="n">
        <v>670982</v>
      </c>
      <c r="F1194" s="60" t="n">
        <v>0.84</v>
      </c>
      <c r="G1194" s="61" t="n">
        <v>0</v>
      </c>
      <c r="H1194" s="61" t="n">
        <v>0.45</v>
      </c>
      <c r="I1194" s="61" t="n">
        <v>0.17</v>
      </c>
      <c r="J1194" s="61" t="n">
        <v>0</v>
      </c>
      <c r="K1194" s="61" t="n">
        <v>0</v>
      </c>
      <c r="L1194" s="61" t="n">
        <v>0</v>
      </c>
      <c r="M1194" s="61" t="n">
        <v>0</v>
      </c>
      <c r="N1194" s="61" t="n">
        <v>0.22</v>
      </c>
      <c r="O1194" s="61" t="n">
        <v>0</v>
      </c>
      <c r="P1194" s="62" t="n">
        <v>500</v>
      </c>
      <c r="Q1194" s="0" t="n">
        <v>0</v>
      </c>
      <c r="R1194" s="60" t="n">
        <f aca="false">G1194+H1194+I1194</f>
        <v>0.62</v>
      </c>
      <c r="S1194" s="60" t="n">
        <f aca="false">K1194+L1194+M1194+N1194+O1194</f>
        <v>0.22</v>
      </c>
      <c r="T1194" s="60" t="n">
        <f aca="false">L1194+M1194</f>
        <v>0</v>
      </c>
      <c r="U1194" s="60" t="n">
        <f aca="false">S1194+J1194</f>
        <v>0.22</v>
      </c>
      <c r="V1194" s="63" t="n">
        <f aca="false">IFERROR(S1194/F1194,0)</f>
        <v>0.261904761904762</v>
      </c>
      <c r="W1194" s="63" t="n">
        <f aca="false">IFERROR(R1194/F1194,0)</f>
        <v>0.738095238095238</v>
      </c>
      <c r="X1194" s="63" t="n">
        <f aca="false">IFERROR(T1194/F1194,0)</f>
        <v>0</v>
      </c>
      <c r="Y1194" s="63" t="n">
        <f aca="false">IFERROR(G1194/F1194,0)</f>
        <v>0</v>
      </c>
      <c r="Z1194" s="59" t="n">
        <f aca="false">IF(E1194&gt;0,F1194*1000000000/E1194,"")</f>
        <v>1251.896474123</v>
      </c>
      <c r="AA1194" s="63" t="n">
        <f aca="false">IFERROR((R1194+S1194+J1194)/F1194,0)</f>
        <v>1</v>
      </c>
      <c r="AB1194" s="0" t="str">
        <f aca="false">A1194&amp;"|"&amp;D1194</f>
        <v>Macao|2019</v>
      </c>
    </row>
    <row r="1195" customFormat="false" ht="15" hidden="false" customHeight="false" outlineLevel="0" collapsed="false">
      <c r="A1195" s="0" t="s">
        <v>294</v>
      </c>
      <c r="B1195" s="0" t="s">
        <v>533</v>
      </c>
      <c r="C1195" s="0" t="s">
        <v>127</v>
      </c>
      <c r="D1195" s="0" t="n">
        <v>2020</v>
      </c>
      <c r="E1195" s="59" t="n">
        <v>683069</v>
      </c>
      <c r="F1195" s="60" t="n">
        <v>0.56</v>
      </c>
      <c r="G1195" s="61" t="n">
        <v>0</v>
      </c>
      <c r="H1195" s="61" t="n">
        <v>0.21</v>
      </c>
      <c r="I1195" s="61" t="n">
        <v>0.16</v>
      </c>
      <c r="J1195" s="61" t="n">
        <v>0</v>
      </c>
      <c r="K1195" s="61" t="n">
        <v>0</v>
      </c>
      <c r="L1195" s="61" t="n">
        <v>0</v>
      </c>
      <c r="M1195" s="61" t="n">
        <v>0</v>
      </c>
      <c r="N1195" s="61" t="n">
        <v>0.19</v>
      </c>
      <c r="O1195" s="61" t="n">
        <v>0</v>
      </c>
      <c r="P1195" s="62" t="n">
        <v>482.1</v>
      </c>
      <c r="Q1195" s="0" t="n">
        <v>0</v>
      </c>
      <c r="R1195" s="60" t="n">
        <f aca="false">G1195+H1195+I1195</f>
        <v>0.37</v>
      </c>
      <c r="S1195" s="60" t="n">
        <f aca="false">K1195+L1195+M1195+N1195+O1195</f>
        <v>0.19</v>
      </c>
      <c r="T1195" s="60" t="n">
        <f aca="false">L1195+M1195</f>
        <v>0</v>
      </c>
      <c r="U1195" s="60" t="n">
        <f aca="false">S1195+J1195</f>
        <v>0.19</v>
      </c>
      <c r="V1195" s="63" t="n">
        <f aca="false">IFERROR(S1195/F1195,0)</f>
        <v>0.339285714285714</v>
      </c>
      <c r="W1195" s="63" t="n">
        <f aca="false">IFERROR(R1195/F1195,0)</f>
        <v>0.660714285714286</v>
      </c>
      <c r="X1195" s="63" t="n">
        <f aca="false">IFERROR(T1195/F1195,0)</f>
        <v>0</v>
      </c>
      <c r="Y1195" s="63" t="n">
        <f aca="false">IFERROR(G1195/F1195,0)</f>
        <v>0</v>
      </c>
      <c r="Z1195" s="59" t="n">
        <f aca="false">IF(E1195&gt;0,F1195*1000000000/E1195,"")</f>
        <v>819.829329101453</v>
      </c>
      <c r="AA1195" s="63" t="n">
        <f aca="false">IFERROR((R1195+S1195+J1195)/F1195,0)</f>
        <v>1</v>
      </c>
      <c r="AB1195" s="0" t="str">
        <f aca="false">A1195&amp;"|"&amp;D1195</f>
        <v>Macao|2020</v>
      </c>
    </row>
    <row r="1196" customFormat="false" ht="15" hidden="false" customHeight="false" outlineLevel="0" collapsed="false">
      <c r="A1196" s="0" t="s">
        <v>294</v>
      </c>
      <c r="B1196" s="0" t="s">
        <v>533</v>
      </c>
      <c r="C1196" s="0" t="s">
        <v>127</v>
      </c>
      <c r="D1196" s="0" t="n">
        <v>2021</v>
      </c>
      <c r="E1196" s="59" t="n">
        <v>694404</v>
      </c>
      <c r="F1196" s="60" t="n">
        <v>0.5</v>
      </c>
      <c r="G1196" s="61" t="n">
        <v>0</v>
      </c>
      <c r="H1196" s="61" t="n">
        <v>0.25</v>
      </c>
      <c r="I1196" s="61" t="n">
        <v>0.04</v>
      </c>
      <c r="J1196" s="61" t="n">
        <v>0</v>
      </c>
      <c r="K1196" s="61" t="n">
        <v>0</v>
      </c>
      <c r="L1196" s="61" t="n">
        <v>0</v>
      </c>
      <c r="M1196" s="61" t="n">
        <v>0</v>
      </c>
      <c r="N1196" s="61" t="n">
        <v>0.21</v>
      </c>
      <c r="O1196" s="61" t="n">
        <v>0</v>
      </c>
      <c r="P1196" s="62" t="n">
        <v>460</v>
      </c>
      <c r="Q1196" s="0" t="n">
        <v>0</v>
      </c>
      <c r="R1196" s="60" t="n">
        <f aca="false">G1196+H1196+I1196</f>
        <v>0.29</v>
      </c>
      <c r="S1196" s="60" t="n">
        <f aca="false">K1196+L1196+M1196+N1196+O1196</f>
        <v>0.21</v>
      </c>
      <c r="T1196" s="60" t="n">
        <f aca="false">L1196+M1196</f>
        <v>0</v>
      </c>
      <c r="U1196" s="60" t="n">
        <f aca="false">S1196+J1196</f>
        <v>0.21</v>
      </c>
      <c r="V1196" s="63" t="n">
        <f aca="false">IFERROR(S1196/F1196,0)</f>
        <v>0.42</v>
      </c>
      <c r="W1196" s="63" t="n">
        <f aca="false">IFERROR(R1196/F1196,0)</f>
        <v>0.58</v>
      </c>
      <c r="X1196" s="63" t="n">
        <f aca="false">IFERROR(T1196/F1196,0)</f>
        <v>0</v>
      </c>
      <c r="Y1196" s="63" t="n">
        <f aca="false">IFERROR(G1196/F1196,0)</f>
        <v>0</v>
      </c>
      <c r="Z1196" s="59" t="n">
        <f aca="false">IF(E1196&gt;0,F1196*1000000000/E1196,"")</f>
        <v>720.041935242309</v>
      </c>
      <c r="AA1196" s="63" t="n">
        <f aca="false">IFERROR((R1196+S1196+J1196)/F1196,0)</f>
        <v>1</v>
      </c>
      <c r="AB1196" s="0" t="str">
        <f aca="false">A1196&amp;"|"&amp;D1196</f>
        <v>Macao|2021</v>
      </c>
    </row>
    <row r="1197" customFormat="false" ht="15" hidden="false" customHeight="false" outlineLevel="0" collapsed="false">
      <c r="A1197" s="0" t="s">
        <v>294</v>
      </c>
      <c r="B1197" s="0" t="s">
        <v>533</v>
      </c>
      <c r="C1197" s="0" t="s">
        <v>127</v>
      </c>
      <c r="D1197" s="0" t="n">
        <v>2022</v>
      </c>
      <c r="E1197" s="59" t="n">
        <v>704360</v>
      </c>
      <c r="F1197" s="60" t="n">
        <v>0.49</v>
      </c>
      <c r="G1197" s="61" t="n">
        <v>0</v>
      </c>
      <c r="H1197" s="61" t="n">
        <v>0.25</v>
      </c>
      <c r="I1197" s="61" t="n">
        <v>0.04</v>
      </c>
      <c r="J1197" s="61" t="n">
        <v>0</v>
      </c>
      <c r="K1197" s="61" t="n">
        <v>0</v>
      </c>
      <c r="L1197" s="61" t="n">
        <v>0</v>
      </c>
      <c r="M1197" s="61" t="n">
        <v>0</v>
      </c>
      <c r="N1197" s="61" t="n">
        <v>0.2</v>
      </c>
      <c r="O1197" s="61" t="n">
        <v>0</v>
      </c>
      <c r="P1197" s="62" t="n">
        <v>449</v>
      </c>
      <c r="Q1197" s="0" t="n">
        <v>0</v>
      </c>
      <c r="R1197" s="60" t="n">
        <f aca="false">G1197+H1197+I1197</f>
        <v>0.29</v>
      </c>
      <c r="S1197" s="60" t="n">
        <f aca="false">K1197+L1197+M1197+N1197+O1197</f>
        <v>0.2</v>
      </c>
      <c r="T1197" s="60" t="n">
        <f aca="false">L1197+M1197</f>
        <v>0</v>
      </c>
      <c r="U1197" s="60" t="n">
        <f aca="false">S1197+J1197</f>
        <v>0.2</v>
      </c>
      <c r="V1197" s="63" t="n">
        <f aca="false">IFERROR(S1197/F1197,0)</f>
        <v>0.408163265306122</v>
      </c>
      <c r="W1197" s="63" t="n">
        <f aca="false">IFERROR(R1197/F1197,0)</f>
        <v>0.591836734693878</v>
      </c>
      <c r="X1197" s="63" t="n">
        <f aca="false">IFERROR(T1197/F1197,0)</f>
        <v>0</v>
      </c>
      <c r="Y1197" s="63" t="n">
        <f aca="false">IFERROR(G1197/F1197,0)</f>
        <v>0</v>
      </c>
      <c r="Z1197" s="59" t="n">
        <f aca="false">IF(E1197&gt;0,F1197*1000000000/E1197,"")</f>
        <v>695.666988471804</v>
      </c>
      <c r="AA1197" s="63" t="n">
        <f aca="false">IFERROR((R1197+S1197+J1197)/F1197,0)</f>
        <v>1</v>
      </c>
      <c r="AB1197" s="0" t="str">
        <f aca="false">A1197&amp;"|"&amp;D1197</f>
        <v>Macao|2022</v>
      </c>
    </row>
    <row r="1198" customFormat="false" ht="15" hidden="false" customHeight="false" outlineLevel="0" collapsed="false">
      <c r="A1198" s="0" t="s">
        <v>294</v>
      </c>
      <c r="B1198" s="0" t="s">
        <v>533</v>
      </c>
      <c r="C1198" s="0" t="s">
        <v>127</v>
      </c>
      <c r="D1198" s="0" t="n">
        <v>2023</v>
      </c>
      <c r="E1198" s="59" t="n">
        <v>713916</v>
      </c>
      <c r="F1198" s="60" t="n">
        <v>0.66</v>
      </c>
      <c r="G1198" s="61" t="n">
        <v>0</v>
      </c>
      <c r="H1198" s="61" t="n">
        <v>0.37</v>
      </c>
      <c r="I1198" s="61" t="n">
        <v>0.07</v>
      </c>
      <c r="J1198" s="61" t="n">
        <v>0</v>
      </c>
      <c r="K1198" s="61" t="n">
        <v>0</v>
      </c>
      <c r="L1198" s="61" t="n">
        <v>0</v>
      </c>
      <c r="M1198" s="61" t="n">
        <v>0</v>
      </c>
      <c r="N1198" s="61" t="n">
        <v>0.22</v>
      </c>
      <c r="O1198" s="61" t="n">
        <v>0</v>
      </c>
      <c r="P1198" s="62" t="n">
        <v>484.9</v>
      </c>
      <c r="Q1198" s="0" t="n">
        <v>0</v>
      </c>
      <c r="R1198" s="60" t="n">
        <f aca="false">G1198+H1198+I1198</f>
        <v>0.44</v>
      </c>
      <c r="S1198" s="60" t="n">
        <f aca="false">K1198+L1198+M1198+N1198+O1198</f>
        <v>0.22</v>
      </c>
      <c r="T1198" s="60" t="n">
        <f aca="false">L1198+M1198</f>
        <v>0</v>
      </c>
      <c r="U1198" s="60" t="n">
        <f aca="false">S1198+J1198</f>
        <v>0.22</v>
      </c>
      <c r="V1198" s="63" t="n">
        <f aca="false">IFERROR(S1198/F1198,0)</f>
        <v>0.333333333333333</v>
      </c>
      <c r="W1198" s="63" t="n">
        <f aca="false">IFERROR(R1198/F1198,0)</f>
        <v>0.666666666666667</v>
      </c>
      <c r="X1198" s="63" t="n">
        <f aca="false">IFERROR(T1198/F1198,0)</f>
        <v>0</v>
      </c>
      <c r="Y1198" s="63" t="n">
        <f aca="false">IFERROR(G1198/F1198,0)</f>
        <v>0</v>
      </c>
      <c r="Z1198" s="59" t="n">
        <f aca="false">IF(E1198&gt;0,F1198*1000000000/E1198,"")</f>
        <v>924.478510076816</v>
      </c>
      <c r="AA1198" s="63" t="n">
        <f aca="false">IFERROR((R1198+S1198+J1198)/F1198,0)</f>
        <v>1</v>
      </c>
      <c r="AB1198" s="0" t="str">
        <f aca="false">A1198&amp;"|"&amp;D1198</f>
        <v>Macao|2023</v>
      </c>
    </row>
    <row r="1199" customFormat="false" ht="15" hidden="false" customHeight="false" outlineLevel="0" collapsed="false">
      <c r="A1199" s="0" t="s">
        <v>294</v>
      </c>
      <c r="B1199" s="0" t="s">
        <v>533</v>
      </c>
      <c r="C1199" s="0" t="s">
        <v>127</v>
      </c>
      <c r="D1199" s="0" t="n">
        <v>2024</v>
      </c>
      <c r="E1199" s="59" t="n">
        <v>720270</v>
      </c>
      <c r="F1199" s="60" t="n">
        <v>0.78</v>
      </c>
      <c r="G1199" s="61" t="n">
        <v>0</v>
      </c>
      <c r="H1199" s="61" t="n">
        <v>0.49</v>
      </c>
      <c r="I1199" s="61" t="n">
        <v>0.05</v>
      </c>
      <c r="J1199" s="61" t="n">
        <v>0</v>
      </c>
      <c r="K1199" s="61" t="n">
        <v>0</v>
      </c>
      <c r="L1199" s="61" t="n">
        <v>0</v>
      </c>
      <c r="M1199" s="61" t="n">
        <v>0</v>
      </c>
      <c r="N1199" s="61" t="n">
        <v>0.24</v>
      </c>
      <c r="O1199" s="61" t="n">
        <v>0</v>
      </c>
      <c r="P1199" s="62" t="n">
        <v>474.4</v>
      </c>
      <c r="Q1199" s="0" t="n">
        <v>0</v>
      </c>
      <c r="R1199" s="60" t="n">
        <f aca="false">G1199+H1199+I1199</f>
        <v>0.54</v>
      </c>
      <c r="S1199" s="60" t="n">
        <f aca="false">K1199+L1199+M1199+N1199+O1199</f>
        <v>0.24</v>
      </c>
      <c r="T1199" s="60" t="n">
        <f aca="false">L1199+M1199</f>
        <v>0</v>
      </c>
      <c r="U1199" s="60" t="n">
        <f aca="false">S1199+J1199</f>
        <v>0.24</v>
      </c>
      <c r="V1199" s="63" t="n">
        <f aca="false">IFERROR(S1199/F1199,0)</f>
        <v>0.307692307692308</v>
      </c>
      <c r="W1199" s="63" t="n">
        <f aca="false">IFERROR(R1199/F1199,0)</f>
        <v>0.692307692307692</v>
      </c>
      <c r="X1199" s="63" t="n">
        <f aca="false">IFERROR(T1199/F1199,0)</f>
        <v>0</v>
      </c>
      <c r="Y1199" s="63" t="n">
        <f aca="false">IFERROR(G1199/F1199,0)</f>
        <v>0</v>
      </c>
      <c r="Z1199" s="59" t="n">
        <f aca="false">IF(E1199&gt;0,F1199*1000000000/E1199,"")</f>
        <v>1082.92723561998</v>
      </c>
      <c r="AA1199" s="63" t="n">
        <f aca="false">IFERROR((R1199+S1199+J1199)/F1199,0)</f>
        <v>1</v>
      </c>
      <c r="AB1199" s="0" t="str">
        <f aca="false">A1199&amp;"|"&amp;D1199</f>
        <v>Macao|2024</v>
      </c>
    </row>
    <row r="1200" customFormat="false" ht="15" hidden="false" customHeight="false" outlineLevel="0" collapsed="false">
      <c r="A1200" s="0" t="s">
        <v>295</v>
      </c>
      <c r="B1200" s="0" t="s">
        <v>534</v>
      </c>
      <c r="C1200" s="0" t="s">
        <v>127</v>
      </c>
      <c r="D1200" s="0" t="n">
        <v>2015</v>
      </c>
      <c r="E1200" s="59" t="n">
        <v>25426703</v>
      </c>
      <c r="F1200" s="60" t="n">
        <v>1.79</v>
      </c>
      <c r="G1200" s="61" t="n">
        <v>0.08</v>
      </c>
      <c r="H1200" s="61" t="n">
        <v>0</v>
      </c>
      <c r="I1200" s="61" t="n">
        <v>0.74</v>
      </c>
      <c r="J1200" s="61" t="n">
        <v>0</v>
      </c>
      <c r="K1200" s="61" t="n">
        <v>0.93</v>
      </c>
      <c r="L1200" s="61" t="n">
        <v>0.02</v>
      </c>
      <c r="M1200" s="61" t="n">
        <v>0</v>
      </c>
      <c r="N1200" s="61" t="n">
        <v>0.02</v>
      </c>
      <c r="O1200" s="61" t="n">
        <v>0</v>
      </c>
      <c r="P1200" s="62" t="n">
        <v>324</v>
      </c>
      <c r="Q1200" s="0" t="n">
        <v>0</v>
      </c>
      <c r="R1200" s="60" t="n">
        <f aca="false">G1200+H1200+I1200</f>
        <v>0.82</v>
      </c>
      <c r="S1200" s="60" t="n">
        <f aca="false">K1200+L1200+M1200+N1200+O1200</f>
        <v>0.97</v>
      </c>
      <c r="T1200" s="60" t="n">
        <f aca="false">L1200+M1200</f>
        <v>0.02</v>
      </c>
      <c r="U1200" s="60" t="n">
        <f aca="false">S1200+J1200</f>
        <v>0.97</v>
      </c>
      <c r="V1200" s="63" t="n">
        <f aca="false">IFERROR(S1200/F1200,0)</f>
        <v>0.541899441340782</v>
      </c>
      <c r="W1200" s="63" t="n">
        <f aca="false">IFERROR(R1200/F1200,0)</f>
        <v>0.458100558659218</v>
      </c>
      <c r="X1200" s="63" t="n">
        <f aca="false">IFERROR(T1200/F1200,0)</f>
        <v>0.0111731843575419</v>
      </c>
      <c r="Y1200" s="63" t="n">
        <f aca="false">IFERROR(G1200/F1200,0)</f>
        <v>0.0446927374301676</v>
      </c>
      <c r="Z1200" s="59" t="n">
        <f aca="false">IF(E1200&gt;0,F1200*1000000000/E1200,"")</f>
        <v>70.3984311296671</v>
      </c>
      <c r="AA1200" s="63" t="n">
        <f aca="false">IFERROR((R1200+S1200+J1200)/F1200,0)</f>
        <v>1</v>
      </c>
      <c r="AB1200" s="0" t="str">
        <f aca="false">A1200&amp;"|"&amp;D1200</f>
        <v>Madagascar|2015</v>
      </c>
    </row>
    <row r="1201" customFormat="false" ht="15" hidden="false" customHeight="false" outlineLevel="0" collapsed="false">
      <c r="A1201" s="0" t="s">
        <v>295</v>
      </c>
      <c r="B1201" s="0" t="s">
        <v>534</v>
      </c>
      <c r="C1201" s="0" t="s">
        <v>127</v>
      </c>
      <c r="D1201" s="0" t="n">
        <v>2016</v>
      </c>
      <c r="E1201" s="59" t="n">
        <v>26099950</v>
      </c>
      <c r="F1201" s="60" t="n">
        <v>1.9</v>
      </c>
      <c r="G1201" s="61" t="n">
        <v>0.08</v>
      </c>
      <c r="H1201" s="61" t="n">
        <v>0</v>
      </c>
      <c r="I1201" s="61" t="n">
        <v>0.9</v>
      </c>
      <c r="J1201" s="61" t="n">
        <v>0</v>
      </c>
      <c r="K1201" s="61" t="n">
        <v>0.88</v>
      </c>
      <c r="L1201" s="61" t="n">
        <v>0.02</v>
      </c>
      <c r="M1201" s="61" t="n">
        <v>0</v>
      </c>
      <c r="N1201" s="61" t="n">
        <v>0.02</v>
      </c>
      <c r="O1201" s="61" t="n">
        <v>0</v>
      </c>
      <c r="P1201" s="62" t="n">
        <v>357.9</v>
      </c>
      <c r="Q1201" s="0" t="n">
        <v>0</v>
      </c>
      <c r="R1201" s="60" t="n">
        <f aca="false">G1201+H1201+I1201</f>
        <v>0.98</v>
      </c>
      <c r="S1201" s="60" t="n">
        <f aca="false">K1201+L1201+M1201+N1201+O1201</f>
        <v>0.92</v>
      </c>
      <c r="T1201" s="60" t="n">
        <f aca="false">L1201+M1201</f>
        <v>0.02</v>
      </c>
      <c r="U1201" s="60" t="n">
        <f aca="false">S1201+J1201</f>
        <v>0.92</v>
      </c>
      <c r="V1201" s="63" t="n">
        <f aca="false">IFERROR(S1201/F1201,0)</f>
        <v>0.48421052631579</v>
      </c>
      <c r="W1201" s="63" t="n">
        <f aca="false">IFERROR(R1201/F1201,0)</f>
        <v>0.515789473684211</v>
      </c>
      <c r="X1201" s="63" t="n">
        <f aca="false">IFERROR(T1201/F1201,0)</f>
        <v>0.0105263157894737</v>
      </c>
      <c r="Y1201" s="63" t="n">
        <f aca="false">IFERROR(G1201/F1201,0)</f>
        <v>0.0421052631578947</v>
      </c>
      <c r="Z1201" s="59" t="n">
        <f aca="false">IF(E1201&gt;0,F1201*1000000000/E1201,"")</f>
        <v>72.7970743238972</v>
      </c>
      <c r="AA1201" s="63" t="n">
        <f aca="false">IFERROR((R1201+S1201+J1201)/F1201,0)</f>
        <v>1</v>
      </c>
      <c r="AB1201" s="0" t="str">
        <f aca="false">A1201&amp;"|"&amp;D1201</f>
        <v>Madagascar|2016</v>
      </c>
    </row>
    <row r="1202" customFormat="false" ht="15" hidden="false" customHeight="false" outlineLevel="0" collapsed="false">
      <c r="A1202" s="0" t="s">
        <v>295</v>
      </c>
      <c r="B1202" s="0" t="s">
        <v>534</v>
      </c>
      <c r="C1202" s="0" t="s">
        <v>127</v>
      </c>
      <c r="D1202" s="0" t="n">
        <v>2017</v>
      </c>
      <c r="E1202" s="59" t="n">
        <v>26788379</v>
      </c>
      <c r="F1202" s="60" t="n">
        <v>1.98</v>
      </c>
      <c r="G1202" s="61" t="n">
        <v>0.12</v>
      </c>
      <c r="H1202" s="61" t="n">
        <v>0</v>
      </c>
      <c r="I1202" s="61" t="n">
        <v>1.03</v>
      </c>
      <c r="J1202" s="61" t="n">
        <v>0</v>
      </c>
      <c r="K1202" s="61" t="n">
        <v>0.78</v>
      </c>
      <c r="L1202" s="61" t="n">
        <v>0.02</v>
      </c>
      <c r="M1202" s="61" t="n">
        <v>0</v>
      </c>
      <c r="N1202" s="61" t="n">
        <v>0.03</v>
      </c>
      <c r="O1202" s="61" t="n">
        <v>0</v>
      </c>
      <c r="P1202" s="62" t="n">
        <v>409.1</v>
      </c>
      <c r="Q1202" s="0" t="n">
        <v>0</v>
      </c>
      <c r="R1202" s="60" t="n">
        <f aca="false">G1202+H1202+I1202</f>
        <v>1.15</v>
      </c>
      <c r="S1202" s="60" t="n">
        <f aca="false">K1202+L1202+M1202+N1202+O1202</f>
        <v>0.83</v>
      </c>
      <c r="T1202" s="60" t="n">
        <f aca="false">L1202+M1202</f>
        <v>0.02</v>
      </c>
      <c r="U1202" s="60" t="n">
        <f aca="false">S1202+J1202</f>
        <v>0.83</v>
      </c>
      <c r="V1202" s="63" t="n">
        <f aca="false">IFERROR(S1202/F1202,0)</f>
        <v>0.419191919191919</v>
      </c>
      <c r="W1202" s="63" t="n">
        <f aca="false">IFERROR(R1202/F1202,0)</f>
        <v>0.580808080808081</v>
      </c>
      <c r="X1202" s="63" t="n">
        <f aca="false">IFERROR(T1202/F1202,0)</f>
        <v>0.0101010101010101</v>
      </c>
      <c r="Y1202" s="63" t="n">
        <f aca="false">IFERROR(G1202/F1202,0)</f>
        <v>0.0606060606060606</v>
      </c>
      <c r="Z1202" s="59" t="n">
        <f aca="false">IF(E1202&gt;0,F1202*1000000000/E1202,"")</f>
        <v>73.9126469727788</v>
      </c>
      <c r="AA1202" s="63" t="n">
        <f aca="false">IFERROR((R1202+S1202+J1202)/F1202,0)</f>
        <v>1</v>
      </c>
      <c r="AB1202" s="0" t="str">
        <f aca="false">A1202&amp;"|"&amp;D1202</f>
        <v>Madagascar|2017</v>
      </c>
    </row>
    <row r="1203" customFormat="false" ht="15" hidden="false" customHeight="false" outlineLevel="0" collapsed="false">
      <c r="A1203" s="0" t="s">
        <v>295</v>
      </c>
      <c r="B1203" s="0" t="s">
        <v>534</v>
      </c>
      <c r="C1203" s="0" t="s">
        <v>127</v>
      </c>
      <c r="D1203" s="0" t="n">
        <v>2018</v>
      </c>
      <c r="E1203" s="59" t="n">
        <v>27494930</v>
      </c>
      <c r="F1203" s="60" t="n">
        <v>2.38</v>
      </c>
      <c r="G1203" s="61" t="n">
        <v>0.46</v>
      </c>
      <c r="H1203" s="61" t="n">
        <v>0</v>
      </c>
      <c r="I1203" s="61" t="n">
        <v>0.89</v>
      </c>
      <c r="J1203" s="61" t="n">
        <v>0</v>
      </c>
      <c r="K1203" s="61" t="n">
        <v>0.96</v>
      </c>
      <c r="L1203" s="61" t="n">
        <v>0.04</v>
      </c>
      <c r="M1203" s="61" t="n">
        <v>0</v>
      </c>
      <c r="N1203" s="61" t="n">
        <v>0.03</v>
      </c>
      <c r="O1203" s="61" t="n">
        <v>0</v>
      </c>
      <c r="P1203" s="62" t="n">
        <v>424.4</v>
      </c>
      <c r="Q1203" s="0" t="n">
        <v>0</v>
      </c>
      <c r="R1203" s="60" t="n">
        <f aca="false">G1203+H1203+I1203</f>
        <v>1.35</v>
      </c>
      <c r="S1203" s="60" t="n">
        <f aca="false">K1203+L1203+M1203+N1203+O1203</f>
        <v>1.03</v>
      </c>
      <c r="T1203" s="60" t="n">
        <f aca="false">L1203+M1203</f>
        <v>0.04</v>
      </c>
      <c r="U1203" s="60" t="n">
        <f aca="false">S1203+J1203</f>
        <v>1.03</v>
      </c>
      <c r="V1203" s="63" t="n">
        <f aca="false">IFERROR(S1203/F1203,0)</f>
        <v>0.432773109243698</v>
      </c>
      <c r="W1203" s="63" t="n">
        <f aca="false">IFERROR(R1203/F1203,0)</f>
        <v>0.567226890756303</v>
      </c>
      <c r="X1203" s="63" t="n">
        <f aca="false">IFERROR(T1203/F1203,0)</f>
        <v>0.0168067226890756</v>
      </c>
      <c r="Y1203" s="63" t="n">
        <f aca="false">IFERROR(G1203/F1203,0)</f>
        <v>0.19327731092437</v>
      </c>
      <c r="Z1203" s="59" t="n">
        <f aca="false">IF(E1203&gt;0,F1203*1000000000/E1203,"")</f>
        <v>86.5614133223834</v>
      </c>
      <c r="AA1203" s="63" t="n">
        <f aca="false">IFERROR((R1203+S1203+J1203)/F1203,0)</f>
        <v>1</v>
      </c>
      <c r="AB1203" s="0" t="str">
        <f aca="false">A1203&amp;"|"&amp;D1203</f>
        <v>Madagascar|2018</v>
      </c>
    </row>
    <row r="1204" customFormat="false" ht="15" hidden="false" customHeight="false" outlineLevel="0" collapsed="false">
      <c r="A1204" s="0" t="s">
        <v>295</v>
      </c>
      <c r="B1204" s="0" t="s">
        <v>534</v>
      </c>
      <c r="C1204" s="0" t="s">
        <v>127</v>
      </c>
      <c r="D1204" s="0" t="n">
        <v>2019</v>
      </c>
      <c r="E1204" s="59" t="n">
        <v>28219559</v>
      </c>
      <c r="F1204" s="60" t="n">
        <v>2.47</v>
      </c>
      <c r="G1204" s="61" t="n">
        <v>0.48</v>
      </c>
      <c r="H1204" s="61" t="n">
        <v>0</v>
      </c>
      <c r="I1204" s="61" t="n">
        <v>1.04</v>
      </c>
      <c r="J1204" s="61" t="n">
        <v>0</v>
      </c>
      <c r="K1204" s="61" t="n">
        <v>0.89</v>
      </c>
      <c r="L1204" s="61" t="n">
        <v>0.04</v>
      </c>
      <c r="M1204" s="61" t="n">
        <v>0</v>
      </c>
      <c r="N1204" s="61" t="n">
        <v>0.02</v>
      </c>
      <c r="O1204" s="61" t="n">
        <v>0</v>
      </c>
      <c r="P1204" s="62" t="n">
        <v>449.4</v>
      </c>
      <c r="Q1204" s="0" t="n">
        <v>0</v>
      </c>
      <c r="R1204" s="60" t="n">
        <f aca="false">G1204+H1204+I1204</f>
        <v>1.52</v>
      </c>
      <c r="S1204" s="60" t="n">
        <f aca="false">K1204+L1204+M1204+N1204+O1204</f>
        <v>0.95</v>
      </c>
      <c r="T1204" s="60" t="n">
        <f aca="false">L1204+M1204</f>
        <v>0.04</v>
      </c>
      <c r="U1204" s="60" t="n">
        <f aca="false">S1204+J1204</f>
        <v>0.95</v>
      </c>
      <c r="V1204" s="63" t="n">
        <f aca="false">IFERROR(S1204/F1204,0)</f>
        <v>0.384615384615385</v>
      </c>
      <c r="W1204" s="63" t="n">
        <f aca="false">IFERROR(R1204/F1204,0)</f>
        <v>0.615384615384615</v>
      </c>
      <c r="X1204" s="63" t="n">
        <f aca="false">IFERROR(T1204/F1204,0)</f>
        <v>0.0161943319838057</v>
      </c>
      <c r="Y1204" s="63" t="n">
        <f aca="false">IFERROR(G1204/F1204,0)</f>
        <v>0.194331983805668</v>
      </c>
      <c r="Z1204" s="59" t="n">
        <f aca="false">IF(E1204&gt;0,F1204*1000000000/E1204,"")</f>
        <v>87.5279447138065</v>
      </c>
      <c r="AA1204" s="63" t="n">
        <f aca="false">IFERROR((R1204+S1204+J1204)/F1204,0)</f>
        <v>1</v>
      </c>
      <c r="AB1204" s="0" t="str">
        <f aca="false">A1204&amp;"|"&amp;D1204</f>
        <v>Madagascar|2019</v>
      </c>
    </row>
    <row r="1205" customFormat="false" ht="15" hidden="false" customHeight="false" outlineLevel="0" collapsed="false">
      <c r="A1205" s="0" t="s">
        <v>295</v>
      </c>
      <c r="B1205" s="0" t="s">
        <v>534</v>
      </c>
      <c r="C1205" s="0" t="s">
        <v>127</v>
      </c>
      <c r="D1205" s="0" t="n">
        <v>2020</v>
      </c>
      <c r="E1205" s="59" t="n">
        <v>28953560</v>
      </c>
      <c r="F1205" s="60" t="n">
        <v>2.16</v>
      </c>
      <c r="G1205" s="61" t="n">
        <v>0.21</v>
      </c>
      <c r="H1205" s="61" t="n">
        <v>0</v>
      </c>
      <c r="I1205" s="61" t="n">
        <v>1.07</v>
      </c>
      <c r="J1205" s="61" t="n">
        <v>0</v>
      </c>
      <c r="K1205" s="61" t="n">
        <v>0.82</v>
      </c>
      <c r="L1205" s="61" t="n">
        <v>0.04</v>
      </c>
      <c r="M1205" s="61" t="n">
        <v>0</v>
      </c>
      <c r="N1205" s="61" t="n">
        <v>0.02</v>
      </c>
      <c r="O1205" s="61" t="n">
        <v>0</v>
      </c>
      <c r="P1205" s="62" t="n">
        <v>416.7</v>
      </c>
      <c r="Q1205" s="0" t="n">
        <v>0</v>
      </c>
      <c r="R1205" s="60" t="n">
        <f aca="false">G1205+H1205+I1205</f>
        <v>1.28</v>
      </c>
      <c r="S1205" s="60" t="n">
        <f aca="false">K1205+L1205+M1205+N1205+O1205</f>
        <v>0.88</v>
      </c>
      <c r="T1205" s="60" t="n">
        <f aca="false">L1205+M1205</f>
        <v>0.04</v>
      </c>
      <c r="U1205" s="60" t="n">
        <f aca="false">S1205+J1205</f>
        <v>0.88</v>
      </c>
      <c r="V1205" s="63" t="n">
        <f aca="false">IFERROR(S1205/F1205,0)</f>
        <v>0.407407407407407</v>
      </c>
      <c r="W1205" s="63" t="n">
        <f aca="false">IFERROR(R1205/F1205,0)</f>
        <v>0.592592592592593</v>
      </c>
      <c r="X1205" s="63" t="n">
        <f aca="false">IFERROR(T1205/F1205,0)</f>
        <v>0.0185185185185185</v>
      </c>
      <c r="Y1205" s="63" t="n">
        <f aca="false">IFERROR(G1205/F1205,0)</f>
        <v>0.0972222222222222</v>
      </c>
      <c r="Z1205" s="59" t="n">
        <f aca="false">IF(E1205&gt;0,F1205*1000000000/E1205,"")</f>
        <v>74.6022250804392</v>
      </c>
      <c r="AA1205" s="63" t="n">
        <f aca="false">IFERROR((R1205+S1205+J1205)/F1205,0)</f>
        <v>1</v>
      </c>
      <c r="AB1205" s="0" t="str">
        <f aca="false">A1205&amp;"|"&amp;D1205</f>
        <v>Madagascar|2020</v>
      </c>
    </row>
    <row r="1206" customFormat="false" ht="15" hidden="false" customHeight="false" outlineLevel="0" collapsed="false">
      <c r="A1206" s="0" t="s">
        <v>295</v>
      </c>
      <c r="B1206" s="0" t="s">
        <v>534</v>
      </c>
      <c r="C1206" s="0" t="s">
        <v>127</v>
      </c>
      <c r="D1206" s="0" t="n">
        <v>2021</v>
      </c>
      <c r="E1206" s="59" t="n">
        <v>29691087</v>
      </c>
      <c r="F1206" s="60" t="n">
        <v>2.53</v>
      </c>
      <c r="G1206" s="61" t="n">
        <v>0.47</v>
      </c>
      <c r="H1206" s="61" t="n">
        <v>0</v>
      </c>
      <c r="I1206" s="61" t="n">
        <v>1.22</v>
      </c>
      <c r="J1206" s="61" t="n">
        <v>0</v>
      </c>
      <c r="K1206" s="61" t="n">
        <v>0.77</v>
      </c>
      <c r="L1206" s="61" t="n">
        <v>0.04</v>
      </c>
      <c r="M1206" s="61" t="n">
        <v>0</v>
      </c>
      <c r="N1206" s="61" t="n">
        <v>0.03</v>
      </c>
      <c r="O1206" s="61" t="n">
        <v>0</v>
      </c>
      <c r="P1206" s="62" t="n">
        <v>486.2</v>
      </c>
      <c r="Q1206" s="0" t="n">
        <v>0</v>
      </c>
      <c r="R1206" s="60" t="n">
        <f aca="false">G1206+H1206+I1206</f>
        <v>1.69</v>
      </c>
      <c r="S1206" s="60" t="n">
        <f aca="false">K1206+L1206+M1206+N1206+O1206</f>
        <v>0.84</v>
      </c>
      <c r="T1206" s="60" t="n">
        <f aca="false">L1206+M1206</f>
        <v>0.04</v>
      </c>
      <c r="U1206" s="60" t="n">
        <f aca="false">S1206+J1206</f>
        <v>0.84</v>
      </c>
      <c r="V1206" s="63" t="n">
        <f aca="false">IFERROR(S1206/F1206,0)</f>
        <v>0.33201581027668</v>
      </c>
      <c r="W1206" s="63" t="n">
        <f aca="false">IFERROR(R1206/F1206,0)</f>
        <v>0.66798418972332</v>
      </c>
      <c r="X1206" s="63" t="n">
        <f aca="false">IFERROR(T1206/F1206,0)</f>
        <v>0.0158102766798419</v>
      </c>
      <c r="Y1206" s="63" t="n">
        <f aca="false">IFERROR(G1206/F1206,0)</f>
        <v>0.185770750988142</v>
      </c>
      <c r="Z1206" s="59" t="n">
        <f aca="false">IF(E1206&gt;0,F1206*1000000000/E1206,"")</f>
        <v>85.2107570194382</v>
      </c>
      <c r="AA1206" s="63" t="n">
        <f aca="false">IFERROR((R1206+S1206+J1206)/F1206,0)</f>
        <v>1</v>
      </c>
      <c r="AB1206" s="0" t="str">
        <f aca="false">A1206&amp;"|"&amp;D1206</f>
        <v>Madagascar|2021</v>
      </c>
    </row>
    <row r="1207" customFormat="false" ht="15" hidden="false" customHeight="false" outlineLevel="0" collapsed="false">
      <c r="A1207" s="0" t="s">
        <v>295</v>
      </c>
      <c r="B1207" s="0" t="s">
        <v>534</v>
      </c>
      <c r="C1207" s="0" t="s">
        <v>127</v>
      </c>
      <c r="D1207" s="0" t="n">
        <v>2022</v>
      </c>
      <c r="E1207" s="59" t="n">
        <v>30437261</v>
      </c>
      <c r="F1207" s="60" t="n">
        <v>2.64</v>
      </c>
      <c r="G1207" s="61" t="n">
        <v>0.51</v>
      </c>
      <c r="H1207" s="61" t="n">
        <v>0</v>
      </c>
      <c r="I1207" s="61" t="n">
        <v>1.2</v>
      </c>
      <c r="J1207" s="61" t="n">
        <v>0</v>
      </c>
      <c r="K1207" s="61" t="n">
        <v>0.82</v>
      </c>
      <c r="L1207" s="61" t="n">
        <v>0.08</v>
      </c>
      <c r="M1207" s="61" t="n">
        <v>0</v>
      </c>
      <c r="N1207" s="61" t="n">
        <v>0.03</v>
      </c>
      <c r="O1207" s="61" t="n">
        <v>0</v>
      </c>
      <c r="P1207" s="62" t="n">
        <v>477.3</v>
      </c>
      <c r="Q1207" s="0" t="n">
        <v>0</v>
      </c>
      <c r="R1207" s="60" t="n">
        <f aca="false">G1207+H1207+I1207</f>
        <v>1.71</v>
      </c>
      <c r="S1207" s="60" t="n">
        <f aca="false">K1207+L1207+M1207+N1207+O1207</f>
        <v>0.93</v>
      </c>
      <c r="T1207" s="60" t="n">
        <f aca="false">L1207+M1207</f>
        <v>0.08</v>
      </c>
      <c r="U1207" s="60" t="n">
        <f aca="false">S1207+J1207</f>
        <v>0.93</v>
      </c>
      <c r="V1207" s="63" t="n">
        <f aca="false">IFERROR(S1207/F1207,0)</f>
        <v>0.352272727272727</v>
      </c>
      <c r="W1207" s="63" t="n">
        <f aca="false">IFERROR(R1207/F1207,0)</f>
        <v>0.647727272727273</v>
      </c>
      <c r="X1207" s="63" t="n">
        <f aca="false">IFERROR(T1207/F1207,0)</f>
        <v>0.0303030303030303</v>
      </c>
      <c r="Y1207" s="63" t="n">
        <f aca="false">IFERROR(G1207/F1207,0)</f>
        <v>0.193181818181818</v>
      </c>
      <c r="Z1207" s="59" t="n">
        <f aca="false">IF(E1207&gt;0,F1207*1000000000/E1207,"")</f>
        <v>86.7357939993352</v>
      </c>
      <c r="AA1207" s="63" t="n">
        <f aca="false">IFERROR((R1207+S1207+J1207)/F1207,0)</f>
        <v>1</v>
      </c>
      <c r="AB1207" s="0" t="str">
        <f aca="false">A1207&amp;"|"&amp;D1207</f>
        <v>Madagascar|2022</v>
      </c>
    </row>
    <row r="1208" customFormat="false" ht="15" hidden="false" customHeight="false" outlineLevel="0" collapsed="false">
      <c r="A1208" s="0" t="s">
        <v>295</v>
      </c>
      <c r="B1208" s="0" t="s">
        <v>534</v>
      </c>
      <c r="C1208" s="0" t="s">
        <v>127</v>
      </c>
      <c r="D1208" s="0" t="n">
        <v>2023</v>
      </c>
      <c r="E1208" s="59" t="n">
        <v>31195937</v>
      </c>
      <c r="F1208" s="60" t="n">
        <v>2.48</v>
      </c>
      <c r="G1208" s="61" t="n">
        <v>0.51</v>
      </c>
      <c r="H1208" s="61" t="n">
        <v>0</v>
      </c>
      <c r="I1208" s="61" t="n">
        <v>0.88</v>
      </c>
      <c r="J1208" s="61" t="n">
        <v>0</v>
      </c>
      <c r="K1208" s="61" t="n">
        <v>0.98</v>
      </c>
      <c r="L1208" s="61" t="n">
        <v>0.08</v>
      </c>
      <c r="M1208" s="61" t="n">
        <v>0</v>
      </c>
      <c r="N1208" s="61" t="n">
        <v>0.03</v>
      </c>
      <c r="O1208" s="61" t="n">
        <v>0</v>
      </c>
      <c r="P1208" s="62" t="n">
        <v>423.4</v>
      </c>
      <c r="Q1208" s="0" t="n">
        <v>0</v>
      </c>
      <c r="R1208" s="60" t="n">
        <f aca="false">G1208+H1208+I1208</f>
        <v>1.39</v>
      </c>
      <c r="S1208" s="60" t="n">
        <f aca="false">K1208+L1208+M1208+N1208+O1208</f>
        <v>1.09</v>
      </c>
      <c r="T1208" s="60" t="n">
        <f aca="false">L1208+M1208</f>
        <v>0.08</v>
      </c>
      <c r="U1208" s="60" t="n">
        <f aca="false">S1208+J1208</f>
        <v>1.09</v>
      </c>
      <c r="V1208" s="63" t="n">
        <f aca="false">IFERROR(S1208/F1208,0)</f>
        <v>0.439516129032258</v>
      </c>
      <c r="W1208" s="63" t="n">
        <f aca="false">IFERROR(R1208/F1208,0)</f>
        <v>0.560483870967742</v>
      </c>
      <c r="X1208" s="63" t="n">
        <f aca="false">IFERROR(T1208/F1208,0)</f>
        <v>0.032258064516129</v>
      </c>
      <c r="Y1208" s="63" t="n">
        <f aca="false">IFERROR(G1208/F1208,0)</f>
        <v>0.205645161290323</v>
      </c>
      <c r="Z1208" s="59" t="n">
        <f aca="false">IF(E1208&gt;0,F1208*1000000000/E1208,"")</f>
        <v>79.4975320023245</v>
      </c>
      <c r="AA1208" s="63" t="n">
        <f aca="false">IFERROR((R1208+S1208+J1208)/F1208,0)</f>
        <v>1</v>
      </c>
      <c r="AB1208" s="0" t="str">
        <f aca="false">A1208&amp;"|"&amp;D1208</f>
        <v>Madagascar|2023</v>
      </c>
    </row>
    <row r="1209" customFormat="false" ht="15" hidden="false" customHeight="false" outlineLevel="0" collapsed="false">
      <c r="A1209" s="0" t="s">
        <v>295</v>
      </c>
      <c r="B1209" s="0" t="s">
        <v>534</v>
      </c>
      <c r="C1209" s="0" t="s">
        <v>127</v>
      </c>
      <c r="D1209" s="0" t="n">
        <v>2024</v>
      </c>
      <c r="E1209" s="59" t="n">
        <v>31964960</v>
      </c>
      <c r="F1209" s="60" t="n">
        <v>2.43</v>
      </c>
      <c r="G1209" s="61" t="n">
        <v>0.5</v>
      </c>
      <c r="H1209" s="61" t="n">
        <v>0</v>
      </c>
      <c r="I1209" s="61" t="n">
        <v>0.9</v>
      </c>
      <c r="J1209" s="61" t="n">
        <v>0</v>
      </c>
      <c r="K1209" s="61" t="n">
        <v>0.9</v>
      </c>
      <c r="L1209" s="61" t="n">
        <v>0.1</v>
      </c>
      <c r="M1209" s="61" t="n">
        <v>0</v>
      </c>
      <c r="N1209" s="61" t="n">
        <v>0.03</v>
      </c>
      <c r="O1209" s="61" t="n">
        <v>0</v>
      </c>
      <c r="P1209" s="62" t="n">
        <v>432.1</v>
      </c>
      <c r="Q1209" s="0" t="n">
        <v>0</v>
      </c>
      <c r="R1209" s="60" t="n">
        <f aca="false">G1209+H1209+I1209</f>
        <v>1.4</v>
      </c>
      <c r="S1209" s="60" t="n">
        <f aca="false">K1209+L1209+M1209+N1209+O1209</f>
        <v>1.03</v>
      </c>
      <c r="T1209" s="60" t="n">
        <f aca="false">L1209+M1209</f>
        <v>0.1</v>
      </c>
      <c r="U1209" s="60" t="n">
        <f aca="false">S1209+J1209</f>
        <v>1.03</v>
      </c>
      <c r="V1209" s="63" t="n">
        <f aca="false">IFERROR(S1209/F1209,0)</f>
        <v>0.423868312757202</v>
      </c>
      <c r="W1209" s="63" t="n">
        <f aca="false">IFERROR(R1209/F1209,0)</f>
        <v>0.576131687242798</v>
      </c>
      <c r="X1209" s="63" t="n">
        <f aca="false">IFERROR(T1209/F1209,0)</f>
        <v>0.0411522633744856</v>
      </c>
      <c r="Y1209" s="63" t="n">
        <f aca="false">IFERROR(G1209/F1209,0)</f>
        <v>0.205761316872428</v>
      </c>
      <c r="Z1209" s="59" t="n">
        <f aca="false">IF(E1209&gt;0,F1209*1000000000/E1209,"")</f>
        <v>76.020742713271</v>
      </c>
      <c r="AA1209" s="63" t="n">
        <f aca="false">IFERROR((R1209+S1209+J1209)/F1209,0)</f>
        <v>1</v>
      </c>
      <c r="AB1209" s="0" t="str">
        <f aca="false">A1209&amp;"|"&amp;D1209</f>
        <v>Madagascar|2024</v>
      </c>
    </row>
    <row r="1210" customFormat="false" ht="15" hidden="false" customHeight="false" outlineLevel="0" collapsed="false">
      <c r="A1210" s="0" t="s">
        <v>296</v>
      </c>
      <c r="B1210" s="0" t="s">
        <v>535</v>
      </c>
      <c r="C1210" s="0" t="s">
        <v>127</v>
      </c>
      <c r="D1210" s="0" t="n">
        <v>2015</v>
      </c>
      <c r="E1210" s="59" t="n">
        <v>17085587</v>
      </c>
      <c r="F1210" s="60" t="n">
        <v>2.17</v>
      </c>
      <c r="G1210" s="61" t="n">
        <v>0</v>
      </c>
      <c r="H1210" s="61" t="n">
        <v>0</v>
      </c>
      <c r="I1210" s="61" t="n">
        <v>0.13</v>
      </c>
      <c r="J1210" s="61" t="n">
        <v>0</v>
      </c>
      <c r="K1210" s="61" t="n">
        <v>1.96</v>
      </c>
      <c r="L1210" s="61" t="n">
        <v>0.03</v>
      </c>
      <c r="M1210" s="61" t="n">
        <v>0</v>
      </c>
      <c r="N1210" s="61" t="n">
        <v>0.05</v>
      </c>
      <c r="O1210" s="61" t="n">
        <v>0</v>
      </c>
      <c r="P1210" s="62" t="n">
        <v>69.1</v>
      </c>
      <c r="Q1210" s="0" t="n">
        <v>0</v>
      </c>
      <c r="R1210" s="60" t="n">
        <f aca="false">G1210+H1210+I1210</f>
        <v>0.13</v>
      </c>
      <c r="S1210" s="60" t="n">
        <f aca="false">K1210+L1210+M1210+N1210+O1210</f>
        <v>2.04</v>
      </c>
      <c r="T1210" s="60" t="n">
        <f aca="false">L1210+M1210</f>
        <v>0.03</v>
      </c>
      <c r="U1210" s="60" t="n">
        <f aca="false">S1210+J1210</f>
        <v>2.04</v>
      </c>
      <c r="V1210" s="63" t="n">
        <f aca="false">IFERROR(S1210/F1210,0)</f>
        <v>0.940092165898618</v>
      </c>
      <c r="W1210" s="63" t="n">
        <f aca="false">IFERROR(R1210/F1210,0)</f>
        <v>0.0599078341013825</v>
      </c>
      <c r="X1210" s="63" t="n">
        <f aca="false">IFERROR(T1210/F1210,0)</f>
        <v>0.0138248847926267</v>
      </c>
      <c r="Y1210" s="63" t="n">
        <f aca="false">IFERROR(G1210/F1210,0)</f>
        <v>0</v>
      </c>
      <c r="Z1210" s="59" t="n">
        <f aca="false">IF(E1210&gt;0,F1210*1000000000/E1210,"")</f>
        <v>127.007635148854</v>
      </c>
      <c r="AA1210" s="63" t="n">
        <f aca="false">IFERROR((R1210+S1210+J1210)/F1210,0)</f>
        <v>1</v>
      </c>
      <c r="AB1210" s="0" t="str">
        <f aca="false">A1210&amp;"|"&amp;D1210</f>
        <v>Malawi|2015</v>
      </c>
    </row>
    <row r="1211" customFormat="false" ht="15" hidden="false" customHeight="false" outlineLevel="0" collapsed="false">
      <c r="A1211" s="0" t="s">
        <v>296</v>
      </c>
      <c r="B1211" s="0" t="s">
        <v>535</v>
      </c>
      <c r="C1211" s="0" t="s">
        <v>127</v>
      </c>
      <c r="D1211" s="0" t="n">
        <v>2016</v>
      </c>
      <c r="E1211" s="59" t="n">
        <v>17557741</v>
      </c>
      <c r="F1211" s="60" t="n">
        <v>2.15</v>
      </c>
      <c r="G1211" s="61" t="n">
        <v>0</v>
      </c>
      <c r="H1211" s="61" t="n">
        <v>0</v>
      </c>
      <c r="I1211" s="61" t="n">
        <v>0.13</v>
      </c>
      <c r="J1211" s="61" t="n">
        <v>0</v>
      </c>
      <c r="K1211" s="61" t="n">
        <v>1.94</v>
      </c>
      <c r="L1211" s="61" t="n">
        <v>0.03</v>
      </c>
      <c r="M1211" s="61" t="n">
        <v>0</v>
      </c>
      <c r="N1211" s="61" t="n">
        <v>0.05</v>
      </c>
      <c r="O1211" s="61" t="n">
        <v>0</v>
      </c>
      <c r="P1211" s="62" t="n">
        <v>69.8</v>
      </c>
      <c r="Q1211" s="0" t="n">
        <v>0</v>
      </c>
      <c r="R1211" s="60" t="n">
        <f aca="false">G1211+H1211+I1211</f>
        <v>0.13</v>
      </c>
      <c r="S1211" s="60" t="n">
        <f aca="false">K1211+L1211+M1211+N1211+O1211</f>
        <v>2.02</v>
      </c>
      <c r="T1211" s="60" t="n">
        <f aca="false">L1211+M1211</f>
        <v>0.03</v>
      </c>
      <c r="U1211" s="60" t="n">
        <f aca="false">S1211+J1211</f>
        <v>2.02</v>
      </c>
      <c r="V1211" s="63" t="n">
        <f aca="false">IFERROR(S1211/F1211,0)</f>
        <v>0.93953488372093</v>
      </c>
      <c r="W1211" s="63" t="n">
        <f aca="false">IFERROR(R1211/F1211,0)</f>
        <v>0.0604651162790698</v>
      </c>
      <c r="X1211" s="63" t="n">
        <f aca="false">IFERROR(T1211/F1211,0)</f>
        <v>0.013953488372093</v>
      </c>
      <c r="Y1211" s="63" t="n">
        <f aca="false">IFERROR(G1211/F1211,0)</f>
        <v>0</v>
      </c>
      <c r="Z1211" s="59" t="n">
        <f aca="false">IF(E1211&gt;0,F1211*1000000000/E1211,"")</f>
        <v>122.453110568153</v>
      </c>
      <c r="AA1211" s="63" t="n">
        <f aca="false">IFERROR((R1211+S1211+J1211)/F1211,0)</f>
        <v>1</v>
      </c>
      <c r="AB1211" s="0" t="str">
        <f aca="false">A1211&amp;"|"&amp;D1211</f>
        <v>Malawi|2016</v>
      </c>
    </row>
    <row r="1212" customFormat="false" ht="15" hidden="false" customHeight="false" outlineLevel="0" collapsed="false">
      <c r="A1212" s="0" t="s">
        <v>296</v>
      </c>
      <c r="B1212" s="0" t="s">
        <v>535</v>
      </c>
      <c r="C1212" s="0" t="s">
        <v>127</v>
      </c>
      <c r="D1212" s="0" t="n">
        <v>2017</v>
      </c>
      <c r="E1212" s="59" t="n">
        <v>18039714</v>
      </c>
      <c r="F1212" s="60" t="n">
        <v>1.91</v>
      </c>
      <c r="G1212" s="61" t="n">
        <v>0</v>
      </c>
      <c r="H1212" s="61" t="n">
        <v>0</v>
      </c>
      <c r="I1212" s="61" t="n">
        <v>0</v>
      </c>
      <c r="J1212" s="61" t="n">
        <v>0</v>
      </c>
      <c r="K1212" s="61" t="n">
        <v>1.82</v>
      </c>
      <c r="L1212" s="61" t="n">
        <v>0.04</v>
      </c>
      <c r="M1212" s="61" t="n">
        <v>0</v>
      </c>
      <c r="N1212" s="61" t="n">
        <v>0.05</v>
      </c>
      <c r="O1212" s="61" t="n">
        <v>0</v>
      </c>
      <c r="P1212" s="62" t="n">
        <v>26.2</v>
      </c>
      <c r="Q1212" s="0" t="n">
        <v>0</v>
      </c>
      <c r="R1212" s="60" t="n">
        <f aca="false">G1212+H1212+I1212</f>
        <v>0</v>
      </c>
      <c r="S1212" s="60" t="n">
        <f aca="false">K1212+L1212+M1212+N1212+O1212</f>
        <v>1.91</v>
      </c>
      <c r="T1212" s="60" t="n">
        <f aca="false">L1212+M1212</f>
        <v>0.04</v>
      </c>
      <c r="U1212" s="60" t="n">
        <f aca="false">S1212+J1212</f>
        <v>1.91</v>
      </c>
      <c r="V1212" s="63" t="n">
        <f aca="false">IFERROR(S1212/F1212,0)</f>
        <v>1</v>
      </c>
      <c r="W1212" s="63" t="n">
        <f aca="false">IFERROR(R1212/F1212,0)</f>
        <v>0</v>
      </c>
      <c r="X1212" s="63" t="n">
        <f aca="false">IFERROR(T1212/F1212,0)</f>
        <v>0.0209424083769634</v>
      </c>
      <c r="Y1212" s="63" t="n">
        <f aca="false">IFERROR(G1212/F1212,0)</f>
        <v>0</v>
      </c>
      <c r="Z1212" s="59" t="n">
        <f aca="false">IF(E1212&gt;0,F1212*1000000000/E1212,"")</f>
        <v>105.877510031478</v>
      </c>
      <c r="AA1212" s="63" t="n">
        <f aca="false">IFERROR((R1212+S1212+J1212)/F1212,0)</f>
        <v>1</v>
      </c>
      <c r="AB1212" s="0" t="str">
        <f aca="false">A1212&amp;"|"&amp;D1212</f>
        <v>Malawi|2017</v>
      </c>
    </row>
    <row r="1213" customFormat="false" ht="15" hidden="false" customHeight="false" outlineLevel="0" collapsed="false">
      <c r="A1213" s="0" t="s">
        <v>296</v>
      </c>
      <c r="B1213" s="0" t="s">
        <v>535</v>
      </c>
      <c r="C1213" s="0" t="s">
        <v>127</v>
      </c>
      <c r="D1213" s="0" t="n">
        <v>2018</v>
      </c>
      <c r="E1213" s="59" t="n">
        <v>18528086</v>
      </c>
      <c r="F1213" s="60" t="n">
        <v>1.81</v>
      </c>
      <c r="G1213" s="61" t="n">
        <v>0</v>
      </c>
      <c r="H1213" s="61" t="n">
        <v>0</v>
      </c>
      <c r="I1213" s="61" t="n">
        <v>0.33</v>
      </c>
      <c r="J1213" s="61" t="n">
        <v>0</v>
      </c>
      <c r="K1213" s="61" t="n">
        <v>1.42</v>
      </c>
      <c r="L1213" s="61" t="n">
        <v>0.01</v>
      </c>
      <c r="M1213" s="61" t="n">
        <v>0</v>
      </c>
      <c r="N1213" s="61" t="n">
        <v>0.05</v>
      </c>
      <c r="O1213" s="61" t="n">
        <v>0</v>
      </c>
      <c r="P1213" s="62" t="n">
        <v>143.7</v>
      </c>
      <c r="Q1213" s="0" t="n">
        <v>0</v>
      </c>
      <c r="R1213" s="60" t="n">
        <f aca="false">G1213+H1213+I1213</f>
        <v>0.33</v>
      </c>
      <c r="S1213" s="60" t="n">
        <f aca="false">K1213+L1213+M1213+N1213+O1213</f>
        <v>1.48</v>
      </c>
      <c r="T1213" s="60" t="n">
        <f aca="false">L1213+M1213</f>
        <v>0.01</v>
      </c>
      <c r="U1213" s="60" t="n">
        <f aca="false">S1213+J1213</f>
        <v>1.48</v>
      </c>
      <c r="V1213" s="63" t="n">
        <f aca="false">IFERROR(S1213/F1213,0)</f>
        <v>0.81767955801105</v>
      </c>
      <c r="W1213" s="63" t="n">
        <f aca="false">IFERROR(R1213/F1213,0)</f>
        <v>0.18232044198895</v>
      </c>
      <c r="X1213" s="63" t="n">
        <f aca="false">IFERROR(T1213/F1213,0)</f>
        <v>0.00552486187845304</v>
      </c>
      <c r="Y1213" s="63" t="n">
        <f aca="false">IFERROR(G1213/F1213,0)</f>
        <v>0</v>
      </c>
      <c r="Z1213" s="59" t="n">
        <f aca="false">IF(E1213&gt;0,F1213*1000000000/E1213,"")</f>
        <v>97.6895292908291</v>
      </c>
      <c r="AA1213" s="63" t="n">
        <f aca="false">IFERROR((R1213+S1213+J1213)/F1213,0)</f>
        <v>1</v>
      </c>
      <c r="AB1213" s="0" t="str">
        <f aca="false">A1213&amp;"|"&amp;D1213</f>
        <v>Malawi|2018</v>
      </c>
    </row>
    <row r="1214" customFormat="false" ht="15" hidden="false" customHeight="false" outlineLevel="0" collapsed="false">
      <c r="A1214" s="0" t="s">
        <v>296</v>
      </c>
      <c r="B1214" s="0" t="s">
        <v>535</v>
      </c>
      <c r="C1214" s="0" t="s">
        <v>127</v>
      </c>
      <c r="D1214" s="0" t="n">
        <v>2019</v>
      </c>
      <c r="E1214" s="59" t="n">
        <v>19025748</v>
      </c>
      <c r="F1214" s="60" t="n">
        <v>1.8</v>
      </c>
      <c r="G1214" s="61" t="n">
        <v>0</v>
      </c>
      <c r="H1214" s="61" t="n">
        <v>0</v>
      </c>
      <c r="I1214" s="61" t="n">
        <v>0.07</v>
      </c>
      <c r="J1214" s="61" t="n">
        <v>0</v>
      </c>
      <c r="K1214" s="61" t="n">
        <v>1.67</v>
      </c>
      <c r="L1214" s="61" t="n">
        <v>0.01</v>
      </c>
      <c r="M1214" s="61" t="n">
        <v>0</v>
      </c>
      <c r="N1214" s="61" t="n">
        <v>0.05</v>
      </c>
      <c r="O1214" s="61" t="n">
        <v>0</v>
      </c>
      <c r="P1214" s="62" t="n">
        <v>55.6</v>
      </c>
      <c r="Q1214" s="0" t="n">
        <v>0</v>
      </c>
      <c r="R1214" s="60" t="n">
        <f aca="false">G1214+H1214+I1214</f>
        <v>0.07</v>
      </c>
      <c r="S1214" s="60" t="n">
        <f aca="false">K1214+L1214+M1214+N1214+O1214</f>
        <v>1.73</v>
      </c>
      <c r="T1214" s="60" t="n">
        <f aca="false">L1214+M1214</f>
        <v>0.01</v>
      </c>
      <c r="U1214" s="60" t="n">
        <f aca="false">S1214+J1214</f>
        <v>1.73</v>
      </c>
      <c r="V1214" s="63" t="n">
        <f aca="false">IFERROR(S1214/F1214,0)</f>
        <v>0.961111111111111</v>
      </c>
      <c r="W1214" s="63" t="n">
        <f aca="false">IFERROR(R1214/F1214,0)</f>
        <v>0.0388888888888889</v>
      </c>
      <c r="X1214" s="63" t="n">
        <f aca="false">IFERROR(T1214/F1214,0)</f>
        <v>0.00555555555555556</v>
      </c>
      <c r="Y1214" s="63" t="n">
        <f aca="false">IFERROR(G1214/F1214,0)</f>
        <v>0</v>
      </c>
      <c r="Z1214" s="59" t="n">
        <f aca="false">IF(E1214&gt;0,F1214*1000000000/E1214,"")</f>
        <v>94.6086324700611</v>
      </c>
      <c r="AA1214" s="63" t="n">
        <f aca="false">IFERROR((R1214+S1214+J1214)/F1214,0)</f>
        <v>1</v>
      </c>
      <c r="AB1214" s="0" t="str">
        <f aca="false">A1214&amp;"|"&amp;D1214</f>
        <v>Malawi|2019</v>
      </c>
    </row>
    <row r="1215" customFormat="false" ht="15" hidden="false" customHeight="false" outlineLevel="0" collapsed="false">
      <c r="A1215" s="0" t="s">
        <v>296</v>
      </c>
      <c r="B1215" s="0" t="s">
        <v>535</v>
      </c>
      <c r="C1215" s="0" t="s">
        <v>127</v>
      </c>
      <c r="D1215" s="0" t="n">
        <v>2020</v>
      </c>
      <c r="E1215" s="59" t="n">
        <v>19533885</v>
      </c>
      <c r="F1215" s="60" t="n">
        <v>1.75</v>
      </c>
      <c r="G1215" s="61" t="n">
        <v>0</v>
      </c>
      <c r="H1215" s="61" t="n">
        <v>0</v>
      </c>
      <c r="I1215" s="61" t="n">
        <v>0.01</v>
      </c>
      <c r="J1215" s="61" t="n">
        <v>0</v>
      </c>
      <c r="K1215" s="61" t="n">
        <v>1.68</v>
      </c>
      <c r="L1215" s="61" t="n">
        <v>0.01</v>
      </c>
      <c r="M1215" s="61" t="n">
        <v>0</v>
      </c>
      <c r="N1215" s="61" t="n">
        <v>0.05</v>
      </c>
      <c r="O1215" s="61" t="n">
        <v>0</v>
      </c>
      <c r="P1215" s="62" t="n">
        <v>34.3</v>
      </c>
      <c r="Q1215" s="0" t="n">
        <v>0</v>
      </c>
      <c r="R1215" s="60" t="n">
        <f aca="false">G1215+H1215+I1215</f>
        <v>0.01</v>
      </c>
      <c r="S1215" s="60" t="n">
        <f aca="false">K1215+L1215+M1215+N1215+O1215</f>
        <v>1.74</v>
      </c>
      <c r="T1215" s="60" t="n">
        <f aca="false">L1215+M1215</f>
        <v>0.01</v>
      </c>
      <c r="U1215" s="60" t="n">
        <f aca="false">S1215+J1215</f>
        <v>1.74</v>
      </c>
      <c r="V1215" s="63" t="n">
        <f aca="false">IFERROR(S1215/F1215,0)</f>
        <v>0.994285714285714</v>
      </c>
      <c r="W1215" s="63" t="n">
        <f aca="false">IFERROR(R1215/F1215,0)</f>
        <v>0.00571428571428571</v>
      </c>
      <c r="X1215" s="63" t="n">
        <f aca="false">IFERROR(T1215/F1215,0)</f>
        <v>0.00571428571428571</v>
      </c>
      <c r="Y1215" s="63" t="n">
        <f aca="false">IFERROR(G1215/F1215,0)</f>
        <v>0</v>
      </c>
      <c r="Z1215" s="59" t="n">
        <f aca="false">IF(E1215&gt;0,F1215*1000000000/E1215,"")</f>
        <v>89.5879135154118</v>
      </c>
      <c r="AA1215" s="63" t="n">
        <f aca="false">IFERROR((R1215+S1215+J1215)/F1215,0)</f>
        <v>1</v>
      </c>
      <c r="AB1215" s="0" t="str">
        <f aca="false">A1215&amp;"|"&amp;D1215</f>
        <v>Malawi|2020</v>
      </c>
    </row>
    <row r="1216" customFormat="false" ht="15" hidden="false" customHeight="false" outlineLevel="0" collapsed="false">
      <c r="A1216" s="0" t="s">
        <v>296</v>
      </c>
      <c r="B1216" s="0" t="s">
        <v>535</v>
      </c>
      <c r="C1216" s="0" t="s">
        <v>127</v>
      </c>
      <c r="D1216" s="0" t="n">
        <v>2021</v>
      </c>
      <c r="E1216" s="59" t="n">
        <v>20047264</v>
      </c>
      <c r="F1216" s="60" t="n">
        <v>1.83</v>
      </c>
      <c r="G1216" s="61" t="n">
        <v>0</v>
      </c>
      <c r="H1216" s="61" t="n">
        <v>0</v>
      </c>
      <c r="I1216" s="61" t="n">
        <v>0.08</v>
      </c>
      <c r="J1216" s="61" t="n">
        <v>0</v>
      </c>
      <c r="K1216" s="61" t="n">
        <v>1.69</v>
      </c>
      <c r="L1216" s="61" t="n">
        <v>0.01</v>
      </c>
      <c r="M1216" s="61" t="n">
        <v>0</v>
      </c>
      <c r="N1216" s="61" t="n">
        <v>0.05</v>
      </c>
      <c r="O1216" s="61" t="n">
        <v>0</v>
      </c>
      <c r="P1216" s="62" t="n">
        <v>54.6</v>
      </c>
      <c r="Q1216" s="0" t="n">
        <v>0</v>
      </c>
      <c r="R1216" s="60" t="n">
        <f aca="false">G1216+H1216+I1216</f>
        <v>0.08</v>
      </c>
      <c r="S1216" s="60" t="n">
        <f aca="false">K1216+L1216+M1216+N1216+O1216</f>
        <v>1.75</v>
      </c>
      <c r="T1216" s="60" t="n">
        <f aca="false">L1216+M1216</f>
        <v>0.01</v>
      </c>
      <c r="U1216" s="60" t="n">
        <f aca="false">S1216+J1216</f>
        <v>1.75</v>
      </c>
      <c r="V1216" s="63" t="n">
        <f aca="false">IFERROR(S1216/F1216,0)</f>
        <v>0.956284153005464</v>
      </c>
      <c r="W1216" s="63" t="n">
        <f aca="false">IFERROR(R1216/F1216,0)</f>
        <v>0.0437158469945355</v>
      </c>
      <c r="X1216" s="63" t="n">
        <f aca="false">IFERROR(T1216/F1216,0)</f>
        <v>0.00546448087431694</v>
      </c>
      <c r="Y1216" s="63" t="n">
        <f aca="false">IFERROR(G1216/F1216,0)</f>
        <v>0</v>
      </c>
      <c r="Z1216" s="59" t="n">
        <f aca="false">IF(E1216&gt;0,F1216*1000000000/E1216,"")</f>
        <v>91.2842769966016</v>
      </c>
      <c r="AA1216" s="63" t="n">
        <f aca="false">IFERROR((R1216+S1216+J1216)/F1216,0)</f>
        <v>1</v>
      </c>
      <c r="AB1216" s="0" t="str">
        <f aca="false">A1216&amp;"|"&amp;D1216</f>
        <v>Malawi|2021</v>
      </c>
    </row>
    <row r="1217" customFormat="false" ht="15" hidden="false" customHeight="false" outlineLevel="0" collapsed="false">
      <c r="A1217" s="0" t="s">
        <v>296</v>
      </c>
      <c r="B1217" s="0" t="s">
        <v>535</v>
      </c>
      <c r="C1217" s="0" t="s">
        <v>127</v>
      </c>
      <c r="D1217" s="0" t="n">
        <v>2022</v>
      </c>
      <c r="E1217" s="59" t="n">
        <v>20568731</v>
      </c>
      <c r="F1217" s="60" t="n">
        <v>1.83</v>
      </c>
      <c r="G1217" s="61" t="n">
        <v>0</v>
      </c>
      <c r="H1217" s="61" t="n">
        <v>0</v>
      </c>
      <c r="I1217" s="61" t="n">
        <v>0.08</v>
      </c>
      <c r="J1217" s="61" t="n">
        <v>0</v>
      </c>
      <c r="K1217" s="61" t="n">
        <v>1.69</v>
      </c>
      <c r="L1217" s="61" t="n">
        <v>0.01</v>
      </c>
      <c r="M1217" s="61" t="n">
        <v>0</v>
      </c>
      <c r="N1217" s="61" t="n">
        <v>0.05</v>
      </c>
      <c r="O1217" s="61" t="n">
        <v>0</v>
      </c>
      <c r="P1217" s="62" t="n">
        <v>54.6</v>
      </c>
      <c r="Q1217" s="0" t="n">
        <v>0</v>
      </c>
      <c r="R1217" s="60" t="n">
        <f aca="false">G1217+H1217+I1217</f>
        <v>0.08</v>
      </c>
      <c r="S1217" s="60" t="n">
        <f aca="false">K1217+L1217+M1217+N1217+O1217</f>
        <v>1.75</v>
      </c>
      <c r="T1217" s="60" t="n">
        <f aca="false">L1217+M1217</f>
        <v>0.01</v>
      </c>
      <c r="U1217" s="60" t="n">
        <f aca="false">S1217+J1217</f>
        <v>1.75</v>
      </c>
      <c r="V1217" s="63" t="n">
        <f aca="false">IFERROR(S1217/F1217,0)</f>
        <v>0.956284153005464</v>
      </c>
      <c r="W1217" s="63" t="n">
        <f aca="false">IFERROR(R1217/F1217,0)</f>
        <v>0.0437158469945355</v>
      </c>
      <c r="X1217" s="63" t="n">
        <f aca="false">IFERROR(T1217/F1217,0)</f>
        <v>0.00546448087431694</v>
      </c>
      <c r="Y1217" s="63" t="n">
        <f aca="false">IFERROR(G1217/F1217,0)</f>
        <v>0</v>
      </c>
      <c r="Z1217" s="59" t="n">
        <f aca="false">IF(E1217&gt;0,F1217*1000000000/E1217,"")</f>
        <v>88.9700001424492</v>
      </c>
      <c r="AA1217" s="63" t="n">
        <f aca="false">IFERROR((R1217+S1217+J1217)/F1217,0)</f>
        <v>1</v>
      </c>
      <c r="AB1217" s="0" t="str">
        <f aca="false">A1217&amp;"|"&amp;D1217</f>
        <v>Malawi|2022</v>
      </c>
    </row>
    <row r="1218" customFormat="false" ht="15" hidden="false" customHeight="false" outlineLevel="0" collapsed="false">
      <c r="A1218" s="0" t="s">
        <v>296</v>
      </c>
      <c r="B1218" s="0" t="s">
        <v>535</v>
      </c>
      <c r="C1218" s="0" t="s">
        <v>127</v>
      </c>
      <c r="D1218" s="0" t="n">
        <v>2023</v>
      </c>
      <c r="E1218" s="59" t="n">
        <v>21104480</v>
      </c>
      <c r="F1218" s="60" t="n">
        <v>1.83</v>
      </c>
      <c r="G1218" s="61" t="n">
        <v>0</v>
      </c>
      <c r="H1218" s="61" t="n">
        <v>0</v>
      </c>
      <c r="I1218" s="61" t="n">
        <v>0.08</v>
      </c>
      <c r="J1218" s="61" t="n">
        <v>0</v>
      </c>
      <c r="K1218" s="61" t="n">
        <v>1.69</v>
      </c>
      <c r="L1218" s="61" t="n">
        <v>0.01</v>
      </c>
      <c r="M1218" s="61" t="n">
        <v>0</v>
      </c>
      <c r="N1218" s="61" t="n">
        <v>0.05</v>
      </c>
      <c r="O1218" s="61" t="n">
        <v>0</v>
      </c>
      <c r="P1218" s="62" t="n">
        <v>54.6</v>
      </c>
      <c r="Q1218" s="0" t="n">
        <v>0</v>
      </c>
      <c r="R1218" s="60" t="n">
        <f aca="false">G1218+H1218+I1218</f>
        <v>0.08</v>
      </c>
      <c r="S1218" s="60" t="n">
        <f aca="false">K1218+L1218+M1218+N1218+O1218</f>
        <v>1.75</v>
      </c>
      <c r="T1218" s="60" t="n">
        <f aca="false">L1218+M1218</f>
        <v>0.01</v>
      </c>
      <c r="U1218" s="60" t="n">
        <f aca="false">S1218+J1218</f>
        <v>1.75</v>
      </c>
      <c r="V1218" s="63" t="n">
        <f aca="false">IFERROR(S1218/F1218,0)</f>
        <v>0.956284153005464</v>
      </c>
      <c r="W1218" s="63" t="n">
        <f aca="false">IFERROR(R1218/F1218,0)</f>
        <v>0.0437158469945355</v>
      </c>
      <c r="X1218" s="63" t="n">
        <f aca="false">IFERROR(T1218/F1218,0)</f>
        <v>0.00546448087431694</v>
      </c>
      <c r="Y1218" s="63" t="n">
        <f aca="false">IFERROR(G1218/F1218,0)</f>
        <v>0</v>
      </c>
      <c r="Z1218" s="59" t="n">
        <f aca="false">IF(E1218&gt;0,F1218*1000000000/E1218,"")</f>
        <v>86.7114470482097</v>
      </c>
      <c r="AA1218" s="63" t="n">
        <f aca="false">IFERROR((R1218+S1218+J1218)/F1218,0)</f>
        <v>1</v>
      </c>
      <c r="AB1218" s="0" t="str">
        <f aca="false">A1218&amp;"|"&amp;D1218</f>
        <v>Malawi|2023</v>
      </c>
    </row>
    <row r="1219" customFormat="false" ht="15" hidden="false" customHeight="false" outlineLevel="0" collapsed="false">
      <c r="A1219" s="0" t="s">
        <v>296</v>
      </c>
      <c r="B1219" s="0" t="s">
        <v>535</v>
      </c>
      <c r="C1219" s="0" t="s">
        <v>127</v>
      </c>
      <c r="D1219" s="0" t="n">
        <v>2024</v>
      </c>
      <c r="E1219" s="59" t="n">
        <v>21655288</v>
      </c>
      <c r="F1219" s="60" t="n">
        <v>1.83</v>
      </c>
      <c r="G1219" s="61" t="n">
        <v>0</v>
      </c>
      <c r="H1219" s="61" t="n">
        <v>0</v>
      </c>
      <c r="I1219" s="61" t="n">
        <v>0.08</v>
      </c>
      <c r="J1219" s="61" t="n">
        <v>0</v>
      </c>
      <c r="K1219" s="61" t="n">
        <v>1.69</v>
      </c>
      <c r="L1219" s="61" t="n">
        <v>0.01</v>
      </c>
      <c r="M1219" s="61" t="n">
        <v>0</v>
      </c>
      <c r="N1219" s="61" t="n">
        <v>0.05</v>
      </c>
      <c r="O1219" s="61" t="n">
        <v>0</v>
      </c>
      <c r="P1219" s="62" t="n">
        <v>54.6</v>
      </c>
      <c r="Q1219" s="0" t="n">
        <v>0</v>
      </c>
      <c r="R1219" s="60" t="n">
        <f aca="false">G1219+H1219+I1219</f>
        <v>0.08</v>
      </c>
      <c r="S1219" s="60" t="n">
        <f aca="false">K1219+L1219+M1219+N1219+O1219</f>
        <v>1.75</v>
      </c>
      <c r="T1219" s="60" t="n">
        <f aca="false">L1219+M1219</f>
        <v>0.01</v>
      </c>
      <c r="U1219" s="60" t="n">
        <f aca="false">S1219+J1219</f>
        <v>1.75</v>
      </c>
      <c r="V1219" s="63" t="n">
        <f aca="false">IFERROR(S1219/F1219,0)</f>
        <v>0.956284153005464</v>
      </c>
      <c r="W1219" s="63" t="n">
        <f aca="false">IFERROR(R1219/F1219,0)</f>
        <v>0.0437158469945355</v>
      </c>
      <c r="X1219" s="63" t="n">
        <f aca="false">IFERROR(T1219/F1219,0)</f>
        <v>0.00546448087431694</v>
      </c>
      <c r="Y1219" s="63" t="n">
        <f aca="false">IFERROR(G1219/F1219,0)</f>
        <v>0</v>
      </c>
      <c r="Z1219" s="59" t="n">
        <f aca="false">IF(E1219&gt;0,F1219*1000000000/E1219,"")</f>
        <v>84.5059183696841</v>
      </c>
      <c r="AA1219" s="63" t="n">
        <f aca="false">IFERROR((R1219+S1219+J1219)/F1219,0)</f>
        <v>1</v>
      </c>
      <c r="AB1219" s="0" t="str">
        <f aca="false">A1219&amp;"|"&amp;D1219</f>
        <v>Malawi|2024</v>
      </c>
    </row>
    <row r="1220" customFormat="false" ht="15" hidden="false" customHeight="false" outlineLevel="0" collapsed="false">
      <c r="A1220" s="0" t="s">
        <v>297</v>
      </c>
      <c r="B1220" s="0" t="s">
        <v>536</v>
      </c>
      <c r="C1220" s="0" t="s">
        <v>127</v>
      </c>
      <c r="D1220" s="0" t="n">
        <v>2015</v>
      </c>
      <c r="E1220" s="59" t="n">
        <v>31232796</v>
      </c>
      <c r="F1220" s="60" t="n">
        <v>150.11</v>
      </c>
      <c r="G1220" s="61" t="n">
        <v>63.47</v>
      </c>
      <c r="H1220" s="61" t="n">
        <v>69.96</v>
      </c>
      <c r="I1220" s="61" t="n">
        <v>1.74</v>
      </c>
      <c r="J1220" s="61" t="n">
        <v>0</v>
      </c>
      <c r="K1220" s="61" t="n">
        <v>13.92</v>
      </c>
      <c r="L1220" s="61" t="n">
        <v>0.27</v>
      </c>
      <c r="M1220" s="61" t="n">
        <v>0</v>
      </c>
      <c r="N1220" s="61" t="n">
        <v>0.75</v>
      </c>
      <c r="O1220" s="61" t="n">
        <v>0</v>
      </c>
      <c r="P1220" s="62" t="n">
        <v>669.2</v>
      </c>
      <c r="Q1220" s="0" t="n">
        <v>1</v>
      </c>
      <c r="R1220" s="60" t="n">
        <f aca="false">G1220+H1220+I1220</f>
        <v>135.17</v>
      </c>
      <c r="S1220" s="60" t="n">
        <f aca="false">K1220+L1220+M1220+N1220+O1220</f>
        <v>14.94</v>
      </c>
      <c r="T1220" s="60" t="n">
        <f aca="false">L1220+M1220</f>
        <v>0.27</v>
      </c>
      <c r="U1220" s="60" t="n">
        <f aca="false">S1220+J1220</f>
        <v>14.94</v>
      </c>
      <c r="V1220" s="63" t="n">
        <f aca="false">IFERROR(S1220/F1220,0)</f>
        <v>0.0995270135234162</v>
      </c>
      <c r="W1220" s="63" t="n">
        <f aca="false">IFERROR(R1220/F1220,0)</f>
        <v>0.900472986476584</v>
      </c>
      <c r="X1220" s="63" t="n">
        <f aca="false">IFERROR(T1220/F1220,0)</f>
        <v>0.00179868096729065</v>
      </c>
      <c r="Y1220" s="63" t="n">
        <f aca="false">IFERROR(G1220/F1220,0)</f>
        <v>0.42282326294051</v>
      </c>
      <c r="Z1220" s="59" t="n">
        <f aca="false">IF(E1220&gt;0,F1220*1000000000/E1220,"")</f>
        <v>4806.16592891651</v>
      </c>
      <c r="AA1220" s="63" t="n">
        <f aca="false">IFERROR((R1220+S1220+J1220)/F1220,0)</f>
        <v>1</v>
      </c>
      <c r="AB1220" s="0" t="str">
        <f aca="false">A1220&amp;"|"&amp;D1220</f>
        <v>Malaysia|2015</v>
      </c>
    </row>
    <row r="1221" customFormat="false" ht="15" hidden="false" customHeight="false" outlineLevel="0" collapsed="false">
      <c r="A1221" s="0" t="s">
        <v>297</v>
      </c>
      <c r="B1221" s="0" t="s">
        <v>536</v>
      </c>
      <c r="C1221" s="0" t="s">
        <v>127</v>
      </c>
      <c r="D1221" s="0" t="n">
        <v>2016</v>
      </c>
      <c r="E1221" s="59" t="n">
        <v>31789692</v>
      </c>
      <c r="F1221" s="60" t="n">
        <v>156.65</v>
      </c>
      <c r="G1221" s="61" t="n">
        <v>69.15</v>
      </c>
      <c r="H1221" s="61" t="n">
        <v>65.23</v>
      </c>
      <c r="I1221" s="61" t="n">
        <v>1.18</v>
      </c>
      <c r="J1221" s="61" t="n">
        <v>0</v>
      </c>
      <c r="K1221" s="61" t="n">
        <v>20.02</v>
      </c>
      <c r="L1221" s="61" t="n">
        <v>0.31</v>
      </c>
      <c r="M1221" s="61" t="n">
        <v>0</v>
      </c>
      <c r="N1221" s="61" t="n">
        <v>0.76</v>
      </c>
      <c r="O1221" s="61" t="n">
        <v>0</v>
      </c>
      <c r="P1221" s="62" t="n">
        <v>649.3</v>
      </c>
      <c r="Q1221" s="0" t="n">
        <v>1</v>
      </c>
      <c r="R1221" s="60" t="n">
        <f aca="false">G1221+H1221+I1221</f>
        <v>135.56</v>
      </c>
      <c r="S1221" s="60" t="n">
        <f aca="false">K1221+L1221+M1221+N1221+O1221</f>
        <v>21.09</v>
      </c>
      <c r="T1221" s="60" t="n">
        <f aca="false">L1221+M1221</f>
        <v>0.31</v>
      </c>
      <c r="U1221" s="60" t="n">
        <f aca="false">S1221+J1221</f>
        <v>21.09</v>
      </c>
      <c r="V1221" s="63" t="n">
        <f aca="false">IFERROR(S1221/F1221,0)</f>
        <v>0.134631343759974</v>
      </c>
      <c r="W1221" s="63" t="n">
        <f aca="false">IFERROR(R1221/F1221,0)</f>
        <v>0.865368656240026</v>
      </c>
      <c r="X1221" s="63" t="n">
        <f aca="false">IFERROR(T1221/F1221,0)</f>
        <v>0.0019789339291414</v>
      </c>
      <c r="Y1221" s="63" t="n">
        <f aca="false">IFERROR(G1221/F1221,0)</f>
        <v>0.441429939355251</v>
      </c>
      <c r="Z1221" s="59" t="n">
        <f aca="false">IF(E1221&gt;0,F1221*1000000000/E1221,"")</f>
        <v>4927.69794686907</v>
      </c>
      <c r="AA1221" s="63" t="n">
        <f aca="false">IFERROR((R1221+S1221+J1221)/F1221,0)</f>
        <v>1</v>
      </c>
      <c r="AB1221" s="0" t="str">
        <f aca="false">A1221&amp;"|"&amp;D1221</f>
        <v>Malaysia|2016</v>
      </c>
    </row>
    <row r="1222" customFormat="false" ht="15" hidden="false" customHeight="false" outlineLevel="0" collapsed="false">
      <c r="A1222" s="0" t="s">
        <v>297</v>
      </c>
      <c r="B1222" s="0" t="s">
        <v>536</v>
      </c>
      <c r="C1222" s="0" t="s">
        <v>127</v>
      </c>
      <c r="D1222" s="0" t="n">
        <v>2017</v>
      </c>
      <c r="E1222" s="59" t="n">
        <v>32355642</v>
      </c>
      <c r="F1222" s="60" t="n">
        <v>160.64</v>
      </c>
      <c r="G1222" s="61" t="n">
        <v>68.87</v>
      </c>
      <c r="H1222" s="61" t="n">
        <v>62.13</v>
      </c>
      <c r="I1222" s="61" t="n">
        <v>1.7</v>
      </c>
      <c r="J1222" s="61" t="n">
        <v>0</v>
      </c>
      <c r="K1222" s="61" t="n">
        <v>26.85</v>
      </c>
      <c r="L1222" s="61" t="n">
        <v>0.33</v>
      </c>
      <c r="M1222" s="61" t="n">
        <v>0</v>
      </c>
      <c r="N1222" s="61" t="n">
        <v>0.76</v>
      </c>
      <c r="O1222" s="61" t="n">
        <v>0</v>
      </c>
      <c r="P1222" s="62" t="n">
        <v>620.6</v>
      </c>
      <c r="Q1222" s="0" t="n">
        <v>1</v>
      </c>
      <c r="R1222" s="60" t="n">
        <f aca="false">G1222+H1222+I1222</f>
        <v>132.7</v>
      </c>
      <c r="S1222" s="60" t="n">
        <f aca="false">K1222+L1222+M1222+N1222+O1222</f>
        <v>27.94</v>
      </c>
      <c r="T1222" s="60" t="n">
        <f aca="false">L1222+M1222</f>
        <v>0.33</v>
      </c>
      <c r="U1222" s="60" t="n">
        <f aca="false">S1222+J1222</f>
        <v>27.94</v>
      </c>
      <c r="V1222" s="63" t="n">
        <f aca="false">IFERROR(S1222/F1222,0)</f>
        <v>0.173929282868526</v>
      </c>
      <c r="W1222" s="63" t="n">
        <f aca="false">IFERROR(R1222/F1222,0)</f>
        <v>0.826070717131474</v>
      </c>
      <c r="X1222" s="63" t="n">
        <f aca="false">IFERROR(T1222/F1222,0)</f>
        <v>0.0020542828685259</v>
      </c>
      <c r="Y1222" s="63" t="n">
        <f aca="false">IFERROR(G1222/F1222,0)</f>
        <v>0.428722609561753</v>
      </c>
      <c r="Z1222" s="59" t="n">
        <f aca="false">IF(E1222&gt;0,F1222*1000000000/E1222,"")</f>
        <v>4964.82190030413</v>
      </c>
      <c r="AA1222" s="63" t="n">
        <f aca="false">IFERROR((R1222+S1222+J1222)/F1222,0)</f>
        <v>1</v>
      </c>
      <c r="AB1222" s="0" t="str">
        <f aca="false">A1222&amp;"|"&amp;D1222</f>
        <v>Malaysia|2017</v>
      </c>
    </row>
    <row r="1223" customFormat="false" ht="15" hidden="false" customHeight="false" outlineLevel="0" collapsed="false">
      <c r="A1223" s="0" t="s">
        <v>297</v>
      </c>
      <c r="B1223" s="0" t="s">
        <v>536</v>
      </c>
      <c r="C1223" s="0" t="s">
        <v>127</v>
      </c>
      <c r="D1223" s="0" t="n">
        <v>2018</v>
      </c>
      <c r="E1223" s="59" t="n">
        <v>32910963</v>
      </c>
      <c r="F1223" s="60" t="n">
        <v>170.58</v>
      </c>
      <c r="G1223" s="61" t="n">
        <v>77.29</v>
      </c>
      <c r="H1223" s="61" t="n">
        <v>64.05</v>
      </c>
      <c r="I1223" s="61" t="n">
        <v>0.93</v>
      </c>
      <c r="J1223" s="61" t="n">
        <v>0</v>
      </c>
      <c r="K1223" s="61" t="n">
        <v>26.33</v>
      </c>
      <c r="L1223" s="61" t="n">
        <v>0.63</v>
      </c>
      <c r="M1223" s="61" t="n">
        <v>0</v>
      </c>
      <c r="N1223" s="61" t="n">
        <v>1.35</v>
      </c>
      <c r="O1223" s="61" t="n">
        <v>0</v>
      </c>
      <c r="P1223" s="62" t="n">
        <v>630.3</v>
      </c>
      <c r="Q1223" s="0" t="n">
        <v>1</v>
      </c>
      <c r="R1223" s="60" t="n">
        <f aca="false">G1223+H1223+I1223</f>
        <v>142.27</v>
      </c>
      <c r="S1223" s="60" t="n">
        <f aca="false">K1223+L1223+M1223+N1223+O1223</f>
        <v>28.31</v>
      </c>
      <c r="T1223" s="60" t="n">
        <f aca="false">L1223+M1223</f>
        <v>0.63</v>
      </c>
      <c r="U1223" s="60" t="n">
        <f aca="false">S1223+J1223</f>
        <v>28.31</v>
      </c>
      <c r="V1223" s="63" t="n">
        <f aca="false">IFERROR(S1223/F1223,0)</f>
        <v>0.165963184429593</v>
      </c>
      <c r="W1223" s="63" t="n">
        <f aca="false">IFERROR(R1223/F1223,0)</f>
        <v>0.834036815570407</v>
      </c>
      <c r="X1223" s="63" t="n">
        <f aca="false">IFERROR(T1223/F1223,0)</f>
        <v>0.00369328174463595</v>
      </c>
      <c r="Y1223" s="63" t="n">
        <f aca="false">IFERROR(G1223/F1223,0)</f>
        <v>0.453101184195099</v>
      </c>
      <c r="Z1223" s="59" t="n">
        <f aca="false">IF(E1223&gt;0,F1223*1000000000/E1223,"")</f>
        <v>5183.07531748615</v>
      </c>
      <c r="AA1223" s="63" t="n">
        <f aca="false">IFERROR((R1223+S1223+J1223)/F1223,0)</f>
        <v>1</v>
      </c>
      <c r="AB1223" s="0" t="str">
        <f aca="false">A1223&amp;"|"&amp;D1223</f>
        <v>Malaysia|2018</v>
      </c>
    </row>
    <row r="1224" customFormat="false" ht="15" hidden="false" customHeight="false" outlineLevel="0" collapsed="false">
      <c r="A1224" s="0" t="s">
        <v>297</v>
      </c>
      <c r="B1224" s="0" t="s">
        <v>536</v>
      </c>
      <c r="C1224" s="0" t="s">
        <v>127</v>
      </c>
      <c r="D1224" s="0" t="n">
        <v>2019</v>
      </c>
      <c r="E1224" s="59" t="n">
        <v>33440590</v>
      </c>
      <c r="F1224" s="60" t="n">
        <v>178.5</v>
      </c>
      <c r="G1224" s="61" t="n">
        <v>76.41</v>
      </c>
      <c r="H1224" s="61" t="n">
        <v>72.28</v>
      </c>
      <c r="I1224" s="61" t="n">
        <v>1.01</v>
      </c>
      <c r="J1224" s="61" t="n">
        <v>0</v>
      </c>
      <c r="K1224" s="61" t="n">
        <v>26.2</v>
      </c>
      <c r="L1224" s="61" t="n">
        <v>1.46</v>
      </c>
      <c r="M1224" s="61" t="n">
        <v>0</v>
      </c>
      <c r="N1224" s="61" t="n">
        <v>1.14</v>
      </c>
      <c r="O1224" s="61" t="n">
        <v>0</v>
      </c>
      <c r="P1224" s="62" t="n">
        <v>626</v>
      </c>
      <c r="Q1224" s="0" t="n">
        <v>1</v>
      </c>
      <c r="R1224" s="60" t="n">
        <f aca="false">G1224+H1224+I1224</f>
        <v>149.7</v>
      </c>
      <c r="S1224" s="60" t="n">
        <f aca="false">K1224+L1224+M1224+N1224+O1224</f>
        <v>28.8</v>
      </c>
      <c r="T1224" s="60" t="n">
        <f aca="false">L1224+M1224</f>
        <v>1.46</v>
      </c>
      <c r="U1224" s="60" t="n">
        <f aca="false">S1224+J1224</f>
        <v>28.8</v>
      </c>
      <c r="V1224" s="63" t="n">
        <f aca="false">IFERROR(S1224/F1224,0)</f>
        <v>0.161344537815126</v>
      </c>
      <c r="W1224" s="63" t="n">
        <f aca="false">IFERROR(R1224/F1224,0)</f>
        <v>0.838655462184874</v>
      </c>
      <c r="X1224" s="63" t="n">
        <f aca="false">IFERROR(T1224/F1224,0)</f>
        <v>0.00817927170868347</v>
      </c>
      <c r="Y1224" s="63" t="n">
        <f aca="false">IFERROR(G1224/F1224,0)</f>
        <v>0.428067226890756</v>
      </c>
      <c r="Z1224" s="59" t="n">
        <f aca="false">IF(E1224&gt;0,F1224*1000000000/E1224,"")</f>
        <v>5337.82448216374</v>
      </c>
      <c r="AA1224" s="63" t="n">
        <f aca="false">IFERROR((R1224+S1224+J1224)/F1224,0)</f>
        <v>1</v>
      </c>
      <c r="AB1224" s="0" t="str">
        <f aca="false">A1224&amp;"|"&amp;D1224</f>
        <v>Malaysia|2019</v>
      </c>
    </row>
    <row r="1225" customFormat="false" ht="15" hidden="false" customHeight="false" outlineLevel="0" collapsed="false">
      <c r="A1225" s="0" t="s">
        <v>297</v>
      </c>
      <c r="B1225" s="0" t="s">
        <v>536</v>
      </c>
      <c r="C1225" s="0" t="s">
        <v>127</v>
      </c>
      <c r="D1225" s="0" t="n">
        <v>2020</v>
      </c>
      <c r="E1225" s="59" t="n">
        <v>33889554</v>
      </c>
      <c r="F1225" s="60" t="n">
        <v>174.01</v>
      </c>
      <c r="G1225" s="61" t="n">
        <v>88.88</v>
      </c>
      <c r="H1225" s="61" t="n">
        <v>53.69</v>
      </c>
      <c r="I1225" s="61" t="n">
        <v>0.85</v>
      </c>
      <c r="J1225" s="61" t="n">
        <v>0</v>
      </c>
      <c r="K1225" s="61" t="n">
        <v>27.3</v>
      </c>
      <c r="L1225" s="61" t="n">
        <v>2.06</v>
      </c>
      <c r="M1225" s="61" t="n">
        <v>0</v>
      </c>
      <c r="N1225" s="61" t="n">
        <v>1.23</v>
      </c>
      <c r="O1225" s="61" t="n">
        <v>0</v>
      </c>
      <c r="P1225" s="62" t="n">
        <v>633.7</v>
      </c>
      <c r="Q1225" s="0" t="n">
        <v>1</v>
      </c>
      <c r="R1225" s="60" t="n">
        <f aca="false">G1225+H1225+I1225</f>
        <v>143.42</v>
      </c>
      <c r="S1225" s="60" t="n">
        <f aca="false">K1225+L1225+M1225+N1225+O1225</f>
        <v>30.59</v>
      </c>
      <c r="T1225" s="60" t="n">
        <f aca="false">L1225+M1225</f>
        <v>2.06</v>
      </c>
      <c r="U1225" s="60" t="n">
        <f aca="false">S1225+J1225</f>
        <v>30.59</v>
      </c>
      <c r="V1225" s="63" t="n">
        <f aca="false">IFERROR(S1225/F1225,0)</f>
        <v>0.175794494569278</v>
      </c>
      <c r="W1225" s="63" t="n">
        <f aca="false">IFERROR(R1225/F1225,0)</f>
        <v>0.824205505430722</v>
      </c>
      <c r="X1225" s="63" t="n">
        <f aca="false">IFERROR(T1225/F1225,0)</f>
        <v>0.0118384000919487</v>
      </c>
      <c r="Y1225" s="63" t="n">
        <f aca="false">IFERROR(G1225/F1225,0)</f>
        <v>0.510775242802138</v>
      </c>
      <c r="Z1225" s="59" t="n">
        <f aca="false">IF(E1225&gt;0,F1225*1000000000/E1225,"")</f>
        <v>5134.62053823429</v>
      </c>
      <c r="AA1225" s="63" t="n">
        <f aca="false">IFERROR((R1225+S1225+J1225)/F1225,0)</f>
        <v>1</v>
      </c>
      <c r="AB1225" s="0" t="str">
        <f aca="false">A1225&amp;"|"&amp;D1225</f>
        <v>Malaysia|2020</v>
      </c>
    </row>
    <row r="1226" customFormat="false" ht="15" hidden="false" customHeight="false" outlineLevel="0" collapsed="false">
      <c r="A1226" s="0" t="s">
        <v>297</v>
      </c>
      <c r="B1226" s="0" t="s">
        <v>536</v>
      </c>
      <c r="C1226" s="0" t="s">
        <v>127</v>
      </c>
      <c r="D1226" s="0" t="n">
        <v>2021</v>
      </c>
      <c r="E1226" s="59" t="n">
        <v>34282404</v>
      </c>
      <c r="F1226" s="60" t="n">
        <v>175.21</v>
      </c>
      <c r="G1226" s="61" t="n">
        <v>79.38</v>
      </c>
      <c r="H1226" s="61" t="n">
        <v>60.96</v>
      </c>
      <c r="I1226" s="61" t="n">
        <v>1.14</v>
      </c>
      <c r="J1226" s="61" t="n">
        <v>0</v>
      </c>
      <c r="K1226" s="61" t="n">
        <v>30.2</v>
      </c>
      <c r="L1226" s="61" t="n">
        <v>2.3</v>
      </c>
      <c r="M1226" s="61" t="n">
        <v>0</v>
      </c>
      <c r="N1226" s="61" t="n">
        <v>1.23</v>
      </c>
      <c r="O1226" s="61" t="n">
        <v>0</v>
      </c>
      <c r="P1226" s="62" t="n">
        <v>611.4</v>
      </c>
      <c r="Q1226" s="0" t="n">
        <v>1</v>
      </c>
      <c r="R1226" s="60" t="n">
        <f aca="false">G1226+H1226+I1226</f>
        <v>141.48</v>
      </c>
      <c r="S1226" s="60" t="n">
        <f aca="false">K1226+L1226+M1226+N1226+O1226</f>
        <v>33.73</v>
      </c>
      <c r="T1226" s="60" t="n">
        <f aca="false">L1226+M1226</f>
        <v>2.3</v>
      </c>
      <c r="U1226" s="60" t="n">
        <f aca="false">S1226+J1226</f>
        <v>33.73</v>
      </c>
      <c r="V1226" s="63" t="n">
        <f aca="false">IFERROR(S1226/F1226,0)</f>
        <v>0.19251184293134</v>
      </c>
      <c r="W1226" s="63" t="n">
        <f aca="false">IFERROR(R1226/F1226,0)</f>
        <v>0.80748815706866</v>
      </c>
      <c r="X1226" s="63" t="n">
        <f aca="false">IFERROR(T1226/F1226,0)</f>
        <v>0.0131271046173164</v>
      </c>
      <c r="Y1226" s="63" t="n">
        <f aca="false">IFERROR(G1226/F1226,0)</f>
        <v>0.453056332401119</v>
      </c>
      <c r="Z1226" s="59" t="n">
        <f aca="false">IF(E1226&gt;0,F1226*1000000000/E1226,"")</f>
        <v>5110.78511296932</v>
      </c>
      <c r="AA1226" s="63" t="n">
        <f aca="false">IFERROR((R1226+S1226+J1226)/F1226,0)</f>
        <v>1</v>
      </c>
      <c r="AB1226" s="0" t="str">
        <f aca="false">A1226&amp;"|"&amp;D1226</f>
        <v>Malaysia|2021</v>
      </c>
    </row>
    <row r="1227" customFormat="false" ht="15" hidden="false" customHeight="false" outlineLevel="0" collapsed="false">
      <c r="A1227" s="0" t="s">
        <v>297</v>
      </c>
      <c r="B1227" s="0" t="s">
        <v>536</v>
      </c>
      <c r="C1227" s="0" t="s">
        <v>127</v>
      </c>
      <c r="D1227" s="0" t="n">
        <v>2022</v>
      </c>
      <c r="E1227" s="59" t="n">
        <v>34695494</v>
      </c>
      <c r="F1227" s="60" t="n">
        <v>183.63</v>
      </c>
      <c r="G1227" s="61" t="n">
        <v>77.78</v>
      </c>
      <c r="H1227" s="61" t="n">
        <v>68.45</v>
      </c>
      <c r="I1227" s="61" t="n">
        <v>1.64</v>
      </c>
      <c r="J1227" s="61" t="n">
        <v>0</v>
      </c>
      <c r="K1227" s="61" t="n">
        <v>31.78</v>
      </c>
      <c r="L1227" s="61" t="n">
        <v>2.75</v>
      </c>
      <c r="M1227" s="61" t="n">
        <v>0</v>
      </c>
      <c r="N1227" s="61" t="n">
        <v>1.23</v>
      </c>
      <c r="O1227" s="61" t="n">
        <v>0</v>
      </c>
      <c r="P1227" s="62" t="n">
        <v>604</v>
      </c>
      <c r="Q1227" s="0" t="n">
        <v>1</v>
      </c>
      <c r="R1227" s="60" t="n">
        <f aca="false">G1227+H1227+I1227</f>
        <v>147.87</v>
      </c>
      <c r="S1227" s="60" t="n">
        <f aca="false">K1227+L1227+M1227+N1227+O1227</f>
        <v>35.76</v>
      </c>
      <c r="T1227" s="60" t="n">
        <f aca="false">L1227+M1227</f>
        <v>2.75</v>
      </c>
      <c r="U1227" s="60" t="n">
        <f aca="false">S1227+J1227</f>
        <v>35.76</v>
      </c>
      <c r="V1227" s="63" t="n">
        <f aca="false">IFERROR(S1227/F1227,0)</f>
        <v>0.194739421663127</v>
      </c>
      <c r="W1227" s="63" t="n">
        <f aca="false">IFERROR(R1227/F1227,0)</f>
        <v>0.805260578336873</v>
      </c>
      <c r="X1227" s="63" t="n">
        <f aca="false">IFERROR(T1227/F1227,0)</f>
        <v>0.0149757664869575</v>
      </c>
      <c r="Y1227" s="63" t="n">
        <f aca="false">IFERROR(G1227/F1227,0)</f>
        <v>0.423569133583837</v>
      </c>
      <c r="Z1227" s="59" t="n">
        <f aca="false">IF(E1227&gt;0,F1227*1000000000/E1227,"")</f>
        <v>5292.61811346453</v>
      </c>
      <c r="AA1227" s="63" t="n">
        <f aca="false">IFERROR((R1227+S1227+J1227)/F1227,0)</f>
        <v>1</v>
      </c>
      <c r="AB1227" s="0" t="str">
        <f aca="false">A1227&amp;"|"&amp;D1227</f>
        <v>Malaysia|2022</v>
      </c>
    </row>
    <row r="1228" customFormat="false" ht="15" hidden="false" customHeight="false" outlineLevel="0" collapsed="false">
      <c r="A1228" s="0" t="s">
        <v>297</v>
      </c>
      <c r="B1228" s="0" t="s">
        <v>536</v>
      </c>
      <c r="C1228" s="0" t="s">
        <v>127</v>
      </c>
      <c r="D1228" s="0" t="n">
        <v>2023</v>
      </c>
      <c r="E1228" s="59" t="n">
        <v>35126295</v>
      </c>
      <c r="F1228" s="60" t="n">
        <v>187.8</v>
      </c>
      <c r="G1228" s="61" t="n">
        <v>81.4</v>
      </c>
      <c r="H1228" s="61" t="n">
        <v>69.23</v>
      </c>
      <c r="I1228" s="61" t="n">
        <v>1.19</v>
      </c>
      <c r="J1228" s="61" t="n">
        <v>0</v>
      </c>
      <c r="K1228" s="61" t="n">
        <v>31.51</v>
      </c>
      <c r="L1228" s="61" t="n">
        <v>3.24</v>
      </c>
      <c r="M1228" s="61" t="n">
        <v>0</v>
      </c>
      <c r="N1228" s="61" t="n">
        <v>1.23</v>
      </c>
      <c r="O1228" s="61" t="n">
        <v>0</v>
      </c>
      <c r="P1228" s="62" t="n">
        <v>607.9</v>
      </c>
      <c r="Q1228" s="0" t="n">
        <v>1</v>
      </c>
      <c r="R1228" s="60" t="n">
        <f aca="false">G1228+H1228+I1228</f>
        <v>151.82</v>
      </c>
      <c r="S1228" s="60" t="n">
        <f aca="false">K1228+L1228+M1228+N1228+O1228</f>
        <v>35.98</v>
      </c>
      <c r="T1228" s="60" t="n">
        <f aca="false">L1228+M1228</f>
        <v>3.24</v>
      </c>
      <c r="U1228" s="60" t="n">
        <f aca="false">S1228+J1228</f>
        <v>35.98</v>
      </c>
      <c r="V1228" s="63" t="n">
        <f aca="false">IFERROR(S1228/F1228,0)</f>
        <v>0.191586794462194</v>
      </c>
      <c r="W1228" s="63" t="n">
        <f aca="false">IFERROR(R1228/F1228,0)</f>
        <v>0.808413205537806</v>
      </c>
      <c r="X1228" s="63" t="n">
        <f aca="false">IFERROR(T1228/F1228,0)</f>
        <v>0.0172523961661342</v>
      </c>
      <c r="Y1228" s="63" t="n">
        <f aca="false">IFERROR(G1228/F1228,0)</f>
        <v>0.433439829605964</v>
      </c>
      <c r="Z1228" s="59" t="n">
        <f aca="false">IF(E1228&gt;0,F1228*1000000000/E1228,"")</f>
        <v>5346.42210344131</v>
      </c>
      <c r="AA1228" s="63" t="n">
        <f aca="false">IFERROR((R1228+S1228+J1228)/F1228,0)</f>
        <v>1</v>
      </c>
      <c r="AB1228" s="0" t="str">
        <f aca="false">A1228&amp;"|"&amp;D1228</f>
        <v>Malaysia|2023</v>
      </c>
    </row>
    <row r="1229" customFormat="false" ht="15" hidden="false" customHeight="false" outlineLevel="0" collapsed="false">
      <c r="A1229" s="0" t="s">
        <v>297</v>
      </c>
      <c r="B1229" s="0" t="s">
        <v>536</v>
      </c>
      <c r="C1229" s="0" t="s">
        <v>127</v>
      </c>
      <c r="D1229" s="0" t="n">
        <v>2024</v>
      </c>
      <c r="E1229" s="59" t="n">
        <v>35557670</v>
      </c>
      <c r="F1229" s="60" t="n">
        <v>198.12</v>
      </c>
      <c r="G1229" s="61" t="n">
        <v>85.3</v>
      </c>
      <c r="H1229" s="61" t="n">
        <v>71.32</v>
      </c>
      <c r="I1229" s="61" t="n">
        <v>1.15</v>
      </c>
      <c r="J1229" s="61" t="n">
        <v>0</v>
      </c>
      <c r="K1229" s="61" t="n">
        <v>34.52</v>
      </c>
      <c r="L1229" s="61" t="n">
        <v>4.12</v>
      </c>
      <c r="M1229" s="61" t="n">
        <v>0</v>
      </c>
      <c r="N1229" s="61" t="n">
        <v>1.71</v>
      </c>
      <c r="O1229" s="61" t="n">
        <v>0</v>
      </c>
      <c r="P1229" s="62" t="n">
        <v>600.4</v>
      </c>
      <c r="Q1229" s="0" t="n">
        <v>1</v>
      </c>
      <c r="R1229" s="60" t="n">
        <f aca="false">G1229+H1229+I1229</f>
        <v>157.77</v>
      </c>
      <c r="S1229" s="60" t="n">
        <f aca="false">K1229+L1229+M1229+N1229+O1229</f>
        <v>40.35</v>
      </c>
      <c r="T1229" s="60" t="n">
        <f aca="false">L1229+M1229</f>
        <v>4.12</v>
      </c>
      <c r="U1229" s="60" t="n">
        <f aca="false">S1229+J1229</f>
        <v>40.35</v>
      </c>
      <c r="V1229" s="63" t="n">
        <f aca="false">IFERROR(S1229/F1229,0)</f>
        <v>0.20366444579043</v>
      </c>
      <c r="W1229" s="63" t="n">
        <f aca="false">IFERROR(R1229/F1229,0)</f>
        <v>0.79633555420957</v>
      </c>
      <c r="X1229" s="63" t="n">
        <f aca="false">IFERROR(T1229/F1229,0)</f>
        <v>0.0207954774883909</v>
      </c>
      <c r="Y1229" s="63" t="n">
        <f aca="false">IFERROR(G1229/F1229,0)</f>
        <v>0.430547143145568</v>
      </c>
      <c r="Z1229" s="59" t="n">
        <f aca="false">IF(E1229&gt;0,F1229*1000000000/E1229,"")</f>
        <v>5571.79365239623</v>
      </c>
      <c r="AA1229" s="63" t="n">
        <f aca="false">IFERROR((R1229+S1229+J1229)/F1229,0)</f>
        <v>1</v>
      </c>
      <c r="AB1229" s="0" t="str">
        <f aca="false">A1229&amp;"|"&amp;D1229</f>
        <v>Malaysia|2024</v>
      </c>
    </row>
    <row r="1230" customFormat="false" ht="15" hidden="false" customHeight="false" outlineLevel="0" collapsed="false">
      <c r="A1230" s="0" t="s">
        <v>297</v>
      </c>
      <c r="B1230" s="0" t="s">
        <v>536</v>
      </c>
      <c r="C1230" s="0" t="s">
        <v>127</v>
      </c>
      <c r="D1230" s="0" t="n">
        <v>2025</v>
      </c>
      <c r="E1230" s="59" t="n">
        <v>35977834</v>
      </c>
      <c r="F1230" s="60" t="n">
        <v>201.09</v>
      </c>
      <c r="G1230" s="61" t="n">
        <v>89.6</v>
      </c>
      <c r="H1230" s="61" t="n">
        <v>67.89</v>
      </c>
      <c r="I1230" s="61" t="n">
        <v>2.07</v>
      </c>
      <c r="J1230" s="61" t="n">
        <v>0</v>
      </c>
      <c r="K1230" s="61" t="n">
        <v>35.24</v>
      </c>
      <c r="L1230" s="61" t="n">
        <v>4.51</v>
      </c>
      <c r="M1230" s="61" t="n">
        <v>0</v>
      </c>
      <c r="N1230" s="61" t="n">
        <v>1.78</v>
      </c>
      <c r="O1230" s="61" t="n">
        <v>0</v>
      </c>
      <c r="P1230" s="62" t="n">
        <v>602</v>
      </c>
      <c r="Q1230" s="0" t="n">
        <v>2</v>
      </c>
      <c r="R1230" s="60" t="n">
        <f aca="false">G1230+H1230+I1230</f>
        <v>159.56</v>
      </c>
      <c r="S1230" s="60" t="n">
        <f aca="false">K1230+L1230+M1230+N1230+O1230</f>
        <v>41.53</v>
      </c>
      <c r="T1230" s="60" t="n">
        <f aca="false">L1230+M1230</f>
        <v>4.51</v>
      </c>
      <c r="U1230" s="60" t="n">
        <f aca="false">S1230+J1230</f>
        <v>41.53</v>
      </c>
      <c r="V1230" s="63" t="n">
        <f aca="false">IFERROR(S1230/F1230,0)</f>
        <v>0.206524441792232</v>
      </c>
      <c r="W1230" s="63" t="n">
        <f aca="false">IFERROR(R1230/F1230,0)</f>
        <v>0.793475558207768</v>
      </c>
      <c r="X1230" s="63" t="n">
        <f aca="false">IFERROR(T1230/F1230,0)</f>
        <v>0.0224277686607986</v>
      </c>
      <c r="Y1230" s="63" t="n">
        <f aca="false">IFERROR(G1230/F1230,0)</f>
        <v>0.445571634591476</v>
      </c>
      <c r="Z1230" s="59" t="n">
        <f aca="false">IF(E1230&gt;0,F1230*1000000000/E1230,"")</f>
        <v>5589.2747740178</v>
      </c>
      <c r="AA1230" s="63" t="n">
        <f aca="false">IFERROR((R1230+S1230+J1230)/F1230,0)</f>
        <v>1</v>
      </c>
      <c r="AB1230" s="0" t="str">
        <f aca="false">A1230&amp;"|"&amp;D1230</f>
        <v>Malaysia|2025</v>
      </c>
    </row>
    <row r="1231" customFormat="false" ht="15" hidden="false" customHeight="false" outlineLevel="0" collapsed="false">
      <c r="A1231" s="0" t="s">
        <v>298</v>
      </c>
      <c r="B1231" s="0" t="s">
        <v>537</v>
      </c>
      <c r="C1231" s="0" t="s">
        <v>127</v>
      </c>
      <c r="D1231" s="0" t="n">
        <v>2015</v>
      </c>
      <c r="E1231" s="59" t="n">
        <v>428165</v>
      </c>
      <c r="F1231" s="60" t="n">
        <v>0.62</v>
      </c>
      <c r="G1231" s="61" t="n">
        <v>0</v>
      </c>
      <c r="H1231" s="61" t="n">
        <v>0</v>
      </c>
      <c r="I1231" s="61" t="n">
        <v>0.61</v>
      </c>
      <c r="J1231" s="61" t="n">
        <v>0</v>
      </c>
      <c r="K1231" s="61" t="n">
        <v>0</v>
      </c>
      <c r="L1231" s="61" t="n">
        <v>0.01</v>
      </c>
      <c r="M1231" s="61" t="n">
        <v>0</v>
      </c>
      <c r="N1231" s="61" t="n">
        <v>0</v>
      </c>
      <c r="O1231" s="61" t="n">
        <v>0</v>
      </c>
      <c r="P1231" s="62" t="n">
        <v>645.2</v>
      </c>
      <c r="Q1231" s="0" t="n">
        <v>0</v>
      </c>
      <c r="R1231" s="60" t="n">
        <f aca="false">G1231+H1231+I1231</f>
        <v>0.61</v>
      </c>
      <c r="S1231" s="60" t="n">
        <f aca="false">K1231+L1231+M1231+N1231+O1231</f>
        <v>0.01</v>
      </c>
      <c r="T1231" s="60" t="n">
        <f aca="false">L1231+M1231</f>
        <v>0.01</v>
      </c>
      <c r="U1231" s="60" t="n">
        <f aca="false">S1231+J1231</f>
        <v>0.01</v>
      </c>
      <c r="V1231" s="63" t="n">
        <f aca="false">IFERROR(S1231/F1231,0)</f>
        <v>0.0161290322580645</v>
      </c>
      <c r="W1231" s="63" t="n">
        <f aca="false">IFERROR(R1231/F1231,0)</f>
        <v>0.983870967741936</v>
      </c>
      <c r="X1231" s="63" t="n">
        <f aca="false">IFERROR(T1231/F1231,0)</f>
        <v>0.0161290322580645</v>
      </c>
      <c r="Y1231" s="63" t="n">
        <f aca="false">IFERROR(G1231/F1231,0)</f>
        <v>0</v>
      </c>
      <c r="Z1231" s="59" t="n">
        <f aca="false">IF(E1231&gt;0,F1231*1000000000/E1231,"")</f>
        <v>1448.03989116345</v>
      </c>
      <c r="AA1231" s="63" t="n">
        <f aca="false">IFERROR((R1231+S1231+J1231)/F1231,0)</f>
        <v>1</v>
      </c>
      <c r="AB1231" s="0" t="str">
        <f aca="false">A1231&amp;"|"&amp;D1231</f>
        <v>Maldives|2015</v>
      </c>
    </row>
    <row r="1232" customFormat="false" ht="15" hidden="false" customHeight="false" outlineLevel="0" collapsed="false">
      <c r="A1232" s="0" t="s">
        <v>298</v>
      </c>
      <c r="B1232" s="0" t="s">
        <v>537</v>
      </c>
      <c r="C1232" s="0" t="s">
        <v>127</v>
      </c>
      <c r="D1232" s="0" t="n">
        <v>2016</v>
      </c>
      <c r="E1232" s="59" t="n">
        <v>443316</v>
      </c>
      <c r="F1232" s="60" t="n">
        <v>0.67</v>
      </c>
      <c r="G1232" s="61" t="n">
        <v>0</v>
      </c>
      <c r="H1232" s="61" t="n">
        <v>0</v>
      </c>
      <c r="I1232" s="61" t="n">
        <v>0.66</v>
      </c>
      <c r="J1232" s="61" t="n">
        <v>0</v>
      </c>
      <c r="K1232" s="61" t="n">
        <v>0</v>
      </c>
      <c r="L1232" s="61" t="n">
        <v>0.01</v>
      </c>
      <c r="M1232" s="61" t="n">
        <v>0</v>
      </c>
      <c r="N1232" s="61" t="n">
        <v>0</v>
      </c>
      <c r="O1232" s="61" t="n">
        <v>0</v>
      </c>
      <c r="P1232" s="62" t="n">
        <v>641.8</v>
      </c>
      <c r="Q1232" s="0" t="n">
        <v>0</v>
      </c>
      <c r="R1232" s="60" t="n">
        <f aca="false">G1232+H1232+I1232</f>
        <v>0.66</v>
      </c>
      <c r="S1232" s="60" t="n">
        <f aca="false">K1232+L1232+M1232+N1232+O1232</f>
        <v>0.01</v>
      </c>
      <c r="T1232" s="60" t="n">
        <f aca="false">L1232+M1232</f>
        <v>0.01</v>
      </c>
      <c r="U1232" s="60" t="n">
        <f aca="false">S1232+J1232</f>
        <v>0.01</v>
      </c>
      <c r="V1232" s="63" t="n">
        <f aca="false">IFERROR(S1232/F1232,0)</f>
        <v>0.0149253731343284</v>
      </c>
      <c r="W1232" s="63" t="n">
        <f aca="false">IFERROR(R1232/F1232,0)</f>
        <v>0.985074626865672</v>
      </c>
      <c r="X1232" s="63" t="n">
        <f aca="false">IFERROR(T1232/F1232,0)</f>
        <v>0.0149253731343284</v>
      </c>
      <c r="Y1232" s="63" t="n">
        <f aca="false">IFERROR(G1232/F1232,0)</f>
        <v>0</v>
      </c>
      <c r="Z1232" s="59" t="n">
        <f aca="false">IF(E1232&gt;0,F1232*1000000000/E1232,"")</f>
        <v>1511.33728536755</v>
      </c>
      <c r="AA1232" s="63" t="n">
        <f aca="false">IFERROR((R1232+S1232+J1232)/F1232,0)</f>
        <v>1</v>
      </c>
      <c r="AB1232" s="0" t="str">
        <f aca="false">A1232&amp;"|"&amp;D1232</f>
        <v>Maldives|2016</v>
      </c>
    </row>
    <row r="1233" customFormat="false" ht="15" hidden="false" customHeight="false" outlineLevel="0" collapsed="false">
      <c r="A1233" s="0" t="s">
        <v>298</v>
      </c>
      <c r="B1233" s="0" t="s">
        <v>537</v>
      </c>
      <c r="C1233" s="0" t="s">
        <v>127</v>
      </c>
      <c r="D1233" s="0" t="n">
        <v>2017</v>
      </c>
      <c r="E1233" s="59" t="n">
        <v>458297</v>
      </c>
      <c r="F1233" s="60" t="n">
        <v>0.73</v>
      </c>
      <c r="G1233" s="61" t="n">
        <v>0</v>
      </c>
      <c r="H1233" s="61" t="n">
        <v>0</v>
      </c>
      <c r="I1233" s="61" t="n">
        <v>0.71</v>
      </c>
      <c r="J1233" s="61" t="n">
        <v>0</v>
      </c>
      <c r="K1233" s="61" t="n">
        <v>0</v>
      </c>
      <c r="L1233" s="61" t="n">
        <v>0.02</v>
      </c>
      <c r="M1233" s="61" t="n">
        <v>0</v>
      </c>
      <c r="N1233" s="61" t="n">
        <v>0</v>
      </c>
      <c r="O1233" s="61" t="n">
        <v>0</v>
      </c>
      <c r="P1233" s="62" t="n">
        <v>643.8</v>
      </c>
      <c r="Q1233" s="0" t="n">
        <v>0</v>
      </c>
      <c r="R1233" s="60" t="n">
        <f aca="false">G1233+H1233+I1233</f>
        <v>0.71</v>
      </c>
      <c r="S1233" s="60" t="n">
        <f aca="false">K1233+L1233+M1233+N1233+O1233</f>
        <v>0.02</v>
      </c>
      <c r="T1233" s="60" t="n">
        <f aca="false">L1233+M1233</f>
        <v>0.02</v>
      </c>
      <c r="U1233" s="60" t="n">
        <f aca="false">S1233+J1233</f>
        <v>0.02</v>
      </c>
      <c r="V1233" s="63" t="n">
        <f aca="false">IFERROR(S1233/F1233,0)</f>
        <v>0.0273972602739726</v>
      </c>
      <c r="W1233" s="63" t="n">
        <f aca="false">IFERROR(R1233/F1233,0)</f>
        <v>0.972602739726027</v>
      </c>
      <c r="X1233" s="63" t="n">
        <f aca="false">IFERROR(T1233/F1233,0)</f>
        <v>0.0273972602739726</v>
      </c>
      <c r="Y1233" s="63" t="n">
        <f aca="false">IFERROR(G1233/F1233,0)</f>
        <v>0</v>
      </c>
      <c r="Z1233" s="59" t="n">
        <f aca="false">IF(E1233&gt;0,F1233*1000000000/E1233,"")</f>
        <v>1592.85354257174</v>
      </c>
      <c r="AA1233" s="63" t="n">
        <f aca="false">IFERROR((R1233+S1233+J1233)/F1233,0)</f>
        <v>1</v>
      </c>
      <c r="AB1233" s="0" t="str">
        <f aca="false">A1233&amp;"|"&amp;D1233</f>
        <v>Maldives|2017</v>
      </c>
    </row>
    <row r="1234" customFormat="false" ht="15" hidden="false" customHeight="false" outlineLevel="0" collapsed="false">
      <c r="A1234" s="0" t="s">
        <v>298</v>
      </c>
      <c r="B1234" s="0" t="s">
        <v>537</v>
      </c>
      <c r="C1234" s="0" t="s">
        <v>127</v>
      </c>
      <c r="D1234" s="0" t="n">
        <v>2018</v>
      </c>
      <c r="E1234" s="59" t="n">
        <v>473106</v>
      </c>
      <c r="F1234" s="60" t="n">
        <v>0.79</v>
      </c>
      <c r="G1234" s="61" t="n">
        <v>0</v>
      </c>
      <c r="H1234" s="61" t="n">
        <v>0</v>
      </c>
      <c r="I1234" s="61" t="n">
        <v>0.76</v>
      </c>
      <c r="J1234" s="61" t="n">
        <v>0</v>
      </c>
      <c r="K1234" s="61" t="n">
        <v>0</v>
      </c>
      <c r="L1234" s="61" t="n">
        <v>0.03</v>
      </c>
      <c r="M1234" s="61" t="n">
        <v>0</v>
      </c>
      <c r="N1234" s="61" t="n">
        <v>0</v>
      </c>
      <c r="O1234" s="61" t="n">
        <v>0</v>
      </c>
      <c r="P1234" s="62" t="n">
        <v>632.9</v>
      </c>
      <c r="Q1234" s="0" t="n">
        <v>0</v>
      </c>
      <c r="R1234" s="60" t="n">
        <f aca="false">G1234+H1234+I1234</f>
        <v>0.76</v>
      </c>
      <c r="S1234" s="60" t="n">
        <f aca="false">K1234+L1234+M1234+N1234+O1234</f>
        <v>0.03</v>
      </c>
      <c r="T1234" s="60" t="n">
        <f aca="false">L1234+M1234</f>
        <v>0.03</v>
      </c>
      <c r="U1234" s="60" t="n">
        <f aca="false">S1234+J1234</f>
        <v>0.03</v>
      </c>
      <c r="V1234" s="63" t="n">
        <f aca="false">IFERROR(S1234/F1234,0)</f>
        <v>0.0379746835443038</v>
      </c>
      <c r="W1234" s="63" t="n">
        <f aca="false">IFERROR(R1234/F1234,0)</f>
        <v>0.962025316455696</v>
      </c>
      <c r="X1234" s="63" t="n">
        <f aca="false">IFERROR(T1234/F1234,0)</f>
        <v>0.0379746835443038</v>
      </c>
      <c r="Y1234" s="63" t="n">
        <f aca="false">IFERROR(G1234/F1234,0)</f>
        <v>0</v>
      </c>
      <c r="Z1234" s="59" t="n">
        <f aca="false">IF(E1234&gt;0,F1234*1000000000/E1234,"")</f>
        <v>1669.81606658973</v>
      </c>
      <c r="AA1234" s="63" t="n">
        <f aca="false">IFERROR((R1234+S1234+J1234)/F1234,0)</f>
        <v>1</v>
      </c>
      <c r="AB1234" s="0" t="str">
        <f aca="false">A1234&amp;"|"&amp;D1234</f>
        <v>Maldives|2018</v>
      </c>
    </row>
    <row r="1235" customFormat="false" ht="15" hidden="false" customHeight="false" outlineLevel="0" collapsed="false">
      <c r="A1235" s="0" t="s">
        <v>298</v>
      </c>
      <c r="B1235" s="0" t="s">
        <v>537</v>
      </c>
      <c r="C1235" s="0" t="s">
        <v>127</v>
      </c>
      <c r="D1235" s="0" t="n">
        <v>2019</v>
      </c>
      <c r="E1235" s="59" t="n">
        <v>487737</v>
      </c>
      <c r="F1235" s="60" t="n">
        <v>0.81</v>
      </c>
      <c r="G1235" s="61" t="n">
        <v>0</v>
      </c>
      <c r="H1235" s="61" t="n">
        <v>0</v>
      </c>
      <c r="I1235" s="61" t="n">
        <v>0.78</v>
      </c>
      <c r="J1235" s="61" t="n">
        <v>0</v>
      </c>
      <c r="K1235" s="61" t="n">
        <v>0</v>
      </c>
      <c r="L1235" s="61" t="n">
        <v>0.03</v>
      </c>
      <c r="M1235" s="61" t="n">
        <v>0</v>
      </c>
      <c r="N1235" s="61" t="n">
        <v>0</v>
      </c>
      <c r="O1235" s="61" t="n">
        <v>0</v>
      </c>
      <c r="P1235" s="62" t="n">
        <v>629.6</v>
      </c>
      <c r="Q1235" s="0" t="n">
        <v>0</v>
      </c>
      <c r="R1235" s="60" t="n">
        <f aca="false">G1235+H1235+I1235</f>
        <v>0.78</v>
      </c>
      <c r="S1235" s="60" t="n">
        <f aca="false">K1235+L1235+M1235+N1235+O1235</f>
        <v>0.03</v>
      </c>
      <c r="T1235" s="60" t="n">
        <f aca="false">L1235+M1235</f>
        <v>0.03</v>
      </c>
      <c r="U1235" s="60" t="n">
        <f aca="false">S1235+J1235</f>
        <v>0.03</v>
      </c>
      <c r="V1235" s="63" t="n">
        <f aca="false">IFERROR(S1235/F1235,0)</f>
        <v>0.037037037037037</v>
      </c>
      <c r="W1235" s="63" t="n">
        <f aca="false">IFERROR(R1235/F1235,0)</f>
        <v>0.962962962962963</v>
      </c>
      <c r="X1235" s="63" t="n">
        <f aca="false">IFERROR(T1235/F1235,0)</f>
        <v>0.037037037037037</v>
      </c>
      <c r="Y1235" s="63" t="n">
        <f aca="false">IFERROR(G1235/F1235,0)</f>
        <v>0</v>
      </c>
      <c r="Z1235" s="59" t="n">
        <f aca="false">IF(E1235&gt;0,F1235*1000000000/E1235,"")</f>
        <v>1660.73109073128</v>
      </c>
      <c r="AA1235" s="63" t="n">
        <f aca="false">IFERROR((R1235+S1235+J1235)/F1235,0)</f>
        <v>1</v>
      </c>
      <c r="AB1235" s="0" t="str">
        <f aca="false">A1235&amp;"|"&amp;D1235</f>
        <v>Maldives|2019</v>
      </c>
    </row>
    <row r="1236" customFormat="false" ht="15" hidden="false" customHeight="false" outlineLevel="0" collapsed="false">
      <c r="A1236" s="0" t="s">
        <v>298</v>
      </c>
      <c r="B1236" s="0" t="s">
        <v>537</v>
      </c>
      <c r="C1236" s="0" t="s">
        <v>127</v>
      </c>
      <c r="D1236" s="0" t="n">
        <v>2020</v>
      </c>
      <c r="E1236" s="59" t="n">
        <v>502127</v>
      </c>
      <c r="F1236" s="60" t="n">
        <v>0.82</v>
      </c>
      <c r="G1236" s="61" t="n">
        <v>0</v>
      </c>
      <c r="H1236" s="61" t="n">
        <v>0</v>
      </c>
      <c r="I1236" s="61" t="n">
        <v>0.78</v>
      </c>
      <c r="J1236" s="61" t="n">
        <v>0</v>
      </c>
      <c r="K1236" s="61" t="n">
        <v>0</v>
      </c>
      <c r="L1236" s="61" t="n">
        <v>0.04</v>
      </c>
      <c r="M1236" s="61" t="n">
        <v>0</v>
      </c>
      <c r="N1236" s="61" t="n">
        <v>0</v>
      </c>
      <c r="O1236" s="61" t="n">
        <v>0</v>
      </c>
      <c r="P1236" s="62" t="n">
        <v>622</v>
      </c>
      <c r="Q1236" s="0" t="n">
        <v>0</v>
      </c>
      <c r="R1236" s="60" t="n">
        <f aca="false">G1236+H1236+I1236</f>
        <v>0.78</v>
      </c>
      <c r="S1236" s="60" t="n">
        <f aca="false">K1236+L1236+M1236+N1236+O1236</f>
        <v>0.04</v>
      </c>
      <c r="T1236" s="60" t="n">
        <f aca="false">L1236+M1236</f>
        <v>0.04</v>
      </c>
      <c r="U1236" s="60" t="n">
        <f aca="false">S1236+J1236</f>
        <v>0.04</v>
      </c>
      <c r="V1236" s="63" t="n">
        <f aca="false">IFERROR(S1236/F1236,0)</f>
        <v>0.0487804878048781</v>
      </c>
      <c r="W1236" s="63" t="n">
        <f aca="false">IFERROR(R1236/F1236,0)</f>
        <v>0.951219512195122</v>
      </c>
      <c r="X1236" s="63" t="n">
        <f aca="false">IFERROR(T1236/F1236,0)</f>
        <v>0.0487804878048781</v>
      </c>
      <c r="Y1236" s="63" t="n">
        <f aca="false">IFERROR(G1236/F1236,0)</f>
        <v>0</v>
      </c>
      <c r="Z1236" s="59" t="n">
        <f aca="false">IF(E1236&gt;0,F1236*1000000000/E1236,"")</f>
        <v>1633.05299256961</v>
      </c>
      <c r="AA1236" s="63" t="n">
        <f aca="false">IFERROR((R1236+S1236+J1236)/F1236,0)</f>
        <v>1</v>
      </c>
      <c r="AB1236" s="0" t="str">
        <f aca="false">A1236&amp;"|"&amp;D1236</f>
        <v>Maldives|2020</v>
      </c>
    </row>
    <row r="1237" customFormat="false" ht="15" hidden="false" customHeight="false" outlineLevel="0" collapsed="false">
      <c r="A1237" s="0" t="s">
        <v>298</v>
      </c>
      <c r="B1237" s="0" t="s">
        <v>537</v>
      </c>
      <c r="C1237" s="0" t="s">
        <v>127</v>
      </c>
      <c r="D1237" s="0" t="n">
        <v>2021</v>
      </c>
      <c r="E1237" s="59" t="n">
        <v>516163</v>
      </c>
      <c r="F1237" s="60" t="n">
        <v>0.84</v>
      </c>
      <c r="G1237" s="61" t="n">
        <v>0</v>
      </c>
      <c r="H1237" s="61" t="n">
        <v>0</v>
      </c>
      <c r="I1237" s="61" t="n">
        <v>0.79</v>
      </c>
      <c r="J1237" s="61" t="n">
        <v>0</v>
      </c>
      <c r="K1237" s="61" t="n">
        <v>0</v>
      </c>
      <c r="L1237" s="61" t="n">
        <v>0.05</v>
      </c>
      <c r="M1237" s="61" t="n">
        <v>0</v>
      </c>
      <c r="N1237" s="61" t="n">
        <v>0</v>
      </c>
      <c r="O1237" s="61" t="n">
        <v>0</v>
      </c>
      <c r="P1237" s="62" t="n">
        <v>619</v>
      </c>
      <c r="Q1237" s="0" t="n">
        <v>0</v>
      </c>
      <c r="R1237" s="60" t="n">
        <f aca="false">G1237+H1237+I1237</f>
        <v>0.79</v>
      </c>
      <c r="S1237" s="60" t="n">
        <f aca="false">K1237+L1237+M1237+N1237+O1237</f>
        <v>0.05</v>
      </c>
      <c r="T1237" s="60" t="n">
        <f aca="false">L1237+M1237</f>
        <v>0.05</v>
      </c>
      <c r="U1237" s="60" t="n">
        <f aca="false">S1237+J1237</f>
        <v>0.05</v>
      </c>
      <c r="V1237" s="63" t="n">
        <f aca="false">IFERROR(S1237/F1237,0)</f>
        <v>0.0595238095238095</v>
      </c>
      <c r="W1237" s="63" t="n">
        <f aca="false">IFERROR(R1237/F1237,0)</f>
        <v>0.940476190476191</v>
      </c>
      <c r="X1237" s="63" t="n">
        <f aca="false">IFERROR(T1237/F1237,0)</f>
        <v>0.0595238095238095</v>
      </c>
      <c r="Y1237" s="63" t="n">
        <f aca="false">IFERROR(G1237/F1237,0)</f>
        <v>0</v>
      </c>
      <c r="Z1237" s="59" t="n">
        <f aca="false">IF(E1237&gt;0,F1237*1000000000/E1237,"")</f>
        <v>1627.39289720495</v>
      </c>
      <c r="AA1237" s="63" t="n">
        <f aca="false">IFERROR((R1237+S1237+J1237)/F1237,0)</f>
        <v>1</v>
      </c>
      <c r="AB1237" s="0" t="str">
        <f aca="false">A1237&amp;"|"&amp;D1237</f>
        <v>Maldives|2021</v>
      </c>
    </row>
    <row r="1238" customFormat="false" ht="15" hidden="false" customHeight="false" outlineLevel="0" collapsed="false">
      <c r="A1238" s="0" t="s">
        <v>298</v>
      </c>
      <c r="B1238" s="0" t="s">
        <v>537</v>
      </c>
      <c r="C1238" s="0" t="s">
        <v>127</v>
      </c>
      <c r="D1238" s="0" t="n">
        <v>2022</v>
      </c>
      <c r="E1238" s="59" t="n">
        <v>524116</v>
      </c>
      <c r="F1238" s="60" t="n">
        <v>0.85</v>
      </c>
      <c r="G1238" s="61" t="n">
        <v>0</v>
      </c>
      <c r="H1238" s="61" t="n">
        <v>0</v>
      </c>
      <c r="I1238" s="61" t="n">
        <v>0.79</v>
      </c>
      <c r="J1238" s="61" t="n">
        <v>0</v>
      </c>
      <c r="K1238" s="61" t="n">
        <v>0</v>
      </c>
      <c r="L1238" s="61" t="n">
        <v>0.06</v>
      </c>
      <c r="M1238" s="61" t="n">
        <v>0</v>
      </c>
      <c r="N1238" s="61" t="n">
        <v>0</v>
      </c>
      <c r="O1238" s="61" t="n">
        <v>0</v>
      </c>
      <c r="P1238" s="62" t="n">
        <v>611.8</v>
      </c>
      <c r="Q1238" s="0" t="n">
        <v>0</v>
      </c>
      <c r="R1238" s="60" t="n">
        <f aca="false">G1238+H1238+I1238</f>
        <v>0.79</v>
      </c>
      <c r="S1238" s="60" t="n">
        <f aca="false">K1238+L1238+M1238+N1238+O1238</f>
        <v>0.06</v>
      </c>
      <c r="T1238" s="60" t="n">
        <f aca="false">L1238+M1238</f>
        <v>0.06</v>
      </c>
      <c r="U1238" s="60" t="n">
        <f aca="false">S1238+J1238</f>
        <v>0.06</v>
      </c>
      <c r="V1238" s="63" t="n">
        <f aca="false">IFERROR(S1238/F1238,0)</f>
        <v>0.0705882352941177</v>
      </c>
      <c r="W1238" s="63" t="n">
        <f aca="false">IFERROR(R1238/F1238,0)</f>
        <v>0.929411764705882</v>
      </c>
      <c r="X1238" s="63" t="n">
        <f aca="false">IFERROR(T1238/F1238,0)</f>
        <v>0.0705882352941177</v>
      </c>
      <c r="Y1238" s="63" t="n">
        <f aca="false">IFERROR(G1238/F1238,0)</f>
        <v>0</v>
      </c>
      <c r="Z1238" s="59" t="n">
        <f aca="false">IF(E1238&gt;0,F1238*1000000000/E1238,"")</f>
        <v>1621.77838493769</v>
      </c>
      <c r="AA1238" s="63" t="n">
        <f aca="false">IFERROR((R1238+S1238+J1238)/F1238,0)</f>
        <v>1</v>
      </c>
      <c r="AB1238" s="0" t="str">
        <f aca="false">A1238&amp;"|"&amp;D1238</f>
        <v>Maldives|2022</v>
      </c>
    </row>
    <row r="1239" customFormat="false" ht="15" hidden="false" customHeight="false" outlineLevel="0" collapsed="false">
      <c r="A1239" s="0" t="s">
        <v>298</v>
      </c>
      <c r="B1239" s="0" t="s">
        <v>537</v>
      </c>
      <c r="C1239" s="0" t="s">
        <v>127</v>
      </c>
      <c r="D1239" s="0" t="n">
        <v>2023</v>
      </c>
      <c r="E1239" s="59" t="n">
        <v>526009</v>
      </c>
      <c r="F1239" s="60" t="n">
        <v>0.85</v>
      </c>
      <c r="G1239" s="61" t="n">
        <v>0</v>
      </c>
      <c r="H1239" s="61" t="n">
        <v>0</v>
      </c>
      <c r="I1239" s="61" t="n">
        <v>0.79</v>
      </c>
      <c r="J1239" s="61" t="n">
        <v>0</v>
      </c>
      <c r="K1239" s="61" t="n">
        <v>0</v>
      </c>
      <c r="L1239" s="61" t="n">
        <v>0.06</v>
      </c>
      <c r="M1239" s="61" t="n">
        <v>0</v>
      </c>
      <c r="N1239" s="61" t="n">
        <v>0</v>
      </c>
      <c r="O1239" s="61" t="n">
        <v>0</v>
      </c>
      <c r="P1239" s="62" t="n">
        <v>611.8</v>
      </c>
      <c r="Q1239" s="0" t="n">
        <v>0</v>
      </c>
      <c r="R1239" s="60" t="n">
        <f aca="false">G1239+H1239+I1239</f>
        <v>0.79</v>
      </c>
      <c r="S1239" s="60" t="n">
        <f aca="false">K1239+L1239+M1239+N1239+O1239</f>
        <v>0.06</v>
      </c>
      <c r="T1239" s="60" t="n">
        <f aca="false">L1239+M1239</f>
        <v>0.06</v>
      </c>
      <c r="U1239" s="60" t="n">
        <f aca="false">S1239+J1239</f>
        <v>0.06</v>
      </c>
      <c r="V1239" s="63" t="n">
        <f aca="false">IFERROR(S1239/F1239,0)</f>
        <v>0.0705882352941177</v>
      </c>
      <c r="W1239" s="63" t="n">
        <f aca="false">IFERROR(R1239/F1239,0)</f>
        <v>0.929411764705882</v>
      </c>
      <c r="X1239" s="63" t="n">
        <f aca="false">IFERROR(T1239/F1239,0)</f>
        <v>0.0705882352941177</v>
      </c>
      <c r="Y1239" s="63" t="n">
        <f aca="false">IFERROR(G1239/F1239,0)</f>
        <v>0</v>
      </c>
      <c r="Z1239" s="59" t="n">
        <f aca="false">IF(E1239&gt;0,F1239*1000000000/E1239,"")</f>
        <v>1615.94193255248</v>
      </c>
      <c r="AA1239" s="63" t="n">
        <f aca="false">IFERROR((R1239+S1239+J1239)/F1239,0)</f>
        <v>1</v>
      </c>
      <c r="AB1239" s="0" t="str">
        <f aca="false">A1239&amp;"|"&amp;D1239</f>
        <v>Maldives|2023</v>
      </c>
    </row>
    <row r="1240" customFormat="false" ht="15" hidden="false" customHeight="false" outlineLevel="0" collapsed="false">
      <c r="A1240" s="0" t="s">
        <v>298</v>
      </c>
      <c r="B1240" s="0" t="s">
        <v>537</v>
      </c>
      <c r="C1240" s="0" t="s">
        <v>127</v>
      </c>
      <c r="D1240" s="0" t="n">
        <v>2024</v>
      </c>
      <c r="E1240" s="59" t="n">
        <v>527801</v>
      </c>
      <c r="F1240" s="60" t="n">
        <v>0.85</v>
      </c>
      <c r="G1240" s="61" t="n">
        <v>0</v>
      </c>
      <c r="H1240" s="61" t="n">
        <v>0</v>
      </c>
      <c r="I1240" s="61" t="n">
        <v>0.79</v>
      </c>
      <c r="J1240" s="61" t="n">
        <v>0</v>
      </c>
      <c r="K1240" s="61" t="n">
        <v>0</v>
      </c>
      <c r="L1240" s="61" t="n">
        <v>0.06</v>
      </c>
      <c r="M1240" s="61" t="n">
        <v>0</v>
      </c>
      <c r="N1240" s="61" t="n">
        <v>0</v>
      </c>
      <c r="O1240" s="61" t="n">
        <v>0</v>
      </c>
      <c r="P1240" s="62" t="n">
        <v>611.8</v>
      </c>
      <c r="Q1240" s="0" t="n">
        <v>0</v>
      </c>
      <c r="R1240" s="60" t="n">
        <f aca="false">G1240+H1240+I1240</f>
        <v>0.79</v>
      </c>
      <c r="S1240" s="60" t="n">
        <f aca="false">K1240+L1240+M1240+N1240+O1240</f>
        <v>0.06</v>
      </c>
      <c r="T1240" s="60" t="n">
        <f aca="false">L1240+M1240</f>
        <v>0.06</v>
      </c>
      <c r="U1240" s="60" t="n">
        <f aca="false">S1240+J1240</f>
        <v>0.06</v>
      </c>
      <c r="V1240" s="63" t="n">
        <f aca="false">IFERROR(S1240/F1240,0)</f>
        <v>0.0705882352941177</v>
      </c>
      <c r="W1240" s="63" t="n">
        <f aca="false">IFERROR(R1240/F1240,0)</f>
        <v>0.929411764705882</v>
      </c>
      <c r="X1240" s="63" t="n">
        <f aca="false">IFERROR(T1240/F1240,0)</f>
        <v>0.0705882352941177</v>
      </c>
      <c r="Y1240" s="63" t="n">
        <f aca="false">IFERROR(G1240/F1240,0)</f>
        <v>0</v>
      </c>
      <c r="Z1240" s="59" t="n">
        <f aca="false">IF(E1240&gt;0,F1240*1000000000/E1240,"")</f>
        <v>1610.45545574942</v>
      </c>
      <c r="AA1240" s="63" t="n">
        <f aca="false">IFERROR((R1240+S1240+J1240)/F1240,0)</f>
        <v>1</v>
      </c>
      <c r="AB1240" s="0" t="str">
        <f aca="false">A1240&amp;"|"&amp;D1240</f>
        <v>Maldives|2024</v>
      </c>
    </row>
    <row r="1241" customFormat="false" ht="15" hidden="false" customHeight="false" outlineLevel="0" collapsed="false">
      <c r="A1241" s="0" t="s">
        <v>299</v>
      </c>
      <c r="B1241" s="0" t="s">
        <v>538</v>
      </c>
      <c r="C1241" s="0" t="s">
        <v>127</v>
      </c>
      <c r="D1241" s="0" t="n">
        <v>2015</v>
      </c>
      <c r="E1241" s="59" t="n">
        <v>18593022</v>
      </c>
      <c r="F1241" s="60" t="n">
        <v>2.51</v>
      </c>
      <c r="G1241" s="61" t="n">
        <v>0</v>
      </c>
      <c r="H1241" s="61" t="n">
        <v>0</v>
      </c>
      <c r="I1241" s="61" t="n">
        <v>1.3</v>
      </c>
      <c r="J1241" s="61" t="n">
        <v>0</v>
      </c>
      <c r="K1241" s="61" t="n">
        <v>1.12</v>
      </c>
      <c r="L1241" s="61" t="n">
        <v>0.03</v>
      </c>
      <c r="M1241" s="61" t="n">
        <v>0</v>
      </c>
      <c r="N1241" s="61" t="n">
        <v>0.06</v>
      </c>
      <c r="O1241" s="61" t="n">
        <v>0</v>
      </c>
      <c r="P1241" s="62" t="n">
        <v>358.6</v>
      </c>
      <c r="Q1241" s="0" t="n">
        <v>0</v>
      </c>
      <c r="R1241" s="60" t="n">
        <f aca="false">G1241+H1241+I1241</f>
        <v>1.3</v>
      </c>
      <c r="S1241" s="60" t="n">
        <f aca="false">K1241+L1241+M1241+N1241+O1241</f>
        <v>1.21</v>
      </c>
      <c r="T1241" s="60" t="n">
        <f aca="false">L1241+M1241</f>
        <v>0.03</v>
      </c>
      <c r="U1241" s="60" t="n">
        <f aca="false">S1241+J1241</f>
        <v>1.21</v>
      </c>
      <c r="V1241" s="63" t="n">
        <f aca="false">IFERROR(S1241/F1241,0)</f>
        <v>0.482071713147411</v>
      </c>
      <c r="W1241" s="63" t="n">
        <f aca="false">IFERROR(R1241/F1241,0)</f>
        <v>0.51792828685259</v>
      </c>
      <c r="X1241" s="63" t="n">
        <f aca="false">IFERROR(T1241/F1241,0)</f>
        <v>0.0119521912350598</v>
      </c>
      <c r="Y1241" s="63" t="n">
        <f aca="false">IFERROR(G1241/F1241,0)</f>
        <v>0</v>
      </c>
      <c r="Z1241" s="59" t="n">
        <f aca="false">IF(E1241&gt;0,F1241*1000000000/E1241,"")</f>
        <v>134.996882163642</v>
      </c>
      <c r="AA1241" s="63" t="n">
        <f aca="false">IFERROR((R1241+S1241+J1241)/F1241,0)</f>
        <v>1</v>
      </c>
      <c r="AB1241" s="0" t="str">
        <f aca="false">A1241&amp;"|"&amp;D1241</f>
        <v>Mali|2015</v>
      </c>
    </row>
    <row r="1242" customFormat="false" ht="15" hidden="false" customHeight="false" outlineLevel="0" collapsed="false">
      <c r="A1242" s="0" t="s">
        <v>299</v>
      </c>
      <c r="B1242" s="0" t="s">
        <v>538</v>
      </c>
      <c r="C1242" s="0" t="s">
        <v>127</v>
      </c>
      <c r="D1242" s="0" t="n">
        <v>2016</v>
      </c>
      <c r="E1242" s="59" t="n">
        <v>19191298</v>
      </c>
      <c r="F1242" s="60" t="n">
        <v>3.02</v>
      </c>
      <c r="G1242" s="61" t="n">
        <v>0</v>
      </c>
      <c r="H1242" s="61" t="n">
        <v>0</v>
      </c>
      <c r="I1242" s="61" t="n">
        <v>1.45</v>
      </c>
      <c r="J1242" s="61" t="n">
        <v>0</v>
      </c>
      <c r="K1242" s="61" t="n">
        <v>1.48</v>
      </c>
      <c r="L1242" s="61" t="n">
        <v>0.03</v>
      </c>
      <c r="M1242" s="61" t="n">
        <v>0</v>
      </c>
      <c r="N1242" s="61" t="n">
        <v>0.06</v>
      </c>
      <c r="O1242" s="61" t="n">
        <v>0</v>
      </c>
      <c r="P1242" s="62" t="n">
        <v>331.1</v>
      </c>
      <c r="Q1242" s="0" t="n">
        <v>0</v>
      </c>
      <c r="R1242" s="60" t="n">
        <f aca="false">G1242+H1242+I1242</f>
        <v>1.45</v>
      </c>
      <c r="S1242" s="60" t="n">
        <f aca="false">K1242+L1242+M1242+N1242+O1242</f>
        <v>1.57</v>
      </c>
      <c r="T1242" s="60" t="n">
        <f aca="false">L1242+M1242</f>
        <v>0.03</v>
      </c>
      <c r="U1242" s="60" t="n">
        <f aca="false">S1242+J1242</f>
        <v>1.57</v>
      </c>
      <c r="V1242" s="63" t="n">
        <f aca="false">IFERROR(S1242/F1242,0)</f>
        <v>0.519867549668874</v>
      </c>
      <c r="W1242" s="63" t="n">
        <f aca="false">IFERROR(R1242/F1242,0)</f>
        <v>0.480132450331126</v>
      </c>
      <c r="X1242" s="63" t="n">
        <f aca="false">IFERROR(T1242/F1242,0)</f>
        <v>0.00993377483443709</v>
      </c>
      <c r="Y1242" s="63" t="n">
        <f aca="false">IFERROR(G1242/F1242,0)</f>
        <v>0</v>
      </c>
      <c r="Z1242" s="59" t="n">
        <f aca="false">IF(E1242&gt;0,F1242*1000000000/E1242,"")</f>
        <v>157.362988162656</v>
      </c>
      <c r="AA1242" s="63" t="n">
        <f aca="false">IFERROR((R1242+S1242+J1242)/F1242,0)</f>
        <v>1</v>
      </c>
      <c r="AB1242" s="0" t="str">
        <f aca="false">A1242&amp;"|"&amp;D1242</f>
        <v>Mali|2016</v>
      </c>
    </row>
    <row r="1243" customFormat="false" ht="15" hidden="false" customHeight="false" outlineLevel="0" collapsed="false">
      <c r="A1243" s="0" t="s">
        <v>299</v>
      </c>
      <c r="B1243" s="0" t="s">
        <v>538</v>
      </c>
      <c r="C1243" s="0" t="s">
        <v>127</v>
      </c>
      <c r="D1243" s="0" t="n">
        <v>2017</v>
      </c>
      <c r="E1243" s="59" t="n">
        <v>19813016</v>
      </c>
      <c r="F1243" s="60" t="n">
        <v>3.44</v>
      </c>
      <c r="G1243" s="61" t="n">
        <v>0</v>
      </c>
      <c r="H1243" s="61" t="n">
        <v>0</v>
      </c>
      <c r="I1243" s="61" t="n">
        <v>1.87</v>
      </c>
      <c r="J1243" s="61" t="n">
        <v>0</v>
      </c>
      <c r="K1243" s="61" t="n">
        <v>1.48</v>
      </c>
      <c r="L1243" s="61" t="n">
        <v>0.03</v>
      </c>
      <c r="M1243" s="61" t="n">
        <v>0</v>
      </c>
      <c r="N1243" s="61" t="n">
        <v>0.06</v>
      </c>
      <c r="O1243" s="61" t="n">
        <v>0</v>
      </c>
      <c r="P1243" s="62" t="n">
        <v>372.1</v>
      </c>
      <c r="Q1243" s="0" t="n">
        <v>0</v>
      </c>
      <c r="R1243" s="60" t="n">
        <f aca="false">G1243+H1243+I1243</f>
        <v>1.87</v>
      </c>
      <c r="S1243" s="60" t="n">
        <f aca="false">K1243+L1243+M1243+N1243+O1243</f>
        <v>1.57</v>
      </c>
      <c r="T1243" s="60" t="n">
        <f aca="false">L1243+M1243</f>
        <v>0.03</v>
      </c>
      <c r="U1243" s="60" t="n">
        <f aca="false">S1243+J1243</f>
        <v>1.57</v>
      </c>
      <c r="V1243" s="63" t="n">
        <f aca="false">IFERROR(S1243/F1243,0)</f>
        <v>0.456395348837209</v>
      </c>
      <c r="W1243" s="63" t="n">
        <f aca="false">IFERROR(R1243/F1243,0)</f>
        <v>0.543604651162791</v>
      </c>
      <c r="X1243" s="63" t="n">
        <f aca="false">IFERROR(T1243/F1243,0)</f>
        <v>0.00872093023255814</v>
      </c>
      <c r="Y1243" s="63" t="n">
        <f aca="false">IFERROR(G1243/F1243,0)</f>
        <v>0</v>
      </c>
      <c r="Z1243" s="59" t="n">
        <f aca="false">IF(E1243&gt;0,F1243*1000000000/E1243,"")</f>
        <v>173.623238380265</v>
      </c>
      <c r="AA1243" s="63" t="n">
        <f aca="false">IFERROR((R1243+S1243+J1243)/F1243,0)</f>
        <v>1</v>
      </c>
      <c r="AB1243" s="0" t="str">
        <f aca="false">A1243&amp;"|"&amp;D1243</f>
        <v>Mali|2017</v>
      </c>
    </row>
    <row r="1244" customFormat="false" ht="15" hidden="false" customHeight="false" outlineLevel="0" collapsed="false">
      <c r="A1244" s="0" t="s">
        <v>299</v>
      </c>
      <c r="B1244" s="0" t="s">
        <v>538</v>
      </c>
      <c r="C1244" s="0" t="s">
        <v>127</v>
      </c>
      <c r="D1244" s="0" t="n">
        <v>2018</v>
      </c>
      <c r="E1244" s="59" t="n">
        <v>20442031</v>
      </c>
      <c r="F1244" s="60" t="n">
        <v>3.61</v>
      </c>
      <c r="G1244" s="61" t="n">
        <v>0</v>
      </c>
      <c r="H1244" s="61" t="n">
        <v>0</v>
      </c>
      <c r="I1244" s="61" t="n">
        <v>2.16</v>
      </c>
      <c r="J1244" s="61" t="n">
        <v>0</v>
      </c>
      <c r="K1244" s="61" t="n">
        <v>1.36</v>
      </c>
      <c r="L1244" s="61" t="n">
        <v>0.03</v>
      </c>
      <c r="M1244" s="61" t="n">
        <v>0</v>
      </c>
      <c r="N1244" s="61" t="n">
        <v>0.06</v>
      </c>
      <c r="O1244" s="61" t="n">
        <v>0</v>
      </c>
      <c r="P1244" s="62" t="n">
        <v>404.4</v>
      </c>
      <c r="Q1244" s="0" t="n">
        <v>0</v>
      </c>
      <c r="R1244" s="60" t="n">
        <f aca="false">G1244+H1244+I1244</f>
        <v>2.16</v>
      </c>
      <c r="S1244" s="60" t="n">
        <f aca="false">K1244+L1244+M1244+N1244+O1244</f>
        <v>1.45</v>
      </c>
      <c r="T1244" s="60" t="n">
        <f aca="false">L1244+M1244</f>
        <v>0.03</v>
      </c>
      <c r="U1244" s="60" t="n">
        <f aca="false">S1244+J1244</f>
        <v>1.45</v>
      </c>
      <c r="V1244" s="63" t="n">
        <f aca="false">IFERROR(S1244/F1244,0)</f>
        <v>0.401662049861496</v>
      </c>
      <c r="W1244" s="63" t="n">
        <f aca="false">IFERROR(R1244/F1244,0)</f>
        <v>0.598337950138504</v>
      </c>
      <c r="X1244" s="63" t="n">
        <f aca="false">IFERROR(T1244/F1244,0)</f>
        <v>0.00831024930747923</v>
      </c>
      <c r="Y1244" s="63" t="n">
        <f aca="false">IFERROR(G1244/F1244,0)</f>
        <v>0</v>
      </c>
      <c r="Z1244" s="59" t="n">
        <f aca="false">IF(E1244&gt;0,F1244*1000000000/E1244,"")</f>
        <v>176.596934032631</v>
      </c>
      <c r="AA1244" s="63" t="n">
        <f aca="false">IFERROR((R1244+S1244+J1244)/F1244,0)</f>
        <v>1</v>
      </c>
      <c r="AB1244" s="0" t="str">
        <f aca="false">A1244&amp;"|"&amp;D1244</f>
        <v>Mali|2018</v>
      </c>
    </row>
    <row r="1245" customFormat="false" ht="15" hidden="false" customHeight="false" outlineLevel="0" collapsed="false">
      <c r="A1245" s="0" t="s">
        <v>299</v>
      </c>
      <c r="B1245" s="0" t="s">
        <v>538</v>
      </c>
      <c r="C1245" s="0" t="s">
        <v>127</v>
      </c>
      <c r="D1245" s="0" t="n">
        <v>2019</v>
      </c>
      <c r="E1245" s="59" t="n">
        <v>21068405</v>
      </c>
      <c r="F1245" s="60" t="n">
        <v>3.81</v>
      </c>
      <c r="G1245" s="61" t="n">
        <v>0</v>
      </c>
      <c r="H1245" s="61" t="n">
        <v>0</v>
      </c>
      <c r="I1245" s="61" t="n">
        <v>2.35</v>
      </c>
      <c r="J1245" s="61" t="n">
        <v>0</v>
      </c>
      <c r="K1245" s="61" t="n">
        <v>1.37</v>
      </c>
      <c r="L1245" s="61" t="n">
        <v>0.03</v>
      </c>
      <c r="M1245" s="61" t="n">
        <v>0</v>
      </c>
      <c r="N1245" s="61" t="n">
        <v>0.06</v>
      </c>
      <c r="O1245" s="61" t="n">
        <v>0</v>
      </c>
      <c r="P1245" s="62" t="n">
        <v>417.3</v>
      </c>
      <c r="Q1245" s="0" t="n">
        <v>0</v>
      </c>
      <c r="R1245" s="60" t="n">
        <f aca="false">G1245+H1245+I1245</f>
        <v>2.35</v>
      </c>
      <c r="S1245" s="60" t="n">
        <f aca="false">K1245+L1245+M1245+N1245+O1245</f>
        <v>1.46</v>
      </c>
      <c r="T1245" s="60" t="n">
        <f aca="false">L1245+M1245</f>
        <v>0.03</v>
      </c>
      <c r="U1245" s="60" t="n">
        <f aca="false">S1245+J1245</f>
        <v>1.46</v>
      </c>
      <c r="V1245" s="63" t="n">
        <f aca="false">IFERROR(S1245/F1245,0)</f>
        <v>0.383202099737533</v>
      </c>
      <c r="W1245" s="63" t="n">
        <f aca="false">IFERROR(R1245/F1245,0)</f>
        <v>0.616797900262467</v>
      </c>
      <c r="X1245" s="63" t="n">
        <f aca="false">IFERROR(T1245/F1245,0)</f>
        <v>0.0078740157480315</v>
      </c>
      <c r="Y1245" s="63" t="n">
        <f aca="false">IFERROR(G1245/F1245,0)</f>
        <v>0</v>
      </c>
      <c r="Z1245" s="59" t="n">
        <f aca="false">IF(E1245&gt;0,F1245*1000000000/E1245,"")</f>
        <v>180.839508258931</v>
      </c>
      <c r="AA1245" s="63" t="n">
        <f aca="false">IFERROR((R1245+S1245+J1245)/F1245,0)</f>
        <v>1</v>
      </c>
      <c r="AB1245" s="0" t="str">
        <f aca="false">A1245&amp;"|"&amp;D1245</f>
        <v>Mali|2019</v>
      </c>
    </row>
    <row r="1246" customFormat="false" ht="15" hidden="false" customHeight="false" outlineLevel="0" collapsed="false">
      <c r="A1246" s="0" t="s">
        <v>299</v>
      </c>
      <c r="B1246" s="0" t="s">
        <v>538</v>
      </c>
      <c r="C1246" s="0" t="s">
        <v>127</v>
      </c>
      <c r="D1246" s="0" t="n">
        <v>2020</v>
      </c>
      <c r="E1246" s="59" t="n">
        <v>21713837</v>
      </c>
      <c r="F1246" s="60" t="n">
        <v>3.94</v>
      </c>
      <c r="G1246" s="61" t="n">
        <v>0</v>
      </c>
      <c r="H1246" s="61" t="n">
        <v>0</v>
      </c>
      <c r="I1246" s="61" t="n">
        <v>2.33</v>
      </c>
      <c r="J1246" s="61" t="n">
        <v>0</v>
      </c>
      <c r="K1246" s="61" t="n">
        <v>1.44</v>
      </c>
      <c r="L1246" s="61" t="n">
        <v>0.1</v>
      </c>
      <c r="M1246" s="61" t="n">
        <v>0</v>
      </c>
      <c r="N1246" s="61" t="n">
        <v>0.07</v>
      </c>
      <c r="O1246" s="61" t="n">
        <v>0</v>
      </c>
      <c r="P1246" s="62" t="n">
        <v>401</v>
      </c>
      <c r="Q1246" s="0" t="n">
        <v>0</v>
      </c>
      <c r="R1246" s="60" t="n">
        <f aca="false">G1246+H1246+I1246</f>
        <v>2.33</v>
      </c>
      <c r="S1246" s="60" t="n">
        <f aca="false">K1246+L1246+M1246+N1246+O1246</f>
        <v>1.61</v>
      </c>
      <c r="T1246" s="60" t="n">
        <f aca="false">L1246+M1246</f>
        <v>0.1</v>
      </c>
      <c r="U1246" s="60" t="n">
        <f aca="false">S1246+J1246</f>
        <v>1.61</v>
      </c>
      <c r="V1246" s="63" t="n">
        <f aca="false">IFERROR(S1246/F1246,0)</f>
        <v>0.408629441624366</v>
      </c>
      <c r="W1246" s="63" t="n">
        <f aca="false">IFERROR(R1246/F1246,0)</f>
        <v>0.591370558375635</v>
      </c>
      <c r="X1246" s="63" t="n">
        <f aca="false">IFERROR(T1246/F1246,0)</f>
        <v>0.0253807106598985</v>
      </c>
      <c r="Y1246" s="63" t="n">
        <f aca="false">IFERROR(G1246/F1246,0)</f>
        <v>0</v>
      </c>
      <c r="Z1246" s="59" t="n">
        <f aca="false">IF(E1246&gt;0,F1246*1000000000/E1246,"")</f>
        <v>181.451118012906</v>
      </c>
      <c r="AA1246" s="63" t="n">
        <f aca="false">IFERROR((R1246+S1246+J1246)/F1246,0)</f>
        <v>1</v>
      </c>
      <c r="AB1246" s="0" t="str">
        <f aca="false">A1246&amp;"|"&amp;D1246</f>
        <v>Mali|2020</v>
      </c>
    </row>
    <row r="1247" customFormat="false" ht="15" hidden="false" customHeight="false" outlineLevel="0" collapsed="false">
      <c r="A1247" s="0" t="s">
        <v>299</v>
      </c>
      <c r="B1247" s="0" t="s">
        <v>538</v>
      </c>
      <c r="C1247" s="0" t="s">
        <v>127</v>
      </c>
      <c r="D1247" s="0" t="n">
        <v>2021</v>
      </c>
      <c r="E1247" s="59" t="n">
        <v>22388637</v>
      </c>
      <c r="F1247" s="60" t="n">
        <v>3.94</v>
      </c>
      <c r="G1247" s="61" t="n">
        <v>0</v>
      </c>
      <c r="H1247" s="61" t="n">
        <v>0</v>
      </c>
      <c r="I1247" s="61" t="n">
        <v>2.4</v>
      </c>
      <c r="J1247" s="61" t="n">
        <v>0</v>
      </c>
      <c r="K1247" s="61" t="n">
        <v>1.33</v>
      </c>
      <c r="L1247" s="61" t="n">
        <v>0.14</v>
      </c>
      <c r="M1247" s="61" t="n">
        <v>0</v>
      </c>
      <c r="N1247" s="61" t="n">
        <v>0.07</v>
      </c>
      <c r="O1247" s="61" t="n">
        <v>0</v>
      </c>
      <c r="P1247" s="62" t="n">
        <v>416.2</v>
      </c>
      <c r="Q1247" s="0" t="n">
        <v>0</v>
      </c>
      <c r="R1247" s="60" t="n">
        <f aca="false">G1247+H1247+I1247</f>
        <v>2.4</v>
      </c>
      <c r="S1247" s="60" t="n">
        <f aca="false">K1247+L1247+M1247+N1247+O1247</f>
        <v>1.54</v>
      </c>
      <c r="T1247" s="60" t="n">
        <f aca="false">L1247+M1247</f>
        <v>0.14</v>
      </c>
      <c r="U1247" s="60" t="n">
        <f aca="false">S1247+J1247</f>
        <v>1.54</v>
      </c>
      <c r="V1247" s="63" t="n">
        <f aca="false">IFERROR(S1247/F1247,0)</f>
        <v>0.390862944162437</v>
      </c>
      <c r="W1247" s="63" t="n">
        <f aca="false">IFERROR(R1247/F1247,0)</f>
        <v>0.609137055837563</v>
      </c>
      <c r="X1247" s="63" t="n">
        <f aca="false">IFERROR(T1247/F1247,0)</f>
        <v>0.0355329949238579</v>
      </c>
      <c r="Y1247" s="63" t="n">
        <f aca="false">IFERROR(G1247/F1247,0)</f>
        <v>0</v>
      </c>
      <c r="Z1247" s="59" t="n">
        <f aca="false">IF(E1247&gt;0,F1247*1000000000/E1247,"")</f>
        <v>175.982128791494</v>
      </c>
      <c r="AA1247" s="63" t="n">
        <f aca="false">IFERROR((R1247+S1247+J1247)/F1247,0)</f>
        <v>1</v>
      </c>
      <c r="AB1247" s="0" t="str">
        <f aca="false">A1247&amp;"|"&amp;D1247</f>
        <v>Mali|2021</v>
      </c>
    </row>
    <row r="1248" customFormat="false" ht="15" hidden="false" customHeight="false" outlineLevel="0" collapsed="false">
      <c r="A1248" s="0" t="s">
        <v>299</v>
      </c>
      <c r="B1248" s="0" t="s">
        <v>538</v>
      </c>
      <c r="C1248" s="0" t="s">
        <v>127</v>
      </c>
      <c r="D1248" s="0" t="n">
        <v>2022</v>
      </c>
      <c r="E1248" s="59" t="n">
        <v>23072641</v>
      </c>
      <c r="F1248" s="60" t="n">
        <v>4.34</v>
      </c>
      <c r="G1248" s="61" t="n">
        <v>0</v>
      </c>
      <c r="H1248" s="61" t="n">
        <v>0</v>
      </c>
      <c r="I1248" s="61" t="n">
        <v>2.48</v>
      </c>
      <c r="J1248" s="61" t="n">
        <v>0</v>
      </c>
      <c r="K1248" s="61" t="n">
        <v>1.64</v>
      </c>
      <c r="L1248" s="61" t="n">
        <v>0.15</v>
      </c>
      <c r="M1248" s="61" t="n">
        <v>0</v>
      </c>
      <c r="N1248" s="61" t="n">
        <v>0.07</v>
      </c>
      <c r="O1248" s="61" t="n">
        <v>0</v>
      </c>
      <c r="P1248" s="62" t="n">
        <v>391.7</v>
      </c>
      <c r="Q1248" s="0" t="n">
        <v>0</v>
      </c>
      <c r="R1248" s="60" t="n">
        <f aca="false">G1248+H1248+I1248</f>
        <v>2.48</v>
      </c>
      <c r="S1248" s="60" t="n">
        <f aca="false">K1248+L1248+M1248+N1248+O1248</f>
        <v>1.86</v>
      </c>
      <c r="T1248" s="60" t="n">
        <f aca="false">L1248+M1248</f>
        <v>0.15</v>
      </c>
      <c r="U1248" s="60" t="n">
        <f aca="false">S1248+J1248</f>
        <v>1.86</v>
      </c>
      <c r="V1248" s="63" t="n">
        <f aca="false">IFERROR(S1248/F1248,0)</f>
        <v>0.428571428571429</v>
      </c>
      <c r="W1248" s="63" t="n">
        <f aca="false">IFERROR(R1248/F1248,0)</f>
        <v>0.571428571428571</v>
      </c>
      <c r="X1248" s="63" t="n">
        <f aca="false">IFERROR(T1248/F1248,0)</f>
        <v>0.0345622119815668</v>
      </c>
      <c r="Y1248" s="63" t="n">
        <f aca="false">IFERROR(G1248/F1248,0)</f>
        <v>0</v>
      </c>
      <c r="Z1248" s="59" t="n">
        <f aca="false">IF(E1248&gt;0,F1248*1000000000/E1248,"")</f>
        <v>188.101570167022</v>
      </c>
      <c r="AA1248" s="63" t="n">
        <f aca="false">IFERROR((R1248+S1248+J1248)/F1248,0)</f>
        <v>1</v>
      </c>
      <c r="AB1248" s="0" t="str">
        <f aca="false">A1248&amp;"|"&amp;D1248</f>
        <v>Mali|2022</v>
      </c>
    </row>
    <row r="1249" customFormat="false" ht="15" hidden="false" customHeight="false" outlineLevel="0" collapsed="false">
      <c r="A1249" s="0" t="s">
        <v>299</v>
      </c>
      <c r="B1249" s="0" t="s">
        <v>538</v>
      </c>
      <c r="C1249" s="0" t="s">
        <v>127</v>
      </c>
      <c r="D1249" s="0" t="n">
        <v>2023</v>
      </c>
      <c r="E1249" s="59" t="n">
        <v>23769130</v>
      </c>
      <c r="F1249" s="60" t="n">
        <v>6.01</v>
      </c>
      <c r="G1249" s="61" t="n">
        <v>0</v>
      </c>
      <c r="H1249" s="61" t="n">
        <v>0</v>
      </c>
      <c r="I1249" s="61" t="n">
        <v>4.82</v>
      </c>
      <c r="J1249" s="61" t="n">
        <v>0</v>
      </c>
      <c r="K1249" s="61" t="n">
        <v>0.97</v>
      </c>
      <c r="L1249" s="61" t="n">
        <v>0.15</v>
      </c>
      <c r="M1249" s="61" t="n">
        <v>0</v>
      </c>
      <c r="N1249" s="61" t="n">
        <v>0.07</v>
      </c>
      <c r="O1249" s="61" t="n">
        <v>0</v>
      </c>
      <c r="P1249" s="62" t="n">
        <v>535.8</v>
      </c>
      <c r="Q1249" s="0" t="n">
        <v>0</v>
      </c>
      <c r="R1249" s="60" t="n">
        <f aca="false">G1249+H1249+I1249</f>
        <v>4.82</v>
      </c>
      <c r="S1249" s="60" t="n">
        <f aca="false">K1249+L1249+M1249+N1249+O1249</f>
        <v>1.19</v>
      </c>
      <c r="T1249" s="60" t="n">
        <f aca="false">L1249+M1249</f>
        <v>0.15</v>
      </c>
      <c r="U1249" s="60" t="n">
        <f aca="false">S1249+J1249</f>
        <v>1.19</v>
      </c>
      <c r="V1249" s="63" t="n">
        <f aca="false">IFERROR(S1249/F1249,0)</f>
        <v>0.198003327787022</v>
      </c>
      <c r="W1249" s="63" t="n">
        <f aca="false">IFERROR(R1249/F1249,0)</f>
        <v>0.801996672212978</v>
      </c>
      <c r="X1249" s="63" t="n">
        <f aca="false">IFERROR(T1249/F1249,0)</f>
        <v>0.0249584026622296</v>
      </c>
      <c r="Y1249" s="63" t="n">
        <f aca="false">IFERROR(G1249/F1249,0)</f>
        <v>0</v>
      </c>
      <c r="Z1249" s="59" t="n">
        <f aca="false">IF(E1249&gt;0,F1249*1000000000/E1249,"")</f>
        <v>252.84896838883</v>
      </c>
      <c r="AA1249" s="63" t="n">
        <f aca="false">IFERROR((R1249+S1249+J1249)/F1249,0)</f>
        <v>1</v>
      </c>
      <c r="AB1249" s="0" t="str">
        <f aca="false">A1249&amp;"|"&amp;D1249</f>
        <v>Mali|2023</v>
      </c>
    </row>
    <row r="1250" customFormat="false" ht="15" hidden="false" customHeight="false" outlineLevel="0" collapsed="false">
      <c r="A1250" s="0" t="s">
        <v>299</v>
      </c>
      <c r="B1250" s="0" t="s">
        <v>538</v>
      </c>
      <c r="C1250" s="0" t="s">
        <v>127</v>
      </c>
      <c r="D1250" s="0" t="n">
        <v>2024</v>
      </c>
      <c r="E1250" s="59" t="n">
        <v>24478597</v>
      </c>
      <c r="F1250" s="60" t="n">
        <v>5.96</v>
      </c>
      <c r="G1250" s="61" t="n">
        <v>0</v>
      </c>
      <c r="H1250" s="61" t="n">
        <v>0</v>
      </c>
      <c r="I1250" s="61" t="n">
        <v>4.8</v>
      </c>
      <c r="J1250" s="61" t="n">
        <v>0</v>
      </c>
      <c r="K1250" s="61" t="n">
        <v>0.92</v>
      </c>
      <c r="L1250" s="61" t="n">
        <v>0.17</v>
      </c>
      <c r="M1250" s="61" t="n">
        <v>0</v>
      </c>
      <c r="N1250" s="61" t="n">
        <v>0.07</v>
      </c>
      <c r="O1250" s="61" t="n">
        <v>0</v>
      </c>
      <c r="P1250" s="62" t="n">
        <v>538.6</v>
      </c>
      <c r="Q1250" s="0" t="n">
        <v>0</v>
      </c>
      <c r="R1250" s="60" t="n">
        <f aca="false">G1250+H1250+I1250</f>
        <v>4.8</v>
      </c>
      <c r="S1250" s="60" t="n">
        <f aca="false">K1250+L1250+M1250+N1250+O1250</f>
        <v>1.16</v>
      </c>
      <c r="T1250" s="60" t="n">
        <f aca="false">L1250+M1250</f>
        <v>0.17</v>
      </c>
      <c r="U1250" s="60" t="n">
        <f aca="false">S1250+J1250</f>
        <v>1.16</v>
      </c>
      <c r="V1250" s="63" t="n">
        <f aca="false">IFERROR(S1250/F1250,0)</f>
        <v>0.194630872483222</v>
      </c>
      <c r="W1250" s="63" t="n">
        <f aca="false">IFERROR(R1250/F1250,0)</f>
        <v>0.805369127516779</v>
      </c>
      <c r="X1250" s="63" t="n">
        <f aca="false">IFERROR(T1250/F1250,0)</f>
        <v>0.0285234899328859</v>
      </c>
      <c r="Y1250" s="63" t="n">
        <f aca="false">IFERROR(G1250/F1250,0)</f>
        <v>0</v>
      </c>
      <c r="Z1250" s="59" t="n">
        <f aca="false">IF(E1250&gt;0,F1250*1000000000/E1250,"")</f>
        <v>243.47800652137</v>
      </c>
      <c r="AA1250" s="63" t="n">
        <f aca="false">IFERROR((R1250+S1250+J1250)/F1250,0)</f>
        <v>1</v>
      </c>
      <c r="AB1250" s="0" t="str">
        <f aca="false">A1250&amp;"|"&amp;D1250</f>
        <v>Mali|2024</v>
      </c>
    </row>
    <row r="1251" customFormat="false" ht="15" hidden="false" customHeight="false" outlineLevel="0" collapsed="false">
      <c r="A1251" s="0" t="s">
        <v>300</v>
      </c>
      <c r="B1251" s="0" t="s">
        <v>539</v>
      </c>
      <c r="C1251" s="0" t="s">
        <v>127</v>
      </c>
      <c r="D1251" s="0" t="n">
        <v>2015</v>
      </c>
      <c r="E1251" s="59" t="n">
        <v>444978</v>
      </c>
      <c r="F1251" s="60" t="n">
        <v>1.3</v>
      </c>
      <c r="G1251" s="61" t="n">
        <v>0</v>
      </c>
      <c r="H1251" s="61" t="n">
        <v>0</v>
      </c>
      <c r="I1251" s="61" t="n">
        <v>1.2</v>
      </c>
      <c r="J1251" s="61" t="n">
        <v>0</v>
      </c>
      <c r="K1251" s="61" t="n">
        <v>0</v>
      </c>
      <c r="L1251" s="61" t="n">
        <v>0.09</v>
      </c>
      <c r="M1251" s="61" t="n">
        <v>0</v>
      </c>
      <c r="N1251" s="61" t="n">
        <v>0.01</v>
      </c>
      <c r="O1251" s="61" t="n">
        <v>0</v>
      </c>
      <c r="P1251" s="62" t="n">
        <v>607.7</v>
      </c>
      <c r="Q1251" s="0" t="n">
        <v>0</v>
      </c>
      <c r="R1251" s="60" t="n">
        <f aca="false">G1251+H1251+I1251</f>
        <v>1.2</v>
      </c>
      <c r="S1251" s="60" t="n">
        <f aca="false">K1251+L1251+M1251+N1251+O1251</f>
        <v>0.1</v>
      </c>
      <c r="T1251" s="60" t="n">
        <f aca="false">L1251+M1251</f>
        <v>0.09</v>
      </c>
      <c r="U1251" s="60" t="n">
        <f aca="false">S1251+J1251</f>
        <v>0.1</v>
      </c>
      <c r="V1251" s="63" t="n">
        <f aca="false">IFERROR(S1251/F1251,0)</f>
        <v>0.0769230769230769</v>
      </c>
      <c r="W1251" s="63" t="n">
        <f aca="false">IFERROR(R1251/F1251,0)</f>
        <v>0.923076923076923</v>
      </c>
      <c r="X1251" s="63" t="n">
        <f aca="false">IFERROR(T1251/F1251,0)</f>
        <v>0.0692307692307692</v>
      </c>
      <c r="Y1251" s="63" t="n">
        <f aca="false">IFERROR(G1251/F1251,0)</f>
        <v>0</v>
      </c>
      <c r="Z1251" s="59" t="n">
        <f aca="false">IF(E1251&gt;0,F1251*1000000000/E1251,"")</f>
        <v>2921.49274795608</v>
      </c>
      <c r="AA1251" s="63" t="n">
        <f aca="false">IFERROR((R1251+S1251+J1251)/F1251,0)</f>
        <v>1</v>
      </c>
      <c r="AB1251" s="0" t="str">
        <f aca="false">A1251&amp;"|"&amp;D1251</f>
        <v>Malta|2015</v>
      </c>
    </row>
    <row r="1252" customFormat="false" ht="15" hidden="false" customHeight="false" outlineLevel="0" collapsed="false">
      <c r="A1252" s="0" t="s">
        <v>300</v>
      </c>
      <c r="B1252" s="0" t="s">
        <v>539</v>
      </c>
      <c r="C1252" s="0" t="s">
        <v>127</v>
      </c>
      <c r="D1252" s="0" t="n">
        <v>2016</v>
      </c>
      <c r="E1252" s="59" t="n">
        <v>455276</v>
      </c>
      <c r="F1252" s="60" t="n">
        <v>0.86</v>
      </c>
      <c r="G1252" s="61" t="n">
        <v>0</v>
      </c>
      <c r="H1252" s="61" t="n">
        <v>0</v>
      </c>
      <c r="I1252" s="61" t="n">
        <v>0.72</v>
      </c>
      <c r="J1252" s="61" t="n">
        <v>0</v>
      </c>
      <c r="K1252" s="61" t="n">
        <v>0</v>
      </c>
      <c r="L1252" s="61" t="n">
        <v>0.13</v>
      </c>
      <c r="M1252" s="61" t="n">
        <v>0</v>
      </c>
      <c r="N1252" s="61" t="n">
        <v>0.01</v>
      </c>
      <c r="O1252" s="61" t="n">
        <v>0</v>
      </c>
      <c r="P1252" s="62" t="n">
        <v>558.1</v>
      </c>
      <c r="Q1252" s="0" t="n">
        <v>0</v>
      </c>
      <c r="R1252" s="60" t="n">
        <f aca="false">G1252+H1252+I1252</f>
        <v>0.72</v>
      </c>
      <c r="S1252" s="60" t="n">
        <f aca="false">K1252+L1252+M1252+N1252+O1252</f>
        <v>0.14</v>
      </c>
      <c r="T1252" s="60" t="n">
        <f aca="false">L1252+M1252</f>
        <v>0.13</v>
      </c>
      <c r="U1252" s="60" t="n">
        <f aca="false">S1252+J1252</f>
        <v>0.14</v>
      </c>
      <c r="V1252" s="63" t="n">
        <f aca="false">IFERROR(S1252/F1252,0)</f>
        <v>0.162790697674419</v>
      </c>
      <c r="W1252" s="63" t="n">
        <f aca="false">IFERROR(R1252/F1252,0)</f>
        <v>0.837209302325581</v>
      </c>
      <c r="X1252" s="63" t="n">
        <f aca="false">IFERROR(T1252/F1252,0)</f>
        <v>0.151162790697674</v>
      </c>
      <c r="Y1252" s="63" t="n">
        <f aca="false">IFERROR(G1252/F1252,0)</f>
        <v>0</v>
      </c>
      <c r="Z1252" s="59" t="n">
        <f aca="false">IF(E1252&gt;0,F1252*1000000000/E1252,"")</f>
        <v>1888.96405696764</v>
      </c>
      <c r="AA1252" s="63" t="n">
        <f aca="false">IFERROR((R1252+S1252+J1252)/F1252,0)</f>
        <v>1</v>
      </c>
      <c r="AB1252" s="0" t="str">
        <f aca="false">A1252&amp;"|"&amp;D1252</f>
        <v>Malta|2016</v>
      </c>
    </row>
    <row r="1253" customFormat="false" ht="15" hidden="false" customHeight="false" outlineLevel="0" collapsed="false">
      <c r="A1253" s="0" t="s">
        <v>300</v>
      </c>
      <c r="B1253" s="0" t="s">
        <v>539</v>
      </c>
      <c r="C1253" s="0" t="s">
        <v>127</v>
      </c>
      <c r="D1253" s="0" t="n">
        <v>2017</v>
      </c>
      <c r="E1253" s="59" t="n">
        <v>467902</v>
      </c>
      <c r="F1253" s="60" t="n">
        <v>1.65</v>
      </c>
      <c r="G1253" s="61" t="n">
        <v>0</v>
      </c>
      <c r="H1253" s="61" t="n">
        <v>1.29</v>
      </c>
      <c r="I1253" s="61" t="n">
        <v>0.19</v>
      </c>
      <c r="J1253" s="61" t="n">
        <v>0</v>
      </c>
      <c r="K1253" s="61" t="n">
        <v>0</v>
      </c>
      <c r="L1253" s="61" t="n">
        <v>0.16</v>
      </c>
      <c r="M1253" s="61" t="n">
        <v>0</v>
      </c>
      <c r="N1253" s="61" t="n">
        <v>0.01</v>
      </c>
      <c r="O1253" s="61" t="n">
        <v>0</v>
      </c>
      <c r="P1253" s="62" t="n">
        <v>527.3</v>
      </c>
      <c r="Q1253" s="0" t="n">
        <v>0</v>
      </c>
      <c r="R1253" s="60" t="n">
        <f aca="false">G1253+H1253+I1253</f>
        <v>1.48</v>
      </c>
      <c r="S1253" s="60" t="n">
        <f aca="false">K1253+L1253+M1253+N1253+O1253</f>
        <v>0.17</v>
      </c>
      <c r="T1253" s="60" t="n">
        <f aca="false">L1253+M1253</f>
        <v>0.16</v>
      </c>
      <c r="U1253" s="60" t="n">
        <f aca="false">S1253+J1253</f>
        <v>0.17</v>
      </c>
      <c r="V1253" s="63" t="n">
        <f aca="false">IFERROR(S1253/F1253,0)</f>
        <v>0.103030303030303</v>
      </c>
      <c r="W1253" s="63" t="n">
        <f aca="false">IFERROR(R1253/F1253,0)</f>
        <v>0.896969696969697</v>
      </c>
      <c r="X1253" s="63" t="n">
        <f aca="false">IFERROR(T1253/F1253,0)</f>
        <v>0.096969696969697</v>
      </c>
      <c r="Y1253" s="63" t="n">
        <f aca="false">IFERROR(G1253/F1253,0)</f>
        <v>0</v>
      </c>
      <c r="Z1253" s="59" t="n">
        <f aca="false">IF(E1253&gt;0,F1253*1000000000/E1253,"")</f>
        <v>3526.37945552701</v>
      </c>
      <c r="AA1253" s="63" t="n">
        <f aca="false">IFERROR((R1253+S1253+J1253)/F1253,0)</f>
        <v>1</v>
      </c>
      <c r="AB1253" s="0" t="str">
        <f aca="false">A1253&amp;"|"&amp;D1253</f>
        <v>Malta|2017</v>
      </c>
    </row>
    <row r="1254" customFormat="false" ht="15" hidden="false" customHeight="false" outlineLevel="0" collapsed="false">
      <c r="A1254" s="0" t="s">
        <v>300</v>
      </c>
      <c r="B1254" s="0" t="s">
        <v>539</v>
      </c>
      <c r="C1254" s="0" t="s">
        <v>127</v>
      </c>
      <c r="D1254" s="0" t="n">
        <v>2018</v>
      </c>
      <c r="E1254" s="59" t="n">
        <v>484560</v>
      </c>
      <c r="F1254" s="60" t="n">
        <v>1.97</v>
      </c>
      <c r="G1254" s="61" t="n">
        <v>0</v>
      </c>
      <c r="H1254" s="61" t="n">
        <v>1.75</v>
      </c>
      <c r="I1254" s="61" t="n">
        <v>0.02</v>
      </c>
      <c r="J1254" s="61" t="n">
        <v>0</v>
      </c>
      <c r="K1254" s="61" t="n">
        <v>0</v>
      </c>
      <c r="L1254" s="61" t="n">
        <v>0.19</v>
      </c>
      <c r="M1254" s="61" t="n">
        <v>0</v>
      </c>
      <c r="N1254" s="61" t="n">
        <v>0.01</v>
      </c>
      <c r="O1254" s="61" t="n">
        <v>0</v>
      </c>
      <c r="P1254" s="62" t="n">
        <v>512.7</v>
      </c>
      <c r="Q1254" s="0" t="n">
        <v>0</v>
      </c>
      <c r="R1254" s="60" t="n">
        <f aca="false">G1254+H1254+I1254</f>
        <v>1.77</v>
      </c>
      <c r="S1254" s="60" t="n">
        <f aca="false">K1254+L1254+M1254+N1254+O1254</f>
        <v>0.2</v>
      </c>
      <c r="T1254" s="60" t="n">
        <f aca="false">L1254+M1254</f>
        <v>0.19</v>
      </c>
      <c r="U1254" s="60" t="n">
        <f aca="false">S1254+J1254</f>
        <v>0.2</v>
      </c>
      <c r="V1254" s="63" t="n">
        <f aca="false">IFERROR(S1254/F1254,0)</f>
        <v>0.101522842639594</v>
      </c>
      <c r="W1254" s="63" t="n">
        <f aca="false">IFERROR(R1254/F1254,0)</f>
        <v>0.898477157360406</v>
      </c>
      <c r="X1254" s="63" t="n">
        <f aca="false">IFERROR(T1254/F1254,0)</f>
        <v>0.0964467005076142</v>
      </c>
      <c r="Y1254" s="63" t="n">
        <f aca="false">IFERROR(G1254/F1254,0)</f>
        <v>0</v>
      </c>
      <c r="Z1254" s="59" t="n">
        <f aca="false">IF(E1254&gt;0,F1254*1000000000/E1254,"")</f>
        <v>4065.54399867921</v>
      </c>
      <c r="AA1254" s="63" t="n">
        <f aca="false">IFERROR((R1254+S1254+J1254)/F1254,0)</f>
        <v>1</v>
      </c>
      <c r="AB1254" s="0" t="str">
        <f aca="false">A1254&amp;"|"&amp;D1254</f>
        <v>Malta|2018</v>
      </c>
    </row>
    <row r="1255" customFormat="false" ht="15" hidden="false" customHeight="false" outlineLevel="0" collapsed="false">
      <c r="A1255" s="0" t="s">
        <v>300</v>
      </c>
      <c r="B1255" s="0" t="s">
        <v>539</v>
      </c>
      <c r="C1255" s="0" t="s">
        <v>127</v>
      </c>
      <c r="D1255" s="0" t="n">
        <v>2019</v>
      </c>
      <c r="E1255" s="59" t="n">
        <v>504017</v>
      </c>
      <c r="F1255" s="60" t="n">
        <v>2.07</v>
      </c>
      <c r="G1255" s="61" t="n">
        <v>0</v>
      </c>
      <c r="H1255" s="61" t="n">
        <v>1.83</v>
      </c>
      <c r="I1255" s="61" t="n">
        <v>0.03</v>
      </c>
      <c r="J1255" s="61" t="n">
        <v>0</v>
      </c>
      <c r="K1255" s="61" t="n">
        <v>0</v>
      </c>
      <c r="L1255" s="61" t="n">
        <v>0.2</v>
      </c>
      <c r="M1255" s="61" t="n">
        <v>0</v>
      </c>
      <c r="N1255" s="61" t="n">
        <v>0.01</v>
      </c>
      <c r="O1255" s="61" t="n">
        <v>0</v>
      </c>
      <c r="P1255" s="62" t="n">
        <v>516.9</v>
      </c>
      <c r="Q1255" s="0" t="n">
        <v>0</v>
      </c>
      <c r="R1255" s="60" t="n">
        <f aca="false">G1255+H1255+I1255</f>
        <v>1.86</v>
      </c>
      <c r="S1255" s="60" t="n">
        <f aca="false">K1255+L1255+M1255+N1255+O1255</f>
        <v>0.21</v>
      </c>
      <c r="T1255" s="60" t="n">
        <f aca="false">L1255+M1255</f>
        <v>0.2</v>
      </c>
      <c r="U1255" s="60" t="n">
        <f aca="false">S1255+J1255</f>
        <v>0.21</v>
      </c>
      <c r="V1255" s="63" t="n">
        <f aca="false">IFERROR(S1255/F1255,0)</f>
        <v>0.101449275362319</v>
      </c>
      <c r="W1255" s="63" t="n">
        <f aca="false">IFERROR(R1255/F1255,0)</f>
        <v>0.898550724637681</v>
      </c>
      <c r="X1255" s="63" t="n">
        <f aca="false">IFERROR(T1255/F1255,0)</f>
        <v>0.0966183574879227</v>
      </c>
      <c r="Y1255" s="63" t="n">
        <f aca="false">IFERROR(G1255/F1255,0)</f>
        <v>0</v>
      </c>
      <c r="Z1255" s="59" t="n">
        <f aca="false">IF(E1255&gt;0,F1255*1000000000/E1255,"")</f>
        <v>4107.00432723499</v>
      </c>
      <c r="AA1255" s="63" t="n">
        <f aca="false">IFERROR((R1255+S1255+J1255)/F1255,0)</f>
        <v>1</v>
      </c>
      <c r="AB1255" s="0" t="str">
        <f aca="false">A1255&amp;"|"&amp;D1255</f>
        <v>Malta|2019</v>
      </c>
    </row>
    <row r="1256" customFormat="false" ht="15" hidden="false" customHeight="false" outlineLevel="0" collapsed="false">
      <c r="A1256" s="0" t="s">
        <v>300</v>
      </c>
      <c r="B1256" s="0" t="s">
        <v>539</v>
      </c>
      <c r="C1256" s="0" t="s">
        <v>127</v>
      </c>
      <c r="D1256" s="0" t="n">
        <v>2020</v>
      </c>
      <c r="E1256" s="59" t="n">
        <v>518212</v>
      </c>
      <c r="F1256" s="60" t="n">
        <v>2.15</v>
      </c>
      <c r="G1256" s="61" t="n">
        <v>0</v>
      </c>
      <c r="H1256" s="61" t="n">
        <v>1.84</v>
      </c>
      <c r="I1256" s="61" t="n">
        <v>0.06</v>
      </c>
      <c r="J1256" s="61" t="n">
        <v>0</v>
      </c>
      <c r="K1256" s="61" t="n">
        <v>0</v>
      </c>
      <c r="L1256" s="61" t="n">
        <v>0.24</v>
      </c>
      <c r="M1256" s="61" t="n">
        <v>0</v>
      </c>
      <c r="N1256" s="61" t="n">
        <v>0.01</v>
      </c>
      <c r="O1256" s="61" t="n">
        <v>0</v>
      </c>
      <c r="P1256" s="62" t="n">
        <v>507</v>
      </c>
      <c r="Q1256" s="0" t="n">
        <v>0</v>
      </c>
      <c r="R1256" s="60" t="n">
        <f aca="false">G1256+H1256+I1256</f>
        <v>1.9</v>
      </c>
      <c r="S1256" s="60" t="n">
        <f aca="false">K1256+L1256+M1256+N1256+O1256</f>
        <v>0.25</v>
      </c>
      <c r="T1256" s="60" t="n">
        <f aca="false">L1256+M1256</f>
        <v>0.24</v>
      </c>
      <c r="U1256" s="60" t="n">
        <f aca="false">S1256+J1256</f>
        <v>0.25</v>
      </c>
      <c r="V1256" s="63" t="n">
        <f aca="false">IFERROR(S1256/F1256,0)</f>
        <v>0.116279069767442</v>
      </c>
      <c r="W1256" s="63" t="n">
        <f aca="false">IFERROR(R1256/F1256,0)</f>
        <v>0.883720930232558</v>
      </c>
      <c r="X1256" s="63" t="n">
        <f aca="false">IFERROR(T1256/F1256,0)</f>
        <v>0.111627906976744</v>
      </c>
      <c r="Y1256" s="63" t="n">
        <f aca="false">IFERROR(G1256/F1256,0)</f>
        <v>0</v>
      </c>
      <c r="Z1256" s="59" t="n">
        <f aca="false">IF(E1256&gt;0,F1256*1000000000/E1256,"")</f>
        <v>4148.88115288724</v>
      </c>
      <c r="AA1256" s="63" t="n">
        <f aca="false">IFERROR((R1256+S1256+J1256)/F1256,0)</f>
        <v>1</v>
      </c>
      <c r="AB1256" s="0" t="str">
        <f aca="false">A1256&amp;"|"&amp;D1256</f>
        <v>Malta|2020</v>
      </c>
    </row>
    <row r="1257" customFormat="false" ht="15" hidden="false" customHeight="false" outlineLevel="0" collapsed="false">
      <c r="A1257" s="0" t="s">
        <v>300</v>
      </c>
      <c r="B1257" s="0" t="s">
        <v>539</v>
      </c>
      <c r="C1257" s="0" t="s">
        <v>127</v>
      </c>
      <c r="D1257" s="0" t="n">
        <v>2021</v>
      </c>
      <c r="E1257" s="59" t="n">
        <v>524383</v>
      </c>
      <c r="F1257" s="60" t="n">
        <v>2.22</v>
      </c>
      <c r="G1257" s="61" t="n">
        <v>0</v>
      </c>
      <c r="H1257" s="61" t="n">
        <v>1.91</v>
      </c>
      <c r="I1257" s="61" t="n">
        <v>0.04</v>
      </c>
      <c r="J1257" s="61" t="n">
        <v>0</v>
      </c>
      <c r="K1257" s="61" t="n">
        <v>0</v>
      </c>
      <c r="L1257" s="61" t="n">
        <v>0.26</v>
      </c>
      <c r="M1257" s="61" t="n">
        <v>0</v>
      </c>
      <c r="N1257" s="61" t="n">
        <v>0.01</v>
      </c>
      <c r="O1257" s="61" t="n">
        <v>0</v>
      </c>
      <c r="P1257" s="62" t="n">
        <v>504.5</v>
      </c>
      <c r="Q1257" s="0" t="n">
        <v>0</v>
      </c>
      <c r="R1257" s="60" t="n">
        <f aca="false">G1257+H1257+I1257</f>
        <v>1.95</v>
      </c>
      <c r="S1257" s="60" t="n">
        <f aca="false">K1257+L1257+M1257+N1257+O1257</f>
        <v>0.27</v>
      </c>
      <c r="T1257" s="60" t="n">
        <f aca="false">L1257+M1257</f>
        <v>0.26</v>
      </c>
      <c r="U1257" s="60" t="n">
        <f aca="false">S1257+J1257</f>
        <v>0.27</v>
      </c>
      <c r="V1257" s="63" t="n">
        <f aca="false">IFERROR(S1257/F1257,0)</f>
        <v>0.121621621621622</v>
      </c>
      <c r="W1257" s="63" t="n">
        <f aca="false">IFERROR(R1257/F1257,0)</f>
        <v>0.878378378378378</v>
      </c>
      <c r="X1257" s="63" t="n">
        <f aca="false">IFERROR(T1257/F1257,0)</f>
        <v>0.117117117117117</v>
      </c>
      <c r="Y1257" s="63" t="n">
        <f aca="false">IFERROR(G1257/F1257,0)</f>
        <v>0</v>
      </c>
      <c r="Z1257" s="59" t="n">
        <f aca="false">IF(E1257&gt;0,F1257*1000000000/E1257,"")</f>
        <v>4233.54685411236</v>
      </c>
      <c r="AA1257" s="63" t="n">
        <f aca="false">IFERROR((R1257+S1257+J1257)/F1257,0)</f>
        <v>1</v>
      </c>
      <c r="AB1257" s="0" t="str">
        <f aca="false">A1257&amp;"|"&amp;D1257</f>
        <v>Malta|2021</v>
      </c>
    </row>
    <row r="1258" customFormat="false" ht="15" hidden="false" customHeight="false" outlineLevel="0" collapsed="false">
      <c r="A1258" s="0" t="s">
        <v>300</v>
      </c>
      <c r="B1258" s="0" t="s">
        <v>539</v>
      </c>
      <c r="C1258" s="0" t="s">
        <v>127</v>
      </c>
      <c r="D1258" s="0" t="n">
        <v>2022</v>
      </c>
      <c r="E1258" s="59" t="n">
        <v>528194</v>
      </c>
      <c r="F1258" s="60" t="n">
        <v>2.3</v>
      </c>
      <c r="G1258" s="61" t="n">
        <v>0</v>
      </c>
      <c r="H1258" s="61" t="n">
        <v>1.94</v>
      </c>
      <c r="I1258" s="61" t="n">
        <v>0.06</v>
      </c>
      <c r="J1258" s="61" t="n">
        <v>0</v>
      </c>
      <c r="K1258" s="61" t="n">
        <v>0</v>
      </c>
      <c r="L1258" s="61" t="n">
        <v>0.29</v>
      </c>
      <c r="M1258" s="61" t="n">
        <v>0</v>
      </c>
      <c r="N1258" s="61" t="n">
        <v>0.01</v>
      </c>
      <c r="O1258" s="61" t="n">
        <v>0</v>
      </c>
      <c r="P1258" s="62" t="n">
        <v>500</v>
      </c>
      <c r="Q1258" s="0" t="n">
        <v>0</v>
      </c>
      <c r="R1258" s="60" t="n">
        <f aca="false">G1258+H1258+I1258</f>
        <v>2</v>
      </c>
      <c r="S1258" s="60" t="n">
        <f aca="false">K1258+L1258+M1258+N1258+O1258</f>
        <v>0.3</v>
      </c>
      <c r="T1258" s="60" t="n">
        <f aca="false">L1258+M1258</f>
        <v>0.29</v>
      </c>
      <c r="U1258" s="60" t="n">
        <f aca="false">S1258+J1258</f>
        <v>0.3</v>
      </c>
      <c r="V1258" s="63" t="n">
        <f aca="false">IFERROR(S1258/F1258,0)</f>
        <v>0.130434782608696</v>
      </c>
      <c r="W1258" s="63" t="n">
        <f aca="false">IFERROR(R1258/F1258,0)</f>
        <v>0.869565217391304</v>
      </c>
      <c r="X1258" s="63" t="n">
        <f aca="false">IFERROR(T1258/F1258,0)</f>
        <v>0.126086956521739</v>
      </c>
      <c r="Y1258" s="63" t="n">
        <f aca="false">IFERROR(G1258/F1258,0)</f>
        <v>0</v>
      </c>
      <c r="Z1258" s="59" t="n">
        <f aca="false">IF(E1258&gt;0,F1258*1000000000/E1258,"")</f>
        <v>4354.46067164716</v>
      </c>
      <c r="AA1258" s="63" t="n">
        <f aca="false">IFERROR((R1258+S1258+J1258)/F1258,0)</f>
        <v>1</v>
      </c>
      <c r="AB1258" s="0" t="str">
        <f aca="false">A1258&amp;"|"&amp;D1258</f>
        <v>Malta|2022</v>
      </c>
    </row>
    <row r="1259" customFormat="false" ht="15" hidden="false" customHeight="false" outlineLevel="0" collapsed="false">
      <c r="A1259" s="0" t="s">
        <v>300</v>
      </c>
      <c r="B1259" s="0" t="s">
        <v>539</v>
      </c>
      <c r="C1259" s="0" t="s">
        <v>127</v>
      </c>
      <c r="D1259" s="0" t="n">
        <v>2023</v>
      </c>
      <c r="E1259" s="59" t="n">
        <v>532964</v>
      </c>
      <c r="F1259" s="60" t="n">
        <v>2.35</v>
      </c>
      <c r="G1259" s="61" t="n">
        <v>0</v>
      </c>
      <c r="H1259" s="61" t="n">
        <v>2.01</v>
      </c>
      <c r="I1259" s="61" t="n">
        <v>0.02</v>
      </c>
      <c r="J1259" s="61" t="n">
        <v>0</v>
      </c>
      <c r="K1259" s="61" t="n">
        <v>0</v>
      </c>
      <c r="L1259" s="61" t="n">
        <v>0.31</v>
      </c>
      <c r="M1259" s="61" t="n">
        <v>0</v>
      </c>
      <c r="N1259" s="61" t="n">
        <v>0.01</v>
      </c>
      <c r="O1259" s="61" t="n">
        <v>0</v>
      </c>
      <c r="P1259" s="62" t="n">
        <v>493.6</v>
      </c>
      <c r="Q1259" s="0" t="n">
        <v>0</v>
      </c>
      <c r="R1259" s="60" t="n">
        <f aca="false">G1259+H1259+I1259</f>
        <v>2.03</v>
      </c>
      <c r="S1259" s="60" t="n">
        <f aca="false">K1259+L1259+M1259+N1259+O1259</f>
        <v>0.32</v>
      </c>
      <c r="T1259" s="60" t="n">
        <f aca="false">L1259+M1259</f>
        <v>0.31</v>
      </c>
      <c r="U1259" s="60" t="n">
        <f aca="false">S1259+J1259</f>
        <v>0.32</v>
      </c>
      <c r="V1259" s="63" t="n">
        <f aca="false">IFERROR(S1259/F1259,0)</f>
        <v>0.136170212765957</v>
      </c>
      <c r="W1259" s="63" t="n">
        <f aca="false">IFERROR(R1259/F1259,0)</f>
        <v>0.863829787234043</v>
      </c>
      <c r="X1259" s="63" t="n">
        <f aca="false">IFERROR(T1259/F1259,0)</f>
        <v>0.131914893617021</v>
      </c>
      <c r="Y1259" s="63" t="n">
        <f aca="false">IFERROR(G1259/F1259,0)</f>
        <v>0</v>
      </c>
      <c r="Z1259" s="59" t="n">
        <f aca="false">IF(E1259&gt;0,F1259*1000000000/E1259,"")</f>
        <v>4409.30344263402</v>
      </c>
      <c r="AA1259" s="63" t="n">
        <f aca="false">IFERROR((R1259+S1259+J1259)/F1259,0)</f>
        <v>1</v>
      </c>
      <c r="AB1259" s="0" t="str">
        <f aca="false">A1259&amp;"|"&amp;D1259</f>
        <v>Malta|2023</v>
      </c>
    </row>
    <row r="1260" customFormat="false" ht="15" hidden="false" customHeight="false" outlineLevel="0" collapsed="false">
      <c r="A1260" s="0" t="s">
        <v>300</v>
      </c>
      <c r="B1260" s="0" t="s">
        <v>539</v>
      </c>
      <c r="C1260" s="0" t="s">
        <v>127</v>
      </c>
      <c r="D1260" s="0" t="n">
        <v>2024</v>
      </c>
      <c r="E1260" s="59" t="n">
        <v>539612</v>
      </c>
      <c r="F1260" s="60" t="n">
        <v>2.19</v>
      </c>
      <c r="G1260" s="61" t="n">
        <v>0</v>
      </c>
      <c r="H1260" s="61" t="n">
        <v>1.84</v>
      </c>
      <c r="I1260" s="61" t="n">
        <v>0.01</v>
      </c>
      <c r="J1260" s="61" t="n">
        <v>0</v>
      </c>
      <c r="K1260" s="61" t="n">
        <v>0</v>
      </c>
      <c r="L1260" s="61" t="n">
        <v>0.33</v>
      </c>
      <c r="M1260" s="61" t="n">
        <v>0</v>
      </c>
      <c r="N1260" s="61" t="n">
        <v>0.01</v>
      </c>
      <c r="O1260" s="61" t="n">
        <v>0</v>
      </c>
      <c r="P1260" s="62" t="n">
        <v>488.6</v>
      </c>
      <c r="Q1260" s="0" t="n">
        <v>0</v>
      </c>
      <c r="R1260" s="60" t="n">
        <f aca="false">G1260+H1260+I1260</f>
        <v>1.85</v>
      </c>
      <c r="S1260" s="60" t="n">
        <f aca="false">K1260+L1260+M1260+N1260+O1260</f>
        <v>0.34</v>
      </c>
      <c r="T1260" s="60" t="n">
        <f aca="false">L1260+M1260</f>
        <v>0.33</v>
      </c>
      <c r="U1260" s="60" t="n">
        <f aca="false">S1260+J1260</f>
        <v>0.34</v>
      </c>
      <c r="V1260" s="63" t="n">
        <f aca="false">IFERROR(S1260/F1260,0)</f>
        <v>0.155251141552511</v>
      </c>
      <c r="W1260" s="63" t="n">
        <f aca="false">IFERROR(R1260/F1260,0)</f>
        <v>0.844748858447489</v>
      </c>
      <c r="X1260" s="63" t="n">
        <f aca="false">IFERROR(T1260/F1260,0)</f>
        <v>0.150684931506849</v>
      </c>
      <c r="Y1260" s="63" t="n">
        <f aca="false">IFERROR(G1260/F1260,0)</f>
        <v>0</v>
      </c>
      <c r="Z1260" s="59" t="n">
        <f aca="false">IF(E1260&gt;0,F1260*1000000000/E1260,"")</f>
        <v>4058.47164258764</v>
      </c>
      <c r="AA1260" s="63" t="n">
        <f aca="false">IFERROR((R1260+S1260+J1260)/F1260,0)</f>
        <v>1</v>
      </c>
      <c r="AB1260" s="0" t="str">
        <f aca="false">A1260&amp;"|"&amp;D1260</f>
        <v>Malta|2024</v>
      </c>
    </row>
    <row r="1261" customFormat="false" ht="15" hidden="false" customHeight="false" outlineLevel="0" collapsed="false">
      <c r="A1261" s="0" t="s">
        <v>300</v>
      </c>
      <c r="B1261" s="0" t="s">
        <v>539</v>
      </c>
      <c r="C1261" s="0" t="s">
        <v>127</v>
      </c>
      <c r="D1261" s="0" t="n">
        <v>2025</v>
      </c>
      <c r="E1261" s="59" t="n">
        <v>545406</v>
      </c>
      <c r="F1261" s="60" t="n">
        <v>2.19</v>
      </c>
      <c r="G1261" s="61" t="n">
        <v>0</v>
      </c>
      <c r="H1261" s="61" t="n">
        <v>1.82</v>
      </c>
      <c r="I1261" s="61" t="n">
        <v>0.02</v>
      </c>
      <c r="J1261" s="61" t="n">
        <v>0</v>
      </c>
      <c r="K1261" s="61" t="n">
        <v>0</v>
      </c>
      <c r="L1261" s="61" t="n">
        <v>0.34</v>
      </c>
      <c r="M1261" s="61" t="n">
        <v>0</v>
      </c>
      <c r="N1261" s="61" t="n">
        <v>0.01</v>
      </c>
      <c r="O1261" s="61" t="n">
        <v>0</v>
      </c>
      <c r="P1261" s="62" t="n">
        <v>484</v>
      </c>
      <c r="Q1261" s="0" t="n">
        <v>0</v>
      </c>
      <c r="R1261" s="60" t="n">
        <f aca="false">G1261+H1261+I1261</f>
        <v>1.84</v>
      </c>
      <c r="S1261" s="60" t="n">
        <f aca="false">K1261+L1261+M1261+N1261+O1261</f>
        <v>0.35</v>
      </c>
      <c r="T1261" s="60" t="n">
        <f aca="false">L1261+M1261</f>
        <v>0.34</v>
      </c>
      <c r="U1261" s="60" t="n">
        <f aca="false">S1261+J1261</f>
        <v>0.35</v>
      </c>
      <c r="V1261" s="63" t="n">
        <f aca="false">IFERROR(S1261/F1261,0)</f>
        <v>0.159817351598174</v>
      </c>
      <c r="W1261" s="63" t="n">
        <f aca="false">IFERROR(R1261/F1261,0)</f>
        <v>0.840182648401827</v>
      </c>
      <c r="X1261" s="63" t="n">
        <f aca="false">IFERROR(T1261/F1261,0)</f>
        <v>0.155251141552511</v>
      </c>
      <c r="Y1261" s="63" t="n">
        <f aca="false">IFERROR(G1261/F1261,0)</f>
        <v>0</v>
      </c>
      <c r="Z1261" s="59" t="n">
        <f aca="false">IF(E1261&gt;0,F1261*1000000000/E1261,"")</f>
        <v>4015.35736680565</v>
      </c>
      <c r="AA1261" s="63" t="n">
        <f aca="false">IFERROR((R1261+S1261+J1261)/F1261,0)</f>
        <v>1</v>
      </c>
      <c r="AB1261" s="0" t="str">
        <f aca="false">A1261&amp;"|"&amp;D1261</f>
        <v>Malta|2025</v>
      </c>
    </row>
    <row r="1262" customFormat="false" ht="15" hidden="false" customHeight="false" outlineLevel="0" collapsed="false">
      <c r="A1262" s="0" t="s">
        <v>301</v>
      </c>
      <c r="B1262" s="0" t="s">
        <v>540</v>
      </c>
      <c r="C1262" s="0" t="s">
        <v>127</v>
      </c>
      <c r="D1262" s="0" t="n">
        <v>2015</v>
      </c>
      <c r="E1262" s="59" t="n">
        <v>383737</v>
      </c>
      <c r="F1262" s="60" t="n">
        <v>1.56</v>
      </c>
      <c r="G1262" s="61" t="n">
        <v>0</v>
      </c>
      <c r="H1262" s="61" t="n">
        <v>0</v>
      </c>
      <c r="I1262" s="61" t="n">
        <v>1.47</v>
      </c>
      <c r="J1262" s="61" t="n">
        <v>0</v>
      </c>
      <c r="K1262" s="61" t="n">
        <v>0</v>
      </c>
      <c r="L1262" s="61" t="n">
        <v>0.08</v>
      </c>
      <c r="M1262" s="61" t="n">
        <v>0</v>
      </c>
      <c r="N1262" s="61" t="n">
        <v>0</v>
      </c>
      <c r="O1262" s="61" t="n">
        <v>0.01</v>
      </c>
      <c r="P1262" s="62" t="n">
        <v>621.8</v>
      </c>
      <c r="Q1262" s="0" t="n">
        <v>4</v>
      </c>
      <c r="R1262" s="60" t="n">
        <f aca="false">G1262+H1262+I1262</f>
        <v>1.47</v>
      </c>
      <c r="S1262" s="60" t="n">
        <f aca="false">K1262+L1262+M1262+N1262+O1262</f>
        <v>0.09</v>
      </c>
      <c r="T1262" s="60" t="n">
        <f aca="false">L1262+M1262</f>
        <v>0.08</v>
      </c>
      <c r="U1262" s="60" t="n">
        <f aca="false">S1262+J1262</f>
        <v>0.09</v>
      </c>
      <c r="V1262" s="63" t="n">
        <f aca="false">IFERROR(S1262/F1262,0)</f>
        <v>0.0576923076923077</v>
      </c>
      <c r="W1262" s="63" t="n">
        <f aca="false">IFERROR(R1262/F1262,0)</f>
        <v>0.942307692307692</v>
      </c>
      <c r="X1262" s="63" t="n">
        <f aca="false">IFERROR(T1262/F1262,0)</f>
        <v>0.0512820512820513</v>
      </c>
      <c r="Y1262" s="63" t="n">
        <f aca="false">IFERROR(G1262/F1262,0)</f>
        <v>0</v>
      </c>
      <c r="Z1262" s="59" t="n">
        <f aca="false">IF(E1262&gt;0,F1262*1000000000/E1262,"")</f>
        <v>4065.28429627583</v>
      </c>
      <c r="AA1262" s="63" t="n">
        <f aca="false">IFERROR((R1262+S1262+J1262)/F1262,0)</f>
        <v>1</v>
      </c>
      <c r="AB1262" s="0" t="str">
        <f aca="false">A1262&amp;"|"&amp;D1262</f>
        <v>Martinique|2015</v>
      </c>
    </row>
    <row r="1263" customFormat="false" ht="15" hidden="false" customHeight="false" outlineLevel="0" collapsed="false">
      <c r="A1263" s="0" t="s">
        <v>301</v>
      </c>
      <c r="B1263" s="0" t="s">
        <v>540</v>
      </c>
      <c r="C1263" s="0" t="s">
        <v>127</v>
      </c>
      <c r="D1263" s="0" t="n">
        <v>2016</v>
      </c>
      <c r="E1263" s="59" t="n">
        <v>378892</v>
      </c>
      <c r="F1263" s="60" t="n">
        <v>1.58</v>
      </c>
      <c r="G1263" s="61" t="n">
        <v>0</v>
      </c>
      <c r="H1263" s="61" t="n">
        <v>0</v>
      </c>
      <c r="I1263" s="61" t="n">
        <v>1.49</v>
      </c>
      <c r="J1263" s="61" t="n">
        <v>0</v>
      </c>
      <c r="K1263" s="61" t="n">
        <v>0</v>
      </c>
      <c r="L1263" s="61" t="n">
        <v>0.08</v>
      </c>
      <c r="M1263" s="61" t="n">
        <v>0</v>
      </c>
      <c r="N1263" s="61" t="n">
        <v>0</v>
      </c>
      <c r="O1263" s="61" t="n">
        <v>0.01</v>
      </c>
      <c r="P1263" s="62" t="n">
        <v>620.2</v>
      </c>
      <c r="Q1263" s="0" t="n">
        <v>4</v>
      </c>
      <c r="R1263" s="60" t="n">
        <f aca="false">G1263+H1263+I1263</f>
        <v>1.49</v>
      </c>
      <c r="S1263" s="60" t="n">
        <f aca="false">K1263+L1263+M1263+N1263+O1263</f>
        <v>0.09</v>
      </c>
      <c r="T1263" s="60" t="n">
        <f aca="false">L1263+M1263</f>
        <v>0.08</v>
      </c>
      <c r="U1263" s="60" t="n">
        <f aca="false">S1263+J1263</f>
        <v>0.09</v>
      </c>
      <c r="V1263" s="63" t="n">
        <f aca="false">IFERROR(S1263/F1263,0)</f>
        <v>0.0569620253164557</v>
      </c>
      <c r="W1263" s="63" t="n">
        <f aca="false">IFERROR(R1263/F1263,0)</f>
        <v>0.943037974683544</v>
      </c>
      <c r="X1263" s="63" t="n">
        <f aca="false">IFERROR(T1263/F1263,0)</f>
        <v>0.0506329113924051</v>
      </c>
      <c r="Y1263" s="63" t="n">
        <f aca="false">IFERROR(G1263/F1263,0)</f>
        <v>0</v>
      </c>
      <c r="Z1263" s="59" t="n">
        <f aca="false">IF(E1263&gt;0,F1263*1000000000/E1263,"")</f>
        <v>4170.05373562915</v>
      </c>
      <c r="AA1263" s="63" t="n">
        <f aca="false">IFERROR((R1263+S1263+J1263)/F1263,0)</f>
        <v>1</v>
      </c>
      <c r="AB1263" s="0" t="str">
        <f aca="false">A1263&amp;"|"&amp;D1263</f>
        <v>Martinique|2016</v>
      </c>
    </row>
    <row r="1264" customFormat="false" ht="15" hidden="false" customHeight="false" outlineLevel="0" collapsed="false">
      <c r="A1264" s="0" t="s">
        <v>301</v>
      </c>
      <c r="B1264" s="0" t="s">
        <v>540</v>
      </c>
      <c r="C1264" s="0" t="s">
        <v>127</v>
      </c>
      <c r="D1264" s="0" t="n">
        <v>2017</v>
      </c>
      <c r="E1264" s="59" t="n">
        <v>371510</v>
      </c>
      <c r="F1264" s="60" t="n">
        <v>1.56</v>
      </c>
      <c r="G1264" s="61" t="n">
        <v>0</v>
      </c>
      <c r="H1264" s="61" t="n">
        <v>0</v>
      </c>
      <c r="I1264" s="61" t="n">
        <v>1.47</v>
      </c>
      <c r="J1264" s="61" t="n">
        <v>0</v>
      </c>
      <c r="K1264" s="61" t="n">
        <v>0</v>
      </c>
      <c r="L1264" s="61" t="n">
        <v>0.08</v>
      </c>
      <c r="M1264" s="61" t="n">
        <v>0</v>
      </c>
      <c r="N1264" s="61" t="n">
        <v>0</v>
      </c>
      <c r="O1264" s="61" t="n">
        <v>0.01</v>
      </c>
      <c r="P1264" s="62" t="n">
        <v>621.8</v>
      </c>
      <c r="Q1264" s="0" t="n">
        <v>4</v>
      </c>
      <c r="R1264" s="60" t="n">
        <f aca="false">G1264+H1264+I1264</f>
        <v>1.47</v>
      </c>
      <c r="S1264" s="60" t="n">
        <f aca="false">K1264+L1264+M1264+N1264+O1264</f>
        <v>0.09</v>
      </c>
      <c r="T1264" s="60" t="n">
        <f aca="false">L1264+M1264</f>
        <v>0.08</v>
      </c>
      <c r="U1264" s="60" t="n">
        <f aca="false">S1264+J1264</f>
        <v>0.09</v>
      </c>
      <c r="V1264" s="63" t="n">
        <f aca="false">IFERROR(S1264/F1264,0)</f>
        <v>0.0576923076923077</v>
      </c>
      <c r="W1264" s="63" t="n">
        <f aca="false">IFERROR(R1264/F1264,0)</f>
        <v>0.942307692307692</v>
      </c>
      <c r="X1264" s="63" t="n">
        <f aca="false">IFERROR(T1264/F1264,0)</f>
        <v>0.0512820512820513</v>
      </c>
      <c r="Y1264" s="63" t="n">
        <f aca="false">IFERROR(G1264/F1264,0)</f>
        <v>0</v>
      </c>
      <c r="Z1264" s="59" t="n">
        <f aca="false">IF(E1264&gt;0,F1264*1000000000/E1264,"")</f>
        <v>4199.07943258593</v>
      </c>
      <c r="AA1264" s="63" t="n">
        <f aca="false">IFERROR((R1264+S1264+J1264)/F1264,0)</f>
        <v>1</v>
      </c>
      <c r="AB1264" s="0" t="str">
        <f aca="false">A1264&amp;"|"&amp;D1264</f>
        <v>Martinique|2017</v>
      </c>
    </row>
    <row r="1265" customFormat="false" ht="15" hidden="false" customHeight="false" outlineLevel="0" collapsed="false">
      <c r="A1265" s="0" t="s">
        <v>301</v>
      </c>
      <c r="B1265" s="0" t="s">
        <v>540</v>
      </c>
      <c r="C1265" s="0" t="s">
        <v>127</v>
      </c>
      <c r="D1265" s="0" t="n">
        <v>2018</v>
      </c>
      <c r="E1265" s="59" t="n">
        <v>364100</v>
      </c>
      <c r="F1265" s="60" t="n">
        <v>1.54</v>
      </c>
      <c r="G1265" s="61" t="n">
        <v>0</v>
      </c>
      <c r="H1265" s="61" t="n">
        <v>0</v>
      </c>
      <c r="I1265" s="61" t="n">
        <v>1.36</v>
      </c>
      <c r="J1265" s="61" t="n">
        <v>0</v>
      </c>
      <c r="K1265" s="61" t="n">
        <v>0</v>
      </c>
      <c r="L1265" s="61" t="n">
        <v>0.08</v>
      </c>
      <c r="M1265" s="61" t="n">
        <v>0.01</v>
      </c>
      <c r="N1265" s="61" t="n">
        <v>0.08</v>
      </c>
      <c r="O1265" s="61" t="n">
        <v>0.01</v>
      </c>
      <c r="P1265" s="62" t="n">
        <v>590.9</v>
      </c>
      <c r="Q1265" s="0" t="n">
        <v>4</v>
      </c>
      <c r="R1265" s="60" t="n">
        <f aca="false">G1265+H1265+I1265</f>
        <v>1.36</v>
      </c>
      <c r="S1265" s="60" t="n">
        <f aca="false">K1265+L1265+M1265+N1265+O1265</f>
        <v>0.18</v>
      </c>
      <c r="T1265" s="60" t="n">
        <f aca="false">L1265+M1265</f>
        <v>0.09</v>
      </c>
      <c r="U1265" s="60" t="n">
        <f aca="false">S1265+J1265</f>
        <v>0.18</v>
      </c>
      <c r="V1265" s="63" t="n">
        <f aca="false">IFERROR(S1265/F1265,0)</f>
        <v>0.116883116883117</v>
      </c>
      <c r="W1265" s="63" t="n">
        <f aca="false">IFERROR(R1265/F1265,0)</f>
        <v>0.883116883116883</v>
      </c>
      <c r="X1265" s="63" t="n">
        <f aca="false">IFERROR(T1265/F1265,0)</f>
        <v>0.0584415584415584</v>
      </c>
      <c r="Y1265" s="63" t="n">
        <f aca="false">IFERROR(G1265/F1265,0)</f>
        <v>0</v>
      </c>
      <c r="Z1265" s="59" t="n">
        <f aca="false">IF(E1265&gt;0,F1265*1000000000/E1265,"")</f>
        <v>4229.60725075529</v>
      </c>
      <c r="AA1265" s="63" t="n">
        <f aca="false">IFERROR((R1265+S1265+J1265)/F1265,0)</f>
        <v>1</v>
      </c>
      <c r="AB1265" s="0" t="str">
        <f aca="false">A1265&amp;"|"&amp;D1265</f>
        <v>Martinique|2018</v>
      </c>
    </row>
    <row r="1266" customFormat="false" ht="15" hidden="false" customHeight="false" outlineLevel="0" collapsed="false">
      <c r="A1266" s="0" t="s">
        <v>301</v>
      </c>
      <c r="B1266" s="0" t="s">
        <v>540</v>
      </c>
      <c r="C1266" s="0" t="s">
        <v>127</v>
      </c>
      <c r="D1266" s="0" t="n">
        <v>2019</v>
      </c>
      <c r="E1266" s="59" t="n">
        <v>359621</v>
      </c>
      <c r="F1266" s="60" t="n">
        <v>1.55</v>
      </c>
      <c r="G1266" s="61" t="n">
        <v>0</v>
      </c>
      <c r="H1266" s="61" t="n">
        <v>0</v>
      </c>
      <c r="I1266" s="61" t="n">
        <v>1.16</v>
      </c>
      <c r="J1266" s="61" t="n">
        <v>0</v>
      </c>
      <c r="K1266" s="61" t="n">
        <v>0</v>
      </c>
      <c r="L1266" s="61" t="n">
        <v>0.09</v>
      </c>
      <c r="M1266" s="61" t="n">
        <v>0.05</v>
      </c>
      <c r="N1266" s="61" t="n">
        <v>0.24</v>
      </c>
      <c r="O1266" s="61" t="n">
        <v>0.01</v>
      </c>
      <c r="P1266" s="62" t="n">
        <v>522.6</v>
      </c>
      <c r="Q1266" s="0" t="n">
        <v>3</v>
      </c>
      <c r="R1266" s="60" t="n">
        <f aca="false">G1266+H1266+I1266</f>
        <v>1.16</v>
      </c>
      <c r="S1266" s="60" t="n">
        <f aca="false">K1266+L1266+M1266+N1266+O1266</f>
        <v>0.39</v>
      </c>
      <c r="T1266" s="60" t="n">
        <f aca="false">L1266+M1266</f>
        <v>0.14</v>
      </c>
      <c r="U1266" s="60" t="n">
        <f aca="false">S1266+J1266</f>
        <v>0.39</v>
      </c>
      <c r="V1266" s="63" t="n">
        <f aca="false">IFERROR(S1266/F1266,0)</f>
        <v>0.251612903225806</v>
      </c>
      <c r="W1266" s="63" t="n">
        <f aca="false">IFERROR(R1266/F1266,0)</f>
        <v>0.748387096774194</v>
      </c>
      <c r="X1266" s="63" t="n">
        <f aca="false">IFERROR(T1266/F1266,0)</f>
        <v>0.0903225806451613</v>
      </c>
      <c r="Y1266" s="63" t="n">
        <f aca="false">IFERROR(G1266/F1266,0)</f>
        <v>0</v>
      </c>
      <c r="Z1266" s="59" t="n">
        <f aca="false">IF(E1266&gt;0,F1266*1000000000/E1266,"")</f>
        <v>4310.09312581857</v>
      </c>
      <c r="AA1266" s="63" t="n">
        <f aca="false">IFERROR((R1266+S1266+J1266)/F1266,0)</f>
        <v>1</v>
      </c>
      <c r="AB1266" s="0" t="str">
        <f aca="false">A1266&amp;"|"&amp;D1266</f>
        <v>Martinique|2019</v>
      </c>
    </row>
    <row r="1267" customFormat="false" ht="15" hidden="false" customHeight="false" outlineLevel="0" collapsed="false">
      <c r="A1267" s="0" t="s">
        <v>301</v>
      </c>
      <c r="B1267" s="0" t="s">
        <v>540</v>
      </c>
      <c r="C1267" s="0" t="s">
        <v>127</v>
      </c>
      <c r="D1267" s="0" t="n">
        <v>2020</v>
      </c>
      <c r="E1267" s="59" t="n">
        <v>356625</v>
      </c>
      <c r="F1267" s="60" t="n">
        <v>1.5</v>
      </c>
      <c r="G1267" s="61" t="n">
        <v>0</v>
      </c>
      <c r="H1267" s="61" t="n">
        <v>0</v>
      </c>
      <c r="I1267" s="61" t="n">
        <v>1.16</v>
      </c>
      <c r="J1267" s="61" t="n">
        <v>0</v>
      </c>
      <c r="K1267" s="61" t="n">
        <v>0</v>
      </c>
      <c r="L1267" s="61" t="n">
        <v>0.08</v>
      </c>
      <c r="M1267" s="61" t="n">
        <v>0.04</v>
      </c>
      <c r="N1267" s="61" t="n">
        <v>0.22</v>
      </c>
      <c r="O1267" s="61" t="n">
        <v>0</v>
      </c>
      <c r="P1267" s="62" t="n">
        <v>540</v>
      </c>
      <c r="Q1267" s="0" t="n">
        <v>3</v>
      </c>
      <c r="R1267" s="60" t="n">
        <f aca="false">G1267+H1267+I1267</f>
        <v>1.16</v>
      </c>
      <c r="S1267" s="60" t="n">
        <f aca="false">K1267+L1267+M1267+N1267+O1267</f>
        <v>0.34</v>
      </c>
      <c r="T1267" s="60" t="n">
        <f aca="false">L1267+M1267</f>
        <v>0.12</v>
      </c>
      <c r="U1267" s="60" t="n">
        <f aca="false">S1267+J1267</f>
        <v>0.34</v>
      </c>
      <c r="V1267" s="63" t="n">
        <f aca="false">IFERROR(S1267/F1267,0)</f>
        <v>0.226666666666667</v>
      </c>
      <c r="W1267" s="63" t="n">
        <f aca="false">IFERROR(R1267/F1267,0)</f>
        <v>0.773333333333333</v>
      </c>
      <c r="X1267" s="63" t="n">
        <f aca="false">IFERROR(T1267/F1267,0)</f>
        <v>0.08</v>
      </c>
      <c r="Y1267" s="63" t="n">
        <f aca="false">IFERROR(G1267/F1267,0)</f>
        <v>0</v>
      </c>
      <c r="Z1267" s="59" t="n">
        <f aca="false">IF(E1267&gt;0,F1267*1000000000/E1267,"")</f>
        <v>4206.09884332282</v>
      </c>
      <c r="AA1267" s="63" t="n">
        <f aca="false">IFERROR((R1267+S1267+J1267)/F1267,0)</f>
        <v>1</v>
      </c>
      <c r="AB1267" s="0" t="str">
        <f aca="false">A1267&amp;"|"&amp;D1267</f>
        <v>Martinique|2020</v>
      </c>
    </row>
    <row r="1268" customFormat="false" ht="15" hidden="false" customHeight="false" outlineLevel="0" collapsed="false">
      <c r="A1268" s="0" t="s">
        <v>301</v>
      </c>
      <c r="B1268" s="0" t="s">
        <v>540</v>
      </c>
      <c r="C1268" s="0" t="s">
        <v>127</v>
      </c>
      <c r="D1268" s="0" t="n">
        <v>2021</v>
      </c>
      <c r="E1268" s="59" t="n">
        <v>353286</v>
      </c>
      <c r="F1268" s="60" t="n">
        <v>1.51</v>
      </c>
      <c r="G1268" s="61" t="n">
        <v>0</v>
      </c>
      <c r="H1268" s="61" t="n">
        <v>0</v>
      </c>
      <c r="I1268" s="61" t="n">
        <v>1.13</v>
      </c>
      <c r="J1268" s="61" t="n">
        <v>0</v>
      </c>
      <c r="K1268" s="61" t="n">
        <v>0</v>
      </c>
      <c r="L1268" s="61" t="n">
        <v>0.09</v>
      </c>
      <c r="M1268" s="61" t="n">
        <v>0.05</v>
      </c>
      <c r="N1268" s="61" t="n">
        <v>0.23</v>
      </c>
      <c r="O1268" s="61" t="n">
        <v>0.01</v>
      </c>
      <c r="P1268" s="62" t="n">
        <v>523.2</v>
      </c>
      <c r="Q1268" s="0" t="n">
        <v>3</v>
      </c>
      <c r="R1268" s="60" t="n">
        <f aca="false">G1268+H1268+I1268</f>
        <v>1.13</v>
      </c>
      <c r="S1268" s="60" t="n">
        <f aca="false">K1268+L1268+M1268+N1268+O1268</f>
        <v>0.38</v>
      </c>
      <c r="T1268" s="60" t="n">
        <f aca="false">L1268+M1268</f>
        <v>0.14</v>
      </c>
      <c r="U1268" s="60" t="n">
        <f aca="false">S1268+J1268</f>
        <v>0.38</v>
      </c>
      <c r="V1268" s="63" t="n">
        <f aca="false">IFERROR(S1268/F1268,0)</f>
        <v>0.251655629139073</v>
      </c>
      <c r="W1268" s="63" t="n">
        <f aca="false">IFERROR(R1268/F1268,0)</f>
        <v>0.748344370860927</v>
      </c>
      <c r="X1268" s="63" t="n">
        <f aca="false">IFERROR(T1268/F1268,0)</f>
        <v>0.0927152317880795</v>
      </c>
      <c r="Y1268" s="63" t="n">
        <f aca="false">IFERROR(G1268/F1268,0)</f>
        <v>0</v>
      </c>
      <c r="Z1268" s="59" t="n">
        <f aca="false">IF(E1268&gt;0,F1268*1000000000/E1268,"")</f>
        <v>4274.15748147393</v>
      </c>
      <c r="AA1268" s="63" t="n">
        <f aca="false">IFERROR((R1268+S1268+J1268)/F1268,0)</f>
        <v>1</v>
      </c>
      <c r="AB1268" s="0" t="str">
        <f aca="false">A1268&amp;"|"&amp;D1268</f>
        <v>Martinique|2021</v>
      </c>
    </row>
    <row r="1269" customFormat="false" ht="15" hidden="false" customHeight="false" outlineLevel="0" collapsed="false">
      <c r="A1269" s="0" t="s">
        <v>301</v>
      </c>
      <c r="B1269" s="0" t="s">
        <v>540</v>
      </c>
      <c r="C1269" s="0" t="s">
        <v>127</v>
      </c>
      <c r="D1269" s="0" t="n">
        <v>2022</v>
      </c>
      <c r="E1269" s="59" t="n">
        <v>349462</v>
      </c>
      <c r="F1269" s="60" t="n">
        <v>1.49</v>
      </c>
      <c r="G1269" s="61" t="n">
        <v>0</v>
      </c>
      <c r="H1269" s="61" t="n">
        <v>0</v>
      </c>
      <c r="I1269" s="61" t="n">
        <v>1.1</v>
      </c>
      <c r="J1269" s="61" t="n">
        <v>0</v>
      </c>
      <c r="K1269" s="61" t="n">
        <v>0</v>
      </c>
      <c r="L1269" s="61" t="n">
        <v>0.09</v>
      </c>
      <c r="M1269" s="61" t="n">
        <v>0.04</v>
      </c>
      <c r="N1269" s="61" t="n">
        <v>0.25</v>
      </c>
      <c r="O1269" s="61" t="n">
        <v>0.01</v>
      </c>
      <c r="P1269" s="62" t="n">
        <v>516.8</v>
      </c>
      <c r="Q1269" s="0" t="n">
        <v>3</v>
      </c>
      <c r="R1269" s="60" t="n">
        <f aca="false">G1269+H1269+I1269</f>
        <v>1.1</v>
      </c>
      <c r="S1269" s="60" t="n">
        <f aca="false">K1269+L1269+M1269+N1269+O1269</f>
        <v>0.39</v>
      </c>
      <c r="T1269" s="60" t="n">
        <f aca="false">L1269+M1269</f>
        <v>0.13</v>
      </c>
      <c r="U1269" s="60" t="n">
        <f aca="false">S1269+J1269</f>
        <v>0.39</v>
      </c>
      <c r="V1269" s="63" t="n">
        <f aca="false">IFERROR(S1269/F1269,0)</f>
        <v>0.261744966442953</v>
      </c>
      <c r="W1269" s="63" t="n">
        <f aca="false">IFERROR(R1269/F1269,0)</f>
        <v>0.738255033557047</v>
      </c>
      <c r="X1269" s="63" t="n">
        <f aca="false">IFERROR(T1269/F1269,0)</f>
        <v>0.087248322147651</v>
      </c>
      <c r="Y1269" s="63" t="n">
        <f aca="false">IFERROR(G1269/F1269,0)</f>
        <v>0</v>
      </c>
      <c r="Z1269" s="59" t="n">
        <f aca="false">IF(E1269&gt;0,F1269*1000000000/E1269,"")</f>
        <v>4263.69676817508</v>
      </c>
      <c r="AA1269" s="63" t="n">
        <f aca="false">IFERROR((R1269+S1269+J1269)/F1269,0)</f>
        <v>1</v>
      </c>
      <c r="AB1269" s="0" t="str">
        <f aca="false">A1269&amp;"|"&amp;D1269</f>
        <v>Martinique|2022</v>
      </c>
    </row>
    <row r="1270" customFormat="false" ht="15" hidden="false" customHeight="false" outlineLevel="0" collapsed="false">
      <c r="A1270" s="0" t="s">
        <v>301</v>
      </c>
      <c r="B1270" s="0" t="s">
        <v>540</v>
      </c>
      <c r="C1270" s="0" t="s">
        <v>127</v>
      </c>
      <c r="D1270" s="0" t="n">
        <v>2023</v>
      </c>
      <c r="E1270" s="59" t="n">
        <v>346008</v>
      </c>
      <c r="F1270" s="60" t="n">
        <v>1.51</v>
      </c>
      <c r="G1270" s="61" t="n">
        <v>0</v>
      </c>
      <c r="H1270" s="61" t="n">
        <v>0</v>
      </c>
      <c r="I1270" s="61" t="n">
        <v>1.12</v>
      </c>
      <c r="J1270" s="61" t="n">
        <v>0</v>
      </c>
      <c r="K1270" s="61" t="n">
        <v>0</v>
      </c>
      <c r="L1270" s="61" t="n">
        <v>0.11</v>
      </c>
      <c r="M1270" s="61" t="n">
        <v>0.03</v>
      </c>
      <c r="N1270" s="61" t="n">
        <v>0.24</v>
      </c>
      <c r="O1270" s="61" t="n">
        <v>0.01</v>
      </c>
      <c r="P1270" s="62" t="n">
        <v>529.8</v>
      </c>
      <c r="Q1270" s="0" t="n">
        <v>3</v>
      </c>
      <c r="R1270" s="60" t="n">
        <f aca="false">G1270+H1270+I1270</f>
        <v>1.12</v>
      </c>
      <c r="S1270" s="60" t="n">
        <f aca="false">K1270+L1270+M1270+N1270+O1270</f>
        <v>0.39</v>
      </c>
      <c r="T1270" s="60" t="n">
        <f aca="false">L1270+M1270</f>
        <v>0.14</v>
      </c>
      <c r="U1270" s="60" t="n">
        <f aca="false">S1270+J1270</f>
        <v>0.39</v>
      </c>
      <c r="V1270" s="63" t="n">
        <f aca="false">IFERROR(S1270/F1270,0)</f>
        <v>0.258278145695364</v>
      </c>
      <c r="W1270" s="63" t="n">
        <f aca="false">IFERROR(R1270/F1270,0)</f>
        <v>0.741721854304636</v>
      </c>
      <c r="X1270" s="63" t="n">
        <f aca="false">IFERROR(T1270/F1270,0)</f>
        <v>0.0927152317880795</v>
      </c>
      <c r="Y1270" s="63" t="n">
        <f aca="false">IFERROR(G1270/F1270,0)</f>
        <v>0</v>
      </c>
      <c r="Z1270" s="59" t="n">
        <f aca="false">IF(E1270&gt;0,F1270*1000000000/E1270,"")</f>
        <v>4364.06094656771</v>
      </c>
      <c r="AA1270" s="63" t="n">
        <f aca="false">IFERROR((R1270+S1270+J1270)/F1270,0)</f>
        <v>1</v>
      </c>
      <c r="AB1270" s="0" t="str">
        <f aca="false">A1270&amp;"|"&amp;D1270</f>
        <v>Martinique|2023</v>
      </c>
    </row>
    <row r="1271" customFormat="false" ht="15" hidden="false" customHeight="false" outlineLevel="0" collapsed="false">
      <c r="A1271" s="0" t="s">
        <v>302</v>
      </c>
      <c r="B1271" s="0" t="s">
        <v>541</v>
      </c>
      <c r="C1271" s="0" t="s">
        <v>127</v>
      </c>
      <c r="D1271" s="0" t="n">
        <v>2015</v>
      </c>
      <c r="E1271" s="59" t="n">
        <v>3965959</v>
      </c>
      <c r="F1271" s="60" t="n">
        <v>1.16</v>
      </c>
      <c r="G1271" s="61" t="n">
        <v>0</v>
      </c>
      <c r="H1271" s="61" t="n">
        <v>0</v>
      </c>
      <c r="I1271" s="61" t="n">
        <v>0.84</v>
      </c>
      <c r="J1271" s="61" t="n">
        <v>0</v>
      </c>
      <c r="K1271" s="61" t="n">
        <v>0.19</v>
      </c>
      <c r="L1271" s="61" t="n">
        <v>0.03</v>
      </c>
      <c r="M1271" s="61" t="n">
        <v>0.1</v>
      </c>
      <c r="N1271" s="61" t="n">
        <v>0</v>
      </c>
      <c r="O1271" s="61" t="n">
        <v>0</v>
      </c>
      <c r="P1271" s="62" t="n">
        <v>474.1</v>
      </c>
      <c r="Q1271" s="0" t="n">
        <v>0</v>
      </c>
      <c r="R1271" s="60" t="n">
        <f aca="false">G1271+H1271+I1271</f>
        <v>0.84</v>
      </c>
      <c r="S1271" s="60" t="n">
        <f aca="false">K1271+L1271+M1271+N1271+O1271</f>
        <v>0.32</v>
      </c>
      <c r="T1271" s="60" t="n">
        <f aca="false">L1271+M1271</f>
        <v>0.13</v>
      </c>
      <c r="U1271" s="60" t="n">
        <f aca="false">S1271+J1271</f>
        <v>0.32</v>
      </c>
      <c r="V1271" s="63" t="n">
        <f aca="false">IFERROR(S1271/F1271,0)</f>
        <v>0.275862068965517</v>
      </c>
      <c r="W1271" s="63" t="n">
        <f aca="false">IFERROR(R1271/F1271,0)</f>
        <v>0.724137931034483</v>
      </c>
      <c r="X1271" s="63" t="n">
        <f aca="false">IFERROR(T1271/F1271,0)</f>
        <v>0.112068965517241</v>
      </c>
      <c r="Y1271" s="63" t="n">
        <f aca="false">IFERROR(G1271/F1271,0)</f>
        <v>0</v>
      </c>
      <c r="Z1271" s="59" t="n">
        <f aca="false">IF(E1271&gt;0,F1271*1000000000/E1271,"")</f>
        <v>292.489155838474</v>
      </c>
      <c r="AA1271" s="63" t="n">
        <f aca="false">IFERROR((R1271+S1271+J1271)/F1271,0)</f>
        <v>1</v>
      </c>
      <c r="AB1271" s="0" t="str">
        <f aca="false">A1271&amp;"|"&amp;D1271</f>
        <v>Mauritania|2015</v>
      </c>
    </row>
    <row r="1272" customFormat="false" ht="15" hidden="false" customHeight="false" outlineLevel="0" collapsed="false">
      <c r="A1272" s="0" t="s">
        <v>302</v>
      </c>
      <c r="B1272" s="0" t="s">
        <v>541</v>
      </c>
      <c r="C1272" s="0" t="s">
        <v>127</v>
      </c>
      <c r="D1272" s="0" t="n">
        <v>2016</v>
      </c>
      <c r="E1272" s="59" t="n">
        <v>4086655</v>
      </c>
      <c r="F1272" s="60" t="n">
        <v>1.16</v>
      </c>
      <c r="G1272" s="61" t="n">
        <v>0</v>
      </c>
      <c r="H1272" s="61" t="n">
        <v>0</v>
      </c>
      <c r="I1272" s="61" t="n">
        <v>0.87</v>
      </c>
      <c r="J1272" s="61" t="n">
        <v>0</v>
      </c>
      <c r="K1272" s="61" t="n">
        <v>0.13</v>
      </c>
      <c r="L1272" s="61" t="n">
        <v>0.06</v>
      </c>
      <c r="M1272" s="61" t="n">
        <v>0.1</v>
      </c>
      <c r="N1272" s="61" t="n">
        <v>0</v>
      </c>
      <c r="O1272" s="61" t="n">
        <v>0</v>
      </c>
      <c r="P1272" s="62" t="n">
        <v>491.4</v>
      </c>
      <c r="Q1272" s="0" t="n">
        <v>0</v>
      </c>
      <c r="R1272" s="60" t="n">
        <f aca="false">G1272+H1272+I1272</f>
        <v>0.87</v>
      </c>
      <c r="S1272" s="60" t="n">
        <f aca="false">K1272+L1272+M1272+N1272+O1272</f>
        <v>0.29</v>
      </c>
      <c r="T1272" s="60" t="n">
        <f aca="false">L1272+M1272</f>
        <v>0.16</v>
      </c>
      <c r="U1272" s="60" t="n">
        <f aca="false">S1272+J1272</f>
        <v>0.29</v>
      </c>
      <c r="V1272" s="63" t="n">
        <f aca="false">IFERROR(S1272/F1272,0)</f>
        <v>0.25</v>
      </c>
      <c r="W1272" s="63" t="n">
        <f aca="false">IFERROR(R1272/F1272,0)</f>
        <v>0.75</v>
      </c>
      <c r="X1272" s="63" t="n">
        <f aca="false">IFERROR(T1272/F1272,0)</f>
        <v>0.137931034482759</v>
      </c>
      <c r="Y1272" s="63" t="n">
        <f aca="false">IFERROR(G1272/F1272,0)</f>
        <v>0</v>
      </c>
      <c r="Z1272" s="59" t="n">
        <f aca="false">IF(E1272&gt;0,F1272*1000000000/E1272,"")</f>
        <v>283.850728774511</v>
      </c>
      <c r="AA1272" s="63" t="n">
        <f aca="false">IFERROR((R1272+S1272+J1272)/F1272,0)</f>
        <v>1</v>
      </c>
      <c r="AB1272" s="0" t="str">
        <f aca="false">A1272&amp;"|"&amp;D1272</f>
        <v>Mauritania|2016</v>
      </c>
    </row>
    <row r="1273" customFormat="false" ht="15" hidden="false" customHeight="false" outlineLevel="0" collapsed="false">
      <c r="A1273" s="0" t="s">
        <v>302</v>
      </c>
      <c r="B1273" s="0" t="s">
        <v>541</v>
      </c>
      <c r="C1273" s="0" t="s">
        <v>127</v>
      </c>
      <c r="D1273" s="0" t="n">
        <v>2017</v>
      </c>
      <c r="E1273" s="59" t="n">
        <v>4210603</v>
      </c>
      <c r="F1273" s="60" t="n">
        <v>1.35</v>
      </c>
      <c r="G1273" s="61" t="n">
        <v>0</v>
      </c>
      <c r="H1273" s="61" t="n">
        <v>0</v>
      </c>
      <c r="I1273" s="61" t="n">
        <v>1.02</v>
      </c>
      <c r="J1273" s="61" t="n">
        <v>0</v>
      </c>
      <c r="K1273" s="61" t="n">
        <v>0.17</v>
      </c>
      <c r="L1273" s="61" t="n">
        <v>0.06</v>
      </c>
      <c r="M1273" s="61" t="n">
        <v>0.1</v>
      </c>
      <c r="N1273" s="61" t="n">
        <v>0</v>
      </c>
      <c r="O1273" s="61" t="n">
        <v>0</v>
      </c>
      <c r="P1273" s="62" t="n">
        <v>496.3</v>
      </c>
      <c r="Q1273" s="0" t="n">
        <v>0</v>
      </c>
      <c r="R1273" s="60" t="n">
        <f aca="false">G1273+H1273+I1273</f>
        <v>1.02</v>
      </c>
      <c r="S1273" s="60" t="n">
        <f aca="false">K1273+L1273+M1273+N1273+O1273</f>
        <v>0.33</v>
      </c>
      <c r="T1273" s="60" t="n">
        <f aca="false">L1273+M1273</f>
        <v>0.16</v>
      </c>
      <c r="U1273" s="60" t="n">
        <f aca="false">S1273+J1273</f>
        <v>0.33</v>
      </c>
      <c r="V1273" s="63" t="n">
        <f aca="false">IFERROR(S1273/F1273,0)</f>
        <v>0.244444444444444</v>
      </c>
      <c r="W1273" s="63" t="n">
        <f aca="false">IFERROR(R1273/F1273,0)</f>
        <v>0.755555555555556</v>
      </c>
      <c r="X1273" s="63" t="n">
        <f aca="false">IFERROR(T1273/F1273,0)</f>
        <v>0.118518518518519</v>
      </c>
      <c r="Y1273" s="63" t="n">
        <f aca="false">IFERROR(G1273/F1273,0)</f>
        <v>0</v>
      </c>
      <c r="Z1273" s="59" t="n">
        <f aca="false">IF(E1273&gt;0,F1273*1000000000/E1273,"")</f>
        <v>320.619160723535</v>
      </c>
      <c r="AA1273" s="63" t="n">
        <f aca="false">IFERROR((R1273+S1273+J1273)/F1273,0)</f>
        <v>1</v>
      </c>
      <c r="AB1273" s="0" t="str">
        <f aca="false">A1273&amp;"|"&amp;D1273</f>
        <v>Mauritania|2017</v>
      </c>
    </row>
    <row r="1274" customFormat="false" ht="15" hidden="false" customHeight="false" outlineLevel="0" collapsed="false">
      <c r="A1274" s="0" t="s">
        <v>302</v>
      </c>
      <c r="B1274" s="0" t="s">
        <v>541</v>
      </c>
      <c r="C1274" s="0" t="s">
        <v>127</v>
      </c>
      <c r="D1274" s="0" t="n">
        <v>2018</v>
      </c>
      <c r="E1274" s="59" t="n">
        <v>4337685</v>
      </c>
      <c r="F1274" s="60" t="n">
        <v>1.46</v>
      </c>
      <c r="G1274" s="61" t="n">
        <v>0</v>
      </c>
      <c r="H1274" s="61" t="n">
        <v>0</v>
      </c>
      <c r="I1274" s="61" t="n">
        <v>1.02</v>
      </c>
      <c r="J1274" s="61" t="n">
        <v>0</v>
      </c>
      <c r="K1274" s="61" t="n">
        <v>0.19</v>
      </c>
      <c r="L1274" s="61" t="n">
        <v>0.15</v>
      </c>
      <c r="M1274" s="61" t="n">
        <v>0.1</v>
      </c>
      <c r="N1274" s="61" t="n">
        <v>0</v>
      </c>
      <c r="O1274" s="61" t="n">
        <v>0</v>
      </c>
      <c r="P1274" s="62" t="n">
        <v>465.8</v>
      </c>
      <c r="Q1274" s="0" t="n">
        <v>0</v>
      </c>
      <c r="R1274" s="60" t="n">
        <f aca="false">G1274+H1274+I1274</f>
        <v>1.02</v>
      </c>
      <c r="S1274" s="60" t="n">
        <f aca="false">K1274+L1274+M1274+N1274+O1274</f>
        <v>0.44</v>
      </c>
      <c r="T1274" s="60" t="n">
        <f aca="false">L1274+M1274</f>
        <v>0.25</v>
      </c>
      <c r="U1274" s="60" t="n">
        <f aca="false">S1274+J1274</f>
        <v>0.44</v>
      </c>
      <c r="V1274" s="63" t="n">
        <f aca="false">IFERROR(S1274/F1274,0)</f>
        <v>0.301369863013699</v>
      </c>
      <c r="W1274" s="63" t="n">
        <f aca="false">IFERROR(R1274/F1274,0)</f>
        <v>0.698630136986301</v>
      </c>
      <c r="X1274" s="63" t="n">
        <f aca="false">IFERROR(T1274/F1274,0)</f>
        <v>0.171232876712329</v>
      </c>
      <c r="Y1274" s="63" t="n">
        <f aca="false">IFERROR(G1274/F1274,0)</f>
        <v>0</v>
      </c>
      <c r="Z1274" s="59" t="n">
        <f aca="false">IF(E1274&gt;0,F1274*1000000000/E1274,"")</f>
        <v>336.585067841487</v>
      </c>
      <c r="AA1274" s="63" t="n">
        <f aca="false">IFERROR((R1274+S1274+J1274)/F1274,0)</f>
        <v>1</v>
      </c>
      <c r="AB1274" s="0" t="str">
        <f aca="false">A1274&amp;"|"&amp;D1274</f>
        <v>Mauritania|2018</v>
      </c>
    </row>
    <row r="1275" customFormat="false" ht="15" hidden="false" customHeight="false" outlineLevel="0" collapsed="false">
      <c r="A1275" s="0" t="s">
        <v>302</v>
      </c>
      <c r="B1275" s="0" t="s">
        <v>541</v>
      </c>
      <c r="C1275" s="0" t="s">
        <v>127</v>
      </c>
      <c r="D1275" s="0" t="n">
        <v>2019</v>
      </c>
      <c r="E1275" s="59" t="n">
        <v>4467714</v>
      </c>
      <c r="F1275" s="60" t="n">
        <v>1.57</v>
      </c>
      <c r="G1275" s="61" t="n">
        <v>0</v>
      </c>
      <c r="H1275" s="61" t="n">
        <v>0</v>
      </c>
      <c r="I1275" s="61" t="n">
        <v>1.1</v>
      </c>
      <c r="J1275" s="61" t="n">
        <v>0</v>
      </c>
      <c r="K1275" s="61" t="n">
        <v>0.2</v>
      </c>
      <c r="L1275" s="61" t="n">
        <v>0.15</v>
      </c>
      <c r="M1275" s="61" t="n">
        <v>0.12</v>
      </c>
      <c r="N1275" s="61" t="n">
        <v>0</v>
      </c>
      <c r="O1275" s="61" t="n">
        <v>0</v>
      </c>
      <c r="P1275" s="62" t="n">
        <v>465</v>
      </c>
      <c r="Q1275" s="0" t="n">
        <v>0</v>
      </c>
      <c r="R1275" s="60" t="n">
        <f aca="false">G1275+H1275+I1275</f>
        <v>1.1</v>
      </c>
      <c r="S1275" s="60" t="n">
        <f aca="false">K1275+L1275+M1275+N1275+O1275</f>
        <v>0.47</v>
      </c>
      <c r="T1275" s="60" t="n">
        <f aca="false">L1275+M1275</f>
        <v>0.27</v>
      </c>
      <c r="U1275" s="60" t="n">
        <f aca="false">S1275+J1275</f>
        <v>0.47</v>
      </c>
      <c r="V1275" s="63" t="n">
        <f aca="false">IFERROR(S1275/F1275,0)</f>
        <v>0.299363057324841</v>
      </c>
      <c r="W1275" s="63" t="n">
        <f aca="false">IFERROR(R1275/F1275,0)</f>
        <v>0.700636942675159</v>
      </c>
      <c r="X1275" s="63" t="n">
        <f aca="false">IFERROR(T1275/F1275,0)</f>
        <v>0.171974522292994</v>
      </c>
      <c r="Y1275" s="63" t="n">
        <f aca="false">IFERROR(G1275/F1275,0)</f>
        <v>0</v>
      </c>
      <c r="Z1275" s="59" t="n">
        <f aca="false">IF(E1275&gt;0,F1275*1000000000/E1275,"")</f>
        <v>351.410139503111</v>
      </c>
      <c r="AA1275" s="63" t="n">
        <f aca="false">IFERROR((R1275+S1275+J1275)/F1275,0)</f>
        <v>1</v>
      </c>
      <c r="AB1275" s="0" t="str">
        <f aca="false">A1275&amp;"|"&amp;D1275</f>
        <v>Mauritania|2019</v>
      </c>
    </row>
    <row r="1276" customFormat="false" ht="15" hidden="false" customHeight="false" outlineLevel="0" collapsed="false">
      <c r="A1276" s="0" t="s">
        <v>302</v>
      </c>
      <c r="B1276" s="0" t="s">
        <v>541</v>
      </c>
      <c r="C1276" s="0" t="s">
        <v>127</v>
      </c>
      <c r="D1276" s="0" t="n">
        <v>2020</v>
      </c>
      <c r="E1276" s="59" t="n">
        <v>4600136</v>
      </c>
      <c r="F1276" s="60" t="n">
        <v>1.63</v>
      </c>
      <c r="G1276" s="61" t="n">
        <v>0</v>
      </c>
      <c r="H1276" s="61" t="n">
        <v>0</v>
      </c>
      <c r="I1276" s="61" t="n">
        <v>1.16</v>
      </c>
      <c r="J1276" s="61" t="n">
        <v>0</v>
      </c>
      <c r="K1276" s="61" t="n">
        <v>0.21</v>
      </c>
      <c r="L1276" s="61" t="n">
        <v>0.14</v>
      </c>
      <c r="M1276" s="61" t="n">
        <v>0.12</v>
      </c>
      <c r="N1276" s="61" t="n">
        <v>0</v>
      </c>
      <c r="O1276" s="61" t="n">
        <v>0</v>
      </c>
      <c r="P1276" s="62" t="n">
        <v>472.4</v>
      </c>
      <c r="Q1276" s="0" t="n">
        <v>0</v>
      </c>
      <c r="R1276" s="60" t="n">
        <f aca="false">G1276+H1276+I1276</f>
        <v>1.16</v>
      </c>
      <c r="S1276" s="60" t="n">
        <f aca="false">K1276+L1276+M1276+N1276+O1276</f>
        <v>0.47</v>
      </c>
      <c r="T1276" s="60" t="n">
        <f aca="false">L1276+M1276</f>
        <v>0.26</v>
      </c>
      <c r="U1276" s="60" t="n">
        <f aca="false">S1276+J1276</f>
        <v>0.47</v>
      </c>
      <c r="V1276" s="63" t="n">
        <f aca="false">IFERROR(S1276/F1276,0)</f>
        <v>0.288343558282209</v>
      </c>
      <c r="W1276" s="63" t="n">
        <f aca="false">IFERROR(R1276/F1276,0)</f>
        <v>0.711656441717791</v>
      </c>
      <c r="X1276" s="63" t="n">
        <f aca="false">IFERROR(T1276/F1276,0)</f>
        <v>0.159509202453988</v>
      </c>
      <c r="Y1276" s="63" t="n">
        <f aca="false">IFERROR(G1276/F1276,0)</f>
        <v>0</v>
      </c>
      <c r="Z1276" s="59" t="n">
        <f aca="false">IF(E1276&gt;0,F1276*1000000000/E1276,"")</f>
        <v>354.337350026173</v>
      </c>
      <c r="AA1276" s="63" t="n">
        <f aca="false">IFERROR((R1276+S1276+J1276)/F1276,0)</f>
        <v>1</v>
      </c>
      <c r="AB1276" s="0" t="str">
        <f aca="false">A1276&amp;"|"&amp;D1276</f>
        <v>Mauritania|2020</v>
      </c>
    </row>
    <row r="1277" customFormat="false" ht="15" hidden="false" customHeight="false" outlineLevel="0" collapsed="false">
      <c r="A1277" s="0" t="s">
        <v>302</v>
      </c>
      <c r="B1277" s="0" t="s">
        <v>541</v>
      </c>
      <c r="C1277" s="0" t="s">
        <v>127</v>
      </c>
      <c r="D1277" s="0" t="n">
        <v>2021</v>
      </c>
      <c r="E1277" s="59" t="n">
        <v>4734874</v>
      </c>
      <c r="F1277" s="60" t="n">
        <v>1.58</v>
      </c>
      <c r="G1277" s="61" t="n">
        <v>0</v>
      </c>
      <c r="H1277" s="61" t="n">
        <v>0</v>
      </c>
      <c r="I1277" s="61" t="n">
        <v>1.13</v>
      </c>
      <c r="J1277" s="61" t="n">
        <v>0</v>
      </c>
      <c r="K1277" s="61" t="n">
        <v>0.21</v>
      </c>
      <c r="L1277" s="61" t="n">
        <v>0.14</v>
      </c>
      <c r="M1277" s="61" t="n">
        <v>0.1</v>
      </c>
      <c r="N1277" s="61" t="n">
        <v>0</v>
      </c>
      <c r="O1277" s="61" t="n">
        <v>0</v>
      </c>
      <c r="P1277" s="62" t="n">
        <v>474.7</v>
      </c>
      <c r="Q1277" s="0" t="n">
        <v>0</v>
      </c>
      <c r="R1277" s="60" t="n">
        <f aca="false">G1277+H1277+I1277</f>
        <v>1.13</v>
      </c>
      <c r="S1277" s="60" t="n">
        <f aca="false">K1277+L1277+M1277+N1277+O1277</f>
        <v>0.45</v>
      </c>
      <c r="T1277" s="60" t="n">
        <f aca="false">L1277+M1277</f>
        <v>0.24</v>
      </c>
      <c r="U1277" s="60" t="n">
        <f aca="false">S1277+J1277</f>
        <v>0.45</v>
      </c>
      <c r="V1277" s="63" t="n">
        <f aca="false">IFERROR(S1277/F1277,0)</f>
        <v>0.284810126582278</v>
      </c>
      <c r="W1277" s="63" t="n">
        <f aca="false">IFERROR(R1277/F1277,0)</f>
        <v>0.715189873417721</v>
      </c>
      <c r="X1277" s="63" t="n">
        <f aca="false">IFERROR(T1277/F1277,0)</f>
        <v>0.151898734177215</v>
      </c>
      <c r="Y1277" s="63" t="n">
        <f aca="false">IFERROR(G1277/F1277,0)</f>
        <v>0</v>
      </c>
      <c r="Z1277" s="59" t="n">
        <f aca="false">IF(E1277&gt;0,F1277*1000000000/E1277,"")</f>
        <v>333.694201788685</v>
      </c>
      <c r="AA1277" s="63" t="n">
        <f aca="false">IFERROR((R1277+S1277+J1277)/F1277,0)</f>
        <v>1</v>
      </c>
      <c r="AB1277" s="0" t="str">
        <f aca="false">A1277&amp;"|"&amp;D1277</f>
        <v>Mauritania|2021</v>
      </c>
    </row>
    <row r="1278" customFormat="false" ht="15" hidden="false" customHeight="false" outlineLevel="0" collapsed="false">
      <c r="A1278" s="0" t="s">
        <v>302</v>
      </c>
      <c r="B1278" s="0" t="s">
        <v>541</v>
      </c>
      <c r="C1278" s="0" t="s">
        <v>127</v>
      </c>
      <c r="D1278" s="0" t="n">
        <v>2022</v>
      </c>
      <c r="E1278" s="59" t="n">
        <v>4875644</v>
      </c>
      <c r="F1278" s="60" t="n">
        <v>1.64</v>
      </c>
      <c r="G1278" s="61" t="n">
        <v>0</v>
      </c>
      <c r="H1278" s="61" t="n">
        <v>0</v>
      </c>
      <c r="I1278" s="61" t="n">
        <v>1.19</v>
      </c>
      <c r="J1278" s="61" t="n">
        <v>0</v>
      </c>
      <c r="K1278" s="61" t="n">
        <v>0.21</v>
      </c>
      <c r="L1278" s="61" t="n">
        <v>0.14</v>
      </c>
      <c r="M1278" s="61" t="n">
        <v>0.1</v>
      </c>
      <c r="N1278" s="61" t="n">
        <v>0</v>
      </c>
      <c r="O1278" s="61" t="n">
        <v>0</v>
      </c>
      <c r="P1278" s="62" t="n">
        <v>481.7</v>
      </c>
      <c r="Q1278" s="0" t="n">
        <v>0</v>
      </c>
      <c r="R1278" s="60" t="n">
        <f aca="false">G1278+H1278+I1278</f>
        <v>1.19</v>
      </c>
      <c r="S1278" s="60" t="n">
        <f aca="false">K1278+L1278+M1278+N1278+O1278</f>
        <v>0.45</v>
      </c>
      <c r="T1278" s="60" t="n">
        <f aca="false">L1278+M1278</f>
        <v>0.24</v>
      </c>
      <c r="U1278" s="60" t="n">
        <f aca="false">S1278+J1278</f>
        <v>0.45</v>
      </c>
      <c r="V1278" s="63" t="n">
        <f aca="false">IFERROR(S1278/F1278,0)</f>
        <v>0.274390243902439</v>
      </c>
      <c r="W1278" s="63" t="n">
        <f aca="false">IFERROR(R1278/F1278,0)</f>
        <v>0.725609756097561</v>
      </c>
      <c r="X1278" s="63" t="n">
        <f aca="false">IFERROR(T1278/F1278,0)</f>
        <v>0.146341463414634</v>
      </c>
      <c r="Y1278" s="63" t="n">
        <f aca="false">IFERROR(G1278/F1278,0)</f>
        <v>0</v>
      </c>
      <c r="Z1278" s="59" t="n">
        <f aca="false">IF(E1278&gt;0,F1278*1000000000/E1278,"")</f>
        <v>336.365821622744</v>
      </c>
      <c r="AA1278" s="63" t="n">
        <f aca="false">IFERROR((R1278+S1278+J1278)/F1278,0)</f>
        <v>1</v>
      </c>
      <c r="AB1278" s="0" t="str">
        <f aca="false">A1278&amp;"|"&amp;D1278</f>
        <v>Mauritania|2022</v>
      </c>
    </row>
    <row r="1279" customFormat="false" ht="15" hidden="false" customHeight="false" outlineLevel="0" collapsed="false">
      <c r="A1279" s="0" t="s">
        <v>302</v>
      </c>
      <c r="B1279" s="0" t="s">
        <v>541</v>
      </c>
      <c r="C1279" s="0" t="s">
        <v>127</v>
      </c>
      <c r="D1279" s="0" t="n">
        <v>2023</v>
      </c>
      <c r="E1279" s="59" t="n">
        <v>5022442</v>
      </c>
      <c r="F1279" s="60" t="n">
        <v>2.09</v>
      </c>
      <c r="G1279" s="61" t="n">
        <v>0</v>
      </c>
      <c r="H1279" s="61" t="n">
        <v>0</v>
      </c>
      <c r="I1279" s="61" t="n">
        <v>1.64</v>
      </c>
      <c r="J1279" s="61" t="n">
        <v>0</v>
      </c>
      <c r="K1279" s="61" t="n">
        <v>0.21</v>
      </c>
      <c r="L1279" s="61" t="n">
        <v>0.14</v>
      </c>
      <c r="M1279" s="61" t="n">
        <v>0.1</v>
      </c>
      <c r="N1279" s="61" t="n">
        <v>0</v>
      </c>
      <c r="O1279" s="61" t="n">
        <v>0</v>
      </c>
      <c r="P1279" s="62" t="n">
        <v>521.5</v>
      </c>
      <c r="Q1279" s="0" t="n">
        <v>0</v>
      </c>
      <c r="R1279" s="60" t="n">
        <f aca="false">G1279+H1279+I1279</f>
        <v>1.64</v>
      </c>
      <c r="S1279" s="60" t="n">
        <f aca="false">K1279+L1279+M1279+N1279+O1279</f>
        <v>0.45</v>
      </c>
      <c r="T1279" s="60" t="n">
        <f aca="false">L1279+M1279</f>
        <v>0.24</v>
      </c>
      <c r="U1279" s="60" t="n">
        <f aca="false">S1279+J1279</f>
        <v>0.45</v>
      </c>
      <c r="V1279" s="63" t="n">
        <f aca="false">IFERROR(S1279/F1279,0)</f>
        <v>0.215311004784689</v>
      </c>
      <c r="W1279" s="63" t="n">
        <f aca="false">IFERROR(R1279/F1279,0)</f>
        <v>0.784688995215311</v>
      </c>
      <c r="X1279" s="63" t="n">
        <f aca="false">IFERROR(T1279/F1279,0)</f>
        <v>0.114832535885167</v>
      </c>
      <c r="Y1279" s="63" t="n">
        <f aca="false">IFERROR(G1279/F1279,0)</f>
        <v>0</v>
      </c>
      <c r="Z1279" s="59" t="n">
        <f aca="false">IF(E1279&gt;0,F1279*1000000000/E1279,"")</f>
        <v>416.13223208949</v>
      </c>
      <c r="AA1279" s="63" t="n">
        <f aca="false">IFERROR((R1279+S1279+J1279)/F1279,0)</f>
        <v>1</v>
      </c>
      <c r="AB1279" s="0" t="str">
        <f aca="false">A1279&amp;"|"&amp;D1279</f>
        <v>Mauritania|2023</v>
      </c>
    </row>
    <row r="1280" customFormat="false" ht="15" hidden="false" customHeight="false" outlineLevel="0" collapsed="false">
      <c r="A1280" s="0" t="s">
        <v>302</v>
      </c>
      <c r="B1280" s="0" t="s">
        <v>541</v>
      </c>
      <c r="C1280" s="0" t="s">
        <v>127</v>
      </c>
      <c r="D1280" s="0" t="n">
        <v>2024</v>
      </c>
      <c r="E1280" s="59" t="n">
        <v>5169403</v>
      </c>
      <c r="F1280" s="60" t="n">
        <v>2.07</v>
      </c>
      <c r="G1280" s="61" t="n">
        <v>0</v>
      </c>
      <c r="H1280" s="61" t="n">
        <v>0</v>
      </c>
      <c r="I1280" s="61" t="n">
        <v>1.6</v>
      </c>
      <c r="J1280" s="61" t="n">
        <v>0</v>
      </c>
      <c r="K1280" s="61" t="n">
        <v>0.21</v>
      </c>
      <c r="L1280" s="61" t="n">
        <v>0.16</v>
      </c>
      <c r="M1280" s="61" t="n">
        <v>0.1</v>
      </c>
      <c r="N1280" s="61" t="n">
        <v>0</v>
      </c>
      <c r="O1280" s="61" t="n">
        <v>0</v>
      </c>
      <c r="P1280" s="62" t="n">
        <v>512.1</v>
      </c>
      <c r="Q1280" s="0" t="n">
        <v>0</v>
      </c>
      <c r="R1280" s="60" t="n">
        <f aca="false">G1280+H1280+I1280</f>
        <v>1.6</v>
      </c>
      <c r="S1280" s="60" t="n">
        <f aca="false">K1280+L1280+M1280+N1280+O1280</f>
        <v>0.47</v>
      </c>
      <c r="T1280" s="60" t="n">
        <f aca="false">L1280+M1280</f>
        <v>0.26</v>
      </c>
      <c r="U1280" s="60" t="n">
        <f aca="false">S1280+J1280</f>
        <v>0.47</v>
      </c>
      <c r="V1280" s="63" t="n">
        <f aca="false">IFERROR(S1280/F1280,0)</f>
        <v>0.227053140096618</v>
      </c>
      <c r="W1280" s="63" t="n">
        <f aca="false">IFERROR(R1280/F1280,0)</f>
        <v>0.772946859903382</v>
      </c>
      <c r="X1280" s="63" t="n">
        <f aca="false">IFERROR(T1280/F1280,0)</f>
        <v>0.1256038647343</v>
      </c>
      <c r="Y1280" s="63" t="n">
        <f aca="false">IFERROR(G1280/F1280,0)</f>
        <v>0</v>
      </c>
      <c r="Z1280" s="59" t="n">
        <f aca="false">IF(E1280&gt;0,F1280*1000000000/E1280,"")</f>
        <v>400.433086760696</v>
      </c>
      <c r="AA1280" s="63" t="n">
        <f aca="false">IFERROR((R1280+S1280+J1280)/F1280,0)</f>
        <v>1</v>
      </c>
      <c r="AB1280" s="0" t="str">
        <f aca="false">A1280&amp;"|"&amp;D1280</f>
        <v>Mauritania|2024</v>
      </c>
    </row>
    <row r="1281" customFormat="false" ht="15" hidden="false" customHeight="false" outlineLevel="0" collapsed="false">
      <c r="A1281" s="0" t="s">
        <v>303</v>
      </c>
      <c r="B1281" s="0" t="s">
        <v>542</v>
      </c>
      <c r="C1281" s="0" t="s">
        <v>127</v>
      </c>
      <c r="D1281" s="0" t="n">
        <v>2015</v>
      </c>
      <c r="E1281" s="59" t="n">
        <v>1292283</v>
      </c>
      <c r="F1281" s="60" t="n">
        <v>2.99</v>
      </c>
      <c r="G1281" s="61" t="n">
        <v>1.18</v>
      </c>
      <c r="H1281" s="61" t="n">
        <v>0</v>
      </c>
      <c r="I1281" s="61" t="n">
        <v>1.13</v>
      </c>
      <c r="J1281" s="61" t="n">
        <v>0</v>
      </c>
      <c r="K1281" s="61" t="n">
        <v>0.12</v>
      </c>
      <c r="L1281" s="61" t="n">
        <v>0.03</v>
      </c>
      <c r="M1281" s="61" t="n">
        <v>0</v>
      </c>
      <c r="N1281" s="61" t="n">
        <v>0.53</v>
      </c>
      <c r="O1281" s="61" t="n">
        <v>0</v>
      </c>
      <c r="P1281" s="62" t="n">
        <v>622.1</v>
      </c>
      <c r="Q1281" s="0" t="n">
        <v>0</v>
      </c>
      <c r="R1281" s="60" t="n">
        <f aca="false">G1281+H1281+I1281</f>
        <v>2.31</v>
      </c>
      <c r="S1281" s="60" t="n">
        <f aca="false">K1281+L1281+M1281+N1281+O1281</f>
        <v>0.68</v>
      </c>
      <c r="T1281" s="60" t="n">
        <f aca="false">L1281+M1281</f>
        <v>0.03</v>
      </c>
      <c r="U1281" s="60" t="n">
        <f aca="false">S1281+J1281</f>
        <v>0.68</v>
      </c>
      <c r="V1281" s="63" t="n">
        <f aca="false">IFERROR(S1281/F1281,0)</f>
        <v>0.22742474916388</v>
      </c>
      <c r="W1281" s="63" t="n">
        <f aca="false">IFERROR(R1281/F1281,0)</f>
        <v>0.77257525083612</v>
      </c>
      <c r="X1281" s="63" t="n">
        <f aca="false">IFERROR(T1281/F1281,0)</f>
        <v>0.0100334448160535</v>
      </c>
      <c r="Y1281" s="63" t="n">
        <f aca="false">IFERROR(G1281/F1281,0)</f>
        <v>0.394648829431438</v>
      </c>
      <c r="Z1281" s="59" t="n">
        <f aca="false">IF(E1281&gt;0,F1281*1000000000/E1281,"")</f>
        <v>2313.73468504964</v>
      </c>
      <c r="AA1281" s="63" t="n">
        <f aca="false">IFERROR((R1281+S1281+J1281)/F1281,0)</f>
        <v>1</v>
      </c>
      <c r="AB1281" s="0" t="str">
        <f aca="false">A1281&amp;"|"&amp;D1281</f>
        <v>Mauritius|2015</v>
      </c>
    </row>
    <row r="1282" customFormat="false" ht="15" hidden="false" customHeight="false" outlineLevel="0" collapsed="false">
      <c r="A1282" s="0" t="s">
        <v>303</v>
      </c>
      <c r="B1282" s="0" t="s">
        <v>542</v>
      </c>
      <c r="C1282" s="0" t="s">
        <v>127</v>
      </c>
      <c r="D1282" s="0" t="n">
        <v>2016</v>
      </c>
      <c r="E1282" s="59" t="n">
        <v>1291807</v>
      </c>
      <c r="F1282" s="60" t="n">
        <v>3.05</v>
      </c>
      <c r="G1282" s="61" t="n">
        <v>1.27</v>
      </c>
      <c r="H1282" s="61" t="n">
        <v>0</v>
      </c>
      <c r="I1282" s="61" t="n">
        <v>1.11</v>
      </c>
      <c r="J1282" s="61" t="n">
        <v>0</v>
      </c>
      <c r="K1282" s="61" t="n">
        <v>0.1</v>
      </c>
      <c r="L1282" s="61" t="n">
        <v>0.03</v>
      </c>
      <c r="M1282" s="61" t="n">
        <v>0.02</v>
      </c>
      <c r="N1282" s="61" t="n">
        <v>0.52</v>
      </c>
      <c r="O1282" s="61" t="n">
        <v>0</v>
      </c>
      <c r="P1282" s="62" t="n">
        <v>632.8</v>
      </c>
      <c r="Q1282" s="0" t="n">
        <v>0</v>
      </c>
      <c r="R1282" s="60" t="n">
        <f aca="false">G1282+H1282+I1282</f>
        <v>2.38</v>
      </c>
      <c r="S1282" s="60" t="n">
        <f aca="false">K1282+L1282+M1282+N1282+O1282</f>
        <v>0.67</v>
      </c>
      <c r="T1282" s="60" t="n">
        <f aca="false">L1282+M1282</f>
        <v>0.05</v>
      </c>
      <c r="U1282" s="60" t="n">
        <f aca="false">S1282+J1282</f>
        <v>0.67</v>
      </c>
      <c r="V1282" s="63" t="n">
        <f aca="false">IFERROR(S1282/F1282,0)</f>
        <v>0.219672131147541</v>
      </c>
      <c r="W1282" s="63" t="n">
        <f aca="false">IFERROR(R1282/F1282,0)</f>
        <v>0.780327868852459</v>
      </c>
      <c r="X1282" s="63" t="n">
        <f aca="false">IFERROR(T1282/F1282,0)</f>
        <v>0.0163934426229508</v>
      </c>
      <c r="Y1282" s="63" t="n">
        <f aca="false">IFERROR(G1282/F1282,0)</f>
        <v>0.416393442622951</v>
      </c>
      <c r="Z1282" s="59" t="n">
        <f aca="false">IF(E1282&gt;0,F1282*1000000000/E1282,"")</f>
        <v>2361.0338076818</v>
      </c>
      <c r="AA1282" s="63" t="n">
        <f aca="false">IFERROR((R1282+S1282+J1282)/F1282,0)</f>
        <v>1</v>
      </c>
      <c r="AB1282" s="0" t="str">
        <f aca="false">A1282&amp;"|"&amp;D1282</f>
        <v>Mauritius|2016</v>
      </c>
    </row>
    <row r="1283" customFormat="false" ht="15" hidden="false" customHeight="false" outlineLevel="0" collapsed="false">
      <c r="A1283" s="0" t="s">
        <v>303</v>
      </c>
      <c r="B1283" s="0" t="s">
        <v>542</v>
      </c>
      <c r="C1283" s="0" t="s">
        <v>127</v>
      </c>
      <c r="D1283" s="0" t="n">
        <v>2017</v>
      </c>
      <c r="E1283" s="59" t="n">
        <v>1290654</v>
      </c>
      <c r="F1283" s="60" t="n">
        <v>3.11</v>
      </c>
      <c r="G1283" s="61" t="n">
        <v>1.31</v>
      </c>
      <c r="H1283" s="61" t="n">
        <v>0</v>
      </c>
      <c r="I1283" s="61" t="n">
        <v>1.18</v>
      </c>
      <c r="J1283" s="61" t="n">
        <v>0</v>
      </c>
      <c r="K1283" s="61" t="n">
        <v>0.09</v>
      </c>
      <c r="L1283" s="61" t="n">
        <v>0.04</v>
      </c>
      <c r="M1283" s="61" t="n">
        <v>0.01</v>
      </c>
      <c r="N1283" s="61" t="n">
        <v>0.48</v>
      </c>
      <c r="O1283" s="61" t="n">
        <v>0</v>
      </c>
      <c r="P1283" s="62" t="n">
        <v>643.1</v>
      </c>
      <c r="Q1283" s="0" t="n">
        <v>0</v>
      </c>
      <c r="R1283" s="60" t="n">
        <f aca="false">G1283+H1283+I1283</f>
        <v>2.49</v>
      </c>
      <c r="S1283" s="60" t="n">
        <f aca="false">K1283+L1283+M1283+N1283+O1283</f>
        <v>0.62</v>
      </c>
      <c r="T1283" s="60" t="n">
        <f aca="false">L1283+M1283</f>
        <v>0.05</v>
      </c>
      <c r="U1283" s="60" t="n">
        <f aca="false">S1283+J1283</f>
        <v>0.62</v>
      </c>
      <c r="V1283" s="63" t="n">
        <f aca="false">IFERROR(S1283/F1283,0)</f>
        <v>0.19935691318328</v>
      </c>
      <c r="W1283" s="63" t="n">
        <f aca="false">IFERROR(R1283/F1283,0)</f>
        <v>0.80064308681672</v>
      </c>
      <c r="X1283" s="63" t="n">
        <f aca="false">IFERROR(T1283/F1283,0)</f>
        <v>0.0160771704180064</v>
      </c>
      <c r="Y1283" s="63" t="n">
        <f aca="false">IFERROR(G1283/F1283,0)</f>
        <v>0.421221864951769</v>
      </c>
      <c r="Z1283" s="59" t="n">
        <f aca="false">IF(E1283&gt;0,F1283*1000000000/E1283,"")</f>
        <v>2409.6310862555</v>
      </c>
      <c r="AA1283" s="63" t="n">
        <f aca="false">IFERROR((R1283+S1283+J1283)/F1283,0)</f>
        <v>1</v>
      </c>
      <c r="AB1283" s="0" t="str">
        <f aca="false">A1283&amp;"|"&amp;D1283</f>
        <v>Mauritius|2017</v>
      </c>
    </row>
    <row r="1284" customFormat="false" ht="15" hidden="false" customHeight="false" outlineLevel="0" collapsed="false">
      <c r="A1284" s="0" t="s">
        <v>303</v>
      </c>
      <c r="B1284" s="0" t="s">
        <v>542</v>
      </c>
      <c r="C1284" s="0" t="s">
        <v>127</v>
      </c>
      <c r="D1284" s="0" t="n">
        <v>2018</v>
      </c>
      <c r="E1284" s="59" t="n">
        <v>1288836</v>
      </c>
      <c r="F1284" s="60" t="n">
        <v>3.12</v>
      </c>
      <c r="G1284" s="61" t="n">
        <v>1.26</v>
      </c>
      <c r="H1284" s="61" t="n">
        <v>0</v>
      </c>
      <c r="I1284" s="61" t="n">
        <v>1.22</v>
      </c>
      <c r="J1284" s="61" t="n">
        <v>0</v>
      </c>
      <c r="K1284" s="61" t="n">
        <v>0.12</v>
      </c>
      <c r="L1284" s="61" t="n">
        <v>0.05</v>
      </c>
      <c r="M1284" s="61" t="n">
        <v>0.01</v>
      </c>
      <c r="N1284" s="61" t="n">
        <v>0.46</v>
      </c>
      <c r="O1284" s="61" t="n">
        <v>0</v>
      </c>
      <c r="P1284" s="62" t="n">
        <v>634.6</v>
      </c>
      <c r="Q1284" s="0" t="n">
        <v>0</v>
      </c>
      <c r="R1284" s="60" t="n">
        <f aca="false">G1284+H1284+I1284</f>
        <v>2.48</v>
      </c>
      <c r="S1284" s="60" t="n">
        <f aca="false">K1284+L1284+M1284+N1284+O1284</f>
        <v>0.64</v>
      </c>
      <c r="T1284" s="60" t="n">
        <f aca="false">L1284+M1284</f>
        <v>0.06</v>
      </c>
      <c r="U1284" s="60" t="n">
        <f aca="false">S1284+J1284</f>
        <v>0.64</v>
      </c>
      <c r="V1284" s="63" t="n">
        <f aca="false">IFERROR(S1284/F1284,0)</f>
        <v>0.205128205128205</v>
      </c>
      <c r="W1284" s="63" t="n">
        <f aca="false">IFERROR(R1284/F1284,0)</f>
        <v>0.794871794871795</v>
      </c>
      <c r="X1284" s="63" t="n">
        <f aca="false">IFERROR(T1284/F1284,0)</f>
        <v>0.0192307692307692</v>
      </c>
      <c r="Y1284" s="63" t="n">
        <f aca="false">IFERROR(G1284/F1284,0)</f>
        <v>0.403846153846154</v>
      </c>
      <c r="Z1284" s="59" t="n">
        <f aca="false">IF(E1284&gt;0,F1284*1000000000/E1284,"")</f>
        <v>2420.78899099653</v>
      </c>
      <c r="AA1284" s="63" t="n">
        <f aca="false">IFERROR((R1284+S1284+J1284)/F1284,0)</f>
        <v>1</v>
      </c>
      <c r="AB1284" s="0" t="str">
        <f aca="false">A1284&amp;"|"&amp;D1284</f>
        <v>Mauritius|2018</v>
      </c>
    </row>
    <row r="1285" customFormat="false" ht="15" hidden="false" customHeight="false" outlineLevel="0" collapsed="false">
      <c r="A1285" s="0" t="s">
        <v>303</v>
      </c>
      <c r="B1285" s="0" t="s">
        <v>542</v>
      </c>
      <c r="C1285" s="0" t="s">
        <v>127</v>
      </c>
      <c r="D1285" s="0" t="n">
        <v>2019</v>
      </c>
      <c r="E1285" s="59" t="n">
        <v>1286269</v>
      </c>
      <c r="F1285" s="60" t="n">
        <v>3.23</v>
      </c>
      <c r="G1285" s="61" t="n">
        <v>1.17</v>
      </c>
      <c r="H1285" s="61" t="n">
        <v>0</v>
      </c>
      <c r="I1285" s="61" t="n">
        <v>1.36</v>
      </c>
      <c r="J1285" s="61" t="n">
        <v>0</v>
      </c>
      <c r="K1285" s="61" t="n">
        <v>0.1</v>
      </c>
      <c r="L1285" s="61" t="n">
        <v>0.13</v>
      </c>
      <c r="M1285" s="61" t="n">
        <v>0.01</v>
      </c>
      <c r="N1285" s="61" t="n">
        <v>0.46</v>
      </c>
      <c r="O1285" s="61" t="n">
        <v>0</v>
      </c>
      <c r="P1285" s="62" t="n">
        <v>619.2</v>
      </c>
      <c r="Q1285" s="0" t="n">
        <v>0</v>
      </c>
      <c r="R1285" s="60" t="n">
        <f aca="false">G1285+H1285+I1285</f>
        <v>2.53</v>
      </c>
      <c r="S1285" s="60" t="n">
        <f aca="false">K1285+L1285+M1285+N1285+O1285</f>
        <v>0.7</v>
      </c>
      <c r="T1285" s="60" t="n">
        <f aca="false">L1285+M1285</f>
        <v>0.14</v>
      </c>
      <c r="U1285" s="60" t="n">
        <f aca="false">S1285+J1285</f>
        <v>0.7</v>
      </c>
      <c r="V1285" s="63" t="n">
        <f aca="false">IFERROR(S1285/F1285,0)</f>
        <v>0.21671826625387</v>
      </c>
      <c r="W1285" s="63" t="n">
        <f aca="false">IFERROR(R1285/F1285,0)</f>
        <v>0.78328173374613</v>
      </c>
      <c r="X1285" s="63" t="n">
        <f aca="false">IFERROR(T1285/F1285,0)</f>
        <v>0.043343653250774</v>
      </c>
      <c r="Y1285" s="63" t="n">
        <f aca="false">IFERROR(G1285/F1285,0)</f>
        <v>0.362229102167183</v>
      </c>
      <c r="Z1285" s="59" t="n">
        <f aca="false">IF(E1285&gt;0,F1285*1000000000/E1285,"")</f>
        <v>2511.13880533543</v>
      </c>
      <c r="AA1285" s="63" t="n">
        <f aca="false">IFERROR((R1285+S1285+J1285)/F1285,0)</f>
        <v>1</v>
      </c>
      <c r="AB1285" s="0" t="str">
        <f aca="false">A1285&amp;"|"&amp;D1285</f>
        <v>Mauritius|2019</v>
      </c>
    </row>
    <row r="1286" customFormat="false" ht="15" hidden="false" customHeight="false" outlineLevel="0" collapsed="false">
      <c r="A1286" s="0" t="s">
        <v>303</v>
      </c>
      <c r="B1286" s="0" t="s">
        <v>542</v>
      </c>
      <c r="C1286" s="0" t="s">
        <v>127</v>
      </c>
      <c r="D1286" s="0" t="n">
        <v>2020</v>
      </c>
      <c r="E1286" s="59" t="n">
        <v>1283231</v>
      </c>
      <c r="F1286" s="60" t="n">
        <v>2.9</v>
      </c>
      <c r="G1286" s="61" t="n">
        <v>1.14</v>
      </c>
      <c r="H1286" s="61" t="n">
        <v>0</v>
      </c>
      <c r="I1286" s="61" t="n">
        <v>1.06</v>
      </c>
      <c r="J1286" s="61" t="n">
        <v>0</v>
      </c>
      <c r="K1286" s="61" t="n">
        <v>0.12</v>
      </c>
      <c r="L1286" s="61" t="n">
        <v>0.15</v>
      </c>
      <c r="M1286" s="61" t="n">
        <v>0.02</v>
      </c>
      <c r="N1286" s="61" t="n">
        <v>0.41</v>
      </c>
      <c r="O1286" s="61" t="n">
        <v>0</v>
      </c>
      <c r="P1286" s="62" t="n">
        <v>613.8</v>
      </c>
      <c r="Q1286" s="0" t="n">
        <v>0</v>
      </c>
      <c r="R1286" s="60" t="n">
        <f aca="false">G1286+H1286+I1286</f>
        <v>2.2</v>
      </c>
      <c r="S1286" s="60" t="n">
        <f aca="false">K1286+L1286+M1286+N1286+O1286</f>
        <v>0.7</v>
      </c>
      <c r="T1286" s="60" t="n">
        <f aca="false">L1286+M1286</f>
        <v>0.17</v>
      </c>
      <c r="U1286" s="60" t="n">
        <f aca="false">S1286+J1286</f>
        <v>0.7</v>
      </c>
      <c r="V1286" s="63" t="n">
        <f aca="false">IFERROR(S1286/F1286,0)</f>
        <v>0.241379310344828</v>
      </c>
      <c r="W1286" s="63" t="n">
        <f aca="false">IFERROR(R1286/F1286,0)</f>
        <v>0.758620689655173</v>
      </c>
      <c r="X1286" s="63" t="n">
        <f aca="false">IFERROR(T1286/F1286,0)</f>
        <v>0.0586206896551724</v>
      </c>
      <c r="Y1286" s="63" t="n">
        <f aca="false">IFERROR(G1286/F1286,0)</f>
        <v>0.393103448275862</v>
      </c>
      <c r="Z1286" s="59" t="n">
        <f aca="false">IF(E1286&gt;0,F1286*1000000000/E1286,"")</f>
        <v>2259.92046638524</v>
      </c>
      <c r="AA1286" s="63" t="n">
        <f aca="false">IFERROR((R1286+S1286+J1286)/F1286,0)</f>
        <v>1</v>
      </c>
      <c r="AB1286" s="0" t="str">
        <f aca="false">A1286&amp;"|"&amp;D1286</f>
        <v>Mauritius|2020</v>
      </c>
    </row>
    <row r="1287" customFormat="false" ht="15" hidden="false" customHeight="false" outlineLevel="0" collapsed="false">
      <c r="A1287" s="0" t="s">
        <v>303</v>
      </c>
      <c r="B1287" s="0" t="s">
        <v>542</v>
      </c>
      <c r="C1287" s="0" t="s">
        <v>127</v>
      </c>
      <c r="D1287" s="0" t="n">
        <v>2021</v>
      </c>
      <c r="E1287" s="59" t="n">
        <v>1279628</v>
      </c>
      <c r="F1287" s="60" t="n">
        <v>2.99</v>
      </c>
      <c r="G1287" s="61" t="n">
        <v>1.25</v>
      </c>
      <c r="H1287" s="61" t="n">
        <v>0</v>
      </c>
      <c r="I1287" s="61" t="n">
        <v>1.1</v>
      </c>
      <c r="J1287" s="61" t="n">
        <v>0</v>
      </c>
      <c r="K1287" s="61" t="n">
        <v>0.11</v>
      </c>
      <c r="L1287" s="61" t="n">
        <v>0.15</v>
      </c>
      <c r="M1287" s="61" t="n">
        <v>0.01</v>
      </c>
      <c r="N1287" s="61" t="n">
        <v>0.37</v>
      </c>
      <c r="O1287" s="61" t="n">
        <v>0</v>
      </c>
      <c r="P1287" s="62" t="n">
        <v>628.8</v>
      </c>
      <c r="Q1287" s="0" t="n">
        <v>0</v>
      </c>
      <c r="R1287" s="60" t="n">
        <f aca="false">G1287+H1287+I1287</f>
        <v>2.35</v>
      </c>
      <c r="S1287" s="60" t="n">
        <f aca="false">K1287+L1287+M1287+N1287+O1287</f>
        <v>0.64</v>
      </c>
      <c r="T1287" s="60" t="n">
        <f aca="false">L1287+M1287</f>
        <v>0.16</v>
      </c>
      <c r="U1287" s="60" t="n">
        <f aca="false">S1287+J1287</f>
        <v>0.64</v>
      </c>
      <c r="V1287" s="63" t="n">
        <f aca="false">IFERROR(S1287/F1287,0)</f>
        <v>0.214046822742475</v>
      </c>
      <c r="W1287" s="63" t="n">
        <f aca="false">IFERROR(R1287/F1287,0)</f>
        <v>0.785953177257525</v>
      </c>
      <c r="X1287" s="63" t="n">
        <f aca="false">IFERROR(T1287/F1287,0)</f>
        <v>0.0535117056856187</v>
      </c>
      <c r="Y1287" s="63" t="n">
        <f aca="false">IFERROR(G1287/F1287,0)</f>
        <v>0.418060200668896</v>
      </c>
      <c r="Z1287" s="59" t="n">
        <f aca="false">IF(E1287&gt;0,F1287*1000000000/E1287,"")</f>
        <v>2336.61657919333</v>
      </c>
      <c r="AA1287" s="63" t="n">
        <f aca="false">IFERROR((R1287+S1287+J1287)/F1287,0)</f>
        <v>1</v>
      </c>
      <c r="AB1287" s="0" t="str">
        <f aca="false">A1287&amp;"|"&amp;D1287</f>
        <v>Mauritius|2021</v>
      </c>
    </row>
    <row r="1288" customFormat="false" ht="15" hidden="false" customHeight="false" outlineLevel="0" collapsed="false">
      <c r="A1288" s="0" t="s">
        <v>303</v>
      </c>
      <c r="B1288" s="0" t="s">
        <v>542</v>
      </c>
      <c r="C1288" s="0" t="s">
        <v>127</v>
      </c>
      <c r="D1288" s="0" t="n">
        <v>2022</v>
      </c>
      <c r="E1288" s="59" t="n">
        <v>1276134</v>
      </c>
      <c r="F1288" s="60" t="n">
        <v>3.12</v>
      </c>
      <c r="G1288" s="61" t="n">
        <v>0.98</v>
      </c>
      <c r="H1288" s="61" t="n">
        <v>0</v>
      </c>
      <c r="I1288" s="61" t="n">
        <v>1.53</v>
      </c>
      <c r="J1288" s="61" t="n">
        <v>0</v>
      </c>
      <c r="K1288" s="61" t="n">
        <v>0.13</v>
      </c>
      <c r="L1288" s="61" t="n">
        <v>0.16</v>
      </c>
      <c r="M1288" s="61" t="n">
        <v>0.02</v>
      </c>
      <c r="N1288" s="61" t="n">
        <v>0.3</v>
      </c>
      <c r="O1288" s="61" t="n">
        <v>0</v>
      </c>
      <c r="P1288" s="62" t="n">
        <v>615.4</v>
      </c>
      <c r="Q1288" s="0" t="n">
        <v>0</v>
      </c>
      <c r="R1288" s="60" t="n">
        <f aca="false">G1288+H1288+I1288</f>
        <v>2.51</v>
      </c>
      <c r="S1288" s="60" t="n">
        <f aca="false">K1288+L1288+M1288+N1288+O1288</f>
        <v>0.61</v>
      </c>
      <c r="T1288" s="60" t="n">
        <f aca="false">L1288+M1288</f>
        <v>0.18</v>
      </c>
      <c r="U1288" s="60" t="n">
        <f aca="false">S1288+J1288</f>
        <v>0.61</v>
      </c>
      <c r="V1288" s="63" t="n">
        <f aca="false">IFERROR(S1288/F1288,0)</f>
        <v>0.195512820512821</v>
      </c>
      <c r="W1288" s="63" t="n">
        <f aca="false">IFERROR(R1288/F1288,0)</f>
        <v>0.804487179487179</v>
      </c>
      <c r="X1288" s="63" t="n">
        <f aca="false">IFERROR(T1288/F1288,0)</f>
        <v>0.0576923076923077</v>
      </c>
      <c r="Y1288" s="63" t="n">
        <f aca="false">IFERROR(G1288/F1288,0)</f>
        <v>0.314102564102564</v>
      </c>
      <c r="Z1288" s="59" t="n">
        <f aca="false">IF(E1288&gt;0,F1288*1000000000/E1288,"")</f>
        <v>2444.88431465661</v>
      </c>
      <c r="AA1288" s="63" t="n">
        <f aca="false">IFERROR((R1288+S1288+J1288)/F1288,0)</f>
        <v>1</v>
      </c>
      <c r="AB1288" s="0" t="str">
        <f aca="false">A1288&amp;"|"&amp;D1288</f>
        <v>Mauritius|2022</v>
      </c>
    </row>
    <row r="1289" customFormat="false" ht="15" hidden="false" customHeight="false" outlineLevel="0" collapsed="false">
      <c r="A1289" s="0" t="s">
        <v>303</v>
      </c>
      <c r="B1289" s="0" t="s">
        <v>542</v>
      </c>
      <c r="C1289" s="0" t="s">
        <v>127</v>
      </c>
      <c r="D1289" s="0" t="n">
        <v>2023</v>
      </c>
      <c r="E1289" s="59" t="n">
        <v>1273591</v>
      </c>
      <c r="F1289" s="60" t="n">
        <v>3.27</v>
      </c>
      <c r="G1289" s="61" t="n">
        <v>1.1</v>
      </c>
      <c r="H1289" s="61" t="n">
        <v>0</v>
      </c>
      <c r="I1289" s="61" t="n">
        <v>1.6</v>
      </c>
      <c r="J1289" s="61" t="n">
        <v>0</v>
      </c>
      <c r="K1289" s="61" t="n">
        <v>0.09</v>
      </c>
      <c r="L1289" s="61" t="n">
        <v>0.15</v>
      </c>
      <c r="M1289" s="61" t="n">
        <v>0.01</v>
      </c>
      <c r="N1289" s="61" t="n">
        <v>0.32</v>
      </c>
      <c r="O1289" s="61" t="n">
        <v>0</v>
      </c>
      <c r="P1289" s="62" t="n">
        <v>633</v>
      </c>
      <c r="Q1289" s="0" t="n">
        <v>0</v>
      </c>
      <c r="R1289" s="60" t="n">
        <f aca="false">G1289+H1289+I1289</f>
        <v>2.7</v>
      </c>
      <c r="S1289" s="60" t="n">
        <f aca="false">K1289+L1289+M1289+N1289+O1289</f>
        <v>0.57</v>
      </c>
      <c r="T1289" s="60" t="n">
        <f aca="false">L1289+M1289</f>
        <v>0.16</v>
      </c>
      <c r="U1289" s="60" t="n">
        <f aca="false">S1289+J1289</f>
        <v>0.57</v>
      </c>
      <c r="V1289" s="63" t="n">
        <f aca="false">IFERROR(S1289/F1289,0)</f>
        <v>0.174311926605505</v>
      </c>
      <c r="W1289" s="63" t="n">
        <f aca="false">IFERROR(R1289/F1289,0)</f>
        <v>0.825688073394496</v>
      </c>
      <c r="X1289" s="63" t="n">
        <f aca="false">IFERROR(T1289/F1289,0)</f>
        <v>0.0489296636085627</v>
      </c>
      <c r="Y1289" s="63" t="n">
        <f aca="false">IFERROR(G1289/F1289,0)</f>
        <v>0.336391437308869</v>
      </c>
      <c r="Z1289" s="59" t="n">
        <f aca="false">IF(E1289&gt;0,F1289*1000000000/E1289,"")</f>
        <v>2567.54326938554</v>
      </c>
      <c r="AA1289" s="63" t="n">
        <f aca="false">IFERROR((R1289+S1289+J1289)/F1289,0)</f>
        <v>1</v>
      </c>
      <c r="AB1289" s="0" t="str">
        <f aca="false">A1289&amp;"|"&amp;D1289</f>
        <v>Mauritius|2023</v>
      </c>
    </row>
    <row r="1290" customFormat="false" ht="15" hidden="false" customHeight="false" outlineLevel="0" collapsed="false">
      <c r="A1290" s="0" t="s">
        <v>303</v>
      </c>
      <c r="B1290" s="0" t="s">
        <v>542</v>
      </c>
      <c r="C1290" s="0" t="s">
        <v>127</v>
      </c>
      <c r="D1290" s="0" t="n">
        <v>2024</v>
      </c>
      <c r="E1290" s="59" t="n">
        <v>1271171</v>
      </c>
      <c r="F1290" s="60" t="n">
        <v>3.41</v>
      </c>
      <c r="G1290" s="61" t="n">
        <v>1.34</v>
      </c>
      <c r="H1290" s="61" t="n">
        <v>0</v>
      </c>
      <c r="I1290" s="61" t="n">
        <v>1.46</v>
      </c>
      <c r="J1290" s="61" t="n">
        <v>0</v>
      </c>
      <c r="K1290" s="61" t="n">
        <v>0.11</v>
      </c>
      <c r="L1290" s="61" t="n">
        <v>0.17</v>
      </c>
      <c r="M1290" s="61" t="n">
        <v>0.01</v>
      </c>
      <c r="N1290" s="61" t="n">
        <v>0.32</v>
      </c>
      <c r="O1290" s="61" t="n">
        <v>0</v>
      </c>
      <c r="P1290" s="62" t="n">
        <v>642.2</v>
      </c>
      <c r="Q1290" s="0" t="n">
        <v>0</v>
      </c>
      <c r="R1290" s="60" t="n">
        <f aca="false">G1290+H1290+I1290</f>
        <v>2.8</v>
      </c>
      <c r="S1290" s="60" t="n">
        <f aca="false">K1290+L1290+M1290+N1290+O1290</f>
        <v>0.61</v>
      </c>
      <c r="T1290" s="60" t="n">
        <f aca="false">L1290+M1290</f>
        <v>0.18</v>
      </c>
      <c r="U1290" s="60" t="n">
        <f aca="false">S1290+J1290</f>
        <v>0.61</v>
      </c>
      <c r="V1290" s="63" t="n">
        <f aca="false">IFERROR(S1290/F1290,0)</f>
        <v>0.178885630498534</v>
      </c>
      <c r="W1290" s="63" t="n">
        <f aca="false">IFERROR(R1290/F1290,0)</f>
        <v>0.821114369501466</v>
      </c>
      <c r="X1290" s="63" t="n">
        <f aca="false">IFERROR(T1290/F1290,0)</f>
        <v>0.0527859237536657</v>
      </c>
      <c r="Y1290" s="63" t="n">
        <f aca="false">IFERROR(G1290/F1290,0)</f>
        <v>0.392961876832845</v>
      </c>
      <c r="Z1290" s="59" t="n">
        <f aca="false">IF(E1290&gt;0,F1290*1000000000/E1290,"")</f>
        <v>2682.56591756735</v>
      </c>
      <c r="AA1290" s="63" t="n">
        <f aca="false">IFERROR((R1290+S1290+J1290)/F1290,0)</f>
        <v>1</v>
      </c>
      <c r="AB1290" s="0" t="str">
        <f aca="false">A1290&amp;"|"&amp;D1290</f>
        <v>Mauritius|2024</v>
      </c>
    </row>
    <row r="1291" customFormat="false" ht="15" hidden="false" customHeight="false" outlineLevel="0" collapsed="false">
      <c r="A1291" s="0" t="s">
        <v>304</v>
      </c>
      <c r="B1291" s="0" t="s">
        <v>543</v>
      </c>
      <c r="C1291" s="0" t="s">
        <v>127</v>
      </c>
      <c r="D1291" s="0" t="n">
        <v>2015</v>
      </c>
      <c r="E1291" s="59" t="n">
        <v>121072310</v>
      </c>
      <c r="F1291" s="60" t="n">
        <v>310.36</v>
      </c>
      <c r="G1291" s="61" t="n">
        <v>33.76</v>
      </c>
      <c r="H1291" s="61" t="n">
        <v>185.55</v>
      </c>
      <c r="I1291" s="61" t="n">
        <v>31.23</v>
      </c>
      <c r="J1291" s="61" t="n">
        <v>11.58</v>
      </c>
      <c r="K1291" s="61" t="n">
        <v>30.89</v>
      </c>
      <c r="L1291" s="61" t="n">
        <v>0.2</v>
      </c>
      <c r="M1291" s="61" t="n">
        <v>8.75</v>
      </c>
      <c r="N1291" s="61" t="n">
        <v>8.4</v>
      </c>
      <c r="O1291" s="61" t="n">
        <v>0</v>
      </c>
      <c r="P1291" s="62" t="n">
        <v>533.9</v>
      </c>
      <c r="Q1291" s="0" t="n">
        <v>1</v>
      </c>
      <c r="R1291" s="60" t="n">
        <f aca="false">G1291+H1291+I1291</f>
        <v>250.54</v>
      </c>
      <c r="S1291" s="60" t="n">
        <f aca="false">K1291+L1291+M1291+N1291+O1291</f>
        <v>48.24</v>
      </c>
      <c r="T1291" s="60" t="n">
        <f aca="false">L1291+M1291</f>
        <v>8.95</v>
      </c>
      <c r="U1291" s="60" t="n">
        <f aca="false">S1291+J1291</f>
        <v>59.82</v>
      </c>
      <c r="V1291" s="63" t="n">
        <f aca="false">IFERROR(S1291/F1291,0)</f>
        <v>0.155432401082614</v>
      </c>
      <c r="W1291" s="63" t="n">
        <f aca="false">IFERROR(R1291/F1291,0)</f>
        <v>0.807256089702281</v>
      </c>
      <c r="X1291" s="63" t="n">
        <f aca="false">IFERROR(T1291/F1291,0)</f>
        <v>0.0288374790565795</v>
      </c>
      <c r="Y1291" s="63" t="n">
        <f aca="false">IFERROR(G1291/F1291,0)</f>
        <v>0.108776904240237</v>
      </c>
      <c r="Z1291" s="59" t="n">
        <f aca="false">IF(E1291&gt;0,F1291*1000000000/E1291,"")</f>
        <v>2563.42676537682</v>
      </c>
      <c r="AA1291" s="63" t="n">
        <f aca="false">IFERROR((R1291+S1291+J1291)/F1291,0)</f>
        <v>1</v>
      </c>
      <c r="AB1291" s="0" t="str">
        <f aca="false">A1291&amp;"|"&amp;D1291</f>
        <v>Mexico|2015</v>
      </c>
    </row>
    <row r="1292" customFormat="false" ht="15" hidden="false" customHeight="false" outlineLevel="0" collapsed="false">
      <c r="A1292" s="0" t="s">
        <v>304</v>
      </c>
      <c r="B1292" s="0" t="s">
        <v>543</v>
      </c>
      <c r="C1292" s="0" t="s">
        <v>127</v>
      </c>
      <c r="D1292" s="0" t="n">
        <v>2016</v>
      </c>
      <c r="E1292" s="59" t="n">
        <v>122251344</v>
      </c>
      <c r="F1292" s="60" t="n">
        <v>320.35</v>
      </c>
      <c r="G1292" s="61" t="n">
        <v>34.45</v>
      </c>
      <c r="H1292" s="61" t="n">
        <v>192.83</v>
      </c>
      <c r="I1292" s="61" t="n">
        <v>33.52</v>
      </c>
      <c r="J1292" s="61" t="n">
        <v>10.57</v>
      </c>
      <c r="K1292" s="61" t="n">
        <v>30.03</v>
      </c>
      <c r="L1292" s="61" t="n">
        <v>0.25</v>
      </c>
      <c r="M1292" s="61" t="n">
        <v>10.38</v>
      </c>
      <c r="N1292" s="61" t="n">
        <v>8.32</v>
      </c>
      <c r="O1292" s="61" t="n">
        <v>0</v>
      </c>
      <c r="P1292" s="62" t="n">
        <v>537.6</v>
      </c>
      <c r="Q1292" s="0" t="n">
        <v>1</v>
      </c>
      <c r="R1292" s="60" t="n">
        <f aca="false">G1292+H1292+I1292</f>
        <v>260.8</v>
      </c>
      <c r="S1292" s="60" t="n">
        <f aca="false">K1292+L1292+M1292+N1292+O1292</f>
        <v>48.98</v>
      </c>
      <c r="T1292" s="60" t="n">
        <f aca="false">L1292+M1292</f>
        <v>10.63</v>
      </c>
      <c r="U1292" s="60" t="n">
        <f aca="false">S1292+J1292</f>
        <v>59.55</v>
      </c>
      <c r="V1292" s="63" t="n">
        <f aca="false">IFERROR(S1292/F1292,0)</f>
        <v>0.152895270797565</v>
      </c>
      <c r="W1292" s="63" t="n">
        <f aca="false">IFERROR(R1292/F1292,0)</f>
        <v>0.814109567660372</v>
      </c>
      <c r="X1292" s="63" t="n">
        <f aca="false">IFERROR(T1292/F1292,0)</f>
        <v>0.0331824566879975</v>
      </c>
      <c r="Y1292" s="63" t="n">
        <f aca="false">IFERROR(G1292/F1292,0)</f>
        <v>0.107538629623849</v>
      </c>
      <c r="Z1292" s="59" t="n">
        <f aca="false">IF(E1292&gt;0,F1292*1000000000/E1292,"")</f>
        <v>2620.42108919473</v>
      </c>
      <c r="AA1292" s="63" t="n">
        <f aca="false">IFERROR((R1292+S1292+J1292)/F1292,0)</f>
        <v>1</v>
      </c>
      <c r="AB1292" s="0" t="str">
        <f aca="false">A1292&amp;"|"&amp;D1292</f>
        <v>Mexico|2016</v>
      </c>
    </row>
    <row r="1293" customFormat="false" ht="15" hidden="false" customHeight="false" outlineLevel="0" collapsed="false">
      <c r="A1293" s="0" t="s">
        <v>304</v>
      </c>
      <c r="B1293" s="0" t="s">
        <v>543</v>
      </c>
      <c r="C1293" s="0" t="s">
        <v>127</v>
      </c>
      <c r="D1293" s="0" t="n">
        <v>2017</v>
      </c>
      <c r="E1293" s="59" t="n">
        <v>123400052</v>
      </c>
      <c r="F1293" s="60" t="n">
        <v>329.09</v>
      </c>
      <c r="G1293" s="61" t="n">
        <v>30.86</v>
      </c>
      <c r="H1293" s="61" t="n">
        <v>197.7</v>
      </c>
      <c r="I1293" s="61" t="n">
        <v>38.87</v>
      </c>
      <c r="J1293" s="61" t="n">
        <v>10.88</v>
      </c>
      <c r="K1293" s="61" t="n">
        <v>30.88</v>
      </c>
      <c r="L1293" s="61" t="n">
        <v>1.19</v>
      </c>
      <c r="M1293" s="61" t="n">
        <v>10.62</v>
      </c>
      <c r="N1293" s="61" t="n">
        <v>8.09</v>
      </c>
      <c r="O1293" s="61" t="n">
        <v>0</v>
      </c>
      <c r="P1293" s="62" t="n">
        <v>533.7</v>
      </c>
      <c r="Q1293" s="0" t="n">
        <v>1</v>
      </c>
      <c r="R1293" s="60" t="n">
        <f aca="false">G1293+H1293+I1293</f>
        <v>267.43</v>
      </c>
      <c r="S1293" s="60" t="n">
        <f aca="false">K1293+L1293+M1293+N1293+O1293</f>
        <v>50.78</v>
      </c>
      <c r="T1293" s="60" t="n">
        <f aca="false">L1293+M1293</f>
        <v>11.81</v>
      </c>
      <c r="U1293" s="60" t="n">
        <f aca="false">S1293+J1293</f>
        <v>61.66</v>
      </c>
      <c r="V1293" s="63" t="n">
        <f aca="false">IFERROR(S1293/F1293,0)</f>
        <v>0.15430429365827</v>
      </c>
      <c r="W1293" s="63" t="n">
        <f aca="false">IFERROR(R1293/F1293,0)</f>
        <v>0.812634841532712</v>
      </c>
      <c r="X1293" s="63" t="n">
        <f aca="false">IFERROR(T1293/F1293,0)</f>
        <v>0.0358868394664074</v>
      </c>
      <c r="Y1293" s="63" t="n">
        <f aca="false">IFERROR(G1293/F1293,0)</f>
        <v>0.0937737397064633</v>
      </c>
      <c r="Z1293" s="59" t="n">
        <f aca="false">IF(E1293&gt;0,F1293*1000000000/E1293,"")</f>
        <v>2666.85462985056</v>
      </c>
      <c r="AA1293" s="63" t="n">
        <f aca="false">IFERROR((R1293+S1293+J1293)/F1293,0)</f>
        <v>1</v>
      </c>
      <c r="AB1293" s="0" t="str">
        <f aca="false">A1293&amp;"|"&amp;D1293</f>
        <v>Mexico|2017</v>
      </c>
    </row>
    <row r="1294" customFormat="false" ht="15" hidden="false" customHeight="false" outlineLevel="0" collapsed="false">
      <c r="A1294" s="0" t="s">
        <v>304</v>
      </c>
      <c r="B1294" s="0" t="s">
        <v>543</v>
      </c>
      <c r="C1294" s="0" t="s">
        <v>127</v>
      </c>
      <c r="D1294" s="0" t="n">
        <v>2018</v>
      </c>
      <c r="E1294" s="59" t="n">
        <v>124573713</v>
      </c>
      <c r="F1294" s="60" t="n">
        <v>349.29</v>
      </c>
      <c r="G1294" s="61" t="n">
        <v>29.03</v>
      </c>
      <c r="H1294" s="61" t="n">
        <v>215.77</v>
      </c>
      <c r="I1294" s="61" t="n">
        <v>35.7</v>
      </c>
      <c r="J1294" s="61" t="n">
        <v>13.55</v>
      </c>
      <c r="K1294" s="61" t="n">
        <v>32.23</v>
      </c>
      <c r="L1294" s="61" t="n">
        <v>3.21</v>
      </c>
      <c r="M1294" s="61" t="n">
        <v>12.44</v>
      </c>
      <c r="N1294" s="61" t="n">
        <v>7.36</v>
      </c>
      <c r="O1294" s="61" t="n">
        <v>0</v>
      </c>
      <c r="P1294" s="62" t="n">
        <v>523.9</v>
      </c>
      <c r="Q1294" s="0" t="n">
        <v>1</v>
      </c>
      <c r="R1294" s="60" t="n">
        <f aca="false">G1294+H1294+I1294</f>
        <v>280.5</v>
      </c>
      <c r="S1294" s="60" t="n">
        <f aca="false">K1294+L1294+M1294+N1294+O1294</f>
        <v>55.24</v>
      </c>
      <c r="T1294" s="60" t="n">
        <f aca="false">L1294+M1294</f>
        <v>15.65</v>
      </c>
      <c r="U1294" s="60" t="n">
        <f aca="false">S1294+J1294</f>
        <v>68.79</v>
      </c>
      <c r="V1294" s="63" t="n">
        <f aca="false">IFERROR(S1294/F1294,0)</f>
        <v>0.158149388760056</v>
      </c>
      <c r="W1294" s="63" t="n">
        <f aca="false">IFERROR(R1294/F1294,0)</f>
        <v>0.803057631194709</v>
      </c>
      <c r="X1294" s="63" t="n">
        <f aca="false">IFERROR(T1294/F1294,0)</f>
        <v>0.0448051762146068</v>
      </c>
      <c r="Y1294" s="63" t="n">
        <f aca="false">IFERROR(G1294/F1294,0)</f>
        <v>0.0831114546651779</v>
      </c>
      <c r="Z1294" s="59" t="n">
        <f aca="false">IF(E1294&gt;0,F1294*1000000000/E1294,"")</f>
        <v>2803.88206780029</v>
      </c>
      <c r="AA1294" s="63" t="n">
        <f aca="false">IFERROR((R1294+S1294+J1294)/F1294,0)</f>
        <v>1</v>
      </c>
      <c r="AB1294" s="0" t="str">
        <f aca="false">A1294&amp;"|"&amp;D1294</f>
        <v>Mexico|2018</v>
      </c>
    </row>
    <row r="1295" customFormat="false" ht="15" hidden="false" customHeight="false" outlineLevel="0" collapsed="false">
      <c r="A1295" s="0" t="s">
        <v>304</v>
      </c>
      <c r="B1295" s="0" t="s">
        <v>543</v>
      </c>
      <c r="C1295" s="0" t="s">
        <v>127</v>
      </c>
      <c r="D1295" s="0" t="n">
        <v>2019</v>
      </c>
      <c r="E1295" s="59" t="n">
        <v>125762978</v>
      </c>
      <c r="F1295" s="60" t="n">
        <v>344.57</v>
      </c>
      <c r="G1295" s="61" t="n">
        <v>32.68</v>
      </c>
      <c r="H1295" s="61" t="n">
        <v>208.41</v>
      </c>
      <c r="I1295" s="61" t="n">
        <v>34.79</v>
      </c>
      <c r="J1295" s="61" t="n">
        <v>11.19</v>
      </c>
      <c r="K1295" s="61" t="n">
        <v>23.6</v>
      </c>
      <c r="L1295" s="61" t="n">
        <v>9.96</v>
      </c>
      <c r="M1295" s="61" t="n">
        <v>16.73</v>
      </c>
      <c r="N1295" s="61" t="n">
        <v>7.21</v>
      </c>
      <c r="O1295" s="61" t="n">
        <v>0</v>
      </c>
      <c r="P1295" s="62" t="n">
        <v>525.7</v>
      </c>
      <c r="Q1295" s="0" t="n">
        <v>1</v>
      </c>
      <c r="R1295" s="60" t="n">
        <f aca="false">G1295+H1295+I1295</f>
        <v>275.88</v>
      </c>
      <c r="S1295" s="60" t="n">
        <f aca="false">K1295+L1295+M1295+N1295+O1295</f>
        <v>57.5</v>
      </c>
      <c r="T1295" s="60" t="n">
        <f aca="false">L1295+M1295</f>
        <v>26.69</v>
      </c>
      <c r="U1295" s="60" t="n">
        <f aca="false">S1295+J1295</f>
        <v>68.69</v>
      </c>
      <c r="V1295" s="63" t="n">
        <f aca="false">IFERROR(S1295/F1295,0)</f>
        <v>0.16687465536756</v>
      </c>
      <c r="W1295" s="63" t="n">
        <f aca="false">IFERROR(R1295/F1295,0)</f>
        <v>0.800650085613954</v>
      </c>
      <c r="X1295" s="63" t="n">
        <f aca="false">IFERROR(T1295/F1295,0)</f>
        <v>0.077458861769742</v>
      </c>
      <c r="Y1295" s="63" t="n">
        <f aca="false">IFERROR(G1295/F1295,0)</f>
        <v>0.0948428476071626</v>
      </c>
      <c r="Z1295" s="59" t="n">
        <f aca="false">IF(E1295&gt;0,F1295*1000000000/E1295,"")</f>
        <v>2739.83652009258</v>
      </c>
      <c r="AA1295" s="63" t="n">
        <f aca="false">IFERROR((R1295+S1295+J1295)/F1295,0)</f>
        <v>1</v>
      </c>
      <c r="AB1295" s="0" t="str">
        <f aca="false">A1295&amp;"|"&amp;D1295</f>
        <v>Mexico|2019</v>
      </c>
    </row>
    <row r="1296" customFormat="false" ht="15" hidden="false" customHeight="false" outlineLevel="0" collapsed="false">
      <c r="A1296" s="0" t="s">
        <v>304</v>
      </c>
      <c r="B1296" s="0" t="s">
        <v>543</v>
      </c>
      <c r="C1296" s="0" t="s">
        <v>127</v>
      </c>
      <c r="D1296" s="0" t="n">
        <v>2020</v>
      </c>
      <c r="E1296" s="59" t="n">
        <v>126799053</v>
      </c>
      <c r="F1296" s="60" t="n">
        <v>325.73</v>
      </c>
      <c r="G1296" s="61" t="n">
        <v>15.3</v>
      </c>
      <c r="H1296" s="61" t="n">
        <v>209.26</v>
      </c>
      <c r="I1296" s="61" t="n">
        <v>20.62</v>
      </c>
      <c r="J1296" s="61" t="n">
        <v>11.18</v>
      </c>
      <c r="K1296" s="61" t="n">
        <v>26.82</v>
      </c>
      <c r="L1296" s="61" t="n">
        <v>15.84</v>
      </c>
      <c r="M1296" s="61" t="n">
        <v>19.7</v>
      </c>
      <c r="N1296" s="61" t="n">
        <v>7.01</v>
      </c>
      <c r="O1296" s="61" t="n">
        <v>0</v>
      </c>
      <c r="P1296" s="62" t="n">
        <v>484.1</v>
      </c>
      <c r="Q1296" s="0" t="n">
        <v>1</v>
      </c>
      <c r="R1296" s="60" t="n">
        <f aca="false">G1296+H1296+I1296</f>
        <v>245.18</v>
      </c>
      <c r="S1296" s="60" t="n">
        <f aca="false">K1296+L1296+M1296+N1296+O1296</f>
        <v>69.37</v>
      </c>
      <c r="T1296" s="60" t="n">
        <f aca="false">L1296+M1296</f>
        <v>35.54</v>
      </c>
      <c r="U1296" s="60" t="n">
        <f aca="false">S1296+J1296</f>
        <v>80.55</v>
      </c>
      <c r="V1296" s="63" t="n">
        <f aca="false">IFERROR(S1296/F1296,0)</f>
        <v>0.212967795413379</v>
      </c>
      <c r="W1296" s="63" t="n">
        <f aca="false">IFERROR(R1296/F1296,0)</f>
        <v>0.752709299112762</v>
      </c>
      <c r="X1296" s="63" t="n">
        <f aca="false">IFERROR(T1296/F1296,0)</f>
        <v>0.109108771068063</v>
      </c>
      <c r="Y1296" s="63" t="n">
        <f aca="false">IFERROR(G1296/F1296,0)</f>
        <v>0.0469714180456206</v>
      </c>
      <c r="Z1296" s="59" t="n">
        <f aca="false">IF(E1296&gt;0,F1296*1000000000/E1296,"")</f>
        <v>2568.86776591305</v>
      </c>
      <c r="AA1296" s="63" t="n">
        <f aca="false">IFERROR((R1296+S1296+J1296)/F1296,0)</f>
        <v>1</v>
      </c>
      <c r="AB1296" s="0" t="str">
        <f aca="false">A1296&amp;"|"&amp;D1296</f>
        <v>Mexico|2020</v>
      </c>
    </row>
    <row r="1297" customFormat="false" ht="15" hidden="false" customHeight="false" outlineLevel="0" collapsed="false">
      <c r="A1297" s="0" t="s">
        <v>304</v>
      </c>
      <c r="B1297" s="0" t="s">
        <v>543</v>
      </c>
      <c r="C1297" s="0" t="s">
        <v>127</v>
      </c>
      <c r="D1297" s="0" t="n">
        <v>2021</v>
      </c>
      <c r="E1297" s="59" t="n">
        <v>127648151</v>
      </c>
      <c r="F1297" s="60" t="n">
        <v>328.59</v>
      </c>
      <c r="G1297" s="61" t="n">
        <v>7.38</v>
      </c>
      <c r="H1297" s="61" t="n">
        <v>195.73</v>
      </c>
      <c r="I1297" s="61" t="n">
        <v>31.47</v>
      </c>
      <c r="J1297" s="61" t="n">
        <v>11.92</v>
      </c>
      <c r="K1297" s="61" t="n">
        <v>34.72</v>
      </c>
      <c r="L1297" s="61" t="n">
        <v>20.19</v>
      </c>
      <c r="M1297" s="61" t="n">
        <v>21.07</v>
      </c>
      <c r="N1297" s="61" t="n">
        <v>6.11</v>
      </c>
      <c r="O1297" s="61" t="n">
        <v>0</v>
      </c>
      <c r="P1297" s="62" t="n">
        <v>456.2</v>
      </c>
      <c r="Q1297" s="0" t="n">
        <v>1</v>
      </c>
      <c r="R1297" s="60" t="n">
        <f aca="false">G1297+H1297+I1297</f>
        <v>234.58</v>
      </c>
      <c r="S1297" s="60" t="n">
        <f aca="false">K1297+L1297+M1297+N1297+O1297</f>
        <v>82.09</v>
      </c>
      <c r="T1297" s="60" t="n">
        <f aca="false">L1297+M1297</f>
        <v>41.26</v>
      </c>
      <c r="U1297" s="60" t="n">
        <f aca="false">S1297+J1297</f>
        <v>94.01</v>
      </c>
      <c r="V1297" s="63" t="n">
        <f aca="false">IFERROR(S1297/F1297,0)</f>
        <v>0.249825009890745</v>
      </c>
      <c r="W1297" s="63" t="n">
        <f aca="false">IFERROR(R1297/F1297,0)</f>
        <v>0.713898779634195</v>
      </c>
      <c r="X1297" s="63" t="n">
        <f aca="false">IFERROR(T1297/F1297,0)</f>
        <v>0.125566815788673</v>
      </c>
      <c r="Y1297" s="63" t="n">
        <f aca="false">IFERROR(G1297/F1297,0)</f>
        <v>0.022459600109559</v>
      </c>
      <c r="Z1297" s="59" t="n">
        <f aca="false">IF(E1297&gt;0,F1297*1000000000/E1297,"")</f>
        <v>2574.18534797265</v>
      </c>
      <c r="AA1297" s="63" t="n">
        <f aca="false">IFERROR((R1297+S1297+J1297)/F1297,0)</f>
        <v>1</v>
      </c>
      <c r="AB1297" s="0" t="str">
        <f aca="false">A1297&amp;"|"&amp;D1297</f>
        <v>Mexico|2021</v>
      </c>
    </row>
    <row r="1298" customFormat="false" ht="15" hidden="false" customHeight="false" outlineLevel="0" collapsed="false">
      <c r="A1298" s="0" t="s">
        <v>304</v>
      </c>
      <c r="B1298" s="0" t="s">
        <v>543</v>
      </c>
      <c r="C1298" s="0" t="s">
        <v>127</v>
      </c>
      <c r="D1298" s="0" t="n">
        <v>2022</v>
      </c>
      <c r="E1298" s="59" t="n">
        <v>128613116</v>
      </c>
      <c r="F1298" s="60" t="n">
        <v>340.15</v>
      </c>
      <c r="G1298" s="61" t="n">
        <v>10.38</v>
      </c>
      <c r="H1298" s="61" t="n">
        <v>203.16</v>
      </c>
      <c r="I1298" s="61" t="n">
        <v>32.63</v>
      </c>
      <c r="J1298" s="61" t="n">
        <v>10.85</v>
      </c>
      <c r="K1298" s="61" t="n">
        <v>35.56</v>
      </c>
      <c r="L1298" s="61" t="n">
        <v>20.34</v>
      </c>
      <c r="M1298" s="61" t="n">
        <v>20.53</v>
      </c>
      <c r="N1298" s="61" t="n">
        <v>6.7</v>
      </c>
      <c r="O1298" s="61" t="n">
        <v>0</v>
      </c>
      <c r="P1298" s="62" t="n">
        <v>464.4</v>
      </c>
      <c r="Q1298" s="0" t="n">
        <v>1</v>
      </c>
      <c r="R1298" s="60" t="n">
        <f aca="false">G1298+H1298+I1298</f>
        <v>246.17</v>
      </c>
      <c r="S1298" s="60" t="n">
        <f aca="false">K1298+L1298+M1298+N1298+O1298</f>
        <v>83.13</v>
      </c>
      <c r="T1298" s="60" t="n">
        <f aca="false">L1298+M1298</f>
        <v>40.87</v>
      </c>
      <c r="U1298" s="60" t="n">
        <f aca="false">S1298+J1298</f>
        <v>93.98</v>
      </c>
      <c r="V1298" s="63" t="n">
        <f aca="false">IFERROR(S1298/F1298,0)</f>
        <v>0.244392179920623</v>
      </c>
      <c r="W1298" s="63" t="n">
        <f aca="false">IFERROR(R1298/F1298,0)</f>
        <v>0.723710127884757</v>
      </c>
      <c r="X1298" s="63" t="n">
        <f aca="false">IFERROR(T1298/F1298,0)</f>
        <v>0.120152873732177</v>
      </c>
      <c r="Y1298" s="63" t="n">
        <f aca="false">IFERROR(G1298/F1298,0)</f>
        <v>0.0305159488460973</v>
      </c>
      <c r="Z1298" s="59" t="n">
        <f aca="false">IF(E1298&gt;0,F1298*1000000000/E1298,"")</f>
        <v>2644.75358796221</v>
      </c>
      <c r="AA1298" s="63" t="n">
        <f aca="false">IFERROR((R1298+S1298+J1298)/F1298,0)</f>
        <v>1</v>
      </c>
      <c r="AB1298" s="0" t="str">
        <f aca="false">A1298&amp;"|"&amp;D1298</f>
        <v>Mexico|2022</v>
      </c>
    </row>
    <row r="1299" customFormat="false" ht="15" hidden="false" customHeight="false" outlineLevel="0" collapsed="false">
      <c r="A1299" s="0" t="s">
        <v>304</v>
      </c>
      <c r="B1299" s="0" t="s">
        <v>543</v>
      </c>
      <c r="C1299" s="0" t="s">
        <v>127</v>
      </c>
      <c r="D1299" s="0" t="n">
        <v>2023</v>
      </c>
      <c r="E1299" s="59" t="n">
        <v>129739761</v>
      </c>
      <c r="F1299" s="60" t="n">
        <v>351.7</v>
      </c>
      <c r="G1299" s="61" t="n">
        <v>13.53</v>
      </c>
      <c r="H1299" s="61" t="n">
        <v>219.24</v>
      </c>
      <c r="I1299" s="61" t="n">
        <v>35.26</v>
      </c>
      <c r="J1299" s="61" t="n">
        <v>12.39</v>
      </c>
      <c r="K1299" s="61" t="n">
        <v>20.61</v>
      </c>
      <c r="L1299" s="61" t="n">
        <v>23.34</v>
      </c>
      <c r="M1299" s="61" t="n">
        <v>20.7</v>
      </c>
      <c r="N1299" s="61" t="n">
        <v>6.63</v>
      </c>
      <c r="O1299" s="61" t="n">
        <v>0</v>
      </c>
      <c r="P1299" s="62" t="n">
        <v>489.1</v>
      </c>
      <c r="Q1299" s="0" t="n">
        <v>1</v>
      </c>
      <c r="R1299" s="60" t="n">
        <f aca="false">G1299+H1299+I1299</f>
        <v>268.03</v>
      </c>
      <c r="S1299" s="60" t="n">
        <f aca="false">K1299+L1299+M1299+N1299+O1299</f>
        <v>71.28</v>
      </c>
      <c r="T1299" s="60" t="n">
        <f aca="false">L1299+M1299</f>
        <v>44.04</v>
      </c>
      <c r="U1299" s="60" t="n">
        <f aca="false">S1299+J1299</f>
        <v>83.67</v>
      </c>
      <c r="V1299" s="63" t="n">
        <f aca="false">IFERROR(S1299/F1299,0)</f>
        <v>0.202672732442423</v>
      </c>
      <c r="W1299" s="63" t="n">
        <f aca="false">IFERROR(R1299/F1299,0)</f>
        <v>0.76209837930054</v>
      </c>
      <c r="X1299" s="63" t="n">
        <f aca="false">IFERROR(T1299/F1299,0)</f>
        <v>0.125220358259881</v>
      </c>
      <c r="Y1299" s="63" t="n">
        <f aca="false">IFERROR(G1299/F1299,0)</f>
        <v>0.0384702871765709</v>
      </c>
      <c r="Z1299" s="59" t="n">
        <f aca="false">IF(E1299&gt;0,F1299*1000000000/E1299,"")</f>
        <v>2710.81122154988</v>
      </c>
      <c r="AA1299" s="63" t="n">
        <f aca="false">IFERROR((R1299+S1299+J1299)/F1299,0)</f>
        <v>1</v>
      </c>
      <c r="AB1299" s="0" t="str">
        <f aca="false">A1299&amp;"|"&amp;D1299</f>
        <v>Mexico|2023</v>
      </c>
    </row>
    <row r="1300" customFormat="false" ht="15" hidden="false" customHeight="false" outlineLevel="0" collapsed="false">
      <c r="A1300" s="0" t="s">
        <v>304</v>
      </c>
      <c r="B1300" s="0" t="s">
        <v>543</v>
      </c>
      <c r="C1300" s="0" t="s">
        <v>127</v>
      </c>
      <c r="D1300" s="0" t="n">
        <v>2024</v>
      </c>
      <c r="E1300" s="59" t="n">
        <v>130861001</v>
      </c>
      <c r="F1300" s="60" t="n">
        <v>355.18</v>
      </c>
      <c r="G1300" s="61" t="n">
        <v>12.39</v>
      </c>
      <c r="H1300" s="61" t="n">
        <v>221.67</v>
      </c>
      <c r="I1300" s="61" t="n">
        <v>33.81</v>
      </c>
      <c r="J1300" s="61" t="n">
        <v>12.31</v>
      </c>
      <c r="K1300" s="61" t="n">
        <v>23.54</v>
      </c>
      <c r="L1300" s="61" t="n">
        <v>25.72</v>
      </c>
      <c r="M1300" s="61" t="n">
        <v>19.75</v>
      </c>
      <c r="N1300" s="61" t="n">
        <v>5.99</v>
      </c>
      <c r="O1300" s="61" t="n">
        <v>0</v>
      </c>
      <c r="P1300" s="62" t="n">
        <v>483.1</v>
      </c>
      <c r="Q1300" s="0" t="n">
        <v>1</v>
      </c>
      <c r="R1300" s="60" t="n">
        <f aca="false">G1300+H1300+I1300</f>
        <v>267.87</v>
      </c>
      <c r="S1300" s="60" t="n">
        <f aca="false">K1300+L1300+M1300+N1300+O1300</f>
        <v>75</v>
      </c>
      <c r="T1300" s="60" t="n">
        <f aca="false">L1300+M1300</f>
        <v>45.47</v>
      </c>
      <c r="U1300" s="60" t="n">
        <f aca="false">S1300+J1300</f>
        <v>87.31</v>
      </c>
      <c r="V1300" s="63" t="n">
        <f aca="false">IFERROR(S1300/F1300,0)</f>
        <v>0.211160538318599</v>
      </c>
      <c r="W1300" s="63" t="n">
        <f aca="false">IFERROR(R1300/F1300,0)</f>
        <v>0.754180978658708</v>
      </c>
      <c r="X1300" s="63" t="n">
        <f aca="false">IFERROR(T1300/F1300,0)</f>
        <v>0.128019595697956</v>
      </c>
      <c r="Y1300" s="63" t="n">
        <f aca="false">IFERROR(G1300/F1300,0)</f>
        <v>0.0348837209302326</v>
      </c>
      <c r="Z1300" s="59" t="n">
        <f aca="false">IF(E1300&gt;0,F1300*1000000000/E1300,"")</f>
        <v>2714.1776181278</v>
      </c>
      <c r="AA1300" s="63" t="n">
        <f aca="false">IFERROR((R1300+S1300+J1300)/F1300,0)</f>
        <v>1</v>
      </c>
      <c r="AB1300" s="0" t="str">
        <f aca="false">A1300&amp;"|"&amp;D1300</f>
        <v>Mexico|2024</v>
      </c>
    </row>
    <row r="1301" customFormat="false" ht="15" hidden="false" customHeight="false" outlineLevel="0" collapsed="false">
      <c r="A1301" s="0" t="s">
        <v>304</v>
      </c>
      <c r="B1301" s="0" t="s">
        <v>543</v>
      </c>
      <c r="C1301" s="0" t="s">
        <v>127</v>
      </c>
      <c r="D1301" s="0" t="n">
        <v>2025</v>
      </c>
      <c r="E1301" s="59" t="n">
        <v>131946897</v>
      </c>
      <c r="F1301" s="60" t="n">
        <v>356.97</v>
      </c>
      <c r="G1301" s="61" t="n">
        <v>10.88</v>
      </c>
      <c r="H1301" s="61" t="n">
        <v>219.92</v>
      </c>
      <c r="I1301" s="61" t="n">
        <v>33.58</v>
      </c>
      <c r="J1301" s="61" t="n">
        <v>10.16</v>
      </c>
      <c r="K1301" s="61" t="n">
        <v>28.75</v>
      </c>
      <c r="L1301" s="61" t="n">
        <v>26.34</v>
      </c>
      <c r="M1301" s="61" t="n">
        <v>21.38</v>
      </c>
      <c r="N1301" s="61" t="n">
        <v>5.96</v>
      </c>
      <c r="O1301" s="61" t="n">
        <v>0</v>
      </c>
      <c r="P1301" s="62" t="n">
        <v>474</v>
      </c>
      <c r="Q1301" s="0" t="n">
        <v>1</v>
      </c>
      <c r="R1301" s="60" t="n">
        <f aca="false">G1301+H1301+I1301</f>
        <v>264.38</v>
      </c>
      <c r="S1301" s="60" t="n">
        <f aca="false">K1301+L1301+M1301+N1301+O1301</f>
        <v>82.43</v>
      </c>
      <c r="T1301" s="60" t="n">
        <f aca="false">L1301+M1301</f>
        <v>47.72</v>
      </c>
      <c r="U1301" s="60" t="n">
        <f aca="false">S1301+J1301</f>
        <v>92.59</v>
      </c>
      <c r="V1301" s="63" t="n">
        <f aca="false">IFERROR(S1301/F1301,0)</f>
        <v>0.230915763229403</v>
      </c>
      <c r="W1301" s="63" t="n">
        <f aca="false">IFERROR(R1301/F1301,0)</f>
        <v>0.740622461271255</v>
      </c>
      <c r="X1301" s="63" t="n">
        <f aca="false">IFERROR(T1301/F1301,0)</f>
        <v>0.133680701459506</v>
      </c>
      <c r="Y1301" s="63" t="n">
        <f aca="false">IFERROR(G1301/F1301,0)</f>
        <v>0.0304787517158305</v>
      </c>
      <c r="Z1301" s="59" t="n">
        <f aca="false">IF(E1301&gt;0,F1301*1000000000/E1301,"")</f>
        <v>2705.40655457779</v>
      </c>
      <c r="AA1301" s="63" t="n">
        <f aca="false">IFERROR((R1301+S1301+J1301)/F1301,0)</f>
        <v>1</v>
      </c>
      <c r="AB1301" s="0" t="str">
        <f aca="false">A1301&amp;"|"&amp;D1301</f>
        <v>Mexico|2025</v>
      </c>
    </row>
    <row r="1302" customFormat="false" ht="15" hidden="false" customHeight="false" outlineLevel="0" collapsed="false">
      <c r="A1302" s="0" t="s">
        <v>305</v>
      </c>
      <c r="B1302" s="0" t="s">
        <v>544</v>
      </c>
      <c r="C1302" s="0" t="s">
        <v>127</v>
      </c>
      <c r="D1302" s="0" t="n">
        <v>2015</v>
      </c>
      <c r="E1302" s="59" t="n">
        <v>3287168</v>
      </c>
      <c r="F1302" s="60" t="n">
        <v>6.04</v>
      </c>
      <c r="G1302" s="61" t="n">
        <v>0</v>
      </c>
      <c r="H1302" s="61" t="n">
        <v>5.76</v>
      </c>
      <c r="I1302" s="61" t="n">
        <v>0.01</v>
      </c>
      <c r="J1302" s="61" t="n">
        <v>0</v>
      </c>
      <c r="K1302" s="61" t="n">
        <v>0.26</v>
      </c>
      <c r="L1302" s="61" t="n">
        <v>0</v>
      </c>
      <c r="M1302" s="61" t="n">
        <v>0</v>
      </c>
      <c r="N1302" s="61" t="n">
        <v>0.01</v>
      </c>
      <c r="O1302" s="61" t="n">
        <v>0</v>
      </c>
      <c r="P1302" s="62" t="n">
        <v>682.1</v>
      </c>
      <c r="Q1302" s="0" t="n">
        <v>0</v>
      </c>
      <c r="R1302" s="60" t="n">
        <f aca="false">G1302+H1302+I1302</f>
        <v>5.77</v>
      </c>
      <c r="S1302" s="60" t="n">
        <f aca="false">K1302+L1302+M1302+N1302+O1302</f>
        <v>0.27</v>
      </c>
      <c r="T1302" s="60" t="n">
        <f aca="false">L1302+M1302</f>
        <v>0</v>
      </c>
      <c r="U1302" s="60" t="n">
        <f aca="false">S1302+J1302</f>
        <v>0.27</v>
      </c>
      <c r="V1302" s="63" t="n">
        <f aca="false">IFERROR(S1302/F1302,0)</f>
        <v>0.0447019867549669</v>
      </c>
      <c r="W1302" s="63" t="n">
        <f aca="false">IFERROR(R1302/F1302,0)</f>
        <v>0.955298013245033</v>
      </c>
      <c r="X1302" s="63" t="n">
        <f aca="false">IFERROR(T1302/F1302,0)</f>
        <v>0</v>
      </c>
      <c r="Y1302" s="63" t="n">
        <f aca="false">IFERROR(G1302/F1302,0)</f>
        <v>0</v>
      </c>
      <c r="Z1302" s="59" t="n">
        <f aca="false">IF(E1302&gt;0,F1302*1000000000/E1302,"")</f>
        <v>1837.44791869476</v>
      </c>
      <c r="AA1302" s="63" t="n">
        <f aca="false">IFERROR((R1302+S1302+J1302)/F1302,0)</f>
        <v>1</v>
      </c>
      <c r="AB1302" s="0" t="str">
        <f aca="false">A1302&amp;"|"&amp;D1302</f>
        <v>Moldova|2015</v>
      </c>
    </row>
    <row r="1303" customFormat="false" ht="15" hidden="false" customHeight="false" outlineLevel="0" collapsed="false">
      <c r="A1303" s="0" t="s">
        <v>305</v>
      </c>
      <c r="B1303" s="0" t="s">
        <v>544</v>
      </c>
      <c r="C1303" s="0" t="s">
        <v>127</v>
      </c>
      <c r="D1303" s="0" t="n">
        <v>2016</v>
      </c>
      <c r="E1303" s="59" t="n">
        <v>3237798</v>
      </c>
      <c r="F1303" s="60" t="n">
        <v>5.85</v>
      </c>
      <c r="G1303" s="61" t="n">
        <v>0</v>
      </c>
      <c r="H1303" s="61" t="n">
        <v>5.59</v>
      </c>
      <c r="I1303" s="61" t="n">
        <v>0.02</v>
      </c>
      <c r="J1303" s="61" t="n">
        <v>0</v>
      </c>
      <c r="K1303" s="61" t="n">
        <v>0.23</v>
      </c>
      <c r="L1303" s="61" t="n">
        <v>0</v>
      </c>
      <c r="M1303" s="61" t="n">
        <v>0</v>
      </c>
      <c r="N1303" s="61" t="n">
        <v>0.01</v>
      </c>
      <c r="O1303" s="61" t="n">
        <v>0</v>
      </c>
      <c r="P1303" s="62" t="n">
        <v>683.8</v>
      </c>
      <c r="Q1303" s="0" t="n">
        <v>0</v>
      </c>
      <c r="R1303" s="60" t="n">
        <f aca="false">G1303+H1303+I1303</f>
        <v>5.61</v>
      </c>
      <c r="S1303" s="60" t="n">
        <f aca="false">K1303+L1303+M1303+N1303+O1303</f>
        <v>0.24</v>
      </c>
      <c r="T1303" s="60" t="n">
        <f aca="false">L1303+M1303</f>
        <v>0</v>
      </c>
      <c r="U1303" s="60" t="n">
        <f aca="false">S1303+J1303</f>
        <v>0.24</v>
      </c>
      <c r="V1303" s="63" t="n">
        <f aca="false">IFERROR(S1303/F1303,0)</f>
        <v>0.041025641025641</v>
      </c>
      <c r="W1303" s="63" t="n">
        <f aca="false">IFERROR(R1303/F1303,0)</f>
        <v>0.958974358974359</v>
      </c>
      <c r="X1303" s="63" t="n">
        <f aca="false">IFERROR(T1303/F1303,0)</f>
        <v>0</v>
      </c>
      <c r="Y1303" s="63" t="n">
        <f aca="false">IFERROR(G1303/F1303,0)</f>
        <v>0</v>
      </c>
      <c r="Z1303" s="59" t="n">
        <f aca="false">IF(E1303&gt;0,F1303*1000000000/E1303,"")</f>
        <v>1806.78349915591</v>
      </c>
      <c r="AA1303" s="63" t="n">
        <f aca="false">IFERROR((R1303+S1303+J1303)/F1303,0)</f>
        <v>1</v>
      </c>
      <c r="AB1303" s="0" t="str">
        <f aca="false">A1303&amp;"|"&amp;D1303</f>
        <v>Moldova|2016</v>
      </c>
    </row>
    <row r="1304" customFormat="false" ht="15" hidden="false" customHeight="false" outlineLevel="0" collapsed="false">
      <c r="A1304" s="0" t="s">
        <v>305</v>
      </c>
      <c r="B1304" s="0" t="s">
        <v>544</v>
      </c>
      <c r="C1304" s="0" t="s">
        <v>127</v>
      </c>
      <c r="D1304" s="0" t="n">
        <v>2017</v>
      </c>
      <c r="E1304" s="59" t="n">
        <v>3193500</v>
      </c>
      <c r="F1304" s="60" t="n">
        <v>4.96</v>
      </c>
      <c r="G1304" s="61" t="n">
        <v>0</v>
      </c>
      <c r="H1304" s="61" t="n">
        <v>4.63</v>
      </c>
      <c r="I1304" s="61" t="n">
        <v>0.02</v>
      </c>
      <c r="J1304" s="61" t="n">
        <v>0</v>
      </c>
      <c r="K1304" s="61" t="n">
        <v>0.28</v>
      </c>
      <c r="L1304" s="61" t="n">
        <v>0</v>
      </c>
      <c r="M1304" s="61" t="n">
        <v>0.01</v>
      </c>
      <c r="N1304" s="61" t="n">
        <v>0.02</v>
      </c>
      <c r="O1304" s="61" t="n">
        <v>0</v>
      </c>
      <c r="P1304" s="62" t="n">
        <v>669.4</v>
      </c>
      <c r="Q1304" s="0" t="n">
        <v>0</v>
      </c>
      <c r="R1304" s="60" t="n">
        <f aca="false">G1304+H1304+I1304</f>
        <v>4.65</v>
      </c>
      <c r="S1304" s="60" t="n">
        <f aca="false">K1304+L1304+M1304+N1304+O1304</f>
        <v>0.31</v>
      </c>
      <c r="T1304" s="60" t="n">
        <f aca="false">L1304+M1304</f>
        <v>0.01</v>
      </c>
      <c r="U1304" s="60" t="n">
        <f aca="false">S1304+J1304</f>
        <v>0.31</v>
      </c>
      <c r="V1304" s="63" t="n">
        <f aca="false">IFERROR(S1304/F1304,0)</f>
        <v>0.0625</v>
      </c>
      <c r="W1304" s="63" t="n">
        <f aca="false">IFERROR(R1304/F1304,0)</f>
        <v>0.9375</v>
      </c>
      <c r="X1304" s="63" t="n">
        <f aca="false">IFERROR(T1304/F1304,0)</f>
        <v>0.00201612903225806</v>
      </c>
      <c r="Y1304" s="63" t="n">
        <f aca="false">IFERROR(G1304/F1304,0)</f>
        <v>0</v>
      </c>
      <c r="Z1304" s="59" t="n">
        <f aca="false">IF(E1304&gt;0,F1304*1000000000/E1304,"")</f>
        <v>1553.15484578049</v>
      </c>
      <c r="AA1304" s="63" t="n">
        <f aca="false">IFERROR((R1304+S1304+J1304)/F1304,0)</f>
        <v>1</v>
      </c>
      <c r="AB1304" s="0" t="str">
        <f aca="false">A1304&amp;"|"&amp;D1304</f>
        <v>Moldova|2017</v>
      </c>
    </row>
    <row r="1305" customFormat="false" ht="15" hidden="false" customHeight="false" outlineLevel="0" collapsed="false">
      <c r="A1305" s="0" t="s">
        <v>305</v>
      </c>
      <c r="B1305" s="0" t="s">
        <v>544</v>
      </c>
      <c r="C1305" s="0" t="s">
        <v>127</v>
      </c>
      <c r="D1305" s="0" t="n">
        <v>2018</v>
      </c>
      <c r="E1305" s="59" t="n">
        <v>3153779</v>
      </c>
      <c r="F1305" s="60" t="n">
        <v>5.38</v>
      </c>
      <c r="G1305" s="61" t="n">
        <v>0</v>
      </c>
      <c r="H1305" s="61" t="n">
        <v>5.05</v>
      </c>
      <c r="I1305" s="61" t="n">
        <v>0.01</v>
      </c>
      <c r="J1305" s="61" t="n">
        <v>0</v>
      </c>
      <c r="K1305" s="61" t="n">
        <v>0.27</v>
      </c>
      <c r="L1305" s="61" t="n">
        <v>0</v>
      </c>
      <c r="M1305" s="61" t="n">
        <v>0.02</v>
      </c>
      <c r="N1305" s="61" t="n">
        <v>0.03</v>
      </c>
      <c r="O1305" s="61" t="n">
        <v>0</v>
      </c>
      <c r="P1305" s="62" t="n">
        <v>672.9</v>
      </c>
      <c r="Q1305" s="0" t="n">
        <v>0</v>
      </c>
      <c r="R1305" s="60" t="n">
        <f aca="false">G1305+H1305+I1305</f>
        <v>5.06</v>
      </c>
      <c r="S1305" s="60" t="n">
        <f aca="false">K1305+L1305+M1305+N1305+O1305</f>
        <v>0.32</v>
      </c>
      <c r="T1305" s="60" t="n">
        <f aca="false">L1305+M1305</f>
        <v>0.02</v>
      </c>
      <c r="U1305" s="60" t="n">
        <f aca="false">S1305+J1305</f>
        <v>0.32</v>
      </c>
      <c r="V1305" s="63" t="n">
        <f aca="false">IFERROR(S1305/F1305,0)</f>
        <v>0.0594795539033457</v>
      </c>
      <c r="W1305" s="63" t="n">
        <f aca="false">IFERROR(R1305/F1305,0)</f>
        <v>0.940520446096654</v>
      </c>
      <c r="X1305" s="63" t="n">
        <f aca="false">IFERROR(T1305/F1305,0)</f>
        <v>0.00371747211895911</v>
      </c>
      <c r="Y1305" s="63" t="n">
        <f aca="false">IFERROR(G1305/F1305,0)</f>
        <v>0</v>
      </c>
      <c r="Z1305" s="59" t="n">
        <f aca="false">IF(E1305&gt;0,F1305*1000000000/E1305,"")</f>
        <v>1705.88998151107</v>
      </c>
      <c r="AA1305" s="63" t="n">
        <f aca="false">IFERROR((R1305+S1305+J1305)/F1305,0)</f>
        <v>1</v>
      </c>
      <c r="AB1305" s="0" t="str">
        <f aca="false">A1305&amp;"|"&amp;D1305</f>
        <v>Moldova|2018</v>
      </c>
    </row>
    <row r="1306" customFormat="false" ht="15" hidden="false" customHeight="false" outlineLevel="0" collapsed="false">
      <c r="A1306" s="0" t="s">
        <v>305</v>
      </c>
      <c r="B1306" s="0" t="s">
        <v>544</v>
      </c>
      <c r="C1306" s="0" t="s">
        <v>127</v>
      </c>
      <c r="D1306" s="0" t="n">
        <v>2019</v>
      </c>
      <c r="E1306" s="59" t="n">
        <v>3112561</v>
      </c>
      <c r="F1306" s="60" t="n">
        <v>5.69</v>
      </c>
      <c r="G1306" s="61" t="n">
        <v>0</v>
      </c>
      <c r="H1306" s="61" t="n">
        <v>5.32</v>
      </c>
      <c r="I1306" s="61" t="n">
        <v>0</v>
      </c>
      <c r="J1306" s="61" t="n">
        <v>0</v>
      </c>
      <c r="K1306" s="61" t="n">
        <v>0.3</v>
      </c>
      <c r="L1306" s="61" t="n">
        <v>0</v>
      </c>
      <c r="M1306" s="61" t="n">
        <v>0.04</v>
      </c>
      <c r="N1306" s="61" t="n">
        <v>0.03</v>
      </c>
      <c r="O1306" s="61" t="n">
        <v>0</v>
      </c>
      <c r="P1306" s="62" t="n">
        <v>669.6</v>
      </c>
      <c r="Q1306" s="0" t="n">
        <v>0</v>
      </c>
      <c r="R1306" s="60" t="n">
        <f aca="false">G1306+H1306+I1306</f>
        <v>5.32</v>
      </c>
      <c r="S1306" s="60" t="n">
        <f aca="false">K1306+L1306+M1306+N1306+O1306</f>
        <v>0.37</v>
      </c>
      <c r="T1306" s="60" t="n">
        <f aca="false">L1306+M1306</f>
        <v>0.04</v>
      </c>
      <c r="U1306" s="60" t="n">
        <f aca="false">S1306+J1306</f>
        <v>0.37</v>
      </c>
      <c r="V1306" s="63" t="n">
        <f aca="false">IFERROR(S1306/F1306,0)</f>
        <v>0.0650263620386643</v>
      </c>
      <c r="W1306" s="63" t="n">
        <f aca="false">IFERROR(R1306/F1306,0)</f>
        <v>0.934973637961336</v>
      </c>
      <c r="X1306" s="63" t="n">
        <f aca="false">IFERROR(T1306/F1306,0)</f>
        <v>0.0070298769771529</v>
      </c>
      <c r="Y1306" s="63" t="n">
        <f aca="false">IFERROR(G1306/F1306,0)</f>
        <v>0</v>
      </c>
      <c r="Z1306" s="59" t="n">
        <f aca="false">IF(E1306&gt;0,F1306*1000000000/E1306,"")</f>
        <v>1828.07662243407</v>
      </c>
      <c r="AA1306" s="63" t="n">
        <f aca="false">IFERROR((R1306+S1306+J1306)/F1306,0)</f>
        <v>1</v>
      </c>
      <c r="AB1306" s="0" t="str">
        <f aca="false">A1306&amp;"|"&amp;D1306</f>
        <v>Moldova|2019</v>
      </c>
    </row>
    <row r="1307" customFormat="false" ht="15" hidden="false" customHeight="false" outlineLevel="0" collapsed="false">
      <c r="A1307" s="0" t="s">
        <v>305</v>
      </c>
      <c r="B1307" s="0" t="s">
        <v>544</v>
      </c>
      <c r="C1307" s="0" t="s">
        <v>127</v>
      </c>
      <c r="D1307" s="0" t="n">
        <v>2020</v>
      </c>
      <c r="E1307" s="59" t="n">
        <v>3069135</v>
      </c>
      <c r="F1307" s="60" t="n">
        <v>6.18</v>
      </c>
      <c r="G1307" s="61" t="n">
        <v>0</v>
      </c>
      <c r="H1307" s="61" t="n">
        <v>5.82</v>
      </c>
      <c r="I1307" s="61" t="n">
        <v>0</v>
      </c>
      <c r="J1307" s="61" t="n">
        <v>0</v>
      </c>
      <c r="K1307" s="61" t="n">
        <v>0.28</v>
      </c>
      <c r="L1307" s="61" t="n">
        <v>0</v>
      </c>
      <c r="M1307" s="61" t="n">
        <v>0.05</v>
      </c>
      <c r="N1307" s="61" t="n">
        <v>0.03</v>
      </c>
      <c r="O1307" s="61" t="n">
        <v>0</v>
      </c>
      <c r="P1307" s="62" t="n">
        <v>673.1</v>
      </c>
      <c r="Q1307" s="0" t="n">
        <v>0</v>
      </c>
      <c r="R1307" s="60" t="n">
        <f aca="false">G1307+H1307+I1307</f>
        <v>5.82</v>
      </c>
      <c r="S1307" s="60" t="n">
        <f aca="false">K1307+L1307+M1307+N1307+O1307</f>
        <v>0.36</v>
      </c>
      <c r="T1307" s="60" t="n">
        <f aca="false">L1307+M1307</f>
        <v>0.05</v>
      </c>
      <c r="U1307" s="60" t="n">
        <f aca="false">S1307+J1307</f>
        <v>0.36</v>
      </c>
      <c r="V1307" s="63" t="n">
        <f aca="false">IFERROR(S1307/F1307,0)</f>
        <v>0.058252427184466</v>
      </c>
      <c r="W1307" s="63" t="n">
        <f aca="false">IFERROR(R1307/F1307,0)</f>
        <v>0.941747572815534</v>
      </c>
      <c r="X1307" s="63" t="n">
        <f aca="false">IFERROR(T1307/F1307,0)</f>
        <v>0.00809061488673139</v>
      </c>
      <c r="Y1307" s="63" t="n">
        <f aca="false">IFERROR(G1307/F1307,0)</f>
        <v>0</v>
      </c>
      <c r="Z1307" s="59" t="n">
        <f aca="false">IF(E1307&gt;0,F1307*1000000000/E1307,"")</f>
        <v>2013.59666485834</v>
      </c>
      <c r="AA1307" s="63" t="n">
        <f aca="false">IFERROR((R1307+S1307+J1307)/F1307,0)</f>
        <v>1</v>
      </c>
      <c r="AB1307" s="0" t="str">
        <f aca="false">A1307&amp;"|"&amp;D1307</f>
        <v>Moldova|2020</v>
      </c>
    </row>
    <row r="1308" customFormat="false" ht="15" hidden="false" customHeight="false" outlineLevel="0" collapsed="false">
      <c r="A1308" s="0" t="s">
        <v>305</v>
      </c>
      <c r="B1308" s="0" t="s">
        <v>544</v>
      </c>
      <c r="C1308" s="0" t="s">
        <v>127</v>
      </c>
      <c r="D1308" s="0" t="n">
        <v>2021</v>
      </c>
      <c r="E1308" s="59" t="n">
        <v>3023780</v>
      </c>
      <c r="F1308" s="60" t="n">
        <v>6.66</v>
      </c>
      <c r="G1308" s="61" t="n">
        <v>0</v>
      </c>
      <c r="H1308" s="61" t="n">
        <v>6.18</v>
      </c>
      <c r="I1308" s="61" t="n">
        <v>0.04</v>
      </c>
      <c r="J1308" s="61" t="n">
        <v>0</v>
      </c>
      <c r="K1308" s="61" t="n">
        <v>0.32</v>
      </c>
      <c r="L1308" s="61" t="n">
        <v>0.01</v>
      </c>
      <c r="M1308" s="61" t="n">
        <v>0.08</v>
      </c>
      <c r="N1308" s="61" t="n">
        <v>0.03</v>
      </c>
      <c r="O1308" s="61" t="n">
        <v>0</v>
      </c>
      <c r="P1308" s="62" t="n">
        <v>668.2</v>
      </c>
      <c r="Q1308" s="0" t="n">
        <v>0</v>
      </c>
      <c r="R1308" s="60" t="n">
        <f aca="false">G1308+H1308+I1308</f>
        <v>6.22</v>
      </c>
      <c r="S1308" s="60" t="n">
        <f aca="false">K1308+L1308+M1308+N1308+O1308</f>
        <v>0.44</v>
      </c>
      <c r="T1308" s="60" t="n">
        <f aca="false">L1308+M1308</f>
        <v>0.09</v>
      </c>
      <c r="U1308" s="60" t="n">
        <f aca="false">S1308+J1308</f>
        <v>0.44</v>
      </c>
      <c r="V1308" s="63" t="n">
        <f aca="false">IFERROR(S1308/F1308,0)</f>
        <v>0.0660660660660661</v>
      </c>
      <c r="W1308" s="63" t="n">
        <f aca="false">IFERROR(R1308/F1308,0)</f>
        <v>0.933933933933934</v>
      </c>
      <c r="X1308" s="63" t="n">
        <f aca="false">IFERROR(T1308/F1308,0)</f>
        <v>0.0135135135135135</v>
      </c>
      <c r="Y1308" s="63" t="n">
        <f aca="false">IFERROR(G1308/F1308,0)</f>
        <v>0</v>
      </c>
      <c r="Z1308" s="59" t="n">
        <f aca="false">IF(E1308&gt;0,F1308*1000000000/E1308,"")</f>
        <v>2202.54119016595</v>
      </c>
      <c r="AA1308" s="63" t="n">
        <f aca="false">IFERROR((R1308+S1308+J1308)/F1308,0)</f>
        <v>1</v>
      </c>
      <c r="AB1308" s="0" t="str">
        <f aca="false">A1308&amp;"|"&amp;D1308</f>
        <v>Moldova|2021</v>
      </c>
    </row>
    <row r="1309" customFormat="false" ht="15" hidden="false" customHeight="false" outlineLevel="0" collapsed="false">
      <c r="A1309" s="0" t="s">
        <v>305</v>
      </c>
      <c r="B1309" s="0" t="s">
        <v>544</v>
      </c>
      <c r="C1309" s="0" t="s">
        <v>127</v>
      </c>
      <c r="D1309" s="0" t="n">
        <v>2022</v>
      </c>
      <c r="E1309" s="59" t="n">
        <v>3039986</v>
      </c>
      <c r="F1309" s="60" t="n">
        <v>5.33</v>
      </c>
      <c r="G1309" s="61" t="n">
        <v>0</v>
      </c>
      <c r="H1309" s="61" t="n">
        <v>4.63</v>
      </c>
      <c r="I1309" s="61" t="n">
        <v>0.19</v>
      </c>
      <c r="J1309" s="61" t="n">
        <v>0</v>
      </c>
      <c r="K1309" s="61" t="n">
        <v>0.29</v>
      </c>
      <c r="L1309" s="61" t="n">
        <v>0.05</v>
      </c>
      <c r="M1309" s="61" t="n">
        <v>0.14</v>
      </c>
      <c r="N1309" s="61" t="n">
        <v>0.03</v>
      </c>
      <c r="O1309" s="61" t="n">
        <v>0</v>
      </c>
      <c r="P1309" s="62" t="n">
        <v>647.3</v>
      </c>
      <c r="Q1309" s="0" t="n">
        <v>0</v>
      </c>
      <c r="R1309" s="60" t="n">
        <f aca="false">G1309+H1309+I1309</f>
        <v>4.82</v>
      </c>
      <c r="S1309" s="60" t="n">
        <f aca="false">K1309+L1309+M1309+N1309+O1309</f>
        <v>0.51</v>
      </c>
      <c r="T1309" s="60" t="n">
        <f aca="false">L1309+M1309</f>
        <v>0.19</v>
      </c>
      <c r="U1309" s="60" t="n">
        <f aca="false">S1309+J1309</f>
        <v>0.51</v>
      </c>
      <c r="V1309" s="63" t="n">
        <f aca="false">IFERROR(S1309/F1309,0)</f>
        <v>0.0956848030018762</v>
      </c>
      <c r="W1309" s="63" t="n">
        <f aca="false">IFERROR(R1309/F1309,0)</f>
        <v>0.904315196998124</v>
      </c>
      <c r="X1309" s="63" t="n">
        <f aca="false">IFERROR(T1309/F1309,0)</f>
        <v>0.0356472795497186</v>
      </c>
      <c r="Y1309" s="63" t="n">
        <f aca="false">IFERROR(G1309/F1309,0)</f>
        <v>0</v>
      </c>
      <c r="Z1309" s="59" t="n">
        <f aca="false">IF(E1309&gt;0,F1309*1000000000/E1309,"")</f>
        <v>1753.29754808081</v>
      </c>
      <c r="AA1309" s="63" t="n">
        <f aca="false">IFERROR((R1309+S1309+J1309)/F1309,0)</f>
        <v>1</v>
      </c>
      <c r="AB1309" s="0" t="str">
        <f aca="false">A1309&amp;"|"&amp;D1309</f>
        <v>Moldova|2022</v>
      </c>
    </row>
    <row r="1310" customFormat="false" ht="15" hidden="false" customHeight="false" outlineLevel="0" collapsed="false">
      <c r="A1310" s="0" t="s">
        <v>305</v>
      </c>
      <c r="B1310" s="0" t="s">
        <v>544</v>
      </c>
      <c r="C1310" s="0" t="s">
        <v>127</v>
      </c>
      <c r="D1310" s="0" t="n">
        <v>2023</v>
      </c>
      <c r="E1310" s="59" t="n">
        <v>3067072</v>
      </c>
      <c r="F1310" s="60" t="n">
        <v>6.35</v>
      </c>
      <c r="G1310" s="61" t="n">
        <v>0</v>
      </c>
      <c r="H1310" s="61" t="n">
        <v>5.44</v>
      </c>
      <c r="I1310" s="61" t="n">
        <v>0.3</v>
      </c>
      <c r="J1310" s="61" t="n">
        <v>0</v>
      </c>
      <c r="K1310" s="61" t="n">
        <v>0.32</v>
      </c>
      <c r="L1310" s="61" t="n">
        <v>0.09</v>
      </c>
      <c r="M1310" s="61" t="n">
        <v>0.19</v>
      </c>
      <c r="N1310" s="61" t="n">
        <v>0.01</v>
      </c>
      <c r="O1310" s="61" t="n">
        <v>0</v>
      </c>
      <c r="P1310" s="62" t="n">
        <v>642.5</v>
      </c>
      <c r="Q1310" s="0" t="n">
        <v>0</v>
      </c>
      <c r="R1310" s="60" t="n">
        <f aca="false">G1310+H1310+I1310</f>
        <v>5.74</v>
      </c>
      <c r="S1310" s="60" t="n">
        <f aca="false">K1310+L1310+M1310+N1310+O1310</f>
        <v>0.61</v>
      </c>
      <c r="T1310" s="60" t="n">
        <f aca="false">L1310+M1310</f>
        <v>0.28</v>
      </c>
      <c r="U1310" s="60" t="n">
        <f aca="false">S1310+J1310</f>
        <v>0.61</v>
      </c>
      <c r="V1310" s="63" t="n">
        <f aca="false">IFERROR(S1310/F1310,0)</f>
        <v>0.0960629921259843</v>
      </c>
      <c r="W1310" s="63" t="n">
        <f aca="false">IFERROR(R1310/F1310,0)</f>
        <v>0.903937007874016</v>
      </c>
      <c r="X1310" s="63" t="n">
        <f aca="false">IFERROR(T1310/F1310,0)</f>
        <v>0.0440944881889764</v>
      </c>
      <c r="Y1310" s="63" t="n">
        <f aca="false">IFERROR(G1310/F1310,0)</f>
        <v>0</v>
      </c>
      <c r="Z1310" s="59" t="n">
        <f aca="false">IF(E1310&gt;0,F1310*1000000000/E1310,"")</f>
        <v>2070.37852388206</v>
      </c>
      <c r="AA1310" s="63" t="n">
        <f aca="false">IFERROR((R1310+S1310+J1310)/F1310,0)</f>
        <v>1</v>
      </c>
      <c r="AB1310" s="0" t="str">
        <f aca="false">A1310&amp;"|"&amp;D1310</f>
        <v>Moldova|2023</v>
      </c>
    </row>
    <row r="1311" customFormat="false" ht="15" hidden="false" customHeight="false" outlineLevel="0" collapsed="false">
      <c r="A1311" s="0" t="s">
        <v>305</v>
      </c>
      <c r="B1311" s="0" t="s">
        <v>544</v>
      </c>
      <c r="C1311" s="0" t="s">
        <v>127</v>
      </c>
      <c r="D1311" s="0" t="n">
        <v>2024</v>
      </c>
      <c r="E1311" s="59" t="n">
        <v>3034967</v>
      </c>
      <c r="F1311" s="60" t="n">
        <v>6.07</v>
      </c>
      <c r="G1311" s="61" t="n">
        <v>0</v>
      </c>
      <c r="H1311" s="61" t="n">
        <v>5.2</v>
      </c>
      <c r="I1311" s="61" t="n">
        <v>0.22</v>
      </c>
      <c r="J1311" s="61" t="n">
        <v>0</v>
      </c>
      <c r="K1311" s="61" t="n">
        <v>0.32</v>
      </c>
      <c r="L1311" s="61" t="n">
        <v>0.1</v>
      </c>
      <c r="M1311" s="61" t="n">
        <v>0.21</v>
      </c>
      <c r="N1311" s="61" t="n">
        <v>0.02</v>
      </c>
      <c r="O1311" s="61" t="n">
        <v>0</v>
      </c>
      <c r="P1311" s="62" t="n">
        <v>634.3</v>
      </c>
      <c r="Q1311" s="0" t="n">
        <v>0</v>
      </c>
      <c r="R1311" s="60" t="n">
        <f aca="false">G1311+H1311+I1311</f>
        <v>5.42</v>
      </c>
      <c r="S1311" s="60" t="n">
        <f aca="false">K1311+L1311+M1311+N1311+O1311</f>
        <v>0.65</v>
      </c>
      <c r="T1311" s="60" t="n">
        <f aca="false">L1311+M1311</f>
        <v>0.31</v>
      </c>
      <c r="U1311" s="60" t="n">
        <f aca="false">S1311+J1311</f>
        <v>0.65</v>
      </c>
      <c r="V1311" s="63" t="n">
        <f aca="false">IFERROR(S1311/F1311,0)</f>
        <v>0.107084019769358</v>
      </c>
      <c r="W1311" s="63" t="n">
        <f aca="false">IFERROR(R1311/F1311,0)</f>
        <v>0.892915980230642</v>
      </c>
      <c r="X1311" s="63" t="n">
        <f aca="false">IFERROR(T1311/F1311,0)</f>
        <v>0.0510708401976936</v>
      </c>
      <c r="Y1311" s="63" t="n">
        <f aca="false">IFERROR(G1311/F1311,0)</f>
        <v>0</v>
      </c>
      <c r="Z1311" s="59" t="n">
        <f aca="false">IF(E1311&gt;0,F1311*1000000000/E1311,"")</f>
        <v>2000.0217465297</v>
      </c>
      <c r="AA1311" s="63" t="n">
        <f aca="false">IFERROR((R1311+S1311+J1311)/F1311,0)</f>
        <v>1</v>
      </c>
      <c r="AB1311" s="0" t="str">
        <f aca="false">A1311&amp;"|"&amp;D1311</f>
        <v>Moldova|2024</v>
      </c>
    </row>
    <row r="1312" customFormat="false" ht="15" hidden="false" customHeight="false" outlineLevel="0" collapsed="false">
      <c r="A1312" s="0" t="s">
        <v>305</v>
      </c>
      <c r="B1312" s="0" t="s">
        <v>544</v>
      </c>
      <c r="C1312" s="0" t="s">
        <v>127</v>
      </c>
      <c r="D1312" s="0" t="n">
        <v>2025</v>
      </c>
      <c r="E1312" s="59" t="n">
        <v>2996104</v>
      </c>
      <c r="F1312" s="60" t="n">
        <v>6.16</v>
      </c>
      <c r="G1312" s="61" t="n">
        <v>0</v>
      </c>
      <c r="H1312" s="61" t="n">
        <v>5.25</v>
      </c>
      <c r="I1312" s="61" t="n">
        <v>0.22</v>
      </c>
      <c r="J1312" s="61" t="n">
        <v>0</v>
      </c>
      <c r="K1312" s="61" t="n">
        <v>0.35</v>
      </c>
      <c r="L1312" s="61" t="n">
        <v>0.16</v>
      </c>
      <c r="M1312" s="61" t="n">
        <v>0.16</v>
      </c>
      <c r="N1312" s="61" t="n">
        <v>0.02</v>
      </c>
      <c r="O1312" s="61" t="n">
        <v>0</v>
      </c>
      <c r="P1312" s="62" t="n">
        <v>633.1</v>
      </c>
      <c r="Q1312" s="0" t="n">
        <v>0</v>
      </c>
      <c r="R1312" s="60" t="n">
        <f aca="false">G1312+H1312+I1312</f>
        <v>5.47</v>
      </c>
      <c r="S1312" s="60" t="n">
        <f aca="false">K1312+L1312+M1312+N1312+O1312</f>
        <v>0.69</v>
      </c>
      <c r="T1312" s="60" t="n">
        <f aca="false">L1312+M1312</f>
        <v>0.32</v>
      </c>
      <c r="U1312" s="60" t="n">
        <f aca="false">S1312+J1312</f>
        <v>0.69</v>
      </c>
      <c r="V1312" s="63" t="n">
        <f aca="false">IFERROR(S1312/F1312,0)</f>
        <v>0.112012987012987</v>
      </c>
      <c r="W1312" s="63" t="n">
        <f aca="false">IFERROR(R1312/F1312,0)</f>
        <v>0.887987012987013</v>
      </c>
      <c r="X1312" s="63" t="n">
        <f aca="false">IFERROR(T1312/F1312,0)</f>
        <v>0.0519480519480519</v>
      </c>
      <c r="Y1312" s="63" t="n">
        <f aca="false">IFERROR(G1312/F1312,0)</f>
        <v>0</v>
      </c>
      <c r="Z1312" s="59" t="n">
        <f aca="false">IF(E1312&gt;0,F1312*1000000000/E1312,"")</f>
        <v>2056.00339641081</v>
      </c>
      <c r="AA1312" s="63" t="n">
        <f aca="false">IFERROR((R1312+S1312+J1312)/F1312,0)</f>
        <v>1</v>
      </c>
      <c r="AB1312" s="0" t="str">
        <f aca="false">A1312&amp;"|"&amp;D1312</f>
        <v>Moldova|2025</v>
      </c>
    </row>
    <row r="1313" customFormat="false" ht="15" hidden="false" customHeight="false" outlineLevel="0" collapsed="false">
      <c r="A1313" s="0" t="s">
        <v>306</v>
      </c>
      <c r="B1313" s="0" t="s">
        <v>545</v>
      </c>
      <c r="C1313" s="0" t="s">
        <v>127</v>
      </c>
      <c r="D1313" s="0" t="n">
        <v>2015</v>
      </c>
      <c r="E1313" s="59" t="n">
        <v>2976528</v>
      </c>
      <c r="F1313" s="60" t="n">
        <v>5.51</v>
      </c>
      <c r="G1313" s="61" t="n">
        <v>5.06</v>
      </c>
      <c r="H1313" s="61" t="n">
        <v>0</v>
      </c>
      <c r="I1313" s="61" t="n">
        <v>0.23</v>
      </c>
      <c r="J1313" s="61" t="n">
        <v>0</v>
      </c>
      <c r="K1313" s="61" t="n">
        <v>0.06</v>
      </c>
      <c r="L1313" s="61" t="n">
        <v>0.01</v>
      </c>
      <c r="M1313" s="61" t="n">
        <v>0.15</v>
      </c>
      <c r="N1313" s="61" t="n">
        <v>0</v>
      </c>
      <c r="O1313" s="61" t="n">
        <v>0</v>
      </c>
      <c r="P1313" s="62" t="n">
        <v>867.5</v>
      </c>
      <c r="Q1313" s="0" t="n">
        <v>0</v>
      </c>
      <c r="R1313" s="60" t="n">
        <f aca="false">G1313+H1313+I1313</f>
        <v>5.29</v>
      </c>
      <c r="S1313" s="60" t="n">
        <f aca="false">K1313+L1313+M1313+N1313+O1313</f>
        <v>0.22</v>
      </c>
      <c r="T1313" s="60" t="n">
        <f aca="false">L1313+M1313</f>
        <v>0.16</v>
      </c>
      <c r="U1313" s="60" t="n">
        <f aca="false">S1313+J1313</f>
        <v>0.22</v>
      </c>
      <c r="V1313" s="63" t="n">
        <f aca="false">IFERROR(S1313/F1313,0)</f>
        <v>0.0399274047186933</v>
      </c>
      <c r="W1313" s="63" t="n">
        <f aca="false">IFERROR(R1313/F1313,0)</f>
        <v>0.960072595281307</v>
      </c>
      <c r="X1313" s="63" t="n">
        <f aca="false">IFERROR(T1313/F1313,0)</f>
        <v>0.029038112522686</v>
      </c>
      <c r="Y1313" s="63" t="n">
        <f aca="false">IFERROR(G1313/F1313,0)</f>
        <v>0.918330308529946</v>
      </c>
      <c r="Z1313" s="59" t="n">
        <f aca="false">IF(E1313&gt;0,F1313*1000000000/E1313,"")</f>
        <v>1851.15006477345</v>
      </c>
      <c r="AA1313" s="63" t="n">
        <f aca="false">IFERROR((R1313+S1313+J1313)/F1313,0)</f>
        <v>1</v>
      </c>
      <c r="AB1313" s="0" t="str">
        <f aca="false">A1313&amp;"|"&amp;D1313</f>
        <v>Mongolia|2015</v>
      </c>
    </row>
    <row r="1314" customFormat="false" ht="15" hidden="false" customHeight="false" outlineLevel="0" collapsed="false">
      <c r="A1314" s="0" t="s">
        <v>306</v>
      </c>
      <c r="B1314" s="0" t="s">
        <v>545</v>
      </c>
      <c r="C1314" s="0" t="s">
        <v>127</v>
      </c>
      <c r="D1314" s="0" t="n">
        <v>2016</v>
      </c>
      <c r="E1314" s="59" t="n">
        <v>3040815</v>
      </c>
      <c r="F1314" s="60" t="n">
        <v>5.67</v>
      </c>
      <c r="G1314" s="61" t="n">
        <v>5.23</v>
      </c>
      <c r="H1314" s="61" t="n">
        <v>0</v>
      </c>
      <c r="I1314" s="61" t="n">
        <v>0.19</v>
      </c>
      <c r="J1314" s="61" t="n">
        <v>0</v>
      </c>
      <c r="K1314" s="61" t="n">
        <v>0.09</v>
      </c>
      <c r="L1314" s="61" t="n">
        <v>0.01</v>
      </c>
      <c r="M1314" s="61" t="n">
        <v>0.15</v>
      </c>
      <c r="N1314" s="61" t="n">
        <v>0</v>
      </c>
      <c r="O1314" s="61" t="n">
        <v>0</v>
      </c>
      <c r="P1314" s="62" t="n">
        <v>867.7</v>
      </c>
      <c r="Q1314" s="0" t="n">
        <v>0</v>
      </c>
      <c r="R1314" s="60" t="n">
        <f aca="false">G1314+H1314+I1314</f>
        <v>5.42</v>
      </c>
      <c r="S1314" s="60" t="n">
        <f aca="false">K1314+L1314+M1314+N1314+O1314</f>
        <v>0.25</v>
      </c>
      <c r="T1314" s="60" t="n">
        <f aca="false">L1314+M1314</f>
        <v>0.16</v>
      </c>
      <c r="U1314" s="60" t="n">
        <f aca="false">S1314+J1314</f>
        <v>0.25</v>
      </c>
      <c r="V1314" s="63" t="n">
        <f aca="false">IFERROR(S1314/F1314,0)</f>
        <v>0.0440917107583774</v>
      </c>
      <c r="W1314" s="63" t="n">
        <f aca="false">IFERROR(R1314/F1314,0)</f>
        <v>0.955908289241623</v>
      </c>
      <c r="X1314" s="63" t="n">
        <f aca="false">IFERROR(T1314/F1314,0)</f>
        <v>0.0282186948853616</v>
      </c>
      <c r="Y1314" s="63" t="n">
        <f aca="false">IFERROR(G1314/F1314,0)</f>
        <v>0.922398589065256</v>
      </c>
      <c r="Z1314" s="59" t="n">
        <f aca="false">IF(E1314&gt;0,F1314*1000000000/E1314,"")</f>
        <v>1864.63168591315</v>
      </c>
      <c r="AA1314" s="63" t="n">
        <f aca="false">IFERROR((R1314+S1314+J1314)/F1314,0)</f>
        <v>1</v>
      </c>
      <c r="AB1314" s="0" t="str">
        <f aca="false">A1314&amp;"|"&amp;D1314</f>
        <v>Mongolia|2016</v>
      </c>
    </row>
    <row r="1315" customFormat="false" ht="15" hidden="false" customHeight="false" outlineLevel="0" collapsed="false">
      <c r="A1315" s="0" t="s">
        <v>306</v>
      </c>
      <c r="B1315" s="0" t="s">
        <v>545</v>
      </c>
      <c r="C1315" s="0" t="s">
        <v>127</v>
      </c>
      <c r="D1315" s="0" t="n">
        <v>2017</v>
      </c>
      <c r="E1315" s="59" t="n">
        <v>3104371</v>
      </c>
      <c r="F1315" s="60" t="n">
        <v>6.03</v>
      </c>
      <c r="G1315" s="61" t="n">
        <v>5.5</v>
      </c>
      <c r="H1315" s="61" t="n">
        <v>0</v>
      </c>
      <c r="I1315" s="61" t="n">
        <v>0.28</v>
      </c>
      <c r="J1315" s="61" t="n">
        <v>0</v>
      </c>
      <c r="K1315" s="61" t="n">
        <v>0.08</v>
      </c>
      <c r="L1315" s="61" t="n">
        <v>0.03</v>
      </c>
      <c r="M1315" s="61" t="n">
        <v>0.14</v>
      </c>
      <c r="N1315" s="61" t="n">
        <v>0</v>
      </c>
      <c r="O1315" s="61" t="n">
        <v>0</v>
      </c>
      <c r="P1315" s="62" t="n">
        <v>865.7</v>
      </c>
      <c r="Q1315" s="0" t="n">
        <v>0</v>
      </c>
      <c r="R1315" s="60" t="n">
        <f aca="false">G1315+H1315+I1315</f>
        <v>5.78</v>
      </c>
      <c r="S1315" s="60" t="n">
        <f aca="false">K1315+L1315+M1315+N1315+O1315</f>
        <v>0.25</v>
      </c>
      <c r="T1315" s="60" t="n">
        <f aca="false">L1315+M1315</f>
        <v>0.17</v>
      </c>
      <c r="U1315" s="60" t="n">
        <f aca="false">S1315+J1315</f>
        <v>0.25</v>
      </c>
      <c r="V1315" s="63" t="n">
        <f aca="false">IFERROR(S1315/F1315,0)</f>
        <v>0.0414593698175788</v>
      </c>
      <c r="W1315" s="63" t="n">
        <f aca="false">IFERROR(R1315/F1315,0)</f>
        <v>0.958540630182421</v>
      </c>
      <c r="X1315" s="63" t="n">
        <f aca="false">IFERROR(T1315/F1315,0)</f>
        <v>0.0281923714759536</v>
      </c>
      <c r="Y1315" s="63" t="n">
        <f aca="false">IFERROR(G1315/F1315,0)</f>
        <v>0.912106135986733</v>
      </c>
      <c r="Z1315" s="59" t="n">
        <f aca="false">IF(E1315&gt;0,F1315*1000000000/E1315,"")</f>
        <v>1942.42247463335</v>
      </c>
      <c r="AA1315" s="63" t="n">
        <f aca="false">IFERROR((R1315+S1315+J1315)/F1315,0)</f>
        <v>1</v>
      </c>
      <c r="AB1315" s="0" t="str">
        <f aca="false">A1315&amp;"|"&amp;D1315</f>
        <v>Mongolia|2017</v>
      </c>
    </row>
    <row r="1316" customFormat="false" ht="15" hidden="false" customHeight="false" outlineLevel="0" collapsed="false">
      <c r="A1316" s="0" t="s">
        <v>306</v>
      </c>
      <c r="B1316" s="0" t="s">
        <v>545</v>
      </c>
      <c r="C1316" s="0" t="s">
        <v>127</v>
      </c>
      <c r="D1316" s="0" t="n">
        <v>2018</v>
      </c>
      <c r="E1316" s="59" t="n">
        <v>3167714</v>
      </c>
      <c r="F1316" s="60" t="n">
        <v>6.57</v>
      </c>
      <c r="G1316" s="61" t="n">
        <v>5.83</v>
      </c>
      <c r="H1316" s="61" t="n">
        <v>0</v>
      </c>
      <c r="I1316" s="61" t="n">
        <v>0.3</v>
      </c>
      <c r="J1316" s="61" t="n">
        <v>0</v>
      </c>
      <c r="K1316" s="61" t="n">
        <v>0.08</v>
      </c>
      <c r="L1316" s="61" t="n">
        <v>0.06</v>
      </c>
      <c r="M1316" s="61" t="n">
        <v>0.3</v>
      </c>
      <c r="N1316" s="61" t="n">
        <v>0</v>
      </c>
      <c r="O1316" s="61" t="n">
        <v>0</v>
      </c>
      <c r="P1316" s="62" t="n">
        <v>843.2</v>
      </c>
      <c r="Q1316" s="0" t="n">
        <v>0</v>
      </c>
      <c r="R1316" s="60" t="n">
        <f aca="false">G1316+H1316+I1316</f>
        <v>6.13</v>
      </c>
      <c r="S1316" s="60" t="n">
        <f aca="false">K1316+L1316+M1316+N1316+O1316</f>
        <v>0.44</v>
      </c>
      <c r="T1316" s="60" t="n">
        <f aca="false">L1316+M1316</f>
        <v>0.36</v>
      </c>
      <c r="U1316" s="60" t="n">
        <f aca="false">S1316+J1316</f>
        <v>0.44</v>
      </c>
      <c r="V1316" s="63" t="n">
        <f aca="false">IFERROR(S1316/F1316,0)</f>
        <v>0.0669710806697108</v>
      </c>
      <c r="W1316" s="63" t="n">
        <f aca="false">IFERROR(R1316/F1316,0)</f>
        <v>0.933028919330289</v>
      </c>
      <c r="X1316" s="63" t="n">
        <f aca="false">IFERROR(T1316/F1316,0)</f>
        <v>0.0547945205479452</v>
      </c>
      <c r="Y1316" s="63" t="n">
        <f aca="false">IFERROR(G1316/F1316,0)</f>
        <v>0.887366818873668</v>
      </c>
      <c r="Z1316" s="59" t="n">
        <f aca="false">IF(E1316&gt;0,F1316*1000000000/E1316,"")</f>
        <v>2074.05087706782</v>
      </c>
      <c r="AA1316" s="63" t="n">
        <f aca="false">IFERROR((R1316+S1316+J1316)/F1316,0)</f>
        <v>1</v>
      </c>
      <c r="AB1316" s="0" t="str">
        <f aca="false">A1316&amp;"|"&amp;D1316</f>
        <v>Mongolia|2018</v>
      </c>
    </row>
    <row r="1317" customFormat="false" ht="15" hidden="false" customHeight="false" outlineLevel="0" collapsed="false">
      <c r="A1317" s="0" t="s">
        <v>306</v>
      </c>
      <c r="B1317" s="0" t="s">
        <v>545</v>
      </c>
      <c r="C1317" s="0" t="s">
        <v>127</v>
      </c>
      <c r="D1317" s="0" t="n">
        <v>2019</v>
      </c>
      <c r="E1317" s="59" t="n">
        <v>3232118</v>
      </c>
      <c r="F1317" s="60" t="n">
        <v>6.94</v>
      </c>
      <c r="G1317" s="61" t="n">
        <v>5.88</v>
      </c>
      <c r="H1317" s="61" t="n">
        <v>0</v>
      </c>
      <c r="I1317" s="61" t="n">
        <v>0.37</v>
      </c>
      <c r="J1317" s="61" t="n">
        <v>0</v>
      </c>
      <c r="K1317" s="61" t="n">
        <v>0.09</v>
      </c>
      <c r="L1317" s="61" t="n">
        <v>0.12</v>
      </c>
      <c r="M1317" s="61" t="n">
        <v>0.48</v>
      </c>
      <c r="N1317" s="61" t="n">
        <v>0</v>
      </c>
      <c r="O1317" s="61" t="n">
        <v>0</v>
      </c>
      <c r="P1317" s="62" t="n">
        <v>812.7</v>
      </c>
      <c r="Q1317" s="0" t="n">
        <v>0</v>
      </c>
      <c r="R1317" s="60" t="n">
        <f aca="false">G1317+H1317+I1317</f>
        <v>6.25</v>
      </c>
      <c r="S1317" s="60" t="n">
        <f aca="false">K1317+L1317+M1317+N1317+O1317</f>
        <v>0.69</v>
      </c>
      <c r="T1317" s="60" t="n">
        <f aca="false">L1317+M1317</f>
        <v>0.6</v>
      </c>
      <c r="U1317" s="60" t="n">
        <f aca="false">S1317+J1317</f>
        <v>0.69</v>
      </c>
      <c r="V1317" s="63" t="n">
        <f aca="false">IFERROR(S1317/F1317,0)</f>
        <v>0.0994236311239193</v>
      </c>
      <c r="W1317" s="63" t="n">
        <f aca="false">IFERROR(R1317/F1317,0)</f>
        <v>0.900576368876081</v>
      </c>
      <c r="X1317" s="63" t="n">
        <f aca="false">IFERROR(T1317/F1317,0)</f>
        <v>0.0864553314121037</v>
      </c>
      <c r="Y1317" s="63" t="n">
        <f aca="false">IFERROR(G1317/F1317,0)</f>
        <v>0.847262247838617</v>
      </c>
      <c r="Z1317" s="59" t="n">
        <f aca="false">IF(E1317&gt;0,F1317*1000000000/E1317,"")</f>
        <v>2147.19883370595</v>
      </c>
      <c r="AA1317" s="63" t="n">
        <f aca="false">IFERROR((R1317+S1317+J1317)/F1317,0)</f>
        <v>1</v>
      </c>
      <c r="AB1317" s="0" t="str">
        <f aca="false">A1317&amp;"|"&amp;D1317</f>
        <v>Mongolia|2019</v>
      </c>
    </row>
    <row r="1318" customFormat="false" ht="15" hidden="false" customHeight="false" outlineLevel="0" collapsed="false">
      <c r="A1318" s="0" t="s">
        <v>306</v>
      </c>
      <c r="B1318" s="0" t="s">
        <v>545</v>
      </c>
      <c r="C1318" s="0" t="s">
        <v>127</v>
      </c>
      <c r="D1318" s="0" t="n">
        <v>2020</v>
      </c>
      <c r="E1318" s="59" t="n">
        <v>3290786</v>
      </c>
      <c r="F1318" s="60" t="n">
        <v>6.64</v>
      </c>
      <c r="G1318" s="61" t="n">
        <v>5.61</v>
      </c>
      <c r="H1318" s="61" t="n">
        <v>0</v>
      </c>
      <c r="I1318" s="61" t="n">
        <v>0.35</v>
      </c>
      <c r="J1318" s="61" t="n">
        <v>0</v>
      </c>
      <c r="K1318" s="61" t="n">
        <v>0.08</v>
      </c>
      <c r="L1318" s="61" t="n">
        <v>0.12</v>
      </c>
      <c r="M1318" s="61" t="n">
        <v>0.48</v>
      </c>
      <c r="N1318" s="61" t="n">
        <v>0</v>
      </c>
      <c r="O1318" s="61" t="n">
        <v>0</v>
      </c>
      <c r="P1318" s="62" t="n">
        <v>810.2</v>
      </c>
      <c r="Q1318" s="0" t="n">
        <v>0</v>
      </c>
      <c r="R1318" s="60" t="n">
        <f aca="false">G1318+H1318+I1318</f>
        <v>5.96</v>
      </c>
      <c r="S1318" s="60" t="n">
        <f aca="false">K1318+L1318+M1318+N1318+O1318</f>
        <v>0.68</v>
      </c>
      <c r="T1318" s="60" t="n">
        <f aca="false">L1318+M1318</f>
        <v>0.6</v>
      </c>
      <c r="U1318" s="60" t="n">
        <f aca="false">S1318+J1318</f>
        <v>0.68</v>
      </c>
      <c r="V1318" s="63" t="n">
        <f aca="false">IFERROR(S1318/F1318,0)</f>
        <v>0.102409638554217</v>
      </c>
      <c r="W1318" s="63" t="n">
        <f aca="false">IFERROR(R1318/F1318,0)</f>
        <v>0.897590361445783</v>
      </c>
      <c r="X1318" s="63" t="n">
        <f aca="false">IFERROR(T1318/F1318,0)</f>
        <v>0.0903614457831325</v>
      </c>
      <c r="Y1318" s="63" t="n">
        <f aca="false">IFERROR(G1318/F1318,0)</f>
        <v>0.844879518072289</v>
      </c>
      <c r="Z1318" s="59" t="n">
        <f aca="false">IF(E1318&gt;0,F1318*1000000000/E1318,"")</f>
        <v>2017.75502873782</v>
      </c>
      <c r="AA1318" s="63" t="n">
        <f aca="false">IFERROR((R1318+S1318+J1318)/F1318,0)</f>
        <v>1</v>
      </c>
      <c r="AB1318" s="0" t="str">
        <f aca="false">A1318&amp;"|"&amp;D1318</f>
        <v>Mongolia|2020</v>
      </c>
    </row>
    <row r="1319" customFormat="false" ht="15" hidden="false" customHeight="false" outlineLevel="0" collapsed="false">
      <c r="A1319" s="0" t="s">
        <v>306</v>
      </c>
      <c r="B1319" s="0" t="s">
        <v>545</v>
      </c>
      <c r="C1319" s="0" t="s">
        <v>127</v>
      </c>
      <c r="D1319" s="0" t="n">
        <v>2021</v>
      </c>
      <c r="E1319" s="59" t="n">
        <v>3339676</v>
      </c>
      <c r="F1319" s="60" t="n">
        <v>7.44</v>
      </c>
      <c r="G1319" s="61" t="n">
        <v>6.27</v>
      </c>
      <c r="H1319" s="61" t="n">
        <v>0</v>
      </c>
      <c r="I1319" s="61" t="n">
        <v>0.34</v>
      </c>
      <c r="J1319" s="61" t="n">
        <v>0</v>
      </c>
      <c r="K1319" s="61" t="n">
        <v>0.08</v>
      </c>
      <c r="L1319" s="61" t="n">
        <v>0.17</v>
      </c>
      <c r="M1319" s="61" t="n">
        <v>0.58</v>
      </c>
      <c r="N1319" s="61" t="n">
        <v>0</v>
      </c>
      <c r="O1319" s="61" t="n">
        <v>0</v>
      </c>
      <c r="P1319" s="62" t="n">
        <v>802.4</v>
      </c>
      <c r="Q1319" s="0" t="n">
        <v>0</v>
      </c>
      <c r="R1319" s="60" t="n">
        <f aca="false">G1319+H1319+I1319</f>
        <v>6.61</v>
      </c>
      <c r="S1319" s="60" t="n">
        <f aca="false">K1319+L1319+M1319+N1319+O1319</f>
        <v>0.83</v>
      </c>
      <c r="T1319" s="60" t="n">
        <f aca="false">L1319+M1319</f>
        <v>0.75</v>
      </c>
      <c r="U1319" s="60" t="n">
        <f aca="false">S1319+J1319</f>
        <v>0.83</v>
      </c>
      <c r="V1319" s="63" t="n">
        <f aca="false">IFERROR(S1319/F1319,0)</f>
        <v>0.111559139784946</v>
      </c>
      <c r="W1319" s="63" t="n">
        <f aca="false">IFERROR(R1319/F1319,0)</f>
        <v>0.888440860215054</v>
      </c>
      <c r="X1319" s="63" t="n">
        <f aca="false">IFERROR(T1319/F1319,0)</f>
        <v>0.100806451612903</v>
      </c>
      <c r="Y1319" s="63" t="n">
        <f aca="false">IFERROR(G1319/F1319,0)</f>
        <v>0.842741935483871</v>
      </c>
      <c r="Z1319" s="59" t="n">
        <f aca="false">IF(E1319&gt;0,F1319*1000000000/E1319,"")</f>
        <v>2227.76101633811</v>
      </c>
      <c r="AA1319" s="63" t="n">
        <f aca="false">IFERROR((R1319+S1319+J1319)/F1319,0)</f>
        <v>1</v>
      </c>
      <c r="AB1319" s="0" t="str">
        <f aca="false">A1319&amp;"|"&amp;D1319</f>
        <v>Mongolia|2021</v>
      </c>
    </row>
    <row r="1320" customFormat="false" ht="15" hidden="false" customHeight="false" outlineLevel="0" collapsed="false">
      <c r="A1320" s="0" t="s">
        <v>306</v>
      </c>
      <c r="B1320" s="0" t="s">
        <v>545</v>
      </c>
      <c r="C1320" s="0" t="s">
        <v>127</v>
      </c>
      <c r="D1320" s="0" t="n">
        <v>2022</v>
      </c>
      <c r="E1320" s="59" t="n">
        <v>3386015</v>
      </c>
      <c r="F1320" s="60" t="n">
        <v>7.75</v>
      </c>
      <c r="G1320" s="61" t="n">
        <v>6.65</v>
      </c>
      <c r="H1320" s="61" t="n">
        <v>0</v>
      </c>
      <c r="I1320" s="61" t="n">
        <v>0.34</v>
      </c>
      <c r="J1320" s="61" t="n">
        <v>0</v>
      </c>
      <c r="K1320" s="61" t="n">
        <v>0.06</v>
      </c>
      <c r="L1320" s="61" t="n">
        <v>0.19</v>
      </c>
      <c r="M1320" s="61" t="n">
        <v>0.51</v>
      </c>
      <c r="N1320" s="61" t="n">
        <v>0</v>
      </c>
      <c r="O1320" s="61" t="n">
        <v>0</v>
      </c>
      <c r="P1320" s="62" t="n">
        <v>814.2</v>
      </c>
      <c r="Q1320" s="0" t="n">
        <v>0</v>
      </c>
      <c r="R1320" s="60" t="n">
        <f aca="false">G1320+H1320+I1320</f>
        <v>6.99</v>
      </c>
      <c r="S1320" s="60" t="n">
        <f aca="false">K1320+L1320+M1320+N1320+O1320</f>
        <v>0.76</v>
      </c>
      <c r="T1320" s="60" t="n">
        <f aca="false">L1320+M1320</f>
        <v>0.7</v>
      </c>
      <c r="U1320" s="60" t="n">
        <f aca="false">S1320+J1320</f>
        <v>0.76</v>
      </c>
      <c r="V1320" s="63" t="n">
        <f aca="false">IFERROR(S1320/F1320,0)</f>
        <v>0.0980645161290323</v>
      </c>
      <c r="W1320" s="63" t="n">
        <f aca="false">IFERROR(R1320/F1320,0)</f>
        <v>0.901935483870968</v>
      </c>
      <c r="X1320" s="63" t="n">
        <f aca="false">IFERROR(T1320/F1320,0)</f>
        <v>0.0903225806451613</v>
      </c>
      <c r="Y1320" s="63" t="n">
        <f aca="false">IFERROR(G1320/F1320,0)</f>
        <v>0.858064516129032</v>
      </c>
      <c r="Z1320" s="59" t="n">
        <f aca="false">IF(E1320&gt;0,F1320*1000000000/E1320,"")</f>
        <v>2288.82624560139</v>
      </c>
      <c r="AA1320" s="63" t="n">
        <f aca="false">IFERROR((R1320+S1320+J1320)/F1320,0)</f>
        <v>1</v>
      </c>
      <c r="AB1320" s="0" t="str">
        <f aca="false">A1320&amp;"|"&amp;D1320</f>
        <v>Mongolia|2022</v>
      </c>
    </row>
    <row r="1321" customFormat="false" ht="15" hidden="false" customHeight="false" outlineLevel="0" collapsed="false">
      <c r="A1321" s="0" t="s">
        <v>306</v>
      </c>
      <c r="B1321" s="0" t="s">
        <v>545</v>
      </c>
      <c r="C1321" s="0" t="s">
        <v>127</v>
      </c>
      <c r="D1321" s="0" t="n">
        <v>2023</v>
      </c>
      <c r="E1321" s="59" t="n">
        <v>3431938</v>
      </c>
      <c r="F1321" s="60" t="n">
        <v>8.29</v>
      </c>
      <c r="G1321" s="61" t="n">
        <v>7.06</v>
      </c>
      <c r="H1321" s="61" t="n">
        <v>0</v>
      </c>
      <c r="I1321" s="61" t="n">
        <v>0.47</v>
      </c>
      <c r="J1321" s="61" t="n">
        <v>0</v>
      </c>
      <c r="K1321" s="61" t="n">
        <v>0.06</v>
      </c>
      <c r="L1321" s="61" t="n">
        <v>0.19</v>
      </c>
      <c r="M1321" s="61" t="n">
        <v>0.51</v>
      </c>
      <c r="N1321" s="61" t="n">
        <v>0</v>
      </c>
      <c r="O1321" s="61" t="n">
        <v>0</v>
      </c>
      <c r="P1321" s="62" t="n">
        <v>816.6</v>
      </c>
      <c r="Q1321" s="0" t="n">
        <v>0</v>
      </c>
      <c r="R1321" s="60" t="n">
        <f aca="false">G1321+H1321+I1321</f>
        <v>7.53</v>
      </c>
      <c r="S1321" s="60" t="n">
        <f aca="false">K1321+L1321+M1321+N1321+O1321</f>
        <v>0.76</v>
      </c>
      <c r="T1321" s="60" t="n">
        <f aca="false">L1321+M1321</f>
        <v>0.7</v>
      </c>
      <c r="U1321" s="60" t="n">
        <f aca="false">S1321+J1321</f>
        <v>0.76</v>
      </c>
      <c r="V1321" s="63" t="n">
        <f aca="false">IFERROR(S1321/F1321,0)</f>
        <v>0.0916767189384801</v>
      </c>
      <c r="W1321" s="63" t="n">
        <f aca="false">IFERROR(R1321/F1321,0)</f>
        <v>0.90832328106152</v>
      </c>
      <c r="X1321" s="63" t="n">
        <f aca="false">IFERROR(T1321/F1321,0)</f>
        <v>0.0844390832328106</v>
      </c>
      <c r="Y1321" s="63" t="n">
        <f aca="false">IFERROR(G1321/F1321,0)</f>
        <v>0.851628468033776</v>
      </c>
      <c r="Z1321" s="59" t="n">
        <f aca="false">IF(E1321&gt;0,F1321*1000000000/E1321,"")</f>
        <v>2415.54480296555</v>
      </c>
      <c r="AA1321" s="63" t="n">
        <f aca="false">IFERROR((R1321+S1321+J1321)/F1321,0)</f>
        <v>1</v>
      </c>
      <c r="AB1321" s="0" t="str">
        <f aca="false">A1321&amp;"|"&amp;D1321</f>
        <v>Mongolia|2023</v>
      </c>
    </row>
    <row r="1322" customFormat="false" ht="15" hidden="false" customHeight="false" outlineLevel="0" collapsed="false">
      <c r="A1322" s="0" t="s">
        <v>306</v>
      </c>
      <c r="B1322" s="0" t="s">
        <v>545</v>
      </c>
      <c r="C1322" s="0" t="s">
        <v>127</v>
      </c>
      <c r="D1322" s="0" t="n">
        <v>2024</v>
      </c>
      <c r="E1322" s="59" t="n">
        <v>3475541</v>
      </c>
      <c r="F1322" s="60" t="n">
        <v>8.82</v>
      </c>
      <c r="G1322" s="61" t="n">
        <v>7.47</v>
      </c>
      <c r="H1322" s="61" t="n">
        <v>0</v>
      </c>
      <c r="I1322" s="61" t="n">
        <v>0.57</v>
      </c>
      <c r="J1322" s="61" t="n">
        <v>0</v>
      </c>
      <c r="K1322" s="61" t="n">
        <v>0.06</v>
      </c>
      <c r="L1322" s="61" t="n">
        <v>0.21</v>
      </c>
      <c r="M1322" s="61" t="n">
        <v>0.51</v>
      </c>
      <c r="N1322" s="61" t="n">
        <v>0</v>
      </c>
      <c r="O1322" s="61" t="n">
        <v>0</v>
      </c>
      <c r="P1322" s="62" t="n">
        <v>810.7</v>
      </c>
      <c r="Q1322" s="0" t="n">
        <v>0</v>
      </c>
      <c r="R1322" s="60" t="n">
        <f aca="false">G1322+H1322+I1322</f>
        <v>8.04</v>
      </c>
      <c r="S1322" s="60" t="n">
        <f aca="false">K1322+L1322+M1322+N1322+O1322</f>
        <v>0.78</v>
      </c>
      <c r="T1322" s="60" t="n">
        <f aca="false">L1322+M1322</f>
        <v>0.72</v>
      </c>
      <c r="U1322" s="60" t="n">
        <f aca="false">S1322+J1322</f>
        <v>0.78</v>
      </c>
      <c r="V1322" s="63" t="n">
        <f aca="false">IFERROR(S1322/F1322,0)</f>
        <v>0.0884353741496599</v>
      </c>
      <c r="W1322" s="63" t="n">
        <f aca="false">IFERROR(R1322/F1322,0)</f>
        <v>0.91156462585034</v>
      </c>
      <c r="X1322" s="63" t="n">
        <f aca="false">IFERROR(T1322/F1322,0)</f>
        <v>0.0816326530612245</v>
      </c>
      <c r="Y1322" s="63" t="n">
        <f aca="false">IFERROR(G1322/F1322,0)</f>
        <v>0.846938775510204</v>
      </c>
      <c r="Z1322" s="59" t="n">
        <f aca="false">IF(E1322&gt;0,F1322*1000000000/E1322,"")</f>
        <v>2537.73441314604</v>
      </c>
      <c r="AA1322" s="63" t="n">
        <f aca="false">IFERROR((R1322+S1322+J1322)/F1322,0)</f>
        <v>1</v>
      </c>
      <c r="AB1322" s="0" t="str">
        <f aca="false">A1322&amp;"|"&amp;D1322</f>
        <v>Mongolia|2024</v>
      </c>
    </row>
    <row r="1323" customFormat="false" ht="15" hidden="false" customHeight="false" outlineLevel="0" collapsed="false">
      <c r="A1323" s="0" t="s">
        <v>306</v>
      </c>
      <c r="B1323" s="0" t="s">
        <v>545</v>
      </c>
      <c r="C1323" s="0" t="s">
        <v>127</v>
      </c>
      <c r="D1323" s="0" t="n">
        <v>2025</v>
      </c>
      <c r="E1323" s="59" t="n">
        <v>3517097</v>
      </c>
      <c r="F1323" s="60" t="n">
        <v>9.69</v>
      </c>
      <c r="G1323" s="61" t="n">
        <v>8.31</v>
      </c>
      <c r="H1323" s="61" t="n">
        <v>0</v>
      </c>
      <c r="I1323" s="61" t="n">
        <v>0.57</v>
      </c>
      <c r="J1323" s="61" t="n">
        <v>0</v>
      </c>
      <c r="K1323" s="61" t="n">
        <v>0.06</v>
      </c>
      <c r="L1323" s="61" t="n">
        <v>0.21</v>
      </c>
      <c r="M1323" s="61" t="n">
        <v>0.54</v>
      </c>
      <c r="N1323" s="61" t="n">
        <v>0</v>
      </c>
      <c r="O1323" s="61" t="n">
        <v>0</v>
      </c>
      <c r="P1323" s="62" t="n">
        <v>816.3</v>
      </c>
      <c r="Q1323" s="0" t="n">
        <v>0</v>
      </c>
      <c r="R1323" s="60" t="n">
        <f aca="false">G1323+H1323+I1323</f>
        <v>8.88</v>
      </c>
      <c r="S1323" s="60" t="n">
        <f aca="false">K1323+L1323+M1323+N1323+O1323</f>
        <v>0.81</v>
      </c>
      <c r="T1323" s="60" t="n">
        <f aca="false">L1323+M1323</f>
        <v>0.75</v>
      </c>
      <c r="U1323" s="60" t="n">
        <f aca="false">S1323+J1323</f>
        <v>0.81</v>
      </c>
      <c r="V1323" s="63" t="n">
        <f aca="false">IFERROR(S1323/F1323,0)</f>
        <v>0.0835913312693499</v>
      </c>
      <c r="W1323" s="63" t="n">
        <f aca="false">IFERROR(R1323/F1323,0)</f>
        <v>0.91640866873065</v>
      </c>
      <c r="X1323" s="63" t="n">
        <f aca="false">IFERROR(T1323/F1323,0)</f>
        <v>0.0773993808049536</v>
      </c>
      <c r="Y1323" s="63" t="n">
        <f aca="false">IFERROR(G1323/F1323,0)</f>
        <v>0.857585139318886</v>
      </c>
      <c r="Z1323" s="59" t="n">
        <f aca="false">IF(E1323&gt;0,F1323*1000000000/E1323,"")</f>
        <v>2755.11309469145</v>
      </c>
      <c r="AA1323" s="63" t="n">
        <f aca="false">IFERROR((R1323+S1323+J1323)/F1323,0)</f>
        <v>1</v>
      </c>
      <c r="AB1323" s="0" t="str">
        <f aca="false">A1323&amp;"|"&amp;D1323</f>
        <v>Mongolia|2025</v>
      </c>
    </row>
    <row r="1324" customFormat="false" ht="15" hidden="false" customHeight="false" outlineLevel="0" collapsed="false">
      <c r="A1324" s="0" t="s">
        <v>307</v>
      </c>
      <c r="B1324" s="0" t="s">
        <v>546</v>
      </c>
      <c r="C1324" s="0" t="s">
        <v>127</v>
      </c>
      <c r="D1324" s="0" t="n">
        <v>2015</v>
      </c>
      <c r="E1324" s="59" t="n">
        <v>628145</v>
      </c>
      <c r="F1324" s="60" t="n">
        <v>3</v>
      </c>
      <c r="G1324" s="61" t="n">
        <v>1.51</v>
      </c>
      <c r="H1324" s="61" t="n">
        <v>0</v>
      </c>
      <c r="I1324" s="61" t="n">
        <v>0</v>
      </c>
      <c r="J1324" s="61" t="n">
        <v>0</v>
      </c>
      <c r="K1324" s="61" t="n">
        <v>1.49</v>
      </c>
      <c r="L1324" s="61" t="n">
        <v>0</v>
      </c>
      <c r="M1324" s="61" t="n">
        <v>0</v>
      </c>
      <c r="N1324" s="61" t="n">
        <v>0</v>
      </c>
      <c r="O1324" s="61" t="n">
        <v>0</v>
      </c>
      <c r="P1324" s="62" t="n">
        <v>523.3</v>
      </c>
      <c r="Q1324" s="0" t="n">
        <v>1</v>
      </c>
      <c r="R1324" s="60" t="n">
        <f aca="false">G1324+H1324+I1324</f>
        <v>1.51</v>
      </c>
      <c r="S1324" s="60" t="n">
        <f aca="false">K1324+L1324+M1324+N1324+O1324</f>
        <v>1.49</v>
      </c>
      <c r="T1324" s="60" t="n">
        <f aca="false">L1324+M1324</f>
        <v>0</v>
      </c>
      <c r="U1324" s="60" t="n">
        <f aca="false">S1324+J1324</f>
        <v>1.49</v>
      </c>
      <c r="V1324" s="63" t="n">
        <f aca="false">IFERROR(S1324/F1324,0)</f>
        <v>0.496666666666667</v>
      </c>
      <c r="W1324" s="63" t="n">
        <f aca="false">IFERROR(R1324/F1324,0)</f>
        <v>0.503333333333333</v>
      </c>
      <c r="X1324" s="63" t="n">
        <f aca="false">IFERROR(T1324/F1324,0)</f>
        <v>0</v>
      </c>
      <c r="Y1324" s="63" t="n">
        <f aca="false">IFERROR(G1324/F1324,0)</f>
        <v>0.503333333333333</v>
      </c>
      <c r="Z1324" s="59" t="n">
        <f aca="false">IF(E1324&gt;0,F1324*1000000000/E1324,"")</f>
        <v>4775.96733238345</v>
      </c>
      <c r="AA1324" s="63" t="n">
        <f aca="false">IFERROR((R1324+S1324+J1324)/F1324,0)</f>
        <v>1</v>
      </c>
      <c r="AB1324" s="0" t="str">
        <f aca="false">A1324&amp;"|"&amp;D1324</f>
        <v>Montenegro|2015</v>
      </c>
    </row>
    <row r="1325" customFormat="false" ht="15" hidden="false" customHeight="false" outlineLevel="0" collapsed="false">
      <c r="A1325" s="0" t="s">
        <v>307</v>
      </c>
      <c r="B1325" s="0" t="s">
        <v>546</v>
      </c>
      <c r="C1325" s="0" t="s">
        <v>127</v>
      </c>
      <c r="D1325" s="0" t="n">
        <v>2016</v>
      </c>
      <c r="E1325" s="59" t="n">
        <v>624246</v>
      </c>
      <c r="F1325" s="60" t="n">
        <v>3.14</v>
      </c>
      <c r="G1325" s="61" t="n">
        <v>1.3</v>
      </c>
      <c r="H1325" s="61" t="n">
        <v>0</v>
      </c>
      <c r="I1325" s="61" t="n">
        <v>0</v>
      </c>
      <c r="J1325" s="61" t="n">
        <v>0</v>
      </c>
      <c r="K1325" s="61" t="n">
        <v>1.84</v>
      </c>
      <c r="L1325" s="61" t="n">
        <v>0</v>
      </c>
      <c r="M1325" s="61" t="n">
        <v>0</v>
      </c>
      <c r="N1325" s="61" t="n">
        <v>0</v>
      </c>
      <c r="O1325" s="61" t="n">
        <v>0</v>
      </c>
      <c r="P1325" s="62" t="n">
        <v>433.1</v>
      </c>
      <c r="Q1325" s="0" t="n">
        <v>1</v>
      </c>
      <c r="R1325" s="60" t="n">
        <f aca="false">G1325+H1325+I1325</f>
        <v>1.3</v>
      </c>
      <c r="S1325" s="60" t="n">
        <f aca="false">K1325+L1325+M1325+N1325+O1325</f>
        <v>1.84</v>
      </c>
      <c r="T1325" s="60" t="n">
        <f aca="false">L1325+M1325</f>
        <v>0</v>
      </c>
      <c r="U1325" s="60" t="n">
        <f aca="false">S1325+J1325</f>
        <v>1.84</v>
      </c>
      <c r="V1325" s="63" t="n">
        <f aca="false">IFERROR(S1325/F1325,0)</f>
        <v>0.585987261146497</v>
      </c>
      <c r="W1325" s="63" t="n">
        <f aca="false">IFERROR(R1325/F1325,0)</f>
        <v>0.414012738853503</v>
      </c>
      <c r="X1325" s="63" t="n">
        <f aca="false">IFERROR(T1325/F1325,0)</f>
        <v>0</v>
      </c>
      <c r="Y1325" s="63" t="n">
        <f aca="false">IFERROR(G1325/F1325,0)</f>
        <v>0.414012738853503</v>
      </c>
      <c r="Z1325" s="59" t="n">
        <f aca="false">IF(E1325&gt;0,F1325*1000000000/E1325,"")</f>
        <v>5030.0682743662</v>
      </c>
      <c r="AA1325" s="63" t="n">
        <f aca="false">IFERROR((R1325+S1325+J1325)/F1325,0)</f>
        <v>1</v>
      </c>
      <c r="AB1325" s="0" t="str">
        <f aca="false">A1325&amp;"|"&amp;D1325</f>
        <v>Montenegro|2016</v>
      </c>
    </row>
    <row r="1326" customFormat="false" ht="15" hidden="false" customHeight="false" outlineLevel="0" collapsed="false">
      <c r="A1326" s="0" t="s">
        <v>307</v>
      </c>
      <c r="B1326" s="0" t="s">
        <v>546</v>
      </c>
      <c r="C1326" s="0" t="s">
        <v>127</v>
      </c>
      <c r="D1326" s="0" t="n">
        <v>2017</v>
      </c>
      <c r="E1326" s="59" t="n">
        <v>620112</v>
      </c>
      <c r="F1326" s="60" t="n">
        <v>2.48</v>
      </c>
      <c r="G1326" s="61" t="n">
        <v>1.36</v>
      </c>
      <c r="H1326" s="61" t="n">
        <v>0</v>
      </c>
      <c r="I1326" s="61" t="n">
        <v>0</v>
      </c>
      <c r="J1326" s="61" t="n">
        <v>0</v>
      </c>
      <c r="K1326" s="61" t="n">
        <v>1.02</v>
      </c>
      <c r="L1326" s="61" t="n">
        <v>0</v>
      </c>
      <c r="M1326" s="61" t="n">
        <v>0.1</v>
      </c>
      <c r="N1326" s="61" t="n">
        <v>0</v>
      </c>
      <c r="O1326" s="61" t="n">
        <v>0</v>
      </c>
      <c r="P1326" s="62" t="n">
        <v>564.5</v>
      </c>
      <c r="Q1326" s="0" t="n">
        <v>0</v>
      </c>
      <c r="R1326" s="60" t="n">
        <f aca="false">G1326+H1326+I1326</f>
        <v>1.36</v>
      </c>
      <c r="S1326" s="60" t="n">
        <f aca="false">K1326+L1326+M1326+N1326+O1326</f>
        <v>1.12</v>
      </c>
      <c r="T1326" s="60" t="n">
        <f aca="false">L1326+M1326</f>
        <v>0.1</v>
      </c>
      <c r="U1326" s="60" t="n">
        <f aca="false">S1326+J1326</f>
        <v>1.12</v>
      </c>
      <c r="V1326" s="63" t="n">
        <f aca="false">IFERROR(S1326/F1326,0)</f>
        <v>0.451612903225807</v>
      </c>
      <c r="W1326" s="63" t="n">
        <f aca="false">IFERROR(R1326/F1326,0)</f>
        <v>0.548387096774194</v>
      </c>
      <c r="X1326" s="63" t="n">
        <f aca="false">IFERROR(T1326/F1326,0)</f>
        <v>0.0403225806451613</v>
      </c>
      <c r="Y1326" s="63" t="n">
        <f aca="false">IFERROR(G1326/F1326,0)</f>
        <v>0.548387096774194</v>
      </c>
      <c r="Z1326" s="59" t="n">
        <f aca="false">IF(E1326&gt;0,F1326*1000000000/E1326,"")</f>
        <v>3999.27754986196</v>
      </c>
      <c r="AA1326" s="63" t="n">
        <f aca="false">IFERROR((R1326+S1326+J1326)/F1326,0)</f>
        <v>1</v>
      </c>
      <c r="AB1326" s="0" t="str">
        <f aca="false">A1326&amp;"|"&amp;D1326</f>
        <v>Montenegro|2017</v>
      </c>
    </row>
    <row r="1327" customFormat="false" ht="15" hidden="false" customHeight="false" outlineLevel="0" collapsed="false">
      <c r="A1327" s="0" t="s">
        <v>307</v>
      </c>
      <c r="B1327" s="0" t="s">
        <v>546</v>
      </c>
      <c r="C1327" s="0" t="s">
        <v>127</v>
      </c>
      <c r="D1327" s="0" t="n">
        <v>2018</v>
      </c>
      <c r="E1327" s="59" t="n">
        <v>615798</v>
      </c>
      <c r="F1327" s="60" t="n">
        <v>3.8</v>
      </c>
      <c r="G1327" s="61" t="n">
        <v>1.55</v>
      </c>
      <c r="H1327" s="61" t="n">
        <v>0</v>
      </c>
      <c r="I1327" s="61" t="n">
        <v>0</v>
      </c>
      <c r="J1327" s="61" t="n">
        <v>0</v>
      </c>
      <c r="K1327" s="61" t="n">
        <v>2.11</v>
      </c>
      <c r="L1327" s="61" t="n">
        <v>0</v>
      </c>
      <c r="M1327" s="61" t="n">
        <v>0.14</v>
      </c>
      <c r="N1327" s="61" t="n">
        <v>0</v>
      </c>
      <c r="O1327" s="61" t="n">
        <v>0</v>
      </c>
      <c r="P1327" s="62" t="n">
        <v>426.3</v>
      </c>
      <c r="Q1327" s="0" t="n">
        <v>0</v>
      </c>
      <c r="R1327" s="60" t="n">
        <f aca="false">G1327+H1327+I1327</f>
        <v>1.55</v>
      </c>
      <c r="S1327" s="60" t="n">
        <f aca="false">K1327+L1327+M1327+N1327+O1327</f>
        <v>2.25</v>
      </c>
      <c r="T1327" s="60" t="n">
        <f aca="false">L1327+M1327</f>
        <v>0.14</v>
      </c>
      <c r="U1327" s="60" t="n">
        <f aca="false">S1327+J1327</f>
        <v>2.25</v>
      </c>
      <c r="V1327" s="63" t="n">
        <f aca="false">IFERROR(S1327/F1327,0)</f>
        <v>0.592105263157895</v>
      </c>
      <c r="W1327" s="63" t="n">
        <f aca="false">IFERROR(R1327/F1327,0)</f>
        <v>0.407894736842105</v>
      </c>
      <c r="X1327" s="63" t="n">
        <f aca="false">IFERROR(T1327/F1327,0)</f>
        <v>0.0368421052631579</v>
      </c>
      <c r="Y1327" s="63" t="n">
        <f aca="false">IFERROR(G1327/F1327,0)</f>
        <v>0.407894736842105</v>
      </c>
      <c r="Z1327" s="59" t="n">
        <f aca="false">IF(E1327&gt;0,F1327*1000000000/E1327,"")</f>
        <v>6170.85472833624</v>
      </c>
      <c r="AA1327" s="63" t="n">
        <f aca="false">IFERROR((R1327+S1327+J1327)/F1327,0)</f>
        <v>1</v>
      </c>
      <c r="AB1327" s="0" t="str">
        <f aca="false">A1327&amp;"|"&amp;D1327</f>
        <v>Montenegro|2018</v>
      </c>
    </row>
    <row r="1328" customFormat="false" ht="15" hidden="false" customHeight="false" outlineLevel="0" collapsed="false">
      <c r="A1328" s="0" t="s">
        <v>307</v>
      </c>
      <c r="B1328" s="0" t="s">
        <v>546</v>
      </c>
      <c r="C1328" s="0" t="s">
        <v>127</v>
      </c>
      <c r="D1328" s="0" t="n">
        <v>2019</v>
      </c>
      <c r="E1328" s="59" t="n">
        <v>611671</v>
      </c>
      <c r="F1328" s="60" t="n">
        <v>3.43</v>
      </c>
      <c r="G1328" s="61" t="n">
        <v>1.5</v>
      </c>
      <c r="H1328" s="61" t="n">
        <v>0</v>
      </c>
      <c r="I1328" s="61" t="n">
        <v>0</v>
      </c>
      <c r="J1328" s="61" t="n">
        <v>0</v>
      </c>
      <c r="K1328" s="61" t="n">
        <v>1.63</v>
      </c>
      <c r="L1328" s="61" t="n">
        <v>0</v>
      </c>
      <c r="M1328" s="61" t="n">
        <v>0.3</v>
      </c>
      <c r="N1328" s="61" t="n">
        <v>0</v>
      </c>
      <c r="O1328" s="61" t="n">
        <v>0</v>
      </c>
      <c r="P1328" s="62" t="n">
        <v>454.8</v>
      </c>
      <c r="Q1328" s="0" t="n">
        <v>0</v>
      </c>
      <c r="R1328" s="60" t="n">
        <f aca="false">G1328+H1328+I1328</f>
        <v>1.5</v>
      </c>
      <c r="S1328" s="60" t="n">
        <f aca="false">K1328+L1328+M1328+N1328+O1328</f>
        <v>1.93</v>
      </c>
      <c r="T1328" s="60" t="n">
        <f aca="false">L1328+M1328</f>
        <v>0.3</v>
      </c>
      <c r="U1328" s="60" t="n">
        <f aca="false">S1328+J1328</f>
        <v>1.93</v>
      </c>
      <c r="V1328" s="63" t="n">
        <f aca="false">IFERROR(S1328/F1328,0)</f>
        <v>0.56268221574344</v>
      </c>
      <c r="W1328" s="63" t="n">
        <f aca="false">IFERROR(R1328/F1328,0)</f>
        <v>0.43731778425656</v>
      </c>
      <c r="X1328" s="63" t="n">
        <f aca="false">IFERROR(T1328/F1328,0)</f>
        <v>0.087463556851312</v>
      </c>
      <c r="Y1328" s="63" t="n">
        <f aca="false">IFERROR(G1328/F1328,0)</f>
        <v>0.43731778425656</v>
      </c>
      <c r="Z1328" s="59" t="n">
        <f aca="false">IF(E1328&gt;0,F1328*1000000000/E1328,"")</f>
        <v>5607.58970099939</v>
      </c>
      <c r="AA1328" s="63" t="n">
        <f aca="false">IFERROR((R1328+S1328+J1328)/F1328,0)</f>
        <v>1</v>
      </c>
      <c r="AB1328" s="0" t="str">
        <f aca="false">A1328&amp;"|"&amp;D1328</f>
        <v>Montenegro|2019</v>
      </c>
    </row>
    <row r="1329" customFormat="false" ht="15" hidden="false" customHeight="false" outlineLevel="0" collapsed="false">
      <c r="A1329" s="0" t="s">
        <v>307</v>
      </c>
      <c r="B1329" s="0" t="s">
        <v>546</v>
      </c>
      <c r="C1329" s="0" t="s">
        <v>127</v>
      </c>
      <c r="D1329" s="0" t="n">
        <v>2020</v>
      </c>
      <c r="E1329" s="59" t="n">
        <v>607934</v>
      </c>
      <c r="F1329" s="60" t="n">
        <v>3.39</v>
      </c>
      <c r="G1329" s="61" t="n">
        <v>1.62</v>
      </c>
      <c r="H1329" s="61" t="n">
        <v>0</v>
      </c>
      <c r="I1329" s="61" t="n">
        <v>0</v>
      </c>
      <c r="J1329" s="61" t="n">
        <v>0</v>
      </c>
      <c r="K1329" s="61" t="n">
        <v>1.45</v>
      </c>
      <c r="L1329" s="61" t="n">
        <v>0</v>
      </c>
      <c r="M1329" s="61" t="n">
        <v>0.32</v>
      </c>
      <c r="N1329" s="61" t="n">
        <v>0</v>
      </c>
      <c r="O1329" s="61" t="n">
        <v>0</v>
      </c>
      <c r="P1329" s="62" t="n">
        <v>495.6</v>
      </c>
      <c r="Q1329" s="0" t="n">
        <v>0</v>
      </c>
      <c r="R1329" s="60" t="n">
        <f aca="false">G1329+H1329+I1329</f>
        <v>1.62</v>
      </c>
      <c r="S1329" s="60" t="n">
        <f aca="false">K1329+L1329+M1329+N1329+O1329</f>
        <v>1.77</v>
      </c>
      <c r="T1329" s="60" t="n">
        <f aca="false">L1329+M1329</f>
        <v>0.32</v>
      </c>
      <c r="U1329" s="60" t="n">
        <f aca="false">S1329+J1329</f>
        <v>1.77</v>
      </c>
      <c r="V1329" s="63" t="n">
        <f aca="false">IFERROR(S1329/F1329,0)</f>
        <v>0.52212389380531</v>
      </c>
      <c r="W1329" s="63" t="n">
        <f aca="false">IFERROR(R1329/F1329,0)</f>
        <v>0.47787610619469</v>
      </c>
      <c r="X1329" s="63" t="n">
        <f aca="false">IFERROR(T1329/F1329,0)</f>
        <v>0.0943952802359882</v>
      </c>
      <c r="Y1329" s="63" t="n">
        <f aca="false">IFERROR(G1329/F1329,0)</f>
        <v>0.47787610619469</v>
      </c>
      <c r="Z1329" s="59" t="n">
        <f aca="false">IF(E1329&gt;0,F1329*1000000000/E1329,"")</f>
        <v>5576.26321278297</v>
      </c>
      <c r="AA1329" s="63" t="n">
        <f aca="false">IFERROR((R1329+S1329+J1329)/F1329,0)</f>
        <v>1</v>
      </c>
      <c r="AB1329" s="0" t="str">
        <f aca="false">A1329&amp;"|"&amp;D1329</f>
        <v>Montenegro|2020</v>
      </c>
    </row>
    <row r="1330" customFormat="false" ht="15" hidden="false" customHeight="false" outlineLevel="0" collapsed="false">
      <c r="A1330" s="0" t="s">
        <v>307</v>
      </c>
      <c r="B1330" s="0" t="s">
        <v>546</v>
      </c>
      <c r="C1330" s="0" t="s">
        <v>127</v>
      </c>
      <c r="D1330" s="0" t="n">
        <v>2021</v>
      </c>
      <c r="E1330" s="59" t="n">
        <v>603854</v>
      </c>
      <c r="F1330" s="60" t="n">
        <v>3.77</v>
      </c>
      <c r="G1330" s="61" t="n">
        <v>1.44</v>
      </c>
      <c r="H1330" s="61" t="n">
        <v>0</v>
      </c>
      <c r="I1330" s="61" t="n">
        <v>0</v>
      </c>
      <c r="J1330" s="61" t="n">
        <v>0</v>
      </c>
      <c r="K1330" s="61" t="n">
        <v>2.01</v>
      </c>
      <c r="L1330" s="61" t="n">
        <v>0</v>
      </c>
      <c r="M1330" s="61" t="n">
        <v>0.32</v>
      </c>
      <c r="N1330" s="61" t="n">
        <v>0</v>
      </c>
      <c r="O1330" s="61" t="n">
        <v>0</v>
      </c>
      <c r="P1330" s="62" t="n">
        <v>400.5</v>
      </c>
      <c r="Q1330" s="0" t="n">
        <v>0</v>
      </c>
      <c r="R1330" s="60" t="n">
        <f aca="false">G1330+H1330+I1330</f>
        <v>1.44</v>
      </c>
      <c r="S1330" s="60" t="n">
        <f aca="false">K1330+L1330+M1330+N1330+O1330</f>
        <v>2.33</v>
      </c>
      <c r="T1330" s="60" t="n">
        <f aca="false">L1330+M1330</f>
        <v>0.32</v>
      </c>
      <c r="U1330" s="60" t="n">
        <f aca="false">S1330+J1330</f>
        <v>2.33</v>
      </c>
      <c r="V1330" s="63" t="n">
        <f aca="false">IFERROR(S1330/F1330,0)</f>
        <v>0.618037135278514</v>
      </c>
      <c r="W1330" s="63" t="n">
        <f aca="false">IFERROR(R1330/F1330,0)</f>
        <v>0.381962864721485</v>
      </c>
      <c r="X1330" s="63" t="n">
        <f aca="false">IFERROR(T1330/F1330,0)</f>
        <v>0.0848806366047745</v>
      </c>
      <c r="Y1330" s="63" t="n">
        <f aca="false">IFERROR(G1330/F1330,0)</f>
        <v>0.381962864721485</v>
      </c>
      <c r="Z1330" s="59" t="n">
        <f aca="false">IF(E1330&gt;0,F1330*1000000000/E1330,"")</f>
        <v>6243.2309796739</v>
      </c>
      <c r="AA1330" s="63" t="n">
        <f aca="false">IFERROR((R1330+S1330+J1330)/F1330,0)</f>
        <v>1</v>
      </c>
      <c r="AB1330" s="0" t="str">
        <f aca="false">A1330&amp;"|"&amp;D1330</f>
        <v>Montenegro|2021</v>
      </c>
    </row>
    <row r="1331" customFormat="false" ht="15" hidden="false" customHeight="false" outlineLevel="0" collapsed="false">
      <c r="A1331" s="0" t="s">
        <v>307</v>
      </c>
      <c r="B1331" s="0" t="s">
        <v>546</v>
      </c>
      <c r="C1331" s="0" t="s">
        <v>127</v>
      </c>
      <c r="D1331" s="0" t="n">
        <v>2022</v>
      </c>
      <c r="E1331" s="59" t="n">
        <v>614649</v>
      </c>
      <c r="F1331" s="60" t="n">
        <v>3.31</v>
      </c>
      <c r="G1331" s="61" t="n">
        <v>1.55</v>
      </c>
      <c r="H1331" s="61" t="n">
        <v>0</v>
      </c>
      <c r="I1331" s="61" t="n">
        <v>0</v>
      </c>
      <c r="J1331" s="61" t="n">
        <v>0</v>
      </c>
      <c r="K1331" s="61" t="n">
        <v>1.44</v>
      </c>
      <c r="L1331" s="61" t="n">
        <v>0</v>
      </c>
      <c r="M1331" s="61" t="n">
        <v>0.32</v>
      </c>
      <c r="N1331" s="61" t="n">
        <v>0</v>
      </c>
      <c r="O1331" s="61" t="n">
        <v>0</v>
      </c>
      <c r="P1331" s="62" t="n">
        <v>483.4</v>
      </c>
      <c r="Q1331" s="0" t="n">
        <v>0</v>
      </c>
      <c r="R1331" s="60" t="n">
        <f aca="false">G1331+H1331+I1331</f>
        <v>1.55</v>
      </c>
      <c r="S1331" s="60" t="n">
        <f aca="false">K1331+L1331+M1331+N1331+O1331</f>
        <v>1.76</v>
      </c>
      <c r="T1331" s="60" t="n">
        <f aca="false">L1331+M1331</f>
        <v>0.32</v>
      </c>
      <c r="U1331" s="60" t="n">
        <f aca="false">S1331+J1331</f>
        <v>1.76</v>
      </c>
      <c r="V1331" s="63" t="n">
        <f aca="false">IFERROR(S1331/F1331,0)</f>
        <v>0.531722054380665</v>
      </c>
      <c r="W1331" s="63" t="n">
        <f aca="false">IFERROR(R1331/F1331,0)</f>
        <v>0.468277945619335</v>
      </c>
      <c r="X1331" s="63" t="n">
        <f aca="false">IFERROR(T1331/F1331,0)</f>
        <v>0.0966767371601209</v>
      </c>
      <c r="Y1331" s="63" t="n">
        <f aca="false">IFERROR(G1331/F1331,0)</f>
        <v>0.468277945619335</v>
      </c>
      <c r="Z1331" s="59" t="n">
        <f aca="false">IF(E1331&gt;0,F1331*1000000000/E1331,"")</f>
        <v>5385.1873182906</v>
      </c>
      <c r="AA1331" s="63" t="n">
        <f aca="false">IFERROR((R1331+S1331+J1331)/F1331,0)</f>
        <v>1</v>
      </c>
      <c r="AB1331" s="0" t="str">
        <f aca="false">A1331&amp;"|"&amp;D1331</f>
        <v>Montenegro|2022</v>
      </c>
    </row>
    <row r="1332" customFormat="false" ht="15" hidden="false" customHeight="false" outlineLevel="0" collapsed="false">
      <c r="A1332" s="0" t="s">
        <v>307</v>
      </c>
      <c r="B1332" s="0" t="s">
        <v>546</v>
      </c>
      <c r="C1332" s="0" t="s">
        <v>127</v>
      </c>
      <c r="D1332" s="0" t="n">
        <v>2023</v>
      </c>
      <c r="E1332" s="59" t="n">
        <v>633553</v>
      </c>
      <c r="F1332" s="60" t="n">
        <v>4.19</v>
      </c>
      <c r="G1332" s="61" t="n">
        <v>1.64</v>
      </c>
      <c r="H1332" s="61" t="n">
        <v>0</v>
      </c>
      <c r="I1332" s="61" t="n">
        <v>0</v>
      </c>
      <c r="J1332" s="61" t="n">
        <v>0</v>
      </c>
      <c r="K1332" s="61" t="n">
        <v>2.22</v>
      </c>
      <c r="L1332" s="61" t="n">
        <v>0.02</v>
      </c>
      <c r="M1332" s="61" t="n">
        <v>0.31</v>
      </c>
      <c r="N1332" s="61" t="n">
        <v>0</v>
      </c>
      <c r="O1332" s="61" t="n">
        <v>0</v>
      </c>
      <c r="P1332" s="62" t="n">
        <v>410.5</v>
      </c>
      <c r="Q1332" s="0" t="n">
        <v>0</v>
      </c>
      <c r="R1332" s="60" t="n">
        <f aca="false">G1332+H1332+I1332</f>
        <v>1.64</v>
      </c>
      <c r="S1332" s="60" t="n">
        <f aca="false">K1332+L1332+M1332+N1332+O1332</f>
        <v>2.55</v>
      </c>
      <c r="T1332" s="60" t="n">
        <f aca="false">L1332+M1332</f>
        <v>0.33</v>
      </c>
      <c r="U1332" s="60" t="n">
        <f aca="false">S1332+J1332</f>
        <v>2.55</v>
      </c>
      <c r="V1332" s="63" t="n">
        <f aca="false">IFERROR(S1332/F1332,0)</f>
        <v>0.608591885441527</v>
      </c>
      <c r="W1332" s="63" t="n">
        <f aca="false">IFERROR(R1332/F1332,0)</f>
        <v>0.391408114558473</v>
      </c>
      <c r="X1332" s="63" t="n">
        <f aca="false">IFERROR(T1332/F1332,0)</f>
        <v>0.0787589498806683</v>
      </c>
      <c r="Y1332" s="63" t="n">
        <f aca="false">IFERROR(G1332/F1332,0)</f>
        <v>0.391408114558473</v>
      </c>
      <c r="Z1332" s="59" t="n">
        <f aca="false">IF(E1332&gt;0,F1332*1000000000/E1332,"")</f>
        <v>6613.49563493504</v>
      </c>
      <c r="AA1332" s="63" t="n">
        <f aca="false">IFERROR((R1332+S1332+J1332)/F1332,0)</f>
        <v>1</v>
      </c>
      <c r="AB1332" s="0" t="str">
        <f aca="false">A1332&amp;"|"&amp;D1332</f>
        <v>Montenegro|2023</v>
      </c>
    </row>
    <row r="1333" customFormat="false" ht="15" hidden="false" customHeight="false" outlineLevel="0" collapsed="false">
      <c r="A1333" s="0" t="s">
        <v>307</v>
      </c>
      <c r="B1333" s="0" t="s">
        <v>546</v>
      </c>
      <c r="C1333" s="0" t="s">
        <v>127</v>
      </c>
      <c r="D1333" s="0" t="n">
        <v>2024</v>
      </c>
      <c r="E1333" s="59" t="n">
        <v>638481</v>
      </c>
      <c r="F1333" s="60" t="n">
        <v>3.53</v>
      </c>
      <c r="G1333" s="61" t="n">
        <v>1.43</v>
      </c>
      <c r="H1333" s="61" t="n">
        <v>0</v>
      </c>
      <c r="I1333" s="61" t="n">
        <v>0</v>
      </c>
      <c r="J1333" s="61" t="n">
        <v>0</v>
      </c>
      <c r="K1333" s="61" t="n">
        <v>1.77</v>
      </c>
      <c r="L1333" s="61" t="n">
        <v>0.06</v>
      </c>
      <c r="M1333" s="61" t="n">
        <v>0.27</v>
      </c>
      <c r="N1333" s="61" t="n">
        <v>0</v>
      </c>
      <c r="O1333" s="61" t="n">
        <v>0</v>
      </c>
      <c r="P1333" s="62" t="n">
        <v>422.1</v>
      </c>
      <c r="Q1333" s="0" t="n">
        <v>0</v>
      </c>
      <c r="R1333" s="60" t="n">
        <f aca="false">G1333+H1333+I1333</f>
        <v>1.43</v>
      </c>
      <c r="S1333" s="60" t="n">
        <f aca="false">K1333+L1333+M1333+N1333+O1333</f>
        <v>2.1</v>
      </c>
      <c r="T1333" s="60" t="n">
        <f aca="false">L1333+M1333</f>
        <v>0.33</v>
      </c>
      <c r="U1333" s="60" t="n">
        <f aca="false">S1333+J1333</f>
        <v>2.1</v>
      </c>
      <c r="V1333" s="63" t="n">
        <f aca="false">IFERROR(S1333/F1333,0)</f>
        <v>0.594900849858357</v>
      </c>
      <c r="W1333" s="63" t="n">
        <f aca="false">IFERROR(R1333/F1333,0)</f>
        <v>0.405099150141643</v>
      </c>
      <c r="X1333" s="63" t="n">
        <f aca="false">IFERROR(T1333/F1333,0)</f>
        <v>0.0934844192634561</v>
      </c>
      <c r="Y1333" s="63" t="n">
        <f aca="false">IFERROR(G1333/F1333,0)</f>
        <v>0.405099150141643</v>
      </c>
      <c r="Z1333" s="59" t="n">
        <f aca="false">IF(E1333&gt;0,F1333*1000000000/E1333,"")</f>
        <v>5528.74713578008</v>
      </c>
      <c r="AA1333" s="63" t="n">
        <f aca="false">IFERROR((R1333+S1333+J1333)/F1333,0)</f>
        <v>1</v>
      </c>
      <c r="AB1333" s="0" t="str">
        <f aca="false">A1333&amp;"|"&amp;D1333</f>
        <v>Montenegro|2024</v>
      </c>
    </row>
    <row r="1334" customFormat="false" ht="15" hidden="false" customHeight="false" outlineLevel="0" collapsed="false">
      <c r="A1334" s="0" t="s">
        <v>307</v>
      </c>
      <c r="B1334" s="0" t="s">
        <v>546</v>
      </c>
      <c r="C1334" s="0" t="s">
        <v>127</v>
      </c>
      <c r="D1334" s="0" t="n">
        <v>2025</v>
      </c>
      <c r="E1334" s="59" t="n">
        <v>632730</v>
      </c>
      <c r="F1334" s="60" t="n">
        <v>2.46</v>
      </c>
      <c r="G1334" s="61" t="n">
        <v>0.6</v>
      </c>
      <c r="H1334" s="61" t="n">
        <v>0</v>
      </c>
      <c r="I1334" s="61" t="n">
        <v>0</v>
      </c>
      <c r="J1334" s="61" t="n">
        <v>0</v>
      </c>
      <c r="K1334" s="61" t="n">
        <v>1.44</v>
      </c>
      <c r="L1334" s="61" t="n">
        <v>0.14</v>
      </c>
      <c r="M1334" s="61" t="n">
        <v>0.28</v>
      </c>
      <c r="N1334" s="61" t="n">
        <v>0</v>
      </c>
      <c r="O1334" s="61" t="n">
        <v>0</v>
      </c>
      <c r="P1334" s="62" t="n">
        <v>264.2</v>
      </c>
      <c r="Q1334" s="0" t="n">
        <v>0</v>
      </c>
      <c r="R1334" s="60" t="n">
        <f aca="false">G1334+H1334+I1334</f>
        <v>0.6</v>
      </c>
      <c r="S1334" s="60" t="n">
        <f aca="false">K1334+L1334+M1334+N1334+O1334</f>
        <v>1.86</v>
      </c>
      <c r="T1334" s="60" t="n">
        <f aca="false">L1334+M1334</f>
        <v>0.42</v>
      </c>
      <c r="U1334" s="60" t="n">
        <f aca="false">S1334+J1334</f>
        <v>1.86</v>
      </c>
      <c r="V1334" s="63" t="n">
        <f aca="false">IFERROR(S1334/F1334,0)</f>
        <v>0.75609756097561</v>
      </c>
      <c r="W1334" s="63" t="n">
        <f aca="false">IFERROR(R1334/F1334,0)</f>
        <v>0.24390243902439</v>
      </c>
      <c r="X1334" s="63" t="n">
        <f aca="false">IFERROR(T1334/F1334,0)</f>
        <v>0.170731707317073</v>
      </c>
      <c r="Y1334" s="63" t="n">
        <f aca="false">IFERROR(G1334/F1334,0)</f>
        <v>0.24390243902439</v>
      </c>
      <c r="Z1334" s="59" t="n">
        <f aca="false">IF(E1334&gt;0,F1334*1000000000/E1334,"")</f>
        <v>3887.91427623157</v>
      </c>
      <c r="AA1334" s="63" t="n">
        <f aca="false">IFERROR((R1334+S1334+J1334)/F1334,0)</f>
        <v>1</v>
      </c>
      <c r="AB1334" s="0" t="str">
        <f aca="false">A1334&amp;"|"&amp;D1334</f>
        <v>Montenegro|2025</v>
      </c>
    </row>
    <row r="1335" customFormat="false" ht="15" hidden="false" customHeight="false" outlineLevel="0" collapsed="false">
      <c r="A1335" s="0" t="s">
        <v>308</v>
      </c>
      <c r="B1335" s="0" t="s">
        <v>547</v>
      </c>
      <c r="C1335" s="0" t="s">
        <v>127</v>
      </c>
      <c r="D1335" s="0" t="n">
        <v>2015</v>
      </c>
      <c r="E1335" s="59" t="n">
        <v>4693</v>
      </c>
      <c r="F1335" s="60" t="n">
        <v>0.01</v>
      </c>
      <c r="G1335" s="61" t="n">
        <v>0</v>
      </c>
      <c r="H1335" s="61" t="n">
        <v>0</v>
      </c>
      <c r="I1335" s="61" t="n">
        <v>0.01</v>
      </c>
      <c r="J1335" s="61" t="n">
        <v>0</v>
      </c>
      <c r="K1335" s="61" t="n">
        <v>0</v>
      </c>
      <c r="L1335" s="61" t="n">
        <v>0</v>
      </c>
      <c r="M1335" s="61" t="n">
        <v>0</v>
      </c>
      <c r="N1335" s="61" t="n">
        <v>0</v>
      </c>
      <c r="O1335" s="61" t="n">
        <v>0</v>
      </c>
      <c r="P1335" s="62" t="n">
        <v>1000</v>
      </c>
      <c r="Q1335" s="0" t="n">
        <v>0</v>
      </c>
      <c r="R1335" s="60" t="n">
        <f aca="false">G1335+H1335+I1335</f>
        <v>0.01</v>
      </c>
      <c r="S1335" s="60" t="n">
        <f aca="false">K1335+L1335+M1335+N1335+O1335</f>
        <v>0</v>
      </c>
      <c r="T1335" s="60" t="n">
        <f aca="false">L1335+M1335</f>
        <v>0</v>
      </c>
      <c r="U1335" s="60" t="n">
        <f aca="false">S1335+J1335</f>
        <v>0</v>
      </c>
      <c r="V1335" s="63" t="n">
        <f aca="false">IFERROR(S1335/F1335,0)</f>
        <v>0</v>
      </c>
      <c r="W1335" s="63" t="n">
        <f aca="false">IFERROR(R1335/F1335,0)</f>
        <v>1</v>
      </c>
      <c r="X1335" s="63" t="n">
        <f aca="false">IFERROR(T1335/F1335,0)</f>
        <v>0</v>
      </c>
      <c r="Y1335" s="63" t="n">
        <f aca="false">IFERROR(G1335/F1335,0)</f>
        <v>0</v>
      </c>
      <c r="Z1335" s="59" t="n">
        <f aca="false">IF(E1335&gt;0,F1335*1000000000/E1335,"")</f>
        <v>2130.8331557639</v>
      </c>
      <c r="AA1335" s="63" t="n">
        <f aca="false">IFERROR((R1335+S1335+J1335)/F1335,0)</f>
        <v>1</v>
      </c>
      <c r="AB1335" s="0" t="str">
        <f aca="false">A1335&amp;"|"&amp;D1335</f>
        <v>Montserrat|2015</v>
      </c>
    </row>
    <row r="1336" customFormat="false" ht="15" hidden="false" customHeight="false" outlineLevel="0" collapsed="false">
      <c r="A1336" s="0" t="s">
        <v>308</v>
      </c>
      <c r="B1336" s="0" t="s">
        <v>547</v>
      </c>
      <c r="C1336" s="0" t="s">
        <v>127</v>
      </c>
      <c r="D1336" s="0" t="n">
        <v>2016</v>
      </c>
      <c r="E1336" s="59" t="n">
        <v>4665</v>
      </c>
      <c r="F1336" s="60" t="n">
        <v>0.01</v>
      </c>
      <c r="G1336" s="61" t="n">
        <v>0</v>
      </c>
      <c r="H1336" s="61" t="n">
        <v>0</v>
      </c>
      <c r="I1336" s="61" t="n">
        <v>0.01</v>
      </c>
      <c r="J1336" s="61" t="n">
        <v>0</v>
      </c>
      <c r="K1336" s="61" t="n">
        <v>0</v>
      </c>
      <c r="L1336" s="61" t="n">
        <v>0</v>
      </c>
      <c r="M1336" s="61" t="n">
        <v>0</v>
      </c>
      <c r="N1336" s="61" t="n">
        <v>0</v>
      </c>
      <c r="O1336" s="61" t="n">
        <v>0</v>
      </c>
      <c r="P1336" s="62" t="n">
        <v>1000</v>
      </c>
      <c r="Q1336" s="0" t="n">
        <v>0</v>
      </c>
      <c r="R1336" s="60" t="n">
        <f aca="false">G1336+H1336+I1336</f>
        <v>0.01</v>
      </c>
      <c r="S1336" s="60" t="n">
        <f aca="false">K1336+L1336+M1336+N1336+O1336</f>
        <v>0</v>
      </c>
      <c r="T1336" s="60" t="n">
        <f aca="false">L1336+M1336</f>
        <v>0</v>
      </c>
      <c r="U1336" s="60" t="n">
        <f aca="false">S1336+J1336</f>
        <v>0</v>
      </c>
      <c r="V1336" s="63" t="n">
        <f aca="false">IFERROR(S1336/F1336,0)</f>
        <v>0</v>
      </c>
      <c r="W1336" s="63" t="n">
        <f aca="false">IFERROR(R1336/F1336,0)</f>
        <v>1</v>
      </c>
      <c r="X1336" s="63" t="n">
        <f aca="false">IFERROR(T1336/F1336,0)</f>
        <v>0</v>
      </c>
      <c r="Y1336" s="63" t="n">
        <f aca="false">IFERROR(G1336/F1336,0)</f>
        <v>0</v>
      </c>
      <c r="Z1336" s="59" t="n">
        <f aca="false">IF(E1336&gt;0,F1336*1000000000/E1336,"")</f>
        <v>2143.62272240086</v>
      </c>
      <c r="AA1336" s="63" t="n">
        <f aca="false">IFERROR((R1336+S1336+J1336)/F1336,0)</f>
        <v>1</v>
      </c>
      <c r="AB1336" s="0" t="str">
        <f aca="false">A1336&amp;"|"&amp;D1336</f>
        <v>Montserrat|2016</v>
      </c>
    </row>
    <row r="1337" customFormat="false" ht="15" hidden="false" customHeight="false" outlineLevel="0" collapsed="false">
      <c r="A1337" s="0" t="s">
        <v>308</v>
      </c>
      <c r="B1337" s="0" t="s">
        <v>547</v>
      </c>
      <c r="C1337" s="0" t="s">
        <v>127</v>
      </c>
      <c r="D1337" s="0" t="n">
        <v>2017</v>
      </c>
      <c r="E1337" s="59" t="n">
        <v>4624</v>
      </c>
      <c r="F1337" s="60" t="n">
        <v>0.01</v>
      </c>
      <c r="G1337" s="61" t="n">
        <v>0</v>
      </c>
      <c r="H1337" s="61" t="n">
        <v>0</v>
      </c>
      <c r="I1337" s="61" t="n">
        <v>0.01</v>
      </c>
      <c r="J1337" s="61" t="n">
        <v>0</v>
      </c>
      <c r="K1337" s="61" t="n">
        <v>0</v>
      </c>
      <c r="L1337" s="61" t="n">
        <v>0</v>
      </c>
      <c r="M1337" s="61" t="n">
        <v>0</v>
      </c>
      <c r="N1337" s="61" t="n">
        <v>0</v>
      </c>
      <c r="O1337" s="61" t="n">
        <v>0</v>
      </c>
      <c r="P1337" s="62" t="n">
        <v>1000</v>
      </c>
      <c r="Q1337" s="0" t="n">
        <v>0</v>
      </c>
      <c r="R1337" s="60" t="n">
        <f aca="false">G1337+H1337+I1337</f>
        <v>0.01</v>
      </c>
      <c r="S1337" s="60" t="n">
        <f aca="false">K1337+L1337+M1337+N1337+O1337</f>
        <v>0</v>
      </c>
      <c r="T1337" s="60" t="n">
        <f aca="false">L1337+M1337</f>
        <v>0</v>
      </c>
      <c r="U1337" s="60" t="n">
        <f aca="false">S1337+J1337</f>
        <v>0</v>
      </c>
      <c r="V1337" s="63" t="n">
        <f aca="false">IFERROR(S1337/F1337,0)</f>
        <v>0</v>
      </c>
      <c r="W1337" s="63" t="n">
        <f aca="false">IFERROR(R1337/F1337,0)</f>
        <v>1</v>
      </c>
      <c r="X1337" s="63" t="n">
        <f aca="false">IFERROR(T1337/F1337,0)</f>
        <v>0</v>
      </c>
      <c r="Y1337" s="63" t="n">
        <f aca="false">IFERROR(G1337/F1337,0)</f>
        <v>0</v>
      </c>
      <c r="Z1337" s="59" t="n">
        <f aca="false">IF(E1337&gt;0,F1337*1000000000/E1337,"")</f>
        <v>2162.62975778547</v>
      </c>
      <c r="AA1337" s="63" t="n">
        <f aca="false">IFERROR((R1337+S1337+J1337)/F1337,0)</f>
        <v>1</v>
      </c>
      <c r="AB1337" s="0" t="str">
        <f aca="false">A1337&amp;"|"&amp;D1337</f>
        <v>Montserrat|2017</v>
      </c>
    </row>
    <row r="1338" customFormat="false" ht="15" hidden="false" customHeight="false" outlineLevel="0" collapsed="false">
      <c r="A1338" s="0" t="s">
        <v>308</v>
      </c>
      <c r="B1338" s="0" t="s">
        <v>547</v>
      </c>
      <c r="C1338" s="0" t="s">
        <v>127</v>
      </c>
      <c r="D1338" s="0" t="n">
        <v>2018</v>
      </c>
      <c r="E1338" s="59" t="n">
        <v>4595</v>
      </c>
      <c r="F1338" s="60" t="n">
        <v>0.01</v>
      </c>
      <c r="G1338" s="61" t="n">
        <v>0</v>
      </c>
      <c r="H1338" s="61" t="n">
        <v>0</v>
      </c>
      <c r="I1338" s="61" t="n">
        <v>0.01</v>
      </c>
      <c r="J1338" s="61" t="n">
        <v>0</v>
      </c>
      <c r="K1338" s="61" t="n">
        <v>0</v>
      </c>
      <c r="L1338" s="61" t="n">
        <v>0</v>
      </c>
      <c r="M1338" s="61" t="n">
        <v>0</v>
      </c>
      <c r="N1338" s="61" t="n">
        <v>0</v>
      </c>
      <c r="O1338" s="61" t="n">
        <v>0</v>
      </c>
      <c r="P1338" s="62" t="n">
        <v>1000</v>
      </c>
      <c r="Q1338" s="0" t="n">
        <v>0</v>
      </c>
      <c r="R1338" s="60" t="n">
        <f aca="false">G1338+H1338+I1338</f>
        <v>0.01</v>
      </c>
      <c r="S1338" s="60" t="n">
        <f aca="false">K1338+L1338+M1338+N1338+O1338</f>
        <v>0</v>
      </c>
      <c r="T1338" s="60" t="n">
        <f aca="false">L1338+M1338</f>
        <v>0</v>
      </c>
      <c r="U1338" s="60" t="n">
        <f aca="false">S1338+J1338</f>
        <v>0</v>
      </c>
      <c r="V1338" s="63" t="n">
        <f aca="false">IFERROR(S1338/F1338,0)</f>
        <v>0</v>
      </c>
      <c r="W1338" s="63" t="n">
        <f aca="false">IFERROR(R1338/F1338,0)</f>
        <v>1</v>
      </c>
      <c r="X1338" s="63" t="n">
        <f aca="false">IFERROR(T1338/F1338,0)</f>
        <v>0</v>
      </c>
      <c r="Y1338" s="63" t="n">
        <f aca="false">IFERROR(G1338/F1338,0)</f>
        <v>0</v>
      </c>
      <c r="Z1338" s="59" t="n">
        <f aca="false">IF(E1338&gt;0,F1338*1000000000/E1338,"")</f>
        <v>2176.27856365615</v>
      </c>
      <c r="AA1338" s="63" t="n">
        <f aca="false">IFERROR((R1338+S1338+J1338)/F1338,0)</f>
        <v>1</v>
      </c>
      <c r="AB1338" s="0" t="str">
        <f aca="false">A1338&amp;"|"&amp;D1338</f>
        <v>Montserrat|2018</v>
      </c>
    </row>
    <row r="1339" customFormat="false" ht="15" hidden="false" customHeight="false" outlineLevel="0" collapsed="false">
      <c r="A1339" s="0" t="s">
        <v>308</v>
      </c>
      <c r="B1339" s="0" t="s">
        <v>547</v>
      </c>
      <c r="C1339" s="0" t="s">
        <v>127</v>
      </c>
      <c r="D1339" s="0" t="n">
        <v>2019</v>
      </c>
      <c r="E1339" s="59" t="n">
        <v>4564</v>
      </c>
      <c r="F1339" s="60" t="n">
        <v>0.01</v>
      </c>
      <c r="G1339" s="61" t="n">
        <v>0</v>
      </c>
      <c r="H1339" s="61" t="n">
        <v>0</v>
      </c>
      <c r="I1339" s="61" t="n">
        <v>0.01</v>
      </c>
      <c r="J1339" s="61" t="n">
        <v>0</v>
      </c>
      <c r="K1339" s="61" t="n">
        <v>0</v>
      </c>
      <c r="L1339" s="61" t="n">
        <v>0</v>
      </c>
      <c r="M1339" s="61" t="n">
        <v>0</v>
      </c>
      <c r="N1339" s="61" t="n">
        <v>0</v>
      </c>
      <c r="O1339" s="61" t="n">
        <v>0</v>
      </c>
      <c r="P1339" s="62" t="n">
        <v>1000</v>
      </c>
      <c r="Q1339" s="0" t="n">
        <v>0</v>
      </c>
      <c r="R1339" s="60" t="n">
        <f aca="false">G1339+H1339+I1339</f>
        <v>0.01</v>
      </c>
      <c r="S1339" s="60" t="n">
        <f aca="false">K1339+L1339+M1339+N1339+O1339</f>
        <v>0</v>
      </c>
      <c r="T1339" s="60" t="n">
        <f aca="false">L1339+M1339</f>
        <v>0</v>
      </c>
      <c r="U1339" s="60" t="n">
        <f aca="false">S1339+J1339</f>
        <v>0</v>
      </c>
      <c r="V1339" s="63" t="n">
        <f aca="false">IFERROR(S1339/F1339,0)</f>
        <v>0</v>
      </c>
      <c r="W1339" s="63" t="n">
        <f aca="false">IFERROR(R1339/F1339,0)</f>
        <v>1</v>
      </c>
      <c r="X1339" s="63" t="n">
        <f aca="false">IFERROR(T1339/F1339,0)</f>
        <v>0</v>
      </c>
      <c r="Y1339" s="63" t="n">
        <f aca="false">IFERROR(G1339/F1339,0)</f>
        <v>0</v>
      </c>
      <c r="Z1339" s="59" t="n">
        <f aca="false">IF(E1339&gt;0,F1339*1000000000/E1339,"")</f>
        <v>2191.06047326906</v>
      </c>
      <c r="AA1339" s="63" t="n">
        <f aca="false">IFERROR((R1339+S1339+J1339)/F1339,0)</f>
        <v>1</v>
      </c>
      <c r="AB1339" s="0" t="str">
        <f aca="false">A1339&amp;"|"&amp;D1339</f>
        <v>Montserrat|2019</v>
      </c>
    </row>
    <row r="1340" customFormat="false" ht="15" hidden="false" customHeight="false" outlineLevel="0" collapsed="false">
      <c r="A1340" s="0" t="s">
        <v>308</v>
      </c>
      <c r="B1340" s="0" t="s">
        <v>547</v>
      </c>
      <c r="C1340" s="0" t="s">
        <v>127</v>
      </c>
      <c r="D1340" s="0" t="n">
        <v>2020</v>
      </c>
      <c r="E1340" s="59" t="n">
        <v>4532</v>
      </c>
      <c r="F1340" s="60" t="n">
        <v>0.01</v>
      </c>
      <c r="G1340" s="61" t="n">
        <v>0</v>
      </c>
      <c r="H1340" s="61" t="n">
        <v>0</v>
      </c>
      <c r="I1340" s="61" t="n">
        <v>0.01</v>
      </c>
      <c r="J1340" s="61" t="n">
        <v>0</v>
      </c>
      <c r="K1340" s="61" t="n">
        <v>0</v>
      </c>
      <c r="L1340" s="61" t="n">
        <v>0</v>
      </c>
      <c r="M1340" s="61" t="n">
        <v>0</v>
      </c>
      <c r="N1340" s="61" t="n">
        <v>0</v>
      </c>
      <c r="O1340" s="61" t="n">
        <v>0</v>
      </c>
      <c r="P1340" s="62" t="n">
        <v>1000</v>
      </c>
      <c r="Q1340" s="0" t="n">
        <v>0</v>
      </c>
      <c r="R1340" s="60" t="n">
        <f aca="false">G1340+H1340+I1340</f>
        <v>0.01</v>
      </c>
      <c r="S1340" s="60" t="n">
        <f aca="false">K1340+L1340+M1340+N1340+O1340</f>
        <v>0</v>
      </c>
      <c r="T1340" s="60" t="n">
        <f aca="false">L1340+M1340</f>
        <v>0</v>
      </c>
      <c r="U1340" s="60" t="n">
        <f aca="false">S1340+J1340</f>
        <v>0</v>
      </c>
      <c r="V1340" s="63" t="n">
        <f aca="false">IFERROR(S1340/F1340,0)</f>
        <v>0</v>
      </c>
      <c r="W1340" s="63" t="n">
        <f aca="false">IFERROR(R1340/F1340,0)</f>
        <v>1</v>
      </c>
      <c r="X1340" s="63" t="n">
        <f aca="false">IFERROR(T1340/F1340,0)</f>
        <v>0</v>
      </c>
      <c r="Y1340" s="63" t="n">
        <f aca="false">IFERROR(G1340/F1340,0)</f>
        <v>0</v>
      </c>
      <c r="Z1340" s="59" t="n">
        <f aca="false">IF(E1340&gt;0,F1340*1000000000/E1340,"")</f>
        <v>2206.53133274493</v>
      </c>
      <c r="AA1340" s="63" t="n">
        <f aca="false">IFERROR((R1340+S1340+J1340)/F1340,0)</f>
        <v>1</v>
      </c>
      <c r="AB1340" s="0" t="str">
        <f aca="false">A1340&amp;"|"&amp;D1340</f>
        <v>Montserrat|2020</v>
      </c>
    </row>
    <row r="1341" customFormat="false" ht="15" hidden="false" customHeight="false" outlineLevel="0" collapsed="false">
      <c r="A1341" s="0" t="s">
        <v>308</v>
      </c>
      <c r="B1341" s="0" t="s">
        <v>547</v>
      </c>
      <c r="C1341" s="0" t="s">
        <v>127</v>
      </c>
      <c r="D1341" s="0" t="n">
        <v>2021</v>
      </c>
      <c r="E1341" s="59" t="n">
        <v>4505</v>
      </c>
      <c r="F1341" s="60" t="n">
        <v>0.01</v>
      </c>
      <c r="G1341" s="61" t="n">
        <v>0</v>
      </c>
      <c r="H1341" s="61" t="n">
        <v>0</v>
      </c>
      <c r="I1341" s="61" t="n">
        <v>0.01</v>
      </c>
      <c r="J1341" s="61" t="n">
        <v>0</v>
      </c>
      <c r="K1341" s="61" t="n">
        <v>0</v>
      </c>
      <c r="L1341" s="61" t="n">
        <v>0</v>
      </c>
      <c r="M1341" s="61" t="n">
        <v>0</v>
      </c>
      <c r="N1341" s="61" t="n">
        <v>0</v>
      </c>
      <c r="O1341" s="61" t="n">
        <v>0</v>
      </c>
      <c r="P1341" s="62" t="n">
        <v>1000</v>
      </c>
      <c r="Q1341" s="0" t="n">
        <v>0</v>
      </c>
      <c r="R1341" s="60" t="n">
        <f aca="false">G1341+H1341+I1341</f>
        <v>0.01</v>
      </c>
      <c r="S1341" s="60" t="n">
        <f aca="false">K1341+L1341+M1341+N1341+O1341</f>
        <v>0</v>
      </c>
      <c r="T1341" s="60" t="n">
        <f aca="false">L1341+M1341</f>
        <v>0</v>
      </c>
      <c r="U1341" s="60" t="n">
        <f aca="false">S1341+J1341</f>
        <v>0</v>
      </c>
      <c r="V1341" s="63" t="n">
        <f aca="false">IFERROR(S1341/F1341,0)</f>
        <v>0</v>
      </c>
      <c r="W1341" s="63" t="n">
        <f aca="false">IFERROR(R1341/F1341,0)</f>
        <v>1</v>
      </c>
      <c r="X1341" s="63" t="n">
        <f aca="false">IFERROR(T1341/F1341,0)</f>
        <v>0</v>
      </c>
      <c r="Y1341" s="63" t="n">
        <f aca="false">IFERROR(G1341/F1341,0)</f>
        <v>0</v>
      </c>
      <c r="Z1341" s="59" t="n">
        <f aca="false">IF(E1341&gt;0,F1341*1000000000/E1341,"")</f>
        <v>2219.75582685905</v>
      </c>
      <c r="AA1341" s="63" t="n">
        <f aca="false">IFERROR((R1341+S1341+J1341)/F1341,0)</f>
        <v>1</v>
      </c>
      <c r="AB1341" s="0" t="str">
        <f aca="false">A1341&amp;"|"&amp;D1341</f>
        <v>Montserrat|2021</v>
      </c>
    </row>
    <row r="1342" customFormat="false" ht="15" hidden="false" customHeight="false" outlineLevel="0" collapsed="false">
      <c r="A1342" s="0" t="s">
        <v>308</v>
      </c>
      <c r="B1342" s="0" t="s">
        <v>547</v>
      </c>
      <c r="C1342" s="0" t="s">
        <v>127</v>
      </c>
      <c r="D1342" s="0" t="n">
        <v>2022</v>
      </c>
      <c r="E1342" s="59" t="n">
        <v>4476</v>
      </c>
      <c r="F1342" s="60" t="n">
        <v>0.01</v>
      </c>
      <c r="G1342" s="61" t="n">
        <v>0</v>
      </c>
      <c r="H1342" s="61" t="n">
        <v>0</v>
      </c>
      <c r="I1342" s="61" t="n">
        <v>0.01</v>
      </c>
      <c r="J1342" s="61" t="n">
        <v>0</v>
      </c>
      <c r="K1342" s="61" t="n">
        <v>0</v>
      </c>
      <c r="L1342" s="61" t="n">
        <v>0</v>
      </c>
      <c r="M1342" s="61" t="n">
        <v>0</v>
      </c>
      <c r="N1342" s="61" t="n">
        <v>0</v>
      </c>
      <c r="O1342" s="61" t="n">
        <v>0</v>
      </c>
      <c r="P1342" s="62" t="n">
        <v>1000</v>
      </c>
      <c r="Q1342" s="0" t="n">
        <v>0</v>
      </c>
      <c r="R1342" s="60" t="n">
        <f aca="false">G1342+H1342+I1342</f>
        <v>0.01</v>
      </c>
      <c r="S1342" s="60" t="n">
        <f aca="false">K1342+L1342+M1342+N1342+O1342</f>
        <v>0</v>
      </c>
      <c r="T1342" s="60" t="n">
        <f aca="false">L1342+M1342</f>
        <v>0</v>
      </c>
      <c r="U1342" s="60" t="n">
        <f aca="false">S1342+J1342</f>
        <v>0</v>
      </c>
      <c r="V1342" s="63" t="n">
        <f aca="false">IFERROR(S1342/F1342,0)</f>
        <v>0</v>
      </c>
      <c r="W1342" s="63" t="n">
        <f aca="false">IFERROR(R1342/F1342,0)</f>
        <v>1</v>
      </c>
      <c r="X1342" s="63" t="n">
        <f aca="false">IFERROR(T1342/F1342,0)</f>
        <v>0</v>
      </c>
      <c r="Y1342" s="63" t="n">
        <f aca="false">IFERROR(G1342/F1342,0)</f>
        <v>0</v>
      </c>
      <c r="Z1342" s="59" t="n">
        <f aca="false">IF(E1342&gt;0,F1342*1000000000/E1342,"")</f>
        <v>2234.13762287757</v>
      </c>
      <c r="AA1342" s="63" t="n">
        <f aca="false">IFERROR((R1342+S1342+J1342)/F1342,0)</f>
        <v>1</v>
      </c>
      <c r="AB1342" s="0" t="str">
        <f aca="false">A1342&amp;"|"&amp;D1342</f>
        <v>Montserrat|2022</v>
      </c>
    </row>
    <row r="1343" customFormat="false" ht="15" hidden="false" customHeight="false" outlineLevel="0" collapsed="false">
      <c r="A1343" s="0" t="s">
        <v>308</v>
      </c>
      <c r="B1343" s="0" t="s">
        <v>547</v>
      </c>
      <c r="C1343" s="0" t="s">
        <v>127</v>
      </c>
      <c r="D1343" s="0" t="n">
        <v>2023</v>
      </c>
      <c r="E1343" s="59" t="n">
        <v>4440</v>
      </c>
      <c r="F1343" s="60" t="n">
        <v>0.01</v>
      </c>
      <c r="G1343" s="61" t="n">
        <v>0</v>
      </c>
      <c r="H1343" s="61" t="n">
        <v>0</v>
      </c>
      <c r="I1343" s="61" t="n">
        <v>0.01</v>
      </c>
      <c r="J1343" s="61" t="n">
        <v>0</v>
      </c>
      <c r="K1343" s="61" t="n">
        <v>0</v>
      </c>
      <c r="L1343" s="61" t="n">
        <v>0</v>
      </c>
      <c r="M1343" s="61" t="n">
        <v>0</v>
      </c>
      <c r="N1343" s="61" t="n">
        <v>0</v>
      </c>
      <c r="O1343" s="61" t="n">
        <v>0</v>
      </c>
      <c r="P1343" s="62" t="n">
        <v>1000</v>
      </c>
      <c r="Q1343" s="0" t="n">
        <v>0</v>
      </c>
      <c r="R1343" s="60" t="n">
        <f aca="false">G1343+H1343+I1343</f>
        <v>0.01</v>
      </c>
      <c r="S1343" s="60" t="n">
        <f aca="false">K1343+L1343+M1343+N1343+O1343</f>
        <v>0</v>
      </c>
      <c r="T1343" s="60" t="n">
        <f aca="false">L1343+M1343</f>
        <v>0</v>
      </c>
      <c r="U1343" s="60" t="n">
        <f aca="false">S1343+J1343</f>
        <v>0</v>
      </c>
      <c r="V1343" s="63" t="n">
        <f aca="false">IFERROR(S1343/F1343,0)</f>
        <v>0</v>
      </c>
      <c r="W1343" s="63" t="n">
        <f aca="false">IFERROR(R1343/F1343,0)</f>
        <v>1</v>
      </c>
      <c r="X1343" s="63" t="n">
        <f aca="false">IFERROR(T1343/F1343,0)</f>
        <v>0</v>
      </c>
      <c r="Y1343" s="63" t="n">
        <f aca="false">IFERROR(G1343/F1343,0)</f>
        <v>0</v>
      </c>
      <c r="Z1343" s="59" t="n">
        <f aca="false">IF(E1343&gt;0,F1343*1000000000/E1343,"")</f>
        <v>2252.25225225225</v>
      </c>
      <c r="AA1343" s="63" t="n">
        <f aca="false">IFERROR((R1343+S1343+J1343)/F1343,0)</f>
        <v>1</v>
      </c>
      <c r="AB1343" s="0" t="str">
        <f aca="false">A1343&amp;"|"&amp;D1343</f>
        <v>Montserrat|2023</v>
      </c>
    </row>
    <row r="1344" customFormat="false" ht="15" hidden="false" customHeight="false" outlineLevel="0" collapsed="false">
      <c r="A1344" s="0" t="s">
        <v>308</v>
      </c>
      <c r="B1344" s="0" t="s">
        <v>547</v>
      </c>
      <c r="C1344" s="0" t="s">
        <v>127</v>
      </c>
      <c r="D1344" s="0" t="n">
        <v>2024</v>
      </c>
      <c r="E1344" s="59" t="n">
        <v>4414</v>
      </c>
      <c r="F1344" s="60" t="n">
        <v>0.01</v>
      </c>
      <c r="G1344" s="61" t="n">
        <v>0</v>
      </c>
      <c r="H1344" s="61" t="n">
        <v>0</v>
      </c>
      <c r="I1344" s="61" t="n">
        <v>0.01</v>
      </c>
      <c r="J1344" s="61" t="n">
        <v>0</v>
      </c>
      <c r="K1344" s="61" t="n">
        <v>0</v>
      </c>
      <c r="L1344" s="61" t="n">
        <v>0</v>
      </c>
      <c r="M1344" s="61" t="n">
        <v>0</v>
      </c>
      <c r="N1344" s="61" t="n">
        <v>0</v>
      </c>
      <c r="O1344" s="61" t="n">
        <v>0</v>
      </c>
      <c r="P1344" s="62" t="n">
        <v>1000</v>
      </c>
      <c r="Q1344" s="0" t="n">
        <v>0</v>
      </c>
      <c r="R1344" s="60" t="n">
        <f aca="false">G1344+H1344+I1344</f>
        <v>0.01</v>
      </c>
      <c r="S1344" s="60" t="n">
        <f aca="false">K1344+L1344+M1344+N1344+O1344</f>
        <v>0</v>
      </c>
      <c r="T1344" s="60" t="n">
        <f aca="false">L1344+M1344</f>
        <v>0</v>
      </c>
      <c r="U1344" s="60" t="n">
        <f aca="false">S1344+J1344</f>
        <v>0</v>
      </c>
      <c r="V1344" s="63" t="n">
        <f aca="false">IFERROR(S1344/F1344,0)</f>
        <v>0</v>
      </c>
      <c r="W1344" s="63" t="n">
        <f aca="false">IFERROR(R1344/F1344,0)</f>
        <v>1</v>
      </c>
      <c r="X1344" s="63" t="n">
        <f aca="false">IFERROR(T1344/F1344,0)</f>
        <v>0</v>
      </c>
      <c r="Y1344" s="63" t="n">
        <f aca="false">IFERROR(G1344/F1344,0)</f>
        <v>0</v>
      </c>
      <c r="Z1344" s="59" t="n">
        <f aca="false">IF(E1344&gt;0,F1344*1000000000/E1344,"")</f>
        <v>2265.51880380607</v>
      </c>
      <c r="AA1344" s="63" t="n">
        <f aca="false">IFERROR((R1344+S1344+J1344)/F1344,0)</f>
        <v>1</v>
      </c>
      <c r="AB1344" s="0" t="str">
        <f aca="false">A1344&amp;"|"&amp;D1344</f>
        <v>Montserrat|2024</v>
      </c>
    </row>
    <row r="1345" customFormat="false" ht="15" hidden="false" customHeight="false" outlineLevel="0" collapsed="false">
      <c r="A1345" s="0" t="s">
        <v>309</v>
      </c>
      <c r="B1345" s="0" t="s">
        <v>548</v>
      </c>
      <c r="C1345" s="0" t="s">
        <v>127</v>
      </c>
      <c r="D1345" s="0" t="n">
        <v>2015</v>
      </c>
      <c r="E1345" s="59" t="n">
        <v>34607590</v>
      </c>
      <c r="F1345" s="60" t="n">
        <v>29.91</v>
      </c>
      <c r="G1345" s="61" t="n">
        <v>17.11</v>
      </c>
      <c r="H1345" s="61" t="n">
        <v>5.78</v>
      </c>
      <c r="I1345" s="61" t="n">
        <v>2.21</v>
      </c>
      <c r="J1345" s="61" t="n">
        <v>0</v>
      </c>
      <c r="K1345" s="61" t="n">
        <v>2.28</v>
      </c>
      <c r="L1345" s="61" t="n">
        <v>0</v>
      </c>
      <c r="M1345" s="61" t="n">
        <v>2.52</v>
      </c>
      <c r="N1345" s="61" t="n">
        <v>0.01</v>
      </c>
      <c r="O1345" s="61" t="n">
        <v>0</v>
      </c>
      <c r="P1345" s="62" t="n">
        <v>639.9</v>
      </c>
      <c r="Q1345" s="0" t="n">
        <v>0</v>
      </c>
      <c r="R1345" s="60" t="n">
        <f aca="false">G1345+H1345+I1345</f>
        <v>25.1</v>
      </c>
      <c r="S1345" s="60" t="n">
        <f aca="false">K1345+L1345+M1345+N1345+O1345</f>
        <v>4.81</v>
      </c>
      <c r="T1345" s="60" t="n">
        <f aca="false">L1345+M1345</f>
        <v>2.52</v>
      </c>
      <c r="U1345" s="60" t="n">
        <f aca="false">S1345+J1345</f>
        <v>4.81</v>
      </c>
      <c r="V1345" s="63" t="n">
        <f aca="false">IFERROR(S1345/F1345,0)</f>
        <v>0.160815780675359</v>
      </c>
      <c r="W1345" s="63" t="n">
        <f aca="false">IFERROR(R1345/F1345,0)</f>
        <v>0.839184219324641</v>
      </c>
      <c r="X1345" s="63" t="n">
        <f aca="false">IFERROR(T1345/F1345,0)</f>
        <v>0.0842527582748245</v>
      </c>
      <c r="Y1345" s="63" t="n">
        <f aca="false">IFERROR(G1345/F1345,0)</f>
        <v>0.572049481778669</v>
      </c>
      <c r="Z1345" s="59" t="n">
        <f aca="false">IF(E1345&gt;0,F1345*1000000000/E1345,"")</f>
        <v>864.261279100914</v>
      </c>
      <c r="AA1345" s="63" t="n">
        <f aca="false">IFERROR((R1345+S1345+J1345)/F1345,0)</f>
        <v>1</v>
      </c>
      <c r="AB1345" s="0" t="str">
        <f aca="false">A1345&amp;"|"&amp;D1345</f>
        <v>Morocco|2015</v>
      </c>
    </row>
    <row r="1346" customFormat="false" ht="15" hidden="false" customHeight="false" outlineLevel="0" collapsed="false">
      <c r="A1346" s="0" t="s">
        <v>309</v>
      </c>
      <c r="B1346" s="0" t="s">
        <v>548</v>
      </c>
      <c r="C1346" s="0" t="s">
        <v>127</v>
      </c>
      <c r="D1346" s="0" t="n">
        <v>2016</v>
      </c>
      <c r="E1346" s="59" t="n">
        <v>35023459</v>
      </c>
      <c r="F1346" s="60" t="n">
        <v>30.87</v>
      </c>
      <c r="G1346" s="61" t="n">
        <v>16.99</v>
      </c>
      <c r="H1346" s="61" t="n">
        <v>5.91</v>
      </c>
      <c r="I1346" s="61" t="n">
        <v>2.88</v>
      </c>
      <c r="J1346" s="61" t="n">
        <v>0</v>
      </c>
      <c r="K1346" s="61" t="n">
        <v>1.66</v>
      </c>
      <c r="L1346" s="61" t="n">
        <v>0.4</v>
      </c>
      <c r="M1346" s="61" t="n">
        <v>3.02</v>
      </c>
      <c r="N1346" s="61" t="n">
        <v>0.01</v>
      </c>
      <c r="O1346" s="61" t="n">
        <v>0</v>
      </c>
      <c r="P1346" s="62" t="n">
        <v>633.6</v>
      </c>
      <c r="Q1346" s="0" t="n">
        <v>0</v>
      </c>
      <c r="R1346" s="60" t="n">
        <f aca="false">G1346+H1346+I1346</f>
        <v>25.78</v>
      </c>
      <c r="S1346" s="60" t="n">
        <f aca="false">K1346+L1346+M1346+N1346+O1346</f>
        <v>5.09</v>
      </c>
      <c r="T1346" s="60" t="n">
        <f aca="false">L1346+M1346</f>
        <v>3.42</v>
      </c>
      <c r="U1346" s="60" t="n">
        <f aca="false">S1346+J1346</f>
        <v>5.09</v>
      </c>
      <c r="V1346" s="63" t="n">
        <f aca="false">IFERROR(S1346/F1346,0)</f>
        <v>0.164885001619696</v>
      </c>
      <c r="W1346" s="63" t="n">
        <f aca="false">IFERROR(R1346/F1346,0)</f>
        <v>0.835114998380305</v>
      </c>
      <c r="X1346" s="63" t="n">
        <f aca="false">IFERROR(T1346/F1346,0)</f>
        <v>0.110787172011662</v>
      </c>
      <c r="Y1346" s="63" t="n">
        <f aca="false">IFERROR(G1346/F1346,0)</f>
        <v>0.550372529964367</v>
      </c>
      <c r="Z1346" s="59" t="n">
        <f aca="false">IF(E1346&gt;0,F1346*1000000000/E1346,"")</f>
        <v>881.40922916837</v>
      </c>
      <c r="AA1346" s="63" t="n">
        <f aca="false">IFERROR((R1346+S1346+J1346)/F1346,0)</f>
        <v>1</v>
      </c>
      <c r="AB1346" s="0" t="str">
        <f aca="false">A1346&amp;"|"&amp;D1346</f>
        <v>Morocco|2016</v>
      </c>
    </row>
    <row r="1347" customFormat="false" ht="15" hidden="false" customHeight="false" outlineLevel="0" collapsed="false">
      <c r="A1347" s="0" t="s">
        <v>309</v>
      </c>
      <c r="B1347" s="0" t="s">
        <v>548</v>
      </c>
      <c r="C1347" s="0" t="s">
        <v>127</v>
      </c>
      <c r="D1347" s="0" t="n">
        <v>2017</v>
      </c>
      <c r="E1347" s="59" t="n">
        <v>35446395</v>
      </c>
      <c r="F1347" s="60" t="n">
        <v>31.94</v>
      </c>
      <c r="G1347" s="61" t="n">
        <v>17.55</v>
      </c>
      <c r="H1347" s="61" t="n">
        <v>5.84</v>
      </c>
      <c r="I1347" s="61" t="n">
        <v>3.49</v>
      </c>
      <c r="J1347" s="61" t="n">
        <v>0</v>
      </c>
      <c r="K1347" s="61" t="n">
        <v>1.57</v>
      </c>
      <c r="L1347" s="61" t="n">
        <v>0.41</v>
      </c>
      <c r="M1347" s="61" t="n">
        <v>3.04</v>
      </c>
      <c r="N1347" s="61" t="n">
        <v>0.04</v>
      </c>
      <c r="O1347" s="61" t="n">
        <v>0</v>
      </c>
      <c r="P1347" s="62" t="n">
        <v>637.5</v>
      </c>
      <c r="Q1347" s="0" t="n">
        <v>0</v>
      </c>
      <c r="R1347" s="60" t="n">
        <f aca="false">G1347+H1347+I1347</f>
        <v>26.88</v>
      </c>
      <c r="S1347" s="60" t="n">
        <f aca="false">K1347+L1347+M1347+N1347+O1347</f>
        <v>5.06</v>
      </c>
      <c r="T1347" s="60" t="n">
        <f aca="false">L1347+M1347</f>
        <v>3.45</v>
      </c>
      <c r="U1347" s="60" t="n">
        <f aca="false">S1347+J1347</f>
        <v>5.06</v>
      </c>
      <c r="V1347" s="63" t="n">
        <f aca="false">IFERROR(S1347/F1347,0)</f>
        <v>0.158422041327489</v>
      </c>
      <c r="W1347" s="63" t="n">
        <f aca="false">IFERROR(R1347/F1347,0)</f>
        <v>0.841577958672511</v>
      </c>
      <c r="X1347" s="63" t="n">
        <f aca="false">IFERROR(T1347/F1347,0)</f>
        <v>0.108015028177833</v>
      </c>
      <c r="Y1347" s="63" t="n">
        <f aca="false">IFERROR(G1347/F1347,0)</f>
        <v>0.549467752035066</v>
      </c>
      <c r="Z1347" s="59" t="n">
        <f aca="false">IF(E1347&gt;0,F1347*1000000000/E1347,"")</f>
        <v>901.078939057131</v>
      </c>
      <c r="AA1347" s="63" t="n">
        <f aca="false">IFERROR((R1347+S1347+J1347)/F1347,0)</f>
        <v>1</v>
      </c>
      <c r="AB1347" s="0" t="str">
        <f aca="false">A1347&amp;"|"&amp;D1347</f>
        <v>Morocco|2017</v>
      </c>
    </row>
    <row r="1348" customFormat="false" ht="15" hidden="false" customHeight="false" outlineLevel="0" collapsed="false">
      <c r="A1348" s="0" t="s">
        <v>309</v>
      </c>
      <c r="B1348" s="0" t="s">
        <v>548</v>
      </c>
      <c r="C1348" s="0" t="s">
        <v>127</v>
      </c>
      <c r="D1348" s="0" t="n">
        <v>2018</v>
      </c>
      <c r="E1348" s="59" t="n">
        <v>35839760</v>
      </c>
      <c r="F1348" s="60" t="n">
        <v>34.56</v>
      </c>
      <c r="G1348" s="61" t="n">
        <v>21.26</v>
      </c>
      <c r="H1348" s="61" t="n">
        <v>5.2</v>
      </c>
      <c r="I1348" s="61" t="n">
        <v>1.25</v>
      </c>
      <c r="J1348" s="61" t="n">
        <v>0</v>
      </c>
      <c r="K1348" s="61" t="n">
        <v>2</v>
      </c>
      <c r="L1348" s="61" t="n">
        <v>0.95</v>
      </c>
      <c r="M1348" s="61" t="n">
        <v>3.86</v>
      </c>
      <c r="N1348" s="61" t="n">
        <v>0.04</v>
      </c>
      <c r="O1348" s="61" t="n">
        <v>0</v>
      </c>
      <c r="P1348" s="62" t="n">
        <v>621.5</v>
      </c>
      <c r="Q1348" s="0" t="n">
        <v>0</v>
      </c>
      <c r="R1348" s="60" t="n">
        <f aca="false">G1348+H1348+I1348</f>
        <v>27.71</v>
      </c>
      <c r="S1348" s="60" t="n">
        <f aca="false">K1348+L1348+M1348+N1348+O1348</f>
        <v>6.85</v>
      </c>
      <c r="T1348" s="60" t="n">
        <f aca="false">L1348+M1348</f>
        <v>4.81</v>
      </c>
      <c r="U1348" s="60" t="n">
        <f aca="false">S1348+J1348</f>
        <v>6.85</v>
      </c>
      <c r="V1348" s="63" t="n">
        <f aca="false">IFERROR(S1348/F1348,0)</f>
        <v>0.198206018518519</v>
      </c>
      <c r="W1348" s="63" t="n">
        <f aca="false">IFERROR(R1348/F1348,0)</f>
        <v>0.801793981481481</v>
      </c>
      <c r="X1348" s="63" t="n">
        <f aca="false">IFERROR(T1348/F1348,0)</f>
        <v>0.139178240740741</v>
      </c>
      <c r="Y1348" s="63" t="n">
        <f aca="false">IFERROR(G1348/F1348,0)</f>
        <v>0.615162037037037</v>
      </c>
      <c r="Z1348" s="59" t="n">
        <f aca="false">IF(E1348&gt;0,F1348*1000000000/E1348,"")</f>
        <v>964.292171599363</v>
      </c>
      <c r="AA1348" s="63" t="n">
        <f aca="false">IFERROR((R1348+S1348+J1348)/F1348,0)</f>
        <v>1</v>
      </c>
      <c r="AB1348" s="0" t="str">
        <f aca="false">A1348&amp;"|"&amp;D1348</f>
        <v>Morocco|2018</v>
      </c>
    </row>
    <row r="1349" customFormat="false" ht="15" hidden="false" customHeight="false" outlineLevel="0" collapsed="false">
      <c r="A1349" s="0" t="s">
        <v>309</v>
      </c>
      <c r="B1349" s="0" t="s">
        <v>548</v>
      </c>
      <c r="C1349" s="0" t="s">
        <v>127</v>
      </c>
      <c r="D1349" s="0" t="n">
        <v>2019</v>
      </c>
      <c r="E1349" s="59" t="n">
        <v>36210907</v>
      </c>
      <c r="F1349" s="60" t="n">
        <v>40.38</v>
      </c>
      <c r="G1349" s="61" t="n">
        <v>26.9</v>
      </c>
      <c r="H1349" s="61" t="n">
        <v>4.7</v>
      </c>
      <c r="I1349" s="61" t="n">
        <v>0.79</v>
      </c>
      <c r="J1349" s="61" t="n">
        <v>0</v>
      </c>
      <c r="K1349" s="61" t="n">
        <v>1.65</v>
      </c>
      <c r="L1349" s="61" t="n">
        <v>1.58</v>
      </c>
      <c r="M1349" s="61" t="n">
        <v>4.72</v>
      </c>
      <c r="N1349" s="61" t="n">
        <v>0.04</v>
      </c>
      <c r="O1349" s="61" t="n">
        <v>0</v>
      </c>
      <c r="P1349" s="62" t="n">
        <v>631.8</v>
      </c>
      <c r="Q1349" s="0" t="n">
        <v>0</v>
      </c>
      <c r="R1349" s="60" t="n">
        <f aca="false">G1349+H1349+I1349</f>
        <v>32.39</v>
      </c>
      <c r="S1349" s="60" t="n">
        <f aca="false">K1349+L1349+M1349+N1349+O1349</f>
        <v>7.99</v>
      </c>
      <c r="T1349" s="60" t="n">
        <f aca="false">L1349+M1349</f>
        <v>6.3</v>
      </c>
      <c r="U1349" s="60" t="n">
        <f aca="false">S1349+J1349</f>
        <v>7.99</v>
      </c>
      <c r="V1349" s="63" t="n">
        <f aca="false">IFERROR(S1349/F1349,0)</f>
        <v>0.197870232788509</v>
      </c>
      <c r="W1349" s="63" t="n">
        <f aca="false">IFERROR(R1349/F1349,0)</f>
        <v>0.802129767211491</v>
      </c>
      <c r="X1349" s="63" t="n">
        <f aca="false">IFERROR(T1349/F1349,0)</f>
        <v>0.156017830609212</v>
      </c>
      <c r="Y1349" s="63" t="n">
        <f aca="false">IFERROR(G1349/F1349,0)</f>
        <v>0.66617137196632</v>
      </c>
      <c r="Z1349" s="59" t="n">
        <f aca="false">IF(E1349&gt;0,F1349*1000000000/E1349,"")</f>
        <v>1115.13362534664</v>
      </c>
      <c r="AA1349" s="63" t="n">
        <f aca="false">IFERROR((R1349+S1349+J1349)/F1349,0)</f>
        <v>1</v>
      </c>
      <c r="AB1349" s="0" t="str">
        <f aca="false">A1349&amp;"|"&amp;D1349</f>
        <v>Morocco|2019</v>
      </c>
    </row>
    <row r="1350" customFormat="false" ht="15" hidden="false" customHeight="false" outlineLevel="0" collapsed="false">
      <c r="A1350" s="0" t="s">
        <v>309</v>
      </c>
      <c r="B1350" s="0" t="s">
        <v>548</v>
      </c>
      <c r="C1350" s="0" t="s">
        <v>127</v>
      </c>
      <c r="D1350" s="0" t="n">
        <v>2020</v>
      </c>
      <c r="E1350" s="59" t="n">
        <v>36584208</v>
      </c>
      <c r="F1350" s="60" t="n">
        <v>38.8</v>
      </c>
      <c r="G1350" s="61" t="n">
        <v>27.21</v>
      </c>
      <c r="H1350" s="61" t="n">
        <v>3.46</v>
      </c>
      <c r="I1350" s="61" t="n">
        <v>0.69</v>
      </c>
      <c r="J1350" s="61" t="n">
        <v>0</v>
      </c>
      <c r="K1350" s="61" t="n">
        <v>1.29</v>
      </c>
      <c r="L1350" s="61" t="n">
        <v>1.52</v>
      </c>
      <c r="M1350" s="61" t="n">
        <v>4.59</v>
      </c>
      <c r="N1350" s="61" t="n">
        <v>0.04</v>
      </c>
      <c r="O1350" s="61" t="n">
        <v>0</v>
      </c>
      <c r="P1350" s="62" t="n">
        <v>645.6</v>
      </c>
      <c r="Q1350" s="0" t="n">
        <v>0</v>
      </c>
      <c r="R1350" s="60" t="n">
        <f aca="false">G1350+H1350+I1350</f>
        <v>31.36</v>
      </c>
      <c r="S1350" s="60" t="n">
        <f aca="false">K1350+L1350+M1350+N1350+O1350</f>
        <v>7.44</v>
      </c>
      <c r="T1350" s="60" t="n">
        <f aca="false">L1350+M1350</f>
        <v>6.11</v>
      </c>
      <c r="U1350" s="60" t="n">
        <f aca="false">S1350+J1350</f>
        <v>7.44</v>
      </c>
      <c r="V1350" s="63" t="n">
        <f aca="false">IFERROR(S1350/F1350,0)</f>
        <v>0.191752577319588</v>
      </c>
      <c r="W1350" s="63" t="n">
        <f aca="false">IFERROR(R1350/F1350,0)</f>
        <v>0.808247422680413</v>
      </c>
      <c r="X1350" s="63" t="n">
        <f aca="false">IFERROR(T1350/F1350,0)</f>
        <v>0.157474226804124</v>
      </c>
      <c r="Y1350" s="63" t="n">
        <f aca="false">IFERROR(G1350/F1350,0)</f>
        <v>0.701288659793815</v>
      </c>
      <c r="Z1350" s="59" t="n">
        <f aca="false">IF(E1350&gt;0,F1350*1000000000/E1350,"")</f>
        <v>1060.56689815453</v>
      </c>
      <c r="AA1350" s="63" t="n">
        <f aca="false">IFERROR((R1350+S1350+J1350)/F1350,0)</f>
        <v>1</v>
      </c>
      <c r="AB1350" s="0" t="str">
        <f aca="false">A1350&amp;"|"&amp;D1350</f>
        <v>Morocco|2020</v>
      </c>
    </row>
    <row r="1351" customFormat="false" ht="15" hidden="false" customHeight="false" outlineLevel="0" collapsed="false">
      <c r="A1351" s="0" t="s">
        <v>309</v>
      </c>
      <c r="B1351" s="0" t="s">
        <v>548</v>
      </c>
      <c r="C1351" s="0" t="s">
        <v>127</v>
      </c>
      <c r="D1351" s="0" t="n">
        <v>2021</v>
      </c>
      <c r="E1351" s="59" t="n">
        <v>36954443</v>
      </c>
      <c r="F1351" s="60" t="n">
        <v>41.3</v>
      </c>
      <c r="G1351" s="61" t="n">
        <v>28.28</v>
      </c>
      <c r="H1351" s="61" t="n">
        <v>3.46</v>
      </c>
      <c r="I1351" s="61" t="n">
        <v>1.38</v>
      </c>
      <c r="J1351" s="61" t="n">
        <v>0</v>
      </c>
      <c r="K1351" s="61" t="n">
        <v>1.21</v>
      </c>
      <c r="L1351" s="61" t="n">
        <v>1.82</v>
      </c>
      <c r="M1351" s="61" t="n">
        <v>5.11</v>
      </c>
      <c r="N1351" s="61" t="n">
        <v>0.04</v>
      </c>
      <c r="O1351" s="61" t="n">
        <v>0</v>
      </c>
      <c r="P1351" s="62" t="n">
        <v>640</v>
      </c>
      <c r="Q1351" s="0" t="n">
        <v>0</v>
      </c>
      <c r="R1351" s="60" t="n">
        <f aca="false">G1351+H1351+I1351</f>
        <v>33.12</v>
      </c>
      <c r="S1351" s="60" t="n">
        <f aca="false">K1351+L1351+M1351+N1351+O1351</f>
        <v>8.18</v>
      </c>
      <c r="T1351" s="60" t="n">
        <f aca="false">L1351+M1351</f>
        <v>6.93</v>
      </c>
      <c r="U1351" s="60" t="n">
        <f aca="false">S1351+J1351</f>
        <v>8.18</v>
      </c>
      <c r="V1351" s="63" t="n">
        <f aca="false">IFERROR(S1351/F1351,0)</f>
        <v>0.198062953995157</v>
      </c>
      <c r="W1351" s="63" t="n">
        <f aca="false">IFERROR(R1351/F1351,0)</f>
        <v>0.801937046004843</v>
      </c>
      <c r="X1351" s="63" t="n">
        <f aca="false">IFERROR(T1351/F1351,0)</f>
        <v>0.167796610169492</v>
      </c>
      <c r="Y1351" s="63" t="n">
        <f aca="false">IFERROR(G1351/F1351,0)</f>
        <v>0.684745762711865</v>
      </c>
      <c r="Z1351" s="59" t="n">
        <f aca="false">IF(E1351&gt;0,F1351*1000000000/E1351,"")</f>
        <v>1117.59227435792</v>
      </c>
      <c r="AA1351" s="63" t="n">
        <f aca="false">IFERROR((R1351+S1351+J1351)/F1351,0)</f>
        <v>1</v>
      </c>
      <c r="AB1351" s="0" t="str">
        <f aca="false">A1351&amp;"|"&amp;D1351</f>
        <v>Morocco|2021</v>
      </c>
    </row>
    <row r="1352" customFormat="false" ht="15" hidden="false" customHeight="false" outlineLevel="0" collapsed="false">
      <c r="A1352" s="0" t="s">
        <v>309</v>
      </c>
      <c r="B1352" s="0" t="s">
        <v>548</v>
      </c>
      <c r="C1352" s="0" t="s">
        <v>127</v>
      </c>
      <c r="D1352" s="0" t="n">
        <v>2022</v>
      </c>
      <c r="E1352" s="59" t="n">
        <v>37329068</v>
      </c>
      <c r="F1352" s="60" t="n">
        <v>41.41</v>
      </c>
      <c r="G1352" s="61" t="n">
        <v>29</v>
      </c>
      <c r="H1352" s="61" t="n">
        <v>0.69</v>
      </c>
      <c r="I1352" s="61" t="n">
        <v>4.19</v>
      </c>
      <c r="J1352" s="61" t="n">
        <v>0</v>
      </c>
      <c r="K1352" s="61" t="n">
        <v>0.68</v>
      </c>
      <c r="L1352" s="61" t="n">
        <v>1.45</v>
      </c>
      <c r="M1352" s="61" t="n">
        <v>5.36</v>
      </c>
      <c r="N1352" s="61" t="n">
        <v>0.04</v>
      </c>
      <c r="O1352" s="61" t="n">
        <v>0</v>
      </c>
      <c r="P1352" s="62" t="n">
        <v>662.6</v>
      </c>
      <c r="Q1352" s="0" t="n">
        <v>0</v>
      </c>
      <c r="R1352" s="60" t="n">
        <f aca="false">G1352+H1352+I1352</f>
        <v>33.88</v>
      </c>
      <c r="S1352" s="60" t="n">
        <f aca="false">K1352+L1352+M1352+N1352+O1352</f>
        <v>7.53</v>
      </c>
      <c r="T1352" s="60" t="n">
        <f aca="false">L1352+M1352</f>
        <v>6.81</v>
      </c>
      <c r="U1352" s="60" t="n">
        <f aca="false">S1352+J1352</f>
        <v>7.53</v>
      </c>
      <c r="V1352" s="63" t="n">
        <f aca="false">IFERROR(S1352/F1352,0)</f>
        <v>0.181840135233036</v>
      </c>
      <c r="W1352" s="63" t="n">
        <f aca="false">IFERROR(R1352/F1352,0)</f>
        <v>0.818159864766965</v>
      </c>
      <c r="X1352" s="63" t="n">
        <f aca="false">IFERROR(T1352/F1352,0)</f>
        <v>0.164453030668921</v>
      </c>
      <c r="Y1352" s="63" t="n">
        <f aca="false">IFERROR(G1352/F1352,0)</f>
        <v>0.700313933832408</v>
      </c>
      <c r="Z1352" s="59" t="n">
        <f aca="false">IF(E1352&gt;0,F1352*1000000000/E1352,"")</f>
        <v>1109.32316874346</v>
      </c>
      <c r="AA1352" s="63" t="n">
        <f aca="false">IFERROR((R1352+S1352+J1352)/F1352,0)</f>
        <v>1</v>
      </c>
      <c r="AB1352" s="0" t="str">
        <f aca="false">A1352&amp;"|"&amp;D1352</f>
        <v>Morocco|2022</v>
      </c>
    </row>
    <row r="1353" customFormat="false" ht="15" hidden="false" customHeight="false" outlineLevel="0" collapsed="false">
      <c r="A1353" s="0" t="s">
        <v>309</v>
      </c>
      <c r="B1353" s="0" t="s">
        <v>548</v>
      </c>
      <c r="C1353" s="0" t="s">
        <v>127</v>
      </c>
      <c r="D1353" s="0" t="n">
        <v>2023</v>
      </c>
      <c r="E1353" s="59" t="n">
        <v>37712516</v>
      </c>
      <c r="F1353" s="60" t="n">
        <v>42.46</v>
      </c>
      <c r="G1353" s="61" t="n">
        <v>27.15</v>
      </c>
      <c r="H1353" s="61" t="n">
        <v>4.26</v>
      </c>
      <c r="I1353" s="61" t="n">
        <v>1.83</v>
      </c>
      <c r="J1353" s="61" t="n">
        <v>0</v>
      </c>
      <c r="K1353" s="61" t="n">
        <v>0.52</v>
      </c>
      <c r="L1353" s="61" t="n">
        <v>2.11</v>
      </c>
      <c r="M1353" s="61" t="n">
        <v>6.55</v>
      </c>
      <c r="N1353" s="61" t="n">
        <v>0.04</v>
      </c>
      <c r="O1353" s="61" t="n">
        <v>0</v>
      </c>
      <c r="P1353" s="62" t="n">
        <v>616.4</v>
      </c>
      <c r="Q1353" s="0" t="n">
        <v>0</v>
      </c>
      <c r="R1353" s="60" t="n">
        <f aca="false">G1353+H1353+I1353</f>
        <v>33.24</v>
      </c>
      <c r="S1353" s="60" t="n">
        <f aca="false">K1353+L1353+M1353+N1353+O1353</f>
        <v>9.22</v>
      </c>
      <c r="T1353" s="60" t="n">
        <f aca="false">L1353+M1353</f>
        <v>8.66</v>
      </c>
      <c r="U1353" s="60" t="n">
        <f aca="false">S1353+J1353</f>
        <v>9.22</v>
      </c>
      <c r="V1353" s="63" t="n">
        <f aca="false">IFERROR(S1353/F1353,0)</f>
        <v>0.217145548751766</v>
      </c>
      <c r="W1353" s="63" t="n">
        <f aca="false">IFERROR(R1353/F1353,0)</f>
        <v>0.782854451248234</v>
      </c>
      <c r="X1353" s="63" t="n">
        <f aca="false">IFERROR(T1353/F1353,0)</f>
        <v>0.203956665096561</v>
      </c>
      <c r="Y1353" s="63" t="n">
        <f aca="false">IFERROR(G1353/F1353,0)</f>
        <v>0.63942534149788</v>
      </c>
      <c r="Z1353" s="59" t="n">
        <f aca="false">IF(E1353&gt;0,F1353*1000000000/E1353,"")</f>
        <v>1125.88616468867</v>
      </c>
      <c r="AA1353" s="63" t="n">
        <f aca="false">IFERROR((R1353+S1353+J1353)/F1353,0)</f>
        <v>1</v>
      </c>
      <c r="AB1353" s="0" t="str">
        <f aca="false">A1353&amp;"|"&amp;D1353</f>
        <v>Morocco|2023</v>
      </c>
    </row>
    <row r="1354" customFormat="false" ht="15" hidden="false" customHeight="false" outlineLevel="0" collapsed="false">
      <c r="A1354" s="0" t="s">
        <v>309</v>
      </c>
      <c r="B1354" s="0" t="s">
        <v>548</v>
      </c>
      <c r="C1354" s="0" t="s">
        <v>127</v>
      </c>
      <c r="D1354" s="0" t="n">
        <v>2024</v>
      </c>
      <c r="E1354" s="59" t="n">
        <v>38081176</v>
      </c>
      <c r="F1354" s="60" t="n">
        <v>42.4</v>
      </c>
      <c r="G1354" s="61" t="n">
        <v>26.18</v>
      </c>
      <c r="H1354" s="61" t="n">
        <v>4.33</v>
      </c>
      <c r="I1354" s="61" t="n">
        <v>1.54</v>
      </c>
      <c r="J1354" s="61" t="n">
        <v>0</v>
      </c>
      <c r="K1354" s="61" t="n">
        <v>0.81</v>
      </c>
      <c r="L1354" s="61" t="n">
        <v>2.41</v>
      </c>
      <c r="M1354" s="61" t="n">
        <v>7.09</v>
      </c>
      <c r="N1354" s="61" t="n">
        <v>0.04</v>
      </c>
      <c r="O1354" s="61" t="n">
        <v>0</v>
      </c>
      <c r="P1354" s="62" t="n">
        <v>594.8</v>
      </c>
      <c r="Q1354" s="0" t="n">
        <v>0</v>
      </c>
      <c r="R1354" s="60" t="n">
        <f aca="false">G1354+H1354+I1354</f>
        <v>32.05</v>
      </c>
      <c r="S1354" s="60" t="n">
        <f aca="false">K1354+L1354+M1354+N1354+O1354</f>
        <v>10.35</v>
      </c>
      <c r="T1354" s="60" t="n">
        <f aca="false">L1354+M1354</f>
        <v>9.5</v>
      </c>
      <c r="U1354" s="60" t="n">
        <f aca="false">S1354+J1354</f>
        <v>10.35</v>
      </c>
      <c r="V1354" s="63" t="n">
        <f aca="false">IFERROR(S1354/F1354,0)</f>
        <v>0.244103773584906</v>
      </c>
      <c r="W1354" s="63" t="n">
        <f aca="false">IFERROR(R1354/F1354,0)</f>
        <v>0.755896226415094</v>
      </c>
      <c r="X1354" s="63" t="n">
        <f aca="false">IFERROR(T1354/F1354,0)</f>
        <v>0.224056603773585</v>
      </c>
      <c r="Y1354" s="63" t="n">
        <f aca="false">IFERROR(G1354/F1354,0)</f>
        <v>0.617452830188679</v>
      </c>
      <c r="Z1354" s="59" t="n">
        <f aca="false">IF(E1354&gt;0,F1354*1000000000/E1354,"")</f>
        <v>1113.41099339999</v>
      </c>
      <c r="AA1354" s="63" t="n">
        <f aca="false">IFERROR((R1354+S1354+J1354)/F1354,0)</f>
        <v>1</v>
      </c>
      <c r="AB1354" s="0" t="str">
        <f aca="false">A1354&amp;"|"&amp;D1354</f>
        <v>Morocco|2024</v>
      </c>
    </row>
    <row r="1355" customFormat="false" ht="15" hidden="false" customHeight="false" outlineLevel="0" collapsed="false">
      <c r="A1355" s="0" t="s">
        <v>309</v>
      </c>
      <c r="B1355" s="0" t="s">
        <v>548</v>
      </c>
      <c r="C1355" s="0" t="s">
        <v>127</v>
      </c>
      <c r="D1355" s="0" t="n">
        <v>2025</v>
      </c>
      <c r="E1355" s="59" t="n">
        <v>38430774</v>
      </c>
      <c r="F1355" s="60" t="n">
        <v>44.5</v>
      </c>
      <c r="G1355" s="61" t="n">
        <v>27.37</v>
      </c>
      <c r="H1355" s="61" t="n">
        <v>4.86</v>
      </c>
      <c r="I1355" s="61" t="n">
        <v>1.61</v>
      </c>
      <c r="J1355" s="61" t="n">
        <v>0</v>
      </c>
      <c r="K1355" s="61" t="n">
        <v>0.91</v>
      </c>
      <c r="L1355" s="61" t="n">
        <v>2.57</v>
      </c>
      <c r="M1355" s="61" t="n">
        <v>7.14</v>
      </c>
      <c r="N1355" s="61" t="n">
        <v>0.04</v>
      </c>
      <c r="O1355" s="61" t="n">
        <v>0</v>
      </c>
      <c r="P1355" s="62" t="n">
        <v>596.4</v>
      </c>
      <c r="Q1355" s="0" t="n">
        <v>0</v>
      </c>
      <c r="R1355" s="60" t="n">
        <f aca="false">G1355+H1355+I1355</f>
        <v>33.84</v>
      </c>
      <c r="S1355" s="60" t="n">
        <f aca="false">K1355+L1355+M1355+N1355+O1355</f>
        <v>10.66</v>
      </c>
      <c r="T1355" s="60" t="n">
        <f aca="false">L1355+M1355</f>
        <v>9.71</v>
      </c>
      <c r="U1355" s="60" t="n">
        <f aca="false">S1355+J1355</f>
        <v>10.66</v>
      </c>
      <c r="V1355" s="63" t="n">
        <f aca="false">IFERROR(S1355/F1355,0)</f>
        <v>0.239550561797753</v>
      </c>
      <c r="W1355" s="63" t="n">
        <f aca="false">IFERROR(R1355/F1355,0)</f>
        <v>0.760449438202247</v>
      </c>
      <c r="X1355" s="63" t="n">
        <f aca="false">IFERROR(T1355/F1355,0)</f>
        <v>0.218202247191011</v>
      </c>
      <c r="Y1355" s="63" t="n">
        <f aca="false">IFERROR(G1355/F1355,0)</f>
        <v>0.615056179775281</v>
      </c>
      <c r="Z1355" s="59" t="n">
        <f aca="false">IF(E1355&gt;0,F1355*1000000000/E1355,"")</f>
        <v>1157.92619737505</v>
      </c>
      <c r="AA1355" s="63" t="n">
        <f aca="false">IFERROR((R1355+S1355+J1355)/F1355,0)</f>
        <v>1</v>
      </c>
      <c r="AB1355" s="0" t="str">
        <f aca="false">A1355&amp;"|"&amp;D1355</f>
        <v>Morocco|2025</v>
      </c>
    </row>
    <row r="1356" customFormat="false" ht="15" hidden="false" customHeight="false" outlineLevel="0" collapsed="false">
      <c r="A1356" s="0" t="s">
        <v>310</v>
      </c>
      <c r="B1356" s="0" t="s">
        <v>549</v>
      </c>
      <c r="C1356" s="0" t="s">
        <v>127</v>
      </c>
      <c r="D1356" s="0" t="n">
        <v>2015</v>
      </c>
      <c r="E1356" s="59" t="n">
        <v>26547576</v>
      </c>
      <c r="F1356" s="60" t="n">
        <v>18.38</v>
      </c>
      <c r="G1356" s="61" t="n">
        <v>0</v>
      </c>
      <c r="H1356" s="61" t="n">
        <v>1.27</v>
      </c>
      <c r="I1356" s="61" t="n">
        <v>0.02</v>
      </c>
      <c r="J1356" s="61" t="n">
        <v>0</v>
      </c>
      <c r="K1356" s="61" t="n">
        <v>17.09</v>
      </c>
      <c r="L1356" s="61" t="n">
        <v>0</v>
      </c>
      <c r="M1356" s="61" t="n">
        <v>0</v>
      </c>
      <c r="N1356" s="61" t="n">
        <v>0</v>
      </c>
      <c r="O1356" s="61" t="n">
        <v>0</v>
      </c>
      <c r="P1356" s="62" t="n">
        <v>68</v>
      </c>
      <c r="Q1356" s="0" t="n">
        <v>0</v>
      </c>
      <c r="R1356" s="60" t="n">
        <f aca="false">G1356+H1356+I1356</f>
        <v>1.29</v>
      </c>
      <c r="S1356" s="60" t="n">
        <f aca="false">K1356+L1356+M1356+N1356+O1356</f>
        <v>17.09</v>
      </c>
      <c r="T1356" s="60" t="n">
        <f aca="false">L1356+M1356</f>
        <v>0</v>
      </c>
      <c r="U1356" s="60" t="n">
        <f aca="false">S1356+J1356</f>
        <v>17.09</v>
      </c>
      <c r="V1356" s="63" t="n">
        <f aca="false">IFERROR(S1356/F1356,0)</f>
        <v>0.929815016322089</v>
      </c>
      <c r="W1356" s="63" t="n">
        <f aca="false">IFERROR(R1356/F1356,0)</f>
        <v>0.0701849836779108</v>
      </c>
      <c r="X1356" s="63" t="n">
        <f aca="false">IFERROR(T1356/F1356,0)</f>
        <v>0</v>
      </c>
      <c r="Y1356" s="63" t="n">
        <f aca="false">IFERROR(G1356/F1356,0)</f>
        <v>0</v>
      </c>
      <c r="Z1356" s="59" t="n">
        <f aca="false">IF(E1356&gt;0,F1356*1000000000/E1356,"")</f>
        <v>692.341929824403</v>
      </c>
      <c r="AA1356" s="63" t="n">
        <f aca="false">IFERROR((R1356+S1356+J1356)/F1356,0)</f>
        <v>1</v>
      </c>
      <c r="AB1356" s="0" t="str">
        <f aca="false">A1356&amp;"|"&amp;D1356</f>
        <v>Mozambique|2015</v>
      </c>
    </row>
    <row r="1357" customFormat="false" ht="15" hidden="false" customHeight="false" outlineLevel="0" collapsed="false">
      <c r="A1357" s="0" t="s">
        <v>310</v>
      </c>
      <c r="B1357" s="0" t="s">
        <v>549</v>
      </c>
      <c r="C1357" s="0" t="s">
        <v>127</v>
      </c>
      <c r="D1357" s="0" t="n">
        <v>2016</v>
      </c>
      <c r="E1357" s="59" t="n">
        <v>27337107</v>
      </c>
      <c r="F1357" s="60" t="n">
        <v>18.86</v>
      </c>
      <c r="G1357" s="61" t="n">
        <v>0</v>
      </c>
      <c r="H1357" s="61" t="n">
        <v>2.83</v>
      </c>
      <c r="I1357" s="61" t="n">
        <v>0.43</v>
      </c>
      <c r="J1357" s="61" t="n">
        <v>0</v>
      </c>
      <c r="K1357" s="61" t="n">
        <v>15.6</v>
      </c>
      <c r="L1357" s="61" t="n">
        <v>0</v>
      </c>
      <c r="M1357" s="61" t="n">
        <v>0</v>
      </c>
      <c r="N1357" s="61" t="n">
        <v>0</v>
      </c>
      <c r="O1357" s="61" t="n">
        <v>0</v>
      </c>
      <c r="P1357" s="62" t="n">
        <v>132.6</v>
      </c>
      <c r="Q1357" s="0" t="n">
        <v>0</v>
      </c>
      <c r="R1357" s="60" t="n">
        <f aca="false">G1357+H1357+I1357</f>
        <v>3.26</v>
      </c>
      <c r="S1357" s="60" t="n">
        <f aca="false">K1357+L1357+M1357+N1357+O1357</f>
        <v>15.6</v>
      </c>
      <c r="T1357" s="60" t="n">
        <f aca="false">L1357+M1357</f>
        <v>0</v>
      </c>
      <c r="U1357" s="60" t="n">
        <f aca="false">S1357+J1357</f>
        <v>15.6</v>
      </c>
      <c r="V1357" s="63" t="n">
        <f aca="false">IFERROR(S1357/F1357,0)</f>
        <v>0.827147401908802</v>
      </c>
      <c r="W1357" s="63" t="n">
        <f aca="false">IFERROR(R1357/F1357,0)</f>
        <v>0.172852598091198</v>
      </c>
      <c r="X1357" s="63" t="n">
        <f aca="false">IFERROR(T1357/F1357,0)</f>
        <v>0</v>
      </c>
      <c r="Y1357" s="63" t="n">
        <f aca="false">IFERROR(G1357/F1357,0)</f>
        <v>0</v>
      </c>
      <c r="Z1357" s="59" t="n">
        <f aca="false">IF(E1357&gt;0,F1357*1000000000/E1357,"")</f>
        <v>689.904751076989</v>
      </c>
      <c r="AA1357" s="63" t="n">
        <f aca="false">IFERROR((R1357+S1357+J1357)/F1357,0)</f>
        <v>1</v>
      </c>
      <c r="AB1357" s="0" t="str">
        <f aca="false">A1357&amp;"|"&amp;D1357</f>
        <v>Mozambique|2016</v>
      </c>
    </row>
    <row r="1358" customFormat="false" ht="15" hidden="false" customHeight="false" outlineLevel="0" collapsed="false">
      <c r="A1358" s="0" t="s">
        <v>310</v>
      </c>
      <c r="B1358" s="0" t="s">
        <v>549</v>
      </c>
      <c r="C1358" s="0" t="s">
        <v>127</v>
      </c>
      <c r="D1358" s="0" t="n">
        <v>2017</v>
      </c>
      <c r="E1358" s="59" t="n">
        <v>28166397</v>
      </c>
      <c r="F1358" s="60" t="n">
        <v>17.64</v>
      </c>
      <c r="G1358" s="61" t="n">
        <v>0</v>
      </c>
      <c r="H1358" s="61" t="n">
        <v>2.79</v>
      </c>
      <c r="I1358" s="61" t="n">
        <v>0.65</v>
      </c>
      <c r="J1358" s="61" t="n">
        <v>0</v>
      </c>
      <c r="K1358" s="61" t="n">
        <v>14.06</v>
      </c>
      <c r="L1358" s="61" t="n">
        <v>0</v>
      </c>
      <c r="M1358" s="61" t="n">
        <v>0</v>
      </c>
      <c r="N1358" s="61" t="n">
        <v>0.14</v>
      </c>
      <c r="O1358" s="61" t="n">
        <v>0</v>
      </c>
      <c r="P1358" s="62" t="n">
        <v>148</v>
      </c>
      <c r="Q1358" s="0" t="n">
        <v>0</v>
      </c>
      <c r="R1358" s="60" t="n">
        <f aca="false">G1358+H1358+I1358</f>
        <v>3.44</v>
      </c>
      <c r="S1358" s="60" t="n">
        <f aca="false">K1358+L1358+M1358+N1358+O1358</f>
        <v>14.2</v>
      </c>
      <c r="T1358" s="60" t="n">
        <f aca="false">L1358+M1358</f>
        <v>0</v>
      </c>
      <c r="U1358" s="60" t="n">
        <f aca="false">S1358+J1358</f>
        <v>14.2</v>
      </c>
      <c r="V1358" s="63" t="n">
        <f aca="false">IFERROR(S1358/F1358,0)</f>
        <v>0.804988662131519</v>
      </c>
      <c r="W1358" s="63" t="n">
        <f aca="false">IFERROR(R1358/F1358,0)</f>
        <v>0.195011337868481</v>
      </c>
      <c r="X1358" s="63" t="n">
        <f aca="false">IFERROR(T1358/F1358,0)</f>
        <v>0</v>
      </c>
      <c r="Y1358" s="63" t="n">
        <f aca="false">IFERROR(G1358/F1358,0)</f>
        <v>0</v>
      </c>
      <c r="Z1358" s="59" t="n">
        <f aca="false">IF(E1358&gt;0,F1358*1000000000/E1358,"")</f>
        <v>626.278185314224</v>
      </c>
      <c r="AA1358" s="63" t="n">
        <f aca="false">IFERROR((R1358+S1358+J1358)/F1358,0)</f>
        <v>1</v>
      </c>
      <c r="AB1358" s="0" t="str">
        <f aca="false">A1358&amp;"|"&amp;D1358</f>
        <v>Mozambique|2017</v>
      </c>
    </row>
    <row r="1359" customFormat="false" ht="15" hidden="false" customHeight="false" outlineLevel="0" collapsed="false">
      <c r="A1359" s="0" t="s">
        <v>310</v>
      </c>
      <c r="B1359" s="0" t="s">
        <v>549</v>
      </c>
      <c r="C1359" s="0" t="s">
        <v>127</v>
      </c>
      <c r="D1359" s="0" t="n">
        <v>2018</v>
      </c>
      <c r="E1359" s="59" t="n">
        <v>29018647</v>
      </c>
      <c r="F1359" s="60" t="n">
        <v>17.14</v>
      </c>
      <c r="G1359" s="61" t="n">
        <v>0</v>
      </c>
      <c r="H1359" s="61" t="n">
        <v>2.87</v>
      </c>
      <c r="I1359" s="61" t="n">
        <v>0.25</v>
      </c>
      <c r="J1359" s="61" t="n">
        <v>0</v>
      </c>
      <c r="K1359" s="61" t="n">
        <v>13.9</v>
      </c>
      <c r="L1359" s="61" t="n">
        <v>0</v>
      </c>
      <c r="M1359" s="61" t="n">
        <v>0</v>
      </c>
      <c r="N1359" s="61" t="n">
        <v>0.12</v>
      </c>
      <c r="O1359" s="61" t="n">
        <v>0</v>
      </c>
      <c r="P1359" s="62" t="n">
        <v>139.4</v>
      </c>
      <c r="Q1359" s="0" t="n">
        <v>0</v>
      </c>
      <c r="R1359" s="60" t="n">
        <f aca="false">G1359+H1359+I1359</f>
        <v>3.12</v>
      </c>
      <c r="S1359" s="60" t="n">
        <f aca="false">K1359+L1359+M1359+N1359+O1359</f>
        <v>14.02</v>
      </c>
      <c r="T1359" s="60" t="n">
        <f aca="false">L1359+M1359</f>
        <v>0</v>
      </c>
      <c r="U1359" s="60" t="n">
        <f aca="false">S1359+J1359</f>
        <v>14.02</v>
      </c>
      <c r="V1359" s="63" t="n">
        <f aca="false">IFERROR(S1359/F1359,0)</f>
        <v>0.817969661610268</v>
      </c>
      <c r="W1359" s="63" t="n">
        <f aca="false">IFERROR(R1359/F1359,0)</f>
        <v>0.182030338389732</v>
      </c>
      <c r="X1359" s="63" t="n">
        <f aca="false">IFERROR(T1359/F1359,0)</f>
        <v>0</v>
      </c>
      <c r="Y1359" s="63" t="n">
        <f aca="false">IFERROR(G1359/F1359,0)</f>
        <v>0</v>
      </c>
      <c r="Z1359" s="59" t="n">
        <f aca="false">IF(E1359&gt;0,F1359*1000000000/E1359,"")</f>
        <v>590.654691791799</v>
      </c>
      <c r="AA1359" s="63" t="n">
        <f aca="false">IFERROR((R1359+S1359+J1359)/F1359,0)</f>
        <v>1</v>
      </c>
      <c r="AB1359" s="0" t="str">
        <f aca="false">A1359&amp;"|"&amp;D1359</f>
        <v>Mozambique|2018</v>
      </c>
    </row>
    <row r="1360" customFormat="false" ht="15" hidden="false" customHeight="false" outlineLevel="0" collapsed="false">
      <c r="A1360" s="0" t="s">
        <v>310</v>
      </c>
      <c r="B1360" s="0" t="s">
        <v>549</v>
      </c>
      <c r="C1360" s="0" t="s">
        <v>127</v>
      </c>
      <c r="D1360" s="0" t="n">
        <v>2019</v>
      </c>
      <c r="E1360" s="59" t="n">
        <v>29884378</v>
      </c>
      <c r="F1360" s="60" t="n">
        <v>18.99</v>
      </c>
      <c r="G1360" s="61" t="n">
        <v>0</v>
      </c>
      <c r="H1360" s="61" t="n">
        <v>3.78</v>
      </c>
      <c r="I1360" s="61" t="n">
        <v>0.14</v>
      </c>
      <c r="J1360" s="61" t="n">
        <v>0</v>
      </c>
      <c r="K1360" s="61" t="n">
        <v>14.93</v>
      </c>
      <c r="L1360" s="61" t="n">
        <v>0.03</v>
      </c>
      <c r="M1360" s="61" t="n">
        <v>0</v>
      </c>
      <c r="N1360" s="61" t="n">
        <v>0.11</v>
      </c>
      <c r="O1360" s="61" t="n">
        <v>0</v>
      </c>
      <c r="P1360" s="62" t="n">
        <v>154.3</v>
      </c>
      <c r="Q1360" s="0" t="n">
        <v>0</v>
      </c>
      <c r="R1360" s="60" t="n">
        <f aca="false">G1360+H1360+I1360</f>
        <v>3.92</v>
      </c>
      <c r="S1360" s="60" t="n">
        <f aca="false">K1360+L1360+M1360+N1360+O1360</f>
        <v>15.07</v>
      </c>
      <c r="T1360" s="60" t="n">
        <f aca="false">L1360+M1360</f>
        <v>0.03</v>
      </c>
      <c r="U1360" s="60" t="n">
        <f aca="false">S1360+J1360</f>
        <v>15.07</v>
      </c>
      <c r="V1360" s="63" t="n">
        <f aca="false">IFERROR(S1360/F1360,0)</f>
        <v>0.793575566087414</v>
      </c>
      <c r="W1360" s="63" t="n">
        <f aca="false">IFERROR(R1360/F1360,0)</f>
        <v>0.206424433912586</v>
      </c>
      <c r="X1360" s="63" t="n">
        <f aca="false">IFERROR(T1360/F1360,0)</f>
        <v>0.00157977883096367</v>
      </c>
      <c r="Y1360" s="63" t="n">
        <f aca="false">IFERROR(G1360/F1360,0)</f>
        <v>0</v>
      </c>
      <c r="Z1360" s="59" t="n">
        <f aca="false">IF(E1360&gt;0,F1360*1000000000/E1360,"")</f>
        <v>635.449063052274</v>
      </c>
      <c r="AA1360" s="63" t="n">
        <f aca="false">IFERROR((R1360+S1360+J1360)/F1360,0)</f>
        <v>1</v>
      </c>
      <c r="AB1360" s="0" t="str">
        <f aca="false">A1360&amp;"|"&amp;D1360</f>
        <v>Mozambique|2019</v>
      </c>
    </row>
    <row r="1361" customFormat="false" ht="15" hidden="false" customHeight="false" outlineLevel="0" collapsed="false">
      <c r="A1361" s="0" t="s">
        <v>310</v>
      </c>
      <c r="B1361" s="0" t="s">
        <v>549</v>
      </c>
      <c r="C1361" s="0" t="s">
        <v>127</v>
      </c>
      <c r="D1361" s="0" t="n">
        <v>2020</v>
      </c>
      <c r="E1361" s="59" t="n">
        <v>30783685</v>
      </c>
      <c r="F1361" s="60" t="n">
        <v>19.02</v>
      </c>
      <c r="G1361" s="61" t="n">
        <v>0</v>
      </c>
      <c r="H1361" s="61" t="n">
        <v>3</v>
      </c>
      <c r="I1361" s="61" t="n">
        <v>0.14</v>
      </c>
      <c r="J1361" s="61" t="n">
        <v>0</v>
      </c>
      <c r="K1361" s="61" t="n">
        <v>15.7</v>
      </c>
      <c r="L1361" s="61" t="n">
        <v>0.07</v>
      </c>
      <c r="M1361" s="61" t="n">
        <v>0</v>
      </c>
      <c r="N1361" s="61" t="n">
        <v>0.11</v>
      </c>
      <c r="O1361" s="61" t="n">
        <v>0</v>
      </c>
      <c r="P1361" s="62" t="n">
        <v>128.3</v>
      </c>
      <c r="Q1361" s="0" t="n">
        <v>0</v>
      </c>
      <c r="R1361" s="60" t="n">
        <f aca="false">G1361+H1361+I1361</f>
        <v>3.14</v>
      </c>
      <c r="S1361" s="60" t="n">
        <f aca="false">K1361+L1361+M1361+N1361+O1361</f>
        <v>15.88</v>
      </c>
      <c r="T1361" s="60" t="n">
        <f aca="false">L1361+M1361</f>
        <v>0.07</v>
      </c>
      <c r="U1361" s="60" t="n">
        <f aca="false">S1361+J1361</f>
        <v>15.88</v>
      </c>
      <c r="V1361" s="63" t="n">
        <f aca="false">IFERROR(S1361/F1361,0)</f>
        <v>0.834910620399579</v>
      </c>
      <c r="W1361" s="63" t="n">
        <f aca="false">IFERROR(R1361/F1361,0)</f>
        <v>0.165089379600421</v>
      </c>
      <c r="X1361" s="63" t="n">
        <f aca="false">IFERROR(T1361/F1361,0)</f>
        <v>0.00368033648790747</v>
      </c>
      <c r="Y1361" s="63" t="n">
        <f aca="false">IFERROR(G1361/F1361,0)</f>
        <v>0</v>
      </c>
      <c r="Z1361" s="59" t="n">
        <f aca="false">IF(E1361&gt;0,F1361*1000000000/E1361,"")</f>
        <v>617.859752657942</v>
      </c>
      <c r="AA1361" s="63" t="n">
        <f aca="false">IFERROR((R1361+S1361+J1361)/F1361,0)</f>
        <v>1</v>
      </c>
      <c r="AB1361" s="0" t="str">
        <f aca="false">A1361&amp;"|"&amp;D1361</f>
        <v>Mozambique|2020</v>
      </c>
    </row>
    <row r="1362" customFormat="false" ht="15" hidden="false" customHeight="false" outlineLevel="0" collapsed="false">
      <c r="A1362" s="0" t="s">
        <v>310</v>
      </c>
      <c r="B1362" s="0" t="s">
        <v>549</v>
      </c>
      <c r="C1362" s="0" t="s">
        <v>127</v>
      </c>
      <c r="D1362" s="0" t="n">
        <v>2021</v>
      </c>
      <c r="E1362" s="59" t="n">
        <v>31707798</v>
      </c>
      <c r="F1362" s="60" t="n">
        <v>18.86</v>
      </c>
      <c r="G1362" s="61" t="n">
        <v>0</v>
      </c>
      <c r="H1362" s="61" t="n">
        <v>3.04</v>
      </c>
      <c r="I1362" s="61" t="n">
        <v>0.17</v>
      </c>
      <c r="J1362" s="61" t="n">
        <v>0</v>
      </c>
      <c r="K1362" s="61" t="n">
        <v>15.47</v>
      </c>
      <c r="L1362" s="61" t="n">
        <v>0.07</v>
      </c>
      <c r="M1362" s="61" t="n">
        <v>0</v>
      </c>
      <c r="N1362" s="61" t="n">
        <v>0.11</v>
      </c>
      <c r="O1362" s="61" t="n">
        <v>0</v>
      </c>
      <c r="P1362" s="62" t="n">
        <v>131.5</v>
      </c>
      <c r="Q1362" s="0" t="n">
        <v>0</v>
      </c>
      <c r="R1362" s="60" t="n">
        <f aca="false">G1362+H1362+I1362</f>
        <v>3.21</v>
      </c>
      <c r="S1362" s="60" t="n">
        <f aca="false">K1362+L1362+M1362+N1362+O1362</f>
        <v>15.65</v>
      </c>
      <c r="T1362" s="60" t="n">
        <f aca="false">L1362+M1362</f>
        <v>0.07</v>
      </c>
      <c r="U1362" s="60" t="n">
        <f aca="false">S1362+J1362</f>
        <v>15.65</v>
      </c>
      <c r="V1362" s="63" t="n">
        <f aca="false">IFERROR(S1362/F1362,0)</f>
        <v>0.829798515376458</v>
      </c>
      <c r="W1362" s="63" t="n">
        <f aca="false">IFERROR(R1362/F1362,0)</f>
        <v>0.170201484623542</v>
      </c>
      <c r="X1362" s="63" t="n">
        <f aca="false">IFERROR(T1362/F1362,0)</f>
        <v>0.00371155885471898</v>
      </c>
      <c r="Y1362" s="63" t="n">
        <f aca="false">IFERROR(G1362/F1362,0)</f>
        <v>0</v>
      </c>
      <c r="Z1362" s="59" t="n">
        <f aca="false">IF(E1362&gt;0,F1362*1000000000/E1362,"")</f>
        <v>594.806362775491</v>
      </c>
      <c r="AA1362" s="63" t="n">
        <f aca="false">IFERROR((R1362+S1362+J1362)/F1362,0)</f>
        <v>1</v>
      </c>
      <c r="AB1362" s="0" t="str">
        <f aca="false">A1362&amp;"|"&amp;D1362</f>
        <v>Mozambique|2021</v>
      </c>
    </row>
    <row r="1363" customFormat="false" ht="15" hidden="false" customHeight="false" outlineLevel="0" collapsed="false">
      <c r="A1363" s="0" t="s">
        <v>310</v>
      </c>
      <c r="B1363" s="0" t="s">
        <v>549</v>
      </c>
      <c r="C1363" s="0" t="s">
        <v>127</v>
      </c>
      <c r="D1363" s="0" t="n">
        <v>2022</v>
      </c>
      <c r="E1363" s="59" t="n">
        <v>32656242</v>
      </c>
      <c r="F1363" s="60" t="n">
        <v>19.56</v>
      </c>
      <c r="G1363" s="61" t="n">
        <v>0</v>
      </c>
      <c r="H1363" s="61" t="n">
        <v>3.06</v>
      </c>
      <c r="I1363" s="61" t="n">
        <v>0.13</v>
      </c>
      <c r="J1363" s="61" t="n">
        <v>0</v>
      </c>
      <c r="K1363" s="61" t="n">
        <v>16.17</v>
      </c>
      <c r="L1363" s="61" t="n">
        <v>0.07</v>
      </c>
      <c r="M1363" s="61" t="n">
        <v>0</v>
      </c>
      <c r="N1363" s="61" t="n">
        <v>0.13</v>
      </c>
      <c r="O1363" s="61" t="n">
        <v>0</v>
      </c>
      <c r="P1363" s="62" t="n">
        <v>127.8</v>
      </c>
      <c r="Q1363" s="0" t="n">
        <v>0</v>
      </c>
      <c r="R1363" s="60" t="n">
        <f aca="false">G1363+H1363+I1363</f>
        <v>3.19</v>
      </c>
      <c r="S1363" s="60" t="n">
        <f aca="false">K1363+L1363+M1363+N1363+O1363</f>
        <v>16.37</v>
      </c>
      <c r="T1363" s="60" t="n">
        <f aca="false">L1363+M1363</f>
        <v>0.07</v>
      </c>
      <c r="U1363" s="60" t="n">
        <f aca="false">S1363+J1363</f>
        <v>16.37</v>
      </c>
      <c r="V1363" s="63" t="n">
        <f aca="false">IFERROR(S1363/F1363,0)</f>
        <v>0.836912065439673</v>
      </c>
      <c r="W1363" s="63" t="n">
        <f aca="false">IFERROR(R1363/F1363,0)</f>
        <v>0.163087934560327</v>
      </c>
      <c r="X1363" s="63" t="n">
        <f aca="false">IFERROR(T1363/F1363,0)</f>
        <v>0.00357873210633947</v>
      </c>
      <c r="Y1363" s="63" t="n">
        <f aca="false">IFERROR(G1363/F1363,0)</f>
        <v>0</v>
      </c>
      <c r="Z1363" s="59" t="n">
        <f aca="false">IF(E1363&gt;0,F1363*1000000000/E1363,"")</f>
        <v>598.966653909534</v>
      </c>
      <c r="AA1363" s="63" t="n">
        <f aca="false">IFERROR((R1363+S1363+J1363)/F1363,0)</f>
        <v>1</v>
      </c>
      <c r="AB1363" s="0" t="str">
        <f aca="false">A1363&amp;"|"&amp;D1363</f>
        <v>Mozambique|2022</v>
      </c>
    </row>
    <row r="1364" customFormat="false" ht="15" hidden="false" customHeight="false" outlineLevel="0" collapsed="false">
      <c r="A1364" s="0" t="s">
        <v>310</v>
      </c>
      <c r="B1364" s="0" t="s">
        <v>549</v>
      </c>
      <c r="C1364" s="0" t="s">
        <v>127</v>
      </c>
      <c r="D1364" s="0" t="n">
        <v>2023</v>
      </c>
      <c r="E1364" s="59" t="n">
        <v>33635163</v>
      </c>
      <c r="F1364" s="60" t="n">
        <v>19.96</v>
      </c>
      <c r="G1364" s="61" t="n">
        <v>0</v>
      </c>
      <c r="H1364" s="61" t="n">
        <v>3.12</v>
      </c>
      <c r="I1364" s="61" t="n">
        <v>0.16</v>
      </c>
      <c r="J1364" s="61" t="n">
        <v>0</v>
      </c>
      <c r="K1364" s="61" t="n">
        <v>16.48</v>
      </c>
      <c r="L1364" s="61" t="n">
        <v>0.07</v>
      </c>
      <c r="M1364" s="61" t="n">
        <v>0</v>
      </c>
      <c r="N1364" s="61" t="n">
        <v>0.13</v>
      </c>
      <c r="O1364" s="61" t="n">
        <v>0</v>
      </c>
      <c r="P1364" s="62" t="n">
        <v>128.8</v>
      </c>
      <c r="Q1364" s="0" t="n">
        <v>0</v>
      </c>
      <c r="R1364" s="60" t="n">
        <f aca="false">G1364+H1364+I1364</f>
        <v>3.28</v>
      </c>
      <c r="S1364" s="60" t="n">
        <f aca="false">K1364+L1364+M1364+N1364+O1364</f>
        <v>16.68</v>
      </c>
      <c r="T1364" s="60" t="n">
        <f aca="false">L1364+M1364</f>
        <v>0.07</v>
      </c>
      <c r="U1364" s="60" t="n">
        <f aca="false">S1364+J1364</f>
        <v>16.68</v>
      </c>
      <c r="V1364" s="63" t="n">
        <f aca="false">IFERROR(S1364/F1364,0)</f>
        <v>0.835671342685371</v>
      </c>
      <c r="W1364" s="63" t="n">
        <f aca="false">IFERROR(R1364/F1364,0)</f>
        <v>0.164328657314629</v>
      </c>
      <c r="X1364" s="63" t="n">
        <f aca="false">IFERROR(T1364/F1364,0)</f>
        <v>0.00350701402805611</v>
      </c>
      <c r="Y1364" s="63" t="n">
        <f aca="false">IFERROR(G1364/F1364,0)</f>
        <v>0</v>
      </c>
      <c r="Z1364" s="59" t="n">
        <f aca="false">IF(E1364&gt;0,F1364*1000000000/E1364,"")</f>
        <v>593.426587526869</v>
      </c>
      <c r="AA1364" s="63" t="n">
        <f aca="false">IFERROR((R1364+S1364+J1364)/F1364,0)</f>
        <v>1</v>
      </c>
      <c r="AB1364" s="0" t="str">
        <f aca="false">A1364&amp;"|"&amp;D1364</f>
        <v>Mozambique|2023</v>
      </c>
    </row>
    <row r="1365" customFormat="false" ht="15" hidden="false" customHeight="false" outlineLevel="0" collapsed="false">
      <c r="A1365" s="0" t="s">
        <v>310</v>
      </c>
      <c r="B1365" s="0" t="s">
        <v>549</v>
      </c>
      <c r="C1365" s="0" t="s">
        <v>127</v>
      </c>
      <c r="D1365" s="0" t="n">
        <v>2024</v>
      </c>
      <c r="E1365" s="59" t="n">
        <v>34631767</v>
      </c>
      <c r="F1365" s="60" t="n">
        <v>19.79</v>
      </c>
      <c r="G1365" s="61" t="n">
        <v>0</v>
      </c>
      <c r="H1365" s="61" t="n">
        <v>3.13</v>
      </c>
      <c r="I1365" s="61" t="n">
        <v>0.15</v>
      </c>
      <c r="J1365" s="61" t="n">
        <v>0</v>
      </c>
      <c r="K1365" s="61" t="n">
        <v>16.3</v>
      </c>
      <c r="L1365" s="61" t="n">
        <v>0.08</v>
      </c>
      <c r="M1365" s="61" t="n">
        <v>0</v>
      </c>
      <c r="N1365" s="61" t="n">
        <v>0.13</v>
      </c>
      <c r="O1365" s="61" t="n">
        <v>0</v>
      </c>
      <c r="P1365" s="62" t="n">
        <v>129.4</v>
      </c>
      <c r="Q1365" s="0" t="n">
        <v>0</v>
      </c>
      <c r="R1365" s="60" t="n">
        <f aca="false">G1365+H1365+I1365</f>
        <v>3.28</v>
      </c>
      <c r="S1365" s="60" t="n">
        <f aca="false">K1365+L1365+M1365+N1365+O1365</f>
        <v>16.51</v>
      </c>
      <c r="T1365" s="60" t="n">
        <f aca="false">L1365+M1365</f>
        <v>0.08</v>
      </c>
      <c r="U1365" s="60" t="n">
        <f aca="false">S1365+J1365</f>
        <v>16.51</v>
      </c>
      <c r="V1365" s="63" t="n">
        <f aca="false">IFERROR(S1365/F1365,0)</f>
        <v>0.834259727134917</v>
      </c>
      <c r="W1365" s="63" t="n">
        <f aca="false">IFERROR(R1365/F1365,0)</f>
        <v>0.165740272865083</v>
      </c>
      <c r="X1365" s="63" t="n">
        <f aca="false">IFERROR(T1365/F1365,0)</f>
        <v>0.00404244567963618</v>
      </c>
      <c r="Y1365" s="63" t="n">
        <f aca="false">IFERROR(G1365/F1365,0)</f>
        <v>0</v>
      </c>
      <c r="Z1365" s="59" t="n">
        <f aca="false">IF(E1365&gt;0,F1365*1000000000/E1365,"")</f>
        <v>571.440666022037</v>
      </c>
      <c r="AA1365" s="63" t="n">
        <f aca="false">IFERROR((R1365+S1365+J1365)/F1365,0)</f>
        <v>1</v>
      </c>
      <c r="AB1365" s="0" t="str">
        <f aca="false">A1365&amp;"|"&amp;D1365</f>
        <v>Mozambique|2024</v>
      </c>
    </row>
    <row r="1366" customFormat="false" ht="15" hidden="false" customHeight="false" outlineLevel="0" collapsed="false">
      <c r="A1366" s="0" t="s">
        <v>311</v>
      </c>
      <c r="B1366" s="0" t="s">
        <v>550</v>
      </c>
      <c r="C1366" s="0" t="s">
        <v>127</v>
      </c>
      <c r="D1366" s="0" t="n">
        <v>2015</v>
      </c>
      <c r="E1366" s="59" t="n">
        <v>51089060</v>
      </c>
      <c r="F1366" s="60" t="n">
        <v>16.2</v>
      </c>
      <c r="G1366" s="61" t="n">
        <v>0.28</v>
      </c>
      <c r="H1366" s="61" t="n">
        <v>6.23</v>
      </c>
      <c r="I1366" s="61" t="n">
        <v>0.05</v>
      </c>
      <c r="J1366" s="61" t="n">
        <v>0</v>
      </c>
      <c r="K1366" s="61" t="n">
        <v>9.4</v>
      </c>
      <c r="L1366" s="61" t="n">
        <v>0.03</v>
      </c>
      <c r="M1366" s="61" t="n">
        <v>0</v>
      </c>
      <c r="N1366" s="61" t="n">
        <v>0.21</v>
      </c>
      <c r="O1366" s="61" t="n">
        <v>0</v>
      </c>
      <c r="P1366" s="62" t="n">
        <v>398.1</v>
      </c>
      <c r="Q1366" s="0" t="n">
        <v>0</v>
      </c>
      <c r="R1366" s="60" t="n">
        <f aca="false">G1366+H1366+I1366</f>
        <v>6.56</v>
      </c>
      <c r="S1366" s="60" t="n">
        <f aca="false">K1366+L1366+M1366+N1366+O1366</f>
        <v>9.64</v>
      </c>
      <c r="T1366" s="60" t="n">
        <f aca="false">L1366+M1366</f>
        <v>0.03</v>
      </c>
      <c r="U1366" s="60" t="n">
        <f aca="false">S1366+J1366</f>
        <v>9.64</v>
      </c>
      <c r="V1366" s="63" t="n">
        <f aca="false">IFERROR(S1366/F1366,0)</f>
        <v>0.595061728395062</v>
      </c>
      <c r="W1366" s="63" t="n">
        <f aca="false">IFERROR(R1366/F1366,0)</f>
        <v>0.404938271604938</v>
      </c>
      <c r="X1366" s="63" t="n">
        <f aca="false">IFERROR(T1366/F1366,0)</f>
        <v>0.00185185185185185</v>
      </c>
      <c r="Y1366" s="63" t="n">
        <f aca="false">IFERROR(G1366/F1366,0)</f>
        <v>0.017283950617284</v>
      </c>
      <c r="Z1366" s="59" t="n">
        <f aca="false">IF(E1366&gt;0,F1366*1000000000/E1366,"")</f>
        <v>317.093326829658</v>
      </c>
      <c r="AA1366" s="63" t="n">
        <f aca="false">IFERROR((R1366+S1366+J1366)/F1366,0)</f>
        <v>1</v>
      </c>
      <c r="AB1366" s="0" t="str">
        <f aca="false">A1366&amp;"|"&amp;D1366</f>
        <v>Myanmar|2015</v>
      </c>
    </row>
    <row r="1367" customFormat="false" ht="15" hidden="false" customHeight="false" outlineLevel="0" collapsed="false">
      <c r="A1367" s="0" t="s">
        <v>311</v>
      </c>
      <c r="B1367" s="0" t="s">
        <v>550</v>
      </c>
      <c r="C1367" s="0" t="s">
        <v>127</v>
      </c>
      <c r="D1367" s="0" t="n">
        <v>2016</v>
      </c>
      <c r="E1367" s="59" t="n">
        <v>51495701</v>
      </c>
      <c r="F1367" s="60" t="n">
        <v>18.12</v>
      </c>
      <c r="G1367" s="61" t="n">
        <v>0.01</v>
      </c>
      <c r="H1367" s="61" t="n">
        <v>8.05</v>
      </c>
      <c r="I1367" s="61" t="n">
        <v>0.06</v>
      </c>
      <c r="J1367" s="61" t="n">
        <v>0</v>
      </c>
      <c r="K1367" s="61" t="n">
        <v>9.74</v>
      </c>
      <c r="L1367" s="61" t="n">
        <v>0.05</v>
      </c>
      <c r="M1367" s="61" t="n">
        <v>0</v>
      </c>
      <c r="N1367" s="61" t="n">
        <v>0.21</v>
      </c>
      <c r="O1367" s="61" t="n">
        <v>0</v>
      </c>
      <c r="P1367" s="62" t="n">
        <v>439.9</v>
      </c>
      <c r="Q1367" s="0" t="n">
        <v>0</v>
      </c>
      <c r="R1367" s="60" t="n">
        <f aca="false">G1367+H1367+I1367</f>
        <v>8.12</v>
      </c>
      <c r="S1367" s="60" t="n">
        <f aca="false">K1367+L1367+M1367+N1367+O1367</f>
        <v>10</v>
      </c>
      <c r="T1367" s="60" t="n">
        <f aca="false">L1367+M1367</f>
        <v>0.05</v>
      </c>
      <c r="U1367" s="60" t="n">
        <f aca="false">S1367+J1367</f>
        <v>10</v>
      </c>
      <c r="V1367" s="63" t="n">
        <f aca="false">IFERROR(S1367/F1367,0)</f>
        <v>0.551876379690949</v>
      </c>
      <c r="W1367" s="63" t="n">
        <f aca="false">IFERROR(R1367/F1367,0)</f>
        <v>0.448123620309051</v>
      </c>
      <c r="X1367" s="63" t="n">
        <f aca="false">IFERROR(T1367/F1367,0)</f>
        <v>0.00275938189845475</v>
      </c>
      <c r="Y1367" s="63" t="n">
        <f aca="false">IFERROR(G1367/F1367,0)</f>
        <v>0.000551876379690949</v>
      </c>
      <c r="Z1367" s="59" t="n">
        <f aca="false">IF(E1367&gt;0,F1367*1000000000/E1367,"")</f>
        <v>351.87403313531</v>
      </c>
      <c r="AA1367" s="63" t="n">
        <f aca="false">IFERROR((R1367+S1367+J1367)/F1367,0)</f>
        <v>1</v>
      </c>
      <c r="AB1367" s="0" t="str">
        <f aca="false">A1367&amp;"|"&amp;D1367</f>
        <v>Myanmar|2016</v>
      </c>
    </row>
    <row r="1368" customFormat="false" ht="15" hidden="false" customHeight="false" outlineLevel="0" collapsed="false">
      <c r="A1368" s="0" t="s">
        <v>311</v>
      </c>
      <c r="B1368" s="0" t="s">
        <v>550</v>
      </c>
      <c r="C1368" s="0" t="s">
        <v>127</v>
      </c>
      <c r="D1368" s="0" t="n">
        <v>2017</v>
      </c>
      <c r="E1368" s="59" t="n">
        <v>51894939</v>
      </c>
      <c r="F1368" s="60" t="n">
        <v>21.04</v>
      </c>
      <c r="G1368" s="61" t="n">
        <v>1.41</v>
      </c>
      <c r="H1368" s="61" t="n">
        <v>8.34</v>
      </c>
      <c r="I1368" s="61" t="n">
        <v>0.07</v>
      </c>
      <c r="J1368" s="61" t="n">
        <v>0</v>
      </c>
      <c r="K1368" s="61" t="n">
        <v>10.93</v>
      </c>
      <c r="L1368" s="61" t="n">
        <v>0.06</v>
      </c>
      <c r="M1368" s="61" t="n">
        <v>0</v>
      </c>
      <c r="N1368" s="61" t="n">
        <v>0.23</v>
      </c>
      <c r="O1368" s="61" t="n">
        <v>0</v>
      </c>
      <c r="P1368" s="62" t="n">
        <v>451.1</v>
      </c>
      <c r="Q1368" s="0" t="n">
        <v>0</v>
      </c>
      <c r="R1368" s="60" t="n">
        <f aca="false">G1368+H1368+I1368</f>
        <v>9.82</v>
      </c>
      <c r="S1368" s="60" t="n">
        <f aca="false">K1368+L1368+M1368+N1368+O1368</f>
        <v>11.22</v>
      </c>
      <c r="T1368" s="60" t="n">
        <f aca="false">L1368+M1368</f>
        <v>0.06</v>
      </c>
      <c r="U1368" s="60" t="n">
        <f aca="false">S1368+J1368</f>
        <v>11.22</v>
      </c>
      <c r="V1368" s="63" t="n">
        <f aca="false">IFERROR(S1368/F1368,0)</f>
        <v>0.533269961977186</v>
      </c>
      <c r="W1368" s="63" t="n">
        <f aca="false">IFERROR(R1368/F1368,0)</f>
        <v>0.466730038022814</v>
      </c>
      <c r="X1368" s="63" t="n">
        <f aca="false">IFERROR(T1368/F1368,0)</f>
        <v>0.00285171102661597</v>
      </c>
      <c r="Y1368" s="63" t="n">
        <f aca="false">IFERROR(G1368/F1368,0)</f>
        <v>0.0670152091254753</v>
      </c>
      <c r="Z1368" s="59" t="n">
        <f aca="false">IF(E1368&gt;0,F1368*1000000000/E1368,"")</f>
        <v>405.434526091263</v>
      </c>
      <c r="AA1368" s="63" t="n">
        <f aca="false">IFERROR((R1368+S1368+J1368)/F1368,0)</f>
        <v>1</v>
      </c>
      <c r="AB1368" s="0" t="str">
        <f aca="false">A1368&amp;"|"&amp;D1368</f>
        <v>Myanmar|2017</v>
      </c>
    </row>
    <row r="1369" customFormat="false" ht="15" hidden="false" customHeight="false" outlineLevel="0" collapsed="false">
      <c r="A1369" s="0" t="s">
        <v>311</v>
      </c>
      <c r="B1369" s="0" t="s">
        <v>550</v>
      </c>
      <c r="C1369" s="0" t="s">
        <v>127</v>
      </c>
      <c r="D1369" s="0" t="n">
        <v>2018</v>
      </c>
      <c r="E1369" s="59" t="n">
        <v>52272250</v>
      </c>
      <c r="F1369" s="60" t="n">
        <v>21.64</v>
      </c>
      <c r="G1369" s="61" t="n">
        <v>1.54</v>
      </c>
      <c r="H1369" s="61" t="n">
        <v>7.43</v>
      </c>
      <c r="I1369" s="61" t="n">
        <v>0.08</v>
      </c>
      <c r="J1369" s="61" t="n">
        <v>0</v>
      </c>
      <c r="K1369" s="61" t="n">
        <v>12.27</v>
      </c>
      <c r="L1369" s="61" t="n">
        <v>0.07</v>
      </c>
      <c r="M1369" s="61" t="n">
        <v>0</v>
      </c>
      <c r="N1369" s="61" t="n">
        <v>0.25</v>
      </c>
      <c r="O1369" s="61" t="n">
        <v>0</v>
      </c>
      <c r="P1369" s="62" t="n">
        <v>405.3</v>
      </c>
      <c r="Q1369" s="0" t="n">
        <v>0</v>
      </c>
      <c r="R1369" s="60" t="n">
        <f aca="false">G1369+H1369+I1369</f>
        <v>9.05</v>
      </c>
      <c r="S1369" s="60" t="n">
        <f aca="false">K1369+L1369+M1369+N1369+O1369</f>
        <v>12.59</v>
      </c>
      <c r="T1369" s="60" t="n">
        <f aca="false">L1369+M1369</f>
        <v>0.07</v>
      </c>
      <c r="U1369" s="60" t="n">
        <f aca="false">S1369+J1369</f>
        <v>12.59</v>
      </c>
      <c r="V1369" s="63" t="n">
        <f aca="false">IFERROR(S1369/F1369,0)</f>
        <v>0.581792975970425</v>
      </c>
      <c r="W1369" s="63" t="n">
        <f aca="false">IFERROR(R1369/F1369,0)</f>
        <v>0.418207024029575</v>
      </c>
      <c r="X1369" s="63" t="n">
        <f aca="false">IFERROR(T1369/F1369,0)</f>
        <v>0.00323475046210721</v>
      </c>
      <c r="Y1369" s="63" t="n">
        <f aca="false">IFERROR(G1369/F1369,0)</f>
        <v>0.0711645101663586</v>
      </c>
      <c r="Z1369" s="59" t="n">
        <f aca="false">IF(E1369&gt;0,F1369*1000000000/E1369,"")</f>
        <v>413.986388571374</v>
      </c>
      <c r="AA1369" s="63" t="n">
        <f aca="false">IFERROR((R1369+S1369+J1369)/F1369,0)</f>
        <v>1</v>
      </c>
      <c r="AB1369" s="0" t="str">
        <f aca="false">A1369&amp;"|"&amp;D1369</f>
        <v>Myanmar|2018</v>
      </c>
    </row>
    <row r="1370" customFormat="false" ht="15" hidden="false" customHeight="false" outlineLevel="0" collapsed="false">
      <c r="A1370" s="0" t="s">
        <v>311</v>
      </c>
      <c r="B1370" s="0" t="s">
        <v>550</v>
      </c>
      <c r="C1370" s="0" t="s">
        <v>127</v>
      </c>
      <c r="D1370" s="0" t="n">
        <v>2019</v>
      </c>
      <c r="E1370" s="59" t="n">
        <v>52640718</v>
      </c>
      <c r="F1370" s="60" t="n">
        <v>19.32</v>
      </c>
      <c r="G1370" s="61" t="n">
        <v>2.26</v>
      </c>
      <c r="H1370" s="61" t="n">
        <v>6.08</v>
      </c>
      <c r="I1370" s="61" t="n">
        <v>0.11</v>
      </c>
      <c r="J1370" s="61" t="n">
        <v>0</v>
      </c>
      <c r="K1370" s="61" t="n">
        <v>10.52</v>
      </c>
      <c r="L1370" s="61" t="n">
        <v>0.09</v>
      </c>
      <c r="M1370" s="61" t="n">
        <v>0</v>
      </c>
      <c r="N1370" s="61" t="n">
        <v>0.26</v>
      </c>
      <c r="O1370" s="61" t="n">
        <v>0</v>
      </c>
      <c r="P1370" s="62" t="n">
        <v>419.3</v>
      </c>
      <c r="Q1370" s="0" t="n">
        <v>0</v>
      </c>
      <c r="R1370" s="60" t="n">
        <f aca="false">G1370+H1370+I1370</f>
        <v>8.45</v>
      </c>
      <c r="S1370" s="60" t="n">
        <f aca="false">K1370+L1370+M1370+N1370+O1370</f>
        <v>10.87</v>
      </c>
      <c r="T1370" s="60" t="n">
        <f aca="false">L1370+M1370</f>
        <v>0.09</v>
      </c>
      <c r="U1370" s="60" t="n">
        <f aca="false">S1370+J1370</f>
        <v>10.87</v>
      </c>
      <c r="V1370" s="63" t="n">
        <f aca="false">IFERROR(S1370/F1370,0)</f>
        <v>0.562629399585921</v>
      </c>
      <c r="W1370" s="63" t="n">
        <f aca="false">IFERROR(R1370/F1370,0)</f>
        <v>0.437370600414079</v>
      </c>
      <c r="X1370" s="63" t="n">
        <f aca="false">IFERROR(T1370/F1370,0)</f>
        <v>0.0046583850931677</v>
      </c>
      <c r="Y1370" s="63" t="n">
        <f aca="false">IFERROR(G1370/F1370,0)</f>
        <v>0.116977225672878</v>
      </c>
      <c r="Z1370" s="59" t="n">
        <f aca="false">IF(E1370&gt;0,F1370*1000000000/E1370,"")</f>
        <v>367.016270560747</v>
      </c>
      <c r="AA1370" s="63" t="n">
        <f aca="false">IFERROR((R1370+S1370+J1370)/F1370,0)</f>
        <v>1</v>
      </c>
      <c r="AB1370" s="0" t="str">
        <f aca="false">A1370&amp;"|"&amp;D1370</f>
        <v>Myanmar|2019</v>
      </c>
    </row>
    <row r="1371" customFormat="false" ht="15" hidden="false" customHeight="false" outlineLevel="0" collapsed="false">
      <c r="A1371" s="0" t="s">
        <v>311</v>
      </c>
      <c r="B1371" s="0" t="s">
        <v>550</v>
      </c>
      <c r="C1371" s="0" t="s">
        <v>127</v>
      </c>
      <c r="D1371" s="0" t="n">
        <v>2020</v>
      </c>
      <c r="E1371" s="59" t="n">
        <v>53016525</v>
      </c>
      <c r="F1371" s="60" t="n">
        <v>18.78</v>
      </c>
      <c r="G1371" s="61" t="n">
        <v>2.46</v>
      </c>
      <c r="H1371" s="61" t="n">
        <v>6.99</v>
      </c>
      <c r="I1371" s="61" t="n">
        <v>0.19</v>
      </c>
      <c r="J1371" s="61" t="n">
        <v>0</v>
      </c>
      <c r="K1371" s="61" t="n">
        <v>8.8</v>
      </c>
      <c r="L1371" s="61" t="n">
        <v>0.08</v>
      </c>
      <c r="M1371" s="61" t="n">
        <v>0</v>
      </c>
      <c r="N1371" s="61" t="n">
        <v>0.26</v>
      </c>
      <c r="O1371" s="61" t="n">
        <v>0</v>
      </c>
      <c r="P1371" s="62" t="n">
        <v>487.2</v>
      </c>
      <c r="Q1371" s="0" t="n">
        <v>0</v>
      </c>
      <c r="R1371" s="60" t="n">
        <f aca="false">G1371+H1371+I1371</f>
        <v>9.64</v>
      </c>
      <c r="S1371" s="60" t="n">
        <f aca="false">K1371+L1371+M1371+N1371+O1371</f>
        <v>9.14</v>
      </c>
      <c r="T1371" s="60" t="n">
        <f aca="false">L1371+M1371</f>
        <v>0.08</v>
      </c>
      <c r="U1371" s="60" t="n">
        <f aca="false">S1371+J1371</f>
        <v>9.14</v>
      </c>
      <c r="V1371" s="63" t="n">
        <f aca="false">IFERROR(S1371/F1371,0)</f>
        <v>0.486687965921193</v>
      </c>
      <c r="W1371" s="63" t="n">
        <f aca="false">IFERROR(R1371/F1371,0)</f>
        <v>0.513312034078807</v>
      </c>
      <c r="X1371" s="63" t="n">
        <f aca="false">IFERROR(T1371/F1371,0)</f>
        <v>0.00425985090521832</v>
      </c>
      <c r="Y1371" s="63" t="n">
        <f aca="false">IFERROR(G1371/F1371,0)</f>
        <v>0.130990415335463</v>
      </c>
      <c r="Z1371" s="59" t="n">
        <f aca="false">IF(E1371&gt;0,F1371*1000000000/E1371,"")</f>
        <v>354.229176657655</v>
      </c>
      <c r="AA1371" s="63" t="n">
        <f aca="false">IFERROR((R1371+S1371+J1371)/F1371,0)</f>
        <v>1</v>
      </c>
      <c r="AB1371" s="0" t="str">
        <f aca="false">A1371&amp;"|"&amp;D1371</f>
        <v>Myanmar|2020</v>
      </c>
    </row>
    <row r="1372" customFormat="false" ht="15" hidden="false" customHeight="false" outlineLevel="0" collapsed="false">
      <c r="A1372" s="0" t="s">
        <v>311</v>
      </c>
      <c r="B1372" s="0" t="s">
        <v>550</v>
      </c>
      <c r="C1372" s="0" t="s">
        <v>127</v>
      </c>
      <c r="D1372" s="0" t="n">
        <v>2021</v>
      </c>
      <c r="E1372" s="59" t="n">
        <v>53387103</v>
      </c>
      <c r="F1372" s="60" t="n">
        <v>19.98</v>
      </c>
      <c r="G1372" s="61" t="n">
        <v>2.12</v>
      </c>
      <c r="H1372" s="61" t="n">
        <v>7.88</v>
      </c>
      <c r="I1372" s="61" t="n">
        <v>0.12</v>
      </c>
      <c r="J1372" s="61" t="n">
        <v>0</v>
      </c>
      <c r="K1372" s="61" t="n">
        <v>9.51</v>
      </c>
      <c r="L1372" s="61" t="n">
        <v>0.09</v>
      </c>
      <c r="M1372" s="61" t="n">
        <v>0</v>
      </c>
      <c r="N1372" s="61" t="n">
        <v>0.26</v>
      </c>
      <c r="O1372" s="61" t="n">
        <v>0</v>
      </c>
      <c r="P1372" s="62" t="n">
        <v>484.5</v>
      </c>
      <c r="Q1372" s="0" t="n">
        <v>0</v>
      </c>
      <c r="R1372" s="60" t="n">
        <f aca="false">G1372+H1372+I1372</f>
        <v>10.12</v>
      </c>
      <c r="S1372" s="60" t="n">
        <f aca="false">K1372+L1372+M1372+N1372+O1372</f>
        <v>9.86</v>
      </c>
      <c r="T1372" s="60" t="n">
        <f aca="false">L1372+M1372</f>
        <v>0.09</v>
      </c>
      <c r="U1372" s="60" t="n">
        <f aca="false">S1372+J1372</f>
        <v>9.86</v>
      </c>
      <c r="V1372" s="63" t="n">
        <f aca="false">IFERROR(S1372/F1372,0)</f>
        <v>0.493493493493494</v>
      </c>
      <c r="W1372" s="63" t="n">
        <f aca="false">IFERROR(R1372/F1372,0)</f>
        <v>0.506506506506506</v>
      </c>
      <c r="X1372" s="63" t="n">
        <f aca="false">IFERROR(T1372/F1372,0)</f>
        <v>0.0045045045045045</v>
      </c>
      <c r="Y1372" s="63" t="n">
        <f aca="false">IFERROR(G1372/F1372,0)</f>
        <v>0.106106106106106</v>
      </c>
      <c r="Z1372" s="59" t="n">
        <f aca="false">IF(E1372&gt;0,F1372*1000000000/E1372,"")</f>
        <v>374.247690495587</v>
      </c>
      <c r="AA1372" s="63" t="n">
        <f aca="false">IFERROR((R1372+S1372+J1372)/F1372,0)</f>
        <v>1</v>
      </c>
      <c r="AB1372" s="0" t="str">
        <f aca="false">A1372&amp;"|"&amp;D1372</f>
        <v>Myanmar|2021</v>
      </c>
    </row>
    <row r="1373" customFormat="false" ht="15" hidden="false" customHeight="false" outlineLevel="0" collapsed="false">
      <c r="A1373" s="0" t="s">
        <v>311</v>
      </c>
      <c r="B1373" s="0" t="s">
        <v>550</v>
      </c>
      <c r="C1373" s="0" t="s">
        <v>127</v>
      </c>
      <c r="D1373" s="0" t="n">
        <v>2022</v>
      </c>
      <c r="E1373" s="59" t="n">
        <v>53756791</v>
      </c>
      <c r="F1373" s="60" t="n">
        <v>23.25</v>
      </c>
      <c r="G1373" s="61" t="n">
        <v>2.17</v>
      </c>
      <c r="H1373" s="61" t="n">
        <v>11.47</v>
      </c>
      <c r="I1373" s="61" t="n">
        <v>0.11</v>
      </c>
      <c r="J1373" s="61" t="n">
        <v>0</v>
      </c>
      <c r="K1373" s="61" t="n">
        <v>9.07</v>
      </c>
      <c r="L1373" s="61" t="n">
        <v>0.16</v>
      </c>
      <c r="M1373" s="61" t="n">
        <v>0</v>
      </c>
      <c r="N1373" s="61" t="n">
        <v>0.27</v>
      </c>
      <c r="O1373" s="61" t="n">
        <v>0</v>
      </c>
      <c r="P1373" s="62" t="n">
        <v>563.9</v>
      </c>
      <c r="Q1373" s="0" t="n">
        <v>0</v>
      </c>
      <c r="R1373" s="60" t="n">
        <f aca="false">G1373+H1373+I1373</f>
        <v>13.75</v>
      </c>
      <c r="S1373" s="60" t="n">
        <f aca="false">K1373+L1373+M1373+N1373+O1373</f>
        <v>9.5</v>
      </c>
      <c r="T1373" s="60" t="n">
        <f aca="false">L1373+M1373</f>
        <v>0.16</v>
      </c>
      <c r="U1373" s="60" t="n">
        <f aca="false">S1373+J1373</f>
        <v>9.5</v>
      </c>
      <c r="V1373" s="63" t="n">
        <f aca="false">IFERROR(S1373/F1373,0)</f>
        <v>0.408602150537634</v>
      </c>
      <c r="W1373" s="63" t="n">
        <f aca="false">IFERROR(R1373/F1373,0)</f>
        <v>0.591397849462366</v>
      </c>
      <c r="X1373" s="63" t="n">
        <f aca="false">IFERROR(T1373/F1373,0)</f>
        <v>0.00688172043010753</v>
      </c>
      <c r="Y1373" s="63" t="n">
        <f aca="false">IFERROR(G1373/F1373,0)</f>
        <v>0.0933333333333333</v>
      </c>
      <c r="Z1373" s="59" t="n">
        <f aca="false">IF(E1373&gt;0,F1373*1000000000/E1373,"")</f>
        <v>432.503495232816</v>
      </c>
      <c r="AA1373" s="63" t="n">
        <f aca="false">IFERROR((R1373+S1373+J1373)/F1373,0)</f>
        <v>1</v>
      </c>
      <c r="AB1373" s="0" t="str">
        <f aca="false">A1373&amp;"|"&amp;D1373</f>
        <v>Myanmar|2022</v>
      </c>
    </row>
    <row r="1374" customFormat="false" ht="15" hidden="false" customHeight="false" outlineLevel="0" collapsed="false">
      <c r="A1374" s="0" t="s">
        <v>311</v>
      </c>
      <c r="B1374" s="0" t="s">
        <v>550</v>
      </c>
      <c r="C1374" s="0" t="s">
        <v>127</v>
      </c>
      <c r="D1374" s="0" t="n">
        <v>2023</v>
      </c>
      <c r="E1374" s="59" t="n">
        <v>54133800</v>
      </c>
      <c r="F1374" s="60" t="n">
        <v>21.1</v>
      </c>
      <c r="G1374" s="61" t="n">
        <v>1.12</v>
      </c>
      <c r="H1374" s="61" t="n">
        <v>10.04</v>
      </c>
      <c r="I1374" s="61" t="n">
        <v>0.13</v>
      </c>
      <c r="J1374" s="61" t="n">
        <v>0</v>
      </c>
      <c r="K1374" s="61" t="n">
        <v>9.43</v>
      </c>
      <c r="L1374" s="61" t="n">
        <v>0.11</v>
      </c>
      <c r="M1374" s="61" t="n">
        <v>0</v>
      </c>
      <c r="N1374" s="61" t="n">
        <v>0.27</v>
      </c>
      <c r="O1374" s="61" t="n">
        <v>0</v>
      </c>
      <c r="P1374" s="62" t="n">
        <v>515.6</v>
      </c>
      <c r="Q1374" s="0" t="n">
        <v>0</v>
      </c>
      <c r="R1374" s="60" t="n">
        <f aca="false">G1374+H1374+I1374</f>
        <v>11.29</v>
      </c>
      <c r="S1374" s="60" t="n">
        <f aca="false">K1374+L1374+M1374+N1374+O1374</f>
        <v>9.81</v>
      </c>
      <c r="T1374" s="60" t="n">
        <f aca="false">L1374+M1374</f>
        <v>0.11</v>
      </c>
      <c r="U1374" s="60" t="n">
        <f aca="false">S1374+J1374</f>
        <v>9.81</v>
      </c>
      <c r="V1374" s="63" t="n">
        <f aca="false">IFERROR(S1374/F1374,0)</f>
        <v>0.464928909952607</v>
      </c>
      <c r="W1374" s="63" t="n">
        <f aca="false">IFERROR(R1374/F1374,0)</f>
        <v>0.535071090047393</v>
      </c>
      <c r="X1374" s="63" t="n">
        <f aca="false">IFERROR(T1374/F1374,0)</f>
        <v>0.0052132701421801</v>
      </c>
      <c r="Y1374" s="63" t="n">
        <f aca="false">IFERROR(G1374/F1374,0)</f>
        <v>0.0530805687203792</v>
      </c>
      <c r="Z1374" s="59" t="n">
        <f aca="false">IF(E1374&gt;0,F1374*1000000000/E1374,"")</f>
        <v>389.774964994144</v>
      </c>
      <c r="AA1374" s="63" t="n">
        <f aca="false">IFERROR((R1374+S1374+J1374)/F1374,0)</f>
        <v>1</v>
      </c>
      <c r="AB1374" s="0" t="str">
        <f aca="false">A1374&amp;"|"&amp;D1374</f>
        <v>Myanmar|2023</v>
      </c>
    </row>
    <row r="1375" customFormat="false" ht="15" hidden="false" customHeight="false" outlineLevel="0" collapsed="false">
      <c r="A1375" s="0" t="s">
        <v>311</v>
      </c>
      <c r="B1375" s="0" t="s">
        <v>550</v>
      </c>
      <c r="C1375" s="0" t="s">
        <v>127</v>
      </c>
      <c r="D1375" s="0" t="n">
        <v>2024</v>
      </c>
      <c r="E1375" s="59" t="n">
        <v>54500086</v>
      </c>
      <c r="F1375" s="60" t="n">
        <v>21.71</v>
      </c>
      <c r="G1375" s="61" t="n">
        <v>1.2</v>
      </c>
      <c r="H1375" s="61" t="n">
        <v>10</v>
      </c>
      <c r="I1375" s="61" t="n">
        <v>0.12</v>
      </c>
      <c r="J1375" s="61" t="n">
        <v>0</v>
      </c>
      <c r="K1375" s="61" t="n">
        <v>10</v>
      </c>
      <c r="L1375" s="61" t="n">
        <v>0.12</v>
      </c>
      <c r="M1375" s="61" t="n">
        <v>0</v>
      </c>
      <c r="N1375" s="61" t="n">
        <v>0.27</v>
      </c>
      <c r="O1375" s="61" t="n">
        <v>0</v>
      </c>
      <c r="P1375" s="62" t="n">
        <v>503</v>
      </c>
      <c r="Q1375" s="0" t="n">
        <v>0</v>
      </c>
      <c r="R1375" s="60" t="n">
        <f aca="false">G1375+H1375+I1375</f>
        <v>11.32</v>
      </c>
      <c r="S1375" s="60" t="n">
        <f aca="false">K1375+L1375+M1375+N1375+O1375</f>
        <v>10.39</v>
      </c>
      <c r="T1375" s="60" t="n">
        <f aca="false">L1375+M1375</f>
        <v>0.12</v>
      </c>
      <c r="U1375" s="60" t="n">
        <f aca="false">S1375+J1375</f>
        <v>10.39</v>
      </c>
      <c r="V1375" s="63" t="n">
        <f aca="false">IFERROR(S1375/F1375,0)</f>
        <v>0.47858129894058</v>
      </c>
      <c r="W1375" s="63" t="n">
        <f aca="false">IFERROR(R1375/F1375,0)</f>
        <v>0.52141870105942</v>
      </c>
      <c r="X1375" s="63" t="n">
        <f aca="false">IFERROR(T1375/F1375,0)</f>
        <v>0.00552740672501152</v>
      </c>
      <c r="Y1375" s="63" t="n">
        <f aca="false">IFERROR(G1375/F1375,0)</f>
        <v>0.0552740672501152</v>
      </c>
      <c r="Z1375" s="59" t="n">
        <f aca="false">IF(E1375&gt;0,F1375*1000000000/E1375,"")</f>
        <v>398.347995267384</v>
      </c>
      <c r="AA1375" s="63" t="n">
        <f aca="false">IFERROR((R1375+S1375+J1375)/F1375,0)</f>
        <v>1</v>
      </c>
      <c r="AB1375" s="0" t="str">
        <f aca="false">A1375&amp;"|"&amp;D1375</f>
        <v>Myanmar|2024</v>
      </c>
    </row>
    <row r="1376" customFormat="false" ht="15" hidden="false" customHeight="false" outlineLevel="0" collapsed="false">
      <c r="A1376" s="0" t="s">
        <v>312</v>
      </c>
      <c r="B1376" s="0" t="s">
        <v>551</v>
      </c>
      <c r="C1376" s="0" t="s">
        <v>127</v>
      </c>
      <c r="D1376" s="0" t="n">
        <v>2015</v>
      </c>
      <c r="E1376" s="59" t="n">
        <v>2374305</v>
      </c>
      <c r="F1376" s="60" t="n">
        <v>1.58</v>
      </c>
      <c r="G1376" s="61" t="n">
        <v>0.01</v>
      </c>
      <c r="H1376" s="61" t="n">
        <v>0</v>
      </c>
      <c r="I1376" s="61" t="n">
        <v>0.03</v>
      </c>
      <c r="J1376" s="61" t="n">
        <v>0</v>
      </c>
      <c r="K1376" s="61" t="n">
        <v>1.5</v>
      </c>
      <c r="L1376" s="61" t="n">
        <v>0.04</v>
      </c>
      <c r="M1376" s="61" t="n">
        <v>0</v>
      </c>
      <c r="N1376" s="61" t="n">
        <v>0</v>
      </c>
      <c r="O1376" s="61" t="n">
        <v>0</v>
      </c>
      <c r="P1376" s="62" t="n">
        <v>44.3</v>
      </c>
      <c r="Q1376" s="0" t="n">
        <v>0</v>
      </c>
      <c r="R1376" s="60" t="n">
        <f aca="false">G1376+H1376+I1376</f>
        <v>0.04</v>
      </c>
      <c r="S1376" s="60" t="n">
        <f aca="false">K1376+L1376+M1376+N1376+O1376</f>
        <v>1.54</v>
      </c>
      <c r="T1376" s="60" t="n">
        <f aca="false">L1376+M1376</f>
        <v>0.04</v>
      </c>
      <c r="U1376" s="60" t="n">
        <f aca="false">S1376+J1376</f>
        <v>1.54</v>
      </c>
      <c r="V1376" s="63" t="n">
        <f aca="false">IFERROR(S1376/F1376,0)</f>
        <v>0.974683544303797</v>
      </c>
      <c r="W1376" s="63" t="n">
        <f aca="false">IFERROR(R1376/F1376,0)</f>
        <v>0.0253164556962025</v>
      </c>
      <c r="X1376" s="63" t="n">
        <f aca="false">IFERROR(T1376/F1376,0)</f>
        <v>0.0253164556962025</v>
      </c>
      <c r="Y1376" s="63" t="n">
        <f aca="false">IFERROR(G1376/F1376,0)</f>
        <v>0.00632911392405063</v>
      </c>
      <c r="Z1376" s="59" t="n">
        <f aca="false">IF(E1376&gt;0,F1376*1000000000/E1376,"")</f>
        <v>665.457891888363</v>
      </c>
      <c r="AA1376" s="63" t="n">
        <f aca="false">IFERROR((R1376+S1376+J1376)/F1376,0)</f>
        <v>1</v>
      </c>
      <c r="AB1376" s="0" t="str">
        <f aca="false">A1376&amp;"|"&amp;D1376</f>
        <v>Namibia|2015</v>
      </c>
    </row>
    <row r="1377" customFormat="false" ht="15" hidden="false" customHeight="false" outlineLevel="0" collapsed="false">
      <c r="A1377" s="0" t="s">
        <v>312</v>
      </c>
      <c r="B1377" s="0" t="s">
        <v>551</v>
      </c>
      <c r="C1377" s="0" t="s">
        <v>127</v>
      </c>
      <c r="D1377" s="0" t="n">
        <v>2016</v>
      </c>
      <c r="E1377" s="59" t="n">
        <v>2439219</v>
      </c>
      <c r="F1377" s="60" t="n">
        <v>1.48</v>
      </c>
      <c r="G1377" s="61" t="n">
        <v>0.05</v>
      </c>
      <c r="H1377" s="61" t="n">
        <v>0</v>
      </c>
      <c r="I1377" s="61" t="n">
        <v>0.01</v>
      </c>
      <c r="J1377" s="61" t="n">
        <v>0</v>
      </c>
      <c r="K1377" s="61" t="n">
        <v>1.36</v>
      </c>
      <c r="L1377" s="61" t="n">
        <v>0.06</v>
      </c>
      <c r="M1377" s="61" t="n">
        <v>0</v>
      </c>
      <c r="N1377" s="61" t="n">
        <v>0</v>
      </c>
      <c r="O1377" s="61" t="n">
        <v>0</v>
      </c>
      <c r="P1377" s="62" t="n">
        <v>54</v>
      </c>
      <c r="Q1377" s="0" t="n">
        <v>0</v>
      </c>
      <c r="R1377" s="60" t="n">
        <f aca="false">G1377+H1377+I1377</f>
        <v>0.06</v>
      </c>
      <c r="S1377" s="60" t="n">
        <f aca="false">K1377+L1377+M1377+N1377+O1377</f>
        <v>1.42</v>
      </c>
      <c r="T1377" s="60" t="n">
        <f aca="false">L1377+M1377</f>
        <v>0.06</v>
      </c>
      <c r="U1377" s="60" t="n">
        <f aca="false">S1377+J1377</f>
        <v>1.42</v>
      </c>
      <c r="V1377" s="63" t="n">
        <f aca="false">IFERROR(S1377/F1377,0)</f>
        <v>0.95945945945946</v>
      </c>
      <c r="W1377" s="63" t="n">
        <f aca="false">IFERROR(R1377/F1377,0)</f>
        <v>0.0405405405405405</v>
      </c>
      <c r="X1377" s="63" t="n">
        <f aca="false">IFERROR(T1377/F1377,0)</f>
        <v>0.0405405405405405</v>
      </c>
      <c r="Y1377" s="63" t="n">
        <f aca="false">IFERROR(G1377/F1377,0)</f>
        <v>0.0337837837837838</v>
      </c>
      <c r="Z1377" s="59" t="n">
        <f aca="false">IF(E1377&gt;0,F1377*1000000000/E1377,"")</f>
        <v>606.75158729085</v>
      </c>
      <c r="AA1377" s="63" t="n">
        <f aca="false">IFERROR((R1377+S1377+J1377)/F1377,0)</f>
        <v>1</v>
      </c>
      <c r="AB1377" s="0" t="str">
        <f aca="false">A1377&amp;"|"&amp;D1377</f>
        <v>Namibia|2016</v>
      </c>
    </row>
    <row r="1378" customFormat="false" ht="15" hidden="false" customHeight="false" outlineLevel="0" collapsed="false">
      <c r="A1378" s="0" t="s">
        <v>312</v>
      </c>
      <c r="B1378" s="0" t="s">
        <v>551</v>
      </c>
      <c r="C1378" s="0" t="s">
        <v>127</v>
      </c>
      <c r="D1378" s="0" t="n">
        <v>2017</v>
      </c>
      <c r="E1378" s="59" t="n">
        <v>2506854</v>
      </c>
      <c r="F1378" s="60" t="n">
        <v>1.77</v>
      </c>
      <c r="G1378" s="61" t="n">
        <v>0.07</v>
      </c>
      <c r="H1378" s="61" t="n">
        <v>0</v>
      </c>
      <c r="I1378" s="61" t="n">
        <v>0</v>
      </c>
      <c r="J1378" s="61" t="n">
        <v>0</v>
      </c>
      <c r="K1378" s="61" t="n">
        <v>1.59</v>
      </c>
      <c r="L1378" s="61" t="n">
        <v>0.11</v>
      </c>
      <c r="M1378" s="61" t="n">
        <v>0</v>
      </c>
      <c r="N1378" s="61" t="n">
        <v>0</v>
      </c>
      <c r="O1378" s="61" t="n">
        <v>0</v>
      </c>
      <c r="P1378" s="62" t="n">
        <v>62.1</v>
      </c>
      <c r="Q1378" s="0" t="n">
        <v>0</v>
      </c>
      <c r="R1378" s="60" t="n">
        <f aca="false">G1378+H1378+I1378</f>
        <v>0.07</v>
      </c>
      <c r="S1378" s="60" t="n">
        <f aca="false">K1378+L1378+M1378+N1378+O1378</f>
        <v>1.7</v>
      </c>
      <c r="T1378" s="60" t="n">
        <f aca="false">L1378+M1378</f>
        <v>0.11</v>
      </c>
      <c r="U1378" s="60" t="n">
        <f aca="false">S1378+J1378</f>
        <v>1.7</v>
      </c>
      <c r="V1378" s="63" t="n">
        <f aca="false">IFERROR(S1378/F1378,0)</f>
        <v>0.96045197740113</v>
      </c>
      <c r="W1378" s="63" t="n">
        <f aca="false">IFERROR(R1378/F1378,0)</f>
        <v>0.0395480225988701</v>
      </c>
      <c r="X1378" s="63" t="n">
        <f aca="false">IFERROR(T1378/F1378,0)</f>
        <v>0.0621468926553672</v>
      </c>
      <c r="Y1378" s="63" t="n">
        <f aca="false">IFERROR(G1378/F1378,0)</f>
        <v>0.0395480225988701</v>
      </c>
      <c r="Z1378" s="59" t="n">
        <f aca="false">IF(E1378&gt;0,F1378*1000000000/E1378,"")</f>
        <v>706.064254240574</v>
      </c>
      <c r="AA1378" s="63" t="n">
        <f aca="false">IFERROR((R1378+S1378+J1378)/F1378,0)</f>
        <v>1</v>
      </c>
      <c r="AB1378" s="0" t="str">
        <f aca="false">A1378&amp;"|"&amp;D1378</f>
        <v>Namibia|2017</v>
      </c>
    </row>
    <row r="1379" customFormat="false" ht="15" hidden="false" customHeight="false" outlineLevel="0" collapsed="false">
      <c r="A1379" s="0" t="s">
        <v>312</v>
      </c>
      <c r="B1379" s="0" t="s">
        <v>551</v>
      </c>
      <c r="C1379" s="0" t="s">
        <v>127</v>
      </c>
      <c r="D1379" s="0" t="n">
        <v>2018</v>
      </c>
      <c r="E1379" s="59" t="n">
        <v>2577327</v>
      </c>
      <c r="F1379" s="60" t="n">
        <v>1.41</v>
      </c>
      <c r="G1379" s="61" t="n">
        <v>0.02</v>
      </c>
      <c r="H1379" s="61" t="n">
        <v>0</v>
      </c>
      <c r="I1379" s="61" t="n">
        <v>0</v>
      </c>
      <c r="J1379" s="61" t="n">
        <v>0</v>
      </c>
      <c r="K1379" s="61" t="n">
        <v>1.14</v>
      </c>
      <c r="L1379" s="61" t="n">
        <v>0.23</v>
      </c>
      <c r="M1379" s="61" t="n">
        <v>0.02</v>
      </c>
      <c r="N1379" s="61" t="n">
        <v>0</v>
      </c>
      <c r="O1379" s="61" t="n">
        <v>0</v>
      </c>
      <c r="P1379" s="62" t="n">
        <v>42.5</v>
      </c>
      <c r="Q1379" s="0" t="n">
        <v>0</v>
      </c>
      <c r="R1379" s="60" t="n">
        <f aca="false">G1379+H1379+I1379</f>
        <v>0.02</v>
      </c>
      <c r="S1379" s="60" t="n">
        <f aca="false">K1379+L1379+M1379+N1379+O1379</f>
        <v>1.39</v>
      </c>
      <c r="T1379" s="60" t="n">
        <f aca="false">L1379+M1379</f>
        <v>0.25</v>
      </c>
      <c r="U1379" s="60" t="n">
        <f aca="false">S1379+J1379</f>
        <v>1.39</v>
      </c>
      <c r="V1379" s="63" t="n">
        <f aca="false">IFERROR(S1379/F1379,0)</f>
        <v>0.985815602836879</v>
      </c>
      <c r="W1379" s="63" t="n">
        <f aca="false">IFERROR(R1379/F1379,0)</f>
        <v>0.0141843971631206</v>
      </c>
      <c r="X1379" s="63" t="n">
        <f aca="false">IFERROR(T1379/F1379,0)</f>
        <v>0.177304964539007</v>
      </c>
      <c r="Y1379" s="63" t="n">
        <f aca="false">IFERROR(G1379/F1379,0)</f>
        <v>0.0141843971631206</v>
      </c>
      <c r="Z1379" s="59" t="n">
        <f aca="false">IF(E1379&gt;0,F1379*1000000000/E1379,"")</f>
        <v>547.078426602445</v>
      </c>
      <c r="AA1379" s="63" t="n">
        <f aca="false">IFERROR((R1379+S1379+J1379)/F1379,0)</f>
        <v>1</v>
      </c>
      <c r="AB1379" s="0" t="str">
        <f aca="false">A1379&amp;"|"&amp;D1379</f>
        <v>Namibia|2018</v>
      </c>
    </row>
    <row r="1380" customFormat="false" ht="15" hidden="false" customHeight="false" outlineLevel="0" collapsed="false">
      <c r="A1380" s="0" t="s">
        <v>312</v>
      </c>
      <c r="B1380" s="0" t="s">
        <v>551</v>
      </c>
      <c r="C1380" s="0" t="s">
        <v>127</v>
      </c>
      <c r="D1380" s="0" t="n">
        <v>2019</v>
      </c>
      <c r="E1380" s="59" t="n">
        <v>2650499</v>
      </c>
      <c r="F1380" s="60" t="n">
        <v>1.38</v>
      </c>
      <c r="G1380" s="61" t="n">
        <v>0.04</v>
      </c>
      <c r="H1380" s="61" t="n">
        <v>0</v>
      </c>
      <c r="I1380" s="61" t="n">
        <v>0.01</v>
      </c>
      <c r="J1380" s="61" t="n">
        <v>0</v>
      </c>
      <c r="K1380" s="61" t="n">
        <v>0.95</v>
      </c>
      <c r="L1380" s="61" t="n">
        <v>0.36</v>
      </c>
      <c r="M1380" s="61" t="n">
        <v>0.02</v>
      </c>
      <c r="N1380" s="61" t="n">
        <v>0</v>
      </c>
      <c r="O1380" s="61" t="n">
        <v>0</v>
      </c>
      <c r="P1380" s="62" t="n">
        <v>58</v>
      </c>
      <c r="Q1380" s="0" t="n">
        <v>0</v>
      </c>
      <c r="R1380" s="60" t="n">
        <f aca="false">G1380+H1380+I1380</f>
        <v>0.05</v>
      </c>
      <c r="S1380" s="60" t="n">
        <f aca="false">K1380+L1380+M1380+N1380+O1380</f>
        <v>1.33</v>
      </c>
      <c r="T1380" s="60" t="n">
        <f aca="false">L1380+M1380</f>
        <v>0.38</v>
      </c>
      <c r="U1380" s="60" t="n">
        <f aca="false">S1380+J1380</f>
        <v>1.33</v>
      </c>
      <c r="V1380" s="63" t="n">
        <f aca="false">IFERROR(S1380/F1380,0)</f>
        <v>0.963768115942029</v>
      </c>
      <c r="W1380" s="63" t="n">
        <f aca="false">IFERROR(R1380/F1380,0)</f>
        <v>0.036231884057971</v>
      </c>
      <c r="X1380" s="63" t="n">
        <f aca="false">IFERROR(T1380/F1380,0)</f>
        <v>0.27536231884058</v>
      </c>
      <c r="Y1380" s="63" t="n">
        <f aca="false">IFERROR(G1380/F1380,0)</f>
        <v>0.0289855072463768</v>
      </c>
      <c r="Z1380" s="59" t="n">
        <f aca="false">IF(E1380&gt;0,F1380*1000000000/E1380,"")</f>
        <v>520.656676346605</v>
      </c>
      <c r="AA1380" s="63" t="n">
        <f aca="false">IFERROR((R1380+S1380+J1380)/F1380,0)</f>
        <v>1</v>
      </c>
      <c r="AB1380" s="0" t="str">
        <f aca="false">A1380&amp;"|"&amp;D1380</f>
        <v>Namibia|2019</v>
      </c>
    </row>
    <row r="1381" customFormat="false" ht="15" hidden="false" customHeight="false" outlineLevel="0" collapsed="false">
      <c r="A1381" s="0" t="s">
        <v>312</v>
      </c>
      <c r="B1381" s="0" t="s">
        <v>551</v>
      </c>
      <c r="C1381" s="0" t="s">
        <v>127</v>
      </c>
      <c r="D1381" s="0" t="n">
        <v>2020</v>
      </c>
      <c r="E1381" s="59" t="n">
        <v>2728760</v>
      </c>
      <c r="F1381" s="60" t="n">
        <v>2</v>
      </c>
      <c r="G1381" s="61" t="n">
        <v>0.06</v>
      </c>
      <c r="H1381" s="61" t="n">
        <v>0</v>
      </c>
      <c r="I1381" s="61" t="n">
        <v>0.01</v>
      </c>
      <c r="J1381" s="61" t="n">
        <v>0</v>
      </c>
      <c r="K1381" s="61" t="n">
        <v>1.5</v>
      </c>
      <c r="L1381" s="61" t="n">
        <v>0.41</v>
      </c>
      <c r="M1381" s="61" t="n">
        <v>0.02</v>
      </c>
      <c r="N1381" s="61" t="n">
        <v>0</v>
      </c>
      <c r="O1381" s="61" t="n">
        <v>0</v>
      </c>
      <c r="P1381" s="62" t="n">
        <v>60</v>
      </c>
      <c r="Q1381" s="0" t="n">
        <v>0</v>
      </c>
      <c r="R1381" s="60" t="n">
        <f aca="false">G1381+H1381+I1381</f>
        <v>0.07</v>
      </c>
      <c r="S1381" s="60" t="n">
        <f aca="false">K1381+L1381+M1381+N1381+O1381</f>
        <v>1.93</v>
      </c>
      <c r="T1381" s="60" t="n">
        <f aca="false">L1381+M1381</f>
        <v>0.43</v>
      </c>
      <c r="U1381" s="60" t="n">
        <f aca="false">S1381+J1381</f>
        <v>1.93</v>
      </c>
      <c r="V1381" s="63" t="n">
        <f aca="false">IFERROR(S1381/F1381,0)</f>
        <v>0.965</v>
      </c>
      <c r="W1381" s="63" t="n">
        <f aca="false">IFERROR(R1381/F1381,0)</f>
        <v>0.035</v>
      </c>
      <c r="X1381" s="63" t="n">
        <f aca="false">IFERROR(T1381/F1381,0)</f>
        <v>0.215</v>
      </c>
      <c r="Y1381" s="63" t="n">
        <f aca="false">IFERROR(G1381/F1381,0)</f>
        <v>0.03</v>
      </c>
      <c r="Z1381" s="59" t="n">
        <f aca="false">IF(E1381&gt;0,F1381*1000000000/E1381,"")</f>
        <v>732.933640188217</v>
      </c>
      <c r="AA1381" s="63" t="n">
        <f aca="false">IFERROR((R1381+S1381+J1381)/F1381,0)</f>
        <v>1</v>
      </c>
      <c r="AB1381" s="0" t="str">
        <f aca="false">A1381&amp;"|"&amp;D1381</f>
        <v>Namibia|2020</v>
      </c>
    </row>
    <row r="1382" customFormat="false" ht="15" hidden="false" customHeight="false" outlineLevel="0" collapsed="false">
      <c r="A1382" s="0" t="s">
        <v>312</v>
      </c>
      <c r="B1382" s="0" t="s">
        <v>551</v>
      </c>
      <c r="C1382" s="0" t="s">
        <v>127</v>
      </c>
      <c r="D1382" s="0" t="n">
        <v>2021</v>
      </c>
      <c r="E1382" s="59" t="n">
        <v>2810552</v>
      </c>
      <c r="F1382" s="60" t="n">
        <v>1.51</v>
      </c>
      <c r="G1382" s="61" t="n">
        <v>0.04</v>
      </c>
      <c r="H1382" s="61" t="n">
        <v>0</v>
      </c>
      <c r="I1382" s="61" t="n">
        <v>0</v>
      </c>
      <c r="J1382" s="61" t="n">
        <v>0</v>
      </c>
      <c r="K1382" s="61" t="n">
        <v>0.97</v>
      </c>
      <c r="L1382" s="61" t="n">
        <v>0.48</v>
      </c>
      <c r="M1382" s="61" t="n">
        <v>0.02</v>
      </c>
      <c r="N1382" s="61" t="n">
        <v>0</v>
      </c>
      <c r="O1382" s="61" t="n">
        <v>0</v>
      </c>
      <c r="P1382" s="62" t="n">
        <v>46.4</v>
      </c>
      <c r="Q1382" s="0" t="n">
        <v>0</v>
      </c>
      <c r="R1382" s="60" t="n">
        <f aca="false">G1382+H1382+I1382</f>
        <v>0.04</v>
      </c>
      <c r="S1382" s="60" t="n">
        <f aca="false">K1382+L1382+M1382+N1382+O1382</f>
        <v>1.47</v>
      </c>
      <c r="T1382" s="60" t="n">
        <f aca="false">L1382+M1382</f>
        <v>0.5</v>
      </c>
      <c r="U1382" s="60" t="n">
        <f aca="false">S1382+J1382</f>
        <v>1.47</v>
      </c>
      <c r="V1382" s="63" t="n">
        <f aca="false">IFERROR(S1382/F1382,0)</f>
        <v>0.973509933774834</v>
      </c>
      <c r="W1382" s="63" t="n">
        <f aca="false">IFERROR(R1382/F1382,0)</f>
        <v>0.0264900662251656</v>
      </c>
      <c r="X1382" s="63" t="n">
        <f aca="false">IFERROR(T1382/F1382,0)</f>
        <v>0.33112582781457</v>
      </c>
      <c r="Y1382" s="63" t="n">
        <f aca="false">IFERROR(G1382/F1382,0)</f>
        <v>0.0264900662251656</v>
      </c>
      <c r="Z1382" s="59" t="n">
        <f aca="false">IF(E1382&gt;0,F1382*1000000000/E1382,"")</f>
        <v>537.261007802026</v>
      </c>
      <c r="AA1382" s="63" t="n">
        <f aca="false">IFERROR((R1382+S1382+J1382)/F1382,0)</f>
        <v>1</v>
      </c>
      <c r="AB1382" s="0" t="str">
        <f aca="false">A1382&amp;"|"&amp;D1382</f>
        <v>Namibia|2021</v>
      </c>
    </row>
    <row r="1383" customFormat="false" ht="15" hidden="false" customHeight="false" outlineLevel="0" collapsed="false">
      <c r="A1383" s="0" t="s">
        <v>312</v>
      </c>
      <c r="B1383" s="0" t="s">
        <v>551</v>
      </c>
      <c r="C1383" s="0" t="s">
        <v>127</v>
      </c>
      <c r="D1383" s="0" t="n">
        <v>2022</v>
      </c>
      <c r="E1383" s="59" t="n">
        <v>2889668</v>
      </c>
      <c r="F1383" s="60" t="n">
        <v>1.32</v>
      </c>
      <c r="G1383" s="61" t="n">
        <v>0.02</v>
      </c>
      <c r="H1383" s="61" t="n">
        <v>0</v>
      </c>
      <c r="I1383" s="61" t="n">
        <v>0</v>
      </c>
      <c r="J1383" s="61" t="n">
        <v>0</v>
      </c>
      <c r="K1383" s="61" t="n">
        <v>0.78</v>
      </c>
      <c r="L1383" s="61" t="n">
        <v>0.5</v>
      </c>
      <c r="M1383" s="61" t="n">
        <v>0.02</v>
      </c>
      <c r="N1383" s="61" t="n">
        <v>0</v>
      </c>
      <c r="O1383" s="61" t="n">
        <v>0</v>
      </c>
      <c r="P1383" s="62" t="n">
        <v>45.5</v>
      </c>
      <c r="Q1383" s="0" t="n">
        <v>0</v>
      </c>
      <c r="R1383" s="60" t="n">
        <f aca="false">G1383+H1383+I1383</f>
        <v>0.02</v>
      </c>
      <c r="S1383" s="60" t="n">
        <f aca="false">K1383+L1383+M1383+N1383+O1383</f>
        <v>1.3</v>
      </c>
      <c r="T1383" s="60" t="n">
        <f aca="false">L1383+M1383</f>
        <v>0.52</v>
      </c>
      <c r="U1383" s="60" t="n">
        <f aca="false">S1383+J1383</f>
        <v>1.3</v>
      </c>
      <c r="V1383" s="63" t="n">
        <f aca="false">IFERROR(S1383/F1383,0)</f>
        <v>0.984848484848485</v>
      </c>
      <c r="W1383" s="63" t="n">
        <f aca="false">IFERROR(R1383/F1383,0)</f>
        <v>0.0151515151515152</v>
      </c>
      <c r="X1383" s="63" t="n">
        <f aca="false">IFERROR(T1383/F1383,0)</f>
        <v>0.393939393939394</v>
      </c>
      <c r="Y1383" s="63" t="n">
        <f aca="false">IFERROR(G1383/F1383,0)</f>
        <v>0.0151515151515152</v>
      </c>
      <c r="Z1383" s="59" t="n">
        <f aca="false">IF(E1383&gt;0,F1383*1000000000/E1383,"")</f>
        <v>456.799881508879</v>
      </c>
      <c r="AA1383" s="63" t="n">
        <f aca="false">IFERROR((R1383+S1383+J1383)/F1383,0)</f>
        <v>1</v>
      </c>
      <c r="AB1383" s="0" t="str">
        <f aca="false">A1383&amp;"|"&amp;D1383</f>
        <v>Namibia|2022</v>
      </c>
    </row>
    <row r="1384" customFormat="false" ht="15" hidden="false" customHeight="false" outlineLevel="0" collapsed="false">
      <c r="A1384" s="0" t="s">
        <v>312</v>
      </c>
      <c r="B1384" s="0" t="s">
        <v>551</v>
      </c>
      <c r="C1384" s="0" t="s">
        <v>127</v>
      </c>
      <c r="D1384" s="0" t="n">
        <v>2023</v>
      </c>
      <c r="E1384" s="59" t="n">
        <v>2963102</v>
      </c>
      <c r="F1384" s="60" t="n">
        <v>1.89</v>
      </c>
      <c r="G1384" s="61" t="n">
        <v>0.03</v>
      </c>
      <c r="H1384" s="61" t="n">
        <v>0</v>
      </c>
      <c r="I1384" s="61" t="n">
        <v>0.01</v>
      </c>
      <c r="J1384" s="61" t="n">
        <v>0</v>
      </c>
      <c r="K1384" s="61" t="n">
        <v>1.32</v>
      </c>
      <c r="L1384" s="61" t="n">
        <v>0.51</v>
      </c>
      <c r="M1384" s="61" t="n">
        <v>0.02</v>
      </c>
      <c r="N1384" s="61" t="n">
        <v>0</v>
      </c>
      <c r="O1384" s="61" t="n">
        <v>0</v>
      </c>
      <c r="P1384" s="62" t="n">
        <v>47.6</v>
      </c>
      <c r="Q1384" s="0" t="n">
        <v>0</v>
      </c>
      <c r="R1384" s="60" t="n">
        <f aca="false">G1384+H1384+I1384</f>
        <v>0.04</v>
      </c>
      <c r="S1384" s="60" t="n">
        <f aca="false">K1384+L1384+M1384+N1384+O1384</f>
        <v>1.85</v>
      </c>
      <c r="T1384" s="60" t="n">
        <f aca="false">L1384+M1384</f>
        <v>0.53</v>
      </c>
      <c r="U1384" s="60" t="n">
        <f aca="false">S1384+J1384</f>
        <v>1.85</v>
      </c>
      <c r="V1384" s="63" t="n">
        <f aca="false">IFERROR(S1384/F1384,0)</f>
        <v>0.978835978835979</v>
      </c>
      <c r="W1384" s="63" t="n">
        <f aca="false">IFERROR(R1384/F1384,0)</f>
        <v>0.0211640211640212</v>
      </c>
      <c r="X1384" s="63" t="n">
        <f aca="false">IFERROR(T1384/F1384,0)</f>
        <v>0.28042328042328</v>
      </c>
      <c r="Y1384" s="63" t="n">
        <f aca="false">IFERROR(G1384/F1384,0)</f>
        <v>0.0158730158730159</v>
      </c>
      <c r="Z1384" s="59" t="n">
        <f aca="false">IF(E1384&gt;0,F1384*1000000000/E1384,"")</f>
        <v>637.845069120132</v>
      </c>
      <c r="AA1384" s="63" t="n">
        <f aca="false">IFERROR((R1384+S1384+J1384)/F1384,0)</f>
        <v>1</v>
      </c>
      <c r="AB1384" s="0" t="str">
        <f aca="false">A1384&amp;"|"&amp;D1384</f>
        <v>Namibia|2023</v>
      </c>
    </row>
    <row r="1385" customFormat="false" ht="15" hidden="false" customHeight="false" outlineLevel="0" collapsed="false">
      <c r="A1385" s="0" t="s">
        <v>312</v>
      </c>
      <c r="B1385" s="0" t="s">
        <v>551</v>
      </c>
      <c r="C1385" s="0" t="s">
        <v>127</v>
      </c>
      <c r="D1385" s="0" t="n">
        <v>2024</v>
      </c>
      <c r="E1385" s="59" t="n">
        <v>3030127</v>
      </c>
      <c r="F1385" s="60" t="n">
        <v>1.64</v>
      </c>
      <c r="G1385" s="61" t="n">
        <v>0.04</v>
      </c>
      <c r="H1385" s="61" t="n">
        <v>0</v>
      </c>
      <c r="I1385" s="61" t="n">
        <v>0</v>
      </c>
      <c r="J1385" s="61" t="n">
        <v>0</v>
      </c>
      <c r="K1385" s="61" t="n">
        <v>1</v>
      </c>
      <c r="L1385" s="61" t="n">
        <v>0.58</v>
      </c>
      <c r="M1385" s="61" t="n">
        <v>0.02</v>
      </c>
      <c r="N1385" s="61" t="n">
        <v>0</v>
      </c>
      <c r="O1385" s="61" t="n">
        <v>0</v>
      </c>
      <c r="P1385" s="62" t="n">
        <v>48.8</v>
      </c>
      <c r="Q1385" s="0" t="n">
        <v>0</v>
      </c>
      <c r="R1385" s="60" t="n">
        <f aca="false">G1385+H1385+I1385</f>
        <v>0.04</v>
      </c>
      <c r="S1385" s="60" t="n">
        <f aca="false">K1385+L1385+M1385+N1385+O1385</f>
        <v>1.6</v>
      </c>
      <c r="T1385" s="60" t="n">
        <f aca="false">L1385+M1385</f>
        <v>0.6</v>
      </c>
      <c r="U1385" s="60" t="n">
        <f aca="false">S1385+J1385</f>
        <v>1.6</v>
      </c>
      <c r="V1385" s="63" t="n">
        <f aca="false">IFERROR(S1385/F1385,0)</f>
        <v>0.975609756097561</v>
      </c>
      <c r="W1385" s="63" t="n">
        <f aca="false">IFERROR(R1385/F1385,0)</f>
        <v>0.024390243902439</v>
      </c>
      <c r="X1385" s="63" t="n">
        <f aca="false">IFERROR(T1385/F1385,0)</f>
        <v>0.365853658536585</v>
      </c>
      <c r="Y1385" s="63" t="n">
        <f aca="false">IFERROR(G1385/F1385,0)</f>
        <v>0.024390243902439</v>
      </c>
      <c r="Z1385" s="59" t="n">
        <f aca="false">IF(E1385&gt;0,F1385*1000000000/E1385,"")</f>
        <v>541.231440134357</v>
      </c>
      <c r="AA1385" s="63" t="n">
        <f aca="false">IFERROR((R1385+S1385+J1385)/F1385,0)</f>
        <v>1</v>
      </c>
      <c r="AB1385" s="0" t="str">
        <f aca="false">A1385&amp;"|"&amp;D1385</f>
        <v>Namibia|2024</v>
      </c>
    </row>
    <row r="1386" customFormat="false" ht="15" hidden="false" customHeight="false" outlineLevel="0" collapsed="false">
      <c r="A1386" s="0" t="s">
        <v>313</v>
      </c>
      <c r="B1386" s="0" t="s">
        <v>552</v>
      </c>
      <c r="C1386" s="0" t="s">
        <v>127</v>
      </c>
      <c r="D1386" s="0" t="n">
        <v>2015</v>
      </c>
      <c r="E1386" s="59" t="n">
        <v>10975</v>
      </c>
      <c r="F1386" s="60" t="n">
        <v>0.03</v>
      </c>
      <c r="G1386" s="61" t="n">
        <v>0</v>
      </c>
      <c r="H1386" s="61" t="n">
        <v>0</v>
      </c>
      <c r="I1386" s="61" t="n">
        <v>0.03</v>
      </c>
      <c r="J1386" s="61" t="n">
        <v>0</v>
      </c>
      <c r="K1386" s="61" t="n">
        <v>0</v>
      </c>
      <c r="L1386" s="61" t="n">
        <v>0</v>
      </c>
      <c r="M1386" s="61" t="n">
        <v>0</v>
      </c>
      <c r="N1386" s="61" t="n">
        <v>0</v>
      </c>
      <c r="O1386" s="61" t="n">
        <v>0</v>
      </c>
      <c r="P1386" s="62" t="n">
        <v>666.7</v>
      </c>
      <c r="Q1386" s="0" t="n">
        <v>0</v>
      </c>
      <c r="R1386" s="60" t="n">
        <f aca="false">G1386+H1386+I1386</f>
        <v>0.03</v>
      </c>
      <c r="S1386" s="60" t="n">
        <f aca="false">K1386+L1386+M1386+N1386+O1386</f>
        <v>0</v>
      </c>
      <c r="T1386" s="60" t="n">
        <f aca="false">L1386+M1386</f>
        <v>0</v>
      </c>
      <c r="U1386" s="60" t="n">
        <f aca="false">S1386+J1386</f>
        <v>0</v>
      </c>
      <c r="V1386" s="63" t="n">
        <f aca="false">IFERROR(S1386/F1386,0)</f>
        <v>0</v>
      </c>
      <c r="W1386" s="63" t="n">
        <f aca="false">IFERROR(R1386/F1386,0)</f>
        <v>1</v>
      </c>
      <c r="X1386" s="63" t="n">
        <f aca="false">IFERROR(T1386/F1386,0)</f>
        <v>0</v>
      </c>
      <c r="Y1386" s="63" t="n">
        <f aca="false">IFERROR(G1386/F1386,0)</f>
        <v>0</v>
      </c>
      <c r="Z1386" s="59" t="n">
        <f aca="false">IF(E1386&gt;0,F1386*1000000000/E1386,"")</f>
        <v>2733.48519362187</v>
      </c>
      <c r="AA1386" s="63" t="n">
        <f aca="false">IFERROR((R1386+S1386+J1386)/F1386,0)</f>
        <v>1</v>
      </c>
      <c r="AB1386" s="0" t="str">
        <f aca="false">A1386&amp;"|"&amp;D1386</f>
        <v>Nauru|2015</v>
      </c>
    </row>
    <row r="1387" customFormat="false" ht="15" hidden="false" customHeight="false" outlineLevel="0" collapsed="false">
      <c r="A1387" s="0" t="s">
        <v>313</v>
      </c>
      <c r="B1387" s="0" t="s">
        <v>552</v>
      </c>
      <c r="C1387" s="0" t="s">
        <v>127</v>
      </c>
      <c r="D1387" s="0" t="n">
        <v>2016</v>
      </c>
      <c r="E1387" s="59" t="n">
        <v>11173</v>
      </c>
      <c r="F1387" s="60" t="n">
        <v>0.03</v>
      </c>
      <c r="G1387" s="61" t="n">
        <v>0</v>
      </c>
      <c r="H1387" s="61" t="n">
        <v>0</v>
      </c>
      <c r="I1387" s="61" t="n">
        <v>0.03</v>
      </c>
      <c r="J1387" s="61" t="n">
        <v>0</v>
      </c>
      <c r="K1387" s="61" t="n">
        <v>0</v>
      </c>
      <c r="L1387" s="61" t="n">
        <v>0</v>
      </c>
      <c r="M1387" s="61" t="n">
        <v>0</v>
      </c>
      <c r="N1387" s="61" t="n">
        <v>0</v>
      </c>
      <c r="O1387" s="61" t="n">
        <v>0</v>
      </c>
      <c r="P1387" s="62" t="n">
        <v>666.7</v>
      </c>
      <c r="Q1387" s="0" t="n">
        <v>0</v>
      </c>
      <c r="R1387" s="60" t="n">
        <f aca="false">G1387+H1387+I1387</f>
        <v>0.03</v>
      </c>
      <c r="S1387" s="60" t="n">
        <f aca="false">K1387+L1387+M1387+N1387+O1387</f>
        <v>0</v>
      </c>
      <c r="T1387" s="60" t="n">
        <f aca="false">L1387+M1387</f>
        <v>0</v>
      </c>
      <c r="U1387" s="60" t="n">
        <f aca="false">S1387+J1387</f>
        <v>0</v>
      </c>
      <c r="V1387" s="63" t="n">
        <f aca="false">IFERROR(S1387/F1387,0)</f>
        <v>0</v>
      </c>
      <c r="W1387" s="63" t="n">
        <f aca="false">IFERROR(R1387/F1387,0)</f>
        <v>1</v>
      </c>
      <c r="X1387" s="63" t="n">
        <f aca="false">IFERROR(T1387/F1387,0)</f>
        <v>0</v>
      </c>
      <c r="Y1387" s="63" t="n">
        <f aca="false">IFERROR(G1387/F1387,0)</f>
        <v>0</v>
      </c>
      <c r="Z1387" s="59" t="n">
        <f aca="false">IF(E1387&gt;0,F1387*1000000000/E1387,"")</f>
        <v>2685.044303231</v>
      </c>
      <c r="AA1387" s="63" t="n">
        <f aca="false">IFERROR((R1387+S1387+J1387)/F1387,0)</f>
        <v>1</v>
      </c>
      <c r="AB1387" s="0" t="str">
        <f aca="false">A1387&amp;"|"&amp;D1387</f>
        <v>Nauru|2016</v>
      </c>
    </row>
    <row r="1388" customFormat="false" ht="15" hidden="false" customHeight="false" outlineLevel="0" collapsed="false">
      <c r="A1388" s="0" t="s">
        <v>313</v>
      </c>
      <c r="B1388" s="0" t="s">
        <v>552</v>
      </c>
      <c r="C1388" s="0" t="s">
        <v>127</v>
      </c>
      <c r="D1388" s="0" t="n">
        <v>2017</v>
      </c>
      <c r="E1388" s="59" t="n">
        <v>11351</v>
      </c>
      <c r="F1388" s="60" t="n">
        <v>0.03</v>
      </c>
      <c r="G1388" s="61" t="n">
        <v>0</v>
      </c>
      <c r="H1388" s="61" t="n">
        <v>0</v>
      </c>
      <c r="I1388" s="61" t="n">
        <v>0.03</v>
      </c>
      <c r="J1388" s="61" t="n">
        <v>0</v>
      </c>
      <c r="K1388" s="61" t="n">
        <v>0</v>
      </c>
      <c r="L1388" s="61" t="n">
        <v>0</v>
      </c>
      <c r="M1388" s="61" t="n">
        <v>0</v>
      </c>
      <c r="N1388" s="61" t="n">
        <v>0</v>
      </c>
      <c r="O1388" s="61" t="n">
        <v>0</v>
      </c>
      <c r="P1388" s="62" t="n">
        <v>666.7</v>
      </c>
      <c r="Q1388" s="0" t="n">
        <v>0</v>
      </c>
      <c r="R1388" s="60" t="n">
        <f aca="false">G1388+H1388+I1388</f>
        <v>0.03</v>
      </c>
      <c r="S1388" s="60" t="n">
        <f aca="false">K1388+L1388+M1388+N1388+O1388</f>
        <v>0</v>
      </c>
      <c r="T1388" s="60" t="n">
        <f aca="false">L1388+M1388</f>
        <v>0</v>
      </c>
      <c r="U1388" s="60" t="n">
        <f aca="false">S1388+J1388</f>
        <v>0</v>
      </c>
      <c r="V1388" s="63" t="n">
        <f aca="false">IFERROR(S1388/F1388,0)</f>
        <v>0</v>
      </c>
      <c r="W1388" s="63" t="n">
        <f aca="false">IFERROR(R1388/F1388,0)</f>
        <v>1</v>
      </c>
      <c r="X1388" s="63" t="n">
        <f aca="false">IFERROR(T1388/F1388,0)</f>
        <v>0</v>
      </c>
      <c r="Y1388" s="63" t="n">
        <f aca="false">IFERROR(G1388/F1388,0)</f>
        <v>0</v>
      </c>
      <c r="Z1388" s="59" t="n">
        <f aca="false">IF(E1388&gt;0,F1388*1000000000/E1388,"")</f>
        <v>2642.9389481103</v>
      </c>
      <c r="AA1388" s="63" t="n">
        <f aca="false">IFERROR((R1388+S1388+J1388)/F1388,0)</f>
        <v>1</v>
      </c>
      <c r="AB1388" s="0" t="str">
        <f aca="false">A1388&amp;"|"&amp;D1388</f>
        <v>Nauru|2017</v>
      </c>
    </row>
    <row r="1389" customFormat="false" ht="15" hidden="false" customHeight="false" outlineLevel="0" collapsed="false">
      <c r="A1389" s="0" t="s">
        <v>313</v>
      </c>
      <c r="B1389" s="0" t="s">
        <v>552</v>
      </c>
      <c r="C1389" s="0" t="s">
        <v>127</v>
      </c>
      <c r="D1389" s="0" t="n">
        <v>2018</v>
      </c>
      <c r="E1389" s="59" t="n">
        <v>11499</v>
      </c>
      <c r="F1389" s="60" t="n">
        <v>0.04</v>
      </c>
      <c r="G1389" s="61" t="n">
        <v>0</v>
      </c>
      <c r="H1389" s="61" t="n">
        <v>0</v>
      </c>
      <c r="I1389" s="61" t="n">
        <v>0.04</v>
      </c>
      <c r="J1389" s="61" t="n">
        <v>0</v>
      </c>
      <c r="K1389" s="61" t="n">
        <v>0</v>
      </c>
      <c r="L1389" s="61" t="n">
        <v>0</v>
      </c>
      <c r="M1389" s="61" t="n">
        <v>0</v>
      </c>
      <c r="N1389" s="61" t="n">
        <v>0</v>
      </c>
      <c r="O1389" s="61" t="n">
        <v>0</v>
      </c>
      <c r="P1389" s="62" t="n">
        <v>750</v>
      </c>
      <c r="Q1389" s="0" t="n">
        <v>0</v>
      </c>
      <c r="R1389" s="60" t="n">
        <f aca="false">G1389+H1389+I1389</f>
        <v>0.04</v>
      </c>
      <c r="S1389" s="60" t="n">
        <f aca="false">K1389+L1389+M1389+N1389+O1389</f>
        <v>0</v>
      </c>
      <c r="T1389" s="60" t="n">
        <f aca="false">L1389+M1389</f>
        <v>0</v>
      </c>
      <c r="U1389" s="60" t="n">
        <f aca="false">S1389+J1389</f>
        <v>0</v>
      </c>
      <c r="V1389" s="63" t="n">
        <f aca="false">IFERROR(S1389/F1389,0)</f>
        <v>0</v>
      </c>
      <c r="W1389" s="63" t="n">
        <f aca="false">IFERROR(R1389/F1389,0)</f>
        <v>1</v>
      </c>
      <c r="X1389" s="63" t="n">
        <f aca="false">IFERROR(T1389/F1389,0)</f>
        <v>0</v>
      </c>
      <c r="Y1389" s="63" t="n">
        <f aca="false">IFERROR(G1389/F1389,0)</f>
        <v>0</v>
      </c>
      <c r="Z1389" s="59" t="n">
        <f aca="false">IF(E1389&gt;0,F1389*1000000000/E1389,"")</f>
        <v>3478.56335333507</v>
      </c>
      <c r="AA1389" s="63" t="n">
        <f aca="false">IFERROR((R1389+S1389+J1389)/F1389,0)</f>
        <v>1</v>
      </c>
      <c r="AB1389" s="0" t="str">
        <f aca="false">A1389&amp;"|"&amp;D1389</f>
        <v>Nauru|2018</v>
      </c>
    </row>
    <row r="1390" customFormat="false" ht="15" hidden="false" customHeight="false" outlineLevel="0" collapsed="false">
      <c r="A1390" s="0" t="s">
        <v>313</v>
      </c>
      <c r="B1390" s="0" t="s">
        <v>552</v>
      </c>
      <c r="C1390" s="0" t="s">
        <v>127</v>
      </c>
      <c r="D1390" s="0" t="n">
        <v>2019</v>
      </c>
      <c r="E1390" s="59" t="n">
        <v>11609</v>
      </c>
      <c r="F1390" s="60" t="n">
        <v>0.04</v>
      </c>
      <c r="G1390" s="61" t="n">
        <v>0</v>
      </c>
      <c r="H1390" s="61" t="n">
        <v>0</v>
      </c>
      <c r="I1390" s="61" t="n">
        <v>0.04</v>
      </c>
      <c r="J1390" s="61" t="n">
        <v>0</v>
      </c>
      <c r="K1390" s="61" t="n">
        <v>0</v>
      </c>
      <c r="L1390" s="61" t="n">
        <v>0</v>
      </c>
      <c r="M1390" s="61" t="n">
        <v>0</v>
      </c>
      <c r="N1390" s="61" t="n">
        <v>0</v>
      </c>
      <c r="O1390" s="61" t="n">
        <v>0</v>
      </c>
      <c r="P1390" s="62" t="n">
        <v>750</v>
      </c>
      <c r="Q1390" s="0" t="n">
        <v>0</v>
      </c>
      <c r="R1390" s="60" t="n">
        <f aca="false">G1390+H1390+I1390</f>
        <v>0.04</v>
      </c>
      <c r="S1390" s="60" t="n">
        <f aca="false">K1390+L1390+M1390+N1390+O1390</f>
        <v>0</v>
      </c>
      <c r="T1390" s="60" t="n">
        <f aca="false">L1390+M1390</f>
        <v>0</v>
      </c>
      <c r="U1390" s="60" t="n">
        <f aca="false">S1390+J1390</f>
        <v>0</v>
      </c>
      <c r="V1390" s="63" t="n">
        <f aca="false">IFERROR(S1390/F1390,0)</f>
        <v>0</v>
      </c>
      <c r="W1390" s="63" t="n">
        <f aca="false">IFERROR(R1390/F1390,0)</f>
        <v>1</v>
      </c>
      <c r="X1390" s="63" t="n">
        <f aca="false">IFERROR(T1390/F1390,0)</f>
        <v>0</v>
      </c>
      <c r="Y1390" s="63" t="n">
        <f aca="false">IFERROR(G1390/F1390,0)</f>
        <v>0</v>
      </c>
      <c r="Z1390" s="59" t="n">
        <f aca="false">IF(E1390&gt;0,F1390*1000000000/E1390,"")</f>
        <v>3445.60254974589</v>
      </c>
      <c r="AA1390" s="63" t="n">
        <f aca="false">IFERROR((R1390+S1390+J1390)/F1390,0)</f>
        <v>1</v>
      </c>
      <c r="AB1390" s="0" t="str">
        <f aca="false">A1390&amp;"|"&amp;D1390</f>
        <v>Nauru|2019</v>
      </c>
    </row>
    <row r="1391" customFormat="false" ht="15" hidden="false" customHeight="false" outlineLevel="0" collapsed="false">
      <c r="A1391" s="0" t="s">
        <v>313</v>
      </c>
      <c r="B1391" s="0" t="s">
        <v>552</v>
      </c>
      <c r="C1391" s="0" t="s">
        <v>127</v>
      </c>
      <c r="D1391" s="0" t="n">
        <v>2020</v>
      </c>
      <c r="E1391" s="59" t="n">
        <v>11665</v>
      </c>
      <c r="F1391" s="60" t="n">
        <v>0.04</v>
      </c>
      <c r="G1391" s="61" t="n">
        <v>0</v>
      </c>
      <c r="H1391" s="61" t="n">
        <v>0</v>
      </c>
      <c r="I1391" s="61" t="n">
        <v>0.04</v>
      </c>
      <c r="J1391" s="61" t="n">
        <v>0</v>
      </c>
      <c r="K1391" s="61" t="n">
        <v>0</v>
      </c>
      <c r="L1391" s="61" t="n">
        <v>0</v>
      </c>
      <c r="M1391" s="61" t="n">
        <v>0</v>
      </c>
      <c r="N1391" s="61" t="n">
        <v>0</v>
      </c>
      <c r="O1391" s="61" t="n">
        <v>0</v>
      </c>
      <c r="P1391" s="62" t="n">
        <v>750</v>
      </c>
      <c r="Q1391" s="0" t="n">
        <v>0</v>
      </c>
      <c r="R1391" s="60" t="n">
        <f aca="false">G1391+H1391+I1391</f>
        <v>0.04</v>
      </c>
      <c r="S1391" s="60" t="n">
        <f aca="false">K1391+L1391+M1391+N1391+O1391</f>
        <v>0</v>
      </c>
      <c r="T1391" s="60" t="n">
        <f aca="false">L1391+M1391</f>
        <v>0</v>
      </c>
      <c r="U1391" s="60" t="n">
        <f aca="false">S1391+J1391</f>
        <v>0</v>
      </c>
      <c r="V1391" s="63" t="n">
        <f aca="false">IFERROR(S1391/F1391,0)</f>
        <v>0</v>
      </c>
      <c r="W1391" s="63" t="n">
        <f aca="false">IFERROR(R1391/F1391,0)</f>
        <v>1</v>
      </c>
      <c r="X1391" s="63" t="n">
        <f aca="false">IFERROR(T1391/F1391,0)</f>
        <v>0</v>
      </c>
      <c r="Y1391" s="63" t="n">
        <f aca="false">IFERROR(G1391/F1391,0)</f>
        <v>0</v>
      </c>
      <c r="Z1391" s="59" t="n">
        <f aca="false">IF(E1391&gt;0,F1391*1000000000/E1391,"")</f>
        <v>3429.06129447064</v>
      </c>
      <c r="AA1391" s="63" t="n">
        <f aca="false">IFERROR((R1391+S1391+J1391)/F1391,0)</f>
        <v>1</v>
      </c>
      <c r="AB1391" s="0" t="str">
        <f aca="false">A1391&amp;"|"&amp;D1391</f>
        <v>Nauru|2020</v>
      </c>
    </row>
    <row r="1392" customFormat="false" ht="15" hidden="false" customHeight="false" outlineLevel="0" collapsed="false">
      <c r="A1392" s="0" t="s">
        <v>313</v>
      </c>
      <c r="B1392" s="0" t="s">
        <v>552</v>
      </c>
      <c r="C1392" s="0" t="s">
        <v>127</v>
      </c>
      <c r="D1392" s="0" t="n">
        <v>2021</v>
      </c>
      <c r="E1392" s="59" t="n">
        <v>11727</v>
      </c>
      <c r="F1392" s="60" t="n">
        <v>0.04</v>
      </c>
      <c r="G1392" s="61" t="n">
        <v>0</v>
      </c>
      <c r="H1392" s="61" t="n">
        <v>0</v>
      </c>
      <c r="I1392" s="61" t="n">
        <v>0.04</v>
      </c>
      <c r="J1392" s="61" t="n">
        <v>0</v>
      </c>
      <c r="K1392" s="61" t="n">
        <v>0</v>
      </c>
      <c r="L1392" s="61" t="n">
        <v>0</v>
      </c>
      <c r="M1392" s="61" t="n">
        <v>0</v>
      </c>
      <c r="N1392" s="61" t="n">
        <v>0</v>
      </c>
      <c r="O1392" s="61" t="n">
        <v>0</v>
      </c>
      <c r="P1392" s="62" t="n">
        <v>750</v>
      </c>
      <c r="Q1392" s="0" t="n">
        <v>0</v>
      </c>
      <c r="R1392" s="60" t="n">
        <f aca="false">G1392+H1392+I1392</f>
        <v>0.04</v>
      </c>
      <c r="S1392" s="60" t="n">
        <f aca="false">K1392+L1392+M1392+N1392+O1392</f>
        <v>0</v>
      </c>
      <c r="T1392" s="60" t="n">
        <f aca="false">L1392+M1392</f>
        <v>0</v>
      </c>
      <c r="U1392" s="60" t="n">
        <f aca="false">S1392+J1392</f>
        <v>0</v>
      </c>
      <c r="V1392" s="63" t="n">
        <f aca="false">IFERROR(S1392/F1392,0)</f>
        <v>0</v>
      </c>
      <c r="W1392" s="63" t="n">
        <f aca="false">IFERROR(R1392/F1392,0)</f>
        <v>1</v>
      </c>
      <c r="X1392" s="63" t="n">
        <f aca="false">IFERROR(T1392/F1392,0)</f>
        <v>0</v>
      </c>
      <c r="Y1392" s="63" t="n">
        <f aca="false">IFERROR(G1392/F1392,0)</f>
        <v>0</v>
      </c>
      <c r="Z1392" s="59" t="n">
        <f aca="false">IF(E1392&gt;0,F1392*1000000000/E1392,"")</f>
        <v>3410.93203717916</v>
      </c>
      <c r="AA1392" s="63" t="n">
        <f aca="false">IFERROR((R1392+S1392+J1392)/F1392,0)</f>
        <v>1</v>
      </c>
      <c r="AB1392" s="0" t="str">
        <f aca="false">A1392&amp;"|"&amp;D1392</f>
        <v>Nauru|2021</v>
      </c>
    </row>
    <row r="1393" customFormat="false" ht="15" hidden="false" customHeight="false" outlineLevel="0" collapsed="false">
      <c r="A1393" s="0" t="s">
        <v>313</v>
      </c>
      <c r="B1393" s="0" t="s">
        <v>552</v>
      </c>
      <c r="C1393" s="0" t="s">
        <v>127</v>
      </c>
      <c r="D1393" s="0" t="n">
        <v>2022</v>
      </c>
      <c r="E1393" s="59" t="n">
        <v>11822</v>
      </c>
      <c r="F1393" s="60" t="n">
        <v>0.04</v>
      </c>
      <c r="G1393" s="61" t="n">
        <v>0</v>
      </c>
      <c r="H1393" s="61" t="n">
        <v>0</v>
      </c>
      <c r="I1393" s="61" t="n">
        <v>0.04</v>
      </c>
      <c r="J1393" s="61" t="n">
        <v>0</v>
      </c>
      <c r="K1393" s="61" t="n">
        <v>0</v>
      </c>
      <c r="L1393" s="61" t="n">
        <v>0</v>
      </c>
      <c r="M1393" s="61" t="n">
        <v>0</v>
      </c>
      <c r="N1393" s="61" t="n">
        <v>0</v>
      </c>
      <c r="O1393" s="61" t="n">
        <v>0</v>
      </c>
      <c r="P1393" s="62" t="n">
        <v>750</v>
      </c>
      <c r="Q1393" s="0" t="n">
        <v>0</v>
      </c>
      <c r="R1393" s="60" t="n">
        <f aca="false">G1393+H1393+I1393</f>
        <v>0.04</v>
      </c>
      <c r="S1393" s="60" t="n">
        <f aca="false">K1393+L1393+M1393+N1393+O1393</f>
        <v>0</v>
      </c>
      <c r="T1393" s="60" t="n">
        <f aca="false">L1393+M1393</f>
        <v>0</v>
      </c>
      <c r="U1393" s="60" t="n">
        <f aca="false">S1393+J1393</f>
        <v>0</v>
      </c>
      <c r="V1393" s="63" t="n">
        <f aca="false">IFERROR(S1393/F1393,0)</f>
        <v>0</v>
      </c>
      <c r="W1393" s="63" t="n">
        <f aca="false">IFERROR(R1393/F1393,0)</f>
        <v>1</v>
      </c>
      <c r="X1393" s="63" t="n">
        <f aca="false">IFERROR(T1393/F1393,0)</f>
        <v>0</v>
      </c>
      <c r="Y1393" s="63" t="n">
        <f aca="false">IFERROR(G1393/F1393,0)</f>
        <v>0</v>
      </c>
      <c r="Z1393" s="59" t="n">
        <f aca="false">IF(E1393&gt;0,F1393*1000000000/E1393,"")</f>
        <v>3383.52224665877</v>
      </c>
      <c r="AA1393" s="63" t="n">
        <f aca="false">IFERROR((R1393+S1393+J1393)/F1393,0)</f>
        <v>1</v>
      </c>
      <c r="AB1393" s="0" t="str">
        <f aca="false">A1393&amp;"|"&amp;D1393</f>
        <v>Nauru|2022</v>
      </c>
    </row>
    <row r="1394" customFormat="false" ht="15" hidden="false" customHeight="false" outlineLevel="0" collapsed="false">
      <c r="A1394" s="0" t="s">
        <v>313</v>
      </c>
      <c r="B1394" s="0" t="s">
        <v>552</v>
      </c>
      <c r="C1394" s="0" t="s">
        <v>127</v>
      </c>
      <c r="D1394" s="0" t="n">
        <v>2023</v>
      </c>
      <c r="E1394" s="59" t="n">
        <v>11900</v>
      </c>
      <c r="F1394" s="60" t="n">
        <v>0.04</v>
      </c>
      <c r="G1394" s="61" t="n">
        <v>0</v>
      </c>
      <c r="H1394" s="61" t="n">
        <v>0</v>
      </c>
      <c r="I1394" s="61" t="n">
        <v>0.04</v>
      </c>
      <c r="J1394" s="61" t="n">
        <v>0</v>
      </c>
      <c r="K1394" s="61" t="n">
        <v>0</v>
      </c>
      <c r="L1394" s="61" t="n">
        <v>0</v>
      </c>
      <c r="M1394" s="61" t="n">
        <v>0</v>
      </c>
      <c r="N1394" s="61" t="n">
        <v>0</v>
      </c>
      <c r="O1394" s="61" t="n">
        <v>0</v>
      </c>
      <c r="P1394" s="62" t="n">
        <v>750</v>
      </c>
      <c r="Q1394" s="0" t="n">
        <v>0</v>
      </c>
      <c r="R1394" s="60" t="n">
        <f aca="false">G1394+H1394+I1394</f>
        <v>0.04</v>
      </c>
      <c r="S1394" s="60" t="n">
        <f aca="false">K1394+L1394+M1394+N1394+O1394</f>
        <v>0</v>
      </c>
      <c r="T1394" s="60" t="n">
        <f aca="false">L1394+M1394</f>
        <v>0</v>
      </c>
      <c r="U1394" s="60" t="n">
        <f aca="false">S1394+J1394</f>
        <v>0</v>
      </c>
      <c r="V1394" s="63" t="n">
        <f aca="false">IFERROR(S1394/F1394,0)</f>
        <v>0</v>
      </c>
      <c r="W1394" s="63" t="n">
        <f aca="false">IFERROR(R1394/F1394,0)</f>
        <v>1</v>
      </c>
      <c r="X1394" s="63" t="n">
        <f aca="false">IFERROR(T1394/F1394,0)</f>
        <v>0</v>
      </c>
      <c r="Y1394" s="63" t="n">
        <f aca="false">IFERROR(G1394/F1394,0)</f>
        <v>0</v>
      </c>
      <c r="Z1394" s="59" t="n">
        <f aca="false">IF(E1394&gt;0,F1394*1000000000/E1394,"")</f>
        <v>3361.34453781513</v>
      </c>
      <c r="AA1394" s="63" t="n">
        <f aca="false">IFERROR((R1394+S1394+J1394)/F1394,0)</f>
        <v>1</v>
      </c>
      <c r="AB1394" s="0" t="str">
        <f aca="false">A1394&amp;"|"&amp;D1394</f>
        <v>Nauru|2023</v>
      </c>
    </row>
    <row r="1395" customFormat="false" ht="15" hidden="false" customHeight="false" outlineLevel="0" collapsed="false">
      <c r="A1395" s="0" t="s">
        <v>313</v>
      </c>
      <c r="B1395" s="0" t="s">
        <v>552</v>
      </c>
      <c r="C1395" s="0" t="s">
        <v>127</v>
      </c>
      <c r="D1395" s="0" t="n">
        <v>2024</v>
      </c>
      <c r="E1395" s="59" t="n">
        <v>11968</v>
      </c>
      <c r="F1395" s="60" t="n">
        <v>0.05</v>
      </c>
      <c r="G1395" s="61" t="n">
        <v>0</v>
      </c>
      <c r="H1395" s="61" t="n">
        <v>0</v>
      </c>
      <c r="I1395" s="61" t="n">
        <v>0.04</v>
      </c>
      <c r="J1395" s="61" t="n">
        <v>0</v>
      </c>
      <c r="K1395" s="61" t="n">
        <v>0</v>
      </c>
      <c r="L1395" s="61" t="n">
        <v>0.01</v>
      </c>
      <c r="M1395" s="61" t="n">
        <v>0</v>
      </c>
      <c r="N1395" s="61" t="n">
        <v>0</v>
      </c>
      <c r="O1395" s="61" t="n">
        <v>0</v>
      </c>
      <c r="P1395" s="62" t="n">
        <v>600</v>
      </c>
      <c r="Q1395" s="0" t="n">
        <v>0</v>
      </c>
      <c r="R1395" s="60" t="n">
        <f aca="false">G1395+H1395+I1395</f>
        <v>0.04</v>
      </c>
      <c r="S1395" s="60" t="n">
        <f aca="false">K1395+L1395+M1395+N1395+O1395</f>
        <v>0.01</v>
      </c>
      <c r="T1395" s="60" t="n">
        <f aca="false">L1395+M1395</f>
        <v>0.01</v>
      </c>
      <c r="U1395" s="60" t="n">
        <f aca="false">S1395+J1395</f>
        <v>0.01</v>
      </c>
      <c r="V1395" s="63" t="n">
        <f aca="false">IFERROR(S1395/F1395,0)</f>
        <v>0.2</v>
      </c>
      <c r="W1395" s="63" t="n">
        <f aca="false">IFERROR(R1395/F1395,0)</f>
        <v>0.8</v>
      </c>
      <c r="X1395" s="63" t="n">
        <f aca="false">IFERROR(T1395/F1395,0)</f>
        <v>0.2</v>
      </c>
      <c r="Y1395" s="63" t="n">
        <f aca="false">IFERROR(G1395/F1395,0)</f>
        <v>0</v>
      </c>
      <c r="Z1395" s="59" t="n">
        <f aca="false">IF(E1395&gt;0,F1395*1000000000/E1395,"")</f>
        <v>4177.80748663102</v>
      </c>
      <c r="AA1395" s="63" t="n">
        <f aca="false">IFERROR((R1395+S1395+J1395)/F1395,0)</f>
        <v>1</v>
      </c>
      <c r="AB1395" s="0" t="str">
        <f aca="false">A1395&amp;"|"&amp;D1395</f>
        <v>Nauru|2024</v>
      </c>
    </row>
    <row r="1396" customFormat="false" ht="15" hidden="false" customHeight="false" outlineLevel="0" collapsed="false">
      <c r="A1396" s="0" t="s">
        <v>314</v>
      </c>
      <c r="B1396" s="0" t="s">
        <v>553</v>
      </c>
      <c r="C1396" s="0" t="s">
        <v>127</v>
      </c>
      <c r="D1396" s="0" t="n">
        <v>2015</v>
      </c>
      <c r="E1396" s="59" t="n">
        <v>27823631</v>
      </c>
      <c r="F1396" s="60" t="n">
        <v>3.46</v>
      </c>
      <c r="G1396" s="61" t="n">
        <v>0</v>
      </c>
      <c r="H1396" s="61" t="n">
        <v>0</v>
      </c>
      <c r="I1396" s="61" t="n">
        <v>0</v>
      </c>
      <c r="J1396" s="61" t="n">
        <v>0</v>
      </c>
      <c r="K1396" s="61" t="n">
        <v>3.43</v>
      </c>
      <c r="L1396" s="61" t="n">
        <v>0.02</v>
      </c>
      <c r="M1396" s="61" t="n">
        <v>0.01</v>
      </c>
      <c r="N1396" s="61" t="n">
        <v>0</v>
      </c>
      <c r="O1396" s="61" t="n">
        <v>0</v>
      </c>
      <c r="P1396" s="62" t="n">
        <v>23.1</v>
      </c>
      <c r="Q1396" s="0" t="n">
        <v>0</v>
      </c>
      <c r="R1396" s="60" t="n">
        <f aca="false">G1396+H1396+I1396</f>
        <v>0</v>
      </c>
      <c r="S1396" s="60" t="n">
        <f aca="false">K1396+L1396+M1396+N1396+O1396</f>
        <v>3.46</v>
      </c>
      <c r="T1396" s="60" t="n">
        <f aca="false">L1396+M1396</f>
        <v>0.03</v>
      </c>
      <c r="U1396" s="60" t="n">
        <f aca="false">S1396+J1396</f>
        <v>3.46</v>
      </c>
      <c r="V1396" s="63" t="n">
        <f aca="false">IFERROR(S1396/F1396,0)</f>
        <v>1</v>
      </c>
      <c r="W1396" s="63" t="n">
        <f aca="false">IFERROR(R1396/F1396,0)</f>
        <v>0</v>
      </c>
      <c r="X1396" s="63" t="n">
        <f aca="false">IFERROR(T1396/F1396,0)</f>
        <v>0.00867052023121387</v>
      </c>
      <c r="Y1396" s="63" t="n">
        <f aca="false">IFERROR(G1396/F1396,0)</f>
        <v>0</v>
      </c>
      <c r="Z1396" s="59" t="n">
        <f aca="false">IF(E1396&gt;0,F1396*1000000000/E1396,"")</f>
        <v>124.35472566467</v>
      </c>
      <c r="AA1396" s="63" t="n">
        <f aca="false">IFERROR((R1396+S1396+J1396)/F1396,0)</f>
        <v>1</v>
      </c>
      <c r="AB1396" s="0" t="str">
        <f aca="false">A1396&amp;"|"&amp;D1396</f>
        <v>Nepal|2015</v>
      </c>
    </row>
    <row r="1397" customFormat="false" ht="15" hidden="false" customHeight="false" outlineLevel="0" collapsed="false">
      <c r="A1397" s="0" t="s">
        <v>314</v>
      </c>
      <c r="B1397" s="0" t="s">
        <v>553</v>
      </c>
      <c r="C1397" s="0" t="s">
        <v>127</v>
      </c>
      <c r="D1397" s="0" t="n">
        <v>2016</v>
      </c>
      <c r="E1397" s="59" t="n">
        <v>27955471</v>
      </c>
      <c r="F1397" s="60" t="n">
        <v>4.18</v>
      </c>
      <c r="G1397" s="61" t="n">
        <v>0</v>
      </c>
      <c r="H1397" s="61" t="n">
        <v>0</v>
      </c>
      <c r="I1397" s="61" t="n">
        <v>0</v>
      </c>
      <c r="J1397" s="61" t="n">
        <v>0</v>
      </c>
      <c r="K1397" s="61" t="n">
        <v>4.15</v>
      </c>
      <c r="L1397" s="61" t="n">
        <v>0.02</v>
      </c>
      <c r="M1397" s="61" t="n">
        <v>0.01</v>
      </c>
      <c r="N1397" s="61" t="n">
        <v>0</v>
      </c>
      <c r="O1397" s="61" t="n">
        <v>0</v>
      </c>
      <c r="P1397" s="62" t="n">
        <v>23.9</v>
      </c>
      <c r="Q1397" s="0" t="n">
        <v>0</v>
      </c>
      <c r="R1397" s="60" t="n">
        <f aca="false">G1397+H1397+I1397</f>
        <v>0</v>
      </c>
      <c r="S1397" s="60" t="n">
        <f aca="false">K1397+L1397+M1397+N1397+O1397</f>
        <v>4.18</v>
      </c>
      <c r="T1397" s="60" t="n">
        <f aca="false">L1397+M1397</f>
        <v>0.03</v>
      </c>
      <c r="U1397" s="60" t="n">
        <f aca="false">S1397+J1397</f>
        <v>4.18</v>
      </c>
      <c r="V1397" s="63" t="n">
        <f aca="false">IFERROR(S1397/F1397,0)</f>
        <v>1</v>
      </c>
      <c r="W1397" s="63" t="n">
        <f aca="false">IFERROR(R1397/F1397,0)</f>
        <v>0</v>
      </c>
      <c r="X1397" s="63" t="n">
        <f aca="false">IFERROR(T1397/F1397,0)</f>
        <v>0.00717703349282297</v>
      </c>
      <c r="Y1397" s="63" t="n">
        <f aca="false">IFERROR(G1397/F1397,0)</f>
        <v>0</v>
      </c>
      <c r="Z1397" s="59" t="n">
        <f aca="false">IF(E1397&gt;0,F1397*1000000000/E1397,"")</f>
        <v>149.523504719345</v>
      </c>
      <c r="AA1397" s="63" t="n">
        <f aca="false">IFERROR((R1397+S1397+J1397)/F1397,0)</f>
        <v>1</v>
      </c>
      <c r="AB1397" s="0" t="str">
        <f aca="false">A1397&amp;"|"&amp;D1397</f>
        <v>Nepal|2016</v>
      </c>
    </row>
    <row r="1398" customFormat="false" ht="15" hidden="false" customHeight="false" outlineLevel="0" collapsed="false">
      <c r="A1398" s="0" t="s">
        <v>314</v>
      </c>
      <c r="B1398" s="0" t="s">
        <v>553</v>
      </c>
      <c r="C1398" s="0" t="s">
        <v>127</v>
      </c>
      <c r="D1398" s="0" t="n">
        <v>2017</v>
      </c>
      <c r="E1398" s="59" t="n">
        <v>28011258</v>
      </c>
      <c r="F1398" s="60" t="n">
        <v>4.58</v>
      </c>
      <c r="G1398" s="61" t="n">
        <v>0</v>
      </c>
      <c r="H1398" s="61" t="n">
        <v>0</v>
      </c>
      <c r="I1398" s="61" t="n">
        <v>0</v>
      </c>
      <c r="J1398" s="61" t="n">
        <v>0</v>
      </c>
      <c r="K1398" s="61" t="n">
        <v>4.49</v>
      </c>
      <c r="L1398" s="61" t="n">
        <v>0.08</v>
      </c>
      <c r="M1398" s="61" t="n">
        <v>0.01</v>
      </c>
      <c r="N1398" s="61" t="n">
        <v>0</v>
      </c>
      <c r="O1398" s="61" t="n">
        <v>0</v>
      </c>
      <c r="P1398" s="62" t="n">
        <v>24</v>
      </c>
      <c r="Q1398" s="0" t="n">
        <v>0</v>
      </c>
      <c r="R1398" s="60" t="n">
        <f aca="false">G1398+H1398+I1398</f>
        <v>0</v>
      </c>
      <c r="S1398" s="60" t="n">
        <f aca="false">K1398+L1398+M1398+N1398+O1398</f>
        <v>4.58</v>
      </c>
      <c r="T1398" s="60" t="n">
        <f aca="false">L1398+M1398</f>
        <v>0.09</v>
      </c>
      <c r="U1398" s="60" t="n">
        <f aca="false">S1398+J1398</f>
        <v>4.58</v>
      </c>
      <c r="V1398" s="63" t="n">
        <f aca="false">IFERROR(S1398/F1398,0)</f>
        <v>1</v>
      </c>
      <c r="W1398" s="63" t="n">
        <f aca="false">IFERROR(R1398/F1398,0)</f>
        <v>0</v>
      </c>
      <c r="X1398" s="63" t="n">
        <f aca="false">IFERROR(T1398/F1398,0)</f>
        <v>0.0196506550218341</v>
      </c>
      <c r="Y1398" s="63" t="n">
        <f aca="false">IFERROR(G1398/F1398,0)</f>
        <v>0</v>
      </c>
      <c r="Z1398" s="59" t="n">
        <f aca="false">IF(E1398&gt;0,F1398*1000000000/E1398,"")</f>
        <v>163.505687606033</v>
      </c>
      <c r="AA1398" s="63" t="n">
        <f aca="false">IFERROR((R1398+S1398+J1398)/F1398,0)</f>
        <v>1</v>
      </c>
      <c r="AB1398" s="0" t="str">
        <f aca="false">A1398&amp;"|"&amp;D1398</f>
        <v>Nepal|2017</v>
      </c>
    </row>
    <row r="1399" customFormat="false" ht="15" hidden="false" customHeight="false" outlineLevel="0" collapsed="false">
      <c r="A1399" s="0" t="s">
        <v>314</v>
      </c>
      <c r="B1399" s="0" t="s">
        <v>553</v>
      </c>
      <c r="C1399" s="0" t="s">
        <v>127</v>
      </c>
      <c r="D1399" s="0" t="n">
        <v>2018</v>
      </c>
      <c r="E1399" s="59" t="n">
        <v>28079688</v>
      </c>
      <c r="F1399" s="60" t="n">
        <v>4.84</v>
      </c>
      <c r="G1399" s="61" t="n">
        <v>0</v>
      </c>
      <c r="H1399" s="61" t="n">
        <v>0</v>
      </c>
      <c r="I1399" s="61" t="n">
        <v>0</v>
      </c>
      <c r="J1399" s="61" t="n">
        <v>0</v>
      </c>
      <c r="K1399" s="61" t="n">
        <v>4.75</v>
      </c>
      <c r="L1399" s="61" t="n">
        <v>0.08</v>
      </c>
      <c r="M1399" s="61" t="n">
        <v>0.01</v>
      </c>
      <c r="N1399" s="61" t="n">
        <v>0</v>
      </c>
      <c r="O1399" s="61" t="n">
        <v>0</v>
      </c>
      <c r="P1399" s="62" t="n">
        <v>22.7</v>
      </c>
      <c r="Q1399" s="0" t="n">
        <v>0</v>
      </c>
      <c r="R1399" s="60" t="n">
        <f aca="false">G1399+H1399+I1399</f>
        <v>0</v>
      </c>
      <c r="S1399" s="60" t="n">
        <f aca="false">K1399+L1399+M1399+N1399+O1399</f>
        <v>4.84</v>
      </c>
      <c r="T1399" s="60" t="n">
        <f aca="false">L1399+M1399</f>
        <v>0.09</v>
      </c>
      <c r="U1399" s="60" t="n">
        <f aca="false">S1399+J1399</f>
        <v>4.84</v>
      </c>
      <c r="V1399" s="63" t="n">
        <f aca="false">IFERROR(S1399/F1399,0)</f>
        <v>1</v>
      </c>
      <c r="W1399" s="63" t="n">
        <f aca="false">IFERROR(R1399/F1399,0)</f>
        <v>0</v>
      </c>
      <c r="X1399" s="63" t="n">
        <f aca="false">IFERROR(T1399/F1399,0)</f>
        <v>0.0185950413223141</v>
      </c>
      <c r="Y1399" s="63" t="n">
        <f aca="false">IFERROR(G1399/F1399,0)</f>
        <v>0</v>
      </c>
      <c r="Z1399" s="59" t="n">
        <f aca="false">IF(E1399&gt;0,F1399*1000000000/E1399,"")</f>
        <v>172.366587548978</v>
      </c>
      <c r="AA1399" s="63" t="n">
        <f aca="false">IFERROR((R1399+S1399+J1399)/F1399,0)</f>
        <v>1</v>
      </c>
      <c r="AB1399" s="0" t="str">
        <f aca="false">A1399&amp;"|"&amp;D1399</f>
        <v>Nepal|2018</v>
      </c>
    </row>
    <row r="1400" customFormat="false" ht="15" hidden="false" customHeight="false" outlineLevel="0" collapsed="false">
      <c r="A1400" s="0" t="s">
        <v>314</v>
      </c>
      <c r="B1400" s="0" t="s">
        <v>553</v>
      </c>
      <c r="C1400" s="0" t="s">
        <v>127</v>
      </c>
      <c r="D1400" s="0" t="n">
        <v>2019</v>
      </c>
      <c r="E1400" s="59" t="n">
        <v>28414066</v>
      </c>
      <c r="F1400" s="60" t="n">
        <v>6.15</v>
      </c>
      <c r="G1400" s="61" t="n">
        <v>0</v>
      </c>
      <c r="H1400" s="61" t="n">
        <v>0</v>
      </c>
      <c r="I1400" s="61" t="n">
        <v>0</v>
      </c>
      <c r="J1400" s="61" t="n">
        <v>0</v>
      </c>
      <c r="K1400" s="61" t="n">
        <v>6.06</v>
      </c>
      <c r="L1400" s="61" t="n">
        <v>0.08</v>
      </c>
      <c r="M1400" s="61" t="n">
        <v>0.01</v>
      </c>
      <c r="N1400" s="61" t="n">
        <v>0</v>
      </c>
      <c r="O1400" s="61" t="n">
        <v>0</v>
      </c>
      <c r="P1400" s="62" t="n">
        <v>22.8</v>
      </c>
      <c r="Q1400" s="0" t="n">
        <v>0</v>
      </c>
      <c r="R1400" s="60" t="n">
        <f aca="false">G1400+H1400+I1400</f>
        <v>0</v>
      </c>
      <c r="S1400" s="60" t="n">
        <f aca="false">K1400+L1400+M1400+N1400+O1400</f>
        <v>6.15</v>
      </c>
      <c r="T1400" s="60" t="n">
        <f aca="false">L1400+M1400</f>
        <v>0.09</v>
      </c>
      <c r="U1400" s="60" t="n">
        <f aca="false">S1400+J1400</f>
        <v>6.15</v>
      </c>
      <c r="V1400" s="63" t="n">
        <f aca="false">IFERROR(S1400/F1400,0)</f>
        <v>1</v>
      </c>
      <c r="W1400" s="63" t="n">
        <f aca="false">IFERROR(R1400/F1400,0)</f>
        <v>0</v>
      </c>
      <c r="X1400" s="63" t="n">
        <f aca="false">IFERROR(T1400/F1400,0)</f>
        <v>0.0146341463414634</v>
      </c>
      <c r="Y1400" s="63" t="n">
        <f aca="false">IFERROR(G1400/F1400,0)</f>
        <v>0</v>
      </c>
      <c r="Z1400" s="59" t="n">
        <f aca="false">IF(E1400&gt;0,F1400*1000000000/E1400,"")</f>
        <v>216.442095967539</v>
      </c>
      <c r="AA1400" s="63" t="n">
        <f aca="false">IFERROR((R1400+S1400+J1400)/F1400,0)</f>
        <v>1</v>
      </c>
      <c r="AB1400" s="0" t="str">
        <f aca="false">A1400&amp;"|"&amp;D1400</f>
        <v>Nepal|2019</v>
      </c>
    </row>
    <row r="1401" customFormat="false" ht="15" hidden="false" customHeight="false" outlineLevel="0" collapsed="false">
      <c r="A1401" s="0" t="s">
        <v>314</v>
      </c>
      <c r="B1401" s="0" t="s">
        <v>553</v>
      </c>
      <c r="C1401" s="0" t="s">
        <v>127</v>
      </c>
      <c r="D1401" s="0" t="n">
        <v>2020</v>
      </c>
      <c r="E1401" s="59" t="n">
        <v>28966580</v>
      </c>
      <c r="F1401" s="60" t="n">
        <v>6.18</v>
      </c>
      <c r="G1401" s="61" t="n">
        <v>0</v>
      </c>
      <c r="H1401" s="61" t="n">
        <v>0</v>
      </c>
      <c r="I1401" s="61" t="n">
        <v>0</v>
      </c>
      <c r="J1401" s="61" t="n">
        <v>0</v>
      </c>
      <c r="K1401" s="61" t="n">
        <v>6.09</v>
      </c>
      <c r="L1401" s="61" t="n">
        <v>0.08</v>
      </c>
      <c r="M1401" s="61" t="n">
        <v>0.01</v>
      </c>
      <c r="N1401" s="61" t="n">
        <v>0</v>
      </c>
      <c r="O1401" s="61" t="n">
        <v>0</v>
      </c>
      <c r="P1401" s="62" t="n">
        <v>22.6</v>
      </c>
      <c r="Q1401" s="0" t="n">
        <v>0</v>
      </c>
      <c r="R1401" s="60" t="n">
        <f aca="false">G1401+H1401+I1401</f>
        <v>0</v>
      </c>
      <c r="S1401" s="60" t="n">
        <f aca="false">K1401+L1401+M1401+N1401+O1401</f>
        <v>6.18</v>
      </c>
      <c r="T1401" s="60" t="n">
        <f aca="false">L1401+M1401</f>
        <v>0.09</v>
      </c>
      <c r="U1401" s="60" t="n">
        <f aca="false">S1401+J1401</f>
        <v>6.18</v>
      </c>
      <c r="V1401" s="63" t="n">
        <f aca="false">IFERROR(S1401/F1401,0)</f>
        <v>1</v>
      </c>
      <c r="W1401" s="63" t="n">
        <f aca="false">IFERROR(R1401/F1401,0)</f>
        <v>0</v>
      </c>
      <c r="X1401" s="63" t="n">
        <f aca="false">IFERROR(T1401/F1401,0)</f>
        <v>0.0145631067961165</v>
      </c>
      <c r="Y1401" s="63" t="n">
        <f aca="false">IFERROR(G1401/F1401,0)</f>
        <v>0</v>
      </c>
      <c r="Z1401" s="59" t="n">
        <f aca="false">IF(E1401&gt;0,F1401*1000000000/E1401,"")</f>
        <v>213.349314969182</v>
      </c>
      <c r="AA1401" s="63" t="n">
        <f aca="false">IFERROR((R1401+S1401+J1401)/F1401,0)</f>
        <v>1</v>
      </c>
      <c r="AB1401" s="0" t="str">
        <f aca="false">A1401&amp;"|"&amp;D1401</f>
        <v>Nepal|2020</v>
      </c>
    </row>
    <row r="1402" customFormat="false" ht="15" hidden="false" customHeight="false" outlineLevel="0" collapsed="false">
      <c r="A1402" s="0" t="s">
        <v>314</v>
      </c>
      <c r="B1402" s="0" t="s">
        <v>553</v>
      </c>
      <c r="C1402" s="0" t="s">
        <v>127</v>
      </c>
      <c r="D1402" s="0" t="n">
        <v>2021</v>
      </c>
      <c r="E1402" s="59" t="n">
        <v>29475016</v>
      </c>
      <c r="F1402" s="60" t="n">
        <v>9.63</v>
      </c>
      <c r="G1402" s="61" t="n">
        <v>0</v>
      </c>
      <c r="H1402" s="61" t="n">
        <v>0</v>
      </c>
      <c r="I1402" s="61" t="n">
        <v>0</v>
      </c>
      <c r="J1402" s="61" t="n">
        <v>0</v>
      </c>
      <c r="K1402" s="61" t="n">
        <v>9.53</v>
      </c>
      <c r="L1402" s="61" t="n">
        <v>0.09</v>
      </c>
      <c r="M1402" s="61" t="n">
        <v>0.01</v>
      </c>
      <c r="N1402" s="61" t="n">
        <v>0</v>
      </c>
      <c r="O1402" s="61" t="n">
        <v>0</v>
      </c>
      <c r="P1402" s="62" t="n">
        <v>23.9</v>
      </c>
      <c r="Q1402" s="0" t="n">
        <v>0</v>
      </c>
      <c r="R1402" s="60" t="n">
        <f aca="false">G1402+H1402+I1402</f>
        <v>0</v>
      </c>
      <c r="S1402" s="60" t="n">
        <f aca="false">K1402+L1402+M1402+N1402+O1402</f>
        <v>9.63</v>
      </c>
      <c r="T1402" s="60" t="n">
        <f aca="false">L1402+M1402</f>
        <v>0.1</v>
      </c>
      <c r="U1402" s="60" t="n">
        <f aca="false">S1402+J1402</f>
        <v>9.63</v>
      </c>
      <c r="V1402" s="63" t="n">
        <f aca="false">IFERROR(S1402/F1402,0)</f>
        <v>1</v>
      </c>
      <c r="W1402" s="63" t="n">
        <f aca="false">IFERROR(R1402/F1402,0)</f>
        <v>0</v>
      </c>
      <c r="X1402" s="63" t="n">
        <f aca="false">IFERROR(T1402/F1402,0)</f>
        <v>0.0103842159916926</v>
      </c>
      <c r="Y1402" s="63" t="n">
        <f aca="false">IFERROR(G1402/F1402,0)</f>
        <v>0</v>
      </c>
      <c r="Z1402" s="59" t="n">
        <f aca="false">IF(E1402&gt;0,F1402*1000000000/E1402,"")</f>
        <v>326.717379898963</v>
      </c>
      <c r="AA1402" s="63" t="n">
        <f aca="false">IFERROR((R1402+S1402+J1402)/F1402,0)</f>
        <v>1</v>
      </c>
      <c r="AB1402" s="0" t="str">
        <f aca="false">A1402&amp;"|"&amp;D1402</f>
        <v>Nepal|2021</v>
      </c>
    </row>
    <row r="1403" customFormat="false" ht="15" hidden="false" customHeight="false" outlineLevel="0" collapsed="false">
      <c r="A1403" s="0" t="s">
        <v>314</v>
      </c>
      <c r="B1403" s="0" t="s">
        <v>553</v>
      </c>
      <c r="C1403" s="0" t="s">
        <v>127</v>
      </c>
      <c r="D1403" s="0" t="n">
        <v>2022</v>
      </c>
      <c r="E1403" s="59" t="n">
        <v>29715435</v>
      </c>
      <c r="F1403" s="60" t="n">
        <v>10.7</v>
      </c>
      <c r="G1403" s="61" t="n">
        <v>0</v>
      </c>
      <c r="H1403" s="61" t="n">
        <v>0</v>
      </c>
      <c r="I1403" s="61" t="n">
        <v>0</v>
      </c>
      <c r="J1403" s="61" t="n">
        <v>0</v>
      </c>
      <c r="K1403" s="61" t="n">
        <v>10.59</v>
      </c>
      <c r="L1403" s="61" t="n">
        <v>0.1</v>
      </c>
      <c r="M1403" s="61" t="n">
        <v>0.01</v>
      </c>
      <c r="N1403" s="61" t="n">
        <v>0</v>
      </c>
      <c r="O1403" s="61" t="n">
        <v>0</v>
      </c>
      <c r="P1403" s="62" t="n">
        <v>23.4</v>
      </c>
      <c r="Q1403" s="0" t="n">
        <v>0</v>
      </c>
      <c r="R1403" s="60" t="n">
        <f aca="false">G1403+H1403+I1403</f>
        <v>0</v>
      </c>
      <c r="S1403" s="60" t="n">
        <f aca="false">K1403+L1403+M1403+N1403+O1403</f>
        <v>10.7</v>
      </c>
      <c r="T1403" s="60" t="n">
        <f aca="false">L1403+M1403</f>
        <v>0.11</v>
      </c>
      <c r="U1403" s="60" t="n">
        <f aca="false">S1403+J1403</f>
        <v>10.7</v>
      </c>
      <c r="V1403" s="63" t="n">
        <f aca="false">IFERROR(S1403/F1403,0)</f>
        <v>1</v>
      </c>
      <c r="W1403" s="63" t="n">
        <f aca="false">IFERROR(R1403/F1403,0)</f>
        <v>0</v>
      </c>
      <c r="X1403" s="63" t="n">
        <f aca="false">IFERROR(T1403/F1403,0)</f>
        <v>0.0102803738317757</v>
      </c>
      <c r="Y1403" s="63" t="n">
        <f aca="false">IFERROR(G1403/F1403,0)</f>
        <v>0</v>
      </c>
      <c r="Z1403" s="59" t="n">
        <f aca="false">IF(E1403&gt;0,F1403*1000000000/E1403,"")</f>
        <v>360.08222662734</v>
      </c>
      <c r="AA1403" s="63" t="n">
        <f aca="false">IFERROR((R1403+S1403+J1403)/F1403,0)</f>
        <v>1</v>
      </c>
      <c r="AB1403" s="0" t="str">
        <f aca="false">A1403&amp;"|"&amp;D1403</f>
        <v>Nepal|2022</v>
      </c>
    </row>
    <row r="1404" customFormat="false" ht="15" hidden="false" customHeight="false" outlineLevel="0" collapsed="false">
      <c r="A1404" s="0" t="s">
        <v>314</v>
      </c>
      <c r="B1404" s="0" t="s">
        <v>553</v>
      </c>
      <c r="C1404" s="0" t="s">
        <v>127</v>
      </c>
      <c r="D1404" s="0" t="n">
        <v>2023</v>
      </c>
      <c r="E1404" s="59" t="n">
        <v>29694614</v>
      </c>
      <c r="F1404" s="60" t="n">
        <v>10.7</v>
      </c>
      <c r="G1404" s="61" t="n">
        <v>0</v>
      </c>
      <c r="H1404" s="61" t="n">
        <v>0</v>
      </c>
      <c r="I1404" s="61" t="n">
        <v>0</v>
      </c>
      <c r="J1404" s="61" t="n">
        <v>0</v>
      </c>
      <c r="K1404" s="61" t="n">
        <v>10.59</v>
      </c>
      <c r="L1404" s="61" t="n">
        <v>0.1</v>
      </c>
      <c r="M1404" s="61" t="n">
        <v>0.01</v>
      </c>
      <c r="N1404" s="61" t="n">
        <v>0</v>
      </c>
      <c r="O1404" s="61" t="n">
        <v>0</v>
      </c>
      <c r="P1404" s="62" t="n">
        <v>23.4</v>
      </c>
      <c r="Q1404" s="0" t="n">
        <v>0</v>
      </c>
      <c r="R1404" s="60" t="n">
        <f aca="false">G1404+H1404+I1404</f>
        <v>0</v>
      </c>
      <c r="S1404" s="60" t="n">
        <f aca="false">K1404+L1404+M1404+N1404+O1404</f>
        <v>10.7</v>
      </c>
      <c r="T1404" s="60" t="n">
        <f aca="false">L1404+M1404</f>
        <v>0.11</v>
      </c>
      <c r="U1404" s="60" t="n">
        <f aca="false">S1404+J1404</f>
        <v>10.7</v>
      </c>
      <c r="V1404" s="63" t="n">
        <f aca="false">IFERROR(S1404/F1404,0)</f>
        <v>1</v>
      </c>
      <c r="W1404" s="63" t="n">
        <f aca="false">IFERROR(R1404/F1404,0)</f>
        <v>0</v>
      </c>
      <c r="X1404" s="63" t="n">
        <f aca="false">IFERROR(T1404/F1404,0)</f>
        <v>0.0102803738317757</v>
      </c>
      <c r="Y1404" s="63" t="n">
        <f aca="false">IFERROR(G1404/F1404,0)</f>
        <v>0</v>
      </c>
      <c r="Z1404" s="59" t="n">
        <f aca="false">IF(E1404&gt;0,F1404*1000000000/E1404,"")</f>
        <v>360.334705815674</v>
      </c>
      <c r="AA1404" s="63" t="n">
        <f aca="false">IFERROR((R1404+S1404+J1404)/F1404,0)</f>
        <v>1</v>
      </c>
      <c r="AB1404" s="0" t="str">
        <f aca="false">A1404&amp;"|"&amp;D1404</f>
        <v>Nepal|2023</v>
      </c>
    </row>
    <row r="1405" customFormat="false" ht="15" hidden="false" customHeight="false" outlineLevel="0" collapsed="false">
      <c r="A1405" s="0" t="s">
        <v>314</v>
      </c>
      <c r="B1405" s="0" t="s">
        <v>553</v>
      </c>
      <c r="C1405" s="0" t="s">
        <v>127</v>
      </c>
      <c r="D1405" s="0" t="n">
        <v>2024</v>
      </c>
      <c r="E1405" s="59" t="n">
        <v>29651054</v>
      </c>
      <c r="F1405" s="60" t="n">
        <v>11.13</v>
      </c>
      <c r="G1405" s="61" t="n">
        <v>0</v>
      </c>
      <c r="H1405" s="61" t="n">
        <v>0</v>
      </c>
      <c r="I1405" s="61" t="n">
        <v>0</v>
      </c>
      <c r="J1405" s="61" t="n">
        <v>0</v>
      </c>
      <c r="K1405" s="61" t="n">
        <v>11</v>
      </c>
      <c r="L1405" s="61" t="n">
        <v>0.12</v>
      </c>
      <c r="M1405" s="61" t="n">
        <v>0.01</v>
      </c>
      <c r="N1405" s="61" t="n">
        <v>0</v>
      </c>
      <c r="O1405" s="61" t="n">
        <v>0</v>
      </c>
      <c r="P1405" s="62" t="n">
        <v>24.3</v>
      </c>
      <c r="Q1405" s="0" t="n">
        <v>0</v>
      </c>
      <c r="R1405" s="60" t="n">
        <f aca="false">G1405+H1405+I1405</f>
        <v>0</v>
      </c>
      <c r="S1405" s="60" t="n">
        <f aca="false">K1405+L1405+M1405+N1405+O1405</f>
        <v>11.13</v>
      </c>
      <c r="T1405" s="60" t="n">
        <f aca="false">L1405+M1405</f>
        <v>0.13</v>
      </c>
      <c r="U1405" s="60" t="n">
        <f aca="false">S1405+J1405</f>
        <v>11.13</v>
      </c>
      <c r="V1405" s="63" t="n">
        <f aca="false">IFERROR(S1405/F1405,0)</f>
        <v>1</v>
      </c>
      <c r="W1405" s="63" t="n">
        <f aca="false">IFERROR(R1405/F1405,0)</f>
        <v>0</v>
      </c>
      <c r="X1405" s="63" t="n">
        <f aca="false">IFERROR(T1405/F1405,0)</f>
        <v>0.0116801437556155</v>
      </c>
      <c r="Y1405" s="63" t="n">
        <f aca="false">IFERROR(G1405/F1405,0)</f>
        <v>0</v>
      </c>
      <c r="Z1405" s="59" t="n">
        <f aca="false">IF(E1405&gt;0,F1405*1000000000/E1405,"")</f>
        <v>375.366083107872</v>
      </c>
      <c r="AA1405" s="63" t="n">
        <f aca="false">IFERROR((R1405+S1405+J1405)/F1405,0)</f>
        <v>1</v>
      </c>
      <c r="AB1405" s="0" t="str">
        <f aca="false">A1405&amp;"|"&amp;D1405</f>
        <v>Nepal|2024</v>
      </c>
    </row>
    <row r="1406" customFormat="false" ht="15" hidden="false" customHeight="false" outlineLevel="0" collapsed="false">
      <c r="A1406" s="0" t="s">
        <v>315</v>
      </c>
      <c r="B1406" s="0" t="s">
        <v>554</v>
      </c>
      <c r="C1406" s="0" t="s">
        <v>127</v>
      </c>
      <c r="D1406" s="0" t="n">
        <v>2015</v>
      </c>
      <c r="E1406" s="59" t="n">
        <v>17107429</v>
      </c>
      <c r="F1406" s="60" t="n">
        <v>108.99</v>
      </c>
      <c r="G1406" s="61" t="n">
        <v>39.39</v>
      </c>
      <c r="H1406" s="61" t="n">
        <v>45.81</v>
      </c>
      <c r="I1406" s="61" t="n">
        <v>6.02</v>
      </c>
      <c r="J1406" s="61" t="n">
        <v>4.08</v>
      </c>
      <c r="K1406" s="61" t="n">
        <v>0.09</v>
      </c>
      <c r="L1406" s="61" t="n">
        <v>1.11</v>
      </c>
      <c r="M1406" s="61" t="n">
        <v>7.55</v>
      </c>
      <c r="N1406" s="61" t="n">
        <v>4.94</v>
      </c>
      <c r="O1406" s="61" t="n">
        <v>0</v>
      </c>
      <c r="P1406" s="62" t="n">
        <v>551.4</v>
      </c>
      <c r="Q1406" s="0" t="n">
        <v>0</v>
      </c>
      <c r="R1406" s="60" t="n">
        <f aca="false">G1406+H1406+I1406</f>
        <v>91.22</v>
      </c>
      <c r="S1406" s="60" t="n">
        <f aca="false">K1406+L1406+M1406+N1406+O1406</f>
        <v>13.69</v>
      </c>
      <c r="T1406" s="60" t="n">
        <f aca="false">L1406+M1406</f>
        <v>8.66</v>
      </c>
      <c r="U1406" s="60" t="n">
        <f aca="false">S1406+J1406</f>
        <v>17.77</v>
      </c>
      <c r="V1406" s="63" t="n">
        <f aca="false">IFERROR(S1406/F1406,0)</f>
        <v>0.125607853931553</v>
      </c>
      <c r="W1406" s="63" t="n">
        <f aca="false">IFERROR(R1406/F1406,0)</f>
        <v>0.836957519038444</v>
      </c>
      <c r="X1406" s="63" t="n">
        <f aca="false">IFERROR(T1406/F1406,0)</f>
        <v>0.0794568309019176</v>
      </c>
      <c r="Y1406" s="63" t="n">
        <f aca="false">IFERROR(G1406/F1406,0)</f>
        <v>0.361409303605835</v>
      </c>
      <c r="Z1406" s="59" t="n">
        <f aca="false">IF(E1406&gt;0,F1406*1000000000/E1406,"")</f>
        <v>6370.91640128976</v>
      </c>
      <c r="AA1406" s="63" t="n">
        <f aca="false">IFERROR((R1406+S1406+J1406)/F1406,0)</f>
        <v>1</v>
      </c>
      <c r="AB1406" s="0" t="str">
        <f aca="false">A1406&amp;"|"&amp;D1406</f>
        <v>Netherlands|2015</v>
      </c>
    </row>
    <row r="1407" customFormat="false" ht="15" hidden="false" customHeight="false" outlineLevel="0" collapsed="false">
      <c r="A1407" s="0" t="s">
        <v>315</v>
      </c>
      <c r="B1407" s="0" t="s">
        <v>554</v>
      </c>
      <c r="C1407" s="0" t="s">
        <v>127</v>
      </c>
      <c r="D1407" s="0" t="n">
        <v>2016</v>
      </c>
      <c r="E1407" s="59" t="n">
        <v>17204693</v>
      </c>
      <c r="F1407" s="60" t="n">
        <v>113.96</v>
      </c>
      <c r="G1407" s="61" t="n">
        <v>36.82</v>
      </c>
      <c r="H1407" s="61" t="n">
        <v>52.53</v>
      </c>
      <c r="I1407" s="61" t="n">
        <v>5.87</v>
      </c>
      <c r="J1407" s="61" t="n">
        <v>3.96</v>
      </c>
      <c r="K1407" s="61" t="n">
        <v>0.1</v>
      </c>
      <c r="L1407" s="61" t="n">
        <v>1.6</v>
      </c>
      <c r="M1407" s="61" t="n">
        <v>8.17</v>
      </c>
      <c r="N1407" s="61" t="n">
        <v>4.91</v>
      </c>
      <c r="O1407" s="61" t="n">
        <v>0</v>
      </c>
      <c r="P1407" s="62" t="n">
        <v>524.6</v>
      </c>
      <c r="Q1407" s="0" t="n">
        <v>0</v>
      </c>
      <c r="R1407" s="60" t="n">
        <f aca="false">G1407+H1407+I1407</f>
        <v>95.22</v>
      </c>
      <c r="S1407" s="60" t="n">
        <f aca="false">K1407+L1407+M1407+N1407+O1407</f>
        <v>14.78</v>
      </c>
      <c r="T1407" s="60" t="n">
        <f aca="false">L1407+M1407</f>
        <v>9.77</v>
      </c>
      <c r="U1407" s="60" t="n">
        <f aca="false">S1407+J1407</f>
        <v>18.74</v>
      </c>
      <c r="V1407" s="63" t="n">
        <f aca="false">IFERROR(S1407/F1407,0)</f>
        <v>0.12969462969463</v>
      </c>
      <c r="W1407" s="63" t="n">
        <f aca="false">IFERROR(R1407/F1407,0)</f>
        <v>0.835556335556336</v>
      </c>
      <c r="X1407" s="63" t="n">
        <f aca="false">IFERROR(T1407/F1407,0)</f>
        <v>0.0857318357318357</v>
      </c>
      <c r="Y1407" s="63" t="n">
        <f aca="false">IFERROR(G1407/F1407,0)</f>
        <v>0.323095823095823</v>
      </c>
      <c r="Z1407" s="59" t="n">
        <f aca="false">IF(E1407&gt;0,F1407*1000000000/E1407,"")</f>
        <v>6623.774106286</v>
      </c>
      <c r="AA1407" s="63" t="n">
        <f aca="false">IFERROR((R1407+S1407+J1407)/F1407,0)</f>
        <v>1</v>
      </c>
      <c r="AB1407" s="0" t="str">
        <f aca="false">A1407&amp;"|"&amp;D1407</f>
        <v>Netherlands|2016</v>
      </c>
    </row>
    <row r="1408" customFormat="false" ht="15" hidden="false" customHeight="false" outlineLevel="0" collapsed="false">
      <c r="A1408" s="0" t="s">
        <v>315</v>
      </c>
      <c r="B1408" s="0" t="s">
        <v>554</v>
      </c>
      <c r="C1408" s="0" t="s">
        <v>127</v>
      </c>
      <c r="D1408" s="0" t="n">
        <v>2017</v>
      </c>
      <c r="E1408" s="59" t="n">
        <v>17315376</v>
      </c>
      <c r="F1408" s="60" t="n">
        <v>116.04</v>
      </c>
      <c r="G1408" s="61" t="n">
        <v>31.38</v>
      </c>
      <c r="H1408" s="61" t="n">
        <v>57.73</v>
      </c>
      <c r="I1408" s="61" t="n">
        <v>6.1</v>
      </c>
      <c r="J1408" s="61" t="n">
        <v>3.4</v>
      </c>
      <c r="K1408" s="61" t="n">
        <v>0.06</v>
      </c>
      <c r="L1408" s="61" t="n">
        <v>2.2</v>
      </c>
      <c r="M1408" s="61" t="n">
        <v>10.57</v>
      </c>
      <c r="N1408" s="61" t="n">
        <v>4.6</v>
      </c>
      <c r="O1408" s="61" t="n">
        <v>0</v>
      </c>
      <c r="P1408" s="62" t="n">
        <v>489.7</v>
      </c>
      <c r="Q1408" s="0" t="n">
        <v>0</v>
      </c>
      <c r="R1408" s="60" t="n">
        <f aca="false">G1408+H1408+I1408</f>
        <v>95.21</v>
      </c>
      <c r="S1408" s="60" t="n">
        <f aca="false">K1408+L1408+M1408+N1408+O1408</f>
        <v>17.43</v>
      </c>
      <c r="T1408" s="60" t="n">
        <f aca="false">L1408+M1408</f>
        <v>12.77</v>
      </c>
      <c r="U1408" s="60" t="n">
        <f aca="false">S1408+J1408</f>
        <v>20.83</v>
      </c>
      <c r="V1408" s="63" t="n">
        <f aca="false">IFERROR(S1408/F1408,0)</f>
        <v>0.150206825232678</v>
      </c>
      <c r="W1408" s="63" t="n">
        <f aca="false">IFERROR(R1408/F1408,0)</f>
        <v>0.820492933471217</v>
      </c>
      <c r="X1408" s="63" t="n">
        <f aca="false">IFERROR(T1408/F1408,0)</f>
        <v>0.110048259220958</v>
      </c>
      <c r="Y1408" s="63" t="n">
        <f aca="false">IFERROR(G1408/F1408,0)</f>
        <v>0.270423991726991</v>
      </c>
      <c r="Z1408" s="59" t="n">
        <f aca="false">IF(E1408&gt;0,F1408*1000000000/E1408,"")</f>
        <v>6701.55819890945</v>
      </c>
      <c r="AA1408" s="63" t="n">
        <f aca="false">IFERROR((R1408+S1408+J1408)/F1408,0)</f>
        <v>1</v>
      </c>
      <c r="AB1408" s="0" t="str">
        <f aca="false">A1408&amp;"|"&amp;D1408</f>
        <v>Netherlands|2017</v>
      </c>
    </row>
    <row r="1409" customFormat="false" ht="15" hidden="false" customHeight="false" outlineLevel="0" collapsed="false">
      <c r="A1409" s="0" t="s">
        <v>315</v>
      </c>
      <c r="B1409" s="0" t="s">
        <v>554</v>
      </c>
      <c r="C1409" s="0" t="s">
        <v>127</v>
      </c>
      <c r="D1409" s="0" t="n">
        <v>2018</v>
      </c>
      <c r="E1409" s="59" t="n">
        <v>17421285</v>
      </c>
      <c r="F1409" s="60" t="n">
        <v>113.1</v>
      </c>
      <c r="G1409" s="61" t="n">
        <v>27.58</v>
      </c>
      <c r="H1409" s="61" t="n">
        <v>57.63</v>
      </c>
      <c r="I1409" s="61" t="n">
        <v>5.5</v>
      </c>
      <c r="J1409" s="61" t="n">
        <v>3.51</v>
      </c>
      <c r="K1409" s="61" t="n">
        <v>0.07</v>
      </c>
      <c r="L1409" s="61" t="n">
        <v>3.71</v>
      </c>
      <c r="M1409" s="61" t="n">
        <v>10.55</v>
      </c>
      <c r="N1409" s="61" t="n">
        <v>4.55</v>
      </c>
      <c r="O1409" s="61" t="n">
        <v>0</v>
      </c>
      <c r="P1409" s="62" t="n">
        <v>467.1</v>
      </c>
      <c r="Q1409" s="0" t="n">
        <v>0</v>
      </c>
      <c r="R1409" s="60" t="n">
        <f aca="false">G1409+H1409+I1409</f>
        <v>90.71</v>
      </c>
      <c r="S1409" s="60" t="n">
        <f aca="false">K1409+L1409+M1409+N1409+O1409</f>
        <v>18.88</v>
      </c>
      <c r="T1409" s="60" t="n">
        <f aca="false">L1409+M1409</f>
        <v>14.26</v>
      </c>
      <c r="U1409" s="60" t="n">
        <f aca="false">S1409+J1409</f>
        <v>22.39</v>
      </c>
      <c r="V1409" s="63" t="n">
        <f aca="false">IFERROR(S1409/F1409,0)</f>
        <v>0.166931918656057</v>
      </c>
      <c r="W1409" s="63" t="n">
        <f aca="false">IFERROR(R1409/F1409,0)</f>
        <v>0.802033598585323</v>
      </c>
      <c r="X1409" s="63" t="n">
        <f aca="false">IFERROR(T1409/F1409,0)</f>
        <v>0.126083112290009</v>
      </c>
      <c r="Y1409" s="63" t="n">
        <f aca="false">IFERROR(G1409/F1409,0)</f>
        <v>0.243854995579134</v>
      </c>
      <c r="Z1409" s="59" t="n">
        <f aca="false">IF(E1409&gt;0,F1409*1000000000/E1409,"")</f>
        <v>6492.05842163767</v>
      </c>
      <c r="AA1409" s="63" t="n">
        <f aca="false">IFERROR((R1409+S1409+J1409)/F1409,0)</f>
        <v>1</v>
      </c>
      <c r="AB1409" s="0" t="str">
        <f aca="false">A1409&amp;"|"&amp;D1409</f>
        <v>Netherlands|2018</v>
      </c>
    </row>
    <row r="1410" customFormat="false" ht="15" hidden="false" customHeight="false" outlineLevel="0" collapsed="false">
      <c r="A1410" s="0" t="s">
        <v>315</v>
      </c>
      <c r="B1410" s="0" t="s">
        <v>554</v>
      </c>
      <c r="C1410" s="0" t="s">
        <v>127</v>
      </c>
      <c r="D1410" s="0" t="n">
        <v>2019</v>
      </c>
      <c r="E1410" s="59" t="n">
        <v>17537505</v>
      </c>
      <c r="F1410" s="60" t="n">
        <v>120.05</v>
      </c>
      <c r="G1410" s="61" t="n">
        <v>17.69</v>
      </c>
      <c r="H1410" s="61" t="n">
        <v>70.72</v>
      </c>
      <c r="I1410" s="61" t="n">
        <v>4.93</v>
      </c>
      <c r="J1410" s="61" t="n">
        <v>3.91</v>
      </c>
      <c r="K1410" s="61" t="n">
        <v>0.07</v>
      </c>
      <c r="L1410" s="61" t="n">
        <v>5.4</v>
      </c>
      <c r="M1410" s="61" t="n">
        <v>11.51</v>
      </c>
      <c r="N1410" s="61" t="n">
        <v>5.82</v>
      </c>
      <c r="O1410" s="61" t="n">
        <v>0</v>
      </c>
      <c r="P1410" s="62" t="n">
        <v>410</v>
      </c>
      <c r="Q1410" s="0" t="n">
        <v>0</v>
      </c>
      <c r="R1410" s="60" t="n">
        <f aca="false">G1410+H1410+I1410</f>
        <v>93.34</v>
      </c>
      <c r="S1410" s="60" t="n">
        <f aca="false">K1410+L1410+M1410+N1410+O1410</f>
        <v>22.8</v>
      </c>
      <c r="T1410" s="60" t="n">
        <f aca="false">L1410+M1410</f>
        <v>16.91</v>
      </c>
      <c r="U1410" s="60" t="n">
        <f aca="false">S1410+J1410</f>
        <v>26.71</v>
      </c>
      <c r="V1410" s="63" t="n">
        <f aca="false">IFERROR(S1410/F1410,0)</f>
        <v>0.189920866305706</v>
      </c>
      <c r="W1410" s="63" t="n">
        <f aca="false">IFERROR(R1410/F1410,0)</f>
        <v>0.777509371095377</v>
      </c>
      <c r="X1410" s="63" t="n">
        <f aca="false">IFERROR(T1410/F1410,0)</f>
        <v>0.140857975843399</v>
      </c>
      <c r="Y1410" s="63" t="n">
        <f aca="false">IFERROR(G1410/F1410,0)</f>
        <v>0.147355268638068</v>
      </c>
      <c r="Z1410" s="59" t="n">
        <f aca="false">IF(E1410&gt;0,F1410*1000000000/E1410,"")</f>
        <v>6845.32948101797</v>
      </c>
      <c r="AA1410" s="63" t="n">
        <f aca="false">IFERROR((R1410+S1410+J1410)/F1410,0)</f>
        <v>1</v>
      </c>
      <c r="AB1410" s="0" t="str">
        <f aca="false">A1410&amp;"|"&amp;D1410</f>
        <v>Netherlands|2019</v>
      </c>
    </row>
    <row r="1411" customFormat="false" ht="15" hidden="false" customHeight="false" outlineLevel="0" collapsed="false">
      <c r="A1411" s="0" t="s">
        <v>315</v>
      </c>
      <c r="B1411" s="0" t="s">
        <v>554</v>
      </c>
      <c r="C1411" s="0" t="s">
        <v>127</v>
      </c>
      <c r="D1411" s="0" t="n">
        <v>2020</v>
      </c>
      <c r="E1411" s="59" t="n">
        <v>17636732</v>
      </c>
      <c r="F1411" s="60" t="n">
        <v>121.96</v>
      </c>
      <c r="G1411" s="61" t="n">
        <v>7.62</v>
      </c>
      <c r="H1411" s="61" t="n">
        <v>72.52</v>
      </c>
      <c r="I1411" s="61" t="n">
        <v>5</v>
      </c>
      <c r="J1411" s="61" t="n">
        <v>4.09</v>
      </c>
      <c r="K1411" s="61" t="n">
        <v>0.05</v>
      </c>
      <c r="L1411" s="61" t="n">
        <v>8.57</v>
      </c>
      <c r="M1411" s="61" t="n">
        <v>15.27</v>
      </c>
      <c r="N1411" s="61" t="n">
        <v>8.84</v>
      </c>
      <c r="O1411" s="61" t="n">
        <v>0</v>
      </c>
      <c r="P1411" s="62" t="n">
        <v>342.9</v>
      </c>
      <c r="Q1411" s="0" t="n">
        <v>0</v>
      </c>
      <c r="R1411" s="60" t="n">
        <f aca="false">G1411+H1411+I1411</f>
        <v>85.14</v>
      </c>
      <c r="S1411" s="60" t="n">
        <f aca="false">K1411+L1411+M1411+N1411+O1411</f>
        <v>32.73</v>
      </c>
      <c r="T1411" s="60" t="n">
        <f aca="false">L1411+M1411</f>
        <v>23.84</v>
      </c>
      <c r="U1411" s="60" t="n">
        <f aca="false">S1411+J1411</f>
        <v>36.82</v>
      </c>
      <c r="V1411" s="63" t="n">
        <f aca="false">IFERROR(S1411/F1411,0)</f>
        <v>0.268366677599213</v>
      </c>
      <c r="W1411" s="63" t="n">
        <f aca="false">IFERROR(R1411/F1411,0)</f>
        <v>0.698097736962939</v>
      </c>
      <c r="X1411" s="63" t="n">
        <f aca="false">IFERROR(T1411/F1411,0)</f>
        <v>0.195473925877337</v>
      </c>
      <c r="Y1411" s="63" t="n">
        <f aca="false">IFERROR(G1411/F1411,0)</f>
        <v>0.0624795014758937</v>
      </c>
      <c r="Z1411" s="59" t="n">
        <f aca="false">IF(E1411&gt;0,F1411*1000000000/E1411,"")</f>
        <v>6915.1132987676</v>
      </c>
      <c r="AA1411" s="63" t="n">
        <f aca="false">IFERROR((R1411+S1411+J1411)/F1411,0)</f>
        <v>1</v>
      </c>
      <c r="AB1411" s="0" t="str">
        <f aca="false">A1411&amp;"|"&amp;D1411</f>
        <v>Netherlands|2020</v>
      </c>
    </row>
    <row r="1412" customFormat="false" ht="15" hidden="false" customHeight="false" outlineLevel="0" collapsed="false">
      <c r="A1412" s="0" t="s">
        <v>315</v>
      </c>
      <c r="B1412" s="0" t="s">
        <v>554</v>
      </c>
      <c r="C1412" s="0" t="s">
        <v>127</v>
      </c>
      <c r="D1412" s="0" t="n">
        <v>2021</v>
      </c>
      <c r="E1412" s="59" t="n">
        <v>17730565</v>
      </c>
      <c r="F1412" s="60" t="n">
        <v>120.89</v>
      </c>
      <c r="G1412" s="61" t="n">
        <v>14.6</v>
      </c>
      <c r="H1412" s="61" t="n">
        <v>56.69</v>
      </c>
      <c r="I1412" s="61" t="n">
        <v>5.33</v>
      </c>
      <c r="J1412" s="61" t="n">
        <v>3.83</v>
      </c>
      <c r="K1412" s="61" t="n">
        <v>0.09</v>
      </c>
      <c r="L1412" s="61" t="n">
        <v>11.3</v>
      </c>
      <c r="M1412" s="61" t="n">
        <v>18.13</v>
      </c>
      <c r="N1412" s="61" t="n">
        <v>10.92</v>
      </c>
      <c r="O1412" s="61" t="n">
        <v>0</v>
      </c>
      <c r="P1412" s="62" t="n">
        <v>352</v>
      </c>
      <c r="Q1412" s="0" t="n">
        <v>0</v>
      </c>
      <c r="R1412" s="60" t="n">
        <f aca="false">G1412+H1412+I1412</f>
        <v>76.62</v>
      </c>
      <c r="S1412" s="60" t="n">
        <f aca="false">K1412+L1412+M1412+N1412+O1412</f>
        <v>40.44</v>
      </c>
      <c r="T1412" s="60" t="n">
        <f aca="false">L1412+M1412</f>
        <v>29.43</v>
      </c>
      <c r="U1412" s="60" t="n">
        <f aca="false">S1412+J1412</f>
        <v>44.27</v>
      </c>
      <c r="V1412" s="63" t="n">
        <f aca="false">IFERROR(S1412/F1412,0)</f>
        <v>0.334518984200513</v>
      </c>
      <c r="W1412" s="63" t="n">
        <f aca="false">IFERROR(R1412/F1412,0)</f>
        <v>0.633799321697411</v>
      </c>
      <c r="X1412" s="63" t="n">
        <f aca="false">IFERROR(T1412/F1412,0)</f>
        <v>0.243444453635536</v>
      </c>
      <c r="Y1412" s="63" t="n">
        <f aca="false">IFERROR(G1412/F1412,0)</f>
        <v>0.120770948796427</v>
      </c>
      <c r="Z1412" s="59" t="n">
        <f aca="false">IF(E1412&gt;0,F1412*1000000000/E1412,"")</f>
        <v>6818.16964095617</v>
      </c>
      <c r="AA1412" s="63" t="n">
        <f aca="false">IFERROR((R1412+S1412+J1412)/F1412,0)</f>
        <v>1</v>
      </c>
      <c r="AB1412" s="0" t="str">
        <f aca="false">A1412&amp;"|"&amp;D1412</f>
        <v>Netherlands|2021</v>
      </c>
    </row>
    <row r="1413" customFormat="false" ht="15" hidden="false" customHeight="false" outlineLevel="0" collapsed="false">
      <c r="A1413" s="0" t="s">
        <v>315</v>
      </c>
      <c r="B1413" s="0" t="s">
        <v>554</v>
      </c>
      <c r="C1413" s="0" t="s">
        <v>127</v>
      </c>
      <c r="D1413" s="0" t="n">
        <v>2022</v>
      </c>
      <c r="E1413" s="59" t="n">
        <v>17904421</v>
      </c>
      <c r="F1413" s="60" t="n">
        <v>119.96</v>
      </c>
      <c r="G1413" s="61" t="n">
        <v>14.8</v>
      </c>
      <c r="H1413" s="61" t="n">
        <v>47.74</v>
      </c>
      <c r="I1413" s="61" t="n">
        <v>5.16</v>
      </c>
      <c r="J1413" s="61" t="n">
        <v>4.16</v>
      </c>
      <c r="K1413" s="61" t="n">
        <v>0.05</v>
      </c>
      <c r="L1413" s="61" t="n">
        <v>16.66</v>
      </c>
      <c r="M1413" s="61" t="n">
        <v>21.57</v>
      </c>
      <c r="N1413" s="61" t="n">
        <v>9.82</v>
      </c>
      <c r="O1413" s="61" t="n">
        <v>0</v>
      </c>
      <c r="P1413" s="62" t="n">
        <v>325.6</v>
      </c>
      <c r="Q1413" s="0" t="n">
        <v>0</v>
      </c>
      <c r="R1413" s="60" t="n">
        <f aca="false">G1413+H1413+I1413</f>
        <v>67.7</v>
      </c>
      <c r="S1413" s="60" t="n">
        <f aca="false">K1413+L1413+M1413+N1413+O1413</f>
        <v>48.1</v>
      </c>
      <c r="T1413" s="60" t="n">
        <f aca="false">L1413+M1413</f>
        <v>38.23</v>
      </c>
      <c r="U1413" s="60" t="n">
        <f aca="false">S1413+J1413</f>
        <v>52.26</v>
      </c>
      <c r="V1413" s="63" t="n">
        <f aca="false">IFERROR(S1413/F1413,0)</f>
        <v>0.400966988996332</v>
      </c>
      <c r="W1413" s="63" t="n">
        <f aca="false">IFERROR(R1413/F1413,0)</f>
        <v>0.56435478492831</v>
      </c>
      <c r="X1413" s="63" t="n">
        <f aca="false">IFERROR(T1413/F1413,0)</f>
        <v>0.318689563187729</v>
      </c>
      <c r="Y1413" s="63" t="n">
        <f aca="false">IFERROR(G1413/F1413,0)</f>
        <v>0.123374458152718</v>
      </c>
      <c r="Z1413" s="59" t="n">
        <f aca="false">IF(E1413&gt;0,F1413*1000000000/E1413,"")</f>
        <v>6700.02118471187</v>
      </c>
      <c r="AA1413" s="63" t="n">
        <f aca="false">IFERROR((R1413+S1413+J1413)/F1413,0)</f>
        <v>1</v>
      </c>
      <c r="AB1413" s="0" t="str">
        <f aca="false">A1413&amp;"|"&amp;D1413</f>
        <v>Netherlands|2022</v>
      </c>
    </row>
    <row r="1414" customFormat="false" ht="15" hidden="false" customHeight="false" outlineLevel="0" collapsed="false">
      <c r="A1414" s="0" t="s">
        <v>315</v>
      </c>
      <c r="B1414" s="0" t="s">
        <v>554</v>
      </c>
      <c r="C1414" s="0" t="s">
        <v>127</v>
      </c>
      <c r="D1414" s="0" t="n">
        <v>2023</v>
      </c>
      <c r="E1414" s="59" t="n">
        <v>18092526</v>
      </c>
      <c r="F1414" s="60" t="n">
        <v>119.96</v>
      </c>
      <c r="G1414" s="61" t="n">
        <v>8.71</v>
      </c>
      <c r="H1414" s="61" t="n">
        <v>46.09</v>
      </c>
      <c r="I1414" s="61" t="n">
        <v>4.33</v>
      </c>
      <c r="J1414" s="61" t="n">
        <v>3.99</v>
      </c>
      <c r="K1414" s="61" t="n">
        <v>0.07</v>
      </c>
      <c r="L1414" s="61" t="n">
        <v>19.61</v>
      </c>
      <c r="M1414" s="61" t="n">
        <v>29.52</v>
      </c>
      <c r="N1414" s="61" t="n">
        <v>7.64</v>
      </c>
      <c r="O1414" s="61" t="n">
        <v>0</v>
      </c>
      <c r="P1414" s="62" t="n">
        <v>268.2</v>
      </c>
      <c r="Q1414" s="0" t="n">
        <v>0</v>
      </c>
      <c r="R1414" s="60" t="n">
        <f aca="false">G1414+H1414+I1414</f>
        <v>59.13</v>
      </c>
      <c r="S1414" s="60" t="n">
        <f aca="false">K1414+L1414+M1414+N1414+O1414</f>
        <v>56.84</v>
      </c>
      <c r="T1414" s="60" t="n">
        <f aca="false">L1414+M1414</f>
        <v>49.13</v>
      </c>
      <c r="U1414" s="60" t="n">
        <f aca="false">S1414+J1414</f>
        <v>60.83</v>
      </c>
      <c r="V1414" s="63" t="n">
        <f aca="false">IFERROR(S1414/F1414,0)</f>
        <v>0.473824608202734</v>
      </c>
      <c r="W1414" s="63" t="n">
        <f aca="false">IFERROR(R1414/F1414,0)</f>
        <v>0.492914304768256</v>
      </c>
      <c r="X1414" s="63" t="n">
        <f aca="false">IFERROR(T1414/F1414,0)</f>
        <v>0.409553184394798</v>
      </c>
      <c r="Y1414" s="63" t="n">
        <f aca="false">IFERROR(G1414/F1414,0)</f>
        <v>0.0726075358452818</v>
      </c>
      <c r="Z1414" s="59" t="n">
        <f aca="false">IF(E1414&gt;0,F1414*1000000000/E1414,"")</f>
        <v>6630.36217275576</v>
      </c>
      <c r="AA1414" s="63" t="n">
        <f aca="false">IFERROR((R1414+S1414+J1414)/F1414,0)</f>
        <v>1</v>
      </c>
      <c r="AB1414" s="0" t="str">
        <f aca="false">A1414&amp;"|"&amp;D1414</f>
        <v>Netherlands|2023</v>
      </c>
    </row>
    <row r="1415" customFormat="false" ht="15" hidden="false" customHeight="false" outlineLevel="0" collapsed="false">
      <c r="A1415" s="0" t="s">
        <v>315</v>
      </c>
      <c r="B1415" s="0" t="s">
        <v>554</v>
      </c>
      <c r="C1415" s="0" t="s">
        <v>127</v>
      </c>
      <c r="D1415" s="0" t="n">
        <v>2024</v>
      </c>
      <c r="E1415" s="59" t="n">
        <v>18228740</v>
      </c>
      <c r="F1415" s="60" t="n">
        <v>122.33</v>
      </c>
      <c r="G1415" s="61" t="n">
        <v>7.47</v>
      </c>
      <c r="H1415" s="61" t="n">
        <v>44.29</v>
      </c>
      <c r="I1415" s="61" t="n">
        <v>4.93</v>
      </c>
      <c r="J1415" s="61" t="n">
        <v>3.57</v>
      </c>
      <c r="K1415" s="61" t="n">
        <v>0.09</v>
      </c>
      <c r="L1415" s="61" t="n">
        <v>21.82</v>
      </c>
      <c r="M1415" s="61" t="n">
        <v>33.48</v>
      </c>
      <c r="N1415" s="61" t="n">
        <v>6.68</v>
      </c>
      <c r="O1415" s="61" t="n">
        <v>0</v>
      </c>
      <c r="P1415" s="62" t="n">
        <v>250.7</v>
      </c>
      <c r="Q1415" s="0" t="n">
        <v>0</v>
      </c>
      <c r="R1415" s="60" t="n">
        <f aca="false">G1415+H1415+I1415</f>
        <v>56.69</v>
      </c>
      <c r="S1415" s="60" t="n">
        <f aca="false">K1415+L1415+M1415+N1415+O1415</f>
        <v>62.07</v>
      </c>
      <c r="T1415" s="60" t="n">
        <f aca="false">L1415+M1415</f>
        <v>55.3</v>
      </c>
      <c r="U1415" s="60" t="n">
        <f aca="false">S1415+J1415</f>
        <v>65.64</v>
      </c>
      <c r="V1415" s="63" t="n">
        <f aca="false">IFERROR(S1415/F1415,0)</f>
        <v>0.507398021744462</v>
      </c>
      <c r="W1415" s="63" t="n">
        <f aca="false">IFERROR(R1415/F1415,0)</f>
        <v>0.463418621760811</v>
      </c>
      <c r="X1415" s="63" t="n">
        <f aca="false">IFERROR(T1415/F1415,0)</f>
        <v>0.452055914330091</v>
      </c>
      <c r="Y1415" s="63" t="n">
        <f aca="false">IFERROR(G1415/F1415,0)</f>
        <v>0.061064334178043</v>
      </c>
      <c r="Z1415" s="59" t="n">
        <f aca="false">IF(E1415&gt;0,F1415*1000000000/E1415,"")</f>
        <v>6710.83135751566</v>
      </c>
      <c r="AA1415" s="63" t="n">
        <f aca="false">IFERROR((R1415+S1415+J1415)/F1415,0)</f>
        <v>1</v>
      </c>
      <c r="AB1415" s="0" t="str">
        <f aca="false">A1415&amp;"|"&amp;D1415</f>
        <v>Netherlands|2024</v>
      </c>
    </row>
    <row r="1416" customFormat="false" ht="15" hidden="false" customHeight="false" outlineLevel="0" collapsed="false">
      <c r="A1416" s="0" t="s">
        <v>315</v>
      </c>
      <c r="B1416" s="0" t="s">
        <v>554</v>
      </c>
      <c r="C1416" s="0" t="s">
        <v>127</v>
      </c>
      <c r="D1416" s="0" t="n">
        <v>2025</v>
      </c>
      <c r="E1416" s="59" t="n">
        <v>18346823</v>
      </c>
      <c r="F1416" s="60" t="n">
        <v>134.96</v>
      </c>
      <c r="G1416" s="61" t="n">
        <v>9.55</v>
      </c>
      <c r="H1416" s="61" t="n">
        <v>47.09</v>
      </c>
      <c r="I1416" s="61" t="n">
        <v>5.23</v>
      </c>
      <c r="J1416" s="61" t="n">
        <v>3.99</v>
      </c>
      <c r="K1416" s="61" t="n">
        <v>0.05</v>
      </c>
      <c r="L1416" s="61" t="n">
        <v>28.5</v>
      </c>
      <c r="M1416" s="61" t="n">
        <v>33.7</v>
      </c>
      <c r="N1416" s="61" t="n">
        <v>6.85</v>
      </c>
      <c r="O1416" s="61" t="n">
        <v>0</v>
      </c>
      <c r="P1416" s="62" t="n">
        <v>253.6</v>
      </c>
      <c r="Q1416" s="0" t="n">
        <v>0</v>
      </c>
      <c r="R1416" s="60" t="n">
        <f aca="false">G1416+H1416+I1416</f>
        <v>61.87</v>
      </c>
      <c r="S1416" s="60" t="n">
        <f aca="false">K1416+L1416+M1416+N1416+O1416</f>
        <v>69.1</v>
      </c>
      <c r="T1416" s="60" t="n">
        <f aca="false">L1416+M1416</f>
        <v>62.2</v>
      </c>
      <c r="U1416" s="60" t="n">
        <f aca="false">S1416+J1416</f>
        <v>73.09</v>
      </c>
      <c r="V1416" s="63" t="n">
        <f aca="false">IFERROR(S1416/F1416,0)</f>
        <v>0.512003556609366</v>
      </c>
      <c r="W1416" s="63" t="n">
        <f aca="false">IFERROR(R1416/F1416,0)</f>
        <v>0.458432128037937</v>
      </c>
      <c r="X1416" s="63" t="n">
        <f aca="false">IFERROR(T1416/F1416,0)</f>
        <v>0.460877296976882</v>
      </c>
      <c r="Y1416" s="63" t="n">
        <f aca="false">IFERROR(G1416/F1416,0)</f>
        <v>0.0707617071724956</v>
      </c>
      <c r="Z1416" s="59" t="n">
        <f aca="false">IF(E1416&gt;0,F1416*1000000000/E1416,"")</f>
        <v>7356.04196977319</v>
      </c>
      <c r="AA1416" s="63" t="n">
        <f aca="false">IFERROR((R1416+S1416+J1416)/F1416,0)</f>
        <v>1</v>
      </c>
      <c r="AB1416" s="0" t="str">
        <f aca="false">A1416&amp;"|"&amp;D1416</f>
        <v>Netherlands|2025</v>
      </c>
    </row>
    <row r="1417" customFormat="false" ht="15" hidden="false" customHeight="false" outlineLevel="0" collapsed="false">
      <c r="A1417" s="0" t="s">
        <v>316</v>
      </c>
      <c r="B1417" s="0" t="s">
        <v>555</v>
      </c>
      <c r="C1417" s="0" t="s">
        <v>127</v>
      </c>
      <c r="D1417" s="0" t="n">
        <v>2015</v>
      </c>
      <c r="E1417" s="59" t="n">
        <v>283179</v>
      </c>
      <c r="F1417" s="60" t="n">
        <v>2.9</v>
      </c>
      <c r="G1417" s="61" t="n">
        <v>0.82</v>
      </c>
      <c r="H1417" s="61" t="n">
        <v>0</v>
      </c>
      <c r="I1417" s="61" t="n">
        <v>1.67</v>
      </c>
      <c r="J1417" s="61" t="n">
        <v>0</v>
      </c>
      <c r="K1417" s="61" t="n">
        <v>0.34</v>
      </c>
      <c r="L1417" s="61" t="n">
        <v>0.01</v>
      </c>
      <c r="M1417" s="61" t="n">
        <v>0.06</v>
      </c>
      <c r="N1417" s="61" t="n">
        <v>0</v>
      </c>
      <c r="O1417" s="61" t="n">
        <v>0</v>
      </c>
      <c r="P1417" s="62" t="n">
        <v>627.6</v>
      </c>
      <c r="Q1417" s="0" t="n">
        <v>0</v>
      </c>
      <c r="R1417" s="60" t="n">
        <f aca="false">G1417+H1417+I1417</f>
        <v>2.49</v>
      </c>
      <c r="S1417" s="60" t="n">
        <f aca="false">K1417+L1417+M1417+N1417+O1417</f>
        <v>0.41</v>
      </c>
      <c r="T1417" s="60" t="n">
        <f aca="false">L1417+M1417</f>
        <v>0.07</v>
      </c>
      <c r="U1417" s="60" t="n">
        <f aca="false">S1417+J1417</f>
        <v>0.41</v>
      </c>
      <c r="V1417" s="63" t="n">
        <f aca="false">IFERROR(S1417/F1417,0)</f>
        <v>0.141379310344828</v>
      </c>
      <c r="W1417" s="63" t="n">
        <f aca="false">IFERROR(R1417/F1417,0)</f>
        <v>0.858620689655172</v>
      </c>
      <c r="X1417" s="63" t="n">
        <f aca="false">IFERROR(T1417/F1417,0)</f>
        <v>0.0241379310344828</v>
      </c>
      <c r="Y1417" s="63" t="n">
        <f aca="false">IFERROR(G1417/F1417,0)</f>
        <v>0.282758620689655</v>
      </c>
      <c r="Z1417" s="59" t="n">
        <f aca="false">IF(E1417&gt;0,F1417*1000000000/E1417,"")</f>
        <v>10240.8723810735</v>
      </c>
      <c r="AA1417" s="63" t="n">
        <f aca="false">IFERROR((R1417+S1417+J1417)/F1417,0)</f>
        <v>1</v>
      </c>
      <c r="AB1417" s="0" t="str">
        <f aca="false">A1417&amp;"|"&amp;D1417</f>
        <v>New Caledonia|2015</v>
      </c>
    </row>
    <row r="1418" customFormat="false" ht="15" hidden="false" customHeight="false" outlineLevel="0" collapsed="false">
      <c r="A1418" s="0" t="s">
        <v>316</v>
      </c>
      <c r="B1418" s="0" t="s">
        <v>555</v>
      </c>
      <c r="C1418" s="0" t="s">
        <v>127</v>
      </c>
      <c r="D1418" s="0" t="n">
        <v>2016</v>
      </c>
      <c r="E1418" s="59" t="n">
        <v>283432</v>
      </c>
      <c r="F1418" s="60" t="n">
        <v>3.14</v>
      </c>
      <c r="G1418" s="61" t="n">
        <v>1.13</v>
      </c>
      <c r="H1418" s="61" t="n">
        <v>0</v>
      </c>
      <c r="I1418" s="61" t="n">
        <v>1.72</v>
      </c>
      <c r="J1418" s="61" t="n">
        <v>0</v>
      </c>
      <c r="K1418" s="61" t="n">
        <v>0.23</v>
      </c>
      <c r="L1418" s="61" t="n">
        <v>0.01</v>
      </c>
      <c r="M1418" s="61" t="n">
        <v>0.05</v>
      </c>
      <c r="N1418" s="61" t="n">
        <v>0</v>
      </c>
      <c r="O1418" s="61" t="n">
        <v>0</v>
      </c>
      <c r="P1418" s="62" t="n">
        <v>675.2</v>
      </c>
      <c r="Q1418" s="0" t="n">
        <v>0</v>
      </c>
      <c r="R1418" s="60" t="n">
        <f aca="false">G1418+H1418+I1418</f>
        <v>2.85</v>
      </c>
      <c r="S1418" s="60" t="n">
        <f aca="false">K1418+L1418+M1418+N1418+O1418</f>
        <v>0.29</v>
      </c>
      <c r="T1418" s="60" t="n">
        <f aca="false">L1418+M1418</f>
        <v>0.06</v>
      </c>
      <c r="U1418" s="60" t="n">
        <f aca="false">S1418+J1418</f>
        <v>0.29</v>
      </c>
      <c r="V1418" s="63" t="n">
        <f aca="false">IFERROR(S1418/F1418,0)</f>
        <v>0.0923566878980892</v>
      </c>
      <c r="W1418" s="63" t="n">
        <f aca="false">IFERROR(R1418/F1418,0)</f>
        <v>0.907643312101911</v>
      </c>
      <c r="X1418" s="63" t="n">
        <f aca="false">IFERROR(T1418/F1418,0)</f>
        <v>0.0191082802547771</v>
      </c>
      <c r="Y1418" s="63" t="n">
        <f aca="false">IFERROR(G1418/F1418,0)</f>
        <v>0.359872611464968</v>
      </c>
      <c r="Z1418" s="59" t="n">
        <f aca="false">IF(E1418&gt;0,F1418*1000000000/E1418,"")</f>
        <v>11078.4950182054</v>
      </c>
      <c r="AA1418" s="63" t="n">
        <f aca="false">IFERROR((R1418+S1418+J1418)/F1418,0)</f>
        <v>1</v>
      </c>
      <c r="AB1418" s="0" t="str">
        <f aca="false">A1418&amp;"|"&amp;D1418</f>
        <v>New Caledonia|2016</v>
      </c>
    </row>
    <row r="1419" customFormat="false" ht="15" hidden="false" customHeight="false" outlineLevel="0" collapsed="false">
      <c r="A1419" s="0" t="s">
        <v>316</v>
      </c>
      <c r="B1419" s="0" t="s">
        <v>555</v>
      </c>
      <c r="C1419" s="0" t="s">
        <v>127</v>
      </c>
      <c r="D1419" s="0" t="n">
        <v>2017</v>
      </c>
      <c r="E1419" s="59" t="n">
        <v>283554</v>
      </c>
      <c r="F1419" s="60" t="n">
        <v>3.23</v>
      </c>
      <c r="G1419" s="61" t="n">
        <v>1.34</v>
      </c>
      <c r="H1419" s="61" t="n">
        <v>0</v>
      </c>
      <c r="I1419" s="61" t="n">
        <v>1.45</v>
      </c>
      <c r="J1419" s="61" t="n">
        <v>0</v>
      </c>
      <c r="K1419" s="61" t="n">
        <v>0.36</v>
      </c>
      <c r="L1419" s="61" t="n">
        <v>0.03</v>
      </c>
      <c r="M1419" s="61" t="n">
        <v>0.05</v>
      </c>
      <c r="N1419" s="61" t="n">
        <v>0</v>
      </c>
      <c r="O1419" s="61" t="n">
        <v>0</v>
      </c>
      <c r="P1419" s="62" t="n">
        <v>656.4</v>
      </c>
      <c r="Q1419" s="0" t="n">
        <v>0</v>
      </c>
      <c r="R1419" s="60" t="n">
        <f aca="false">G1419+H1419+I1419</f>
        <v>2.79</v>
      </c>
      <c r="S1419" s="60" t="n">
        <f aca="false">K1419+L1419+M1419+N1419+O1419</f>
        <v>0.44</v>
      </c>
      <c r="T1419" s="60" t="n">
        <f aca="false">L1419+M1419</f>
        <v>0.08</v>
      </c>
      <c r="U1419" s="60" t="n">
        <f aca="false">S1419+J1419</f>
        <v>0.44</v>
      </c>
      <c r="V1419" s="63" t="n">
        <f aca="false">IFERROR(S1419/F1419,0)</f>
        <v>0.136222910216718</v>
      </c>
      <c r="W1419" s="63" t="n">
        <f aca="false">IFERROR(R1419/F1419,0)</f>
        <v>0.863777089783282</v>
      </c>
      <c r="X1419" s="63" t="n">
        <f aca="false">IFERROR(T1419/F1419,0)</f>
        <v>0.0247678018575851</v>
      </c>
      <c r="Y1419" s="63" t="n">
        <f aca="false">IFERROR(G1419/F1419,0)</f>
        <v>0.414860681114551</v>
      </c>
      <c r="Z1419" s="59" t="n">
        <f aca="false">IF(E1419&gt;0,F1419*1000000000/E1419,"")</f>
        <v>11391.1283212369</v>
      </c>
      <c r="AA1419" s="63" t="n">
        <f aca="false">IFERROR((R1419+S1419+J1419)/F1419,0)</f>
        <v>1</v>
      </c>
      <c r="AB1419" s="0" t="str">
        <f aca="false">A1419&amp;"|"&amp;D1419</f>
        <v>New Caledonia|2017</v>
      </c>
    </row>
    <row r="1420" customFormat="false" ht="15" hidden="false" customHeight="false" outlineLevel="0" collapsed="false">
      <c r="A1420" s="0" t="s">
        <v>316</v>
      </c>
      <c r="B1420" s="0" t="s">
        <v>555</v>
      </c>
      <c r="C1420" s="0" t="s">
        <v>127</v>
      </c>
      <c r="D1420" s="0" t="n">
        <v>2018</v>
      </c>
      <c r="E1420" s="59" t="n">
        <v>283551</v>
      </c>
      <c r="F1420" s="60" t="n">
        <v>3.5</v>
      </c>
      <c r="G1420" s="61" t="n">
        <v>1.43</v>
      </c>
      <c r="H1420" s="61" t="n">
        <v>0</v>
      </c>
      <c r="I1420" s="61" t="n">
        <v>1.65</v>
      </c>
      <c r="J1420" s="61" t="n">
        <v>0</v>
      </c>
      <c r="K1420" s="61" t="n">
        <v>0.32</v>
      </c>
      <c r="L1420" s="61" t="n">
        <v>0.05</v>
      </c>
      <c r="M1420" s="61" t="n">
        <v>0.05</v>
      </c>
      <c r="N1420" s="61" t="n">
        <v>0</v>
      </c>
      <c r="O1420" s="61" t="n">
        <v>0</v>
      </c>
      <c r="P1420" s="62" t="n">
        <v>665.7</v>
      </c>
      <c r="Q1420" s="0" t="n">
        <v>0</v>
      </c>
      <c r="R1420" s="60" t="n">
        <f aca="false">G1420+H1420+I1420</f>
        <v>3.08</v>
      </c>
      <c r="S1420" s="60" t="n">
        <f aca="false">K1420+L1420+M1420+N1420+O1420</f>
        <v>0.42</v>
      </c>
      <c r="T1420" s="60" t="n">
        <f aca="false">L1420+M1420</f>
        <v>0.1</v>
      </c>
      <c r="U1420" s="60" t="n">
        <f aca="false">S1420+J1420</f>
        <v>0.42</v>
      </c>
      <c r="V1420" s="63" t="n">
        <f aca="false">IFERROR(S1420/F1420,0)</f>
        <v>0.12</v>
      </c>
      <c r="W1420" s="63" t="n">
        <f aca="false">IFERROR(R1420/F1420,0)</f>
        <v>0.88</v>
      </c>
      <c r="X1420" s="63" t="n">
        <f aca="false">IFERROR(T1420/F1420,0)</f>
        <v>0.0285714285714286</v>
      </c>
      <c r="Y1420" s="63" t="n">
        <f aca="false">IFERROR(G1420/F1420,0)</f>
        <v>0.408571428571429</v>
      </c>
      <c r="Z1420" s="59" t="n">
        <f aca="false">IF(E1420&gt;0,F1420*1000000000/E1420,"")</f>
        <v>12343.4584960025</v>
      </c>
      <c r="AA1420" s="63" t="n">
        <f aca="false">IFERROR((R1420+S1420+J1420)/F1420,0)</f>
        <v>1</v>
      </c>
      <c r="AB1420" s="0" t="str">
        <f aca="false">A1420&amp;"|"&amp;D1420</f>
        <v>New Caledonia|2018</v>
      </c>
    </row>
    <row r="1421" customFormat="false" ht="15" hidden="false" customHeight="false" outlineLevel="0" collapsed="false">
      <c r="A1421" s="0" t="s">
        <v>316</v>
      </c>
      <c r="B1421" s="0" t="s">
        <v>555</v>
      </c>
      <c r="C1421" s="0" t="s">
        <v>127</v>
      </c>
      <c r="D1421" s="0" t="n">
        <v>2019</v>
      </c>
      <c r="E1421" s="59" t="n">
        <v>283616</v>
      </c>
      <c r="F1421" s="60" t="n">
        <v>3.33</v>
      </c>
      <c r="G1421" s="61" t="n">
        <v>1.51</v>
      </c>
      <c r="H1421" s="61" t="n">
        <v>0</v>
      </c>
      <c r="I1421" s="61" t="n">
        <v>1.36</v>
      </c>
      <c r="J1421" s="61" t="n">
        <v>0</v>
      </c>
      <c r="K1421" s="61" t="n">
        <v>0.28</v>
      </c>
      <c r="L1421" s="61" t="n">
        <v>0.12</v>
      </c>
      <c r="M1421" s="61" t="n">
        <v>0.06</v>
      </c>
      <c r="N1421" s="61" t="n">
        <v>0</v>
      </c>
      <c r="O1421" s="61" t="n">
        <v>0</v>
      </c>
      <c r="P1421" s="62" t="n">
        <v>663.7</v>
      </c>
      <c r="Q1421" s="0" t="n">
        <v>0</v>
      </c>
      <c r="R1421" s="60" t="n">
        <f aca="false">G1421+H1421+I1421</f>
        <v>2.87</v>
      </c>
      <c r="S1421" s="60" t="n">
        <f aca="false">K1421+L1421+M1421+N1421+O1421</f>
        <v>0.46</v>
      </c>
      <c r="T1421" s="60" t="n">
        <f aca="false">L1421+M1421</f>
        <v>0.18</v>
      </c>
      <c r="U1421" s="60" t="n">
        <f aca="false">S1421+J1421</f>
        <v>0.46</v>
      </c>
      <c r="V1421" s="63" t="n">
        <f aca="false">IFERROR(S1421/F1421,0)</f>
        <v>0.138138138138138</v>
      </c>
      <c r="W1421" s="63" t="n">
        <f aca="false">IFERROR(R1421/F1421,0)</f>
        <v>0.861861861861862</v>
      </c>
      <c r="X1421" s="63" t="n">
        <f aca="false">IFERROR(T1421/F1421,0)</f>
        <v>0.0540540540540541</v>
      </c>
      <c r="Y1421" s="63" t="n">
        <f aca="false">IFERROR(G1421/F1421,0)</f>
        <v>0.453453453453453</v>
      </c>
      <c r="Z1421" s="59" t="n">
        <f aca="false">IF(E1421&gt;0,F1421*1000000000/E1421,"")</f>
        <v>11741.2275753131</v>
      </c>
      <c r="AA1421" s="63" t="n">
        <f aca="false">IFERROR((R1421+S1421+J1421)/F1421,0)</f>
        <v>1</v>
      </c>
      <c r="AB1421" s="0" t="str">
        <f aca="false">A1421&amp;"|"&amp;D1421</f>
        <v>New Caledonia|2019</v>
      </c>
    </row>
    <row r="1422" customFormat="false" ht="15" hidden="false" customHeight="false" outlineLevel="0" collapsed="false">
      <c r="A1422" s="0" t="s">
        <v>316</v>
      </c>
      <c r="B1422" s="0" t="s">
        <v>555</v>
      </c>
      <c r="C1422" s="0" t="s">
        <v>127</v>
      </c>
      <c r="D1422" s="0" t="n">
        <v>2020</v>
      </c>
      <c r="E1422" s="59" t="n">
        <v>284187</v>
      </c>
      <c r="F1422" s="60" t="n">
        <v>3.24</v>
      </c>
      <c r="G1422" s="61" t="n">
        <v>1.53</v>
      </c>
      <c r="H1422" s="61" t="n">
        <v>0</v>
      </c>
      <c r="I1422" s="61" t="n">
        <v>1.2</v>
      </c>
      <c r="J1422" s="61" t="n">
        <v>0</v>
      </c>
      <c r="K1422" s="61" t="n">
        <v>0.31</v>
      </c>
      <c r="L1422" s="61" t="n">
        <v>0.15</v>
      </c>
      <c r="M1422" s="61" t="n">
        <v>0.05</v>
      </c>
      <c r="N1422" s="61" t="n">
        <v>0</v>
      </c>
      <c r="O1422" s="61" t="n">
        <v>0</v>
      </c>
      <c r="P1422" s="62" t="n">
        <v>657.4</v>
      </c>
      <c r="Q1422" s="0" t="n">
        <v>0</v>
      </c>
      <c r="R1422" s="60" t="n">
        <f aca="false">G1422+H1422+I1422</f>
        <v>2.73</v>
      </c>
      <c r="S1422" s="60" t="n">
        <f aca="false">K1422+L1422+M1422+N1422+O1422</f>
        <v>0.51</v>
      </c>
      <c r="T1422" s="60" t="n">
        <f aca="false">L1422+M1422</f>
        <v>0.2</v>
      </c>
      <c r="U1422" s="60" t="n">
        <f aca="false">S1422+J1422</f>
        <v>0.51</v>
      </c>
      <c r="V1422" s="63" t="n">
        <f aca="false">IFERROR(S1422/F1422,0)</f>
        <v>0.157407407407407</v>
      </c>
      <c r="W1422" s="63" t="n">
        <f aca="false">IFERROR(R1422/F1422,0)</f>
        <v>0.842592592592593</v>
      </c>
      <c r="X1422" s="63" t="n">
        <f aca="false">IFERROR(T1422/F1422,0)</f>
        <v>0.0617283950617284</v>
      </c>
      <c r="Y1422" s="63" t="n">
        <f aca="false">IFERROR(G1422/F1422,0)</f>
        <v>0.472222222222222</v>
      </c>
      <c r="Z1422" s="59" t="n">
        <f aca="false">IF(E1422&gt;0,F1422*1000000000/E1422,"")</f>
        <v>11400.9437447878</v>
      </c>
      <c r="AA1422" s="63" t="n">
        <f aca="false">IFERROR((R1422+S1422+J1422)/F1422,0)</f>
        <v>1</v>
      </c>
      <c r="AB1422" s="0" t="str">
        <f aca="false">A1422&amp;"|"&amp;D1422</f>
        <v>New Caledonia|2020</v>
      </c>
    </row>
    <row r="1423" customFormat="false" ht="15" hidden="false" customHeight="false" outlineLevel="0" collapsed="false">
      <c r="A1423" s="0" t="s">
        <v>316</v>
      </c>
      <c r="B1423" s="0" t="s">
        <v>555</v>
      </c>
      <c r="C1423" s="0" t="s">
        <v>127</v>
      </c>
      <c r="D1423" s="0" t="n">
        <v>2021</v>
      </c>
      <c r="E1423" s="59" t="n">
        <v>285227</v>
      </c>
      <c r="F1423" s="60" t="n">
        <v>2.91</v>
      </c>
      <c r="G1423" s="61" t="n">
        <v>1.14</v>
      </c>
      <c r="H1423" s="61" t="n">
        <v>0</v>
      </c>
      <c r="I1423" s="61" t="n">
        <v>1.12</v>
      </c>
      <c r="J1423" s="61" t="n">
        <v>0</v>
      </c>
      <c r="K1423" s="61" t="n">
        <v>0.43</v>
      </c>
      <c r="L1423" s="61" t="n">
        <v>0.18</v>
      </c>
      <c r="M1423" s="61" t="n">
        <v>0.04</v>
      </c>
      <c r="N1423" s="61" t="n">
        <v>0</v>
      </c>
      <c r="O1423" s="61" t="n">
        <v>0</v>
      </c>
      <c r="P1423" s="62" t="n">
        <v>597.9</v>
      </c>
      <c r="Q1423" s="0" t="n">
        <v>0</v>
      </c>
      <c r="R1423" s="60" t="n">
        <f aca="false">G1423+H1423+I1423</f>
        <v>2.26</v>
      </c>
      <c r="S1423" s="60" t="n">
        <f aca="false">K1423+L1423+M1423+N1423+O1423</f>
        <v>0.65</v>
      </c>
      <c r="T1423" s="60" t="n">
        <f aca="false">L1423+M1423</f>
        <v>0.22</v>
      </c>
      <c r="U1423" s="60" t="n">
        <f aca="false">S1423+J1423</f>
        <v>0.65</v>
      </c>
      <c r="V1423" s="63" t="n">
        <f aca="false">IFERROR(S1423/F1423,0)</f>
        <v>0.223367697594502</v>
      </c>
      <c r="W1423" s="63" t="n">
        <f aca="false">IFERROR(R1423/F1423,0)</f>
        <v>0.776632302405498</v>
      </c>
      <c r="X1423" s="63" t="n">
        <f aca="false">IFERROR(T1423/F1423,0)</f>
        <v>0.0756013745704467</v>
      </c>
      <c r="Y1423" s="63" t="n">
        <f aca="false">IFERROR(G1423/F1423,0)</f>
        <v>0.391752577319588</v>
      </c>
      <c r="Z1423" s="59" t="n">
        <f aca="false">IF(E1423&gt;0,F1423*1000000000/E1423,"")</f>
        <v>10202.4001935301</v>
      </c>
      <c r="AA1423" s="63" t="n">
        <f aca="false">IFERROR((R1423+S1423+J1423)/F1423,0)</f>
        <v>1</v>
      </c>
      <c r="AB1423" s="0" t="str">
        <f aca="false">A1423&amp;"|"&amp;D1423</f>
        <v>New Caledonia|2021</v>
      </c>
    </row>
    <row r="1424" customFormat="false" ht="15" hidden="false" customHeight="false" outlineLevel="0" collapsed="false">
      <c r="A1424" s="0" t="s">
        <v>316</v>
      </c>
      <c r="B1424" s="0" t="s">
        <v>555</v>
      </c>
      <c r="C1424" s="0" t="s">
        <v>127</v>
      </c>
      <c r="D1424" s="0" t="n">
        <v>2022</v>
      </c>
      <c r="E1424" s="59" t="n">
        <v>287130</v>
      </c>
      <c r="F1424" s="60" t="n">
        <v>3.09</v>
      </c>
      <c r="G1424" s="61" t="n">
        <v>1.14</v>
      </c>
      <c r="H1424" s="61" t="n">
        <v>0</v>
      </c>
      <c r="I1424" s="61" t="n">
        <v>1.14</v>
      </c>
      <c r="J1424" s="61" t="n">
        <v>0</v>
      </c>
      <c r="K1424" s="61" t="n">
        <v>0.54</v>
      </c>
      <c r="L1424" s="61" t="n">
        <v>0.23</v>
      </c>
      <c r="M1424" s="61" t="n">
        <v>0.04</v>
      </c>
      <c r="N1424" s="61" t="n">
        <v>0</v>
      </c>
      <c r="O1424" s="61" t="n">
        <v>0</v>
      </c>
      <c r="P1424" s="62" t="n">
        <v>566.3</v>
      </c>
      <c r="Q1424" s="0" t="n">
        <v>0</v>
      </c>
      <c r="R1424" s="60" t="n">
        <f aca="false">G1424+H1424+I1424</f>
        <v>2.28</v>
      </c>
      <c r="S1424" s="60" t="n">
        <f aca="false">K1424+L1424+M1424+N1424+O1424</f>
        <v>0.81</v>
      </c>
      <c r="T1424" s="60" t="n">
        <f aca="false">L1424+M1424</f>
        <v>0.27</v>
      </c>
      <c r="U1424" s="60" t="n">
        <f aca="false">S1424+J1424</f>
        <v>0.81</v>
      </c>
      <c r="V1424" s="63" t="n">
        <f aca="false">IFERROR(S1424/F1424,0)</f>
        <v>0.262135922330097</v>
      </c>
      <c r="W1424" s="63" t="n">
        <f aca="false">IFERROR(R1424/F1424,0)</f>
        <v>0.737864077669903</v>
      </c>
      <c r="X1424" s="63" t="n">
        <f aca="false">IFERROR(T1424/F1424,0)</f>
        <v>0.087378640776699</v>
      </c>
      <c r="Y1424" s="63" t="n">
        <f aca="false">IFERROR(G1424/F1424,0)</f>
        <v>0.368932038834951</v>
      </c>
      <c r="Z1424" s="59" t="n">
        <f aca="false">IF(E1424&gt;0,F1424*1000000000/E1424,"")</f>
        <v>10761.6758959356</v>
      </c>
      <c r="AA1424" s="63" t="n">
        <f aca="false">IFERROR((R1424+S1424+J1424)/F1424,0)</f>
        <v>1</v>
      </c>
      <c r="AB1424" s="0" t="str">
        <f aca="false">A1424&amp;"|"&amp;D1424</f>
        <v>New Caledonia|2022</v>
      </c>
    </row>
    <row r="1425" customFormat="false" ht="15" hidden="false" customHeight="false" outlineLevel="0" collapsed="false">
      <c r="A1425" s="0" t="s">
        <v>316</v>
      </c>
      <c r="B1425" s="0" t="s">
        <v>555</v>
      </c>
      <c r="C1425" s="0" t="s">
        <v>127</v>
      </c>
      <c r="D1425" s="0" t="n">
        <v>2023</v>
      </c>
      <c r="E1425" s="59" t="n">
        <v>289879</v>
      </c>
      <c r="F1425" s="60" t="n">
        <v>3.09</v>
      </c>
      <c r="G1425" s="61" t="n">
        <v>1.14</v>
      </c>
      <c r="H1425" s="61" t="n">
        <v>0</v>
      </c>
      <c r="I1425" s="61" t="n">
        <v>1.14</v>
      </c>
      <c r="J1425" s="61" t="n">
        <v>0</v>
      </c>
      <c r="K1425" s="61" t="n">
        <v>0.54</v>
      </c>
      <c r="L1425" s="61" t="n">
        <v>0.23</v>
      </c>
      <c r="M1425" s="61" t="n">
        <v>0.04</v>
      </c>
      <c r="N1425" s="61" t="n">
        <v>0</v>
      </c>
      <c r="O1425" s="61" t="n">
        <v>0</v>
      </c>
      <c r="P1425" s="62" t="n">
        <v>566.3</v>
      </c>
      <c r="Q1425" s="0" t="n">
        <v>0</v>
      </c>
      <c r="R1425" s="60" t="n">
        <f aca="false">G1425+H1425+I1425</f>
        <v>2.28</v>
      </c>
      <c r="S1425" s="60" t="n">
        <f aca="false">K1425+L1425+M1425+N1425+O1425</f>
        <v>0.81</v>
      </c>
      <c r="T1425" s="60" t="n">
        <f aca="false">L1425+M1425</f>
        <v>0.27</v>
      </c>
      <c r="U1425" s="60" t="n">
        <f aca="false">S1425+J1425</f>
        <v>0.81</v>
      </c>
      <c r="V1425" s="63" t="n">
        <f aca="false">IFERROR(S1425/F1425,0)</f>
        <v>0.262135922330097</v>
      </c>
      <c r="W1425" s="63" t="n">
        <f aca="false">IFERROR(R1425/F1425,0)</f>
        <v>0.737864077669903</v>
      </c>
      <c r="X1425" s="63" t="n">
        <f aca="false">IFERROR(T1425/F1425,0)</f>
        <v>0.087378640776699</v>
      </c>
      <c r="Y1425" s="63" t="n">
        <f aca="false">IFERROR(G1425/F1425,0)</f>
        <v>0.368932038834951</v>
      </c>
      <c r="Z1425" s="59" t="n">
        <f aca="false">IF(E1425&gt;0,F1425*1000000000/E1425,"")</f>
        <v>10659.620048365</v>
      </c>
      <c r="AA1425" s="63" t="n">
        <f aca="false">IFERROR((R1425+S1425+J1425)/F1425,0)</f>
        <v>1</v>
      </c>
      <c r="AB1425" s="0" t="str">
        <f aca="false">A1425&amp;"|"&amp;D1425</f>
        <v>New Caledonia|2023</v>
      </c>
    </row>
    <row r="1426" customFormat="false" ht="15" hidden="false" customHeight="false" outlineLevel="0" collapsed="false">
      <c r="A1426" s="0" t="s">
        <v>316</v>
      </c>
      <c r="B1426" s="0" t="s">
        <v>555</v>
      </c>
      <c r="C1426" s="0" t="s">
        <v>127</v>
      </c>
      <c r="D1426" s="0" t="n">
        <v>2024</v>
      </c>
      <c r="E1426" s="59" t="n">
        <v>292655</v>
      </c>
      <c r="F1426" s="60" t="n">
        <v>3.12</v>
      </c>
      <c r="G1426" s="61" t="n">
        <v>1.14</v>
      </c>
      <c r="H1426" s="61" t="n">
        <v>0</v>
      </c>
      <c r="I1426" s="61" t="n">
        <v>1.14</v>
      </c>
      <c r="J1426" s="61" t="n">
        <v>0</v>
      </c>
      <c r="K1426" s="61" t="n">
        <v>0.54</v>
      </c>
      <c r="L1426" s="61" t="n">
        <v>0.26</v>
      </c>
      <c r="M1426" s="61" t="n">
        <v>0.04</v>
      </c>
      <c r="N1426" s="61" t="n">
        <v>0</v>
      </c>
      <c r="O1426" s="61" t="n">
        <v>0</v>
      </c>
      <c r="P1426" s="62" t="n">
        <v>560.9</v>
      </c>
      <c r="Q1426" s="0" t="n">
        <v>0</v>
      </c>
      <c r="R1426" s="60" t="n">
        <f aca="false">G1426+H1426+I1426</f>
        <v>2.28</v>
      </c>
      <c r="S1426" s="60" t="n">
        <f aca="false">K1426+L1426+M1426+N1426+O1426</f>
        <v>0.84</v>
      </c>
      <c r="T1426" s="60" t="n">
        <f aca="false">L1426+M1426</f>
        <v>0.3</v>
      </c>
      <c r="U1426" s="60" t="n">
        <f aca="false">S1426+J1426</f>
        <v>0.84</v>
      </c>
      <c r="V1426" s="63" t="n">
        <f aca="false">IFERROR(S1426/F1426,0)</f>
        <v>0.269230769230769</v>
      </c>
      <c r="W1426" s="63" t="n">
        <f aca="false">IFERROR(R1426/F1426,0)</f>
        <v>0.730769230769231</v>
      </c>
      <c r="X1426" s="63" t="n">
        <f aca="false">IFERROR(T1426/F1426,0)</f>
        <v>0.0961538461538462</v>
      </c>
      <c r="Y1426" s="63" t="n">
        <f aca="false">IFERROR(G1426/F1426,0)</f>
        <v>0.365384615384615</v>
      </c>
      <c r="Z1426" s="59" t="n">
        <f aca="false">IF(E1426&gt;0,F1426*1000000000/E1426,"")</f>
        <v>10661.0172387282</v>
      </c>
      <c r="AA1426" s="63" t="n">
        <f aca="false">IFERROR((R1426+S1426+J1426)/F1426,0)</f>
        <v>1</v>
      </c>
      <c r="AB1426" s="0" t="str">
        <f aca="false">A1426&amp;"|"&amp;D1426</f>
        <v>New Caledonia|2024</v>
      </c>
    </row>
    <row r="1427" customFormat="false" ht="15" hidden="false" customHeight="false" outlineLevel="0" collapsed="false">
      <c r="A1427" s="0" t="s">
        <v>317</v>
      </c>
      <c r="B1427" s="0" t="s">
        <v>556</v>
      </c>
      <c r="C1427" s="0" t="s">
        <v>127</v>
      </c>
      <c r="D1427" s="0" t="n">
        <v>2015</v>
      </c>
      <c r="E1427" s="59" t="n">
        <v>4614035</v>
      </c>
      <c r="F1427" s="60" t="n">
        <v>43.57</v>
      </c>
      <c r="G1427" s="61" t="n">
        <v>1.23</v>
      </c>
      <c r="H1427" s="61" t="n">
        <v>6.8</v>
      </c>
      <c r="I1427" s="61" t="n">
        <v>0.65</v>
      </c>
      <c r="J1427" s="61" t="n">
        <v>0</v>
      </c>
      <c r="K1427" s="61" t="n">
        <v>24.28</v>
      </c>
      <c r="L1427" s="61" t="n">
        <v>0.04</v>
      </c>
      <c r="M1427" s="61" t="n">
        <v>2.34</v>
      </c>
      <c r="N1427" s="61" t="n">
        <v>0.82</v>
      </c>
      <c r="O1427" s="61" t="n">
        <v>7.41</v>
      </c>
      <c r="P1427" s="62" t="n">
        <v>142.8</v>
      </c>
      <c r="Q1427" s="0" t="n">
        <v>0</v>
      </c>
      <c r="R1427" s="60" t="n">
        <f aca="false">G1427+H1427+I1427</f>
        <v>8.68</v>
      </c>
      <c r="S1427" s="60" t="n">
        <f aca="false">K1427+L1427+M1427+N1427+O1427</f>
        <v>34.89</v>
      </c>
      <c r="T1427" s="60" t="n">
        <f aca="false">L1427+M1427</f>
        <v>2.38</v>
      </c>
      <c r="U1427" s="60" t="n">
        <f aca="false">S1427+J1427</f>
        <v>34.89</v>
      </c>
      <c r="V1427" s="63" t="n">
        <f aca="false">IFERROR(S1427/F1427,0)</f>
        <v>0.800780353454212</v>
      </c>
      <c r="W1427" s="63" t="n">
        <f aca="false">IFERROR(R1427/F1427,0)</f>
        <v>0.199219646545788</v>
      </c>
      <c r="X1427" s="63" t="n">
        <f aca="false">IFERROR(T1427/F1427,0)</f>
        <v>0.0546247417948129</v>
      </c>
      <c r="Y1427" s="63" t="n">
        <f aca="false">IFERROR(G1427/F1427,0)</f>
        <v>0.0282304337847143</v>
      </c>
      <c r="Z1427" s="59" t="n">
        <f aca="false">IF(E1427&gt;0,F1427*1000000000/E1427,"")</f>
        <v>9442.92793617734</v>
      </c>
      <c r="AA1427" s="63" t="n">
        <f aca="false">IFERROR((R1427+S1427+J1427)/F1427,0)</f>
        <v>1</v>
      </c>
      <c r="AB1427" s="0" t="str">
        <f aca="false">A1427&amp;"|"&amp;D1427</f>
        <v>New Zealand|2015</v>
      </c>
    </row>
    <row r="1428" customFormat="false" ht="15" hidden="false" customHeight="false" outlineLevel="0" collapsed="false">
      <c r="A1428" s="0" t="s">
        <v>317</v>
      </c>
      <c r="B1428" s="0" t="s">
        <v>556</v>
      </c>
      <c r="C1428" s="0" t="s">
        <v>127</v>
      </c>
      <c r="D1428" s="0" t="n">
        <v>2016</v>
      </c>
      <c r="E1428" s="59" t="n">
        <v>4714768</v>
      </c>
      <c r="F1428" s="60" t="n">
        <v>43.15</v>
      </c>
      <c r="G1428" s="61" t="n">
        <v>0.44</v>
      </c>
      <c r="H1428" s="61" t="n">
        <v>5.71</v>
      </c>
      <c r="I1428" s="61" t="n">
        <v>0.61</v>
      </c>
      <c r="J1428" s="61" t="n">
        <v>0</v>
      </c>
      <c r="K1428" s="61" t="n">
        <v>25.66</v>
      </c>
      <c r="L1428" s="61" t="n">
        <v>0.06</v>
      </c>
      <c r="M1428" s="61" t="n">
        <v>2.32</v>
      </c>
      <c r="N1428" s="61" t="n">
        <v>0.81</v>
      </c>
      <c r="O1428" s="61" t="n">
        <v>7.54</v>
      </c>
      <c r="P1428" s="62" t="n">
        <v>114.5</v>
      </c>
      <c r="Q1428" s="0" t="n">
        <v>0</v>
      </c>
      <c r="R1428" s="60" t="n">
        <f aca="false">G1428+H1428+I1428</f>
        <v>6.76</v>
      </c>
      <c r="S1428" s="60" t="n">
        <f aca="false">K1428+L1428+M1428+N1428+O1428</f>
        <v>36.39</v>
      </c>
      <c r="T1428" s="60" t="n">
        <f aca="false">L1428+M1428</f>
        <v>2.38</v>
      </c>
      <c r="U1428" s="60" t="n">
        <f aca="false">S1428+J1428</f>
        <v>36.39</v>
      </c>
      <c r="V1428" s="63" t="n">
        <f aca="false">IFERROR(S1428/F1428,0)</f>
        <v>0.843337195828505</v>
      </c>
      <c r="W1428" s="63" t="n">
        <f aca="false">IFERROR(R1428/F1428,0)</f>
        <v>0.156662804171495</v>
      </c>
      <c r="X1428" s="63" t="n">
        <f aca="false">IFERROR(T1428/F1428,0)</f>
        <v>0.0551564310544612</v>
      </c>
      <c r="Y1428" s="63" t="n">
        <f aca="false">IFERROR(G1428/F1428,0)</f>
        <v>0.0101969872537659</v>
      </c>
      <c r="Z1428" s="59" t="n">
        <f aca="false">IF(E1428&gt;0,F1428*1000000000/E1428,"")</f>
        <v>9152.09401607884</v>
      </c>
      <c r="AA1428" s="63" t="n">
        <f aca="false">IFERROR((R1428+S1428+J1428)/F1428,0)</f>
        <v>1</v>
      </c>
      <c r="AB1428" s="0" t="str">
        <f aca="false">A1428&amp;"|"&amp;D1428</f>
        <v>New Zealand|2016</v>
      </c>
    </row>
    <row r="1429" customFormat="false" ht="15" hidden="false" customHeight="false" outlineLevel="0" collapsed="false">
      <c r="A1429" s="0" t="s">
        <v>317</v>
      </c>
      <c r="B1429" s="0" t="s">
        <v>556</v>
      </c>
      <c r="C1429" s="0" t="s">
        <v>127</v>
      </c>
      <c r="D1429" s="0" t="n">
        <v>2017</v>
      </c>
      <c r="E1429" s="59" t="n">
        <v>4812749</v>
      </c>
      <c r="F1429" s="60" t="n">
        <v>43.66</v>
      </c>
      <c r="G1429" s="61" t="n">
        <v>0.58</v>
      </c>
      <c r="H1429" s="61" t="n">
        <v>6.98</v>
      </c>
      <c r="I1429" s="61" t="n">
        <v>0.64</v>
      </c>
      <c r="J1429" s="61" t="n">
        <v>0</v>
      </c>
      <c r="K1429" s="61" t="n">
        <v>24.93</v>
      </c>
      <c r="L1429" s="61" t="n">
        <v>0.08</v>
      </c>
      <c r="M1429" s="61" t="n">
        <v>2.07</v>
      </c>
      <c r="N1429" s="61" t="n">
        <v>0.8</v>
      </c>
      <c r="O1429" s="61" t="n">
        <v>7.58</v>
      </c>
      <c r="P1429" s="62" t="n">
        <v>131.9</v>
      </c>
      <c r="Q1429" s="0" t="n">
        <v>0</v>
      </c>
      <c r="R1429" s="60" t="n">
        <f aca="false">G1429+H1429+I1429</f>
        <v>8.2</v>
      </c>
      <c r="S1429" s="60" t="n">
        <f aca="false">K1429+L1429+M1429+N1429+O1429</f>
        <v>35.46</v>
      </c>
      <c r="T1429" s="60" t="n">
        <f aca="false">L1429+M1429</f>
        <v>2.15</v>
      </c>
      <c r="U1429" s="60" t="n">
        <f aca="false">S1429+J1429</f>
        <v>35.46</v>
      </c>
      <c r="V1429" s="63" t="n">
        <f aca="false">IFERROR(S1429/F1429,0)</f>
        <v>0.812185066422355</v>
      </c>
      <c r="W1429" s="63" t="n">
        <f aca="false">IFERROR(R1429/F1429,0)</f>
        <v>0.187814933577645</v>
      </c>
      <c r="X1429" s="63" t="n">
        <f aca="false">IFERROR(T1429/F1429,0)</f>
        <v>0.0492441594136509</v>
      </c>
      <c r="Y1429" s="63" t="n">
        <f aca="false">IFERROR(G1429/F1429,0)</f>
        <v>0.0132844709115896</v>
      </c>
      <c r="Z1429" s="59" t="n">
        <f aca="false">IF(E1429&gt;0,F1429*1000000000/E1429,"")</f>
        <v>9071.73841810574</v>
      </c>
      <c r="AA1429" s="63" t="n">
        <f aca="false">IFERROR((R1429+S1429+J1429)/F1429,0)</f>
        <v>1</v>
      </c>
      <c r="AB1429" s="0" t="str">
        <f aca="false">A1429&amp;"|"&amp;D1429</f>
        <v>New Zealand|2017</v>
      </c>
    </row>
    <row r="1430" customFormat="false" ht="15" hidden="false" customHeight="false" outlineLevel="0" collapsed="false">
      <c r="A1430" s="0" t="s">
        <v>317</v>
      </c>
      <c r="B1430" s="0" t="s">
        <v>556</v>
      </c>
      <c r="C1430" s="0" t="s">
        <v>127</v>
      </c>
      <c r="D1430" s="0" t="n">
        <v>2018</v>
      </c>
      <c r="E1430" s="59" t="n">
        <v>4900840</v>
      </c>
      <c r="F1430" s="60" t="n">
        <v>43.73</v>
      </c>
      <c r="G1430" s="61" t="n">
        <v>0.98</v>
      </c>
      <c r="H1430" s="61" t="n">
        <v>5.66</v>
      </c>
      <c r="I1430" s="61" t="n">
        <v>0.62</v>
      </c>
      <c r="J1430" s="61" t="n">
        <v>0</v>
      </c>
      <c r="K1430" s="61" t="n">
        <v>26.03</v>
      </c>
      <c r="L1430" s="61" t="n">
        <v>0.1</v>
      </c>
      <c r="M1430" s="61" t="n">
        <v>2.05</v>
      </c>
      <c r="N1430" s="61" t="n">
        <v>0.77</v>
      </c>
      <c r="O1430" s="61" t="n">
        <v>7.52</v>
      </c>
      <c r="P1430" s="62" t="n">
        <v>123.7</v>
      </c>
      <c r="Q1430" s="0" t="n">
        <v>0</v>
      </c>
      <c r="R1430" s="60" t="n">
        <f aca="false">G1430+H1430+I1430</f>
        <v>7.26</v>
      </c>
      <c r="S1430" s="60" t="n">
        <f aca="false">K1430+L1430+M1430+N1430+O1430</f>
        <v>36.47</v>
      </c>
      <c r="T1430" s="60" t="n">
        <f aca="false">L1430+M1430</f>
        <v>2.15</v>
      </c>
      <c r="U1430" s="60" t="n">
        <f aca="false">S1430+J1430</f>
        <v>36.47</v>
      </c>
      <c r="V1430" s="63" t="n">
        <f aca="false">IFERROR(S1430/F1430,0)</f>
        <v>0.833981248570775</v>
      </c>
      <c r="W1430" s="63" t="n">
        <f aca="false">IFERROR(R1430/F1430,0)</f>
        <v>0.166018751429225</v>
      </c>
      <c r="X1430" s="63" t="n">
        <f aca="false">IFERROR(T1430/F1430,0)</f>
        <v>0.0491653327235308</v>
      </c>
      <c r="Y1430" s="63" t="n">
        <f aca="false">IFERROR(G1430/F1430,0)</f>
        <v>0.0224102446832838</v>
      </c>
      <c r="Z1430" s="59" t="n">
        <f aca="false">IF(E1430&gt;0,F1430*1000000000/E1430,"")</f>
        <v>8922.96014560769</v>
      </c>
      <c r="AA1430" s="63" t="n">
        <f aca="false">IFERROR((R1430+S1430+J1430)/F1430,0)</f>
        <v>1</v>
      </c>
      <c r="AB1430" s="0" t="str">
        <f aca="false">A1430&amp;"|"&amp;D1430</f>
        <v>New Zealand|2018</v>
      </c>
    </row>
    <row r="1431" customFormat="false" ht="15" hidden="false" customHeight="false" outlineLevel="0" collapsed="false">
      <c r="A1431" s="0" t="s">
        <v>317</v>
      </c>
      <c r="B1431" s="0" t="s">
        <v>556</v>
      </c>
      <c r="C1431" s="0" t="s">
        <v>127</v>
      </c>
      <c r="D1431" s="0" t="n">
        <v>2019</v>
      </c>
      <c r="E1431" s="59" t="n">
        <v>4989410</v>
      </c>
      <c r="F1431" s="60" t="n">
        <v>43.75</v>
      </c>
      <c r="G1431" s="61" t="n">
        <v>1.59</v>
      </c>
      <c r="H1431" s="61" t="n">
        <v>5.42</v>
      </c>
      <c r="I1431" s="61" t="n">
        <v>0.68</v>
      </c>
      <c r="J1431" s="61" t="n">
        <v>0</v>
      </c>
      <c r="K1431" s="61" t="n">
        <v>25.32</v>
      </c>
      <c r="L1431" s="61" t="n">
        <v>0.13</v>
      </c>
      <c r="M1431" s="61" t="n">
        <v>2.23</v>
      </c>
      <c r="N1431" s="61" t="n">
        <v>0.79</v>
      </c>
      <c r="O1431" s="61" t="n">
        <v>7.59</v>
      </c>
      <c r="P1431" s="62" t="n">
        <v>133.7</v>
      </c>
      <c r="Q1431" s="0" t="n">
        <v>0</v>
      </c>
      <c r="R1431" s="60" t="n">
        <f aca="false">G1431+H1431+I1431</f>
        <v>7.69</v>
      </c>
      <c r="S1431" s="60" t="n">
        <f aca="false">K1431+L1431+M1431+N1431+O1431</f>
        <v>36.06</v>
      </c>
      <c r="T1431" s="60" t="n">
        <f aca="false">L1431+M1431</f>
        <v>2.36</v>
      </c>
      <c r="U1431" s="60" t="n">
        <f aca="false">S1431+J1431</f>
        <v>36.06</v>
      </c>
      <c r="V1431" s="63" t="n">
        <f aca="false">IFERROR(S1431/F1431,0)</f>
        <v>0.824228571428572</v>
      </c>
      <c r="W1431" s="63" t="n">
        <f aca="false">IFERROR(R1431/F1431,0)</f>
        <v>0.175771428571429</v>
      </c>
      <c r="X1431" s="63" t="n">
        <f aca="false">IFERROR(T1431/F1431,0)</f>
        <v>0.0539428571428571</v>
      </c>
      <c r="Y1431" s="63" t="n">
        <f aca="false">IFERROR(G1431/F1431,0)</f>
        <v>0.0363428571428571</v>
      </c>
      <c r="Z1431" s="59" t="n">
        <f aca="false">IF(E1431&gt;0,F1431*1000000000/E1431,"")</f>
        <v>8768.57183514684</v>
      </c>
      <c r="AA1431" s="63" t="n">
        <f aca="false">IFERROR((R1431+S1431+J1431)/F1431,0)</f>
        <v>1</v>
      </c>
      <c r="AB1431" s="0" t="str">
        <f aca="false">A1431&amp;"|"&amp;D1431</f>
        <v>New Zealand|2019</v>
      </c>
    </row>
    <row r="1432" customFormat="false" ht="15" hidden="false" customHeight="false" outlineLevel="0" collapsed="false">
      <c r="A1432" s="0" t="s">
        <v>317</v>
      </c>
      <c r="B1432" s="0" t="s">
        <v>556</v>
      </c>
      <c r="C1432" s="0" t="s">
        <v>127</v>
      </c>
      <c r="D1432" s="0" t="n">
        <v>2020</v>
      </c>
      <c r="E1432" s="59" t="n">
        <v>5069895</v>
      </c>
      <c r="F1432" s="60" t="n">
        <v>43.35</v>
      </c>
      <c r="G1432" s="61" t="n">
        <v>1.7</v>
      </c>
      <c r="H1432" s="61" t="n">
        <v>5.94</v>
      </c>
      <c r="I1432" s="61" t="n">
        <v>0.63</v>
      </c>
      <c r="J1432" s="61" t="n">
        <v>0</v>
      </c>
      <c r="K1432" s="61" t="n">
        <v>24.03</v>
      </c>
      <c r="L1432" s="61" t="n">
        <v>0.16</v>
      </c>
      <c r="M1432" s="61" t="n">
        <v>2.28</v>
      </c>
      <c r="N1432" s="61" t="n">
        <v>0.78</v>
      </c>
      <c r="O1432" s="61" t="n">
        <v>7.83</v>
      </c>
      <c r="P1432" s="62" t="n">
        <v>142.1</v>
      </c>
      <c r="Q1432" s="0" t="n">
        <v>0</v>
      </c>
      <c r="R1432" s="60" t="n">
        <f aca="false">G1432+H1432+I1432</f>
        <v>8.27</v>
      </c>
      <c r="S1432" s="60" t="n">
        <f aca="false">K1432+L1432+M1432+N1432+O1432</f>
        <v>35.08</v>
      </c>
      <c r="T1432" s="60" t="n">
        <f aca="false">L1432+M1432</f>
        <v>2.44</v>
      </c>
      <c r="U1432" s="60" t="n">
        <f aca="false">S1432+J1432</f>
        <v>35.08</v>
      </c>
      <c r="V1432" s="63" t="n">
        <f aca="false">IFERROR(S1432/F1432,0)</f>
        <v>0.809227220299885</v>
      </c>
      <c r="W1432" s="63" t="n">
        <f aca="false">IFERROR(R1432/F1432,0)</f>
        <v>0.190772779700115</v>
      </c>
      <c r="X1432" s="63" t="n">
        <f aca="false">IFERROR(T1432/F1432,0)</f>
        <v>0.0562860438292964</v>
      </c>
      <c r="Y1432" s="63" t="n">
        <f aca="false">IFERROR(G1432/F1432,0)</f>
        <v>0.0392156862745098</v>
      </c>
      <c r="Z1432" s="59" t="n">
        <f aca="false">IF(E1432&gt;0,F1432*1000000000/E1432,"")</f>
        <v>8550.47293878867</v>
      </c>
      <c r="AA1432" s="63" t="n">
        <f aca="false">IFERROR((R1432+S1432+J1432)/F1432,0)</f>
        <v>1</v>
      </c>
      <c r="AB1432" s="0" t="str">
        <f aca="false">A1432&amp;"|"&amp;D1432</f>
        <v>New Zealand|2020</v>
      </c>
    </row>
    <row r="1433" customFormat="false" ht="15" hidden="false" customHeight="false" outlineLevel="0" collapsed="false">
      <c r="A1433" s="0" t="s">
        <v>317</v>
      </c>
      <c r="B1433" s="0" t="s">
        <v>556</v>
      </c>
      <c r="C1433" s="0" t="s">
        <v>127</v>
      </c>
      <c r="D1433" s="0" t="n">
        <v>2021</v>
      </c>
      <c r="E1433" s="59" t="n">
        <v>5107694</v>
      </c>
      <c r="F1433" s="60" t="n">
        <v>43.55</v>
      </c>
      <c r="G1433" s="61" t="n">
        <v>2.6</v>
      </c>
      <c r="H1433" s="61" t="n">
        <v>4.65</v>
      </c>
      <c r="I1433" s="61" t="n">
        <v>0.71</v>
      </c>
      <c r="J1433" s="61" t="n">
        <v>0</v>
      </c>
      <c r="K1433" s="61" t="n">
        <v>23.99</v>
      </c>
      <c r="L1433" s="61" t="n">
        <v>0.21</v>
      </c>
      <c r="M1433" s="61" t="n">
        <v>2.62</v>
      </c>
      <c r="N1433" s="61" t="n">
        <v>0.8</v>
      </c>
      <c r="O1433" s="61" t="n">
        <v>7.97</v>
      </c>
      <c r="P1433" s="62" t="n">
        <v>144.9</v>
      </c>
      <c r="Q1433" s="0" t="n">
        <v>0</v>
      </c>
      <c r="R1433" s="60" t="n">
        <f aca="false">G1433+H1433+I1433</f>
        <v>7.96</v>
      </c>
      <c r="S1433" s="60" t="n">
        <f aca="false">K1433+L1433+M1433+N1433+O1433</f>
        <v>35.59</v>
      </c>
      <c r="T1433" s="60" t="n">
        <f aca="false">L1433+M1433</f>
        <v>2.83</v>
      </c>
      <c r="U1433" s="60" t="n">
        <f aca="false">S1433+J1433</f>
        <v>35.59</v>
      </c>
      <c r="V1433" s="63" t="n">
        <f aca="false">IFERROR(S1433/F1433,0)</f>
        <v>0.817221584385764</v>
      </c>
      <c r="W1433" s="63" t="n">
        <f aca="false">IFERROR(R1433/F1433,0)</f>
        <v>0.182778415614237</v>
      </c>
      <c r="X1433" s="63" t="n">
        <f aca="false">IFERROR(T1433/F1433,0)</f>
        <v>0.0649827784156142</v>
      </c>
      <c r="Y1433" s="63" t="n">
        <f aca="false">IFERROR(G1433/F1433,0)</f>
        <v>0.0597014925373134</v>
      </c>
      <c r="Z1433" s="59" t="n">
        <f aca="false">IF(E1433&gt;0,F1433*1000000000/E1433,"")</f>
        <v>8526.35259669041</v>
      </c>
      <c r="AA1433" s="63" t="n">
        <f aca="false">IFERROR((R1433+S1433+J1433)/F1433,0)</f>
        <v>1</v>
      </c>
      <c r="AB1433" s="0" t="str">
        <f aca="false">A1433&amp;"|"&amp;D1433</f>
        <v>New Zealand|2021</v>
      </c>
    </row>
    <row r="1434" customFormat="false" ht="15" hidden="false" customHeight="false" outlineLevel="0" collapsed="false">
      <c r="A1434" s="0" t="s">
        <v>317</v>
      </c>
      <c r="B1434" s="0" t="s">
        <v>556</v>
      </c>
      <c r="C1434" s="0" t="s">
        <v>127</v>
      </c>
      <c r="D1434" s="0" t="n">
        <v>2022</v>
      </c>
      <c r="E1434" s="59" t="n">
        <v>5131731</v>
      </c>
      <c r="F1434" s="60" t="n">
        <v>43.25</v>
      </c>
      <c r="G1434" s="61" t="n">
        <v>0.72</v>
      </c>
      <c r="H1434" s="61" t="n">
        <v>4.31</v>
      </c>
      <c r="I1434" s="61" t="n">
        <v>0.62</v>
      </c>
      <c r="J1434" s="61" t="n">
        <v>0</v>
      </c>
      <c r="K1434" s="61" t="n">
        <v>25.86</v>
      </c>
      <c r="L1434" s="61" t="n">
        <v>0.28</v>
      </c>
      <c r="M1434" s="61" t="n">
        <v>2.89</v>
      </c>
      <c r="N1434" s="61" t="n">
        <v>0.75</v>
      </c>
      <c r="O1434" s="61" t="n">
        <v>7.82</v>
      </c>
      <c r="P1434" s="62" t="n">
        <v>103.1</v>
      </c>
      <c r="Q1434" s="0" t="n">
        <v>0</v>
      </c>
      <c r="R1434" s="60" t="n">
        <f aca="false">G1434+H1434+I1434</f>
        <v>5.65</v>
      </c>
      <c r="S1434" s="60" t="n">
        <f aca="false">K1434+L1434+M1434+N1434+O1434</f>
        <v>37.6</v>
      </c>
      <c r="T1434" s="60" t="n">
        <f aca="false">L1434+M1434</f>
        <v>3.17</v>
      </c>
      <c r="U1434" s="60" t="n">
        <f aca="false">S1434+J1434</f>
        <v>37.6</v>
      </c>
      <c r="V1434" s="63" t="n">
        <f aca="false">IFERROR(S1434/F1434,0)</f>
        <v>0.869364161849711</v>
      </c>
      <c r="W1434" s="63" t="n">
        <f aca="false">IFERROR(R1434/F1434,0)</f>
        <v>0.130635838150289</v>
      </c>
      <c r="X1434" s="63" t="n">
        <f aca="false">IFERROR(T1434/F1434,0)</f>
        <v>0.0732947976878613</v>
      </c>
      <c r="Y1434" s="63" t="n">
        <f aca="false">IFERROR(G1434/F1434,0)</f>
        <v>0.0166473988439306</v>
      </c>
      <c r="Z1434" s="59" t="n">
        <f aca="false">IF(E1434&gt;0,F1434*1000000000/E1434,"")</f>
        <v>8427.95540140354</v>
      </c>
      <c r="AA1434" s="63" t="n">
        <f aca="false">IFERROR((R1434+S1434+J1434)/F1434,0)</f>
        <v>1</v>
      </c>
      <c r="AB1434" s="0" t="str">
        <f aca="false">A1434&amp;"|"&amp;D1434</f>
        <v>New Zealand|2022</v>
      </c>
    </row>
    <row r="1435" customFormat="false" ht="15" hidden="false" customHeight="false" outlineLevel="0" collapsed="false">
      <c r="A1435" s="0" t="s">
        <v>317</v>
      </c>
      <c r="B1435" s="0" t="s">
        <v>556</v>
      </c>
      <c r="C1435" s="0" t="s">
        <v>127</v>
      </c>
      <c r="D1435" s="0" t="n">
        <v>2023</v>
      </c>
      <c r="E1435" s="59" t="n">
        <v>5172837</v>
      </c>
      <c r="F1435" s="60" t="n">
        <v>42.89</v>
      </c>
      <c r="G1435" s="61" t="n">
        <v>0.53</v>
      </c>
      <c r="H1435" s="61" t="n">
        <v>3.36</v>
      </c>
      <c r="I1435" s="61" t="n">
        <v>0.56</v>
      </c>
      <c r="J1435" s="61" t="n">
        <v>0</v>
      </c>
      <c r="K1435" s="61" t="n">
        <v>26.17</v>
      </c>
      <c r="L1435" s="61" t="n">
        <v>0.37</v>
      </c>
      <c r="M1435" s="61" t="n">
        <v>3.51</v>
      </c>
      <c r="N1435" s="61" t="n">
        <v>0.66</v>
      </c>
      <c r="O1435" s="61" t="n">
        <v>7.73</v>
      </c>
      <c r="P1435" s="62" t="n">
        <v>87.2</v>
      </c>
      <c r="Q1435" s="0" t="n">
        <v>0</v>
      </c>
      <c r="R1435" s="60" t="n">
        <f aca="false">G1435+H1435+I1435</f>
        <v>4.45</v>
      </c>
      <c r="S1435" s="60" t="n">
        <f aca="false">K1435+L1435+M1435+N1435+O1435</f>
        <v>38.44</v>
      </c>
      <c r="T1435" s="60" t="n">
        <f aca="false">L1435+M1435</f>
        <v>3.88</v>
      </c>
      <c r="U1435" s="60" t="n">
        <f aca="false">S1435+J1435</f>
        <v>38.44</v>
      </c>
      <c r="V1435" s="63" t="n">
        <f aca="false">IFERROR(S1435/F1435,0)</f>
        <v>0.896246211238051</v>
      </c>
      <c r="W1435" s="63" t="n">
        <f aca="false">IFERROR(R1435/F1435,0)</f>
        <v>0.103753788761949</v>
      </c>
      <c r="X1435" s="63" t="n">
        <f aca="false">IFERROR(T1435/F1435,0)</f>
        <v>0.0904639776171602</v>
      </c>
      <c r="Y1435" s="63" t="n">
        <f aca="false">IFERROR(G1435/F1435,0)</f>
        <v>0.0123571928188389</v>
      </c>
      <c r="Z1435" s="59" t="n">
        <f aca="false">IF(E1435&gt;0,F1435*1000000000/E1435,"")</f>
        <v>8291.3882652788</v>
      </c>
      <c r="AA1435" s="63" t="n">
        <f aca="false">IFERROR((R1435+S1435+J1435)/F1435,0)</f>
        <v>1</v>
      </c>
      <c r="AB1435" s="0" t="str">
        <f aca="false">A1435&amp;"|"&amp;D1435</f>
        <v>New Zealand|2023</v>
      </c>
    </row>
    <row r="1436" customFormat="false" ht="15" hidden="false" customHeight="false" outlineLevel="0" collapsed="false">
      <c r="A1436" s="0" t="s">
        <v>317</v>
      </c>
      <c r="B1436" s="0" t="s">
        <v>556</v>
      </c>
      <c r="C1436" s="0" t="s">
        <v>127</v>
      </c>
      <c r="D1436" s="0" t="n">
        <v>2024</v>
      </c>
      <c r="E1436" s="59" t="n">
        <v>5213942</v>
      </c>
      <c r="F1436" s="60" t="n">
        <v>44.01</v>
      </c>
      <c r="G1436" s="61" t="n">
        <v>1.2</v>
      </c>
      <c r="H1436" s="61" t="n">
        <v>4.31</v>
      </c>
      <c r="I1436" s="61" t="n">
        <v>0.66</v>
      </c>
      <c r="J1436" s="61" t="n">
        <v>0</v>
      </c>
      <c r="K1436" s="61" t="n">
        <v>23.45</v>
      </c>
      <c r="L1436" s="61" t="n">
        <v>0.37</v>
      </c>
      <c r="M1436" s="61" t="n">
        <v>4.31</v>
      </c>
      <c r="N1436" s="61" t="n">
        <v>0.78</v>
      </c>
      <c r="O1436" s="61" t="n">
        <v>8.93</v>
      </c>
      <c r="P1436" s="62" t="n">
        <v>112</v>
      </c>
      <c r="Q1436" s="0" t="n">
        <v>0</v>
      </c>
      <c r="R1436" s="60" t="n">
        <f aca="false">G1436+H1436+I1436</f>
        <v>6.17</v>
      </c>
      <c r="S1436" s="60" t="n">
        <f aca="false">K1436+L1436+M1436+N1436+O1436</f>
        <v>37.84</v>
      </c>
      <c r="T1436" s="60" t="n">
        <f aca="false">L1436+M1436</f>
        <v>4.68</v>
      </c>
      <c r="U1436" s="60" t="n">
        <f aca="false">S1436+J1436</f>
        <v>37.84</v>
      </c>
      <c r="V1436" s="63" t="n">
        <f aca="false">IFERROR(S1436/F1436,0)</f>
        <v>0.85980458986594</v>
      </c>
      <c r="W1436" s="63" t="n">
        <f aca="false">IFERROR(R1436/F1436,0)</f>
        <v>0.14019541013406</v>
      </c>
      <c r="X1436" s="63" t="n">
        <f aca="false">IFERROR(T1436/F1436,0)</f>
        <v>0.106339468302658</v>
      </c>
      <c r="Y1436" s="63" t="n">
        <f aca="false">IFERROR(G1436/F1436,0)</f>
        <v>0.027266530334015</v>
      </c>
      <c r="Z1436" s="59" t="n">
        <f aca="false">IF(E1436&gt;0,F1436*1000000000/E1436,"")</f>
        <v>8440.83037364052</v>
      </c>
      <c r="AA1436" s="63" t="n">
        <f aca="false">IFERROR((R1436+S1436+J1436)/F1436,0)</f>
        <v>1</v>
      </c>
      <c r="AB1436" s="0" t="str">
        <f aca="false">A1436&amp;"|"&amp;D1436</f>
        <v>New Zealand|2024</v>
      </c>
    </row>
    <row r="1437" customFormat="false" ht="15" hidden="false" customHeight="false" outlineLevel="0" collapsed="false">
      <c r="A1437" s="0" t="s">
        <v>317</v>
      </c>
      <c r="B1437" s="0" t="s">
        <v>556</v>
      </c>
      <c r="C1437" s="0" t="s">
        <v>127</v>
      </c>
      <c r="D1437" s="0" t="n">
        <v>2025</v>
      </c>
      <c r="E1437" s="59" t="n">
        <v>5251897</v>
      </c>
      <c r="F1437" s="60" t="n">
        <v>43.34</v>
      </c>
      <c r="G1437" s="61" t="n">
        <v>0.49</v>
      </c>
      <c r="H1437" s="61" t="n">
        <v>3.84</v>
      </c>
      <c r="I1437" s="61" t="n">
        <v>0.64</v>
      </c>
      <c r="J1437" s="61" t="n">
        <v>0</v>
      </c>
      <c r="K1437" s="61" t="n">
        <v>23.77</v>
      </c>
      <c r="L1437" s="61" t="n">
        <v>0.37</v>
      </c>
      <c r="M1437" s="61" t="n">
        <v>4.22</v>
      </c>
      <c r="N1437" s="61" t="n">
        <v>0.57</v>
      </c>
      <c r="O1437" s="61" t="n">
        <v>9.44</v>
      </c>
      <c r="P1437" s="62" t="n">
        <v>92.8</v>
      </c>
      <c r="Q1437" s="0" t="n">
        <v>0</v>
      </c>
      <c r="R1437" s="60" t="n">
        <f aca="false">G1437+H1437+I1437</f>
        <v>4.97</v>
      </c>
      <c r="S1437" s="60" t="n">
        <f aca="false">K1437+L1437+M1437+N1437+O1437</f>
        <v>38.37</v>
      </c>
      <c r="T1437" s="60" t="n">
        <f aca="false">L1437+M1437</f>
        <v>4.59</v>
      </c>
      <c r="U1437" s="60" t="n">
        <f aca="false">S1437+J1437</f>
        <v>38.37</v>
      </c>
      <c r="V1437" s="63" t="n">
        <f aca="false">IFERROR(S1437/F1437,0)</f>
        <v>0.885325334563913</v>
      </c>
      <c r="W1437" s="63" t="n">
        <f aca="false">IFERROR(R1437/F1437,0)</f>
        <v>0.114674665436087</v>
      </c>
      <c r="X1437" s="63" t="n">
        <f aca="false">IFERROR(T1437/F1437,0)</f>
        <v>0.105906783571758</v>
      </c>
      <c r="Y1437" s="63" t="n">
        <f aca="false">IFERROR(G1437/F1437,0)</f>
        <v>0.0113059529303184</v>
      </c>
      <c r="Z1437" s="59" t="n">
        <f aca="false">IF(E1437&gt;0,F1437*1000000000/E1437,"")</f>
        <v>8252.25627996893</v>
      </c>
      <c r="AA1437" s="63" t="n">
        <f aca="false">IFERROR((R1437+S1437+J1437)/F1437,0)</f>
        <v>1</v>
      </c>
      <c r="AB1437" s="0" t="str">
        <f aca="false">A1437&amp;"|"&amp;D1437</f>
        <v>New Zealand|2025</v>
      </c>
    </row>
    <row r="1438" customFormat="false" ht="15" hidden="false" customHeight="false" outlineLevel="0" collapsed="false">
      <c r="A1438" s="0" t="s">
        <v>318</v>
      </c>
      <c r="B1438" s="0" t="s">
        <v>557</v>
      </c>
      <c r="C1438" s="0" t="s">
        <v>127</v>
      </c>
      <c r="D1438" s="0" t="n">
        <v>2015</v>
      </c>
      <c r="E1438" s="59" t="n">
        <v>6149417</v>
      </c>
      <c r="F1438" s="60" t="n">
        <v>4.59</v>
      </c>
      <c r="G1438" s="61" t="n">
        <v>0</v>
      </c>
      <c r="H1438" s="61" t="n">
        <v>0</v>
      </c>
      <c r="I1438" s="61" t="n">
        <v>2.29</v>
      </c>
      <c r="J1438" s="61" t="n">
        <v>0</v>
      </c>
      <c r="K1438" s="61" t="n">
        <v>0.29</v>
      </c>
      <c r="L1438" s="61" t="n">
        <v>0</v>
      </c>
      <c r="M1438" s="61" t="n">
        <v>0.87</v>
      </c>
      <c r="N1438" s="61" t="n">
        <v>0.46</v>
      </c>
      <c r="O1438" s="61" t="n">
        <v>0.68</v>
      </c>
      <c r="P1438" s="62" t="n">
        <v>361.7</v>
      </c>
      <c r="Q1438" s="0" t="n">
        <v>0</v>
      </c>
      <c r="R1438" s="60" t="n">
        <f aca="false">G1438+H1438+I1438</f>
        <v>2.29</v>
      </c>
      <c r="S1438" s="60" t="n">
        <f aca="false">K1438+L1438+M1438+N1438+O1438</f>
        <v>2.3</v>
      </c>
      <c r="T1438" s="60" t="n">
        <f aca="false">L1438+M1438</f>
        <v>0.87</v>
      </c>
      <c r="U1438" s="60" t="n">
        <f aca="false">S1438+J1438</f>
        <v>2.3</v>
      </c>
      <c r="V1438" s="63" t="n">
        <f aca="false">IFERROR(S1438/F1438,0)</f>
        <v>0.501089324618736</v>
      </c>
      <c r="W1438" s="63" t="n">
        <f aca="false">IFERROR(R1438/F1438,0)</f>
        <v>0.498910675381264</v>
      </c>
      <c r="X1438" s="63" t="n">
        <f aca="false">IFERROR(T1438/F1438,0)</f>
        <v>0.189542483660131</v>
      </c>
      <c r="Y1438" s="63" t="n">
        <f aca="false">IFERROR(G1438/F1438,0)</f>
        <v>0</v>
      </c>
      <c r="Z1438" s="59" t="n">
        <f aca="false">IF(E1438&gt;0,F1438*1000000000/E1438,"")</f>
        <v>746.412220865815</v>
      </c>
      <c r="AA1438" s="63" t="n">
        <f aca="false">IFERROR((R1438+S1438+J1438)/F1438,0)</f>
        <v>1</v>
      </c>
      <c r="AB1438" s="0" t="str">
        <f aca="false">A1438&amp;"|"&amp;D1438</f>
        <v>Nicaragua|2015</v>
      </c>
    </row>
    <row r="1439" customFormat="false" ht="15" hidden="false" customHeight="false" outlineLevel="0" collapsed="false">
      <c r="A1439" s="0" t="s">
        <v>318</v>
      </c>
      <c r="B1439" s="0" t="s">
        <v>557</v>
      </c>
      <c r="C1439" s="0" t="s">
        <v>127</v>
      </c>
      <c r="D1439" s="0" t="n">
        <v>2016</v>
      </c>
      <c r="E1439" s="59" t="n">
        <v>6232664</v>
      </c>
      <c r="F1439" s="60" t="n">
        <v>4.59</v>
      </c>
      <c r="G1439" s="61" t="n">
        <v>0</v>
      </c>
      <c r="H1439" s="61" t="n">
        <v>0</v>
      </c>
      <c r="I1439" s="61" t="n">
        <v>2.19</v>
      </c>
      <c r="J1439" s="61" t="n">
        <v>0</v>
      </c>
      <c r="K1439" s="61" t="n">
        <v>0.43</v>
      </c>
      <c r="L1439" s="61" t="n">
        <v>0</v>
      </c>
      <c r="M1439" s="61" t="n">
        <v>0.73</v>
      </c>
      <c r="N1439" s="61" t="n">
        <v>0.53</v>
      </c>
      <c r="O1439" s="61" t="n">
        <v>0.71</v>
      </c>
      <c r="P1439" s="62" t="n">
        <v>348.6</v>
      </c>
      <c r="Q1439" s="0" t="n">
        <v>0</v>
      </c>
      <c r="R1439" s="60" t="n">
        <f aca="false">G1439+H1439+I1439</f>
        <v>2.19</v>
      </c>
      <c r="S1439" s="60" t="n">
        <f aca="false">K1439+L1439+M1439+N1439+O1439</f>
        <v>2.4</v>
      </c>
      <c r="T1439" s="60" t="n">
        <f aca="false">L1439+M1439</f>
        <v>0.73</v>
      </c>
      <c r="U1439" s="60" t="n">
        <f aca="false">S1439+J1439</f>
        <v>2.4</v>
      </c>
      <c r="V1439" s="63" t="n">
        <f aca="false">IFERROR(S1439/F1439,0)</f>
        <v>0.522875816993464</v>
      </c>
      <c r="W1439" s="63" t="n">
        <f aca="false">IFERROR(R1439/F1439,0)</f>
        <v>0.477124183006536</v>
      </c>
      <c r="X1439" s="63" t="n">
        <f aca="false">IFERROR(T1439/F1439,0)</f>
        <v>0.159041394335512</v>
      </c>
      <c r="Y1439" s="63" t="n">
        <f aca="false">IFERROR(G1439/F1439,0)</f>
        <v>0</v>
      </c>
      <c r="Z1439" s="59" t="n">
        <f aca="false">IF(E1439&gt;0,F1439*1000000000/E1439,"")</f>
        <v>736.442715346119</v>
      </c>
      <c r="AA1439" s="63" t="n">
        <f aca="false">IFERROR((R1439+S1439+J1439)/F1439,0)</f>
        <v>1</v>
      </c>
      <c r="AB1439" s="0" t="str">
        <f aca="false">A1439&amp;"|"&amp;D1439</f>
        <v>Nicaragua|2016</v>
      </c>
    </row>
    <row r="1440" customFormat="false" ht="15" hidden="false" customHeight="false" outlineLevel="0" collapsed="false">
      <c r="A1440" s="0" t="s">
        <v>318</v>
      </c>
      <c r="B1440" s="0" t="s">
        <v>557</v>
      </c>
      <c r="C1440" s="0" t="s">
        <v>127</v>
      </c>
      <c r="D1440" s="0" t="n">
        <v>2017</v>
      </c>
      <c r="E1440" s="59" t="n">
        <v>6316235</v>
      </c>
      <c r="F1440" s="60" t="n">
        <v>4.52</v>
      </c>
      <c r="G1440" s="61" t="n">
        <v>0</v>
      </c>
      <c r="H1440" s="61" t="n">
        <v>0</v>
      </c>
      <c r="I1440" s="61" t="n">
        <v>1.99</v>
      </c>
      <c r="J1440" s="61" t="n">
        <v>0</v>
      </c>
      <c r="K1440" s="61" t="n">
        <v>0.47</v>
      </c>
      <c r="L1440" s="61" t="n">
        <v>0.01</v>
      </c>
      <c r="M1440" s="61" t="n">
        <v>0.63</v>
      </c>
      <c r="N1440" s="61" t="n">
        <v>0.67</v>
      </c>
      <c r="O1440" s="61" t="n">
        <v>0.75</v>
      </c>
      <c r="P1440" s="62" t="n">
        <v>329.6</v>
      </c>
      <c r="Q1440" s="0" t="n">
        <v>0</v>
      </c>
      <c r="R1440" s="60" t="n">
        <f aca="false">G1440+H1440+I1440</f>
        <v>1.99</v>
      </c>
      <c r="S1440" s="60" t="n">
        <f aca="false">K1440+L1440+M1440+N1440+O1440</f>
        <v>2.53</v>
      </c>
      <c r="T1440" s="60" t="n">
        <f aca="false">L1440+M1440</f>
        <v>0.64</v>
      </c>
      <c r="U1440" s="60" t="n">
        <f aca="false">S1440+J1440</f>
        <v>2.53</v>
      </c>
      <c r="V1440" s="63" t="n">
        <f aca="false">IFERROR(S1440/F1440,0)</f>
        <v>0.559734513274336</v>
      </c>
      <c r="W1440" s="63" t="n">
        <f aca="false">IFERROR(R1440/F1440,0)</f>
        <v>0.440265486725664</v>
      </c>
      <c r="X1440" s="63" t="n">
        <f aca="false">IFERROR(T1440/F1440,0)</f>
        <v>0.141592920353982</v>
      </c>
      <c r="Y1440" s="63" t="n">
        <f aca="false">IFERROR(G1440/F1440,0)</f>
        <v>0</v>
      </c>
      <c r="Z1440" s="59" t="n">
        <f aca="false">IF(E1440&gt;0,F1440*1000000000/E1440,"")</f>
        <v>715.616185908219</v>
      </c>
      <c r="AA1440" s="63" t="n">
        <f aca="false">IFERROR((R1440+S1440+J1440)/F1440,0)</f>
        <v>1</v>
      </c>
      <c r="AB1440" s="0" t="str">
        <f aca="false">A1440&amp;"|"&amp;D1440</f>
        <v>Nicaragua|2017</v>
      </c>
    </row>
    <row r="1441" customFormat="false" ht="15" hidden="false" customHeight="false" outlineLevel="0" collapsed="false">
      <c r="A1441" s="0" t="s">
        <v>318</v>
      </c>
      <c r="B1441" s="0" t="s">
        <v>557</v>
      </c>
      <c r="C1441" s="0" t="s">
        <v>127</v>
      </c>
      <c r="D1441" s="0" t="n">
        <v>2018</v>
      </c>
      <c r="E1441" s="59" t="n">
        <v>6400074</v>
      </c>
      <c r="F1441" s="60" t="n">
        <v>4.65</v>
      </c>
      <c r="G1441" s="61" t="n">
        <v>0</v>
      </c>
      <c r="H1441" s="61" t="n">
        <v>0</v>
      </c>
      <c r="I1441" s="61" t="n">
        <v>1.92</v>
      </c>
      <c r="J1441" s="61" t="n">
        <v>0</v>
      </c>
      <c r="K1441" s="61" t="n">
        <v>0.41</v>
      </c>
      <c r="L1441" s="61" t="n">
        <v>0.02</v>
      </c>
      <c r="M1441" s="61" t="n">
        <v>0.8</v>
      </c>
      <c r="N1441" s="61" t="n">
        <v>0.7</v>
      </c>
      <c r="O1441" s="61" t="n">
        <v>0.8</v>
      </c>
      <c r="P1441" s="62" t="n">
        <v>314</v>
      </c>
      <c r="Q1441" s="0" t="n">
        <v>0</v>
      </c>
      <c r="R1441" s="60" t="n">
        <f aca="false">G1441+H1441+I1441</f>
        <v>1.92</v>
      </c>
      <c r="S1441" s="60" t="n">
        <f aca="false">K1441+L1441+M1441+N1441+O1441</f>
        <v>2.73</v>
      </c>
      <c r="T1441" s="60" t="n">
        <f aca="false">L1441+M1441</f>
        <v>0.82</v>
      </c>
      <c r="U1441" s="60" t="n">
        <f aca="false">S1441+J1441</f>
        <v>2.73</v>
      </c>
      <c r="V1441" s="63" t="n">
        <f aca="false">IFERROR(S1441/F1441,0)</f>
        <v>0.587096774193548</v>
      </c>
      <c r="W1441" s="63" t="n">
        <f aca="false">IFERROR(R1441/F1441,0)</f>
        <v>0.412903225806452</v>
      </c>
      <c r="X1441" s="63" t="n">
        <f aca="false">IFERROR(T1441/F1441,0)</f>
        <v>0.176344086021505</v>
      </c>
      <c r="Y1441" s="63" t="n">
        <f aca="false">IFERROR(G1441/F1441,0)</f>
        <v>0</v>
      </c>
      <c r="Z1441" s="59" t="n">
        <f aca="false">IF(E1441&gt;0,F1441*1000000000/E1441,"")</f>
        <v>726.554099218228</v>
      </c>
      <c r="AA1441" s="63" t="n">
        <f aca="false">IFERROR((R1441+S1441+J1441)/F1441,0)</f>
        <v>1</v>
      </c>
      <c r="AB1441" s="0" t="str">
        <f aca="false">A1441&amp;"|"&amp;D1441</f>
        <v>Nicaragua|2018</v>
      </c>
    </row>
    <row r="1442" customFormat="false" ht="15" hidden="false" customHeight="false" outlineLevel="0" collapsed="false">
      <c r="A1442" s="0" t="s">
        <v>318</v>
      </c>
      <c r="B1442" s="0" t="s">
        <v>557</v>
      </c>
      <c r="C1442" s="0" t="s">
        <v>127</v>
      </c>
      <c r="D1442" s="0" t="n">
        <v>2019</v>
      </c>
      <c r="E1442" s="59" t="n">
        <v>6483660</v>
      </c>
      <c r="F1442" s="60" t="n">
        <v>4.58</v>
      </c>
      <c r="G1442" s="61" t="n">
        <v>0</v>
      </c>
      <c r="H1442" s="61" t="n">
        <v>0</v>
      </c>
      <c r="I1442" s="61" t="n">
        <v>1.97</v>
      </c>
      <c r="J1442" s="61" t="n">
        <v>0</v>
      </c>
      <c r="K1442" s="61" t="n">
        <v>0.23</v>
      </c>
      <c r="L1442" s="61" t="n">
        <v>0.03</v>
      </c>
      <c r="M1442" s="61" t="n">
        <v>0.73</v>
      </c>
      <c r="N1442" s="61" t="n">
        <v>0.84</v>
      </c>
      <c r="O1442" s="61" t="n">
        <v>0.78</v>
      </c>
      <c r="P1442" s="62" t="n">
        <v>334.1</v>
      </c>
      <c r="Q1442" s="0" t="n">
        <v>0</v>
      </c>
      <c r="R1442" s="60" t="n">
        <f aca="false">G1442+H1442+I1442</f>
        <v>1.97</v>
      </c>
      <c r="S1442" s="60" t="n">
        <f aca="false">K1442+L1442+M1442+N1442+O1442</f>
        <v>2.61</v>
      </c>
      <c r="T1442" s="60" t="n">
        <f aca="false">L1442+M1442</f>
        <v>0.76</v>
      </c>
      <c r="U1442" s="60" t="n">
        <f aca="false">S1442+J1442</f>
        <v>2.61</v>
      </c>
      <c r="V1442" s="63" t="n">
        <f aca="false">IFERROR(S1442/F1442,0)</f>
        <v>0.569868995633188</v>
      </c>
      <c r="W1442" s="63" t="n">
        <f aca="false">IFERROR(R1442/F1442,0)</f>
        <v>0.430131004366812</v>
      </c>
      <c r="X1442" s="63" t="n">
        <f aca="false">IFERROR(T1442/F1442,0)</f>
        <v>0.165938864628821</v>
      </c>
      <c r="Y1442" s="63" t="n">
        <f aca="false">IFERROR(G1442/F1442,0)</f>
        <v>0</v>
      </c>
      <c r="Z1442" s="59" t="n">
        <f aca="false">IF(E1442&gt;0,F1442*1000000000/E1442,"")</f>
        <v>706.391143274015</v>
      </c>
      <c r="AA1442" s="63" t="n">
        <f aca="false">IFERROR((R1442+S1442+J1442)/F1442,0)</f>
        <v>1</v>
      </c>
      <c r="AB1442" s="0" t="str">
        <f aca="false">A1442&amp;"|"&amp;D1442</f>
        <v>Nicaragua|2019</v>
      </c>
    </row>
    <row r="1443" customFormat="false" ht="15" hidden="false" customHeight="false" outlineLevel="0" collapsed="false">
      <c r="A1443" s="0" t="s">
        <v>318</v>
      </c>
      <c r="B1443" s="0" t="s">
        <v>557</v>
      </c>
      <c r="C1443" s="0" t="s">
        <v>127</v>
      </c>
      <c r="D1443" s="0" t="n">
        <v>2020</v>
      </c>
      <c r="E1443" s="59" t="n">
        <v>6565267</v>
      </c>
      <c r="F1443" s="60" t="n">
        <v>3.79</v>
      </c>
      <c r="G1443" s="61" t="n">
        <v>0</v>
      </c>
      <c r="H1443" s="61" t="n">
        <v>0</v>
      </c>
      <c r="I1443" s="61" t="n">
        <v>1.14</v>
      </c>
      <c r="J1443" s="61" t="n">
        <v>0</v>
      </c>
      <c r="K1443" s="61" t="n">
        <v>0.57</v>
      </c>
      <c r="L1443" s="61" t="n">
        <v>0.03</v>
      </c>
      <c r="M1443" s="61" t="n">
        <v>0.55</v>
      </c>
      <c r="N1443" s="61" t="n">
        <v>0.73</v>
      </c>
      <c r="O1443" s="61" t="n">
        <v>0.77</v>
      </c>
      <c r="P1443" s="62" t="n">
        <v>250.7</v>
      </c>
      <c r="Q1443" s="0" t="n">
        <v>0</v>
      </c>
      <c r="R1443" s="60" t="n">
        <f aca="false">G1443+H1443+I1443</f>
        <v>1.14</v>
      </c>
      <c r="S1443" s="60" t="n">
        <f aca="false">K1443+L1443+M1443+N1443+O1443</f>
        <v>2.65</v>
      </c>
      <c r="T1443" s="60" t="n">
        <f aca="false">L1443+M1443</f>
        <v>0.58</v>
      </c>
      <c r="U1443" s="60" t="n">
        <f aca="false">S1443+J1443</f>
        <v>2.65</v>
      </c>
      <c r="V1443" s="63" t="n">
        <f aca="false">IFERROR(S1443/F1443,0)</f>
        <v>0.699208443271768</v>
      </c>
      <c r="W1443" s="63" t="n">
        <f aca="false">IFERROR(R1443/F1443,0)</f>
        <v>0.300791556728232</v>
      </c>
      <c r="X1443" s="63" t="n">
        <f aca="false">IFERROR(T1443/F1443,0)</f>
        <v>0.153034300791557</v>
      </c>
      <c r="Y1443" s="63" t="n">
        <f aca="false">IFERROR(G1443/F1443,0)</f>
        <v>0</v>
      </c>
      <c r="Z1443" s="59" t="n">
        <f aca="false">IF(E1443&gt;0,F1443*1000000000/E1443,"")</f>
        <v>577.280406112958</v>
      </c>
      <c r="AA1443" s="63" t="n">
        <f aca="false">IFERROR((R1443+S1443+J1443)/F1443,0)</f>
        <v>1</v>
      </c>
      <c r="AB1443" s="0" t="str">
        <f aca="false">A1443&amp;"|"&amp;D1443</f>
        <v>Nicaragua|2020</v>
      </c>
    </row>
    <row r="1444" customFormat="false" ht="15" hidden="false" customHeight="false" outlineLevel="0" collapsed="false">
      <c r="A1444" s="0" t="s">
        <v>318</v>
      </c>
      <c r="B1444" s="0" t="s">
        <v>557</v>
      </c>
      <c r="C1444" s="0" t="s">
        <v>127</v>
      </c>
      <c r="D1444" s="0" t="n">
        <v>2021</v>
      </c>
      <c r="E1444" s="59" t="n">
        <v>6644745</v>
      </c>
      <c r="F1444" s="60" t="n">
        <v>4.21</v>
      </c>
      <c r="G1444" s="61" t="n">
        <v>0</v>
      </c>
      <c r="H1444" s="61" t="n">
        <v>0</v>
      </c>
      <c r="I1444" s="61" t="n">
        <v>1.3</v>
      </c>
      <c r="J1444" s="61" t="n">
        <v>0</v>
      </c>
      <c r="K1444" s="61" t="n">
        <v>0.6</v>
      </c>
      <c r="L1444" s="61" t="n">
        <v>0.03</v>
      </c>
      <c r="M1444" s="61" t="n">
        <v>0.66</v>
      </c>
      <c r="N1444" s="61" t="n">
        <v>0.89</v>
      </c>
      <c r="O1444" s="61" t="n">
        <v>0.73</v>
      </c>
      <c r="P1444" s="62" t="n">
        <v>261.3</v>
      </c>
      <c r="Q1444" s="0" t="n">
        <v>0</v>
      </c>
      <c r="R1444" s="60" t="n">
        <f aca="false">G1444+H1444+I1444</f>
        <v>1.3</v>
      </c>
      <c r="S1444" s="60" t="n">
        <f aca="false">K1444+L1444+M1444+N1444+O1444</f>
        <v>2.91</v>
      </c>
      <c r="T1444" s="60" t="n">
        <f aca="false">L1444+M1444</f>
        <v>0.69</v>
      </c>
      <c r="U1444" s="60" t="n">
        <f aca="false">S1444+J1444</f>
        <v>2.91</v>
      </c>
      <c r="V1444" s="63" t="n">
        <f aca="false">IFERROR(S1444/F1444,0)</f>
        <v>0.691211401425178</v>
      </c>
      <c r="W1444" s="63" t="n">
        <f aca="false">IFERROR(R1444/F1444,0)</f>
        <v>0.308788598574822</v>
      </c>
      <c r="X1444" s="63" t="n">
        <f aca="false">IFERROR(T1444/F1444,0)</f>
        <v>0.163895486935867</v>
      </c>
      <c r="Y1444" s="63" t="n">
        <f aca="false">IFERROR(G1444/F1444,0)</f>
        <v>0</v>
      </c>
      <c r="Z1444" s="59" t="n">
        <f aca="false">IF(E1444&gt;0,F1444*1000000000/E1444,"")</f>
        <v>633.583380551097</v>
      </c>
      <c r="AA1444" s="63" t="n">
        <f aca="false">IFERROR((R1444+S1444+J1444)/F1444,0)</f>
        <v>1</v>
      </c>
      <c r="AB1444" s="0" t="str">
        <f aca="false">A1444&amp;"|"&amp;D1444</f>
        <v>Nicaragua|2021</v>
      </c>
    </row>
    <row r="1445" customFormat="false" ht="15" hidden="false" customHeight="false" outlineLevel="0" collapsed="false">
      <c r="A1445" s="0" t="s">
        <v>318</v>
      </c>
      <c r="B1445" s="0" t="s">
        <v>557</v>
      </c>
      <c r="C1445" s="0" t="s">
        <v>127</v>
      </c>
      <c r="D1445" s="0" t="n">
        <v>2022</v>
      </c>
      <c r="E1445" s="59" t="n">
        <v>6730662</v>
      </c>
      <c r="F1445" s="60" t="n">
        <v>4.32</v>
      </c>
      <c r="G1445" s="61" t="n">
        <v>0</v>
      </c>
      <c r="H1445" s="61" t="n">
        <v>0</v>
      </c>
      <c r="I1445" s="61" t="n">
        <v>1.55</v>
      </c>
      <c r="J1445" s="61" t="n">
        <v>0</v>
      </c>
      <c r="K1445" s="61" t="n">
        <v>0.6</v>
      </c>
      <c r="L1445" s="61" t="n">
        <v>0.03</v>
      </c>
      <c r="M1445" s="61" t="n">
        <v>0.56</v>
      </c>
      <c r="N1445" s="61" t="n">
        <v>0.89</v>
      </c>
      <c r="O1445" s="61" t="n">
        <v>0.69</v>
      </c>
      <c r="P1445" s="62" t="n">
        <v>289.4</v>
      </c>
      <c r="Q1445" s="0" t="n">
        <v>0</v>
      </c>
      <c r="R1445" s="60" t="n">
        <f aca="false">G1445+H1445+I1445</f>
        <v>1.55</v>
      </c>
      <c r="S1445" s="60" t="n">
        <f aca="false">K1445+L1445+M1445+N1445+O1445</f>
        <v>2.77</v>
      </c>
      <c r="T1445" s="60" t="n">
        <f aca="false">L1445+M1445</f>
        <v>0.59</v>
      </c>
      <c r="U1445" s="60" t="n">
        <f aca="false">S1445+J1445</f>
        <v>2.77</v>
      </c>
      <c r="V1445" s="63" t="n">
        <f aca="false">IFERROR(S1445/F1445,0)</f>
        <v>0.641203703703704</v>
      </c>
      <c r="W1445" s="63" t="n">
        <f aca="false">IFERROR(R1445/F1445,0)</f>
        <v>0.358796296296296</v>
      </c>
      <c r="X1445" s="63" t="n">
        <f aca="false">IFERROR(T1445/F1445,0)</f>
        <v>0.136574074074074</v>
      </c>
      <c r="Y1445" s="63" t="n">
        <f aca="false">IFERROR(G1445/F1445,0)</f>
        <v>0</v>
      </c>
      <c r="Z1445" s="59" t="n">
        <f aca="false">IF(E1445&gt;0,F1445*1000000000/E1445,"")</f>
        <v>641.838796837518</v>
      </c>
      <c r="AA1445" s="63" t="n">
        <f aca="false">IFERROR((R1445+S1445+J1445)/F1445,0)</f>
        <v>1</v>
      </c>
      <c r="AB1445" s="0" t="str">
        <f aca="false">A1445&amp;"|"&amp;D1445</f>
        <v>Nicaragua|2022</v>
      </c>
    </row>
    <row r="1446" customFormat="false" ht="15" hidden="false" customHeight="false" outlineLevel="0" collapsed="false">
      <c r="A1446" s="0" t="s">
        <v>318</v>
      </c>
      <c r="B1446" s="0" t="s">
        <v>557</v>
      </c>
      <c r="C1446" s="0" t="s">
        <v>127</v>
      </c>
      <c r="D1446" s="0" t="n">
        <v>2023</v>
      </c>
      <c r="E1446" s="59" t="n">
        <v>6823619</v>
      </c>
      <c r="F1446" s="60" t="n">
        <v>4.52</v>
      </c>
      <c r="G1446" s="61" t="n">
        <v>0</v>
      </c>
      <c r="H1446" s="61" t="n">
        <v>0</v>
      </c>
      <c r="I1446" s="61" t="n">
        <v>1.7</v>
      </c>
      <c r="J1446" s="61" t="n">
        <v>0</v>
      </c>
      <c r="K1446" s="61" t="n">
        <v>0.65</v>
      </c>
      <c r="L1446" s="61" t="n">
        <v>0.03</v>
      </c>
      <c r="M1446" s="61" t="n">
        <v>0.56</v>
      </c>
      <c r="N1446" s="61" t="n">
        <v>0.89</v>
      </c>
      <c r="O1446" s="61" t="n">
        <v>0.69</v>
      </c>
      <c r="P1446" s="62" t="n">
        <v>300.9</v>
      </c>
      <c r="Q1446" s="0" t="n">
        <v>0</v>
      </c>
      <c r="R1446" s="60" t="n">
        <f aca="false">G1446+H1446+I1446</f>
        <v>1.7</v>
      </c>
      <c r="S1446" s="60" t="n">
        <f aca="false">K1446+L1446+M1446+N1446+O1446</f>
        <v>2.82</v>
      </c>
      <c r="T1446" s="60" t="n">
        <f aca="false">L1446+M1446</f>
        <v>0.59</v>
      </c>
      <c r="U1446" s="60" t="n">
        <f aca="false">S1446+J1446</f>
        <v>2.82</v>
      </c>
      <c r="V1446" s="63" t="n">
        <f aca="false">IFERROR(S1446/F1446,0)</f>
        <v>0.623893805309735</v>
      </c>
      <c r="W1446" s="63" t="n">
        <f aca="false">IFERROR(R1446/F1446,0)</f>
        <v>0.376106194690266</v>
      </c>
      <c r="X1446" s="63" t="n">
        <f aca="false">IFERROR(T1446/F1446,0)</f>
        <v>0.130530973451327</v>
      </c>
      <c r="Y1446" s="63" t="n">
        <f aca="false">IFERROR(G1446/F1446,0)</f>
        <v>0</v>
      </c>
      <c r="Z1446" s="59" t="n">
        <f aca="false">IF(E1446&gt;0,F1446*1000000000/E1446,"")</f>
        <v>662.405096181367</v>
      </c>
      <c r="AA1446" s="63" t="n">
        <f aca="false">IFERROR((R1446+S1446+J1446)/F1446,0)</f>
        <v>1</v>
      </c>
      <c r="AB1446" s="0" t="str">
        <f aca="false">A1446&amp;"|"&amp;D1446</f>
        <v>Nicaragua|2023</v>
      </c>
    </row>
    <row r="1447" customFormat="false" ht="15" hidden="false" customHeight="false" outlineLevel="0" collapsed="false">
      <c r="A1447" s="0" t="s">
        <v>318</v>
      </c>
      <c r="B1447" s="0" t="s">
        <v>557</v>
      </c>
      <c r="C1447" s="0" t="s">
        <v>127</v>
      </c>
      <c r="D1447" s="0" t="n">
        <v>2024</v>
      </c>
      <c r="E1447" s="59" t="n">
        <v>6916136</v>
      </c>
      <c r="F1447" s="60" t="n">
        <v>4.52</v>
      </c>
      <c r="G1447" s="61" t="n">
        <v>0</v>
      </c>
      <c r="H1447" s="61" t="n">
        <v>0</v>
      </c>
      <c r="I1447" s="61" t="n">
        <v>1.7</v>
      </c>
      <c r="J1447" s="61" t="n">
        <v>0</v>
      </c>
      <c r="K1447" s="61" t="n">
        <v>0.65</v>
      </c>
      <c r="L1447" s="61" t="n">
        <v>0.03</v>
      </c>
      <c r="M1447" s="61" t="n">
        <v>0.56</v>
      </c>
      <c r="N1447" s="61" t="n">
        <v>0.89</v>
      </c>
      <c r="O1447" s="61" t="n">
        <v>0.69</v>
      </c>
      <c r="P1447" s="62" t="n">
        <v>300.9</v>
      </c>
      <c r="Q1447" s="0" t="n">
        <v>0</v>
      </c>
      <c r="R1447" s="60" t="n">
        <f aca="false">G1447+H1447+I1447</f>
        <v>1.7</v>
      </c>
      <c r="S1447" s="60" t="n">
        <f aca="false">K1447+L1447+M1447+N1447+O1447</f>
        <v>2.82</v>
      </c>
      <c r="T1447" s="60" t="n">
        <f aca="false">L1447+M1447</f>
        <v>0.59</v>
      </c>
      <c r="U1447" s="60" t="n">
        <f aca="false">S1447+J1447</f>
        <v>2.82</v>
      </c>
      <c r="V1447" s="63" t="n">
        <f aca="false">IFERROR(S1447/F1447,0)</f>
        <v>0.623893805309735</v>
      </c>
      <c r="W1447" s="63" t="n">
        <f aca="false">IFERROR(R1447/F1447,0)</f>
        <v>0.376106194690266</v>
      </c>
      <c r="X1447" s="63" t="n">
        <f aca="false">IFERROR(T1447/F1447,0)</f>
        <v>0.130530973451327</v>
      </c>
      <c r="Y1447" s="63" t="n">
        <f aca="false">IFERROR(G1447/F1447,0)</f>
        <v>0</v>
      </c>
      <c r="Z1447" s="59" t="n">
        <f aca="false">IF(E1447&gt;0,F1447*1000000000/E1447,"")</f>
        <v>653.54411769809</v>
      </c>
      <c r="AA1447" s="63" t="n">
        <f aca="false">IFERROR((R1447+S1447+J1447)/F1447,0)</f>
        <v>1</v>
      </c>
      <c r="AB1447" s="0" t="str">
        <f aca="false">A1447&amp;"|"&amp;D1447</f>
        <v>Nicaragua|2024</v>
      </c>
    </row>
    <row r="1448" customFormat="false" ht="15" hidden="false" customHeight="false" outlineLevel="0" collapsed="false">
      <c r="A1448" s="0" t="s">
        <v>319</v>
      </c>
      <c r="B1448" s="0" t="s">
        <v>558</v>
      </c>
      <c r="C1448" s="0" t="s">
        <v>127</v>
      </c>
      <c r="D1448" s="0" t="n">
        <v>2015</v>
      </c>
      <c r="E1448" s="59" t="n">
        <v>19939496</v>
      </c>
      <c r="F1448" s="60" t="n">
        <v>0.54</v>
      </c>
      <c r="G1448" s="61" t="n">
        <v>0.22</v>
      </c>
      <c r="H1448" s="61" t="n">
        <v>0</v>
      </c>
      <c r="I1448" s="61" t="n">
        <v>0.31</v>
      </c>
      <c r="J1448" s="61" t="n">
        <v>0</v>
      </c>
      <c r="K1448" s="61" t="n">
        <v>0</v>
      </c>
      <c r="L1448" s="61" t="n">
        <v>0.01</v>
      </c>
      <c r="M1448" s="61" t="n">
        <v>0</v>
      </c>
      <c r="N1448" s="61" t="n">
        <v>0</v>
      </c>
      <c r="O1448" s="61" t="n">
        <v>0</v>
      </c>
      <c r="P1448" s="62" t="n">
        <v>722.2</v>
      </c>
      <c r="Q1448" s="0" t="n">
        <v>0</v>
      </c>
      <c r="R1448" s="60" t="n">
        <f aca="false">G1448+H1448+I1448</f>
        <v>0.53</v>
      </c>
      <c r="S1448" s="60" t="n">
        <f aca="false">K1448+L1448+M1448+N1448+O1448</f>
        <v>0.01</v>
      </c>
      <c r="T1448" s="60" t="n">
        <f aca="false">L1448+M1448</f>
        <v>0.01</v>
      </c>
      <c r="U1448" s="60" t="n">
        <f aca="false">S1448+J1448</f>
        <v>0.01</v>
      </c>
      <c r="V1448" s="63" t="n">
        <f aca="false">IFERROR(S1448/F1448,0)</f>
        <v>0.0185185185185185</v>
      </c>
      <c r="W1448" s="63" t="n">
        <f aca="false">IFERROR(R1448/F1448,0)</f>
        <v>0.981481481481482</v>
      </c>
      <c r="X1448" s="63" t="n">
        <f aca="false">IFERROR(T1448/F1448,0)</f>
        <v>0.0185185185185185</v>
      </c>
      <c r="Y1448" s="63" t="n">
        <f aca="false">IFERROR(G1448/F1448,0)</f>
        <v>0.407407407407407</v>
      </c>
      <c r="Z1448" s="59" t="n">
        <f aca="false">IF(E1448&gt;0,F1448*1000000000/E1448,"")</f>
        <v>27.0819282493399</v>
      </c>
      <c r="AA1448" s="63" t="n">
        <f aca="false">IFERROR((R1448+S1448+J1448)/F1448,0)</f>
        <v>1</v>
      </c>
      <c r="AB1448" s="0" t="str">
        <f aca="false">A1448&amp;"|"&amp;D1448</f>
        <v>Niger|2015</v>
      </c>
    </row>
    <row r="1449" customFormat="false" ht="15" hidden="false" customHeight="false" outlineLevel="0" collapsed="false">
      <c r="A1449" s="0" t="s">
        <v>319</v>
      </c>
      <c r="B1449" s="0" t="s">
        <v>558</v>
      </c>
      <c r="C1449" s="0" t="s">
        <v>127</v>
      </c>
      <c r="D1449" s="0" t="n">
        <v>2016</v>
      </c>
      <c r="E1449" s="59" t="n">
        <v>20685758</v>
      </c>
      <c r="F1449" s="60" t="n">
        <v>0.7</v>
      </c>
      <c r="G1449" s="61" t="n">
        <v>0.22</v>
      </c>
      <c r="H1449" s="61" t="n">
        <v>0</v>
      </c>
      <c r="I1449" s="61" t="n">
        <v>0.47</v>
      </c>
      <c r="J1449" s="61" t="n">
        <v>0</v>
      </c>
      <c r="K1449" s="61" t="n">
        <v>0</v>
      </c>
      <c r="L1449" s="61" t="n">
        <v>0.01</v>
      </c>
      <c r="M1449" s="61" t="n">
        <v>0</v>
      </c>
      <c r="N1449" s="61" t="n">
        <v>0</v>
      </c>
      <c r="O1449" s="61" t="n">
        <v>0</v>
      </c>
      <c r="P1449" s="62" t="n">
        <v>714.3</v>
      </c>
      <c r="Q1449" s="0" t="n">
        <v>0</v>
      </c>
      <c r="R1449" s="60" t="n">
        <f aca="false">G1449+H1449+I1449</f>
        <v>0.69</v>
      </c>
      <c r="S1449" s="60" t="n">
        <f aca="false">K1449+L1449+M1449+N1449+O1449</f>
        <v>0.01</v>
      </c>
      <c r="T1449" s="60" t="n">
        <f aca="false">L1449+M1449</f>
        <v>0.01</v>
      </c>
      <c r="U1449" s="60" t="n">
        <f aca="false">S1449+J1449</f>
        <v>0.01</v>
      </c>
      <c r="V1449" s="63" t="n">
        <f aca="false">IFERROR(S1449/F1449,0)</f>
        <v>0.0142857142857143</v>
      </c>
      <c r="W1449" s="63" t="n">
        <f aca="false">IFERROR(R1449/F1449,0)</f>
        <v>0.985714285714286</v>
      </c>
      <c r="X1449" s="63" t="n">
        <f aca="false">IFERROR(T1449/F1449,0)</f>
        <v>0.0142857142857143</v>
      </c>
      <c r="Y1449" s="63" t="n">
        <f aca="false">IFERROR(G1449/F1449,0)</f>
        <v>0.314285714285714</v>
      </c>
      <c r="Z1449" s="59" t="n">
        <f aca="false">IF(E1449&gt;0,F1449*1000000000/E1449,"")</f>
        <v>33.8397074934358</v>
      </c>
      <c r="AA1449" s="63" t="n">
        <f aca="false">IFERROR((R1449+S1449+J1449)/F1449,0)</f>
        <v>1</v>
      </c>
      <c r="AB1449" s="0" t="str">
        <f aca="false">A1449&amp;"|"&amp;D1449</f>
        <v>Niger|2016</v>
      </c>
    </row>
    <row r="1450" customFormat="false" ht="15" hidden="false" customHeight="false" outlineLevel="0" collapsed="false">
      <c r="A1450" s="0" t="s">
        <v>319</v>
      </c>
      <c r="B1450" s="0" t="s">
        <v>558</v>
      </c>
      <c r="C1450" s="0" t="s">
        <v>127</v>
      </c>
      <c r="D1450" s="0" t="n">
        <v>2017</v>
      </c>
      <c r="E1450" s="59" t="n">
        <v>21435449</v>
      </c>
      <c r="F1450" s="60" t="n">
        <v>0.56</v>
      </c>
      <c r="G1450" s="61" t="n">
        <v>0.21</v>
      </c>
      <c r="H1450" s="61" t="n">
        <v>0</v>
      </c>
      <c r="I1450" s="61" t="n">
        <v>0.34</v>
      </c>
      <c r="J1450" s="61" t="n">
        <v>0</v>
      </c>
      <c r="K1450" s="61" t="n">
        <v>0</v>
      </c>
      <c r="L1450" s="61" t="n">
        <v>0.01</v>
      </c>
      <c r="M1450" s="61" t="n">
        <v>0</v>
      </c>
      <c r="N1450" s="61" t="n">
        <v>0</v>
      </c>
      <c r="O1450" s="61" t="n">
        <v>0</v>
      </c>
      <c r="P1450" s="62" t="n">
        <v>714.3</v>
      </c>
      <c r="Q1450" s="0" t="n">
        <v>0</v>
      </c>
      <c r="R1450" s="60" t="n">
        <f aca="false">G1450+H1450+I1450</f>
        <v>0.55</v>
      </c>
      <c r="S1450" s="60" t="n">
        <f aca="false">K1450+L1450+M1450+N1450+O1450</f>
        <v>0.01</v>
      </c>
      <c r="T1450" s="60" t="n">
        <f aca="false">L1450+M1450</f>
        <v>0.01</v>
      </c>
      <c r="U1450" s="60" t="n">
        <f aca="false">S1450+J1450</f>
        <v>0.01</v>
      </c>
      <c r="V1450" s="63" t="n">
        <f aca="false">IFERROR(S1450/F1450,0)</f>
        <v>0.0178571428571429</v>
      </c>
      <c r="W1450" s="63" t="n">
        <f aca="false">IFERROR(R1450/F1450,0)</f>
        <v>0.982142857142857</v>
      </c>
      <c r="X1450" s="63" t="n">
        <f aca="false">IFERROR(T1450/F1450,0)</f>
        <v>0.0178571428571429</v>
      </c>
      <c r="Y1450" s="63" t="n">
        <f aca="false">IFERROR(G1450/F1450,0)</f>
        <v>0.375</v>
      </c>
      <c r="Z1450" s="59" t="n">
        <f aca="false">IF(E1450&gt;0,F1450*1000000000/E1450,"")</f>
        <v>26.1249484440471</v>
      </c>
      <c r="AA1450" s="63" t="n">
        <f aca="false">IFERROR((R1450+S1450+J1450)/F1450,0)</f>
        <v>1</v>
      </c>
      <c r="AB1450" s="0" t="str">
        <f aca="false">A1450&amp;"|"&amp;D1450</f>
        <v>Niger|2017</v>
      </c>
    </row>
    <row r="1451" customFormat="false" ht="15" hidden="false" customHeight="false" outlineLevel="0" collapsed="false">
      <c r="A1451" s="0" t="s">
        <v>319</v>
      </c>
      <c r="B1451" s="0" t="s">
        <v>558</v>
      </c>
      <c r="C1451" s="0" t="s">
        <v>127</v>
      </c>
      <c r="D1451" s="0" t="n">
        <v>2018</v>
      </c>
      <c r="E1451" s="59" t="n">
        <v>22188074</v>
      </c>
      <c r="F1451" s="60" t="n">
        <v>0.53</v>
      </c>
      <c r="G1451" s="61" t="n">
        <v>0.19</v>
      </c>
      <c r="H1451" s="61" t="n">
        <v>0.04</v>
      </c>
      <c r="I1451" s="61" t="n">
        <v>0.29</v>
      </c>
      <c r="J1451" s="61" t="n">
        <v>0</v>
      </c>
      <c r="K1451" s="61" t="n">
        <v>0</v>
      </c>
      <c r="L1451" s="61" t="n">
        <v>0.01</v>
      </c>
      <c r="M1451" s="61" t="n">
        <v>0</v>
      </c>
      <c r="N1451" s="61" t="n">
        <v>0</v>
      </c>
      <c r="O1451" s="61" t="n">
        <v>0</v>
      </c>
      <c r="P1451" s="62" t="n">
        <v>698.1</v>
      </c>
      <c r="Q1451" s="0" t="n">
        <v>0</v>
      </c>
      <c r="R1451" s="60" t="n">
        <f aca="false">G1451+H1451+I1451</f>
        <v>0.52</v>
      </c>
      <c r="S1451" s="60" t="n">
        <f aca="false">K1451+L1451+M1451+N1451+O1451</f>
        <v>0.01</v>
      </c>
      <c r="T1451" s="60" t="n">
        <f aca="false">L1451+M1451</f>
        <v>0.01</v>
      </c>
      <c r="U1451" s="60" t="n">
        <f aca="false">S1451+J1451</f>
        <v>0.01</v>
      </c>
      <c r="V1451" s="63" t="n">
        <f aca="false">IFERROR(S1451/F1451,0)</f>
        <v>0.0188679245283019</v>
      </c>
      <c r="W1451" s="63" t="n">
        <f aca="false">IFERROR(R1451/F1451,0)</f>
        <v>0.981132075471698</v>
      </c>
      <c r="X1451" s="63" t="n">
        <f aca="false">IFERROR(T1451/F1451,0)</f>
        <v>0.0188679245283019</v>
      </c>
      <c r="Y1451" s="63" t="n">
        <f aca="false">IFERROR(G1451/F1451,0)</f>
        <v>0.358490566037736</v>
      </c>
      <c r="Z1451" s="59" t="n">
        <f aca="false">IF(E1451&gt;0,F1451*1000000000/E1451,"")</f>
        <v>23.8867059844852</v>
      </c>
      <c r="AA1451" s="63" t="n">
        <f aca="false">IFERROR((R1451+S1451+J1451)/F1451,0)</f>
        <v>1</v>
      </c>
      <c r="AB1451" s="0" t="str">
        <f aca="false">A1451&amp;"|"&amp;D1451</f>
        <v>Niger|2018</v>
      </c>
    </row>
    <row r="1452" customFormat="false" ht="15" hidden="false" customHeight="false" outlineLevel="0" collapsed="false">
      <c r="A1452" s="0" t="s">
        <v>319</v>
      </c>
      <c r="B1452" s="0" t="s">
        <v>558</v>
      </c>
      <c r="C1452" s="0" t="s">
        <v>127</v>
      </c>
      <c r="D1452" s="0" t="n">
        <v>2019</v>
      </c>
      <c r="E1452" s="59" t="n">
        <v>22947765</v>
      </c>
      <c r="F1452" s="60" t="n">
        <v>0.67</v>
      </c>
      <c r="G1452" s="61" t="n">
        <v>0.2</v>
      </c>
      <c r="H1452" s="61" t="n">
        <v>0.05</v>
      </c>
      <c r="I1452" s="61" t="n">
        <v>0.4</v>
      </c>
      <c r="J1452" s="61" t="n">
        <v>0</v>
      </c>
      <c r="K1452" s="61" t="n">
        <v>0</v>
      </c>
      <c r="L1452" s="61" t="n">
        <v>0.02</v>
      </c>
      <c r="M1452" s="61" t="n">
        <v>0</v>
      </c>
      <c r="N1452" s="61" t="n">
        <v>0</v>
      </c>
      <c r="O1452" s="61" t="n">
        <v>0</v>
      </c>
      <c r="P1452" s="62" t="n">
        <v>686.6</v>
      </c>
      <c r="Q1452" s="0" t="n">
        <v>0</v>
      </c>
      <c r="R1452" s="60" t="n">
        <f aca="false">G1452+H1452+I1452</f>
        <v>0.65</v>
      </c>
      <c r="S1452" s="60" t="n">
        <f aca="false">K1452+L1452+M1452+N1452+O1452</f>
        <v>0.02</v>
      </c>
      <c r="T1452" s="60" t="n">
        <f aca="false">L1452+M1452</f>
        <v>0.02</v>
      </c>
      <c r="U1452" s="60" t="n">
        <f aca="false">S1452+J1452</f>
        <v>0.02</v>
      </c>
      <c r="V1452" s="63" t="n">
        <f aca="false">IFERROR(S1452/F1452,0)</f>
        <v>0.0298507462686567</v>
      </c>
      <c r="W1452" s="63" t="n">
        <f aca="false">IFERROR(R1452/F1452,0)</f>
        <v>0.970149253731343</v>
      </c>
      <c r="X1452" s="63" t="n">
        <f aca="false">IFERROR(T1452/F1452,0)</f>
        <v>0.0298507462686567</v>
      </c>
      <c r="Y1452" s="63" t="n">
        <f aca="false">IFERROR(G1452/F1452,0)</f>
        <v>0.298507462686567</v>
      </c>
      <c r="Z1452" s="59" t="n">
        <f aca="false">IF(E1452&gt;0,F1452*1000000000/E1452,"")</f>
        <v>29.196743125093</v>
      </c>
      <c r="AA1452" s="63" t="n">
        <f aca="false">IFERROR((R1452+S1452+J1452)/F1452,0)</f>
        <v>1</v>
      </c>
      <c r="AB1452" s="0" t="str">
        <f aca="false">A1452&amp;"|"&amp;D1452</f>
        <v>Niger|2019</v>
      </c>
    </row>
    <row r="1453" customFormat="false" ht="15" hidden="false" customHeight="false" outlineLevel="0" collapsed="false">
      <c r="A1453" s="0" t="s">
        <v>319</v>
      </c>
      <c r="B1453" s="0" t="s">
        <v>558</v>
      </c>
      <c r="C1453" s="0" t="s">
        <v>127</v>
      </c>
      <c r="D1453" s="0" t="n">
        <v>2020</v>
      </c>
      <c r="E1453" s="59" t="n">
        <v>23717615</v>
      </c>
      <c r="F1453" s="60" t="n">
        <v>0.67</v>
      </c>
      <c r="G1453" s="61" t="n">
        <v>0.21</v>
      </c>
      <c r="H1453" s="61" t="n">
        <v>0.05</v>
      </c>
      <c r="I1453" s="61" t="n">
        <v>0.39</v>
      </c>
      <c r="J1453" s="61" t="n">
        <v>0</v>
      </c>
      <c r="K1453" s="61" t="n">
        <v>0</v>
      </c>
      <c r="L1453" s="61" t="n">
        <v>0.02</v>
      </c>
      <c r="M1453" s="61" t="n">
        <v>0</v>
      </c>
      <c r="N1453" s="61" t="n">
        <v>0</v>
      </c>
      <c r="O1453" s="61" t="n">
        <v>0</v>
      </c>
      <c r="P1453" s="62" t="n">
        <v>701.5</v>
      </c>
      <c r="Q1453" s="0" t="n">
        <v>0</v>
      </c>
      <c r="R1453" s="60" t="n">
        <f aca="false">G1453+H1453+I1453</f>
        <v>0.65</v>
      </c>
      <c r="S1453" s="60" t="n">
        <f aca="false">K1453+L1453+M1453+N1453+O1453</f>
        <v>0.02</v>
      </c>
      <c r="T1453" s="60" t="n">
        <f aca="false">L1453+M1453</f>
        <v>0.02</v>
      </c>
      <c r="U1453" s="60" t="n">
        <f aca="false">S1453+J1453</f>
        <v>0.02</v>
      </c>
      <c r="V1453" s="63" t="n">
        <f aca="false">IFERROR(S1453/F1453,0)</f>
        <v>0.0298507462686567</v>
      </c>
      <c r="W1453" s="63" t="n">
        <f aca="false">IFERROR(R1453/F1453,0)</f>
        <v>0.970149253731343</v>
      </c>
      <c r="X1453" s="63" t="n">
        <f aca="false">IFERROR(T1453/F1453,0)</f>
        <v>0.0298507462686567</v>
      </c>
      <c r="Y1453" s="63" t="n">
        <f aca="false">IFERROR(G1453/F1453,0)</f>
        <v>0.313432835820896</v>
      </c>
      <c r="Z1453" s="59" t="n">
        <f aca="false">IF(E1453&gt;0,F1453*1000000000/E1453,"")</f>
        <v>28.2490461203624</v>
      </c>
      <c r="AA1453" s="63" t="n">
        <f aca="false">IFERROR((R1453+S1453+J1453)/F1453,0)</f>
        <v>1</v>
      </c>
      <c r="AB1453" s="0" t="str">
        <f aca="false">A1453&amp;"|"&amp;D1453</f>
        <v>Niger|2020</v>
      </c>
    </row>
    <row r="1454" customFormat="false" ht="15" hidden="false" customHeight="false" outlineLevel="0" collapsed="false">
      <c r="A1454" s="0" t="s">
        <v>319</v>
      </c>
      <c r="B1454" s="0" t="s">
        <v>558</v>
      </c>
      <c r="C1454" s="0" t="s">
        <v>127</v>
      </c>
      <c r="D1454" s="0" t="n">
        <v>2021</v>
      </c>
      <c r="E1454" s="59" t="n">
        <v>24502145</v>
      </c>
      <c r="F1454" s="60" t="n">
        <v>0.71</v>
      </c>
      <c r="G1454" s="61" t="n">
        <v>0.19</v>
      </c>
      <c r="H1454" s="61" t="n">
        <v>0.05</v>
      </c>
      <c r="I1454" s="61" t="n">
        <v>0.45</v>
      </c>
      <c r="J1454" s="61" t="n">
        <v>0</v>
      </c>
      <c r="K1454" s="61" t="n">
        <v>0</v>
      </c>
      <c r="L1454" s="61" t="n">
        <v>0.02</v>
      </c>
      <c r="M1454" s="61" t="n">
        <v>0</v>
      </c>
      <c r="N1454" s="61" t="n">
        <v>0</v>
      </c>
      <c r="O1454" s="61" t="n">
        <v>0</v>
      </c>
      <c r="P1454" s="62" t="n">
        <v>690.1</v>
      </c>
      <c r="Q1454" s="0" t="n">
        <v>0</v>
      </c>
      <c r="R1454" s="60" t="n">
        <f aca="false">G1454+H1454+I1454</f>
        <v>0.69</v>
      </c>
      <c r="S1454" s="60" t="n">
        <f aca="false">K1454+L1454+M1454+N1454+O1454</f>
        <v>0.02</v>
      </c>
      <c r="T1454" s="60" t="n">
        <f aca="false">L1454+M1454</f>
        <v>0.02</v>
      </c>
      <c r="U1454" s="60" t="n">
        <f aca="false">S1454+J1454</f>
        <v>0.02</v>
      </c>
      <c r="V1454" s="63" t="n">
        <f aca="false">IFERROR(S1454/F1454,0)</f>
        <v>0.028169014084507</v>
      </c>
      <c r="W1454" s="63" t="n">
        <f aca="false">IFERROR(R1454/F1454,0)</f>
        <v>0.971830985915493</v>
      </c>
      <c r="X1454" s="63" t="n">
        <f aca="false">IFERROR(T1454/F1454,0)</f>
        <v>0.028169014084507</v>
      </c>
      <c r="Y1454" s="63" t="n">
        <f aca="false">IFERROR(G1454/F1454,0)</f>
        <v>0.267605633802817</v>
      </c>
      <c r="Z1454" s="59" t="n">
        <f aca="false">IF(E1454&gt;0,F1454*1000000000/E1454,"")</f>
        <v>28.9770548660128</v>
      </c>
      <c r="AA1454" s="63" t="n">
        <f aca="false">IFERROR((R1454+S1454+J1454)/F1454,0)</f>
        <v>1</v>
      </c>
      <c r="AB1454" s="0" t="str">
        <f aca="false">A1454&amp;"|"&amp;D1454</f>
        <v>Niger|2021</v>
      </c>
    </row>
    <row r="1455" customFormat="false" ht="15" hidden="false" customHeight="false" outlineLevel="0" collapsed="false">
      <c r="A1455" s="0" t="s">
        <v>319</v>
      </c>
      <c r="B1455" s="0" t="s">
        <v>558</v>
      </c>
      <c r="C1455" s="0" t="s">
        <v>127</v>
      </c>
      <c r="D1455" s="0" t="n">
        <v>2022</v>
      </c>
      <c r="E1455" s="59" t="n">
        <v>25311978</v>
      </c>
      <c r="F1455" s="60" t="n">
        <v>0.79</v>
      </c>
      <c r="G1455" s="61" t="n">
        <v>0.18</v>
      </c>
      <c r="H1455" s="61" t="n">
        <v>0.05</v>
      </c>
      <c r="I1455" s="61" t="n">
        <v>0.54</v>
      </c>
      <c r="J1455" s="61" t="n">
        <v>0</v>
      </c>
      <c r="K1455" s="61" t="n">
        <v>0</v>
      </c>
      <c r="L1455" s="61" t="n">
        <v>0.02</v>
      </c>
      <c r="M1455" s="61" t="n">
        <v>0</v>
      </c>
      <c r="N1455" s="61" t="n">
        <v>0</v>
      </c>
      <c r="O1455" s="61" t="n">
        <v>0</v>
      </c>
      <c r="P1455" s="62" t="n">
        <v>683.5</v>
      </c>
      <c r="Q1455" s="0" t="n">
        <v>0</v>
      </c>
      <c r="R1455" s="60" t="n">
        <f aca="false">G1455+H1455+I1455</f>
        <v>0.77</v>
      </c>
      <c r="S1455" s="60" t="n">
        <f aca="false">K1455+L1455+M1455+N1455+O1455</f>
        <v>0.02</v>
      </c>
      <c r="T1455" s="60" t="n">
        <f aca="false">L1455+M1455</f>
        <v>0.02</v>
      </c>
      <c r="U1455" s="60" t="n">
        <f aca="false">S1455+J1455</f>
        <v>0.02</v>
      </c>
      <c r="V1455" s="63" t="n">
        <f aca="false">IFERROR(S1455/F1455,0)</f>
        <v>0.0253164556962025</v>
      </c>
      <c r="W1455" s="63" t="n">
        <f aca="false">IFERROR(R1455/F1455,0)</f>
        <v>0.974683544303797</v>
      </c>
      <c r="X1455" s="63" t="n">
        <f aca="false">IFERROR(T1455/F1455,0)</f>
        <v>0.0253164556962025</v>
      </c>
      <c r="Y1455" s="63" t="n">
        <f aca="false">IFERROR(G1455/F1455,0)</f>
        <v>0.227848101265823</v>
      </c>
      <c r="Z1455" s="59" t="n">
        <f aca="false">IF(E1455&gt;0,F1455*1000000000/E1455,"")</f>
        <v>31.2105201734926</v>
      </c>
      <c r="AA1455" s="63" t="n">
        <f aca="false">IFERROR((R1455+S1455+J1455)/F1455,0)</f>
        <v>1</v>
      </c>
      <c r="AB1455" s="0" t="str">
        <f aca="false">A1455&amp;"|"&amp;D1455</f>
        <v>Niger|2022</v>
      </c>
    </row>
    <row r="1456" customFormat="false" ht="15" hidden="false" customHeight="false" outlineLevel="0" collapsed="false">
      <c r="A1456" s="0" t="s">
        <v>319</v>
      </c>
      <c r="B1456" s="0" t="s">
        <v>558</v>
      </c>
      <c r="C1456" s="0" t="s">
        <v>127</v>
      </c>
      <c r="D1456" s="0" t="n">
        <v>2023</v>
      </c>
      <c r="E1456" s="59" t="n">
        <v>26159863</v>
      </c>
      <c r="F1456" s="60" t="n">
        <v>0.97</v>
      </c>
      <c r="G1456" s="61" t="n">
        <v>0.17</v>
      </c>
      <c r="H1456" s="61" t="n">
        <v>0.05</v>
      </c>
      <c r="I1456" s="61" t="n">
        <v>0.73</v>
      </c>
      <c r="J1456" s="61" t="n">
        <v>0</v>
      </c>
      <c r="K1456" s="61" t="n">
        <v>0</v>
      </c>
      <c r="L1456" s="61" t="n">
        <v>0.02</v>
      </c>
      <c r="M1456" s="61" t="n">
        <v>0</v>
      </c>
      <c r="N1456" s="61" t="n">
        <v>0</v>
      </c>
      <c r="O1456" s="61" t="n">
        <v>0</v>
      </c>
      <c r="P1456" s="62" t="n">
        <v>680.4</v>
      </c>
      <c r="Q1456" s="0" t="n">
        <v>0</v>
      </c>
      <c r="R1456" s="60" t="n">
        <f aca="false">G1456+H1456+I1456</f>
        <v>0.95</v>
      </c>
      <c r="S1456" s="60" t="n">
        <f aca="false">K1456+L1456+M1456+N1456+O1456</f>
        <v>0.02</v>
      </c>
      <c r="T1456" s="60" t="n">
        <f aca="false">L1456+M1456</f>
        <v>0.02</v>
      </c>
      <c r="U1456" s="60" t="n">
        <f aca="false">S1456+J1456</f>
        <v>0.02</v>
      </c>
      <c r="V1456" s="63" t="n">
        <f aca="false">IFERROR(S1456/F1456,0)</f>
        <v>0.0206185567010309</v>
      </c>
      <c r="W1456" s="63" t="n">
        <f aca="false">IFERROR(R1456/F1456,0)</f>
        <v>0.979381443298969</v>
      </c>
      <c r="X1456" s="63" t="n">
        <f aca="false">IFERROR(T1456/F1456,0)</f>
        <v>0.0206185567010309</v>
      </c>
      <c r="Y1456" s="63" t="n">
        <f aca="false">IFERROR(G1456/F1456,0)</f>
        <v>0.175257731958763</v>
      </c>
      <c r="Z1456" s="59" t="n">
        <f aca="false">IF(E1456&gt;0,F1456*1000000000/E1456,"")</f>
        <v>37.0797048898918</v>
      </c>
      <c r="AA1456" s="63" t="n">
        <f aca="false">IFERROR((R1456+S1456+J1456)/F1456,0)</f>
        <v>1</v>
      </c>
      <c r="AB1456" s="0" t="str">
        <f aca="false">A1456&amp;"|"&amp;D1456</f>
        <v>Niger|2023</v>
      </c>
    </row>
    <row r="1457" customFormat="false" ht="15" hidden="false" customHeight="false" outlineLevel="0" collapsed="false">
      <c r="A1457" s="0" t="s">
        <v>319</v>
      </c>
      <c r="B1457" s="0" t="s">
        <v>558</v>
      </c>
      <c r="C1457" s="0" t="s">
        <v>127</v>
      </c>
      <c r="D1457" s="0" t="n">
        <v>2024</v>
      </c>
      <c r="E1457" s="59" t="n">
        <v>27032417</v>
      </c>
      <c r="F1457" s="60" t="n">
        <v>0.95</v>
      </c>
      <c r="G1457" s="61" t="n">
        <v>0.17</v>
      </c>
      <c r="H1457" s="61" t="n">
        <v>0.05</v>
      </c>
      <c r="I1457" s="61" t="n">
        <v>0.7</v>
      </c>
      <c r="J1457" s="61" t="n">
        <v>0</v>
      </c>
      <c r="K1457" s="61" t="n">
        <v>0</v>
      </c>
      <c r="L1457" s="61" t="n">
        <v>0.03</v>
      </c>
      <c r="M1457" s="61" t="n">
        <v>0</v>
      </c>
      <c r="N1457" s="61" t="n">
        <v>0</v>
      </c>
      <c r="O1457" s="61" t="n">
        <v>0</v>
      </c>
      <c r="P1457" s="62" t="n">
        <v>673.7</v>
      </c>
      <c r="Q1457" s="0" t="n">
        <v>0</v>
      </c>
      <c r="R1457" s="60" t="n">
        <f aca="false">G1457+H1457+I1457</f>
        <v>0.92</v>
      </c>
      <c r="S1457" s="60" t="n">
        <f aca="false">K1457+L1457+M1457+N1457+O1457</f>
        <v>0.03</v>
      </c>
      <c r="T1457" s="60" t="n">
        <f aca="false">L1457+M1457</f>
        <v>0.03</v>
      </c>
      <c r="U1457" s="60" t="n">
        <f aca="false">S1457+J1457</f>
        <v>0.03</v>
      </c>
      <c r="V1457" s="63" t="n">
        <f aca="false">IFERROR(S1457/F1457,0)</f>
        <v>0.0315789473684211</v>
      </c>
      <c r="W1457" s="63" t="n">
        <f aca="false">IFERROR(R1457/F1457,0)</f>
        <v>0.968421052631579</v>
      </c>
      <c r="X1457" s="63" t="n">
        <f aca="false">IFERROR(T1457/F1457,0)</f>
        <v>0.0315789473684211</v>
      </c>
      <c r="Y1457" s="63" t="n">
        <f aca="false">IFERROR(G1457/F1457,0)</f>
        <v>0.178947368421053</v>
      </c>
      <c r="Z1457" s="59" t="n">
        <f aca="false">IF(E1457&gt;0,F1457*1000000000/E1457,"")</f>
        <v>35.1429914683545</v>
      </c>
      <c r="AA1457" s="63" t="n">
        <f aca="false">IFERROR((R1457+S1457+J1457)/F1457,0)</f>
        <v>1</v>
      </c>
      <c r="AB1457" s="0" t="str">
        <f aca="false">A1457&amp;"|"&amp;D1457</f>
        <v>Niger|2024</v>
      </c>
    </row>
    <row r="1458" customFormat="false" ht="15" hidden="false" customHeight="false" outlineLevel="0" collapsed="false">
      <c r="A1458" s="0" t="s">
        <v>320</v>
      </c>
      <c r="B1458" s="0" t="s">
        <v>559</v>
      </c>
      <c r="C1458" s="0" t="s">
        <v>127</v>
      </c>
      <c r="D1458" s="0" t="n">
        <v>2015</v>
      </c>
      <c r="E1458" s="59" t="n">
        <v>190671883</v>
      </c>
      <c r="F1458" s="60" t="n">
        <v>33.17</v>
      </c>
      <c r="G1458" s="61" t="n">
        <v>0</v>
      </c>
      <c r="H1458" s="61" t="n">
        <v>26.7</v>
      </c>
      <c r="I1458" s="61" t="n">
        <v>0</v>
      </c>
      <c r="J1458" s="61" t="n">
        <v>0</v>
      </c>
      <c r="K1458" s="61" t="n">
        <v>6.42</v>
      </c>
      <c r="L1458" s="61" t="n">
        <v>0.03</v>
      </c>
      <c r="M1458" s="61" t="n">
        <v>0</v>
      </c>
      <c r="N1458" s="61" t="n">
        <v>0.02</v>
      </c>
      <c r="O1458" s="61" t="n">
        <v>0</v>
      </c>
      <c r="P1458" s="62" t="n">
        <v>529.7</v>
      </c>
      <c r="Q1458" s="0" t="n">
        <v>0</v>
      </c>
      <c r="R1458" s="60" t="n">
        <f aca="false">G1458+H1458+I1458</f>
        <v>26.7</v>
      </c>
      <c r="S1458" s="60" t="n">
        <f aca="false">K1458+L1458+M1458+N1458+O1458</f>
        <v>6.47</v>
      </c>
      <c r="T1458" s="60" t="n">
        <f aca="false">L1458+M1458</f>
        <v>0.03</v>
      </c>
      <c r="U1458" s="60" t="n">
        <f aca="false">S1458+J1458</f>
        <v>6.47</v>
      </c>
      <c r="V1458" s="63" t="n">
        <f aca="false">IFERROR(S1458/F1458,0)</f>
        <v>0.195055773289117</v>
      </c>
      <c r="W1458" s="63" t="n">
        <f aca="false">IFERROR(R1458/F1458,0)</f>
        <v>0.804944226710883</v>
      </c>
      <c r="X1458" s="63" t="n">
        <f aca="false">IFERROR(T1458/F1458,0)</f>
        <v>0.000904431715405487</v>
      </c>
      <c r="Y1458" s="63" t="n">
        <f aca="false">IFERROR(G1458/F1458,0)</f>
        <v>0</v>
      </c>
      <c r="Z1458" s="59" t="n">
        <f aca="false">IF(E1458&gt;0,F1458*1000000000/E1458,"")</f>
        <v>173.963772099529</v>
      </c>
      <c r="AA1458" s="63" t="n">
        <f aca="false">IFERROR((R1458+S1458+J1458)/F1458,0)</f>
        <v>1</v>
      </c>
      <c r="AB1458" s="0" t="str">
        <f aca="false">A1458&amp;"|"&amp;D1458</f>
        <v>Nigeria|2015</v>
      </c>
    </row>
    <row r="1459" customFormat="false" ht="15" hidden="false" customHeight="false" outlineLevel="0" collapsed="false">
      <c r="A1459" s="0" t="s">
        <v>320</v>
      </c>
      <c r="B1459" s="0" t="s">
        <v>559</v>
      </c>
      <c r="C1459" s="0" t="s">
        <v>127</v>
      </c>
      <c r="D1459" s="0" t="n">
        <v>2016</v>
      </c>
      <c r="E1459" s="59" t="n">
        <v>195443698</v>
      </c>
      <c r="F1459" s="60" t="n">
        <v>36.54</v>
      </c>
      <c r="G1459" s="61" t="n">
        <v>0</v>
      </c>
      <c r="H1459" s="61" t="n">
        <v>28.33</v>
      </c>
      <c r="I1459" s="61" t="n">
        <v>0</v>
      </c>
      <c r="J1459" s="61" t="n">
        <v>0</v>
      </c>
      <c r="K1459" s="61" t="n">
        <v>8.15</v>
      </c>
      <c r="L1459" s="61" t="n">
        <v>0.03</v>
      </c>
      <c r="M1459" s="61" t="n">
        <v>0</v>
      </c>
      <c r="N1459" s="61" t="n">
        <v>0.03</v>
      </c>
      <c r="O1459" s="61" t="n">
        <v>0</v>
      </c>
      <c r="P1459" s="62" t="n">
        <v>511.2</v>
      </c>
      <c r="Q1459" s="0" t="n">
        <v>0</v>
      </c>
      <c r="R1459" s="60" t="n">
        <f aca="false">G1459+H1459+I1459</f>
        <v>28.33</v>
      </c>
      <c r="S1459" s="60" t="n">
        <f aca="false">K1459+L1459+M1459+N1459+O1459</f>
        <v>8.21</v>
      </c>
      <c r="T1459" s="60" t="n">
        <f aca="false">L1459+M1459</f>
        <v>0.03</v>
      </c>
      <c r="U1459" s="60" t="n">
        <f aca="false">S1459+J1459</f>
        <v>8.21</v>
      </c>
      <c r="V1459" s="63" t="n">
        <f aca="false">IFERROR(S1459/F1459,0)</f>
        <v>0.224685276409414</v>
      </c>
      <c r="W1459" s="63" t="n">
        <f aca="false">IFERROR(R1459/F1459,0)</f>
        <v>0.775314723590586</v>
      </c>
      <c r="X1459" s="63" t="n">
        <f aca="false">IFERROR(T1459/F1459,0)</f>
        <v>0.000821018062397373</v>
      </c>
      <c r="Y1459" s="63" t="n">
        <f aca="false">IFERROR(G1459/F1459,0)</f>
        <v>0</v>
      </c>
      <c r="Z1459" s="59" t="n">
        <f aca="false">IF(E1459&gt;0,F1459*1000000000/E1459,"")</f>
        <v>186.959213184761</v>
      </c>
      <c r="AA1459" s="63" t="n">
        <f aca="false">IFERROR((R1459+S1459+J1459)/F1459,0)</f>
        <v>1</v>
      </c>
      <c r="AB1459" s="0" t="str">
        <f aca="false">A1459&amp;"|"&amp;D1459</f>
        <v>Nigeria|2016</v>
      </c>
    </row>
    <row r="1460" customFormat="false" ht="15" hidden="false" customHeight="false" outlineLevel="0" collapsed="false">
      <c r="A1460" s="0" t="s">
        <v>320</v>
      </c>
      <c r="B1460" s="0" t="s">
        <v>559</v>
      </c>
      <c r="C1460" s="0" t="s">
        <v>127</v>
      </c>
      <c r="D1460" s="0" t="n">
        <v>2017</v>
      </c>
      <c r="E1460" s="59" t="n">
        <v>200254580</v>
      </c>
      <c r="F1460" s="60" t="n">
        <v>32.24</v>
      </c>
      <c r="G1460" s="61" t="n">
        <v>0</v>
      </c>
      <c r="H1460" s="61" t="n">
        <v>24.44</v>
      </c>
      <c r="I1460" s="61" t="n">
        <v>0</v>
      </c>
      <c r="J1460" s="61" t="n">
        <v>0</v>
      </c>
      <c r="K1460" s="61" t="n">
        <v>7.75</v>
      </c>
      <c r="L1460" s="61" t="n">
        <v>0.03</v>
      </c>
      <c r="M1460" s="61" t="n">
        <v>0</v>
      </c>
      <c r="N1460" s="61" t="n">
        <v>0.02</v>
      </c>
      <c r="O1460" s="61" t="n">
        <v>0</v>
      </c>
      <c r="P1460" s="62" t="n">
        <v>500</v>
      </c>
      <c r="Q1460" s="0" t="n">
        <v>0</v>
      </c>
      <c r="R1460" s="60" t="n">
        <f aca="false">G1460+H1460+I1460</f>
        <v>24.44</v>
      </c>
      <c r="S1460" s="60" t="n">
        <f aca="false">K1460+L1460+M1460+N1460+O1460</f>
        <v>7.8</v>
      </c>
      <c r="T1460" s="60" t="n">
        <f aca="false">L1460+M1460</f>
        <v>0.03</v>
      </c>
      <c r="U1460" s="60" t="n">
        <f aca="false">S1460+J1460</f>
        <v>7.8</v>
      </c>
      <c r="V1460" s="63" t="n">
        <f aca="false">IFERROR(S1460/F1460,0)</f>
        <v>0.241935483870968</v>
      </c>
      <c r="W1460" s="63" t="n">
        <f aca="false">IFERROR(R1460/F1460,0)</f>
        <v>0.758064516129032</v>
      </c>
      <c r="X1460" s="63" t="n">
        <f aca="false">IFERROR(T1460/F1460,0)</f>
        <v>0.000930521091811414</v>
      </c>
      <c r="Y1460" s="63" t="n">
        <f aca="false">IFERROR(G1460/F1460,0)</f>
        <v>0</v>
      </c>
      <c r="Z1460" s="59" t="n">
        <f aca="false">IF(E1460&gt;0,F1460*1000000000/E1460,"")</f>
        <v>160.995069376191</v>
      </c>
      <c r="AA1460" s="63" t="n">
        <f aca="false">IFERROR((R1460+S1460+J1460)/F1460,0)</f>
        <v>1</v>
      </c>
      <c r="AB1460" s="0" t="str">
        <f aca="false">A1460&amp;"|"&amp;D1460</f>
        <v>Nigeria|2017</v>
      </c>
    </row>
    <row r="1461" customFormat="false" ht="15" hidden="false" customHeight="false" outlineLevel="0" collapsed="false">
      <c r="A1461" s="0" t="s">
        <v>320</v>
      </c>
      <c r="B1461" s="0" t="s">
        <v>559</v>
      </c>
      <c r="C1461" s="0" t="s">
        <v>127</v>
      </c>
      <c r="D1461" s="0" t="n">
        <v>2018</v>
      </c>
      <c r="E1461" s="59" t="n">
        <v>204938752</v>
      </c>
      <c r="F1461" s="60" t="n">
        <v>36.71</v>
      </c>
      <c r="G1461" s="61" t="n">
        <v>0</v>
      </c>
      <c r="H1461" s="61" t="n">
        <v>28.94</v>
      </c>
      <c r="I1461" s="61" t="n">
        <v>0</v>
      </c>
      <c r="J1461" s="61" t="n">
        <v>0</v>
      </c>
      <c r="K1461" s="61" t="n">
        <v>7.7</v>
      </c>
      <c r="L1461" s="61" t="n">
        <v>0.04</v>
      </c>
      <c r="M1461" s="61" t="n">
        <v>0</v>
      </c>
      <c r="N1461" s="61" t="n">
        <v>0.03</v>
      </c>
      <c r="O1461" s="61" t="n">
        <v>0</v>
      </c>
      <c r="P1461" s="62" t="n">
        <v>519.5</v>
      </c>
      <c r="Q1461" s="0" t="n">
        <v>0</v>
      </c>
      <c r="R1461" s="60" t="n">
        <f aca="false">G1461+H1461+I1461</f>
        <v>28.94</v>
      </c>
      <c r="S1461" s="60" t="n">
        <f aca="false">K1461+L1461+M1461+N1461+O1461</f>
        <v>7.77</v>
      </c>
      <c r="T1461" s="60" t="n">
        <f aca="false">L1461+M1461</f>
        <v>0.04</v>
      </c>
      <c r="U1461" s="60" t="n">
        <f aca="false">S1461+J1461</f>
        <v>7.77</v>
      </c>
      <c r="V1461" s="63" t="n">
        <f aca="false">IFERROR(S1461/F1461,0)</f>
        <v>0.211658948515391</v>
      </c>
      <c r="W1461" s="63" t="n">
        <f aca="false">IFERROR(R1461/F1461,0)</f>
        <v>0.788341051484609</v>
      </c>
      <c r="X1461" s="63" t="n">
        <f aca="false">IFERROR(T1461/F1461,0)</f>
        <v>0.00108962135657859</v>
      </c>
      <c r="Y1461" s="63" t="n">
        <f aca="false">IFERROR(G1461/F1461,0)</f>
        <v>0</v>
      </c>
      <c r="Z1461" s="59" t="n">
        <f aca="false">IF(E1461&gt;0,F1461*1000000000/E1461,"")</f>
        <v>179.126688543512</v>
      </c>
      <c r="AA1461" s="63" t="n">
        <f aca="false">IFERROR((R1461+S1461+J1461)/F1461,0)</f>
        <v>1</v>
      </c>
      <c r="AB1461" s="0" t="str">
        <f aca="false">A1461&amp;"|"&amp;D1461</f>
        <v>Nigeria|2018</v>
      </c>
    </row>
    <row r="1462" customFormat="false" ht="15" hidden="false" customHeight="false" outlineLevel="0" collapsed="false">
      <c r="A1462" s="0" t="s">
        <v>320</v>
      </c>
      <c r="B1462" s="0" t="s">
        <v>559</v>
      </c>
      <c r="C1462" s="0" t="s">
        <v>127</v>
      </c>
      <c r="D1462" s="0" t="n">
        <v>2019</v>
      </c>
      <c r="E1462" s="59" t="n">
        <v>209485637</v>
      </c>
      <c r="F1462" s="60" t="n">
        <v>36.46</v>
      </c>
      <c r="G1462" s="61" t="n">
        <v>0</v>
      </c>
      <c r="H1462" s="61" t="n">
        <v>27.95</v>
      </c>
      <c r="I1462" s="61" t="n">
        <v>0</v>
      </c>
      <c r="J1462" s="61" t="n">
        <v>0</v>
      </c>
      <c r="K1462" s="61" t="n">
        <v>8.43</v>
      </c>
      <c r="L1462" s="61" t="n">
        <v>0.05</v>
      </c>
      <c r="M1462" s="61" t="n">
        <v>0</v>
      </c>
      <c r="N1462" s="61" t="n">
        <v>0.03</v>
      </c>
      <c r="O1462" s="61" t="n">
        <v>0</v>
      </c>
      <c r="P1462" s="62" t="n">
        <v>505.8</v>
      </c>
      <c r="Q1462" s="0" t="n">
        <v>0</v>
      </c>
      <c r="R1462" s="60" t="n">
        <f aca="false">G1462+H1462+I1462</f>
        <v>27.95</v>
      </c>
      <c r="S1462" s="60" t="n">
        <f aca="false">K1462+L1462+M1462+N1462+O1462</f>
        <v>8.51</v>
      </c>
      <c r="T1462" s="60" t="n">
        <f aca="false">L1462+M1462</f>
        <v>0.05</v>
      </c>
      <c r="U1462" s="60" t="n">
        <f aca="false">S1462+J1462</f>
        <v>8.51</v>
      </c>
      <c r="V1462" s="63" t="n">
        <f aca="false">IFERROR(S1462/F1462,0)</f>
        <v>0.233406472846956</v>
      </c>
      <c r="W1462" s="63" t="n">
        <f aca="false">IFERROR(R1462/F1462,0)</f>
        <v>0.766593527153044</v>
      </c>
      <c r="X1462" s="63" t="n">
        <f aca="false">IFERROR(T1462/F1462,0)</f>
        <v>0.0013713658804169</v>
      </c>
      <c r="Y1462" s="63" t="n">
        <f aca="false">IFERROR(G1462/F1462,0)</f>
        <v>0</v>
      </c>
      <c r="Z1462" s="59" t="n">
        <f aca="false">IF(E1462&gt;0,F1462*1000000000/E1462,"")</f>
        <v>174.045345170848</v>
      </c>
      <c r="AA1462" s="63" t="n">
        <f aca="false">IFERROR((R1462+S1462+J1462)/F1462,0)</f>
        <v>1</v>
      </c>
      <c r="AB1462" s="0" t="str">
        <f aca="false">A1462&amp;"|"&amp;D1462</f>
        <v>Nigeria|2019</v>
      </c>
    </row>
    <row r="1463" customFormat="false" ht="15" hidden="false" customHeight="false" outlineLevel="0" collapsed="false">
      <c r="A1463" s="0" t="s">
        <v>320</v>
      </c>
      <c r="B1463" s="0" t="s">
        <v>559</v>
      </c>
      <c r="C1463" s="0" t="s">
        <v>127</v>
      </c>
      <c r="D1463" s="0" t="n">
        <v>2020</v>
      </c>
      <c r="E1463" s="59" t="n">
        <v>213996185</v>
      </c>
      <c r="F1463" s="60" t="n">
        <v>38</v>
      </c>
      <c r="G1463" s="61" t="n">
        <v>0</v>
      </c>
      <c r="H1463" s="61" t="n">
        <v>30.19</v>
      </c>
      <c r="I1463" s="61" t="n">
        <v>0</v>
      </c>
      <c r="J1463" s="61" t="n">
        <v>0</v>
      </c>
      <c r="K1463" s="61" t="n">
        <v>7.69</v>
      </c>
      <c r="L1463" s="61" t="n">
        <v>0.08</v>
      </c>
      <c r="M1463" s="61" t="n">
        <v>0</v>
      </c>
      <c r="N1463" s="61" t="n">
        <v>0.04</v>
      </c>
      <c r="O1463" s="61" t="n">
        <v>0</v>
      </c>
      <c r="P1463" s="62" t="n">
        <v>523.4</v>
      </c>
      <c r="Q1463" s="0" t="n">
        <v>0</v>
      </c>
      <c r="R1463" s="60" t="n">
        <f aca="false">G1463+H1463+I1463</f>
        <v>30.19</v>
      </c>
      <c r="S1463" s="60" t="n">
        <f aca="false">K1463+L1463+M1463+N1463+O1463</f>
        <v>7.81</v>
      </c>
      <c r="T1463" s="60" t="n">
        <f aca="false">L1463+M1463</f>
        <v>0.08</v>
      </c>
      <c r="U1463" s="60" t="n">
        <f aca="false">S1463+J1463</f>
        <v>7.81</v>
      </c>
      <c r="V1463" s="63" t="n">
        <f aca="false">IFERROR(S1463/F1463,0)</f>
        <v>0.205526315789474</v>
      </c>
      <c r="W1463" s="63" t="n">
        <f aca="false">IFERROR(R1463/F1463,0)</f>
        <v>0.794473684210526</v>
      </c>
      <c r="X1463" s="63" t="n">
        <f aca="false">IFERROR(T1463/F1463,0)</f>
        <v>0.00210526315789474</v>
      </c>
      <c r="Y1463" s="63" t="n">
        <f aca="false">IFERROR(G1463/F1463,0)</f>
        <v>0</v>
      </c>
      <c r="Z1463" s="59" t="n">
        <f aca="false">IF(E1463&gt;0,F1463*1000000000/E1463,"")</f>
        <v>177.573259074689</v>
      </c>
      <c r="AA1463" s="63" t="n">
        <f aca="false">IFERROR((R1463+S1463+J1463)/F1463,0)</f>
        <v>1</v>
      </c>
      <c r="AB1463" s="0" t="str">
        <f aca="false">A1463&amp;"|"&amp;D1463</f>
        <v>Nigeria|2020</v>
      </c>
    </row>
    <row r="1464" customFormat="false" ht="15" hidden="false" customHeight="false" outlineLevel="0" collapsed="false">
      <c r="A1464" s="0" t="s">
        <v>320</v>
      </c>
      <c r="B1464" s="0" t="s">
        <v>559</v>
      </c>
      <c r="C1464" s="0" t="s">
        <v>127</v>
      </c>
      <c r="D1464" s="0" t="n">
        <v>2021</v>
      </c>
      <c r="E1464" s="59" t="n">
        <v>218529286</v>
      </c>
      <c r="F1464" s="60" t="n">
        <v>39.2</v>
      </c>
      <c r="G1464" s="61" t="n">
        <v>0</v>
      </c>
      <c r="H1464" s="61" t="n">
        <v>31.1</v>
      </c>
      <c r="I1464" s="61" t="n">
        <v>0</v>
      </c>
      <c r="J1464" s="61" t="n">
        <v>0</v>
      </c>
      <c r="K1464" s="61" t="n">
        <v>7.94</v>
      </c>
      <c r="L1464" s="61" t="n">
        <v>0.1</v>
      </c>
      <c r="M1464" s="61" t="n">
        <v>0</v>
      </c>
      <c r="N1464" s="61" t="n">
        <v>0.06</v>
      </c>
      <c r="O1464" s="61" t="n">
        <v>0</v>
      </c>
      <c r="P1464" s="62" t="n">
        <v>522.7</v>
      </c>
      <c r="Q1464" s="0" t="n">
        <v>0</v>
      </c>
      <c r="R1464" s="60" t="n">
        <f aca="false">G1464+H1464+I1464</f>
        <v>31.1</v>
      </c>
      <c r="S1464" s="60" t="n">
        <f aca="false">K1464+L1464+M1464+N1464+O1464</f>
        <v>8.1</v>
      </c>
      <c r="T1464" s="60" t="n">
        <f aca="false">L1464+M1464</f>
        <v>0.1</v>
      </c>
      <c r="U1464" s="60" t="n">
        <f aca="false">S1464+J1464</f>
        <v>8.1</v>
      </c>
      <c r="V1464" s="63" t="n">
        <f aca="false">IFERROR(S1464/F1464,0)</f>
        <v>0.206632653061225</v>
      </c>
      <c r="W1464" s="63" t="n">
        <f aca="false">IFERROR(R1464/F1464,0)</f>
        <v>0.793367346938776</v>
      </c>
      <c r="X1464" s="63" t="n">
        <f aca="false">IFERROR(T1464/F1464,0)</f>
        <v>0.00255102040816327</v>
      </c>
      <c r="Y1464" s="63" t="n">
        <f aca="false">IFERROR(G1464/F1464,0)</f>
        <v>0</v>
      </c>
      <c r="Z1464" s="59" t="n">
        <f aca="false">IF(E1464&gt;0,F1464*1000000000/E1464,"")</f>
        <v>179.380991525319</v>
      </c>
      <c r="AA1464" s="63" t="n">
        <f aca="false">IFERROR((R1464+S1464+J1464)/F1464,0)</f>
        <v>1</v>
      </c>
      <c r="AB1464" s="0" t="str">
        <f aca="false">A1464&amp;"|"&amp;D1464</f>
        <v>Nigeria|2021</v>
      </c>
    </row>
    <row r="1465" customFormat="false" ht="15" hidden="false" customHeight="false" outlineLevel="0" collapsed="false">
      <c r="A1465" s="0" t="s">
        <v>320</v>
      </c>
      <c r="B1465" s="0" t="s">
        <v>559</v>
      </c>
      <c r="C1465" s="0" t="s">
        <v>127</v>
      </c>
      <c r="D1465" s="0" t="n">
        <v>2022</v>
      </c>
      <c r="E1465" s="59" t="n">
        <v>223150906</v>
      </c>
      <c r="F1465" s="60" t="n">
        <v>38</v>
      </c>
      <c r="G1465" s="61" t="n">
        <v>0</v>
      </c>
      <c r="H1465" s="61" t="n">
        <v>28.61</v>
      </c>
      <c r="I1465" s="61" t="n">
        <v>0</v>
      </c>
      <c r="J1465" s="61" t="n">
        <v>0</v>
      </c>
      <c r="K1465" s="61" t="n">
        <v>9.23</v>
      </c>
      <c r="L1465" s="61" t="n">
        <v>0.1</v>
      </c>
      <c r="M1465" s="61" t="n">
        <v>0</v>
      </c>
      <c r="N1465" s="61" t="n">
        <v>0.06</v>
      </c>
      <c r="O1465" s="61" t="n">
        <v>0</v>
      </c>
      <c r="P1465" s="62" t="n">
        <v>497.4</v>
      </c>
      <c r="Q1465" s="0" t="n">
        <v>0</v>
      </c>
      <c r="R1465" s="60" t="n">
        <f aca="false">G1465+H1465+I1465</f>
        <v>28.61</v>
      </c>
      <c r="S1465" s="60" t="n">
        <f aca="false">K1465+L1465+M1465+N1465+O1465</f>
        <v>9.39</v>
      </c>
      <c r="T1465" s="60" t="n">
        <f aca="false">L1465+M1465</f>
        <v>0.1</v>
      </c>
      <c r="U1465" s="60" t="n">
        <f aca="false">S1465+J1465</f>
        <v>9.39</v>
      </c>
      <c r="V1465" s="63" t="n">
        <f aca="false">IFERROR(S1465/F1465,0)</f>
        <v>0.247105263157895</v>
      </c>
      <c r="W1465" s="63" t="n">
        <f aca="false">IFERROR(R1465/F1465,0)</f>
        <v>0.752894736842105</v>
      </c>
      <c r="X1465" s="63" t="n">
        <f aca="false">IFERROR(T1465/F1465,0)</f>
        <v>0.00263157894736842</v>
      </c>
      <c r="Y1465" s="63" t="n">
        <f aca="false">IFERROR(G1465/F1465,0)</f>
        <v>0</v>
      </c>
      <c r="Z1465" s="59" t="n">
        <f aca="false">IF(E1465&gt;0,F1465*1000000000/E1465,"")</f>
        <v>170.288351865352</v>
      </c>
      <c r="AA1465" s="63" t="n">
        <f aca="false">IFERROR((R1465+S1465+J1465)/F1465,0)</f>
        <v>1</v>
      </c>
      <c r="AB1465" s="0" t="str">
        <f aca="false">A1465&amp;"|"&amp;D1465</f>
        <v>Nigeria|2022</v>
      </c>
    </row>
    <row r="1466" customFormat="false" ht="15" hidden="false" customHeight="false" outlineLevel="0" collapsed="false">
      <c r="A1466" s="0" t="s">
        <v>320</v>
      </c>
      <c r="B1466" s="0" t="s">
        <v>559</v>
      </c>
      <c r="C1466" s="0" t="s">
        <v>127</v>
      </c>
      <c r="D1466" s="0" t="n">
        <v>2023</v>
      </c>
      <c r="E1466" s="59" t="n">
        <v>227882949</v>
      </c>
      <c r="F1466" s="60" t="n">
        <v>40.92</v>
      </c>
      <c r="G1466" s="61" t="n">
        <v>0</v>
      </c>
      <c r="H1466" s="61" t="n">
        <v>31.64</v>
      </c>
      <c r="I1466" s="61" t="n">
        <v>0</v>
      </c>
      <c r="J1466" s="61" t="n">
        <v>0</v>
      </c>
      <c r="K1466" s="61" t="n">
        <v>9.11</v>
      </c>
      <c r="L1466" s="61" t="n">
        <v>0.11</v>
      </c>
      <c r="M1466" s="61" t="n">
        <v>0</v>
      </c>
      <c r="N1466" s="61" t="n">
        <v>0.06</v>
      </c>
      <c r="O1466" s="61" t="n">
        <v>0</v>
      </c>
      <c r="P1466" s="62" t="n">
        <v>510.3</v>
      </c>
      <c r="Q1466" s="0" t="n">
        <v>0</v>
      </c>
      <c r="R1466" s="60" t="n">
        <f aca="false">G1466+H1466+I1466</f>
        <v>31.64</v>
      </c>
      <c r="S1466" s="60" t="n">
        <f aca="false">K1466+L1466+M1466+N1466+O1466</f>
        <v>9.28</v>
      </c>
      <c r="T1466" s="60" t="n">
        <f aca="false">L1466+M1466</f>
        <v>0.11</v>
      </c>
      <c r="U1466" s="60" t="n">
        <f aca="false">S1466+J1466</f>
        <v>9.28</v>
      </c>
      <c r="V1466" s="63" t="n">
        <f aca="false">IFERROR(S1466/F1466,0)</f>
        <v>0.226783968719453</v>
      </c>
      <c r="W1466" s="63" t="n">
        <f aca="false">IFERROR(R1466/F1466,0)</f>
        <v>0.773216031280547</v>
      </c>
      <c r="X1466" s="63" t="n">
        <f aca="false">IFERROR(T1466/F1466,0)</f>
        <v>0.00268817204301075</v>
      </c>
      <c r="Y1466" s="63" t="n">
        <f aca="false">IFERROR(G1466/F1466,0)</f>
        <v>0</v>
      </c>
      <c r="Z1466" s="59" t="n">
        <f aca="false">IF(E1466&gt;0,F1466*1000000000/E1466,"")</f>
        <v>179.565870020402</v>
      </c>
      <c r="AA1466" s="63" t="n">
        <f aca="false">IFERROR((R1466+S1466+J1466)/F1466,0)</f>
        <v>1</v>
      </c>
      <c r="AB1466" s="0" t="str">
        <f aca="false">A1466&amp;"|"&amp;D1466</f>
        <v>Nigeria|2023</v>
      </c>
    </row>
    <row r="1467" customFormat="false" ht="15" hidden="false" customHeight="false" outlineLevel="0" collapsed="false">
      <c r="A1467" s="0" t="s">
        <v>320</v>
      </c>
      <c r="B1467" s="0" t="s">
        <v>559</v>
      </c>
      <c r="C1467" s="0" t="s">
        <v>127</v>
      </c>
      <c r="D1467" s="0" t="n">
        <v>2024</v>
      </c>
      <c r="E1467" s="59" t="n">
        <v>232679482</v>
      </c>
      <c r="F1467" s="60" t="n">
        <v>37.56</v>
      </c>
      <c r="G1467" s="61" t="n">
        <v>0</v>
      </c>
      <c r="H1467" s="61" t="n">
        <v>28.17</v>
      </c>
      <c r="I1467" s="61" t="n">
        <v>0</v>
      </c>
      <c r="J1467" s="61" t="n">
        <v>0</v>
      </c>
      <c r="K1467" s="61" t="n">
        <v>9.2</v>
      </c>
      <c r="L1467" s="61" t="n">
        <v>0.13</v>
      </c>
      <c r="M1467" s="61" t="n">
        <v>0</v>
      </c>
      <c r="N1467" s="61" t="n">
        <v>0.06</v>
      </c>
      <c r="O1467" s="61" t="n">
        <v>0</v>
      </c>
      <c r="P1467" s="62" t="n">
        <v>495.7</v>
      </c>
      <c r="Q1467" s="0" t="n">
        <v>0</v>
      </c>
      <c r="R1467" s="60" t="n">
        <f aca="false">G1467+H1467+I1467</f>
        <v>28.17</v>
      </c>
      <c r="S1467" s="60" t="n">
        <f aca="false">K1467+L1467+M1467+N1467+O1467</f>
        <v>9.39</v>
      </c>
      <c r="T1467" s="60" t="n">
        <f aca="false">L1467+M1467</f>
        <v>0.13</v>
      </c>
      <c r="U1467" s="60" t="n">
        <f aca="false">S1467+J1467</f>
        <v>9.39</v>
      </c>
      <c r="V1467" s="63" t="n">
        <f aca="false">IFERROR(S1467/F1467,0)</f>
        <v>0.25</v>
      </c>
      <c r="W1467" s="63" t="n">
        <f aca="false">IFERROR(R1467/F1467,0)</f>
        <v>0.75</v>
      </c>
      <c r="X1467" s="63" t="n">
        <f aca="false">IFERROR(T1467/F1467,0)</f>
        <v>0.00346112886048988</v>
      </c>
      <c r="Y1467" s="63" t="n">
        <f aca="false">IFERROR(G1467/F1467,0)</f>
        <v>0</v>
      </c>
      <c r="Z1467" s="59" t="n">
        <f aca="false">IF(E1467&gt;0,F1467*1000000000/E1467,"")</f>
        <v>161.423773498</v>
      </c>
      <c r="AA1467" s="63" t="n">
        <f aca="false">IFERROR((R1467+S1467+J1467)/F1467,0)</f>
        <v>1</v>
      </c>
      <c r="AB1467" s="0" t="str">
        <f aca="false">A1467&amp;"|"&amp;D1467</f>
        <v>Nigeria|2024</v>
      </c>
    </row>
    <row r="1468" customFormat="false" ht="15" hidden="false" customHeight="false" outlineLevel="0" collapsed="false">
      <c r="A1468" s="0" t="s">
        <v>320</v>
      </c>
      <c r="B1468" s="0" t="s">
        <v>559</v>
      </c>
      <c r="C1468" s="0" t="s">
        <v>127</v>
      </c>
      <c r="D1468" s="0" t="n">
        <v>2025</v>
      </c>
      <c r="E1468" s="59" t="n">
        <v>237527788</v>
      </c>
      <c r="F1468" s="60" t="n">
        <v>41.54</v>
      </c>
      <c r="G1468" s="61" t="n">
        <v>0</v>
      </c>
      <c r="H1468" s="61" t="n">
        <v>28.53</v>
      </c>
      <c r="I1468" s="61" t="n">
        <v>0</v>
      </c>
      <c r="J1468" s="61" t="n">
        <v>0</v>
      </c>
      <c r="K1468" s="61" t="n">
        <v>12.82</v>
      </c>
      <c r="L1468" s="61" t="n">
        <v>0.13</v>
      </c>
      <c r="M1468" s="61" t="n">
        <v>0</v>
      </c>
      <c r="N1468" s="61" t="n">
        <v>0.06</v>
      </c>
      <c r="O1468" s="61" t="n">
        <v>0</v>
      </c>
      <c r="P1468" s="62" t="n">
        <v>455.7</v>
      </c>
      <c r="Q1468" s="0" t="n">
        <v>0</v>
      </c>
      <c r="R1468" s="60" t="n">
        <f aca="false">G1468+H1468+I1468</f>
        <v>28.53</v>
      </c>
      <c r="S1468" s="60" t="n">
        <f aca="false">K1468+L1468+M1468+N1468+O1468</f>
        <v>13.01</v>
      </c>
      <c r="T1468" s="60" t="n">
        <f aca="false">L1468+M1468</f>
        <v>0.13</v>
      </c>
      <c r="U1468" s="60" t="n">
        <f aca="false">S1468+J1468</f>
        <v>13.01</v>
      </c>
      <c r="V1468" s="63" t="n">
        <f aca="false">IFERROR(S1468/F1468,0)</f>
        <v>0.313192103996148</v>
      </c>
      <c r="W1468" s="63" t="n">
        <f aca="false">IFERROR(R1468/F1468,0)</f>
        <v>0.686807896003852</v>
      </c>
      <c r="X1468" s="63" t="n">
        <f aca="false">IFERROR(T1468/F1468,0)</f>
        <v>0.00312951372171401</v>
      </c>
      <c r="Y1468" s="63" t="n">
        <f aca="false">IFERROR(G1468/F1468,0)</f>
        <v>0</v>
      </c>
      <c r="Z1468" s="59" t="n">
        <f aca="false">IF(E1468&gt;0,F1468*1000000000/E1468,"")</f>
        <v>174.884801267968</v>
      </c>
      <c r="AA1468" s="63" t="n">
        <f aca="false">IFERROR((R1468+S1468+J1468)/F1468,0)</f>
        <v>1</v>
      </c>
      <c r="AB1468" s="0" t="str">
        <f aca="false">A1468&amp;"|"&amp;D1468</f>
        <v>Nigeria|2025</v>
      </c>
    </row>
    <row r="1469" customFormat="false" ht="15" hidden="false" customHeight="false" outlineLevel="0" collapsed="false">
      <c r="A1469" s="0" t="s">
        <v>321</v>
      </c>
      <c r="B1469" s="0" t="s">
        <v>560</v>
      </c>
      <c r="C1469" s="0" t="s">
        <v>127</v>
      </c>
      <c r="D1469" s="0" t="n">
        <v>2015</v>
      </c>
      <c r="E1469" s="59" t="n">
        <v>25575355</v>
      </c>
      <c r="F1469" s="60" t="n">
        <v>18.93</v>
      </c>
      <c r="G1469" s="61" t="n">
        <v>8.19</v>
      </c>
      <c r="H1469" s="61" t="n">
        <v>0</v>
      </c>
      <c r="I1469" s="61" t="n">
        <v>0.81</v>
      </c>
      <c r="J1469" s="61" t="n">
        <v>0</v>
      </c>
      <c r="K1469" s="61" t="n">
        <v>9.9</v>
      </c>
      <c r="L1469" s="61" t="n">
        <v>0.03</v>
      </c>
      <c r="M1469" s="61" t="n">
        <v>0</v>
      </c>
      <c r="N1469" s="61" t="n">
        <v>0</v>
      </c>
      <c r="O1469" s="61" t="n">
        <v>0</v>
      </c>
      <c r="P1469" s="62" t="n">
        <v>433.2</v>
      </c>
      <c r="Q1469" s="0" t="n">
        <v>0</v>
      </c>
      <c r="R1469" s="60" t="n">
        <f aca="false">G1469+H1469+I1469</f>
        <v>9</v>
      </c>
      <c r="S1469" s="60" t="n">
        <f aca="false">K1469+L1469+M1469+N1469+O1469</f>
        <v>9.93</v>
      </c>
      <c r="T1469" s="60" t="n">
        <f aca="false">L1469+M1469</f>
        <v>0.03</v>
      </c>
      <c r="U1469" s="60" t="n">
        <f aca="false">S1469+J1469</f>
        <v>9.93</v>
      </c>
      <c r="V1469" s="63" t="n">
        <f aca="false">IFERROR(S1469/F1469,0)</f>
        <v>0.524564183835182</v>
      </c>
      <c r="W1469" s="63" t="n">
        <f aca="false">IFERROR(R1469/F1469,0)</f>
        <v>0.475435816164818</v>
      </c>
      <c r="X1469" s="63" t="n">
        <f aca="false">IFERROR(T1469/F1469,0)</f>
        <v>0.00158478605388273</v>
      </c>
      <c r="Y1469" s="63" t="n">
        <f aca="false">IFERROR(G1469/F1469,0)</f>
        <v>0.432646592709984</v>
      </c>
      <c r="Z1469" s="59" t="n">
        <f aca="false">IF(E1469&gt;0,F1469*1000000000/E1469,"")</f>
        <v>740.165679029675</v>
      </c>
      <c r="AA1469" s="63" t="n">
        <f aca="false">IFERROR((R1469+S1469+J1469)/F1469,0)</f>
        <v>1</v>
      </c>
      <c r="AB1469" s="0" t="str">
        <f aca="false">A1469&amp;"|"&amp;D1469</f>
        <v>North Korea|2015</v>
      </c>
    </row>
    <row r="1470" customFormat="false" ht="15" hidden="false" customHeight="false" outlineLevel="0" collapsed="false">
      <c r="A1470" s="0" t="s">
        <v>321</v>
      </c>
      <c r="B1470" s="0" t="s">
        <v>560</v>
      </c>
      <c r="C1470" s="0" t="s">
        <v>127</v>
      </c>
      <c r="D1470" s="0" t="n">
        <v>2016</v>
      </c>
      <c r="E1470" s="59" t="n">
        <v>25698325</v>
      </c>
      <c r="F1470" s="60" t="n">
        <v>23.81</v>
      </c>
      <c r="G1470" s="61" t="n">
        <v>10.16</v>
      </c>
      <c r="H1470" s="61" t="n">
        <v>0</v>
      </c>
      <c r="I1470" s="61" t="n">
        <v>0.94</v>
      </c>
      <c r="J1470" s="61" t="n">
        <v>0</v>
      </c>
      <c r="K1470" s="61" t="n">
        <v>12.67</v>
      </c>
      <c r="L1470" s="61" t="n">
        <v>0.04</v>
      </c>
      <c r="M1470" s="61" t="n">
        <v>0</v>
      </c>
      <c r="N1470" s="61" t="n">
        <v>0</v>
      </c>
      <c r="O1470" s="61" t="n">
        <v>0</v>
      </c>
      <c r="P1470" s="62" t="n">
        <v>425.9</v>
      </c>
      <c r="Q1470" s="0" t="n">
        <v>0</v>
      </c>
      <c r="R1470" s="60" t="n">
        <f aca="false">G1470+H1470+I1470</f>
        <v>11.1</v>
      </c>
      <c r="S1470" s="60" t="n">
        <f aca="false">K1470+L1470+M1470+N1470+O1470</f>
        <v>12.71</v>
      </c>
      <c r="T1470" s="60" t="n">
        <f aca="false">L1470+M1470</f>
        <v>0.04</v>
      </c>
      <c r="U1470" s="60" t="n">
        <f aca="false">S1470+J1470</f>
        <v>12.71</v>
      </c>
      <c r="V1470" s="63" t="n">
        <f aca="false">IFERROR(S1470/F1470,0)</f>
        <v>0.533809323813524</v>
      </c>
      <c r="W1470" s="63" t="n">
        <f aca="false">IFERROR(R1470/F1470,0)</f>
        <v>0.466190676186476</v>
      </c>
      <c r="X1470" s="63" t="n">
        <f aca="false">IFERROR(T1470/F1470,0)</f>
        <v>0.00167996640067199</v>
      </c>
      <c r="Y1470" s="63" t="n">
        <f aca="false">IFERROR(G1470/F1470,0)</f>
        <v>0.426711465770685</v>
      </c>
      <c r="Z1470" s="59" t="n">
        <f aca="false">IF(E1470&gt;0,F1470*1000000000/E1470,"")</f>
        <v>926.519529969366</v>
      </c>
      <c r="AA1470" s="63" t="n">
        <f aca="false">IFERROR((R1470+S1470+J1470)/F1470,0)</f>
        <v>1</v>
      </c>
      <c r="AB1470" s="0" t="str">
        <f aca="false">A1470&amp;"|"&amp;D1470</f>
        <v>North Korea|2016</v>
      </c>
    </row>
    <row r="1471" customFormat="false" ht="15" hidden="false" customHeight="false" outlineLevel="0" collapsed="false">
      <c r="A1471" s="0" t="s">
        <v>321</v>
      </c>
      <c r="B1471" s="0" t="s">
        <v>560</v>
      </c>
      <c r="C1471" s="0" t="s">
        <v>127</v>
      </c>
      <c r="D1471" s="0" t="n">
        <v>2017</v>
      </c>
      <c r="E1471" s="59" t="n">
        <v>25817710</v>
      </c>
      <c r="F1471" s="60" t="n">
        <v>23.43</v>
      </c>
      <c r="G1471" s="61" t="n">
        <v>10.82</v>
      </c>
      <c r="H1471" s="61" t="n">
        <v>0</v>
      </c>
      <c r="I1471" s="61" t="n">
        <v>0.78</v>
      </c>
      <c r="J1471" s="61" t="n">
        <v>0</v>
      </c>
      <c r="K1471" s="61" t="n">
        <v>11.78</v>
      </c>
      <c r="L1471" s="61" t="n">
        <v>0.05</v>
      </c>
      <c r="M1471" s="61" t="n">
        <v>0</v>
      </c>
      <c r="N1471" s="61" t="n">
        <v>0</v>
      </c>
      <c r="O1471" s="61" t="n">
        <v>0</v>
      </c>
      <c r="P1471" s="62" t="n">
        <v>452.8</v>
      </c>
      <c r="Q1471" s="0" t="n">
        <v>0</v>
      </c>
      <c r="R1471" s="60" t="n">
        <f aca="false">G1471+H1471+I1471</f>
        <v>11.6</v>
      </c>
      <c r="S1471" s="60" t="n">
        <f aca="false">K1471+L1471+M1471+N1471+O1471</f>
        <v>11.83</v>
      </c>
      <c r="T1471" s="60" t="n">
        <f aca="false">L1471+M1471</f>
        <v>0.05</v>
      </c>
      <c r="U1471" s="60" t="n">
        <f aca="false">S1471+J1471</f>
        <v>11.83</v>
      </c>
      <c r="V1471" s="63" t="n">
        <f aca="false">IFERROR(S1471/F1471,0)</f>
        <v>0.504908237302604</v>
      </c>
      <c r="W1471" s="63" t="n">
        <f aca="false">IFERROR(R1471/F1471,0)</f>
        <v>0.495091762697396</v>
      </c>
      <c r="X1471" s="63" t="n">
        <f aca="false">IFERROR(T1471/F1471,0)</f>
        <v>0.00213401621852326</v>
      </c>
      <c r="Y1471" s="63" t="n">
        <f aca="false">IFERROR(G1471/F1471,0)</f>
        <v>0.461801109688434</v>
      </c>
      <c r="Z1471" s="59" t="n">
        <f aca="false">IF(E1471&gt;0,F1471*1000000000/E1471,"")</f>
        <v>907.516584546034</v>
      </c>
      <c r="AA1471" s="63" t="n">
        <f aca="false">IFERROR((R1471+S1471+J1471)/F1471,0)</f>
        <v>1</v>
      </c>
      <c r="AB1471" s="0" t="str">
        <f aca="false">A1471&amp;"|"&amp;D1471</f>
        <v>North Korea|2017</v>
      </c>
    </row>
    <row r="1472" customFormat="false" ht="15" hidden="false" customHeight="false" outlineLevel="0" collapsed="false">
      <c r="A1472" s="0" t="s">
        <v>321</v>
      </c>
      <c r="B1472" s="0" t="s">
        <v>560</v>
      </c>
      <c r="C1472" s="0" t="s">
        <v>127</v>
      </c>
      <c r="D1472" s="0" t="n">
        <v>2018</v>
      </c>
      <c r="E1472" s="59" t="n">
        <v>25931153</v>
      </c>
      <c r="F1472" s="60" t="n">
        <v>24.83</v>
      </c>
      <c r="G1472" s="61" t="n">
        <v>11.33</v>
      </c>
      <c r="H1472" s="61" t="n">
        <v>0</v>
      </c>
      <c r="I1472" s="61" t="n">
        <v>0.77</v>
      </c>
      <c r="J1472" s="61" t="n">
        <v>0</v>
      </c>
      <c r="K1472" s="61" t="n">
        <v>12.67</v>
      </c>
      <c r="L1472" s="61" t="n">
        <v>0.06</v>
      </c>
      <c r="M1472" s="61" t="n">
        <v>0</v>
      </c>
      <c r="N1472" s="61" t="n">
        <v>0</v>
      </c>
      <c r="O1472" s="61" t="n">
        <v>0</v>
      </c>
      <c r="P1472" s="62" t="n">
        <v>446.2</v>
      </c>
      <c r="Q1472" s="0" t="n">
        <v>0</v>
      </c>
      <c r="R1472" s="60" t="n">
        <f aca="false">G1472+H1472+I1472</f>
        <v>12.1</v>
      </c>
      <c r="S1472" s="60" t="n">
        <f aca="false">K1472+L1472+M1472+N1472+O1472</f>
        <v>12.73</v>
      </c>
      <c r="T1472" s="60" t="n">
        <f aca="false">L1472+M1472</f>
        <v>0.06</v>
      </c>
      <c r="U1472" s="60" t="n">
        <f aca="false">S1472+J1472</f>
        <v>12.73</v>
      </c>
      <c r="V1472" s="63" t="n">
        <f aca="false">IFERROR(S1472/F1472,0)</f>
        <v>0.512686266612968</v>
      </c>
      <c r="W1472" s="63" t="n">
        <f aca="false">IFERROR(R1472/F1472,0)</f>
        <v>0.487313733387032</v>
      </c>
      <c r="X1472" s="63" t="n">
        <f aca="false">IFERROR(T1472/F1472,0)</f>
        <v>0.00241643173580346</v>
      </c>
      <c r="Y1472" s="63" t="n">
        <f aca="false">IFERROR(G1472/F1472,0)</f>
        <v>0.456302859444221</v>
      </c>
      <c r="Z1472" s="59" t="n">
        <f aca="false">IF(E1472&gt;0,F1472*1000000000/E1472,"")</f>
        <v>957.535517221313</v>
      </c>
      <c r="AA1472" s="63" t="n">
        <f aca="false">IFERROR((R1472+S1472+J1472)/F1472,0)</f>
        <v>1</v>
      </c>
      <c r="AB1472" s="0" t="str">
        <f aca="false">A1472&amp;"|"&amp;D1472</f>
        <v>North Korea|2018</v>
      </c>
    </row>
    <row r="1473" customFormat="false" ht="15" hidden="false" customHeight="false" outlineLevel="0" collapsed="false">
      <c r="A1473" s="0" t="s">
        <v>321</v>
      </c>
      <c r="B1473" s="0" t="s">
        <v>560</v>
      </c>
      <c r="C1473" s="0" t="s">
        <v>127</v>
      </c>
      <c r="D1473" s="0" t="n">
        <v>2019</v>
      </c>
      <c r="E1473" s="59" t="n">
        <v>26037633</v>
      </c>
      <c r="F1473" s="60" t="n">
        <v>23.88</v>
      </c>
      <c r="G1473" s="61" t="n">
        <v>11.87</v>
      </c>
      <c r="H1473" s="61" t="n">
        <v>0</v>
      </c>
      <c r="I1473" s="61" t="n">
        <v>0.93</v>
      </c>
      <c r="J1473" s="61" t="n">
        <v>0</v>
      </c>
      <c r="K1473" s="61" t="n">
        <v>11</v>
      </c>
      <c r="L1473" s="61" t="n">
        <v>0.08</v>
      </c>
      <c r="M1473" s="61" t="n">
        <v>0</v>
      </c>
      <c r="N1473" s="61" t="n">
        <v>0</v>
      </c>
      <c r="O1473" s="61" t="n">
        <v>0</v>
      </c>
      <c r="P1473" s="62" t="n">
        <v>486.6</v>
      </c>
      <c r="Q1473" s="0" t="n">
        <v>0</v>
      </c>
      <c r="R1473" s="60" t="n">
        <f aca="false">G1473+H1473+I1473</f>
        <v>12.8</v>
      </c>
      <c r="S1473" s="60" t="n">
        <f aca="false">K1473+L1473+M1473+N1473+O1473</f>
        <v>11.08</v>
      </c>
      <c r="T1473" s="60" t="n">
        <f aca="false">L1473+M1473</f>
        <v>0.08</v>
      </c>
      <c r="U1473" s="60" t="n">
        <f aca="false">S1473+J1473</f>
        <v>11.08</v>
      </c>
      <c r="V1473" s="63" t="n">
        <f aca="false">IFERROR(S1473/F1473,0)</f>
        <v>0.463986599664992</v>
      </c>
      <c r="W1473" s="63" t="n">
        <f aca="false">IFERROR(R1473/F1473,0)</f>
        <v>0.536013400335008</v>
      </c>
      <c r="X1473" s="63" t="n">
        <f aca="false">IFERROR(T1473/F1473,0)</f>
        <v>0.0033500837520938</v>
      </c>
      <c r="Y1473" s="63" t="n">
        <f aca="false">IFERROR(G1473/F1473,0)</f>
        <v>0.497068676716918</v>
      </c>
      <c r="Z1473" s="59" t="n">
        <f aca="false">IF(E1473&gt;0,F1473*1000000000/E1473,"")</f>
        <v>917.134057462136</v>
      </c>
      <c r="AA1473" s="63" t="n">
        <f aca="false">IFERROR((R1473+S1473+J1473)/F1473,0)</f>
        <v>1</v>
      </c>
      <c r="AB1473" s="0" t="str">
        <f aca="false">A1473&amp;"|"&amp;D1473</f>
        <v>North Korea|2019</v>
      </c>
    </row>
    <row r="1474" customFormat="false" ht="15" hidden="false" customHeight="false" outlineLevel="0" collapsed="false">
      <c r="A1474" s="0" t="s">
        <v>321</v>
      </c>
      <c r="B1474" s="0" t="s">
        <v>560</v>
      </c>
      <c r="C1474" s="0" t="s">
        <v>127</v>
      </c>
      <c r="D1474" s="0" t="n">
        <v>2020</v>
      </c>
      <c r="E1474" s="59" t="n">
        <v>26136312</v>
      </c>
      <c r="F1474" s="60" t="n">
        <v>24.1</v>
      </c>
      <c r="G1474" s="61" t="n">
        <v>10.35</v>
      </c>
      <c r="H1474" s="61" t="n">
        <v>0</v>
      </c>
      <c r="I1474" s="61" t="n">
        <v>0.85</v>
      </c>
      <c r="J1474" s="61" t="n">
        <v>0</v>
      </c>
      <c r="K1474" s="61" t="n">
        <v>12.8</v>
      </c>
      <c r="L1474" s="61" t="n">
        <v>0.1</v>
      </c>
      <c r="M1474" s="61" t="n">
        <v>0</v>
      </c>
      <c r="N1474" s="61" t="n">
        <v>0</v>
      </c>
      <c r="O1474" s="61" t="n">
        <v>0</v>
      </c>
      <c r="P1474" s="62" t="n">
        <v>424.5</v>
      </c>
      <c r="Q1474" s="0" t="n">
        <v>0</v>
      </c>
      <c r="R1474" s="60" t="n">
        <f aca="false">G1474+H1474+I1474</f>
        <v>11.2</v>
      </c>
      <c r="S1474" s="60" t="n">
        <f aca="false">K1474+L1474+M1474+N1474+O1474</f>
        <v>12.9</v>
      </c>
      <c r="T1474" s="60" t="n">
        <f aca="false">L1474+M1474</f>
        <v>0.1</v>
      </c>
      <c r="U1474" s="60" t="n">
        <f aca="false">S1474+J1474</f>
        <v>12.9</v>
      </c>
      <c r="V1474" s="63" t="n">
        <f aca="false">IFERROR(S1474/F1474,0)</f>
        <v>0.535269709543569</v>
      </c>
      <c r="W1474" s="63" t="n">
        <f aca="false">IFERROR(R1474/F1474,0)</f>
        <v>0.464730290456432</v>
      </c>
      <c r="X1474" s="63" t="n">
        <f aca="false">IFERROR(T1474/F1474,0)</f>
        <v>0.004149377593361</v>
      </c>
      <c r="Y1474" s="63" t="n">
        <f aca="false">IFERROR(G1474/F1474,0)</f>
        <v>0.429460580912863</v>
      </c>
      <c r="Z1474" s="59" t="n">
        <f aca="false">IF(E1474&gt;0,F1474*1000000000/E1474,"")</f>
        <v>922.088778248438</v>
      </c>
      <c r="AA1474" s="63" t="n">
        <f aca="false">IFERROR((R1474+S1474+J1474)/F1474,0)</f>
        <v>1</v>
      </c>
      <c r="AB1474" s="0" t="str">
        <f aca="false">A1474&amp;"|"&amp;D1474</f>
        <v>North Korea|2020</v>
      </c>
    </row>
    <row r="1475" customFormat="false" ht="15" hidden="false" customHeight="false" outlineLevel="0" collapsed="false">
      <c r="A1475" s="0" t="s">
        <v>321</v>
      </c>
      <c r="B1475" s="0" t="s">
        <v>560</v>
      </c>
      <c r="C1475" s="0" t="s">
        <v>127</v>
      </c>
      <c r="D1475" s="0" t="n">
        <v>2021</v>
      </c>
      <c r="E1475" s="59" t="n">
        <v>26232530</v>
      </c>
      <c r="F1475" s="60" t="n">
        <v>25.63</v>
      </c>
      <c r="G1475" s="61" t="n">
        <v>8.89</v>
      </c>
      <c r="H1475" s="61" t="n">
        <v>0</v>
      </c>
      <c r="I1475" s="61" t="n">
        <v>0.51</v>
      </c>
      <c r="J1475" s="61" t="n">
        <v>0</v>
      </c>
      <c r="K1475" s="61" t="n">
        <v>16.1</v>
      </c>
      <c r="L1475" s="61" t="n">
        <v>0.13</v>
      </c>
      <c r="M1475" s="61" t="n">
        <v>0</v>
      </c>
      <c r="N1475" s="61" t="n">
        <v>0</v>
      </c>
      <c r="O1475" s="61" t="n">
        <v>0</v>
      </c>
      <c r="P1475" s="62" t="n">
        <v>342.6</v>
      </c>
      <c r="Q1475" s="0" t="n">
        <v>0</v>
      </c>
      <c r="R1475" s="60" t="n">
        <f aca="false">G1475+H1475+I1475</f>
        <v>9.4</v>
      </c>
      <c r="S1475" s="60" t="n">
        <f aca="false">K1475+L1475+M1475+N1475+O1475</f>
        <v>16.23</v>
      </c>
      <c r="T1475" s="60" t="n">
        <f aca="false">L1475+M1475</f>
        <v>0.13</v>
      </c>
      <c r="U1475" s="60" t="n">
        <f aca="false">S1475+J1475</f>
        <v>16.23</v>
      </c>
      <c r="V1475" s="63" t="n">
        <f aca="false">IFERROR(S1475/F1475,0)</f>
        <v>0.6332422941865</v>
      </c>
      <c r="W1475" s="63" t="n">
        <f aca="false">IFERROR(R1475/F1475,0)</f>
        <v>0.3667577058135</v>
      </c>
      <c r="X1475" s="63" t="n">
        <f aca="false">IFERROR(T1475/F1475,0)</f>
        <v>0.00507218103784627</v>
      </c>
      <c r="Y1475" s="63" t="n">
        <f aca="false">IFERROR(G1475/F1475,0)</f>
        <v>0.346859149434257</v>
      </c>
      <c r="Z1475" s="59" t="n">
        <f aca="false">IF(E1475&gt;0,F1475*1000000000/E1475,"")</f>
        <v>977.031189900479</v>
      </c>
      <c r="AA1475" s="63" t="n">
        <f aca="false">IFERROR((R1475+S1475+J1475)/F1475,0)</f>
        <v>1</v>
      </c>
      <c r="AB1475" s="0" t="str">
        <f aca="false">A1475&amp;"|"&amp;D1475</f>
        <v>North Korea|2021</v>
      </c>
    </row>
    <row r="1476" customFormat="false" ht="15" hidden="false" customHeight="false" outlineLevel="0" collapsed="false">
      <c r="A1476" s="0" t="s">
        <v>321</v>
      </c>
      <c r="B1476" s="0" t="s">
        <v>560</v>
      </c>
      <c r="C1476" s="0" t="s">
        <v>127</v>
      </c>
      <c r="D1476" s="0" t="n">
        <v>2022</v>
      </c>
      <c r="E1476" s="59" t="n">
        <v>26328843</v>
      </c>
      <c r="F1476" s="60" t="n">
        <v>26.55</v>
      </c>
      <c r="G1476" s="61" t="n">
        <v>9.23</v>
      </c>
      <c r="H1476" s="61" t="n">
        <v>0</v>
      </c>
      <c r="I1476" s="61" t="n">
        <v>0.57</v>
      </c>
      <c r="J1476" s="61" t="n">
        <v>0</v>
      </c>
      <c r="K1476" s="61" t="n">
        <v>16.6</v>
      </c>
      <c r="L1476" s="61" t="n">
        <v>0.15</v>
      </c>
      <c r="M1476" s="61" t="n">
        <v>0</v>
      </c>
      <c r="N1476" s="61" t="n">
        <v>0</v>
      </c>
      <c r="O1476" s="61" t="n">
        <v>0</v>
      </c>
      <c r="P1476" s="62" t="n">
        <v>344.3</v>
      </c>
      <c r="Q1476" s="0" t="n">
        <v>0</v>
      </c>
      <c r="R1476" s="60" t="n">
        <f aca="false">G1476+H1476+I1476</f>
        <v>9.8</v>
      </c>
      <c r="S1476" s="60" t="n">
        <f aca="false">K1476+L1476+M1476+N1476+O1476</f>
        <v>16.75</v>
      </c>
      <c r="T1476" s="60" t="n">
        <f aca="false">L1476+M1476</f>
        <v>0.15</v>
      </c>
      <c r="U1476" s="60" t="n">
        <f aca="false">S1476+J1476</f>
        <v>16.75</v>
      </c>
      <c r="V1476" s="63" t="n">
        <f aca="false">IFERROR(S1476/F1476,0)</f>
        <v>0.630885122410546</v>
      </c>
      <c r="W1476" s="63" t="n">
        <f aca="false">IFERROR(R1476/F1476,0)</f>
        <v>0.369114877589454</v>
      </c>
      <c r="X1476" s="63" t="n">
        <f aca="false">IFERROR(T1476/F1476,0)</f>
        <v>0.00564971751412429</v>
      </c>
      <c r="Y1476" s="63" t="n">
        <f aca="false">IFERROR(G1476/F1476,0)</f>
        <v>0.347645951035782</v>
      </c>
      <c r="Z1476" s="59" t="n">
        <f aca="false">IF(E1476&gt;0,F1476*1000000000/E1476,"")</f>
        <v>1008.3997994139</v>
      </c>
      <c r="AA1476" s="63" t="n">
        <f aca="false">IFERROR((R1476+S1476+J1476)/F1476,0)</f>
        <v>1</v>
      </c>
      <c r="AB1476" s="0" t="str">
        <f aca="false">A1476&amp;"|"&amp;D1476</f>
        <v>North Korea|2022</v>
      </c>
    </row>
    <row r="1477" customFormat="false" ht="15" hidden="false" customHeight="false" outlineLevel="0" collapsed="false">
      <c r="A1477" s="0" t="s">
        <v>321</v>
      </c>
      <c r="B1477" s="0" t="s">
        <v>560</v>
      </c>
      <c r="C1477" s="0" t="s">
        <v>127</v>
      </c>
      <c r="D1477" s="0" t="n">
        <v>2023</v>
      </c>
      <c r="E1477" s="59" t="n">
        <v>26418196</v>
      </c>
      <c r="F1477" s="60" t="n">
        <v>26.72</v>
      </c>
      <c r="G1477" s="61" t="n">
        <v>9.23</v>
      </c>
      <c r="H1477" s="61" t="n">
        <v>0</v>
      </c>
      <c r="I1477" s="61" t="n">
        <v>0.74</v>
      </c>
      <c r="J1477" s="61" t="n">
        <v>0</v>
      </c>
      <c r="K1477" s="61" t="n">
        <v>16.6</v>
      </c>
      <c r="L1477" s="61" t="n">
        <v>0.15</v>
      </c>
      <c r="M1477" s="61" t="n">
        <v>0</v>
      </c>
      <c r="N1477" s="61" t="n">
        <v>0</v>
      </c>
      <c r="O1477" s="61" t="n">
        <v>0</v>
      </c>
      <c r="P1477" s="62" t="n">
        <v>346.2</v>
      </c>
      <c r="Q1477" s="0" t="n">
        <v>0</v>
      </c>
      <c r="R1477" s="60" t="n">
        <f aca="false">G1477+H1477+I1477</f>
        <v>9.97</v>
      </c>
      <c r="S1477" s="60" t="n">
        <f aca="false">K1477+L1477+M1477+N1477+O1477</f>
        <v>16.75</v>
      </c>
      <c r="T1477" s="60" t="n">
        <f aca="false">L1477+M1477</f>
        <v>0.15</v>
      </c>
      <c r="U1477" s="60" t="n">
        <f aca="false">S1477+J1477</f>
        <v>16.75</v>
      </c>
      <c r="V1477" s="63" t="n">
        <f aca="false">IFERROR(S1477/F1477,0)</f>
        <v>0.62687125748503</v>
      </c>
      <c r="W1477" s="63" t="n">
        <f aca="false">IFERROR(R1477/F1477,0)</f>
        <v>0.37312874251497</v>
      </c>
      <c r="X1477" s="63" t="n">
        <f aca="false">IFERROR(T1477/F1477,0)</f>
        <v>0.00561377245508982</v>
      </c>
      <c r="Y1477" s="63" t="n">
        <f aca="false">IFERROR(G1477/F1477,0)</f>
        <v>0.345434131736527</v>
      </c>
      <c r="Z1477" s="59" t="n">
        <f aca="false">IF(E1477&gt;0,F1477*1000000000/E1477,"")</f>
        <v>1011.42409572554</v>
      </c>
      <c r="AA1477" s="63" t="n">
        <f aca="false">IFERROR((R1477+S1477+J1477)/F1477,0)</f>
        <v>1</v>
      </c>
      <c r="AB1477" s="0" t="str">
        <f aca="false">A1477&amp;"|"&amp;D1477</f>
        <v>North Korea|2023</v>
      </c>
    </row>
    <row r="1478" customFormat="false" ht="15" hidden="false" customHeight="false" outlineLevel="0" collapsed="false">
      <c r="A1478" s="0" t="s">
        <v>321</v>
      </c>
      <c r="B1478" s="0" t="s">
        <v>560</v>
      </c>
      <c r="C1478" s="0" t="s">
        <v>127</v>
      </c>
      <c r="D1478" s="0" t="n">
        <v>2024</v>
      </c>
      <c r="E1478" s="59" t="n">
        <v>26498832</v>
      </c>
      <c r="F1478" s="60" t="n">
        <v>27.1</v>
      </c>
      <c r="G1478" s="61" t="n">
        <v>9.23</v>
      </c>
      <c r="H1478" s="61" t="n">
        <v>0</v>
      </c>
      <c r="I1478" s="61" t="n">
        <v>0.7</v>
      </c>
      <c r="J1478" s="61" t="n">
        <v>0</v>
      </c>
      <c r="K1478" s="61" t="n">
        <v>17</v>
      </c>
      <c r="L1478" s="61" t="n">
        <v>0.17</v>
      </c>
      <c r="M1478" s="61" t="n">
        <v>0</v>
      </c>
      <c r="N1478" s="61" t="n">
        <v>0</v>
      </c>
      <c r="O1478" s="61" t="n">
        <v>0</v>
      </c>
      <c r="P1478" s="62" t="n">
        <v>340.6</v>
      </c>
      <c r="Q1478" s="0" t="n">
        <v>0</v>
      </c>
      <c r="R1478" s="60" t="n">
        <f aca="false">G1478+H1478+I1478</f>
        <v>9.93</v>
      </c>
      <c r="S1478" s="60" t="n">
        <f aca="false">K1478+L1478+M1478+N1478+O1478</f>
        <v>17.17</v>
      </c>
      <c r="T1478" s="60" t="n">
        <f aca="false">L1478+M1478</f>
        <v>0.17</v>
      </c>
      <c r="U1478" s="60" t="n">
        <f aca="false">S1478+J1478</f>
        <v>17.17</v>
      </c>
      <c r="V1478" s="63" t="n">
        <f aca="false">IFERROR(S1478/F1478,0)</f>
        <v>0.633579335793358</v>
      </c>
      <c r="W1478" s="63" t="n">
        <f aca="false">IFERROR(R1478/F1478,0)</f>
        <v>0.366420664206642</v>
      </c>
      <c r="X1478" s="63" t="n">
        <f aca="false">IFERROR(T1478/F1478,0)</f>
        <v>0.00627306273062731</v>
      </c>
      <c r="Y1478" s="63" t="n">
        <f aca="false">IFERROR(G1478/F1478,0)</f>
        <v>0.340590405904059</v>
      </c>
      <c r="Z1478" s="59" t="n">
        <f aca="false">IF(E1478&gt;0,F1478*1000000000/E1478,"")</f>
        <v>1022.68658482759</v>
      </c>
      <c r="AA1478" s="63" t="n">
        <f aca="false">IFERROR((R1478+S1478+J1478)/F1478,0)</f>
        <v>1</v>
      </c>
      <c r="AB1478" s="0" t="str">
        <f aca="false">A1478&amp;"|"&amp;D1478</f>
        <v>North Korea|2024</v>
      </c>
    </row>
    <row r="1479" customFormat="false" ht="15" hidden="false" customHeight="false" outlineLevel="0" collapsed="false">
      <c r="A1479" s="0" t="s">
        <v>322</v>
      </c>
      <c r="B1479" s="0" t="s">
        <v>561</v>
      </c>
      <c r="C1479" s="0" t="s">
        <v>127</v>
      </c>
      <c r="D1479" s="0" t="n">
        <v>2015</v>
      </c>
      <c r="E1479" s="59" t="n">
        <v>1980366</v>
      </c>
      <c r="F1479" s="60" t="n">
        <v>5.65</v>
      </c>
      <c r="G1479" s="61" t="n">
        <v>3.3</v>
      </c>
      <c r="H1479" s="61" t="n">
        <v>0.18</v>
      </c>
      <c r="I1479" s="61" t="n">
        <v>0.14</v>
      </c>
      <c r="J1479" s="61" t="n">
        <v>0</v>
      </c>
      <c r="K1479" s="61" t="n">
        <v>1.87</v>
      </c>
      <c r="L1479" s="61" t="n">
        <v>0.02</v>
      </c>
      <c r="M1479" s="61" t="n">
        <v>0.12</v>
      </c>
      <c r="N1479" s="61" t="n">
        <v>0.02</v>
      </c>
      <c r="O1479" s="61" t="n">
        <v>0</v>
      </c>
      <c r="P1479" s="62" t="n">
        <v>631.9</v>
      </c>
      <c r="Q1479" s="0" t="n">
        <v>0</v>
      </c>
      <c r="R1479" s="60" t="n">
        <f aca="false">G1479+H1479+I1479</f>
        <v>3.62</v>
      </c>
      <c r="S1479" s="60" t="n">
        <f aca="false">K1479+L1479+M1479+N1479+O1479</f>
        <v>2.03</v>
      </c>
      <c r="T1479" s="60" t="n">
        <f aca="false">L1479+M1479</f>
        <v>0.14</v>
      </c>
      <c r="U1479" s="60" t="n">
        <f aca="false">S1479+J1479</f>
        <v>2.03</v>
      </c>
      <c r="V1479" s="63" t="n">
        <f aca="false">IFERROR(S1479/F1479,0)</f>
        <v>0.35929203539823</v>
      </c>
      <c r="W1479" s="63" t="n">
        <f aca="false">IFERROR(R1479/F1479,0)</f>
        <v>0.64070796460177</v>
      </c>
      <c r="X1479" s="63" t="n">
        <f aca="false">IFERROR(T1479/F1479,0)</f>
        <v>0.0247787610619469</v>
      </c>
      <c r="Y1479" s="63" t="n">
        <f aca="false">IFERROR(G1479/F1479,0)</f>
        <v>0.584070796460177</v>
      </c>
      <c r="Z1479" s="59" t="n">
        <f aca="false">IF(E1479&gt;0,F1479*1000000000/E1479,"")</f>
        <v>2853.00797933311</v>
      </c>
      <c r="AA1479" s="63" t="n">
        <f aca="false">IFERROR((R1479+S1479+J1479)/F1479,0)</f>
        <v>1</v>
      </c>
      <c r="AB1479" s="0" t="str">
        <f aca="false">A1479&amp;"|"&amp;D1479</f>
        <v>North Macedonia|2015</v>
      </c>
    </row>
    <row r="1480" customFormat="false" ht="15" hidden="false" customHeight="false" outlineLevel="0" collapsed="false">
      <c r="A1480" s="0" t="s">
        <v>322</v>
      </c>
      <c r="B1480" s="0" t="s">
        <v>561</v>
      </c>
      <c r="C1480" s="0" t="s">
        <v>127</v>
      </c>
      <c r="D1480" s="0" t="n">
        <v>2016</v>
      </c>
      <c r="E1480" s="59" t="n">
        <v>1961268</v>
      </c>
      <c r="F1480" s="60" t="n">
        <v>5.63</v>
      </c>
      <c r="G1480" s="61" t="n">
        <v>2.89</v>
      </c>
      <c r="H1480" s="61" t="n">
        <v>0.57</v>
      </c>
      <c r="I1480" s="61" t="n">
        <v>0.1</v>
      </c>
      <c r="J1480" s="61" t="n">
        <v>0</v>
      </c>
      <c r="K1480" s="61" t="n">
        <v>1.9</v>
      </c>
      <c r="L1480" s="61" t="n">
        <v>0.02</v>
      </c>
      <c r="M1480" s="61" t="n">
        <v>0.11</v>
      </c>
      <c r="N1480" s="61" t="n">
        <v>0.04</v>
      </c>
      <c r="O1480" s="61" t="n">
        <v>0</v>
      </c>
      <c r="P1480" s="62" t="n">
        <v>593.2</v>
      </c>
      <c r="Q1480" s="0" t="n">
        <v>0</v>
      </c>
      <c r="R1480" s="60" t="n">
        <f aca="false">G1480+H1480+I1480</f>
        <v>3.56</v>
      </c>
      <c r="S1480" s="60" t="n">
        <f aca="false">K1480+L1480+M1480+N1480+O1480</f>
        <v>2.07</v>
      </c>
      <c r="T1480" s="60" t="n">
        <f aca="false">L1480+M1480</f>
        <v>0.13</v>
      </c>
      <c r="U1480" s="60" t="n">
        <f aca="false">S1480+J1480</f>
        <v>2.07</v>
      </c>
      <c r="V1480" s="63" t="n">
        <f aca="false">IFERROR(S1480/F1480,0)</f>
        <v>0.367673179396092</v>
      </c>
      <c r="W1480" s="63" t="n">
        <f aca="false">IFERROR(R1480/F1480,0)</f>
        <v>0.632326820603908</v>
      </c>
      <c r="X1480" s="63" t="n">
        <f aca="false">IFERROR(T1480/F1480,0)</f>
        <v>0.0230905861456483</v>
      </c>
      <c r="Y1480" s="63" t="n">
        <f aca="false">IFERROR(G1480/F1480,0)</f>
        <v>0.513321492007105</v>
      </c>
      <c r="Z1480" s="59" t="n">
        <f aca="false">IF(E1480&gt;0,F1480*1000000000/E1480,"")</f>
        <v>2870.59188239445</v>
      </c>
      <c r="AA1480" s="63" t="n">
        <f aca="false">IFERROR((R1480+S1480+J1480)/F1480,0)</f>
        <v>1</v>
      </c>
      <c r="AB1480" s="0" t="str">
        <f aca="false">A1480&amp;"|"&amp;D1480</f>
        <v>North Macedonia|2016</v>
      </c>
    </row>
    <row r="1481" customFormat="false" ht="15" hidden="false" customHeight="false" outlineLevel="0" collapsed="false">
      <c r="A1481" s="0" t="s">
        <v>322</v>
      </c>
      <c r="B1481" s="0" t="s">
        <v>561</v>
      </c>
      <c r="C1481" s="0" t="s">
        <v>127</v>
      </c>
      <c r="D1481" s="0" t="n">
        <v>2017</v>
      </c>
      <c r="E1481" s="59" t="n">
        <v>1940877</v>
      </c>
      <c r="F1481" s="60" t="n">
        <v>5.6</v>
      </c>
      <c r="G1481" s="61" t="n">
        <v>3.39</v>
      </c>
      <c r="H1481" s="61" t="n">
        <v>0.83</v>
      </c>
      <c r="I1481" s="61" t="n">
        <v>0.09</v>
      </c>
      <c r="J1481" s="61" t="n">
        <v>0</v>
      </c>
      <c r="K1481" s="61" t="n">
        <v>1.11</v>
      </c>
      <c r="L1481" s="61" t="n">
        <v>0.02</v>
      </c>
      <c r="M1481" s="61" t="n">
        <v>0.11</v>
      </c>
      <c r="N1481" s="61" t="n">
        <v>0.05</v>
      </c>
      <c r="O1481" s="61" t="n">
        <v>0</v>
      </c>
      <c r="P1481" s="62" t="n">
        <v>705.4</v>
      </c>
      <c r="Q1481" s="0" t="n">
        <v>0</v>
      </c>
      <c r="R1481" s="60" t="n">
        <f aca="false">G1481+H1481+I1481</f>
        <v>4.31</v>
      </c>
      <c r="S1481" s="60" t="n">
        <f aca="false">K1481+L1481+M1481+N1481+O1481</f>
        <v>1.29</v>
      </c>
      <c r="T1481" s="60" t="n">
        <f aca="false">L1481+M1481</f>
        <v>0.13</v>
      </c>
      <c r="U1481" s="60" t="n">
        <f aca="false">S1481+J1481</f>
        <v>1.29</v>
      </c>
      <c r="V1481" s="63" t="n">
        <f aca="false">IFERROR(S1481/F1481,0)</f>
        <v>0.230357142857143</v>
      </c>
      <c r="W1481" s="63" t="n">
        <f aca="false">IFERROR(R1481/F1481,0)</f>
        <v>0.769642857142857</v>
      </c>
      <c r="X1481" s="63" t="n">
        <f aca="false">IFERROR(T1481/F1481,0)</f>
        <v>0.0232142857142857</v>
      </c>
      <c r="Y1481" s="63" t="n">
        <f aca="false">IFERROR(G1481/F1481,0)</f>
        <v>0.605357142857143</v>
      </c>
      <c r="Z1481" s="59" t="n">
        <f aca="false">IF(E1481&gt;0,F1481*1000000000/E1481,"")</f>
        <v>2885.29360696221</v>
      </c>
      <c r="AA1481" s="63" t="n">
        <f aca="false">IFERROR((R1481+S1481+J1481)/F1481,0)</f>
        <v>1</v>
      </c>
      <c r="AB1481" s="0" t="str">
        <f aca="false">A1481&amp;"|"&amp;D1481</f>
        <v>North Macedonia|2017</v>
      </c>
    </row>
    <row r="1482" customFormat="false" ht="15" hidden="false" customHeight="false" outlineLevel="0" collapsed="false">
      <c r="A1482" s="0" t="s">
        <v>322</v>
      </c>
      <c r="B1482" s="0" t="s">
        <v>561</v>
      </c>
      <c r="C1482" s="0" t="s">
        <v>127</v>
      </c>
      <c r="D1482" s="0" t="n">
        <v>2018</v>
      </c>
      <c r="E1482" s="59" t="n">
        <v>1919730</v>
      </c>
      <c r="F1482" s="60" t="n">
        <v>5.61</v>
      </c>
      <c r="G1482" s="61" t="n">
        <v>2.85</v>
      </c>
      <c r="H1482" s="61" t="n">
        <v>0.75</v>
      </c>
      <c r="I1482" s="61" t="n">
        <v>0.05</v>
      </c>
      <c r="J1482" s="61" t="n">
        <v>0</v>
      </c>
      <c r="K1482" s="61" t="n">
        <v>1.79</v>
      </c>
      <c r="L1482" s="61" t="n">
        <v>0.02</v>
      </c>
      <c r="M1482" s="61" t="n">
        <v>0.1</v>
      </c>
      <c r="N1482" s="61" t="n">
        <v>0.05</v>
      </c>
      <c r="O1482" s="61" t="n">
        <v>0</v>
      </c>
      <c r="P1482" s="62" t="n">
        <v>595.4</v>
      </c>
      <c r="Q1482" s="0" t="n">
        <v>0</v>
      </c>
      <c r="R1482" s="60" t="n">
        <f aca="false">G1482+H1482+I1482</f>
        <v>3.65</v>
      </c>
      <c r="S1482" s="60" t="n">
        <f aca="false">K1482+L1482+M1482+N1482+O1482</f>
        <v>1.96</v>
      </c>
      <c r="T1482" s="60" t="n">
        <f aca="false">L1482+M1482</f>
        <v>0.12</v>
      </c>
      <c r="U1482" s="60" t="n">
        <f aca="false">S1482+J1482</f>
        <v>1.96</v>
      </c>
      <c r="V1482" s="63" t="n">
        <f aca="false">IFERROR(S1482/F1482,0)</f>
        <v>0.349376114081996</v>
      </c>
      <c r="W1482" s="63" t="n">
        <f aca="false">IFERROR(R1482/F1482,0)</f>
        <v>0.650623885918004</v>
      </c>
      <c r="X1482" s="63" t="n">
        <f aca="false">IFERROR(T1482/F1482,0)</f>
        <v>0.0213903743315508</v>
      </c>
      <c r="Y1482" s="63" t="n">
        <f aca="false">IFERROR(G1482/F1482,0)</f>
        <v>0.508021390374332</v>
      </c>
      <c r="Z1482" s="59" t="n">
        <f aca="false">IF(E1482&gt;0,F1482*1000000000/E1482,"")</f>
        <v>2922.28594646122</v>
      </c>
      <c r="AA1482" s="63" t="n">
        <f aca="false">IFERROR((R1482+S1482+J1482)/F1482,0)</f>
        <v>1</v>
      </c>
      <c r="AB1482" s="0" t="str">
        <f aca="false">A1482&amp;"|"&amp;D1482</f>
        <v>North Macedonia|2018</v>
      </c>
    </row>
    <row r="1483" customFormat="false" ht="15" hidden="false" customHeight="false" outlineLevel="0" collapsed="false">
      <c r="A1483" s="0" t="s">
        <v>322</v>
      </c>
      <c r="B1483" s="0" t="s">
        <v>561</v>
      </c>
      <c r="C1483" s="0" t="s">
        <v>127</v>
      </c>
      <c r="D1483" s="0" t="n">
        <v>2019</v>
      </c>
      <c r="E1483" s="59" t="n">
        <v>1897643</v>
      </c>
      <c r="F1483" s="60" t="n">
        <v>5.87</v>
      </c>
      <c r="G1483" s="61" t="n">
        <v>3.51</v>
      </c>
      <c r="H1483" s="61" t="n">
        <v>0.96</v>
      </c>
      <c r="I1483" s="61" t="n">
        <v>0.06</v>
      </c>
      <c r="J1483" s="61" t="n">
        <v>0</v>
      </c>
      <c r="K1483" s="61" t="n">
        <v>1.16</v>
      </c>
      <c r="L1483" s="61" t="n">
        <v>0.02</v>
      </c>
      <c r="M1483" s="61" t="n">
        <v>0.1</v>
      </c>
      <c r="N1483" s="61" t="n">
        <v>0.06</v>
      </c>
      <c r="O1483" s="61" t="n">
        <v>0</v>
      </c>
      <c r="P1483" s="62" t="n">
        <v>700.2</v>
      </c>
      <c r="Q1483" s="0" t="n">
        <v>0</v>
      </c>
      <c r="R1483" s="60" t="n">
        <f aca="false">G1483+H1483+I1483</f>
        <v>4.53</v>
      </c>
      <c r="S1483" s="60" t="n">
        <f aca="false">K1483+L1483+M1483+N1483+O1483</f>
        <v>1.34</v>
      </c>
      <c r="T1483" s="60" t="n">
        <f aca="false">L1483+M1483</f>
        <v>0.12</v>
      </c>
      <c r="U1483" s="60" t="n">
        <f aca="false">S1483+J1483</f>
        <v>1.34</v>
      </c>
      <c r="V1483" s="63" t="n">
        <f aca="false">IFERROR(S1483/F1483,0)</f>
        <v>0.228279386712095</v>
      </c>
      <c r="W1483" s="63" t="n">
        <f aca="false">IFERROR(R1483/F1483,0)</f>
        <v>0.771720613287904</v>
      </c>
      <c r="X1483" s="63" t="n">
        <f aca="false">IFERROR(T1483/F1483,0)</f>
        <v>0.020442930153322</v>
      </c>
      <c r="Y1483" s="63" t="n">
        <f aca="false">IFERROR(G1483/F1483,0)</f>
        <v>0.597955706984668</v>
      </c>
      <c r="Z1483" s="59" t="n">
        <f aca="false">IF(E1483&gt;0,F1483*1000000000/E1483,"")</f>
        <v>3093.31101793119</v>
      </c>
      <c r="AA1483" s="63" t="n">
        <f aca="false">IFERROR((R1483+S1483+J1483)/F1483,0)</f>
        <v>1</v>
      </c>
      <c r="AB1483" s="0" t="str">
        <f aca="false">A1483&amp;"|"&amp;D1483</f>
        <v>North Macedonia|2019</v>
      </c>
    </row>
    <row r="1484" customFormat="false" ht="15" hidden="false" customHeight="false" outlineLevel="0" collapsed="false">
      <c r="A1484" s="0" t="s">
        <v>322</v>
      </c>
      <c r="B1484" s="0" t="s">
        <v>561</v>
      </c>
      <c r="C1484" s="0" t="s">
        <v>127</v>
      </c>
      <c r="D1484" s="0" t="n">
        <v>2020</v>
      </c>
      <c r="E1484" s="59" t="n">
        <v>1872021</v>
      </c>
      <c r="F1484" s="60" t="n">
        <v>5.34</v>
      </c>
      <c r="G1484" s="61" t="n">
        <v>2.63</v>
      </c>
      <c r="H1484" s="61" t="n">
        <v>1.14</v>
      </c>
      <c r="I1484" s="61" t="n">
        <v>0.09</v>
      </c>
      <c r="J1484" s="61" t="n">
        <v>0</v>
      </c>
      <c r="K1484" s="61" t="n">
        <v>1.28</v>
      </c>
      <c r="L1484" s="61" t="n">
        <v>0.02</v>
      </c>
      <c r="M1484" s="61" t="n">
        <v>0.12</v>
      </c>
      <c r="N1484" s="61" t="n">
        <v>0.06</v>
      </c>
      <c r="O1484" s="61" t="n">
        <v>0</v>
      </c>
      <c r="P1484" s="62" t="n">
        <v>623.6</v>
      </c>
      <c r="Q1484" s="0" t="n">
        <v>0</v>
      </c>
      <c r="R1484" s="60" t="n">
        <f aca="false">G1484+H1484+I1484</f>
        <v>3.86</v>
      </c>
      <c r="S1484" s="60" t="n">
        <f aca="false">K1484+L1484+M1484+N1484+O1484</f>
        <v>1.48</v>
      </c>
      <c r="T1484" s="60" t="n">
        <f aca="false">L1484+M1484</f>
        <v>0.14</v>
      </c>
      <c r="U1484" s="60" t="n">
        <f aca="false">S1484+J1484</f>
        <v>1.48</v>
      </c>
      <c r="V1484" s="63" t="n">
        <f aca="false">IFERROR(S1484/F1484,0)</f>
        <v>0.277153558052434</v>
      </c>
      <c r="W1484" s="63" t="n">
        <f aca="false">IFERROR(R1484/F1484,0)</f>
        <v>0.722846441947565</v>
      </c>
      <c r="X1484" s="63" t="n">
        <f aca="false">IFERROR(T1484/F1484,0)</f>
        <v>0.0262172284644195</v>
      </c>
      <c r="Y1484" s="63" t="n">
        <f aca="false">IFERROR(G1484/F1484,0)</f>
        <v>0.49250936329588</v>
      </c>
      <c r="Z1484" s="59" t="n">
        <f aca="false">IF(E1484&gt;0,F1484*1000000000/E1484,"")</f>
        <v>2852.53210300525</v>
      </c>
      <c r="AA1484" s="63" t="n">
        <f aca="false">IFERROR((R1484+S1484+J1484)/F1484,0)</f>
        <v>1</v>
      </c>
      <c r="AB1484" s="0" t="str">
        <f aca="false">A1484&amp;"|"&amp;D1484</f>
        <v>North Macedonia|2020</v>
      </c>
    </row>
    <row r="1485" customFormat="false" ht="15" hidden="false" customHeight="false" outlineLevel="0" collapsed="false">
      <c r="A1485" s="0" t="s">
        <v>322</v>
      </c>
      <c r="B1485" s="0" t="s">
        <v>561</v>
      </c>
      <c r="C1485" s="0" t="s">
        <v>127</v>
      </c>
      <c r="D1485" s="0" t="n">
        <v>2021</v>
      </c>
      <c r="E1485" s="59" t="n">
        <v>1851109</v>
      </c>
      <c r="F1485" s="60" t="n">
        <v>5.53</v>
      </c>
      <c r="G1485" s="61" t="n">
        <v>2.19</v>
      </c>
      <c r="H1485" s="61" t="n">
        <v>1.55</v>
      </c>
      <c r="I1485" s="61" t="n">
        <v>0.14</v>
      </c>
      <c r="J1485" s="61" t="n">
        <v>0</v>
      </c>
      <c r="K1485" s="61" t="n">
        <v>1.45</v>
      </c>
      <c r="L1485" s="61" t="n">
        <v>0.05</v>
      </c>
      <c r="M1485" s="61" t="n">
        <v>0.1</v>
      </c>
      <c r="N1485" s="61" t="n">
        <v>0.05</v>
      </c>
      <c r="O1485" s="61" t="n">
        <v>0</v>
      </c>
      <c r="P1485" s="62" t="n">
        <v>562.4</v>
      </c>
      <c r="Q1485" s="0" t="n">
        <v>0</v>
      </c>
      <c r="R1485" s="60" t="n">
        <f aca="false">G1485+H1485+I1485</f>
        <v>3.88</v>
      </c>
      <c r="S1485" s="60" t="n">
        <f aca="false">K1485+L1485+M1485+N1485+O1485</f>
        <v>1.65</v>
      </c>
      <c r="T1485" s="60" t="n">
        <f aca="false">L1485+M1485</f>
        <v>0.15</v>
      </c>
      <c r="U1485" s="60" t="n">
        <f aca="false">S1485+J1485</f>
        <v>1.65</v>
      </c>
      <c r="V1485" s="63" t="n">
        <f aca="false">IFERROR(S1485/F1485,0)</f>
        <v>0.298372513562387</v>
      </c>
      <c r="W1485" s="63" t="n">
        <f aca="false">IFERROR(R1485/F1485,0)</f>
        <v>0.701627486437613</v>
      </c>
      <c r="X1485" s="63" t="n">
        <f aca="false">IFERROR(T1485/F1485,0)</f>
        <v>0.027124773960217</v>
      </c>
      <c r="Y1485" s="63" t="n">
        <f aca="false">IFERROR(G1485/F1485,0)</f>
        <v>0.396021699819168</v>
      </c>
      <c r="Z1485" s="59" t="n">
        <f aca="false">IF(E1485&gt;0,F1485*1000000000/E1485,"")</f>
        <v>2987.39836498013</v>
      </c>
      <c r="AA1485" s="63" t="n">
        <f aca="false">IFERROR((R1485+S1485+J1485)/F1485,0)</f>
        <v>1</v>
      </c>
      <c r="AB1485" s="0" t="str">
        <f aca="false">A1485&amp;"|"&amp;D1485</f>
        <v>North Macedonia|2021</v>
      </c>
    </row>
    <row r="1486" customFormat="false" ht="15" hidden="false" customHeight="false" outlineLevel="0" collapsed="false">
      <c r="A1486" s="0" t="s">
        <v>322</v>
      </c>
      <c r="B1486" s="0" t="s">
        <v>561</v>
      </c>
      <c r="C1486" s="0" t="s">
        <v>127</v>
      </c>
      <c r="D1486" s="0" t="n">
        <v>2022</v>
      </c>
      <c r="E1486" s="59" t="n">
        <v>1840236</v>
      </c>
      <c r="F1486" s="60" t="n">
        <v>5.94</v>
      </c>
      <c r="G1486" s="61" t="n">
        <v>2.77</v>
      </c>
      <c r="H1486" s="61" t="n">
        <v>0.99</v>
      </c>
      <c r="I1486" s="61" t="n">
        <v>0.57</v>
      </c>
      <c r="J1486" s="61" t="n">
        <v>0</v>
      </c>
      <c r="K1486" s="61" t="n">
        <v>1.35</v>
      </c>
      <c r="L1486" s="61" t="n">
        <v>0.1</v>
      </c>
      <c r="M1486" s="61" t="n">
        <v>0.11</v>
      </c>
      <c r="N1486" s="61" t="n">
        <v>0.05</v>
      </c>
      <c r="O1486" s="61" t="n">
        <v>0</v>
      </c>
      <c r="P1486" s="62" t="n">
        <v>624.6</v>
      </c>
      <c r="Q1486" s="0" t="n">
        <v>0</v>
      </c>
      <c r="R1486" s="60" t="n">
        <f aca="false">G1486+H1486+I1486</f>
        <v>4.33</v>
      </c>
      <c r="S1486" s="60" t="n">
        <f aca="false">K1486+L1486+M1486+N1486+O1486</f>
        <v>1.61</v>
      </c>
      <c r="T1486" s="60" t="n">
        <f aca="false">L1486+M1486</f>
        <v>0.21</v>
      </c>
      <c r="U1486" s="60" t="n">
        <f aca="false">S1486+J1486</f>
        <v>1.61</v>
      </c>
      <c r="V1486" s="63" t="n">
        <f aca="false">IFERROR(S1486/F1486,0)</f>
        <v>0.271043771043771</v>
      </c>
      <c r="W1486" s="63" t="n">
        <f aca="false">IFERROR(R1486/F1486,0)</f>
        <v>0.728956228956229</v>
      </c>
      <c r="X1486" s="63" t="n">
        <f aca="false">IFERROR(T1486/F1486,0)</f>
        <v>0.0353535353535354</v>
      </c>
      <c r="Y1486" s="63" t="n">
        <f aca="false">IFERROR(G1486/F1486,0)</f>
        <v>0.466329966329966</v>
      </c>
      <c r="Z1486" s="59" t="n">
        <f aca="false">IF(E1486&gt;0,F1486*1000000000/E1486,"")</f>
        <v>3227.84686311973</v>
      </c>
      <c r="AA1486" s="63" t="n">
        <f aca="false">IFERROR((R1486+S1486+J1486)/F1486,0)</f>
        <v>1</v>
      </c>
      <c r="AB1486" s="0" t="str">
        <f aca="false">A1486&amp;"|"&amp;D1486</f>
        <v>North Macedonia|2022</v>
      </c>
    </row>
    <row r="1487" customFormat="false" ht="15" hidden="false" customHeight="false" outlineLevel="0" collapsed="false">
      <c r="A1487" s="0" t="s">
        <v>322</v>
      </c>
      <c r="B1487" s="0" t="s">
        <v>561</v>
      </c>
      <c r="C1487" s="0" t="s">
        <v>127</v>
      </c>
      <c r="D1487" s="0" t="n">
        <v>2023</v>
      </c>
      <c r="E1487" s="59" t="n">
        <v>1831800</v>
      </c>
      <c r="F1487" s="60" t="n">
        <v>6.89</v>
      </c>
      <c r="G1487" s="61" t="n">
        <v>2.77</v>
      </c>
      <c r="H1487" s="61" t="n">
        <v>1.38</v>
      </c>
      <c r="I1487" s="61" t="n">
        <v>0.53</v>
      </c>
      <c r="J1487" s="61" t="n">
        <v>0</v>
      </c>
      <c r="K1487" s="61" t="n">
        <v>1.62</v>
      </c>
      <c r="L1487" s="61" t="n">
        <v>0.36</v>
      </c>
      <c r="M1487" s="61" t="n">
        <v>0.16</v>
      </c>
      <c r="N1487" s="61" t="n">
        <v>0.07</v>
      </c>
      <c r="O1487" s="61" t="n">
        <v>0</v>
      </c>
      <c r="P1487" s="62" t="n">
        <v>568.9</v>
      </c>
      <c r="Q1487" s="0" t="n">
        <v>0</v>
      </c>
      <c r="R1487" s="60" t="n">
        <f aca="false">G1487+H1487+I1487</f>
        <v>4.68</v>
      </c>
      <c r="S1487" s="60" t="n">
        <f aca="false">K1487+L1487+M1487+N1487+O1487</f>
        <v>2.21</v>
      </c>
      <c r="T1487" s="60" t="n">
        <f aca="false">L1487+M1487</f>
        <v>0.52</v>
      </c>
      <c r="U1487" s="60" t="n">
        <f aca="false">S1487+J1487</f>
        <v>2.21</v>
      </c>
      <c r="V1487" s="63" t="n">
        <f aca="false">IFERROR(S1487/F1487,0)</f>
        <v>0.320754716981132</v>
      </c>
      <c r="W1487" s="63" t="n">
        <f aca="false">IFERROR(R1487/F1487,0)</f>
        <v>0.679245283018868</v>
      </c>
      <c r="X1487" s="63" t="n">
        <f aca="false">IFERROR(T1487/F1487,0)</f>
        <v>0.0754716981132076</v>
      </c>
      <c r="Y1487" s="63" t="n">
        <f aca="false">IFERROR(G1487/F1487,0)</f>
        <v>0.402031930333817</v>
      </c>
      <c r="Z1487" s="59" t="n">
        <f aca="false">IF(E1487&gt;0,F1487*1000000000/E1487,"")</f>
        <v>3761.32765585763</v>
      </c>
      <c r="AA1487" s="63" t="n">
        <f aca="false">IFERROR((R1487+S1487+J1487)/F1487,0)</f>
        <v>1</v>
      </c>
      <c r="AB1487" s="0" t="str">
        <f aca="false">A1487&amp;"|"&amp;D1487</f>
        <v>North Macedonia|2023</v>
      </c>
    </row>
    <row r="1488" customFormat="false" ht="15" hidden="false" customHeight="false" outlineLevel="0" collapsed="false">
      <c r="A1488" s="0" t="s">
        <v>322</v>
      </c>
      <c r="B1488" s="0" t="s">
        <v>561</v>
      </c>
      <c r="C1488" s="0" t="s">
        <v>127</v>
      </c>
      <c r="D1488" s="0" t="n">
        <v>2024</v>
      </c>
      <c r="E1488" s="59" t="n">
        <v>1823011</v>
      </c>
      <c r="F1488" s="60" t="n">
        <v>6.31</v>
      </c>
      <c r="G1488" s="61" t="n">
        <v>2.36</v>
      </c>
      <c r="H1488" s="61" t="n">
        <v>1.29</v>
      </c>
      <c r="I1488" s="61" t="n">
        <v>0.17</v>
      </c>
      <c r="J1488" s="61" t="n">
        <v>0</v>
      </c>
      <c r="K1488" s="61" t="n">
        <v>1.37</v>
      </c>
      <c r="L1488" s="61" t="n">
        <v>0.89</v>
      </c>
      <c r="M1488" s="61" t="n">
        <v>0.17</v>
      </c>
      <c r="N1488" s="61" t="n">
        <v>0.06</v>
      </c>
      <c r="O1488" s="61" t="n">
        <v>0</v>
      </c>
      <c r="P1488" s="62" t="n">
        <v>510.3</v>
      </c>
      <c r="Q1488" s="0" t="n">
        <v>0</v>
      </c>
      <c r="R1488" s="60" t="n">
        <f aca="false">G1488+H1488+I1488</f>
        <v>3.82</v>
      </c>
      <c r="S1488" s="60" t="n">
        <f aca="false">K1488+L1488+M1488+N1488+O1488</f>
        <v>2.49</v>
      </c>
      <c r="T1488" s="60" t="n">
        <f aca="false">L1488+M1488</f>
        <v>1.06</v>
      </c>
      <c r="U1488" s="60" t="n">
        <f aca="false">S1488+J1488</f>
        <v>2.49</v>
      </c>
      <c r="V1488" s="63" t="n">
        <f aca="false">IFERROR(S1488/F1488,0)</f>
        <v>0.394611727416799</v>
      </c>
      <c r="W1488" s="63" t="n">
        <f aca="false">IFERROR(R1488/F1488,0)</f>
        <v>0.605388272583201</v>
      </c>
      <c r="X1488" s="63" t="n">
        <f aca="false">IFERROR(T1488/F1488,0)</f>
        <v>0.167987321711569</v>
      </c>
      <c r="Y1488" s="63" t="n">
        <f aca="false">IFERROR(G1488/F1488,0)</f>
        <v>0.374009508716323</v>
      </c>
      <c r="Z1488" s="59" t="n">
        <f aca="false">IF(E1488&gt;0,F1488*1000000000/E1488,"")</f>
        <v>3461.30659661406</v>
      </c>
      <c r="AA1488" s="63" t="n">
        <f aca="false">IFERROR((R1488+S1488+J1488)/F1488,0)</f>
        <v>1</v>
      </c>
      <c r="AB1488" s="0" t="str">
        <f aca="false">A1488&amp;"|"&amp;D1488</f>
        <v>North Macedonia|2024</v>
      </c>
    </row>
    <row r="1489" customFormat="false" ht="15" hidden="false" customHeight="false" outlineLevel="0" collapsed="false">
      <c r="A1489" s="0" t="s">
        <v>322</v>
      </c>
      <c r="B1489" s="0" t="s">
        <v>561</v>
      </c>
      <c r="C1489" s="0" t="s">
        <v>127</v>
      </c>
      <c r="D1489" s="0" t="n">
        <v>2025</v>
      </c>
      <c r="E1489" s="59" t="n">
        <v>1813792</v>
      </c>
      <c r="F1489" s="60" t="n">
        <v>6.82</v>
      </c>
      <c r="G1489" s="61" t="n">
        <v>2.09</v>
      </c>
      <c r="H1489" s="61" t="n">
        <v>1.34</v>
      </c>
      <c r="I1489" s="61" t="n">
        <v>0.17</v>
      </c>
      <c r="J1489" s="61" t="n">
        <v>0</v>
      </c>
      <c r="K1489" s="61" t="n">
        <v>1.36</v>
      </c>
      <c r="L1489" s="61" t="n">
        <v>1.62</v>
      </c>
      <c r="M1489" s="61" t="n">
        <v>0.2</v>
      </c>
      <c r="N1489" s="61" t="n">
        <v>0.04</v>
      </c>
      <c r="O1489" s="61" t="n">
        <v>0</v>
      </c>
      <c r="P1489" s="62" t="n">
        <v>441.4</v>
      </c>
      <c r="Q1489" s="0" t="n">
        <v>0</v>
      </c>
      <c r="R1489" s="60" t="n">
        <f aca="false">G1489+H1489+I1489</f>
        <v>3.6</v>
      </c>
      <c r="S1489" s="60" t="n">
        <f aca="false">K1489+L1489+M1489+N1489+O1489</f>
        <v>3.22</v>
      </c>
      <c r="T1489" s="60" t="n">
        <f aca="false">L1489+M1489</f>
        <v>1.82</v>
      </c>
      <c r="U1489" s="60" t="n">
        <f aca="false">S1489+J1489</f>
        <v>3.22</v>
      </c>
      <c r="V1489" s="63" t="n">
        <f aca="false">IFERROR(S1489/F1489,0)</f>
        <v>0.472140762463343</v>
      </c>
      <c r="W1489" s="63" t="n">
        <f aca="false">IFERROR(R1489/F1489,0)</f>
        <v>0.527859237536657</v>
      </c>
      <c r="X1489" s="63" t="n">
        <f aca="false">IFERROR(T1489/F1489,0)</f>
        <v>0.266862170087977</v>
      </c>
      <c r="Y1489" s="63" t="n">
        <f aca="false">IFERROR(G1489/F1489,0)</f>
        <v>0.306451612903226</v>
      </c>
      <c r="Z1489" s="59" t="n">
        <f aca="false">IF(E1489&gt;0,F1489*1000000000/E1489,"")</f>
        <v>3760.0783331275</v>
      </c>
      <c r="AA1489" s="63" t="n">
        <f aca="false">IFERROR((R1489+S1489+J1489)/F1489,0)</f>
        <v>1</v>
      </c>
      <c r="AB1489" s="0" t="str">
        <f aca="false">A1489&amp;"|"&amp;D1489</f>
        <v>North Macedonia|2025</v>
      </c>
    </row>
    <row r="1490" customFormat="false" ht="15" hidden="false" customHeight="false" outlineLevel="0" collapsed="false">
      <c r="A1490" s="0" t="s">
        <v>323</v>
      </c>
      <c r="B1490" s="0" t="s">
        <v>562</v>
      </c>
      <c r="C1490" s="0" t="s">
        <v>127</v>
      </c>
      <c r="D1490" s="0" t="n">
        <v>2015</v>
      </c>
      <c r="E1490" s="59" t="n">
        <v>5189777</v>
      </c>
      <c r="F1490" s="60" t="n">
        <v>143</v>
      </c>
      <c r="G1490" s="61" t="n">
        <v>0.04</v>
      </c>
      <c r="H1490" s="61" t="n">
        <v>2.2</v>
      </c>
      <c r="I1490" s="61" t="n">
        <v>0.69</v>
      </c>
      <c r="J1490" s="61" t="n">
        <v>0</v>
      </c>
      <c r="K1490" s="61" t="n">
        <v>137.3</v>
      </c>
      <c r="L1490" s="61" t="n">
        <v>0</v>
      </c>
      <c r="M1490" s="61" t="n">
        <v>2.52</v>
      </c>
      <c r="N1490" s="61" t="n">
        <v>0.25</v>
      </c>
      <c r="O1490" s="61" t="n">
        <v>0</v>
      </c>
      <c r="P1490" s="62" t="n">
        <v>33.6</v>
      </c>
      <c r="Q1490" s="0" t="n">
        <v>0</v>
      </c>
      <c r="R1490" s="60" t="n">
        <f aca="false">G1490+H1490+I1490</f>
        <v>2.93</v>
      </c>
      <c r="S1490" s="60" t="n">
        <f aca="false">K1490+L1490+M1490+N1490+O1490</f>
        <v>140.07</v>
      </c>
      <c r="T1490" s="60" t="n">
        <f aca="false">L1490+M1490</f>
        <v>2.52</v>
      </c>
      <c r="U1490" s="60" t="n">
        <f aca="false">S1490+J1490</f>
        <v>140.07</v>
      </c>
      <c r="V1490" s="63" t="n">
        <f aca="false">IFERROR(S1490/F1490,0)</f>
        <v>0.97951048951049</v>
      </c>
      <c r="W1490" s="63" t="n">
        <f aca="false">IFERROR(R1490/F1490,0)</f>
        <v>0.0204895104895105</v>
      </c>
      <c r="X1490" s="63" t="n">
        <f aca="false">IFERROR(T1490/F1490,0)</f>
        <v>0.0176223776223776</v>
      </c>
      <c r="Y1490" s="63" t="n">
        <f aca="false">IFERROR(G1490/F1490,0)</f>
        <v>0.00027972027972028</v>
      </c>
      <c r="Z1490" s="59" t="n">
        <f aca="false">IF(E1490&gt;0,F1490*1000000000/E1490,"")</f>
        <v>27554.1704393079</v>
      </c>
      <c r="AA1490" s="63" t="n">
        <f aca="false">IFERROR((R1490+S1490+J1490)/F1490,0)</f>
        <v>1</v>
      </c>
      <c r="AB1490" s="0" t="str">
        <f aca="false">A1490&amp;"|"&amp;D1490</f>
        <v>Norway|2015</v>
      </c>
    </row>
    <row r="1491" customFormat="false" ht="15" hidden="false" customHeight="false" outlineLevel="0" collapsed="false">
      <c r="A1491" s="0" t="s">
        <v>323</v>
      </c>
      <c r="B1491" s="0" t="s">
        <v>562</v>
      </c>
      <c r="C1491" s="0" t="s">
        <v>127</v>
      </c>
      <c r="D1491" s="0" t="n">
        <v>2016</v>
      </c>
      <c r="E1491" s="59" t="n">
        <v>5235974</v>
      </c>
      <c r="F1491" s="60" t="n">
        <v>148.03</v>
      </c>
      <c r="G1491" s="61" t="n">
        <v>0.04</v>
      </c>
      <c r="H1491" s="61" t="n">
        <v>2.21</v>
      </c>
      <c r="I1491" s="61" t="n">
        <v>0.63</v>
      </c>
      <c r="J1491" s="61" t="n">
        <v>0</v>
      </c>
      <c r="K1491" s="61" t="n">
        <v>142.81</v>
      </c>
      <c r="L1491" s="61" t="n">
        <v>0</v>
      </c>
      <c r="M1491" s="61" t="n">
        <v>2.11</v>
      </c>
      <c r="N1491" s="61" t="n">
        <v>0.23</v>
      </c>
      <c r="O1491" s="61" t="n">
        <v>0</v>
      </c>
      <c r="P1491" s="62" t="n">
        <v>33.1</v>
      </c>
      <c r="Q1491" s="0" t="n">
        <v>0</v>
      </c>
      <c r="R1491" s="60" t="n">
        <f aca="false">G1491+H1491+I1491</f>
        <v>2.88</v>
      </c>
      <c r="S1491" s="60" t="n">
        <f aca="false">K1491+L1491+M1491+N1491+O1491</f>
        <v>145.15</v>
      </c>
      <c r="T1491" s="60" t="n">
        <f aca="false">L1491+M1491</f>
        <v>2.11</v>
      </c>
      <c r="U1491" s="60" t="n">
        <f aca="false">S1491+J1491</f>
        <v>145.15</v>
      </c>
      <c r="V1491" s="63" t="n">
        <f aca="false">IFERROR(S1491/F1491,0)</f>
        <v>0.98054448422617</v>
      </c>
      <c r="W1491" s="63" t="n">
        <f aca="false">IFERROR(R1491/F1491,0)</f>
        <v>0.0194555157738296</v>
      </c>
      <c r="X1491" s="63" t="n">
        <f aca="false">IFERROR(T1491/F1491,0)</f>
        <v>0.0142538674592988</v>
      </c>
      <c r="Y1491" s="63" t="n">
        <f aca="false">IFERROR(G1491/F1491,0)</f>
        <v>0.000270215496858745</v>
      </c>
      <c r="Z1491" s="59" t="n">
        <f aca="false">IF(E1491&gt;0,F1491*1000000000/E1491,"")</f>
        <v>28271.7217465175</v>
      </c>
      <c r="AA1491" s="63" t="n">
        <f aca="false">IFERROR((R1491+S1491+J1491)/F1491,0)</f>
        <v>1</v>
      </c>
      <c r="AB1491" s="0" t="str">
        <f aca="false">A1491&amp;"|"&amp;D1491</f>
        <v>Norway|2016</v>
      </c>
    </row>
    <row r="1492" customFormat="false" ht="15" hidden="false" customHeight="false" outlineLevel="0" collapsed="false">
      <c r="A1492" s="0" t="s">
        <v>323</v>
      </c>
      <c r="B1492" s="0" t="s">
        <v>562</v>
      </c>
      <c r="C1492" s="0" t="s">
        <v>127</v>
      </c>
      <c r="D1492" s="0" t="n">
        <v>2017</v>
      </c>
      <c r="E1492" s="59" t="n">
        <v>5276807</v>
      </c>
      <c r="F1492" s="60" t="n">
        <v>148.27</v>
      </c>
      <c r="G1492" s="61" t="n">
        <v>0.04</v>
      </c>
      <c r="H1492" s="61" t="n">
        <v>2.06</v>
      </c>
      <c r="I1492" s="61" t="n">
        <v>0.69</v>
      </c>
      <c r="J1492" s="61" t="n">
        <v>0</v>
      </c>
      <c r="K1492" s="61" t="n">
        <v>142.37</v>
      </c>
      <c r="L1492" s="61" t="n">
        <v>0</v>
      </c>
      <c r="M1492" s="61" t="n">
        <v>2.85</v>
      </c>
      <c r="N1492" s="61" t="n">
        <v>0.26</v>
      </c>
      <c r="O1492" s="61" t="n">
        <v>0</v>
      </c>
      <c r="P1492" s="62" t="n">
        <v>33</v>
      </c>
      <c r="Q1492" s="0" t="n">
        <v>0</v>
      </c>
      <c r="R1492" s="60" t="n">
        <f aca="false">G1492+H1492+I1492</f>
        <v>2.79</v>
      </c>
      <c r="S1492" s="60" t="n">
        <f aca="false">K1492+L1492+M1492+N1492+O1492</f>
        <v>145.48</v>
      </c>
      <c r="T1492" s="60" t="n">
        <f aca="false">L1492+M1492</f>
        <v>2.85</v>
      </c>
      <c r="U1492" s="60" t="n">
        <f aca="false">S1492+J1492</f>
        <v>145.48</v>
      </c>
      <c r="V1492" s="63" t="n">
        <f aca="false">IFERROR(S1492/F1492,0)</f>
        <v>0.981182977001416</v>
      </c>
      <c r="W1492" s="63" t="n">
        <f aca="false">IFERROR(R1492/F1492,0)</f>
        <v>0.0188170229985837</v>
      </c>
      <c r="X1492" s="63" t="n">
        <f aca="false">IFERROR(T1492/F1492,0)</f>
        <v>0.0192216901598435</v>
      </c>
      <c r="Y1492" s="63" t="n">
        <f aca="false">IFERROR(G1492/F1492,0)</f>
        <v>0.000269778107506576</v>
      </c>
      <c r="Z1492" s="59" t="n">
        <f aca="false">IF(E1492&gt;0,F1492*1000000000/E1492,"")</f>
        <v>28098.431494652</v>
      </c>
      <c r="AA1492" s="63" t="n">
        <f aca="false">IFERROR((R1492+S1492+J1492)/F1492,0)</f>
        <v>1</v>
      </c>
      <c r="AB1492" s="0" t="str">
        <f aca="false">A1492&amp;"|"&amp;D1492</f>
        <v>Norway|2017</v>
      </c>
    </row>
    <row r="1493" customFormat="false" ht="15" hidden="false" customHeight="false" outlineLevel="0" collapsed="false">
      <c r="A1493" s="0" t="s">
        <v>323</v>
      </c>
      <c r="B1493" s="0" t="s">
        <v>562</v>
      </c>
      <c r="C1493" s="0" t="s">
        <v>127</v>
      </c>
      <c r="D1493" s="0" t="n">
        <v>2018</v>
      </c>
      <c r="E1493" s="59" t="n">
        <v>5311751</v>
      </c>
      <c r="F1493" s="60" t="n">
        <v>145.94</v>
      </c>
      <c r="G1493" s="61" t="n">
        <v>0.04</v>
      </c>
      <c r="H1493" s="61" t="n">
        <v>2.18</v>
      </c>
      <c r="I1493" s="61" t="n">
        <v>0.67</v>
      </c>
      <c r="J1493" s="61" t="n">
        <v>0</v>
      </c>
      <c r="K1493" s="61" t="n">
        <v>138.98</v>
      </c>
      <c r="L1493" s="61" t="n">
        <v>0</v>
      </c>
      <c r="M1493" s="61" t="n">
        <v>3.87</v>
      </c>
      <c r="N1493" s="61" t="n">
        <v>0.2</v>
      </c>
      <c r="O1493" s="61" t="n">
        <v>0</v>
      </c>
      <c r="P1493" s="62" t="n">
        <v>33.1</v>
      </c>
      <c r="Q1493" s="0" t="n">
        <v>0</v>
      </c>
      <c r="R1493" s="60" t="n">
        <f aca="false">G1493+H1493+I1493</f>
        <v>2.89</v>
      </c>
      <c r="S1493" s="60" t="n">
        <f aca="false">K1493+L1493+M1493+N1493+O1493</f>
        <v>143.05</v>
      </c>
      <c r="T1493" s="60" t="n">
        <f aca="false">L1493+M1493</f>
        <v>3.87</v>
      </c>
      <c r="U1493" s="60" t="n">
        <f aca="false">S1493+J1493</f>
        <v>143.05</v>
      </c>
      <c r="V1493" s="63" t="n">
        <f aca="false">IFERROR(S1493/F1493,0)</f>
        <v>0.980197341373167</v>
      </c>
      <c r="W1493" s="63" t="n">
        <f aca="false">IFERROR(R1493/F1493,0)</f>
        <v>0.0198026586268329</v>
      </c>
      <c r="X1493" s="63" t="n">
        <f aca="false">IFERROR(T1493/F1493,0)</f>
        <v>0.026517747019323</v>
      </c>
      <c r="Y1493" s="63" t="n">
        <f aca="false">IFERROR(G1493/F1493,0)</f>
        <v>0.000274085240509799</v>
      </c>
      <c r="Z1493" s="59" t="n">
        <f aca="false">IF(E1493&gt;0,F1493*1000000000/E1493,"")</f>
        <v>27474.9324657726</v>
      </c>
      <c r="AA1493" s="63" t="n">
        <f aca="false">IFERROR((R1493+S1493+J1493)/F1493,0)</f>
        <v>1</v>
      </c>
      <c r="AB1493" s="0" t="str">
        <f aca="false">A1493&amp;"|"&amp;D1493</f>
        <v>Norway|2018</v>
      </c>
    </row>
    <row r="1494" customFormat="false" ht="15" hidden="false" customHeight="false" outlineLevel="0" collapsed="false">
      <c r="A1494" s="0" t="s">
        <v>323</v>
      </c>
      <c r="B1494" s="0" t="s">
        <v>562</v>
      </c>
      <c r="C1494" s="0" t="s">
        <v>127</v>
      </c>
      <c r="D1494" s="0" t="n">
        <v>2019</v>
      </c>
      <c r="E1494" s="59" t="n">
        <v>5347733</v>
      </c>
      <c r="F1494" s="60" t="n">
        <v>133.83</v>
      </c>
      <c r="G1494" s="61" t="n">
        <v>0.04</v>
      </c>
      <c r="H1494" s="61" t="n">
        <v>2.06</v>
      </c>
      <c r="I1494" s="61" t="n">
        <v>0.66</v>
      </c>
      <c r="J1494" s="61" t="n">
        <v>0</v>
      </c>
      <c r="K1494" s="61" t="n">
        <v>125.29</v>
      </c>
      <c r="L1494" s="61" t="n">
        <v>0.01</v>
      </c>
      <c r="M1494" s="61" t="n">
        <v>5.52</v>
      </c>
      <c r="N1494" s="61" t="n">
        <v>0.25</v>
      </c>
      <c r="O1494" s="61" t="n">
        <v>0</v>
      </c>
      <c r="P1494" s="62" t="n">
        <v>33.5</v>
      </c>
      <c r="Q1494" s="0" t="n">
        <v>0</v>
      </c>
      <c r="R1494" s="60" t="n">
        <f aca="false">G1494+H1494+I1494</f>
        <v>2.76</v>
      </c>
      <c r="S1494" s="60" t="n">
        <f aca="false">K1494+L1494+M1494+N1494+O1494</f>
        <v>131.07</v>
      </c>
      <c r="T1494" s="60" t="n">
        <f aca="false">L1494+M1494</f>
        <v>5.53</v>
      </c>
      <c r="U1494" s="60" t="n">
        <f aca="false">S1494+J1494</f>
        <v>131.07</v>
      </c>
      <c r="V1494" s="63" t="n">
        <f aca="false">IFERROR(S1494/F1494,0)</f>
        <v>0.979376821340507</v>
      </c>
      <c r="W1494" s="63" t="n">
        <f aca="false">IFERROR(R1494/F1494,0)</f>
        <v>0.0206231786594934</v>
      </c>
      <c r="X1494" s="63" t="n">
        <f aca="false">IFERROR(T1494/F1494,0)</f>
        <v>0.0413210789807965</v>
      </c>
      <c r="Y1494" s="63" t="n">
        <f aca="false">IFERROR(G1494/F1494,0)</f>
        <v>0.000298886647239035</v>
      </c>
      <c r="Z1494" s="59" t="n">
        <f aca="false">IF(E1494&gt;0,F1494*1000000000/E1494,"")</f>
        <v>25025.5575586889</v>
      </c>
      <c r="AA1494" s="63" t="n">
        <f aca="false">IFERROR((R1494+S1494+J1494)/F1494,0)</f>
        <v>1</v>
      </c>
      <c r="AB1494" s="0" t="str">
        <f aca="false">A1494&amp;"|"&amp;D1494</f>
        <v>Norway|2019</v>
      </c>
    </row>
    <row r="1495" customFormat="false" ht="15" hidden="false" customHeight="false" outlineLevel="0" collapsed="false">
      <c r="A1495" s="0" t="s">
        <v>323</v>
      </c>
      <c r="B1495" s="0" t="s">
        <v>562</v>
      </c>
      <c r="C1495" s="0" t="s">
        <v>127</v>
      </c>
      <c r="D1495" s="0" t="n">
        <v>2020</v>
      </c>
      <c r="E1495" s="59" t="n">
        <v>5379275</v>
      </c>
      <c r="F1495" s="60" t="n">
        <v>154.32</v>
      </c>
      <c r="G1495" s="61" t="n">
        <v>0.04</v>
      </c>
      <c r="H1495" s="61" t="n">
        <v>1.61</v>
      </c>
      <c r="I1495" s="61" t="n">
        <v>0.64</v>
      </c>
      <c r="J1495" s="61" t="n">
        <v>0</v>
      </c>
      <c r="K1495" s="61" t="n">
        <v>141.8</v>
      </c>
      <c r="L1495" s="61" t="n">
        <v>0.08</v>
      </c>
      <c r="M1495" s="61" t="n">
        <v>9.91</v>
      </c>
      <c r="N1495" s="61" t="n">
        <v>0.24</v>
      </c>
      <c r="O1495" s="61" t="n">
        <v>0</v>
      </c>
      <c r="P1495" s="62" t="n">
        <v>30.4</v>
      </c>
      <c r="Q1495" s="0" t="n">
        <v>0</v>
      </c>
      <c r="R1495" s="60" t="n">
        <f aca="false">G1495+H1495+I1495</f>
        <v>2.29</v>
      </c>
      <c r="S1495" s="60" t="n">
        <f aca="false">K1495+L1495+M1495+N1495+O1495</f>
        <v>152.03</v>
      </c>
      <c r="T1495" s="60" t="n">
        <f aca="false">L1495+M1495</f>
        <v>9.99</v>
      </c>
      <c r="U1495" s="60" t="n">
        <f aca="false">S1495+J1495</f>
        <v>152.03</v>
      </c>
      <c r="V1495" s="63" t="n">
        <f aca="false">IFERROR(S1495/F1495,0)</f>
        <v>0.985160705028512</v>
      </c>
      <c r="W1495" s="63" t="n">
        <f aca="false">IFERROR(R1495/F1495,0)</f>
        <v>0.0148392949714878</v>
      </c>
      <c r="X1495" s="63" t="n">
        <f aca="false">IFERROR(T1495/F1495,0)</f>
        <v>0.0647356143079316</v>
      </c>
      <c r="Y1495" s="63" t="n">
        <f aca="false">IFERROR(G1495/F1495,0)</f>
        <v>0.000259201658890617</v>
      </c>
      <c r="Z1495" s="59" t="n">
        <f aca="false">IF(E1495&gt;0,F1495*1000000000/E1495,"")</f>
        <v>28687.8808017809</v>
      </c>
      <c r="AA1495" s="63" t="n">
        <f aca="false">IFERROR((R1495+S1495+J1495)/F1495,0)</f>
        <v>1</v>
      </c>
      <c r="AB1495" s="0" t="str">
        <f aca="false">A1495&amp;"|"&amp;D1495</f>
        <v>Norway|2020</v>
      </c>
    </row>
    <row r="1496" customFormat="false" ht="15" hidden="false" customHeight="false" outlineLevel="0" collapsed="false">
      <c r="A1496" s="0" t="s">
        <v>323</v>
      </c>
      <c r="B1496" s="0" t="s">
        <v>562</v>
      </c>
      <c r="C1496" s="0" t="s">
        <v>127</v>
      </c>
      <c r="D1496" s="0" t="n">
        <v>2021</v>
      </c>
      <c r="E1496" s="59" t="n">
        <v>5408082</v>
      </c>
      <c r="F1496" s="60" t="n">
        <v>157.13</v>
      </c>
      <c r="G1496" s="61" t="n">
        <v>0.04</v>
      </c>
      <c r="H1496" s="61" t="n">
        <v>0.31</v>
      </c>
      <c r="I1496" s="61" t="n">
        <v>0.72</v>
      </c>
      <c r="J1496" s="61" t="n">
        <v>0</v>
      </c>
      <c r="K1496" s="61" t="n">
        <v>143.97</v>
      </c>
      <c r="L1496" s="61" t="n">
        <v>0.11</v>
      </c>
      <c r="M1496" s="61" t="n">
        <v>11.76</v>
      </c>
      <c r="N1496" s="61" t="n">
        <v>0.22</v>
      </c>
      <c r="O1496" s="61" t="n">
        <v>0</v>
      </c>
      <c r="P1496" s="62" t="n">
        <v>26.9</v>
      </c>
      <c r="Q1496" s="0" t="n">
        <v>0</v>
      </c>
      <c r="R1496" s="60" t="n">
        <f aca="false">G1496+H1496+I1496</f>
        <v>1.07</v>
      </c>
      <c r="S1496" s="60" t="n">
        <f aca="false">K1496+L1496+M1496+N1496+O1496</f>
        <v>156.06</v>
      </c>
      <c r="T1496" s="60" t="n">
        <f aca="false">L1496+M1496</f>
        <v>11.87</v>
      </c>
      <c r="U1496" s="60" t="n">
        <f aca="false">S1496+J1496</f>
        <v>156.06</v>
      </c>
      <c r="V1496" s="63" t="n">
        <f aca="false">IFERROR(S1496/F1496,0)</f>
        <v>0.993190351937886</v>
      </c>
      <c r="W1496" s="63" t="n">
        <f aca="false">IFERROR(R1496/F1496,0)</f>
        <v>0.00680964806211417</v>
      </c>
      <c r="X1496" s="63" t="n">
        <f aca="false">IFERROR(T1496/F1496,0)</f>
        <v>0.0755425443899955</v>
      </c>
      <c r="Y1496" s="63" t="n">
        <f aca="false">IFERROR(G1496/F1496,0)</f>
        <v>0.000254566282695857</v>
      </c>
      <c r="Z1496" s="59" t="n">
        <f aca="false">IF(E1496&gt;0,F1496*1000000000/E1496,"")</f>
        <v>29054.663002521</v>
      </c>
      <c r="AA1496" s="63" t="n">
        <f aca="false">IFERROR((R1496+S1496+J1496)/F1496,0)</f>
        <v>1</v>
      </c>
      <c r="AB1496" s="0" t="str">
        <f aca="false">A1496&amp;"|"&amp;D1496</f>
        <v>Norway|2021</v>
      </c>
    </row>
    <row r="1497" customFormat="false" ht="15" hidden="false" customHeight="false" outlineLevel="0" collapsed="false">
      <c r="A1497" s="0" t="s">
        <v>323</v>
      </c>
      <c r="B1497" s="0" t="s">
        <v>562</v>
      </c>
      <c r="C1497" s="0" t="s">
        <v>127</v>
      </c>
      <c r="D1497" s="0" t="n">
        <v>2022</v>
      </c>
      <c r="E1497" s="59" t="n">
        <v>5456796</v>
      </c>
      <c r="F1497" s="60" t="n">
        <v>145.42</v>
      </c>
      <c r="G1497" s="61" t="n">
        <v>0.04</v>
      </c>
      <c r="H1497" s="61" t="n">
        <v>1.15</v>
      </c>
      <c r="I1497" s="61" t="n">
        <v>0.78</v>
      </c>
      <c r="J1497" s="61" t="n">
        <v>0</v>
      </c>
      <c r="K1497" s="61" t="n">
        <v>128.24</v>
      </c>
      <c r="L1497" s="61" t="n">
        <v>0.17</v>
      </c>
      <c r="M1497" s="61" t="n">
        <v>14.8</v>
      </c>
      <c r="N1497" s="61" t="n">
        <v>0.24</v>
      </c>
      <c r="O1497" s="61" t="n">
        <v>0</v>
      </c>
      <c r="P1497" s="62" t="n">
        <v>29.6</v>
      </c>
      <c r="Q1497" s="0" t="n">
        <v>0</v>
      </c>
      <c r="R1497" s="60" t="n">
        <f aca="false">G1497+H1497+I1497</f>
        <v>1.97</v>
      </c>
      <c r="S1497" s="60" t="n">
        <f aca="false">K1497+L1497+M1497+N1497+O1497</f>
        <v>143.45</v>
      </c>
      <c r="T1497" s="60" t="n">
        <f aca="false">L1497+M1497</f>
        <v>14.97</v>
      </c>
      <c r="U1497" s="60" t="n">
        <f aca="false">S1497+J1497</f>
        <v>143.45</v>
      </c>
      <c r="V1497" s="63" t="n">
        <f aca="false">IFERROR(S1497/F1497,0)</f>
        <v>0.986453032595242</v>
      </c>
      <c r="W1497" s="63" t="n">
        <f aca="false">IFERROR(R1497/F1497,0)</f>
        <v>0.0135469674047586</v>
      </c>
      <c r="X1497" s="63" t="n">
        <f aca="false">IFERROR(T1497/F1497,0)</f>
        <v>0.102943199009765</v>
      </c>
      <c r="Y1497" s="63" t="n">
        <f aca="false">IFERROR(G1497/F1497,0)</f>
        <v>0.000275065328015404</v>
      </c>
      <c r="Z1497" s="59" t="n">
        <f aca="false">IF(E1497&gt;0,F1497*1000000000/E1497,"")</f>
        <v>26649.3378165502</v>
      </c>
      <c r="AA1497" s="63" t="n">
        <f aca="false">IFERROR((R1497+S1497+J1497)/F1497,0)</f>
        <v>1</v>
      </c>
      <c r="AB1497" s="0" t="str">
        <f aca="false">A1497&amp;"|"&amp;D1497</f>
        <v>Norway|2022</v>
      </c>
    </row>
    <row r="1498" customFormat="false" ht="15" hidden="false" customHeight="false" outlineLevel="0" collapsed="false">
      <c r="A1498" s="0" t="s">
        <v>323</v>
      </c>
      <c r="B1498" s="0" t="s">
        <v>562</v>
      </c>
      <c r="C1498" s="0" t="s">
        <v>127</v>
      </c>
      <c r="D1498" s="0" t="n">
        <v>2023</v>
      </c>
      <c r="E1498" s="59" t="n">
        <v>5519167</v>
      </c>
      <c r="F1498" s="60" t="n">
        <v>153.63</v>
      </c>
      <c r="G1498" s="61" t="n">
        <v>0.03</v>
      </c>
      <c r="H1498" s="61" t="n">
        <v>1.53</v>
      </c>
      <c r="I1498" s="61" t="n">
        <v>0.79</v>
      </c>
      <c r="J1498" s="61" t="n">
        <v>0</v>
      </c>
      <c r="K1498" s="61" t="n">
        <v>136.71</v>
      </c>
      <c r="L1498" s="61" t="n">
        <v>0.36</v>
      </c>
      <c r="M1498" s="61" t="n">
        <v>13.96</v>
      </c>
      <c r="N1498" s="61" t="n">
        <v>0.25</v>
      </c>
      <c r="O1498" s="61" t="n">
        <v>0</v>
      </c>
      <c r="P1498" s="62" t="n">
        <v>30.5</v>
      </c>
      <c r="Q1498" s="0" t="n">
        <v>0</v>
      </c>
      <c r="R1498" s="60" t="n">
        <f aca="false">G1498+H1498+I1498</f>
        <v>2.35</v>
      </c>
      <c r="S1498" s="60" t="n">
        <f aca="false">K1498+L1498+M1498+N1498+O1498</f>
        <v>151.28</v>
      </c>
      <c r="T1498" s="60" t="n">
        <f aca="false">L1498+M1498</f>
        <v>14.32</v>
      </c>
      <c r="U1498" s="60" t="n">
        <f aca="false">S1498+J1498</f>
        <v>151.28</v>
      </c>
      <c r="V1498" s="63" t="n">
        <f aca="false">IFERROR(S1498/F1498,0)</f>
        <v>0.984703508429343</v>
      </c>
      <c r="W1498" s="63" t="n">
        <f aca="false">IFERROR(R1498/F1498,0)</f>
        <v>0.0152964915706568</v>
      </c>
      <c r="X1498" s="63" t="n">
        <f aca="false">IFERROR(T1498/F1498,0)</f>
        <v>0.0932109614007681</v>
      </c>
      <c r="Y1498" s="63" t="n">
        <f aca="false">IFERROR(G1498/F1498,0)</f>
        <v>0.000195274360476469</v>
      </c>
      <c r="Z1498" s="59" t="n">
        <f aca="false">IF(E1498&gt;0,F1498*1000000000/E1498,"")</f>
        <v>27835.7223109937</v>
      </c>
      <c r="AA1498" s="63" t="n">
        <f aca="false">IFERROR((R1498+S1498+J1498)/F1498,0)</f>
        <v>1</v>
      </c>
      <c r="AB1498" s="0" t="str">
        <f aca="false">A1498&amp;"|"&amp;D1498</f>
        <v>Norway|2023</v>
      </c>
    </row>
    <row r="1499" customFormat="false" ht="15" hidden="false" customHeight="false" outlineLevel="0" collapsed="false">
      <c r="A1499" s="0" t="s">
        <v>323</v>
      </c>
      <c r="B1499" s="0" t="s">
        <v>562</v>
      </c>
      <c r="C1499" s="0" t="s">
        <v>127</v>
      </c>
      <c r="D1499" s="0" t="n">
        <v>2024</v>
      </c>
      <c r="E1499" s="59" t="n">
        <v>5576656</v>
      </c>
      <c r="F1499" s="60" t="n">
        <v>157.11</v>
      </c>
      <c r="G1499" s="61" t="n">
        <v>0</v>
      </c>
      <c r="H1499" s="61" t="n">
        <v>1.47</v>
      </c>
      <c r="I1499" s="61" t="n">
        <v>0.72</v>
      </c>
      <c r="J1499" s="61" t="n">
        <v>0</v>
      </c>
      <c r="K1499" s="61" t="n">
        <v>139.55</v>
      </c>
      <c r="L1499" s="61" t="n">
        <v>0.53</v>
      </c>
      <c r="M1499" s="61" t="n">
        <v>14.6</v>
      </c>
      <c r="N1499" s="61" t="n">
        <v>0.24</v>
      </c>
      <c r="O1499" s="61" t="n">
        <v>0</v>
      </c>
      <c r="P1499" s="62" t="n">
        <v>29.7</v>
      </c>
      <c r="Q1499" s="0" t="n">
        <v>0</v>
      </c>
      <c r="R1499" s="60" t="n">
        <f aca="false">G1499+H1499+I1499</f>
        <v>2.19</v>
      </c>
      <c r="S1499" s="60" t="n">
        <f aca="false">K1499+L1499+M1499+N1499+O1499</f>
        <v>154.92</v>
      </c>
      <c r="T1499" s="60" t="n">
        <f aca="false">L1499+M1499</f>
        <v>15.13</v>
      </c>
      <c r="U1499" s="60" t="n">
        <f aca="false">S1499+J1499</f>
        <v>154.92</v>
      </c>
      <c r="V1499" s="63" t="n">
        <f aca="false">IFERROR(S1499/F1499,0)</f>
        <v>0.986060721787283</v>
      </c>
      <c r="W1499" s="63" t="n">
        <f aca="false">IFERROR(R1499/F1499,0)</f>
        <v>0.0139392782127172</v>
      </c>
      <c r="X1499" s="63" t="n">
        <f aca="false">IFERROR(T1499/F1499,0)</f>
        <v>0.0963019540449367</v>
      </c>
      <c r="Y1499" s="63" t="n">
        <f aca="false">IFERROR(G1499/F1499,0)</f>
        <v>0</v>
      </c>
      <c r="Z1499" s="59" t="n">
        <f aca="false">IF(E1499&gt;0,F1499*1000000000/E1499,"")</f>
        <v>28172.7974614177</v>
      </c>
      <c r="AA1499" s="63" t="n">
        <f aca="false">IFERROR((R1499+S1499+J1499)/F1499,0)</f>
        <v>1</v>
      </c>
      <c r="AB1499" s="0" t="str">
        <f aca="false">A1499&amp;"|"&amp;D1499</f>
        <v>Norway|2024</v>
      </c>
    </row>
    <row r="1500" customFormat="false" ht="15" hidden="false" customHeight="false" outlineLevel="0" collapsed="false">
      <c r="A1500" s="0" t="s">
        <v>323</v>
      </c>
      <c r="B1500" s="0" t="s">
        <v>562</v>
      </c>
      <c r="C1500" s="0" t="s">
        <v>127</v>
      </c>
      <c r="D1500" s="0" t="n">
        <v>2025</v>
      </c>
      <c r="E1500" s="59" t="n">
        <v>5623074</v>
      </c>
      <c r="F1500" s="60" t="n">
        <v>160.81</v>
      </c>
      <c r="G1500" s="61" t="n">
        <v>0</v>
      </c>
      <c r="H1500" s="61" t="n">
        <v>0.9</v>
      </c>
      <c r="I1500" s="61" t="n">
        <v>0.71</v>
      </c>
      <c r="J1500" s="61" t="n">
        <v>0</v>
      </c>
      <c r="K1500" s="61" t="n">
        <v>144.77</v>
      </c>
      <c r="L1500" s="61" t="n">
        <v>0.53</v>
      </c>
      <c r="M1500" s="61" t="n">
        <v>13.56</v>
      </c>
      <c r="N1500" s="61" t="n">
        <v>0.24</v>
      </c>
      <c r="O1500" s="61" t="n">
        <v>0.1</v>
      </c>
      <c r="P1500" s="62" t="n">
        <v>28.1</v>
      </c>
      <c r="Q1500" s="0" t="n">
        <v>0</v>
      </c>
      <c r="R1500" s="60" t="n">
        <f aca="false">G1500+H1500+I1500</f>
        <v>1.61</v>
      </c>
      <c r="S1500" s="60" t="n">
        <f aca="false">K1500+L1500+M1500+N1500+O1500</f>
        <v>159.2</v>
      </c>
      <c r="T1500" s="60" t="n">
        <f aca="false">L1500+M1500</f>
        <v>14.09</v>
      </c>
      <c r="U1500" s="60" t="n">
        <f aca="false">S1500+J1500</f>
        <v>159.2</v>
      </c>
      <c r="V1500" s="63" t="n">
        <f aca="false">IFERROR(S1500/F1500,0)</f>
        <v>0.989988184814377</v>
      </c>
      <c r="W1500" s="63" t="n">
        <f aca="false">IFERROR(R1500/F1500,0)</f>
        <v>0.0100118151856228</v>
      </c>
      <c r="X1500" s="63" t="n">
        <f aca="false">IFERROR(T1500/F1500,0)</f>
        <v>0.0876189291710715</v>
      </c>
      <c r="Y1500" s="63" t="n">
        <f aca="false">IFERROR(G1500/F1500,0)</f>
        <v>0</v>
      </c>
      <c r="Z1500" s="59" t="n">
        <f aca="false">IF(E1500&gt;0,F1500*1000000000/E1500,"")</f>
        <v>28598.2364806154</v>
      </c>
      <c r="AA1500" s="63" t="n">
        <f aca="false">IFERROR((R1500+S1500+J1500)/F1500,0)</f>
        <v>1</v>
      </c>
      <c r="AB1500" s="0" t="str">
        <f aca="false">A1500&amp;"|"&amp;D1500</f>
        <v>Norway|2025</v>
      </c>
    </row>
    <row r="1501" customFormat="false" ht="15" hidden="false" customHeight="false" outlineLevel="0" collapsed="false">
      <c r="A1501" s="0" t="s">
        <v>324</v>
      </c>
      <c r="B1501" s="0" t="s">
        <v>563</v>
      </c>
      <c r="C1501" s="0" t="s">
        <v>127</v>
      </c>
      <c r="D1501" s="0" t="n">
        <v>2015</v>
      </c>
      <c r="E1501" s="59" t="n">
        <v>4184898</v>
      </c>
      <c r="F1501" s="60" t="n">
        <v>32.75</v>
      </c>
      <c r="G1501" s="61" t="n">
        <v>0</v>
      </c>
      <c r="H1501" s="61" t="n">
        <v>31.89</v>
      </c>
      <c r="I1501" s="61" t="n">
        <v>0.86</v>
      </c>
      <c r="J1501" s="61" t="n">
        <v>0</v>
      </c>
      <c r="K1501" s="61" t="n">
        <v>0</v>
      </c>
      <c r="L1501" s="61" t="n">
        <v>0</v>
      </c>
      <c r="M1501" s="61" t="n">
        <v>0</v>
      </c>
      <c r="N1501" s="61" t="n">
        <v>0</v>
      </c>
      <c r="O1501" s="61" t="n">
        <v>0</v>
      </c>
      <c r="P1501" s="62" t="n">
        <v>567.3</v>
      </c>
      <c r="Q1501" s="0" t="n">
        <v>0</v>
      </c>
      <c r="R1501" s="60" t="n">
        <f aca="false">G1501+H1501+I1501</f>
        <v>32.75</v>
      </c>
      <c r="S1501" s="60" t="n">
        <f aca="false">K1501+L1501+M1501+N1501+O1501</f>
        <v>0</v>
      </c>
      <c r="T1501" s="60" t="n">
        <f aca="false">L1501+M1501</f>
        <v>0</v>
      </c>
      <c r="U1501" s="60" t="n">
        <f aca="false">S1501+J1501</f>
        <v>0</v>
      </c>
      <c r="V1501" s="63" t="n">
        <f aca="false">IFERROR(S1501/F1501,0)</f>
        <v>0</v>
      </c>
      <c r="W1501" s="63" t="n">
        <f aca="false">IFERROR(R1501/F1501,0)</f>
        <v>1</v>
      </c>
      <c r="X1501" s="63" t="n">
        <f aca="false">IFERROR(T1501/F1501,0)</f>
        <v>0</v>
      </c>
      <c r="Y1501" s="63" t="n">
        <f aca="false">IFERROR(G1501/F1501,0)</f>
        <v>0</v>
      </c>
      <c r="Z1501" s="59" t="n">
        <f aca="false">IF(E1501&gt;0,F1501*1000000000/E1501,"")</f>
        <v>7825.7582383131</v>
      </c>
      <c r="AA1501" s="63" t="n">
        <f aca="false">IFERROR((R1501+S1501+J1501)/F1501,0)</f>
        <v>1</v>
      </c>
      <c r="AB1501" s="0" t="str">
        <f aca="false">A1501&amp;"|"&amp;D1501</f>
        <v>Oman|2015</v>
      </c>
    </row>
    <row r="1502" customFormat="false" ht="15" hidden="false" customHeight="false" outlineLevel="0" collapsed="false">
      <c r="A1502" s="0" t="s">
        <v>324</v>
      </c>
      <c r="B1502" s="0" t="s">
        <v>563</v>
      </c>
      <c r="C1502" s="0" t="s">
        <v>127</v>
      </c>
      <c r="D1502" s="0" t="n">
        <v>2016</v>
      </c>
      <c r="E1502" s="59" t="n">
        <v>4390880</v>
      </c>
      <c r="F1502" s="60" t="n">
        <v>34.23</v>
      </c>
      <c r="G1502" s="61" t="n">
        <v>0</v>
      </c>
      <c r="H1502" s="61" t="n">
        <v>33.29</v>
      </c>
      <c r="I1502" s="61" t="n">
        <v>0.94</v>
      </c>
      <c r="J1502" s="61" t="n">
        <v>0</v>
      </c>
      <c r="K1502" s="61" t="n">
        <v>0</v>
      </c>
      <c r="L1502" s="61" t="n">
        <v>0</v>
      </c>
      <c r="M1502" s="61" t="n">
        <v>0</v>
      </c>
      <c r="N1502" s="61" t="n">
        <v>0</v>
      </c>
      <c r="O1502" s="61" t="n">
        <v>0</v>
      </c>
      <c r="P1502" s="62" t="n">
        <v>567.3</v>
      </c>
      <c r="Q1502" s="0" t="n">
        <v>0</v>
      </c>
      <c r="R1502" s="60" t="n">
        <f aca="false">G1502+H1502+I1502</f>
        <v>34.23</v>
      </c>
      <c r="S1502" s="60" t="n">
        <f aca="false">K1502+L1502+M1502+N1502+O1502</f>
        <v>0</v>
      </c>
      <c r="T1502" s="60" t="n">
        <f aca="false">L1502+M1502</f>
        <v>0</v>
      </c>
      <c r="U1502" s="60" t="n">
        <f aca="false">S1502+J1502</f>
        <v>0</v>
      </c>
      <c r="V1502" s="63" t="n">
        <f aca="false">IFERROR(S1502/F1502,0)</f>
        <v>0</v>
      </c>
      <c r="W1502" s="63" t="n">
        <f aca="false">IFERROR(R1502/F1502,0)</f>
        <v>1</v>
      </c>
      <c r="X1502" s="63" t="n">
        <f aca="false">IFERROR(T1502/F1502,0)</f>
        <v>0</v>
      </c>
      <c r="Y1502" s="63" t="n">
        <f aca="false">IFERROR(G1502/F1502,0)</f>
        <v>0</v>
      </c>
      <c r="Z1502" s="59" t="n">
        <f aca="false">IF(E1502&gt;0,F1502*1000000000/E1502,"")</f>
        <v>7795.70382246839</v>
      </c>
      <c r="AA1502" s="63" t="n">
        <f aca="false">IFERROR((R1502+S1502+J1502)/F1502,0)</f>
        <v>1</v>
      </c>
      <c r="AB1502" s="0" t="str">
        <f aca="false">A1502&amp;"|"&amp;D1502</f>
        <v>Oman|2016</v>
      </c>
    </row>
    <row r="1503" customFormat="false" ht="15" hidden="false" customHeight="false" outlineLevel="0" collapsed="false">
      <c r="A1503" s="0" t="s">
        <v>324</v>
      </c>
      <c r="B1503" s="0" t="s">
        <v>563</v>
      </c>
      <c r="C1503" s="0" t="s">
        <v>127</v>
      </c>
      <c r="D1503" s="0" t="n">
        <v>2017</v>
      </c>
      <c r="E1503" s="59" t="n">
        <v>4537397</v>
      </c>
      <c r="F1503" s="60" t="n">
        <v>36.15</v>
      </c>
      <c r="G1503" s="61" t="n">
        <v>0</v>
      </c>
      <c r="H1503" s="61" t="n">
        <v>35.09</v>
      </c>
      <c r="I1503" s="61" t="n">
        <v>1.04</v>
      </c>
      <c r="J1503" s="61" t="n">
        <v>0</v>
      </c>
      <c r="K1503" s="61" t="n">
        <v>0</v>
      </c>
      <c r="L1503" s="61" t="n">
        <v>0.02</v>
      </c>
      <c r="M1503" s="61" t="n">
        <v>0</v>
      </c>
      <c r="N1503" s="61" t="n">
        <v>0</v>
      </c>
      <c r="O1503" s="61" t="n">
        <v>0</v>
      </c>
      <c r="P1503" s="62" t="n">
        <v>566.8</v>
      </c>
      <c r="Q1503" s="0" t="n">
        <v>0</v>
      </c>
      <c r="R1503" s="60" t="n">
        <f aca="false">G1503+H1503+I1503</f>
        <v>36.13</v>
      </c>
      <c r="S1503" s="60" t="n">
        <f aca="false">K1503+L1503+M1503+N1503+O1503</f>
        <v>0.02</v>
      </c>
      <c r="T1503" s="60" t="n">
        <f aca="false">L1503+M1503</f>
        <v>0.02</v>
      </c>
      <c r="U1503" s="60" t="n">
        <f aca="false">S1503+J1503</f>
        <v>0.02</v>
      </c>
      <c r="V1503" s="63" t="n">
        <f aca="false">IFERROR(S1503/F1503,0)</f>
        <v>0.000553250345781466</v>
      </c>
      <c r="W1503" s="63" t="n">
        <f aca="false">IFERROR(R1503/F1503,0)</f>
        <v>0.999446749654219</v>
      </c>
      <c r="X1503" s="63" t="n">
        <f aca="false">IFERROR(T1503/F1503,0)</f>
        <v>0.000553250345781466</v>
      </c>
      <c r="Y1503" s="63" t="n">
        <f aca="false">IFERROR(G1503/F1503,0)</f>
        <v>0</v>
      </c>
      <c r="Z1503" s="59" t="n">
        <f aca="false">IF(E1503&gt;0,F1503*1000000000/E1503,"")</f>
        <v>7967.12300025764</v>
      </c>
      <c r="AA1503" s="63" t="n">
        <f aca="false">IFERROR((R1503+S1503+J1503)/F1503,0)</f>
        <v>1</v>
      </c>
      <c r="AB1503" s="0" t="str">
        <f aca="false">A1503&amp;"|"&amp;D1503</f>
        <v>Oman|2017</v>
      </c>
    </row>
    <row r="1504" customFormat="false" ht="15" hidden="false" customHeight="false" outlineLevel="0" collapsed="false">
      <c r="A1504" s="0" t="s">
        <v>324</v>
      </c>
      <c r="B1504" s="0" t="s">
        <v>563</v>
      </c>
      <c r="C1504" s="0" t="s">
        <v>127</v>
      </c>
      <c r="D1504" s="0" t="n">
        <v>2018</v>
      </c>
      <c r="E1504" s="59" t="n">
        <v>4597878</v>
      </c>
      <c r="F1504" s="60" t="n">
        <v>37.76</v>
      </c>
      <c r="G1504" s="61" t="n">
        <v>0</v>
      </c>
      <c r="H1504" s="61" t="n">
        <v>36.58</v>
      </c>
      <c r="I1504" s="61" t="n">
        <v>1.13</v>
      </c>
      <c r="J1504" s="61" t="n">
        <v>0</v>
      </c>
      <c r="K1504" s="61" t="n">
        <v>0</v>
      </c>
      <c r="L1504" s="61" t="n">
        <v>0.05</v>
      </c>
      <c r="M1504" s="61" t="n">
        <v>0</v>
      </c>
      <c r="N1504" s="61" t="n">
        <v>0</v>
      </c>
      <c r="O1504" s="61" t="n">
        <v>0</v>
      </c>
      <c r="P1504" s="62" t="n">
        <v>566.5</v>
      </c>
      <c r="Q1504" s="0" t="n">
        <v>0</v>
      </c>
      <c r="R1504" s="60" t="n">
        <f aca="false">G1504+H1504+I1504</f>
        <v>37.71</v>
      </c>
      <c r="S1504" s="60" t="n">
        <f aca="false">K1504+L1504+M1504+N1504+O1504</f>
        <v>0.05</v>
      </c>
      <c r="T1504" s="60" t="n">
        <f aca="false">L1504+M1504</f>
        <v>0.05</v>
      </c>
      <c r="U1504" s="60" t="n">
        <f aca="false">S1504+J1504</f>
        <v>0.05</v>
      </c>
      <c r="V1504" s="63" t="n">
        <f aca="false">IFERROR(S1504/F1504,0)</f>
        <v>0.00132415254237288</v>
      </c>
      <c r="W1504" s="63" t="n">
        <f aca="false">IFERROR(R1504/F1504,0)</f>
        <v>0.998675847457627</v>
      </c>
      <c r="X1504" s="63" t="n">
        <f aca="false">IFERROR(T1504/F1504,0)</f>
        <v>0.00132415254237288</v>
      </c>
      <c r="Y1504" s="63" t="n">
        <f aca="false">IFERROR(G1504/F1504,0)</f>
        <v>0</v>
      </c>
      <c r="Z1504" s="59" t="n">
        <f aca="false">IF(E1504&gt;0,F1504*1000000000/E1504,"")</f>
        <v>8212.48410679883</v>
      </c>
      <c r="AA1504" s="63" t="n">
        <f aca="false">IFERROR((R1504+S1504+J1504)/F1504,0)</f>
        <v>1</v>
      </c>
      <c r="AB1504" s="0" t="str">
        <f aca="false">A1504&amp;"|"&amp;D1504</f>
        <v>Oman|2018</v>
      </c>
    </row>
    <row r="1505" customFormat="false" ht="15" hidden="false" customHeight="false" outlineLevel="0" collapsed="false">
      <c r="A1505" s="0" t="s">
        <v>324</v>
      </c>
      <c r="B1505" s="0" t="s">
        <v>563</v>
      </c>
      <c r="C1505" s="0" t="s">
        <v>127</v>
      </c>
      <c r="D1505" s="0" t="n">
        <v>2019</v>
      </c>
      <c r="E1505" s="59" t="n">
        <v>4591248</v>
      </c>
      <c r="F1505" s="60" t="n">
        <v>38.89</v>
      </c>
      <c r="G1505" s="61" t="n">
        <v>0</v>
      </c>
      <c r="H1505" s="61" t="n">
        <v>37.71</v>
      </c>
      <c r="I1505" s="61" t="n">
        <v>1.12</v>
      </c>
      <c r="J1505" s="61" t="n">
        <v>0</v>
      </c>
      <c r="K1505" s="61" t="n">
        <v>0</v>
      </c>
      <c r="L1505" s="61" t="n">
        <v>0.05</v>
      </c>
      <c r="M1505" s="61" t="n">
        <v>0.01</v>
      </c>
      <c r="N1505" s="61" t="n">
        <v>0</v>
      </c>
      <c r="O1505" s="61" t="n">
        <v>0</v>
      </c>
      <c r="P1505" s="62" t="n">
        <v>566.5</v>
      </c>
      <c r="Q1505" s="0" t="n">
        <v>0</v>
      </c>
      <c r="R1505" s="60" t="n">
        <f aca="false">G1505+H1505+I1505</f>
        <v>38.83</v>
      </c>
      <c r="S1505" s="60" t="n">
        <f aca="false">K1505+L1505+M1505+N1505+O1505</f>
        <v>0.06</v>
      </c>
      <c r="T1505" s="60" t="n">
        <f aca="false">L1505+M1505</f>
        <v>0.06</v>
      </c>
      <c r="U1505" s="60" t="n">
        <f aca="false">S1505+J1505</f>
        <v>0.06</v>
      </c>
      <c r="V1505" s="63" t="n">
        <f aca="false">IFERROR(S1505/F1505,0)</f>
        <v>0.00154281306248393</v>
      </c>
      <c r="W1505" s="63" t="n">
        <f aca="false">IFERROR(R1505/F1505,0)</f>
        <v>0.998457186937516</v>
      </c>
      <c r="X1505" s="63" t="n">
        <f aca="false">IFERROR(T1505/F1505,0)</f>
        <v>0.00154281306248393</v>
      </c>
      <c r="Y1505" s="63" t="n">
        <f aca="false">IFERROR(G1505/F1505,0)</f>
        <v>0</v>
      </c>
      <c r="Z1505" s="59" t="n">
        <f aca="false">IF(E1505&gt;0,F1505*1000000000/E1505,"")</f>
        <v>8470.46380417699</v>
      </c>
      <c r="AA1505" s="63" t="n">
        <f aca="false">IFERROR((R1505+S1505+J1505)/F1505,0)</f>
        <v>1</v>
      </c>
      <c r="AB1505" s="0" t="str">
        <f aca="false">A1505&amp;"|"&amp;D1505</f>
        <v>Oman|2019</v>
      </c>
    </row>
    <row r="1506" customFormat="false" ht="15" hidden="false" customHeight="false" outlineLevel="0" collapsed="false">
      <c r="A1506" s="0" t="s">
        <v>324</v>
      </c>
      <c r="B1506" s="0" t="s">
        <v>563</v>
      </c>
      <c r="C1506" s="0" t="s">
        <v>127</v>
      </c>
      <c r="D1506" s="0" t="n">
        <v>2020</v>
      </c>
      <c r="E1506" s="59" t="n">
        <v>4522502</v>
      </c>
      <c r="F1506" s="60" t="n">
        <v>38.2</v>
      </c>
      <c r="G1506" s="61" t="n">
        <v>0</v>
      </c>
      <c r="H1506" s="61" t="n">
        <v>37.2</v>
      </c>
      <c r="I1506" s="61" t="n">
        <v>0.9</v>
      </c>
      <c r="J1506" s="61" t="n">
        <v>0</v>
      </c>
      <c r="K1506" s="61" t="n">
        <v>0</v>
      </c>
      <c r="L1506" s="61" t="n">
        <v>0.1</v>
      </c>
      <c r="M1506" s="61" t="n">
        <v>0</v>
      </c>
      <c r="N1506" s="61" t="n">
        <v>0</v>
      </c>
      <c r="O1506" s="61" t="n">
        <v>0</v>
      </c>
      <c r="P1506" s="62" t="n">
        <v>565.2</v>
      </c>
      <c r="Q1506" s="0" t="n">
        <v>0</v>
      </c>
      <c r="R1506" s="60" t="n">
        <f aca="false">G1506+H1506+I1506</f>
        <v>38.1</v>
      </c>
      <c r="S1506" s="60" t="n">
        <f aca="false">K1506+L1506+M1506+N1506+O1506</f>
        <v>0.1</v>
      </c>
      <c r="T1506" s="60" t="n">
        <f aca="false">L1506+M1506</f>
        <v>0.1</v>
      </c>
      <c r="U1506" s="60" t="n">
        <f aca="false">S1506+J1506</f>
        <v>0.1</v>
      </c>
      <c r="V1506" s="63" t="n">
        <f aca="false">IFERROR(S1506/F1506,0)</f>
        <v>0.00261780104712042</v>
      </c>
      <c r="W1506" s="63" t="n">
        <f aca="false">IFERROR(R1506/F1506,0)</f>
        <v>0.99738219895288</v>
      </c>
      <c r="X1506" s="63" t="n">
        <f aca="false">IFERROR(T1506/F1506,0)</f>
        <v>0.00261780104712042</v>
      </c>
      <c r="Y1506" s="63" t="n">
        <f aca="false">IFERROR(G1506/F1506,0)</f>
        <v>0</v>
      </c>
      <c r="Z1506" s="59" t="n">
        <f aca="false">IF(E1506&gt;0,F1506*1000000000/E1506,"")</f>
        <v>8446.65187544417</v>
      </c>
      <c r="AA1506" s="63" t="n">
        <f aca="false">IFERROR((R1506+S1506+J1506)/F1506,0)</f>
        <v>1</v>
      </c>
      <c r="AB1506" s="0" t="str">
        <f aca="false">A1506&amp;"|"&amp;D1506</f>
        <v>Oman|2020</v>
      </c>
    </row>
    <row r="1507" customFormat="false" ht="15" hidden="false" customHeight="false" outlineLevel="0" collapsed="false">
      <c r="A1507" s="0" t="s">
        <v>324</v>
      </c>
      <c r="B1507" s="0" t="s">
        <v>563</v>
      </c>
      <c r="C1507" s="0" t="s">
        <v>127</v>
      </c>
      <c r="D1507" s="0" t="n">
        <v>2021</v>
      </c>
      <c r="E1507" s="59" t="n">
        <v>4500429</v>
      </c>
      <c r="F1507" s="60" t="n">
        <v>41</v>
      </c>
      <c r="G1507" s="61" t="n">
        <v>0</v>
      </c>
      <c r="H1507" s="61" t="n">
        <v>38.8</v>
      </c>
      <c r="I1507" s="61" t="n">
        <v>1.5</v>
      </c>
      <c r="J1507" s="61" t="n">
        <v>0</v>
      </c>
      <c r="K1507" s="61" t="n">
        <v>0</v>
      </c>
      <c r="L1507" s="61" t="n">
        <v>0.6</v>
      </c>
      <c r="M1507" s="61" t="n">
        <v>0.1</v>
      </c>
      <c r="N1507" s="61" t="n">
        <v>0</v>
      </c>
      <c r="O1507" s="61" t="n">
        <v>0</v>
      </c>
      <c r="P1507" s="62" t="n">
        <v>559.3</v>
      </c>
      <c r="Q1507" s="0" t="n">
        <v>0</v>
      </c>
      <c r="R1507" s="60" t="n">
        <f aca="false">G1507+H1507+I1507</f>
        <v>40.3</v>
      </c>
      <c r="S1507" s="60" t="n">
        <f aca="false">K1507+L1507+M1507+N1507+O1507</f>
        <v>0.7</v>
      </c>
      <c r="T1507" s="60" t="n">
        <f aca="false">L1507+M1507</f>
        <v>0.7</v>
      </c>
      <c r="U1507" s="60" t="n">
        <f aca="false">S1507+J1507</f>
        <v>0.7</v>
      </c>
      <c r="V1507" s="63" t="n">
        <f aca="false">IFERROR(S1507/F1507,0)</f>
        <v>0.0170731707317073</v>
      </c>
      <c r="W1507" s="63" t="n">
        <f aca="false">IFERROR(R1507/F1507,0)</f>
        <v>0.982926829268293</v>
      </c>
      <c r="X1507" s="63" t="n">
        <f aca="false">IFERROR(T1507/F1507,0)</f>
        <v>0.0170731707317073</v>
      </c>
      <c r="Y1507" s="63" t="n">
        <f aca="false">IFERROR(G1507/F1507,0)</f>
        <v>0</v>
      </c>
      <c r="Z1507" s="59" t="n">
        <f aca="false">IF(E1507&gt;0,F1507*1000000000/E1507,"")</f>
        <v>9110.24260131645</v>
      </c>
      <c r="AA1507" s="63" t="n">
        <f aca="false">IFERROR((R1507+S1507+J1507)/F1507,0)</f>
        <v>1</v>
      </c>
      <c r="AB1507" s="0" t="str">
        <f aca="false">A1507&amp;"|"&amp;D1507</f>
        <v>Oman|2021</v>
      </c>
    </row>
    <row r="1508" customFormat="false" ht="15" hidden="false" customHeight="false" outlineLevel="0" collapsed="false">
      <c r="A1508" s="0" t="s">
        <v>324</v>
      </c>
      <c r="B1508" s="0" t="s">
        <v>563</v>
      </c>
      <c r="C1508" s="0" t="s">
        <v>127</v>
      </c>
      <c r="D1508" s="0" t="n">
        <v>2022</v>
      </c>
      <c r="E1508" s="59" t="n">
        <v>4730229</v>
      </c>
      <c r="F1508" s="60" t="n">
        <v>42.4</v>
      </c>
      <c r="G1508" s="61" t="n">
        <v>0</v>
      </c>
      <c r="H1508" s="61" t="n">
        <v>38.8</v>
      </c>
      <c r="I1508" s="61" t="n">
        <v>1.7</v>
      </c>
      <c r="J1508" s="61" t="n">
        <v>0</v>
      </c>
      <c r="K1508" s="61" t="n">
        <v>0</v>
      </c>
      <c r="L1508" s="61" t="n">
        <v>1.8</v>
      </c>
      <c r="M1508" s="61" t="n">
        <v>0.1</v>
      </c>
      <c r="N1508" s="61" t="n">
        <v>0</v>
      </c>
      <c r="O1508" s="61" t="n">
        <v>0</v>
      </c>
      <c r="P1508" s="62" t="n">
        <v>545.3</v>
      </c>
      <c r="Q1508" s="0" t="n">
        <v>0</v>
      </c>
      <c r="R1508" s="60" t="n">
        <f aca="false">G1508+H1508+I1508</f>
        <v>40.5</v>
      </c>
      <c r="S1508" s="60" t="n">
        <f aca="false">K1508+L1508+M1508+N1508+O1508</f>
        <v>1.9</v>
      </c>
      <c r="T1508" s="60" t="n">
        <f aca="false">L1508+M1508</f>
        <v>1.9</v>
      </c>
      <c r="U1508" s="60" t="n">
        <f aca="false">S1508+J1508</f>
        <v>1.9</v>
      </c>
      <c r="V1508" s="63" t="n">
        <f aca="false">IFERROR(S1508/F1508,0)</f>
        <v>0.044811320754717</v>
      </c>
      <c r="W1508" s="63" t="n">
        <f aca="false">IFERROR(R1508/F1508,0)</f>
        <v>0.955188679245283</v>
      </c>
      <c r="X1508" s="63" t="n">
        <f aca="false">IFERROR(T1508/F1508,0)</f>
        <v>0.044811320754717</v>
      </c>
      <c r="Y1508" s="63" t="n">
        <f aca="false">IFERROR(G1508/F1508,0)</f>
        <v>0</v>
      </c>
      <c r="Z1508" s="59" t="n">
        <f aca="false">IF(E1508&gt;0,F1508*1000000000/E1508,"")</f>
        <v>8963.62522829233</v>
      </c>
      <c r="AA1508" s="63" t="n">
        <f aca="false">IFERROR((R1508+S1508+J1508)/F1508,0)</f>
        <v>1</v>
      </c>
      <c r="AB1508" s="0" t="str">
        <f aca="false">A1508&amp;"|"&amp;D1508</f>
        <v>Oman|2022</v>
      </c>
    </row>
    <row r="1509" customFormat="false" ht="15" hidden="false" customHeight="false" outlineLevel="0" collapsed="false">
      <c r="A1509" s="0" t="s">
        <v>324</v>
      </c>
      <c r="B1509" s="0" t="s">
        <v>563</v>
      </c>
      <c r="C1509" s="0" t="s">
        <v>127</v>
      </c>
      <c r="D1509" s="0" t="n">
        <v>2023</v>
      </c>
      <c r="E1509" s="59" t="n">
        <v>5049267</v>
      </c>
      <c r="F1509" s="60" t="n">
        <v>45</v>
      </c>
      <c r="G1509" s="61" t="n">
        <v>0</v>
      </c>
      <c r="H1509" s="61" t="n">
        <v>41.2</v>
      </c>
      <c r="I1509" s="61" t="n">
        <v>1.6</v>
      </c>
      <c r="J1509" s="61" t="n">
        <v>0</v>
      </c>
      <c r="K1509" s="61" t="n">
        <v>0</v>
      </c>
      <c r="L1509" s="61" t="n">
        <v>2.1</v>
      </c>
      <c r="M1509" s="61" t="n">
        <v>0.1</v>
      </c>
      <c r="N1509" s="61" t="n">
        <v>0</v>
      </c>
      <c r="O1509" s="61" t="n">
        <v>0</v>
      </c>
      <c r="P1509" s="62" t="n">
        <v>542.4</v>
      </c>
      <c r="Q1509" s="0" t="n">
        <v>0</v>
      </c>
      <c r="R1509" s="60" t="n">
        <f aca="false">G1509+H1509+I1509</f>
        <v>42.8</v>
      </c>
      <c r="S1509" s="60" t="n">
        <f aca="false">K1509+L1509+M1509+N1509+O1509</f>
        <v>2.2</v>
      </c>
      <c r="T1509" s="60" t="n">
        <f aca="false">L1509+M1509</f>
        <v>2.2</v>
      </c>
      <c r="U1509" s="60" t="n">
        <f aca="false">S1509+J1509</f>
        <v>2.2</v>
      </c>
      <c r="V1509" s="63" t="n">
        <f aca="false">IFERROR(S1509/F1509,0)</f>
        <v>0.0488888888888889</v>
      </c>
      <c r="W1509" s="63" t="n">
        <f aca="false">IFERROR(R1509/F1509,0)</f>
        <v>0.951111111111111</v>
      </c>
      <c r="X1509" s="63" t="n">
        <f aca="false">IFERROR(T1509/F1509,0)</f>
        <v>0.0488888888888889</v>
      </c>
      <c r="Y1509" s="63" t="n">
        <f aca="false">IFERROR(G1509/F1509,0)</f>
        <v>0</v>
      </c>
      <c r="Z1509" s="59" t="n">
        <f aca="false">IF(E1509&gt;0,F1509*1000000000/E1509,"")</f>
        <v>8912.18467947922</v>
      </c>
      <c r="AA1509" s="63" t="n">
        <f aca="false">IFERROR((R1509+S1509+J1509)/F1509,0)</f>
        <v>1</v>
      </c>
      <c r="AB1509" s="0" t="str">
        <f aca="false">A1509&amp;"|"&amp;D1509</f>
        <v>Oman|2023</v>
      </c>
    </row>
    <row r="1510" customFormat="false" ht="15" hidden="false" customHeight="false" outlineLevel="0" collapsed="false">
      <c r="A1510" s="0" t="s">
        <v>324</v>
      </c>
      <c r="B1510" s="0" t="s">
        <v>563</v>
      </c>
      <c r="C1510" s="0" t="s">
        <v>127</v>
      </c>
      <c r="D1510" s="0" t="n">
        <v>2024</v>
      </c>
      <c r="E1510" s="59" t="n">
        <v>5281542</v>
      </c>
      <c r="F1510" s="60" t="n">
        <v>49.1</v>
      </c>
      <c r="G1510" s="61" t="n">
        <v>0</v>
      </c>
      <c r="H1510" s="61" t="n">
        <v>44.8</v>
      </c>
      <c r="I1510" s="61" t="n">
        <v>1.9</v>
      </c>
      <c r="J1510" s="61" t="n">
        <v>0</v>
      </c>
      <c r="K1510" s="61" t="n">
        <v>0</v>
      </c>
      <c r="L1510" s="61" t="n">
        <v>2.3</v>
      </c>
      <c r="M1510" s="61" t="n">
        <v>0.1</v>
      </c>
      <c r="N1510" s="61" t="n">
        <v>0</v>
      </c>
      <c r="O1510" s="61" t="n">
        <v>0</v>
      </c>
      <c r="P1510" s="62" t="n">
        <v>542.8</v>
      </c>
      <c r="Q1510" s="0" t="n">
        <v>0</v>
      </c>
      <c r="R1510" s="60" t="n">
        <f aca="false">G1510+H1510+I1510</f>
        <v>46.7</v>
      </c>
      <c r="S1510" s="60" t="n">
        <f aca="false">K1510+L1510+M1510+N1510+O1510</f>
        <v>2.4</v>
      </c>
      <c r="T1510" s="60" t="n">
        <f aca="false">L1510+M1510</f>
        <v>2.4</v>
      </c>
      <c r="U1510" s="60" t="n">
        <f aca="false">S1510+J1510</f>
        <v>2.4</v>
      </c>
      <c r="V1510" s="63" t="n">
        <f aca="false">IFERROR(S1510/F1510,0)</f>
        <v>0.0488798370672098</v>
      </c>
      <c r="W1510" s="63" t="n">
        <f aca="false">IFERROR(R1510/F1510,0)</f>
        <v>0.95112016293279</v>
      </c>
      <c r="X1510" s="63" t="n">
        <f aca="false">IFERROR(T1510/F1510,0)</f>
        <v>0.0488798370672098</v>
      </c>
      <c r="Y1510" s="63" t="n">
        <f aca="false">IFERROR(G1510/F1510,0)</f>
        <v>0</v>
      </c>
      <c r="Z1510" s="59" t="n">
        <f aca="false">IF(E1510&gt;0,F1510*1000000000/E1510,"")</f>
        <v>9296.52741566762</v>
      </c>
      <c r="AA1510" s="63" t="n">
        <f aca="false">IFERROR((R1510+S1510+J1510)/F1510,0)</f>
        <v>1</v>
      </c>
      <c r="AB1510" s="0" t="str">
        <f aca="false">A1510&amp;"|"&amp;D1510</f>
        <v>Oman|2024</v>
      </c>
    </row>
    <row r="1511" customFormat="false" ht="15" hidden="false" customHeight="false" outlineLevel="0" collapsed="false">
      <c r="A1511" s="0" t="s">
        <v>324</v>
      </c>
      <c r="B1511" s="0" t="s">
        <v>563</v>
      </c>
      <c r="C1511" s="0" t="s">
        <v>127</v>
      </c>
      <c r="D1511" s="0" t="n">
        <v>2025</v>
      </c>
      <c r="E1511" s="59" t="n">
        <v>5494696</v>
      </c>
      <c r="F1511" s="60" t="n">
        <v>52.84</v>
      </c>
      <c r="G1511" s="61" t="n">
        <v>0</v>
      </c>
      <c r="H1511" s="61" t="n">
        <v>48.54</v>
      </c>
      <c r="I1511" s="61" t="n">
        <v>1.9</v>
      </c>
      <c r="J1511" s="61" t="n">
        <v>0</v>
      </c>
      <c r="K1511" s="61" t="n">
        <v>0</v>
      </c>
      <c r="L1511" s="61" t="n">
        <v>2.3</v>
      </c>
      <c r="M1511" s="61" t="n">
        <v>0.1</v>
      </c>
      <c r="N1511" s="61" t="n">
        <v>0</v>
      </c>
      <c r="O1511" s="61" t="n">
        <v>0</v>
      </c>
      <c r="P1511" s="62" t="n">
        <v>544.5</v>
      </c>
      <c r="Q1511" s="0" t="n">
        <v>0</v>
      </c>
      <c r="R1511" s="60" t="n">
        <f aca="false">G1511+H1511+I1511</f>
        <v>50.44</v>
      </c>
      <c r="S1511" s="60" t="n">
        <f aca="false">K1511+L1511+M1511+N1511+O1511</f>
        <v>2.4</v>
      </c>
      <c r="T1511" s="60" t="n">
        <f aca="false">L1511+M1511</f>
        <v>2.4</v>
      </c>
      <c r="U1511" s="60" t="n">
        <f aca="false">S1511+J1511</f>
        <v>2.4</v>
      </c>
      <c r="V1511" s="63" t="n">
        <f aca="false">IFERROR(S1511/F1511,0)</f>
        <v>0.0454201362604088</v>
      </c>
      <c r="W1511" s="63" t="n">
        <f aca="false">IFERROR(R1511/F1511,0)</f>
        <v>0.954579863739591</v>
      </c>
      <c r="X1511" s="63" t="n">
        <f aca="false">IFERROR(T1511/F1511,0)</f>
        <v>0.0454201362604088</v>
      </c>
      <c r="Y1511" s="63" t="n">
        <f aca="false">IFERROR(G1511/F1511,0)</f>
        <v>0</v>
      </c>
      <c r="Z1511" s="59" t="n">
        <f aca="false">IF(E1511&gt;0,F1511*1000000000/E1511,"")</f>
        <v>9616.54657509715</v>
      </c>
      <c r="AA1511" s="63" t="n">
        <f aca="false">IFERROR((R1511+S1511+J1511)/F1511,0)</f>
        <v>1</v>
      </c>
      <c r="AB1511" s="0" t="str">
        <f aca="false">A1511&amp;"|"&amp;D1511</f>
        <v>Oman|2025</v>
      </c>
    </row>
    <row r="1512" customFormat="false" ht="15" hidden="false" customHeight="false" outlineLevel="0" collapsed="false">
      <c r="A1512" s="0" t="s">
        <v>325</v>
      </c>
      <c r="B1512" s="0" t="s">
        <v>564</v>
      </c>
      <c r="C1512" s="0" t="s">
        <v>127</v>
      </c>
      <c r="D1512" s="0" t="n">
        <v>2015</v>
      </c>
      <c r="E1512" s="59" t="n">
        <v>217290884</v>
      </c>
      <c r="F1512" s="60" t="n">
        <v>112.79</v>
      </c>
      <c r="G1512" s="61" t="n">
        <v>0.15</v>
      </c>
      <c r="H1512" s="61" t="n">
        <v>35</v>
      </c>
      <c r="I1512" s="61" t="n">
        <v>35.36</v>
      </c>
      <c r="J1512" s="61" t="n">
        <v>4.33</v>
      </c>
      <c r="K1512" s="61" t="n">
        <v>34.63</v>
      </c>
      <c r="L1512" s="61" t="n">
        <v>0.38</v>
      </c>
      <c r="M1512" s="61" t="n">
        <v>0.79</v>
      </c>
      <c r="N1512" s="61" t="n">
        <v>2.15</v>
      </c>
      <c r="O1512" s="61" t="n">
        <v>0</v>
      </c>
      <c r="P1512" s="62" t="n">
        <v>431.8</v>
      </c>
      <c r="Q1512" s="0" t="n">
        <v>0</v>
      </c>
      <c r="R1512" s="60" t="n">
        <f aca="false">G1512+H1512+I1512</f>
        <v>70.51</v>
      </c>
      <c r="S1512" s="60" t="n">
        <f aca="false">K1512+L1512+M1512+N1512+O1512</f>
        <v>37.95</v>
      </c>
      <c r="T1512" s="60" t="n">
        <f aca="false">L1512+M1512</f>
        <v>1.17</v>
      </c>
      <c r="U1512" s="60" t="n">
        <f aca="false">S1512+J1512</f>
        <v>42.28</v>
      </c>
      <c r="V1512" s="63" t="n">
        <f aca="false">IFERROR(S1512/F1512,0)</f>
        <v>0.336465998758755</v>
      </c>
      <c r="W1512" s="63" t="n">
        <f aca="false">IFERROR(R1512/F1512,0)</f>
        <v>0.625144073056122</v>
      </c>
      <c r="X1512" s="63" t="n">
        <f aca="false">IFERROR(T1512/F1512,0)</f>
        <v>0.0103732600407838</v>
      </c>
      <c r="Y1512" s="63" t="n">
        <f aca="false">IFERROR(G1512/F1512,0)</f>
        <v>0.00132990513343382</v>
      </c>
      <c r="Z1512" s="59" t="n">
        <f aca="false">IF(E1512&gt;0,F1512*1000000000/E1512,"")</f>
        <v>519.073777618761</v>
      </c>
      <c r="AA1512" s="63" t="n">
        <f aca="false">IFERROR((R1512+S1512+J1512)/F1512,0)</f>
        <v>1</v>
      </c>
      <c r="AB1512" s="0" t="str">
        <f aca="false">A1512&amp;"|"&amp;D1512</f>
        <v>Pakistan|2015</v>
      </c>
    </row>
    <row r="1513" customFormat="false" ht="15" hidden="false" customHeight="false" outlineLevel="0" collapsed="false">
      <c r="A1513" s="0" t="s">
        <v>325</v>
      </c>
      <c r="B1513" s="0" t="s">
        <v>564</v>
      </c>
      <c r="C1513" s="0" t="s">
        <v>127</v>
      </c>
      <c r="D1513" s="0" t="n">
        <v>2016</v>
      </c>
      <c r="E1513" s="59" t="n">
        <v>220138863</v>
      </c>
      <c r="F1513" s="60" t="n">
        <v>122.9</v>
      </c>
      <c r="G1513" s="61" t="n">
        <v>0.62</v>
      </c>
      <c r="H1513" s="61" t="n">
        <v>41.43</v>
      </c>
      <c r="I1513" s="61" t="n">
        <v>39.56</v>
      </c>
      <c r="J1513" s="61" t="n">
        <v>5.44</v>
      </c>
      <c r="K1513" s="61" t="n">
        <v>32.18</v>
      </c>
      <c r="L1513" s="61" t="n">
        <v>0.68</v>
      </c>
      <c r="M1513" s="61" t="n">
        <v>1.33</v>
      </c>
      <c r="N1513" s="61" t="n">
        <v>1.66</v>
      </c>
      <c r="O1513" s="61" t="n">
        <v>0</v>
      </c>
      <c r="P1513" s="62" t="n">
        <v>457</v>
      </c>
      <c r="Q1513" s="0" t="n">
        <v>0</v>
      </c>
      <c r="R1513" s="60" t="n">
        <f aca="false">G1513+H1513+I1513</f>
        <v>81.61</v>
      </c>
      <c r="S1513" s="60" t="n">
        <f aca="false">K1513+L1513+M1513+N1513+O1513</f>
        <v>35.85</v>
      </c>
      <c r="T1513" s="60" t="n">
        <f aca="false">L1513+M1513</f>
        <v>2.01</v>
      </c>
      <c r="U1513" s="60" t="n">
        <f aca="false">S1513+J1513</f>
        <v>41.29</v>
      </c>
      <c r="V1513" s="63" t="n">
        <f aca="false">IFERROR(S1513/F1513,0)</f>
        <v>0.291700569568755</v>
      </c>
      <c r="W1513" s="63" t="n">
        <f aca="false">IFERROR(R1513/F1513,0)</f>
        <v>0.664035801464605</v>
      </c>
      <c r="X1513" s="63" t="n">
        <f aca="false">IFERROR(T1513/F1513,0)</f>
        <v>0.0163547599674532</v>
      </c>
      <c r="Y1513" s="63" t="n">
        <f aca="false">IFERROR(G1513/F1513,0)</f>
        <v>0.00504475183075671</v>
      </c>
      <c r="Z1513" s="59" t="n">
        <f aca="false">IF(E1513&gt;0,F1513*1000000000/E1513,"")</f>
        <v>558.283977327529</v>
      </c>
      <c r="AA1513" s="63" t="n">
        <f aca="false">IFERROR((R1513+S1513+J1513)/F1513,0)</f>
        <v>1</v>
      </c>
      <c r="AB1513" s="0" t="str">
        <f aca="false">A1513&amp;"|"&amp;D1513</f>
        <v>Pakistan|2016</v>
      </c>
    </row>
    <row r="1514" customFormat="false" ht="15" hidden="false" customHeight="false" outlineLevel="0" collapsed="false">
      <c r="A1514" s="0" t="s">
        <v>325</v>
      </c>
      <c r="B1514" s="0" t="s">
        <v>564</v>
      </c>
      <c r="C1514" s="0" t="s">
        <v>127</v>
      </c>
      <c r="D1514" s="0" t="n">
        <v>2017</v>
      </c>
      <c r="E1514" s="59" t="n">
        <v>223273974</v>
      </c>
      <c r="F1514" s="60" t="n">
        <v>130.36</v>
      </c>
      <c r="G1514" s="61" t="n">
        <v>10.91</v>
      </c>
      <c r="H1514" s="61" t="n">
        <v>49.2</v>
      </c>
      <c r="I1514" s="61" t="n">
        <v>29.5</v>
      </c>
      <c r="J1514" s="61" t="n">
        <v>8.11</v>
      </c>
      <c r="K1514" s="61" t="n">
        <v>27.92</v>
      </c>
      <c r="L1514" s="61" t="n">
        <v>0.92</v>
      </c>
      <c r="M1514" s="61" t="n">
        <v>2.1</v>
      </c>
      <c r="N1514" s="61" t="n">
        <v>1.7</v>
      </c>
      <c r="O1514" s="61" t="n">
        <v>0</v>
      </c>
      <c r="P1514" s="62" t="n">
        <v>486.1</v>
      </c>
      <c r="Q1514" s="0" t="n">
        <v>0</v>
      </c>
      <c r="R1514" s="60" t="n">
        <f aca="false">G1514+H1514+I1514</f>
        <v>89.61</v>
      </c>
      <c r="S1514" s="60" t="n">
        <f aca="false">K1514+L1514+M1514+N1514+O1514</f>
        <v>32.64</v>
      </c>
      <c r="T1514" s="60" t="n">
        <f aca="false">L1514+M1514</f>
        <v>3.02</v>
      </c>
      <c r="U1514" s="60" t="n">
        <f aca="false">S1514+J1514</f>
        <v>40.75</v>
      </c>
      <c r="V1514" s="63" t="n">
        <f aca="false">IFERROR(S1514/F1514,0)</f>
        <v>0.250383553237189</v>
      </c>
      <c r="W1514" s="63" t="n">
        <f aca="false">IFERROR(R1514/F1514,0)</f>
        <v>0.687404111690703</v>
      </c>
      <c r="X1514" s="63" t="n">
        <f aca="false">IFERROR(T1514/F1514,0)</f>
        <v>0.023166615526235</v>
      </c>
      <c r="Y1514" s="63" t="n">
        <f aca="false">IFERROR(G1514/F1514,0)</f>
        <v>0.08369131635471</v>
      </c>
      <c r="Z1514" s="59" t="n">
        <f aca="false">IF(E1514&gt;0,F1514*1000000000/E1514,"")</f>
        <v>583.856674670018</v>
      </c>
      <c r="AA1514" s="63" t="n">
        <f aca="false">IFERROR((R1514+S1514+J1514)/F1514,0)</f>
        <v>1</v>
      </c>
      <c r="AB1514" s="0" t="str">
        <f aca="false">A1514&amp;"|"&amp;D1514</f>
        <v>Pakistan|2017</v>
      </c>
    </row>
    <row r="1515" customFormat="false" ht="15" hidden="false" customHeight="false" outlineLevel="0" collapsed="false">
      <c r="A1515" s="0" t="s">
        <v>325</v>
      </c>
      <c r="B1515" s="0" t="s">
        <v>564</v>
      </c>
      <c r="C1515" s="0" t="s">
        <v>127</v>
      </c>
      <c r="D1515" s="0" t="n">
        <v>2018</v>
      </c>
      <c r="E1515" s="59" t="n">
        <v>226928893</v>
      </c>
      <c r="F1515" s="60" t="n">
        <v>129.02</v>
      </c>
      <c r="G1515" s="61" t="n">
        <v>15.77</v>
      </c>
      <c r="H1515" s="61" t="n">
        <v>57.44</v>
      </c>
      <c r="I1515" s="61" t="n">
        <v>13.39</v>
      </c>
      <c r="J1515" s="61" t="n">
        <v>9.29</v>
      </c>
      <c r="K1515" s="61" t="n">
        <v>27.34</v>
      </c>
      <c r="L1515" s="61" t="n">
        <v>0.92</v>
      </c>
      <c r="M1515" s="61" t="n">
        <v>3.16</v>
      </c>
      <c r="N1515" s="61" t="n">
        <v>1.71</v>
      </c>
      <c r="O1515" s="61" t="n">
        <v>0</v>
      </c>
      <c r="P1515" s="62" t="n">
        <v>484.1</v>
      </c>
      <c r="Q1515" s="0" t="n">
        <v>0</v>
      </c>
      <c r="R1515" s="60" t="n">
        <f aca="false">G1515+H1515+I1515</f>
        <v>86.6</v>
      </c>
      <c r="S1515" s="60" t="n">
        <f aca="false">K1515+L1515+M1515+N1515+O1515</f>
        <v>33.13</v>
      </c>
      <c r="T1515" s="60" t="n">
        <f aca="false">L1515+M1515</f>
        <v>4.08</v>
      </c>
      <c r="U1515" s="60" t="n">
        <f aca="false">S1515+J1515</f>
        <v>42.42</v>
      </c>
      <c r="V1515" s="63" t="n">
        <f aca="false">IFERROR(S1515/F1515,0)</f>
        <v>0.256781894279957</v>
      </c>
      <c r="W1515" s="63" t="n">
        <f aca="false">IFERROR(R1515/F1515,0)</f>
        <v>0.671213765307704</v>
      </c>
      <c r="X1515" s="63" t="n">
        <f aca="false">IFERROR(T1515/F1515,0)</f>
        <v>0.0316230041853976</v>
      </c>
      <c r="Y1515" s="63" t="n">
        <f aca="false">IFERROR(G1515/F1515,0)</f>
        <v>0.122229111765618</v>
      </c>
      <c r="Z1515" s="59" t="n">
        <f aca="false">IF(E1515&gt;0,F1515*1000000000/E1515,"")</f>
        <v>568.548139879218</v>
      </c>
      <c r="AA1515" s="63" t="n">
        <f aca="false">IFERROR((R1515+S1515+J1515)/F1515,0)</f>
        <v>1</v>
      </c>
      <c r="AB1515" s="0" t="str">
        <f aca="false">A1515&amp;"|"&amp;D1515</f>
        <v>Pakistan|2018</v>
      </c>
    </row>
    <row r="1516" customFormat="false" ht="15" hidden="false" customHeight="false" outlineLevel="0" collapsed="false">
      <c r="A1516" s="0" t="s">
        <v>325</v>
      </c>
      <c r="B1516" s="0" t="s">
        <v>564</v>
      </c>
      <c r="C1516" s="0" t="s">
        <v>127</v>
      </c>
      <c r="D1516" s="0" t="n">
        <v>2019</v>
      </c>
      <c r="E1516" s="59" t="n">
        <v>230800908</v>
      </c>
      <c r="F1516" s="60" t="n">
        <v>134.97</v>
      </c>
      <c r="G1516" s="61" t="n">
        <v>25.86</v>
      </c>
      <c r="H1516" s="61" t="n">
        <v>46.02</v>
      </c>
      <c r="I1516" s="61" t="n">
        <v>13.24</v>
      </c>
      <c r="J1516" s="61" t="n">
        <v>9.07</v>
      </c>
      <c r="K1516" s="61" t="n">
        <v>33.58</v>
      </c>
      <c r="L1516" s="61" t="n">
        <v>2.61</v>
      </c>
      <c r="M1516" s="61" t="n">
        <v>2.88</v>
      </c>
      <c r="N1516" s="61" t="n">
        <v>1.71</v>
      </c>
      <c r="O1516" s="61" t="n">
        <v>0</v>
      </c>
      <c r="P1516" s="62" t="n">
        <v>469</v>
      </c>
      <c r="Q1516" s="0" t="n">
        <v>0</v>
      </c>
      <c r="R1516" s="60" t="n">
        <f aca="false">G1516+H1516+I1516</f>
        <v>85.12</v>
      </c>
      <c r="S1516" s="60" t="n">
        <f aca="false">K1516+L1516+M1516+N1516+O1516</f>
        <v>40.78</v>
      </c>
      <c r="T1516" s="60" t="n">
        <f aca="false">L1516+M1516</f>
        <v>5.49</v>
      </c>
      <c r="U1516" s="60" t="n">
        <f aca="false">S1516+J1516</f>
        <v>49.85</v>
      </c>
      <c r="V1516" s="63" t="n">
        <f aca="false">IFERROR(S1516/F1516,0)</f>
        <v>0.302141216566644</v>
      </c>
      <c r="W1516" s="63" t="n">
        <f aca="false">IFERROR(R1516/F1516,0)</f>
        <v>0.630658664888494</v>
      </c>
      <c r="X1516" s="63" t="n">
        <f aca="false">IFERROR(T1516/F1516,0)</f>
        <v>0.0406757057123805</v>
      </c>
      <c r="Y1516" s="63" t="n">
        <f aca="false">IFERROR(G1516/F1516,0)</f>
        <v>0.191598132918426</v>
      </c>
      <c r="Z1516" s="59" t="n">
        <f aca="false">IF(E1516&gt;0,F1516*1000000000/E1516,"")</f>
        <v>584.789727083743</v>
      </c>
      <c r="AA1516" s="63" t="n">
        <f aca="false">IFERROR((R1516+S1516+J1516)/F1516,0)</f>
        <v>1</v>
      </c>
      <c r="AB1516" s="0" t="str">
        <f aca="false">A1516&amp;"|"&amp;D1516</f>
        <v>Pakistan|2019</v>
      </c>
    </row>
    <row r="1517" customFormat="false" ht="15" hidden="false" customHeight="false" outlineLevel="0" collapsed="false">
      <c r="A1517" s="0" t="s">
        <v>325</v>
      </c>
      <c r="B1517" s="0" t="s">
        <v>564</v>
      </c>
      <c r="C1517" s="0" t="s">
        <v>127</v>
      </c>
      <c r="D1517" s="0" t="n">
        <v>2020</v>
      </c>
      <c r="E1517" s="59" t="n">
        <v>235001745</v>
      </c>
      <c r="F1517" s="60" t="n">
        <v>146.16</v>
      </c>
      <c r="G1517" s="61" t="n">
        <v>27.55</v>
      </c>
      <c r="H1517" s="61" t="n">
        <v>49.47</v>
      </c>
      <c r="I1517" s="61" t="n">
        <v>17.2</v>
      </c>
      <c r="J1517" s="61" t="n">
        <v>9.64</v>
      </c>
      <c r="K1517" s="61" t="n">
        <v>33.55</v>
      </c>
      <c r="L1517" s="61" t="n">
        <v>4.1</v>
      </c>
      <c r="M1517" s="61" t="n">
        <v>2.9</v>
      </c>
      <c r="N1517" s="61" t="n">
        <v>1.75</v>
      </c>
      <c r="O1517" s="61" t="n">
        <v>0</v>
      </c>
      <c r="P1517" s="62" t="n">
        <v>477.5</v>
      </c>
      <c r="Q1517" s="0" t="n">
        <v>0</v>
      </c>
      <c r="R1517" s="60" t="n">
        <f aca="false">G1517+H1517+I1517</f>
        <v>94.22</v>
      </c>
      <c r="S1517" s="60" t="n">
        <f aca="false">K1517+L1517+M1517+N1517+O1517</f>
        <v>42.3</v>
      </c>
      <c r="T1517" s="60" t="n">
        <f aca="false">L1517+M1517</f>
        <v>7</v>
      </c>
      <c r="U1517" s="60" t="n">
        <f aca="false">S1517+J1517</f>
        <v>51.94</v>
      </c>
      <c r="V1517" s="63" t="n">
        <f aca="false">IFERROR(S1517/F1517,0)</f>
        <v>0.289408866995074</v>
      </c>
      <c r="W1517" s="63" t="n">
        <f aca="false">IFERROR(R1517/F1517,0)</f>
        <v>0.644636015325671</v>
      </c>
      <c r="X1517" s="63" t="n">
        <f aca="false">IFERROR(T1517/F1517,0)</f>
        <v>0.0478927203065134</v>
      </c>
      <c r="Y1517" s="63" t="n">
        <f aca="false">IFERROR(G1517/F1517,0)</f>
        <v>0.188492063492064</v>
      </c>
      <c r="Z1517" s="59" t="n">
        <f aca="false">IF(E1517&gt;0,F1517*1000000000/E1517,"")</f>
        <v>621.952828477933</v>
      </c>
      <c r="AA1517" s="63" t="n">
        <f aca="false">IFERROR((R1517+S1517+J1517)/F1517,0)</f>
        <v>1</v>
      </c>
      <c r="AB1517" s="0" t="str">
        <f aca="false">A1517&amp;"|"&amp;D1517</f>
        <v>Pakistan|2020</v>
      </c>
    </row>
    <row r="1518" customFormat="false" ht="15" hidden="false" customHeight="false" outlineLevel="0" collapsed="false">
      <c r="A1518" s="0" t="s">
        <v>325</v>
      </c>
      <c r="B1518" s="0" t="s">
        <v>564</v>
      </c>
      <c r="C1518" s="0" t="s">
        <v>127</v>
      </c>
      <c r="D1518" s="0" t="n">
        <v>2021</v>
      </c>
      <c r="E1518" s="59" t="n">
        <v>239477805</v>
      </c>
      <c r="F1518" s="60" t="n">
        <v>163.21</v>
      </c>
      <c r="G1518" s="61" t="n">
        <v>25.91</v>
      </c>
      <c r="H1518" s="61" t="n">
        <v>48.67</v>
      </c>
      <c r="I1518" s="61" t="n">
        <v>27.12</v>
      </c>
      <c r="J1518" s="61" t="n">
        <v>15.74</v>
      </c>
      <c r="K1518" s="61" t="n">
        <v>33.55</v>
      </c>
      <c r="L1518" s="61" t="n">
        <v>5.79</v>
      </c>
      <c r="M1518" s="61" t="n">
        <v>4.58</v>
      </c>
      <c r="N1518" s="61" t="n">
        <v>1.85</v>
      </c>
      <c r="O1518" s="61" t="n">
        <v>0</v>
      </c>
      <c r="P1518" s="62" t="n">
        <v>456.8</v>
      </c>
      <c r="Q1518" s="0" t="n">
        <v>0</v>
      </c>
      <c r="R1518" s="60" t="n">
        <f aca="false">G1518+H1518+I1518</f>
        <v>101.7</v>
      </c>
      <c r="S1518" s="60" t="n">
        <f aca="false">K1518+L1518+M1518+N1518+O1518</f>
        <v>45.77</v>
      </c>
      <c r="T1518" s="60" t="n">
        <f aca="false">L1518+M1518</f>
        <v>10.37</v>
      </c>
      <c r="U1518" s="60" t="n">
        <f aca="false">S1518+J1518</f>
        <v>61.51</v>
      </c>
      <c r="V1518" s="63" t="n">
        <f aca="false">IFERROR(S1518/F1518,0)</f>
        <v>0.280436247778935</v>
      </c>
      <c r="W1518" s="63" t="n">
        <f aca="false">IFERROR(R1518/F1518,0)</f>
        <v>0.62312358311378</v>
      </c>
      <c r="X1518" s="63" t="n">
        <f aca="false">IFERROR(T1518/F1518,0)</f>
        <v>0.0635377734207463</v>
      </c>
      <c r="Y1518" s="63" t="n">
        <f aca="false">IFERROR(G1518/F1518,0)</f>
        <v>0.158752527418663</v>
      </c>
      <c r="Z1518" s="59" t="n">
        <f aca="false">IF(E1518&gt;0,F1518*1000000000/E1518,"")</f>
        <v>681.524536271743</v>
      </c>
      <c r="AA1518" s="63" t="n">
        <f aca="false">IFERROR((R1518+S1518+J1518)/F1518,0)</f>
        <v>1</v>
      </c>
      <c r="AB1518" s="0" t="str">
        <f aca="false">A1518&amp;"|"&amp;D1518</f>
        <v>Pakistan|2021</v>
      </c>
    </row>
    <row r="1519" customFormat="false" ht="15" hidden="false" customHeight="false" outlineLevel="0" collapsed="false">
      <c r="A1519" s="0" t="s">
        <v>325</v>
      </c>
      <c r="B1519" s="0" t="s">
        <v>564</v>
      </c>
      <c r="C1519" s="0" t="s">
        <v>127</v>
      </c>
      <c r="D1519" s="0" t="n">
        <v>2022</v>
      </c>
      <c r="E1519" s="59" t="n">
        <v>243700667</v>
      </c>
      <c r="F1519" s="60" t="n">
        <v>175.97</v>
      </c>
      <c r="G1519" s="61" t="n">
        <v>27.49</v>
      </c>
      <c r="H1519" s="61" t="n">
        <v>46.98</v>
      </c>
      <c r="I1519" s="61" t="n">
        <v>28.67</v>
      </c>
      <c r="J1519" s="61" t="n">
        <v>22.28</v>
      </c>
      <c r="K1519" s="61" t="n">
        <v>34.58</v>
      </c>
      <c r="L1519" s="61" t="n">
        <v>7.72</v>
      </c>
      <c r="M1519" s="61" t="n">
        <v>6.34</v>
      </c>
      <c r="N1519" s="61" t="n">
        <v>1.91</v>
      </c>
      <c r="O1519" s="61" t="n">
        <v>0</v>
      </c>
      <c r="P1519" s="62" t="n">
        <v>431.7</v>
      </c>
      <c r="Q1519" s="0" t="n">
        <v>0</v>
      </c>
      <c r="R1519" s="60" t="n">
        <f aca="false">G1519+H1519+I1519</f>
        <v>103.14</v>
      </c>
      <c r="S1519" s="60" t="n">
        <f aca="false">K1519+L1519+M1519+N1519+O1519</f>
        <v>50.55</v>
      </c>
      <c r="T1519" s="60" t="n">
        <f aca="false">L1519+M1519</f>
        <v>14.06</v>
      </c>
      <c r="U1519" s="60" t="n">
        <f aca="false">S1519+J1519</f>
        <v>72.83</v>
      </c>
      <c r="V1519" s="63" t="n">
        <f aca="false">IFERROR(S1519/F1519,0)</f>
        <v>0.28726487469455</v>
      </c>
      <c r="W1519" s="63" t="n">
        <f aca="false">IFERROR(R1519/F1519,0)</f>
        <v>0.586122634539978</v>
      </c>
      <c r="X1519" s="63" t="n">
        <f aca="false">IFERROR(T1519/F1519,0)</f>
        <v>0.0798999829516395</v>
      </c>
      <c r="Y1519" s="63" t="n">
        <f aca="false">IFERROR(G1519/F1519,0)</f>
        <v>0.15621981019492</v>
      </c>
      <c r="Z1519" s="59" t="n">
        <f aca="false">IF(E1519&gt;0,F1519*1000000000/E1519,"")</f>
        <v>722.074347051336</v>
      </c>
      <c r="AA1519" s="63" t="n">
        <f aca="false">IFERROR((R1519+S1519+J1519)/F1519,0)</f>
        <v>1</v>
      </c>
      <c r="AB1519" s="0" t="str">
        <f aca="false">A1519&amp;"|"&amp;D1519</f>
        <v>Pakistan|2022</v>
      </c>
    </row>
    <row r="1520" customFormat="false" ht="15" hidden="false" customHeight="false" outlineLevel="0" collapsed="false">
      <c r="A1520" s="0" t="s">
        <v>325</v>
      </c>
      <c r="B1520" s="0" t="s">
        <v>564</v>
      </c>
      <c r="C1520" s="0" t="s">
        <v>127</v>
      </c>
      <c r="D1520" s="0" t="n">
        <v>2023</v>
      </c>
      <c r="E1520" s="59" t="n">
        <v>247504505</v>
      </c>
      <c r="F1520" s="60" t="n">
        <v>171.97</v>
      </c>
      <c r="G1520" s="61" t="n">
        <v>26.44</v>
      </c>
      <c r="H1520" s="61" t="n">
        <v>45.51</v>
      </c>
      <c r="I1520" s="61" t="n">
        <v>20.51</v>
      </c>
      <c r="J1520" s="61" t="n">
        <v>22.44</v>
      </c>
      <c r="K1520" s="61" t="n">
        <v>37.9</v>
      </c>
      <c r="L1520" s="61" t="n">
        <v>11.35</v>
      </c>
      <c r="M1520" s="61" t="n">
        <v>6.05</v>
      </c>
      <c r="N1520" s="61" t="n">
        <v>1.77</v>
      </c>
      <c r="O1520" s="61" t="n">
        <v>0</v>
      </c>
      <c r="P1520" s="62" t="n">
        <v>401.3</v>
      </c>
      <c r="Q1520" s="0" t="n">
        <v>0</v>
      </c>
      <c r="R1520" s="60" t="n">
        <f aca="false">G1520+H1520+I1520</f>
        <v>92.46</v>
      </c>
      <c r="S1520" s="60" t="n">
        <f aca="false">K1520+L1520+M1520+N1520+O1520</f>
        <v>57.07</v>
      </c>
      <c r="T1520" s="60" t="n">
        <f aca="false">L1520+M1520</f>
        <v>17.4</v>
      </c>
      <c r="U1520" s="60" t="n">
        <f aca="false">S1520+J1520</f>
        <v>79.51</v>
      </c>
      <c r="V1520" s="63" t="n">
        <f aca="false">IFERROR(S1520/F1520,0)</f>
        <v>0.331860208175845</v>
      </c>
      <c r="W1520" s="63" t="n">
        <f aca="false">IFERROR(R1520/F1520,0)</f>
        <v>0.537651916031866</v>
      </c>
      <c r="X1520" s="63" t="n">
        <f aca="false">IFERROR(T1520/F1520,0)</f>
        <v>0.101180438448567</v>
      </c>
      <c r="Y1520" s="63" t="n">
        <f aca="false">IFERROR(G1520/F1520,0)</f>
        <v>0.153747746700006</v>
      </c>
      <c r="Z1520" s="59" t="n">
        <f aca="false">IF(E1520&gt;0,F1520*1000000000/E1520,"")</f>
        <v>694.815635780044</v>
      </c>
      <c r="AA1520" s="63" t="n">
        <f aca="false">IFERROR((R1520+S1520+J1520)/F1520,0)</f>
        <v>1</v>
      </c>
      <c r="AB1520" s="0" t="str">
        <f aca="false">A1520&amp;"|"&amp;D1520</f>
        <v>Pakistan|2023</v>
      </c>
    </row>
    <row r="1521" customFormat="false" ht="15" hidden="false" customHeight="false" outlineLevel="0" collapsed="false">
      <c r="A1521" s="0" t="s">
        <v>325</v>
      </c>
      <c r="B1521" s="0" t="s">
        <v>564</v>
      </c>
      <c r="C1521" s="0" t="s">
        <v>127</v>
      </c>
      <c r="D1521" s="0" t="n">
        <v>2024</v>
      </c>
      <c r="E1521" s="59" t="n">
        <v>251269160</v>
      </c>
      <c r="F1521" s="60" t="n">
        <v>174.96</v>
      </c>
      <c r="G1521" s="61" t="n">
        <v>24.36</v>
      </c>
      <c r="H1521" s="61" t="n">
        <v>43.98</v>
      </c>
      <c r="I1521" s="61" t="n">
        <v>18.66</v>
      </c>
      <c r="J1521" s="61" t="n">
        <v>22.88</v>
      </c>
      <c r="K1521" s="61" t="n">
        <v>38.27</v>
      </c>
      <c r="L1521" s="61" t="n">
        <v>19.83</v>
      </c>
      <c r="M1521" s="61" t="n">
        <v>5.16</v>
      </c>
      <c r="N1521" s="61" t="n">
        <v>1.82</v>
      </c>
      <c r="O1521" s="61" t="n">
        <v>0</v>
      </c>
      <c r="P1521" s="62" t="n">
        <v>373.7</v>
      </c>
      <c r="Q1521" s="0" t="n">
        <v>0</v>
      </c>
      <c r="R1521" s="60" t="n">
        <f aca="false">G1521+H1521+I1521</f>
        <v>87</v>
      </c>
      <c r="S1521" s="60" t="n">
        <f aca="false">K1521+L1521+M1521+N1521+O1521</f>
        <v>65.08</v>
      </c>
      <c r="T1521" s="60" t="n">
        <f aca="false">L1521+M1521</f>
        <v>24.99</v>
      </c>
      <c r="U1521" s="60" t="n">
        <f aca="false">S1521+J1521</f>
        <v>87.96</v>
      </c>
      <c r="V1521" s="63" t="n">
        <f aca="false">IFERROR(S1521/F1521,0)</f>
        <v>0.371970736168267</v>
      </c>
      <c r="W1521" s="63" t="n">
        <f aca="false">IFERROR(R1521/F1521,0)</f>
        <v>0.497256515775034</v>
      </c>
      <c r="X1521" s="63" t="n">
        <f aca="false">IFERROR(T1521/F1521,0)</f>
        <v>0.142832647462277</v>
      </c>
      <c r="Y1521" s="63" t="n">
        <f aca="false">IFERROR(G1521/F1521,0)</f>
        <v>0.13923182441701</v>
      </c>
      <c r="Z1521" s="59" t="n">
        <f aca="false">IF(E1521&gt;0,F1521*1000000000/E1521,"")</f>
        <v>696.305109628257</v>
      </c>
      <c r="AA1521" s="63" t="n">
        <f aca="false">IFERROR((R1521+S1521+J1521)/F1521,0)</f>
        <v>1</v>
      </c>
      <c r="AB1521" s="0" t="str">
        <f aca="false">A1521&amp;"|"&amp;D1521</f>
        <v>Pakistan|2024</v>
      </c>
    </row>
    <row r="1522" customFormat="false" ht="15" hidden="false" customHeight="false" outlineLevel="0" collapsed="false">
      <c r="A1522" s="0" t="s">
        <v>325</v>
      </c>
      <c r="B1522" s="0" t="s">
        <v>564</v>
      </c>
      <c r="C1522" s="0" t="s">
        <v>127</v>
      </c>
      <c r="D1522" s="0" t="n">
        <v>2025</v>
      </c>
      <c r="E1522" s="59" t="n">
        <v>255219560</v>
      </c>
      <c r="F1522" s="60" t="n">
        <v>195.03</v>
      </c>
      <c r="G1522" s="61" t="n">
        <v>28.91</v>
      </c>
      <c r="H1522" s="61" t="n">
        <v>41.05</v>
      </c>
      <c r="I1522" s="61" t="n">
        <v>17.99</v>
      </c>
      <c r="J1522" s="61" t="n">
        <v>23.71</v>
      </c>
      <c r="K1522" s="61" t="n">
        <v>39.35</v>
      </c>
      <c r="L1522" s="61" t="n">
        <v>36.61</v>
      </c>
      <c r="M1522" s="61" t="n">
        <v>5.74</v>
      </c>
      <c r="N1522" s="61" t="n">
        <v>1.67</v>
      </c>
      <c r="O1522" s="61" t="n">
        <v>0</v>
      </c>
      <c r="P1522" s="62" t="n">
        <v>346.6</v>
      </c>
      <c r="Q1522" s="0" t="n">
        <v>0</v>
      </c>
      <c r="R1522" s="60" t="n">
        <f aca="false">G1522+H1522+I1522</f>
        <v>87.95</v>
      </c>
      <c r="S1522" s="60" t="n">
        <f aca="false">K1522+L1522+M1522+N1522+O1522</f>
        <v>83.37</v>
      </c>
      <c r="T1522" s="60" t="n">
        <f aca="false">L1522+M1522</f>
        <v>42.35</v>
      </c>
      <c r="U1522" s="60" t="n">
        <f aca="false">S1522+J1522</f>
        <v>107.08</v>
      </c>
      <c r="V1522" s="63" t="n">
        <f aca="false">IFERROR(S1522/F1522,0)</f>
        <v>0.42747269650823</v>
      </c>
      <c r="W1522" s="63" t="n">
        <f aca="false">IFERROR(R1522/F1522,0)</f>
        <v>0.450956263139004</v>
      </c>
      <c r="X1522" s="63" t="n">
        <f aca="false">IFERROR(T1522/F1522,0)</f>
        <v>0.217146080090243</v>
      </c>
      <c r="Y1522" s="63" t="n">
        <f aca="false">IFERROR(G1522/F1522,0)</f>
        <v>0.148233605086397</v>
      </c>
      <c r="Z1522" s="59" t="n">
        <f aca="false">IF(E1522&gt;0,F1522*1000000000/E1522,"")</f>
        <v>764.165567874186</v>
      </c>
      <c r="AA1522" s="63" t="n">
        <f aca="false">IFERROR((R1522+S1522+J1522)/F1522,0)</f>
        <v>1</v>
      </c>
      <c r="AB1522" s="0" t="str">
        <f aca="false">A1522&amp;"|"&amp;D1522</f>
        <v>Pakistan|2025</v>
      </c>
    </row>
    <row r="1523" customFormat="false" ht="15" hidden="false" customHeight="false" outlineLevel="0" collapsed="false">
      <c r="A1523" s="0" t="s">
        <v>326</v>
      </c>
      <c r="B1523" s="0" t="s">
        <v>565</v>
      </c>
      <c r="C1523" s="0" t="s">
        <v>127</v>
      </c>
      <c r="D1523" s="0" t="n">
        <v>2015</v>
      </c>
      <c r="E1523" s="59" t="n">
        <v>4521564</v>
      </c>
      <c r="F1523" s="60" t="n">
        <v>0.52</v>
      </c>
      <c r="G1523" s="61" t="n">
        <v>0</v>
      </c>
      <c r="H1523" s="61" t="n">
        <v>0</v>
      </c>
      <c r="I1523" s="61" t="n">
        <v>0.51</v>
      </c>
      <c r="J1523" s="61" t="n">
        <v>0</v>
      </c>
      <c r="K1523" s="61" t="n">
        <v>0</v>
      </c>
      <c r="L1523" s="61" t="n">
        <v>0.01</v>
      </c>
      <c r="M1523" s="61" t="n">
        <v>0</v>
      </c>
      <c r="N1523" s="61" t="n">
        <v>0</v>
      </c>
      <c r="O1523" s="61" t="n">
        <v>0</v>
      </c>
      <c r="P1523" s="62" t="n">
        <v>653.9</v>
      </c>
      <c r="Q1523" s="0" t="n">
        <v>0</v>
      </c>
      <c r="R1523" s="60" t="n">
        <f aca="false">G1523+H1523+I1523</f>
        <v>0.51</v>
      </c>
      <c r="S1523" s="60" t="n">
        <f aca="false">K1523+L1523+M1523+N1523+O1523</f>
        <v>0.01</v>
      </c>
      <c r="T1523" s="60" t="n">
        <f aca="false">L1523+M1523</f>
        <v>0.01</v>
      </c>
      <c r="U1523" s="60" t="n">
        <f aca="false">S1523+J1523</f>
        <v>0.01</v>
      </c>
      <c r="V1523" s="63" t="n">
        <f aca="false">IFERROR(S1523/F1523,0)</f>
        <v>0.0192307692307692</v>
      </c>
      <c r="W1523" s="63" t="n">
        <f aca="false">IFERROR(R1523/F1523,0)</f>
        <v>0.980769230769231</v>
      </c>
      <c r="X1523" s="63" t="n">
        <f aca="false">IFERROR(T1523/F1523,0)</f>
        <v>0.0192307692307692</v>
      </c>
      <c r="Y1523" s="63" t="n">
        <f aca="false">IFERROR(G1523/F1523,0)</f>
        <v>0</v>
      </c>
      <c r="Z1523" s="59" t="n">
        <f aca="false">IF(E1523&gt;0,F1523*1000000000/E1523,"")</f>
        <v>115.004454210977</v>
      </c>
      <c r="AA1523" s="63" t="n">
        <f aca="false">IFERROR((R1523+S1523+J1523)/F1523,0)</f>
        <v>1</v>
      </c>
      <c r="AB1523" s="0" t="str">
        <f aca="false">A1523&amp;"|"&amp;D1523</f>
        <v>Palestine|2015</v>
      </c>
    </row>
    <row r="1524" customFormat="false" ht="15" hidden="false" customHeight="false" outlineLevel="0" collapsed="false">
      <c r="A1524" s="0" t="s">
        <v>326</v>
      </c>
      <c r="B1524" s="0" t="s">
        <v>565</v>
      </c>
      <c r="C1524" s="0" t="s">
        <v>127</v>
      </c>
      <c r="D1524" s="0" t="n">
        <v>2016</v>
      </c>
      <c r="E1524" s="59" t="n">
        <v>4632743</v>
      </c>
      <c r="F1524" s="60" t="n">
        <v>0.53</v>
      </c>
      <c r="G1524" s="61" t="n">
        <v>0</v>
      </c>
      <c r="H1524" s="61" t="n">
        <v>0</v>
      </c>
      <c r="I1524" s="61" t="n">
        <v>0.49</v>
      </c>
      <c r="J1524" s="61" t="n">
        <v>0</v>
      </c>
      <c r="K1524" s="61" t="n">
        <v>0</v>
      </c>
      <c r="L1524" s="61" t="n">
        <v>0.04</v>
      </c>
      <c r="M1524" s="61" t="n">
        <v>0</v>
      </c>
      <c r="N1524" s="61" t="n">
        <v>0</v>
      </c>
      <c r="O1524" s="61" t="n">
        <v>0</v>
      </c>
      <c r="P1524" s="62" t="n">
        <v>603.8</v>
      </c>
      <c r="Q1524" s="0" t="n">
        <v>0</v>
      </c>
      <c r="R1524" s="60" t="n">
        <f aca="false">G1524+H1524+I1524</f>
        <v>0.49</v>
      </c>
      <c r="S1524" s="60" t="n">
        <f aca="false">K1524+L1524+M1524+N1524+O1524</f>
        <v>0.04</v>
      </c>
      <c r="T1524" s="60" t="n">
        <f aca="false">L1524+M1524</f>
        <v>0.04</v>
      </c>
      <c r="U1524" s="60" t="n">
        <f aca="false">S1524+J1524</f>
        <v>0.04</v>
      </c>
      <c r="V1524" s="63" t="n">
        <f aca="false">IFERROR(S1524/F1524,0)</f>
        <v>0.0754716981132075</v>
      </c>
      <c r="W1524" s="63" t="n">
        <f aca="false">IFERROR(R1524/F1524,0)</f>
        <v>0.924528301886792</v>
      </c>
      <c r="X1524" s="63" t="n">
        <f aca="false">IFERROR(T1524/F1524,0)</f>
        <v>0.0754716981132075</v>
      </c>
      <c r="Y1524" s="63" t="n">
        <f aca="false">IFERROR(G1524/F1524,0)</f>
        <v>0</v>
      </c>
      <c r="Z1524" s="59" t="n">
        <f aca="false">IF(E1524&gt;0,F1524*1000000000/E1524,"")</f>
        <v>114.403065311415</v>
      </c>
      <c r="AA1524" s="63" t="n">
        <f aca="false">IFERROR((R1524+S1524+J1524)/F1524,0)</f>
        <v>1</v>
      </c>
      <c r="AB1524" s="0" t="str">
        <f aca="false">A1524&amp;"|"&amp;D1524</f>
        <v>Palestine|2016</v>
      </c>
    </row>
    <row r="1525" customFormat="false" ht="15" hidden="false" customHeight="false" outlineLevel="0" collapsed="false">
      <c r="A1525" s="0" t="s">
        <v>326</v>
      </c>
      <c r="B1525" s="0" t="s">
        <v>565</v>
      </c>
      <c r="C1525" s="0" t="s">
        <v>127</v>
      </c>
      <c r="D1525" s="0" t="n">
        <v>2017</v>
      </c>
      <c r="E1525" s="59" t="n">
        <v>4742747</v>
      </c>
      <c r="F1525" s="60" t="n">
        <v>0.55</v>
      </c>
      <c r="G1525" s="61" t="n">
        <v>0</v>
      </c>
      <c r="H1525" s="61" t="n">
        <v>0</v>
      </c>
      <c r="I1525" s="61" t="n">
        <v>0.5</v>
      </c>
      <c r="J1525" s="61" t="n">
        <v>0</v>
      </c>
      <c r="K1525" s="61" t="n">
        <v>0</v>
      </c>
      <c r="L1525" s="61" t="n">
        <v>0.05</v>
      </c>
      <c r="M1525" s="61" t="n">
        <v>0</v>
      </c>
      <c r="N1525" s="61" t="n">
        <v>0</v>
      </c>
      <c r="O1525" s="61" t="n">
        <v>0</v>
      </c>
      <c r="P1525" s="62" t="n">
        <v>600</v>
      </c>
      <c r="Q1525" s="0" t="n">
        <v>0</v>
      </c>
      <c r="R1525" s="60" t="n">
        <f aca="false">G1525+H1525+I1525</f>
        <v>0.5</v>
      </c>
      <c r="S1525" s="60" t="n">
        <f aca="false">K1525+L1525+M1525+N1525+O1525</f>
        <v>0.05</v>
      </c>
      <c r="T1525" s="60" t="n">
        <f aca="false">L1525+M1525</f>
        <v>0.05</v>
      </c>
      <c r="U1525" s="60" t="n">
        <f aca="false">S1525+J1525</f>
        <v>0.05</v>
      </c>
      <c r="V1525" s="63" t="n">
        <f aca="false">IFERROR(S1525/F1525,0)</f>
        <v>0.0909090909090909</v>
      </c>
      <c r="W1525" s="63" t="n">
        <f aca="false">IFERROR(R1525/F1525,0)</f>
        <v>0.909090909090909</v>
      </c>
      <c r="X1525" s="63" t="n">
        <f aca="false">IFERROR(T1525/F1525,0)</f>
        <v>0.0909090909090909</v>
      </c>
      <c r="Y1525" s="63" t="n">
        <f aca="false">IFERROR(G1525/F1525,0)</f>
        <v>0</v>
      </c>
      <c r="Z1525" s="59" t="n">
        <f aca="false">IF(E1525&gt;0,F1525*1000000000/E1525,"")</f>
        <v>115.966548500268</v>
      </c>
      <c r="AA1525" s="63" t="n">
        <f aca="false">IFERROR((R1525+S1525+J1525)/F1525,0)</f>
        <v>1</v>
      </c>
      <c r="AB1525" s="0" t="str">
        <f aca="false">A1525&amp;"|"&amp;D1525</f>
        <v>Palestine|2017</v>
      </c>
    </row>
    <row r="1526" customFormat="false" ht="15" hidden="false" customHeight="false" outlineLevel="0" collapsed="false">
      <c r="A1526" s="0" t="s">
        <v>326</v>
      </c>
      <c r="B1526" s="0" t="s">
        <v>565</v>
      </c>
      <c r="C1526" s="0" t="s">
        <v>127</v>
      </c>
      <c r="D1526" s="0" t="n">
        <v>2018</v>
      </c>
      <c r="E1526" s="59" t="n">
        <v>4850593</v>
      </c>
      <c r="F1526" s="60" t="n">
        <v>0.42</v>
      </c>
      <c r="G1526" s="61" t="n">
        <v>0</v>
      </c>
      <c r="H1526" s="61" t="n">
        <v>0</v>
      </c>
      <c r="I1526" s="61" t="n">
        <v>0.36</v>
      </c>
      <c r="J1526" s="61" t="n">
        <v>0</v>
      </c>
      <c r="K1526" s="61" t="n">
        <v>0</v>
      </c>
      <c r="L1526" s="61" t="n">
        <v>0.06</v>
      </c>
      <c r="M1526" s="61" t="n">
        <v>0</v>
      </c>
      <c r="N1526" s="61" t="n">
        <v>0</v>
      </c>
      <c r="O1526" s="61" t="n">
        <v>0</v>
      </c>
      <c r="P1526" s="62" t="n">
        <v>571.4</v>
      </c>
      <c r="Q1526" s="0" t="n">
        <v>0</v>
      </c>
      <c r="R1526" s="60" t="n">
        <f aca="false">G1526+H1526+I1526</f>
        <v>0.36</v>
      </c>
      <c r="S1526" s="60" t="n">
        <f aca="false">K1526+L1526+M1526+N1526+O1526</f>
        <v>0.06</v>
      </c>
      <c r="T1526" s="60" t="n">
        <f aca="false">L1526+M1526</f>
        <v>0.06</v>
      </c>
      <c r="U1526" s="60" t="n">
        <f aca="false">S1526+J1526</f>
        <v>0.06</v>
      </c>
      <c r="V1526" s="63" t="n">
        <f aca="false">IFERROR(S1526/F1526,0)</f>
        <v>0.142857142857143</v>
      </c>
      <c r="W1526" s="63" t="n">
        <f aca="false">IFERROR(R1526/F1526,0)</f>
        <v>0.857142857142857</v>
      </c>
      <c r="X1526" s="63" t="n">
        <f aca="false">IFERROR(T1526/F1526,0)</f>
        <v>0.142857142857143</v>
      </c>
      <c r="Y1526" s="63" t="n">
        <f aca="false">IFERROR(G1526/F1526,0)</f>
        <v>0</v>
      </c>
      <c r="Z1526" s="59" t="n">
        <f aca="false">IF(E1526&gt;0,F1526*1000000000/E1526,"")</f>
        <v>86.5873512784932</v>
      </c>
      <c r="AA1526" s="63" t="n">
        <f aca="false">IFERROR((R1526+S1526+J1526)/F1526,0)</f>
        <v>1</v>
      </c>
      <c r="AB1526" s="0" t="str">
        <f aca="false">A1526&amp;"|"&amp;D1526</f>
        <v>Palestine|2018</v>
      </c>
    </row>
    <row r="1527" customFormat="false" ht="15" hidden="false" customHeight="false" outlineLevel="0" collapsed="false">
      <c r="A1527" s="0" t="s">
        <v>326</v>
      </c>
      <c r="B1527" s="0" t="s">
        <v>565</v>
      </c>
      <c r="C1527" s="0" t="s">
        <v>127</v>
      </c>
      <c r="D1527" s="0" t="n">
        <v>2019</v>
      </c>
      <c r="E1527" s="59" t="n">
        <v>4957773</v>
      </c>
      <c r="F1527" s="60" t="n">
        <v>0.81</v>
      </c>
      <c r="G1527" s="61" t="n">
        <v>0</v>
      </c>
      <c r="H1527" s="61" t="n">
        <v>0</v>
      </c>
      <c r="I1527" s="61" t="n">
        <v>0.69</v>
      </c>
      <c r="J1527" s="61" t="n">
        <v>0</v>
      </c>
      <c r="K1527" s="61" t="n">
        <v>0</v>
      </c>
      <c r="L1527" s="61" t="n">
        <v>0.12</v>
      </c>
      <c r="M1527" s="61" t="n">
        <v>0</v>
      </c>
      <c r="N1527" s="61" t="n">
        <v>0</v>
      </c>
      <c r="O1527" s="61" t="n">
        <v>0</v>
      </c>
      <c r="P1527" s="62" t="n">
        <v>567.9</v>
      </c>
      <c r="Q1527" s="0" t="n">
        <v>0</v>
      </c>
      <c r="R1527" s="60" t="n">
        <f aca="false">G1527+H1527+I1527</f>
        <v>0.69</v>
      </c>
      <c r="S1527" s="60" t="n">
        <f aca="false">K1527+L1527+M1527+N1527+O1527</f>
        <v>0.12</v>
      </c>
      <c r="T1527" s="60" t="n">
        <f aca="false">L1527+M1527</f>
        <v>0.12</v>
      </c>
      <c r="U1527" s="60" t="n">
        <f aca="false">S1527+J1527</f>
        <v>0.12</v>
      </c>
      <c r="V1527" s="63" t="n">
        <f aca="false">IFERROR(S1527/F1527,0)</f>
        <v>0.148148148148148</v>
      </c>
      <c r="W1527" s="63" t="n">
        <f aca="false">IFERROR(R1527/F1527,0)</f>
        <v>0.851851851851852</v>
      </c>
      <c r="X1527" s="63" t="n">
        <f aca="false">IFERROR(T1527/F1527,0)</f>
        <v>0.148148148148148</v>
      </c>
      <c r="Y1527" s="63" t="n">
        <f aca="false">IFERROR(G1527/F1527,0)</f>
        <v>0</v>
      </c>
      <c r="Z1527" s="59" t="n">
        <f aca="false">IF(E1527&gt;0,F1527*1000000000/E1527,"")</f>
        <v>163.379807829039</v>
      </c>
      <c r="AA1527" s="63" t="n">
        <f aca="false">IFERROR((R1527+S1527+J1527)/F1527,0)</f>
        <v>1</v>
      </c>
      <c r="AB1527" s="0" t="str">
        <f aca="false">A1527&amp;"|"&amp;D1527</f>
        <v>Palestine|2019</v>
      </c>
    </row>
    <row r="1528" customFormat="false" ht="15" hidden="false" customHeight="false" outlineLevel="0" collapsed="false">
      <c r="A1528" s="0" t="s">
        <v>326</v>
      </c>
      <c r="B1528" s="0" t="s">
        <v>565</v>
      </c>
      <c r="C1528" s="0" t="s">
        <v>127</v>
      </c>
      <c r="D1528" s="0" t="n">
        <v>2020</v>
      </c>
      <c r="E1528" s="59" t="n">
        <v>5069692</v>
      </c>
      <c r="F1528" s="60" t="n">
        <v>0.84</v>
      </c>
      <c r="G1528" s="61" t="n">
        <v>0</v>
      </c>
      <c r="H1528" s="61" t="n">
        <v>0</v>
      </c>
      <c r="I1528" s="61" t="n">
        <v>0.66</v>
      </c>
      <c r="J1528" s="61" t="n">
        <v>0</v>
      </c>
      <c r="K1528" s="61" t="n">
        <v>0</v>
      </c>
      <c r="L1528" s="61" t="n">
        <v>0.18</v>
      </c>
      <c r="M1528" s="61" t="n">
        <v>0</v>
      </c>
      <c r="N1528" s="61" t="n">
        <v>0</v>
      </c>
      <c r="O1528" s="61" t="n">
        <v>0</v>
      </c>
      <c r="P1528" s="62" t="n">
        <v>523.8</v>
      </c>
      <c r="Q1528" s="0" t="n">
        <v>0</v>
      </c>
      <c r="R1528" s="60" t="n">
        <f aca="false">G1528+H1528+I1528</f>
        <v>0.66</v>
      </c>
      <c r="S1528" s="60" t="n">
        <f aca="false">K1528+L1528+M1528+N1528+O1528</f>
        <v>0.18</v>
      </c>
      <c r="T1528" s="60" t="n">
        <f aca="false">L1528+M1528</f>
        <v>0.18</v>
      </c>
      <c r="U1528" s="60" t="n">
        <f aca="false">S1528+J1528</f>
        <v>0.18</v>
      </c>
      <c r="V1528" s="63" t="n">
        <f aca="false">IFERROR(S1528/F1528,0)</f>
        <v>0.214285714285714</v>
      </c>
      <c r="W1528" s="63" t="n">
        <f aca="false">IFERROR(R1528/F1528,0)</f>
        <v>0.785714285714286</v>
      </c>
      <c r="X1528" s="63" t="n">
        <f aca="false">IFERROR(T1528/F1528,0)</f>
        <v>0.214285714285714</v>
      </c>
      <c r="Y1528" s="63" t="n">
        <f aca="false">IFERROR(G1528/F1528,0)</f>
        <v>0</v>
      </c>
      <c r="Z1528" s="59" t="n">
        <f aca="false">IF(E1528&gt;0,F1528*1000000000/E1528,"")</f>
        <v>165.690538991323</v>
      </c>
      <c r="AA1528" s="63" t="n">
        <f aca="false">IFERROR((R1528+S1528+J1528)/F1528,0)</f>
        <v>1</v>
      </c>
      <c r="AB1528" s="0" t="str">
        <f aca="false">A1528&amp;"|"&amp;D1528</f>
        <v>Palestine|2020</v>
      </c>
    </row>
    <row r="1529" customFormat="false" ht="15" hidden="false" customHeight="false" outlineLevel="0" collapsed="false">
      <c r="A1529" s="0" t="s">
        <v>326</v>
      </c>
      <c r="B1529" s="0" t="s">
        <v>565</v>
      </c>
      <c r="C1529" s="0" t="s">
        <v>127</v>
      </c>
      <c r="D1529" s="0" t="n">
        <v>2021</v>
      </c>
      <c r="E1529" s="59" t="n">
        <v>5185341</v>
      </c>
      <c r="F1529" s="60" t="n">
        <v>0.91</v>
      </c>
      <c r="G1529" s="61" t="n">
        <v>0</v>
      </c>
      <c r="H1529" s="61" t="n">
        <v>0</v>
      </c>
      <c r="I1529" s="61" t="n">
        <v>0.69</v>
      </c>
      <c r="J1529" s="61" t="n">
        <v>0</v>
      </c>
      <c r="K1529" s="61" t="n">
        <v>0</v>
      </c>
      <c r="L1529" s="61" t="n">
        <v>0.22</v>
      </c>
      <c r="M1529" s="61" t="n">
        <v>0</v>
      </c>
      <c r="N1529" s="61" t="n">
        <v>0</v>
      </c>
      <c r="O1529" s="61" t="n">
        <v>0</v>
      </c>
      <c r="P1529" s="62" t="n">
        <v>505.5</v>
      </c>
      <c r="Q1529" s="0" t="n">
        <v>0</v>
      </c>
      <c r="R1529" s="60" t="n">
        <f aca="false">G1529+H1529+I1529</f>
        <v>0.69</v>
      </c>
      <c r="S1529" s="60" t="n">
        <f aca="false">K1529+L1529+M1529+N1529+O1529</f>
        <v>0.22</v>
      </c>
      <c r="T1529" s="60" t="n">
        <f aca="false">L1529+M1529</f>
        <v>0.22</v>
      </c>
      <c r="U1529" s="60" t="n">
        <f aca="false">S1529+J1529</f>
        <v>0.22</v>
      </c>
      <c r="V1529" s="63" t="n">
        <f aca="false">IFERROR(S1529/F1529,0)</f>
        <v>0.241758241758242</v>
      </c>
      <c r="W1529" s="63" t="n">
        <f aca="false">IFERROR(R1529/F1529,0)</f>
        <v>0.758241758241758</v>
      </c>
      <c r="X1529" s="63" t="n">
        <f aca="false">IFERROR(T1529/F1529,0)</f>
        <v>0.241758241758242</v>
      </c>
      <c r="Y1529" s="63" t="n">
        <f aca="false">IFERROR(G1529/F1529,0)</f>
        <v>0</v>
      </c>
      <c r="Z1529" s="59" t="n">
        <f aca="false">IF(E1529&gt;0,F1529*1000000000/E1529,"")</f>
        <v>175.494726383472</v>
      </c>
      <c r="AA1529" s="63" t="n">
        <f aca="false">IFERROR((R1529+S1529+J1529)/F1529,0)</f>
        <v>1</v>
      </c>
      <c r="AB1529" s="0" t="str">
        <f aca="false">A1529&amp;"|"&amp;D1529</f>
        <v>Palestine|2021</v>
      </c>
    </row>
    <row r="1530" customFormat="false" ht="15" hidden="false" customHeight="false" outlineLevel="0" collapsed="false">
      <c r="A1530" s="0" t="s">
        <v>326</v>
      </c>
      <c r="B1530" s="0" t="s">
        <v>565</v>
      </c>
      <c r="C1530" s="0" t="s">
        <v>127</v>
      </c>
      <c r="D1530" s="0" t="n">
        <v>2022</v>
      </c>
      <c r="E1530" s="59" t="n">
        <v>5305274</v>
      </c>
      <c r="F1530" s="60" t="n">
        <v>1.02</v>
      </c>
      <c r="G1530" s="61" t="n">
        <v>0</v>
      </c>
      <c r="H1530" s="61" t="n">
        <v>0</v>
      </c>
      <c r="I1530" s="61" t="n">
        <v>0.68</v>
      </c>
      <c r="J1530" s="61" t="n">
        <v>0</v>
      </c>
      <c r="K1530" s="61" t="n">
        <v>0</v>
      </c>
      <c r="L1530" s="61" t="n">
        <v>0.34</v>
      </c>
      <c r="M1530" s="61" t="n">
        <v>0</v>
      </c>
      <c r="N1530" s="61" t="n">
        <v>0</v>
      </c>
      <c r="O1530" s="61" t="n">
        <v>0</v>
      </c>
      <c r="P1530" s="62" t="n">
        <v>460.8</v>
      </c>
      <c r="Q1530" s="0" t="n">
        <v>0</v>
      </c>
      <c r="R1530" s="60" t="n">
        <f aca="false">G1530+H1530+I1530</f>
        <v>0.68</v>
      </c>
      <c r="S1530" s="60" t="n">
        <f aca="false">K1530+L1530+M1530+N1530+O1530</f>
        <v>0.34</v>
      </c>
      <c r="T1530" s="60" t="n">
        <f aca="false">L1530+M1530</f>
        <v>0.34</v>
      </c>
      <c r="U1530" s="60" t="n">
        <f aca="false">S1530+J1530</f>
        <v>0.34</v>
      </c>
      <c r="V1530" s="63" t="n">
        <f aca="false">IFERROR(S1530/F1530,0)</f>
        <v>0.333333333333333</v>
      </c>
      <c r="W1530" s="63" t="n">
        <f aca="false">IFERROR(R1530/F1530,0)</f>
        <v>0.666666666666667</v>
      </c>
      <c r="X1530" s="63" t="n">
        <f aca="false">IFERROR(T1530/F1530,0)</f>
        <v>0.333333333333333</v>
      </c>
      <c r="Y1530" s="63" t="n">
        <f aca="false">IFERROR(G1530/F1530,0)</f>
        <v>0</v>
      </c>
      <c r="Z1530" s="59" t="n">
        <f aca="false">IF(E1530&gt;0,F1530*1000000000/E1530,"")</f>
        <v>192.261511846513</v>
      </c>
      <c r="AA1530" s="63" t="n">
        <f aca="false">IFERROR((R1530+S1530+J1530)/F1530,0)</f>
        <v>1</v>
      </c>
      <c r="AB1530" s="0" t="str">
        <f aca="false">A1530&amp;"|"&amp;D1530</f>
        <v>Palestine|2022</v>
      </c>
    </row>
    <row r="1531" customFormat="false" ht="15" hidden="false" customHeight="false" outlineLevel="0" collapsed="false">
      <c r="A1531" s="0" t="s">
        <v>326</v>
      </c>
      <c r="B1531" s="0" t="s">
        <v>565</v>
      </c>
      <c r="C1531" s="0" t="s">
        <v>127</v>
      </c>
      <c r="D1531" s="0" t="n">
        <v>2023</v>
      </c>
      <c r="E1531" s="59" t="n">
        <v>5409201</v>
      </c>
      <c r="F1531" s="60" t="n">
        <v>0.85</v>
      </c>
      <c r="G1531" s="61" t="n">
        <v>0</v>
      </c>
      <c r="H1531" s="61" t="n">
        <v>0</v>
      </c>
      <c r="I1531" s="61" t="n">
        <v>0.51</v>
      </c>
      <c r="J1531" s="61" t="n">
        <v>0</v>
      </c>
      <c r="K1531" s="61" t="n">
        <v>0</v>
      </c>
      <c r="L1531" s="61" t="n">
        <v>0.34</v>
      </c>
      <c r="M1531" s="61" t="n">
        <v>0</v>
      </c>
      <c r="N1531" s="61" t="n">
        <v>0</v>
      </c>
      <c r="O1531" s="61" t="n">
        <v>0</v>
      </c>
      <c r="P1531" s="62" t="n">
        <v>423.5</v>
      </c>
      <c r="Q1531" s="0" t="n">
        <v>0</v>
      </c>
      <c r="R1531" s="60" t="n">
        <f aca="false">G1531+H1531+I1531</f>
        <v>0.51</v>
      </c>
      <c r="S1531" s="60" t="n">
        <f aca="false">K1531+L1531+M1531+N1531+O1531</f>
        <v>0.34</v>
      </c>
      <c r="T1531" s="60" t="n">
        <f aca="false">L1531+M1531</f>
        <v>0.34</v>
      </c>
      <c r="U1531" s="60" t="n">
        <f aca="false">S1531+J1531</f>
        <v>0.34</v>
      </c>
      <c r="V1531" s="63" t="n">
        <f aca="false">IFERROR(S1531/F1531,0)</f>
        <v>0.4</v>
      </c>
      <c r="W1531" s="63" t="n">
        <f aca="false">IFERROR(R1531/F1531,0)</f>
        <v>0.6</v>
      </c>
      <c r="X1531" s="63" t="n">
        <f aca="false">IFERROR(T1531/F1531,0)</f>
        <v>0.4</v>
      </c>
      <c r="Y1531" s="63" t="n">
        <f aca="false">IFERROR(G1531/F1531,0)</f>
        <v>0</v>
      </c>
      <c r="Z1531" s="59" t="n">
        <f aca="false">IF(E1531&gt;0,F1531*1000000000/E1531,"")</f>
        <v>157.139658888623</v>
      </c>
      <c r="AA1531" s="63" t="n">
        <f aca="false">IFERROR((R1531+S1531+J1531)/F1531,0)</f>
        <v>1</v>
      </c>
      <c r="AB1531" s="0" t="str">
        <f aca="false">A1531&amp;"|"&amp;D1531</f>
        <v>Palestine|2023</v>
      </c>
    </row>
    <row r="1532" customFormat="false" ht="15" hidden="false" customHeight="false" outlineLevel="0" collapsed="false">
      <c r="A1532" s="0" t="s">
        <v>326</v>
      </c>
      <c r="B1532" s="0" t="s">
        <v>565</v>
      </c>
      <c r="C1532" s="0" t="s">
        <v>127</v>
      </c>
      <c r="D1532" s="0" t="n">
        <v>2024</v>
      </c>
      <c r="E1532" s="59" t="n">
        <v>5495447</v>
      </c>
      <c r="F1532" s="60" t="n">
        <v>0.99</v>
      </c>
      <c r="G1532" s="61" t="n">
        <v>0</v>
      </c>
      <c r="H1532" s="61" t="n">
        <v>0</v>
      </c>
      <c r="I1532" s="61" t="n">
        <v>0.6</v>
      </c>
      <c r="J1532" s="61" t="n">
        <v>0</v>
      </c>
      <c r="K1532" s="61" t="n">
        <v>0</v>
      </c>
      <c r="L1532" s="61" t="n">
        <v>0.39</v>
      </c>
      <c r="M1532" s="61" t="n">
        <v>0</v>
      </c>
      <c r="N1532" s="61" t="n">
        <v>0</v>
      </c>
      <c r="O1532" s="61" t="n">
        <v>0</v>
      </c>
      <c r="P1532" s="62" t="n">
        <v>414.1</v>
      </c>
      <c r="Q1532" s="0" t="n">
        <v>0</v>
      </c>
      <c r="R1532" s="60" t="n">
        <f aca="false">G1532+H1532+I1532</f>
        <v>0.6</v>
      </c>
      <c r="S1532" s="60" t="n">
        <f aca="false">K1532+L1532+M1532+N1532+O1532</f>
        <v>0.39</v>
      </c>
      <c r="T1532" s="60" t="n">
        <f aca="false">L1532+M1532</f>
        <v>0.39</v>
      </c>
      <c r="U1532" s="60" t="n">
        <f aca="false">S1532+J1532</f>
        <v>0.39</v>
      </c>
      <c r="V1532" s="63" t="n">
        <f aca="false">IFERROR(S1532/F1532,0)</f>
        <v>0.393939393939394</v>
      </c>
      <c r="W1532" s="63" t="n">
        <f aca="false">IFERROR(R1532/F1532,0)</f>
        <v>0.606060606060606</v>
      </c>
      <c r="X1532" s="63" t="n">
        <f aca="false">IFERROR(T1532/F1532,0)</f>
        <v>0.393939393939394</v>
      </c>
      <c r="Y1532" s="63" t="n">
        <f aca="false">IFERROR(G1532/F1532,0)</f>
        <v>0</v>
      </c>
      <c r="Z1532" s="59" t="n">
        <f aca="false">IF(E1532&gt;0,F1532*1000000000/E1532,"")</f>
        <v>180.149130725854</v>
      </c>
      <c r="AA1532" s="63" t="n">
        <f aca="false">IFERROR((R1532+S1532+J1532)/F1532,0)</f>
        <v>1</v>
      </c>
      <c r="AB1532" s="0" t="str">
        <f aca="false">A1532&amp;"|"&amp;D1532</f>
        <v>Palestine|2024</v>
      </c>
    </row>
    <row r="1533" customFormat="false" ht="15" hidden="false" customHeight="false" outlineLevel="0" collapsed="false">
      <c r="A1533" s="0" t="s">
        <v>327</v>
      </c>
      <c r="B1533" s="0" t="s">
        <v>566</v>
      </c>
      <c r="C1533" s="0" t="s">
        <v>127</v>
      </c>
      <c r="D1533" s="0" t="n">
        <v>2015</v>
      </c>
      <c r="E1533" s="59" t="n">
        <v>3960034</v>
      </c>
      <c r="F1533" s="60" t="n">
        <v>10.3</v>
      </c>
      <c r="G1533" s="61" t="n">
        <v>0.71</v>
      </c>
      <c r="H1533" s="61" t="n">
        <v>0</v>
      </c>
      <c r="I1533" s="61" t="n">
        <v>2.86</v>
      </c>
      <c r="J1533" s="61" t="n">
        <v>0</v>
      </c>
      <c r="K1533" s="61" t="n">
        <v>6.26</v>
      </c>
      <c r="L1533" s="61" t="n">
        <v>0.02</v>
      </c>
      <c r="M1533" s="61" t="n">
        <v>0.42</v>
      </c>
      <c r="N1533" s="61" t="n">
        <v>0.03</v>
      </c>
      <c r="O1533" s="61" t="n">
        <v>0</v>
      </c>
      <c r="P1533" s="62" t="n">
        <v>258.2</v>
      </c>
      <c r="Q1533" s="0" t="n">
        <v>0</v>
      </c>
      <c r="R1533" s="60" t="n">
        <f aca="false">G1533+H1533+I1533</f>
        <v>3.57</v>
      </c>
      <c r="S1533" s="60" t="n">
        <f aca="false">K1533+L1533+M1533+N1533+O1533</f>
        <v>6.73</v>
      </c>
      <c r="T1533" s="60" t="n">
        <f aca="false">L1533+M1533</f>
        <v>0.44</v>
      </c>
      <c r="U1533" s="60" t="n">
        <f aca="false">S1533+J1533</f>
        <v>6.73</v>
      </c>
      <c r="V1533" s="63" t="n">
        <f aca="false">IFERROR(S1533/F1533,0)</f>
        <v>0.653398058252427</v>
      </c>
      <c r="W1533" s="63" t="n">
        <f aca="false">IFERROR(R1533/F1533,0)</f>
        <v>0.346601941747573</v>
      </c>
      <c r="X1533" s="63" t="n">
        <f aca="false">IFERROR(T1533/F1533,0)</f>
        <v>0.0427184466019418</v>
      </c>
      <c r="Y1533" s="63" t="n">
        <f aca="false">IFERROR(G1533/F1533,0)</f>
        <v>0.0689320388349514</v>
      </c>
      <c r="Z1533" s="59" t="n">
        <f aca="false">IF(E1533&gt;0,F1533*1000000000/E1533,"")</f>
        <v>2600.98776929693</v>
      </c>
      <c r="AA1533" s="63" t="n">
        <f aca="false">IFERROR((R1533+S1533+J1533)/F1533,0)</f>
        <v>1</v>
      </c>
      <c r="AB1533" s="0" t="str">
        <f aca="false">A1533&amp;"|"&amp;D1533</f>
        <v>Panama|2015</v>
      </c>
    </row>
    <row r="1534" customFormat="false" ht="15" hidden="false" customHeight="false" outlineLevel="0" collapsed="false">
      <c r="A1534" s="0" t="s">
        <v>327</v>
      </c>
      <c r="B1534" s="0" t="s">
        <v>566</v>
      </c>
      <c r="C1534" s="0" t="s">
        <v>127</v>
      </c>
      <c r="D1534" s="0" t="n">
        <v>2016</v>
      </c>
      <c r="E1534" s="59" t="n">
        <v>4029085</v>
      </c>
      <c r="F1534" s="60" t="n">
        <v>10.88</v>
      </c>
      <c r="G1534" s="61" t="n">
        <v>0.66</v>
      </c>
      <c r="H1534" s="61" t="n">
        <v>0</v>
      </c>
      <c r="I1534" s="61" t="n">
        <v>2.97</v>
      </c>
      <c r="J1534" s="61" t="n">
        <v>0</v>
      </c>
      <c r="K1534" s="61" t="n">
        <v>6.52</v>
      </c>
      <c r="L1534" s="61" t="n">
        <v>0.07</v>
      </c>
      <c r="M1534" s="61" t="n">
        <v>0.63</v>
      </c>
      <c r="N1534" s="61" t="n">
        <v>0.03</v>
      </c>
      <c r="O1534" s="61" t="n">
        <v>0</v>
      </c>
      <c r="P1534" s="62" t="n">
        <v>247.2</v>
      </c>
      <c r="Q1534" s="0" t="n">
        <v>0</v>
      </c>
      <c r="R1534" s="60" t="n">
        <f aca="false">G1534+H1534+I1534</f>
        <v>3.63</v>
      </c>
      <c r="S1534" s="60" t="n">
        <f aca="false">K1534+L1534+M1534+N1534+O1534</f>
        <v>7.25</v>
      </c>
      <c r="T1534" s="60" t="n">
        <f aca="false">L1534+M1534</f>
        <v>0.7</v>
      </c>
      <c r="U1534" s="60" t="n">
        <f aca="false">S1534+J1534</f>
        <v>7.25</v>
      </c>
      <c r="V1534" s="63" t="n">
        <f aca="false">IFERROR(S1534/F1534,0)</f>
        <v>0.666360294117647</v>
      </c>
      <c r="W1534" s="63" t="n">
        <f aca="false">IFERROR(R1534/F1534,0)</f>
        <v>0.333639705882353</v>
      </c>
      <c r="X1534" s="63" t="n">
        <f aca="false">IFERROR(T1534/F1534,0)</f>
        <v>0.0643382352941176</v>
      </c>
      <c r="Y1534" s="63" t="n">
        <f aca="false">IFERROR(G1534/F1534,0)</f>
        <v>0.0606617647058824</v>
      </c>
      <c r="Z1534" s="59" t="n">
        <f aca="false">IF(E1534&gt;0,F1534*1000000000/E1534,"")</f>
        <v>2700.36497120314</v>
      </c>
      <c r="AA1534" s="63" t="n">
        <f aca="false">IFERROR((R1534+S1534+J1534)/F1534,0)</f>
        <v>1</v>
      </c>
      <c r="AB1534" s="0" t="str">
        <f aca="false">A1534&amp;"|"&amp;D1534</f>
        <v>Panama|2016</v>
      </c>
    </row>
    <row r="1535" customFormat="false" ht="15" hidden="false" customHeight="false" outlineLevel="0" collapsed="false">
      <c r="A1535" s="0" t="s">
        <v>327</v>
      </c>
      <c r="B1535" s="0" t="s">
        <v>566</v>
      </c>
      <c r="C1535" s="0" t="s">
        <v>127</v>
      </c>
      <c r="D1535" s="0" t="n">
        <v>2017</v>
      </c>
      <c r="E1535" s="59" t="n">
        <v>4098704</v>
      </c>
      <c r="F1535" s="60" t="n">
        <v>11.04</v>
      </c>
      <c r="G1535" s="61" t="n">
        <v>0.17</v>
      </c>
      <c r="H1535" s="61" t="n">
        <v>0</v>
      </c>
      <c r="I1535" s="61" t="n">
        <v>2.94</v>
      </c>
      <c r="J1535" s="61" t="n">
        <v>0</v>
      </c>
      <c r="K1535" s="61" t="n">
        <v>7.25</v>
      </c>
      <c r="L1535" s="61" t="n">
        <v>0.16</v>
      </c>
      <c r="M1535" s="61" t="n">
        <v>0.49</v>
      </c>
      <c r="N1535" s="61" t="n">
        <v>0.03</v>
      </c>
      <c r="O1535" s="61" t="n">
        <v>0</v>
      </c>
      <c r="P1535" s="62" t="n">
        <v>205.6</v>
      </c>
      <c r="Q1535" s="0" t="n">
        <v>0</v>
      </c>
      <c r="R1535" s="60" t="n">
        <f aca="false">G1535+H1535+I1535</f>
        <v>3.11</v>
      </c>
      <c r="S1535" s="60" t="n">
        <f aca="false">K1535+L1535+M1535+N1535+O1535</f>
        <v>7.93</v>
      </c>
      <c r="T1535" s="60" t="n">
        <f aca="false">L1535+M1535</f>
        <v>0.65</v>
      </c>
      <c r="U1535" s="60" t="n">
        <f aca="false">S1535+J1535</f>
        <v>7.93</v>
      </c>
      <c r="V1535" s="63" t="n">
        <f aca="false">IFERROR(S1535/F1535,0)</f>
        <v>0.718297101449276</v>
      </c>
      <c r="W1535" s="63" t="n">
        <f aca="false">IFERROR(R1535/F1535,0)</f>
        <v>0.281702898550725</v>
      </c>
      <c r="X1535" s="63" t="n">
        <f aca="false">IFERROR(T1535/F1535,0)</f>
        <v>0.0588768115942029</v>
      </c>
      <c r="Y1535" s="63" t="n">
        <f aca="false">IFERROR(G1535/F1535,0)</f>
        <v>0.0153985507246377</v>
      </c>
      <c r="Z1535" s="59" t="n">
        <f aca="false">IF(E1535&gt;0,F1535*1000000000/E1535,"")</f>
        <v>2693.53434646659</v>
      </c>
      <c r="AA1535" s="63" t="n">
        <f aca="false">IFERROR((R1535+S1535+J1535)/F1535,0)</f>
        <v>1</v>
      </c>
      <c r="AB1535" s="0" t="str">
        <f aca="false">A1535&amp;"|"&amp;D1535</f>
        <v>Panama|2017</v>
      </c>
    </row>
    <row r="1536" customFormat="false" ht="15" hidden="false" customHeight="false" outlineLevel="0" collapsed="false">
      <c r="A1536" s="0" t="s">
        <v>327</v>
      </c>
      <c r="B1536" s="0" t="s">
        <v>566</v>
      </c>
      <c r="C1536" s="0" t="s">
        <v>127</v>
      </c>
      <c r="D1536" s="0" t="n">
        <v>2018</v>
      </c>
      <c r="E1536" s="59" t="n">
        <v>4167860</v>
      </c>
      <c r="F1536" s="60" t="n">
        <v>11.2</v>
      </c>
      <c r="G1536" s="61" t="n">
        <v>0.48</v>
      </c>
      <c r="H1536" s="61" t="n">
        <v>0.62</v>
      </c>
      <c r="I1536" s="61" t="n">
        <v>1.39</v>
      </c>
      <c r="J1536" s="61" t="n">
        <v>0</v>
      </c>
      <c r="K1536" s="61" t="n">
        <v>7.86</v>
      </c>
      <c r="L1536" s="61" t="n">
        <v>0.23</v>
      </c>
      <c r="M1536" s="61" t="n">
        <v>0.59</v>
      </c>
      <c r="N1536" s="61" t="n">
        <v>0.03</v>
      </c>
      <c r="O1536" s="61" t="n">
        <v>0</v>
      </c>
      <c r="P1536" s="62" t="n">
        <v>169.6</v>
      </c>
      <c r="Q1536" s="0" t="n">
        <v>0</v>
      </c>
      <c r="R1536" s="60" t="n">
        <f aca="false">G1536+H1536+I1536</f>
        <v>2.49</v>
      </c>
      <c r="S1536" s="60" t="n">
        <f aca="false">K1536+L1536+M1536+N1536+O1536</f>
        <v>8.71</v>
      </c>
      <c r="T1536" s="60" t="n">
        <f aca="false">L1536+M1536</f>
        <v>0.82</v>
      </c>
      <c r="U1536" s="60" t="n">
        <f aca="false">S1536+J1536</f>
        <v>8.71</v>
      </c>
      <c r="V1536" s="63" t="n">
        <f aca="false">IFERROR(S1536/F1536,0)</f>
        <v>0.777678571428571</v>
      </c>
      <c r="W1536" s="63" t="n">
        <f aca="false">IFERROR(R1536/F1536,0)</f>
        <v>0.222321428571429</v>
      </c>
      <c r="X1536" s="63" t="n">
        <f aca="false">IFERROR(T1536/F1536,0)</f>
        <v>0.0732142857142857</v>
      </c>
      <c r="Y1536" s="63" t="n">
        <f aca="false">IFERROR(G1536/F1536,0)</f>
        <v>0.0428571428571429</v>
      </c>
      <c r="Z1536" s="59" t="n">
        <f aca="false">IF(E1536&gt;0,F1536*1000000000/E1536,"")</f>
        <v>2687.23037721996</v>
      </c>
      <c r="AA1536" s="63" t="n">
        <f aca="false">IFERROR((R1536+S1536+J1536)/F1536,0)</f>
        <v>1</v>
      </c>
      <c r="AB1536" s="0" t="str">
        <f aca="false">A1536&amp;"|"&amp;D1536</f>
        <v>Panama|2018</v>
      </c>
    </row>
    <row r="1537" customFormat="false" ht="15" hidden="false" customHeight="false" outlineLevel="0" collapsed="false">
      <c r="A1537" s="0" t="s">
        <v>327</v>
      </c>
      <c r="B1537" s="0" t="s">
        <v>566</v>
      </c>
      <c r="C1537" s="0" t="s">
        <v>127</v>
      </c>
      <c r="D1537" s="0" t="n">
        <v>2019</v>
      </c>
      <c r="E1537" s="59" t="n">
        <v>4234698</v>
      </c>
      <c r="F1537" s="60" t="n">
        <v>11.64</v>
      </c>
      <c r="G1537" s="61" t="n">
        <v>1.07</v>
      </c>
      <c r="H1537" s="61" t="n">
        <v>2.81</v>
      </c>
      <c r="I1537" s="61" t="n">
        <v>1.62</v>
      </c>
      <c r="J1537" s="61" t="n">
        <v>0</v>
      </c>
      <c r="K1537" s="61" t="n">
        <v>5.1</v>
      </c>
      <c r="L1537" s="61" t="n">
        <v>0.29</v>
      </c>
      <c r="M1537" s="61" t="n">
        <v>0.72</v>
      </c>
      <c r="N1537" s="61" t="n">
        <v>0.03</v>
      </c>
      <c r="O1537" s="61" t="n">
        <v>0</v>
      </c>
      <c r="P1537" s="62" t="n">
        <v>325.6</v>
      </c>
      <c r="Q1537" s="0" t="n">
        <v>0</v>
      </c>
      <c r="R1537" s="60" t="n">
        <f aca="false">G1537+H1537+I1537</f>
        <v>5.5</v>
      </c>
      <c r="S1537" s="60" t="n">
        <f aca="false">K1537+L1537+M1537+N1537+O1537</f>
        <v>6.14</v>
      </c>
      <c r="T1537" s="60" t="n">
        <f aca="false">L1537+M1537</f>
        <v>1.01</v>
      </c>
      <c r="U1537" s="60" t="n">
        <f aca="false">S1537+J1537</f>
        <v>6.14</v>
      </c>
      <c r="V1537" s="63" t="n">
        <f aca="false">IFERROR(S1537/F1537,0)</f>
        <v>0.527491408934708</v>
      </c>
      <c r="W1537" s="63" t="n">
        <f aca="false">IFERROR(R1537/F1537,0)</f>
        <v>0.472508591065292</v>
      </c>
      <c r="X1537" s="63" t="n">
        <f aca="false">IFERROR(T1537/F1537,0)</f>
        <v>0.0867697594501718</v>
      </c>
      <c r="Y1537" s="63" t="n">
        <f aca="false">IFERROR(G1537/F1537,0)</f>
        <v>0.0919243986254296</v>
      </c>
      <c r="Z1537" s="59" t="n">
        <f aca="false">IF(E1537&gt;0,F1537*1000000000/E1537,"")</f>
        <v>2748.72021570369</v>
      </c>
      <c r="AA1537" s="63" t="n">
        <f aca="false">IFERROR((R1537+S1537+J1537)/F1537,0)</f>
        <v>1</v>
      </c>
      <c r="AB1537" s="0" t="str">
        <f aca="false">A1537&amp;"|"&amp;D1537</f>
        <v>Panama|2019</v>
      </c>
    </row>
    <row r="1538" customFormat="false" ht="15" hidden="false" customHeight="false" outlineLevel="0" collapsed="false">
      <c r="A1538" s="0" t="s">
        <v>327</v>
      </c>
      <c r="B1538" s="0" t="s">
        <v>566</v>
      </c>
      <c r="C1538" s="0" t="s">
        <v>127</v>
      </c>
      <c r="D1538" s="0" t="n">
        <v>2020</v>
      </c>
      <c r="E1538" s="59" t="n">
        <v>4293258</v>
      </c>
      <c r="F1538" s="60" t="n">
        <v>10.94</v>
      </c>
      <c r="G1538" s="61" t="n">
        <v>0.61</v>
      </c>
      <c r="H1538" s="61" t="n">
        <v>1.4</v>
      </c>
      <c r="I1538" s="61" t="n">
        <v>0.65</v>
      </c>
      <c r="J1538" s="61" t="n">
        <v>0</v>
      </c>
      <c r="K1538" s="61" t="n">
        <v>7.35</v>
      </c>
      <c r="L1538" s="61" t="n">
        <v>0.32</v>
      </c>
      <c r="M1538" s="61" t="n">
        <v>0.58</v>
      </c>
      <c r="N1538" s="61" t="n">
        <v>0.03</v>
      </c>
      <c r="O1538" s="61" t="n">
        <v>0</v>
      </c>
      <c r="P1538" s="62" t="n">
        <v>181</v>
      </c>
      <c r="Q1538" s="0" t="n">
        <v>0</v>
      </c>
      <c r="R1538" s="60" t="n">
        <f aca="false">G1538+H1538+I1538</f>
        <v>2.66</v>
      </c>
      <c r="S1538" s="60" t="n">
        <f aca="false">K1538+L1538+M1538+N1538+O1538</f>
        <v>8.28</v>
      </c>
      <c r="T1538" s="60" t="n">
        <f aca="false">L1538+M1538</f>
        <v>0.9</v>
      </c>
      <c r="U1538" s="60" t="n">
        <f aca="false">S1538+J1538</f>
        <v>8.28</v>
      </c>
      <c r="V1538" s="63" t="n">
        <f aca="false">IFERROR(S1538/F1538,0)</f>
        <v>0.756855575868373</v>
      </c>
      <c r="W1538" s="63" t="n">
        <f aca="false">IFERROR(R1538/F1538,0)</f>
        <v>0.243144424131627</v>
      </c>
      <c r="X1538" s="63" t="n">
        <f aca="false">IFERROR(T1538/F1538,0)</f>
        <v>0.0822669104204753</v>
      </c>
      <c r="Y1538" s="63" t="n">
        <f aca="false">IFERROR(G1538/F1538,0)</f>
        <v>0.0557586837294333</v>
      </c>
      <c r="Z1538" s="59" t="n">
        <f aca="false">IF(E1538&gt;0,F1538*1000000000/E1538,"")</f>
        <v>2548.1813578406</v>
      </c>
      <c r="AA1538" s="63" t="n">
        <f aca="false">IFERROR((R1538+S1538+J1538)/F1538,0)</f>
        <v>1</v>
      </c>
      <c r="AB1538" s="0" t="str">
        <f aca="false">A1538&amp;"|"&amp;D1538</f>
        <v>Panama|2020</v>
      </c>
    </row>
    <row r="1539" customFormat="false" ht="15" hidden="false" customHeight="false" outlineLevel="0" collapsed="false">
      <c r="A1539" s="0" t="s">
        <v>327</v>
      </c>
      <c r="B1539" s="0" t="s">
        <v>566</v>
      </c>
      <c r="C1539" s="0" t="s">
        <v>127</v>
      </c>
      <c r="D1539" s="0" t="n">
        <v>2021</v>
      </c>
      <c r="E1539" s="59" t="n">
        <v>4345410</v>
      </c>
      <c r="F1539" s="60" t="n">
        <v>12.11</v>
      </c>
      <c r="G1539" s="61" t="n">
        <v>0.5</v>
      </c>
      <c r="H1539" s="61" t="n">
        <v>1.59</v>
      </c>
      <c r="I1539" s="61" t="n">
        <v>0.53</v>
      </c>
      <c r="J1539" s="61" t="n">
        <v>0</v>
      </c>
      <c r="K1539" s="61" t="n">
        <v>8.34</v>
      </c>
      <c r="L1539" s="61" t="n">
        <v>0.59</v>
      </c>
      <c r="M1539" s="61" t="n">
        <v>0.53</v>
      </c>
      <c r="N1539" s="61" t="n">
        <v>0.03</v>
      </c>
      <c r="O1539" s="61" t="n">
        <v>0</v>
      </c>
      <c r="P1539" s="62" t="n">
        <v>161.8</v>
      </c>
      <c r="Q1539" s="0" t="n">
        <v>0</v>
      </c>
      <c r="R1539" s="60" t="n">
        <f aca="false">G1539+H1539+I1539</f>
        <v>2.62</v>
      </c>
      <c r="S1539" s="60" t="n">
        <f aca="false">K1539+L1539+M1539+N1539+O1539</f>
        <v>9.49</v>
      </c>
      <c r="T1539" s="60" t="n">
        <f aca="false">L1539+M1539</f>
        <v>1.12</v>
      </c>
      <c r="U1539" s="60" t="n">
        <f aca="false">S1539+J1539</f>
        <v>9.49</v>
      </c>
      <c r="V1539" s="63" t="n">
        <f aca="false">IFERROR(S1539/F1539,0)</f>
        <v>0.783649876135425</v>
      </c>
      <c r="W1539" s="63" t="n">
        <f aca="false">IFERROR(R1539/F1539,0)</f>
        <v>0.216350123864575</v>
      </c>
      <c r="X1539" s="63" t="n">
        <f aca="false">IFERROR(T1539/F1539,0)</f>
        <v>0.092485549132948</v>
      </c>
      <c r="Y1539" s="63" t="n">
        <f aca="false">IFERROR(G1539/F1539,0)</f>
        <v>0.0412881915772089</v>
      </c>
      <c r="Z1539" s="59" t="n">
        <f aca="false">IF(E1539&gt;0,F1539*1000000000/E1539,"")</f>
        <v>2786.8486517958</v>
      </c>
      <c r="AA1539" s="63" t="n">
        <f aca="false">IFERROR((R1539+S1539+J1539)/F1539,0)</f>
        <v>1</v>
      </c>
      <c r="AB1539" s="0" t="str">
        <f aca="false">A1539&amp;"|"&amp;D1539</f>
        <v>Panama|2021</v>
      </c>
    </row>
    <row r="1540" customFormat="false" ht="15" hidden="false" customHeight="false" outlineLevel="0" collapsed="false">
      <c r="A1540" s="0" t="s">
        <v>327</v>
      </c>
      <c r="B1540" s="0" t="s">
        <v>566</v>
      </c>
      <c r="C1540" s="0" t="s">
        <v>127</v>
      </c>
      <c r="D1540" s="0" t="n">
        <v>2022</v>
      </c>
      <c r="E1540" s="59" t="n">
        <v>4400775</v>
      </c>
      <c r="F1540" s="60" t="n">
        <v>12.25</v>
      </c>
      <c r="G1540" s="61" t="n">
        <v>0.5</v>
      </c>
      <c r="H1540" s="61" t="n">
        <v>1.42</v>
      </c>
      <c r="I1540" s="61" t="n">
        <v>0.87</v>
      </c>
      <c r="J1540" s="61" t="n">
        <v>0</v>
      </c>
      <c r="K1540" s="61" t="n">
        <v>8.12</v>
      </c>
      <c r="L1540" s="61" t="n">
        <v>0.7</v>
      </c>
      <c r="M1540" s="61" t="n">
        <v>0.58</v>
      </c>
      <c r="N1540" s="61" t="n">
        <v>0.06</v>
      </c>
      <c r="O1540" s="61" t="n">
        <v>0</v>
      </c>
      <c r="P1540" s="62" t="n">
        <v>169</v>
      </c>
      <c r="Q1540" s="0" t="n">
        <v>0</v>
      </c>
      <c r="R1540" s="60" t="n">
        <f aca="false">G1540+H1540+I1540</f>
        <v>2.79</v>
      </c>
      <c r="S1540" s="60" t="n">
        <f aca="false">K1540+L1540+M1540+N1540+O1540</f>
        <v>9.46</v>
      </c>
      <c r="T1540" s="60" t="n">
        <f aca="false">L1540+M1540</f>
        <v>1.28</v>
      </c>
      <c r="U1540" s="60" t="n">
        <f aca="false">S1540+J1540</f>
        <v>9.46</v>
      </c>
      <c r="V1540" s="63" t="n">
        <f aca="false">IFERROR(S1540/F1540,0)</f>
        <v>0.772244897959184</v>
      </c>
      <c r="W1540" s="63" t="n">
        <f aca="false">IFERROR(R1540/F1540,0)</f>
        <v>0.227755102040816</v>
      </c>
      <c r="X1540" s="63" t="n">
        <f aca="false">IFERROR(T1540/F1540,0)</f>
        <v>0.104489795918367</v>
      </c>
      <c r="Y1540" s="63" t="n">
        <f aca="false">IFERROR(G1540/F1540,0)</f>
        <v>0.0408163265306122</v>
      </c>
      <c r="Z1540" s="59" t="n">
        <f aca="false">IF(E1540&gt;0,F1540*1000000000/E1540,"")</f>
        <v>2783.60061580063</v>
      </c>
      <c r="AA1540" s="63" t="n">
        <f aca="false">IFERROR((R1540+S1540+J1540)/F1540,0)</f>
        <v>1</v>
      </c>
      <c r="AB1540" s="0" t="str">
        <f aca="false">A1540&amp;"|"&amp;D1540</f>
        <v>Panama|2022</v>
      </c>
    </row>
    <row r="1541" customFormat="false" ht="15" hidden="false" customHeight="false" outlineLevel="0" collapsed="false">
      <c r="A1541" s="0" t="s">
        <v>327</v>
      </c>
      <c r="B1541" s="0" t="s">
        <v>566</v>
      </c>
      <c r="C1541" s="0" t="s">
        <v>127</v>
      </c>
      <c r="D1541" s="0" t="n">
        <v>2023</v>
      </c>
      <c r="E1541" s="59" t="n">
        <v>4458758</v>
      </c>
      <c r="F1541" s="60" t="n">
        <v>13.11</v>
      </c>
      <c r="G1541" s="61" t="n">
        <v>0.46</v>
      </c>
      <c r="H1541" s="61" t="n">
        <v>2.79</v>
      </c>
      <c r="I1541" s="61" t="n">
        <v>1.91</v>
      </c>
      <c r="J1541" s="61" t="n">
        <v>0</v>
      </c>
      <c r="K1541" s="61" t="n">
        <v>6.15</v>
      </c>
      <c r="L1541" s="61" t="n">
        <v>0.87</v>
      </c>
      <c r="M1541" s="61" t="n">
        <v>0.89</v>
      </c>
      <c r="N1541" s="61" t="n">
        <v>0.04</v>
      </c>
      <c r="O1541" s="61" t="n">
        <v>0</v>
      </c>
      <c r="P1541" s="62" t="n">
        <v>266.2</v>
      </c>
      <c r="Q1541" s="0" t="n">
        <v>0</v>
      </c>
      <c r="R1541" s="60" t="n">
        <f aca="false">G1541+H1541+I1541</f>
        <v>5.16</v>
      </c>
      <c r="S1541" s="60" t="n">
        <f aca="false">K1541+L1541+M1541+N1541+O1541</f>
        <v>7.95</v>
      </c>
      <c r="T1541" s="60" t="n">
        <f aca="false">L1541+M1541</f>
        <v>1.76</v>
      </c>
      <c r="U1541" s="60" t="n">
        <f aca="false">S1541+J1541</f>
        <v>7.95</v>
      </c>
      <c r="V1541" s="63" t="n">
        <f aca="false">IFERROR(S1541/F1541,0)</f>
        <v>0.606407322654462</v>
      </c>
      <c r="W1541" s="63" t="n">
        <f aca="false">IFERROR(R1541/F1541,0)</f>
        <v>0.393592677345538</v>
      </c>
      <c r="X1541" s="63" t="n">
        <f aca="false">IFERROR(T1541/F1541,0)</f>
        <v>0.134248665141114</v>
      </c>
      <c r="Y1541" s="63" t="n">
        <f aca="false">IFERROR(G1541/F1541,0)</f>
        <v>0.0350877192982456</v>
      </c>
      <c r="Z1541" s="59" t="n">
        <f aca="false">IF(E1541&gt;0,F1541*1000000000/E1541,"")</f>
        <v>2940.28067905906</v>
      </c>
      <c r="AA1541" s="63" t="n">
        <f aca="false">IFERROR((R1541+S1541+J1541)/F1541,0)</f>
        <v>1</v>
      </c>
      <c r="AB1541" s="0" t="str">
        <f aca="false">A1541&amp;"|"&amp;D1541</f>
        <v>Panama|2023</v>
      </c>
    </row>
    <row r="1542" customFormat="false" ht="15" hidden="false" customHeight="false" outlineLevel="0" collapsed="false">
      <c r="A1542" s="0" t="s">
        <v>327</v>
      </c>
      <c r="B1542" s="0" t="s">
        <v>566</v>
      </c>
      <c r="C1542" s="0" t="s">
        <v>127</v>
      </c>
      <c r="D1542" s="0" t="n">
        <v>2024</v>
      </c>
      <c r="E1542" s="59" t="n">
        <v>4515576</v>
      </c>
      <c r="F1542" s="60" t="n">
        <v>13.43</v>
      </c>
      <c r="G1542" s="61" t="n">
        <v>0.5</v>
      </c>
      <c r="H1542" s="61" t="n">
        <v>2.8</v>
      </c>
      <c r="I1542" s="61" t="n">
        <v>1</v>
      </c>
      <c r="J1542" s="61" t="n">
        <v>0</v>
      </c>
      <c r="K1542" s="61" t="n">
        <v>7.13</v>
      </c>
      <c r="L1542" s="61" t="n">
        <v>0.99</v>
      </c>
      <c r="M1542" s="61" t="n">
        <v>0.96</v>
      </c>
      <c r="N1542" s="61" t="n">
        <v>0.05</v>
      </c>
      <c r="O1542" s="61" t="n">
        <v>0</v>
      </c>
      <c r="P1542" s="62" t="n">
        <v>221.2</v>
      </c>
      <c r="Q1542" s="0" t="n">
        <v>0</v>
      </c>
      <c r="R1542" s="60" t="n">
        <f aca="false">G1542+H1542+I1542</f>
        <v>4.3</v>
      </c>
      <c r="S1542" s="60" t="n">
        <f aca="false">K1542+L1542+M1542+N1542+O1542</f>
        <v>9.13</v>
      </c>
      <c r="T1542" s="60" t="n">
        <f aca="false">L1542+M1542</f>
        <v>1.95</v>
      </c>
      <c r="U1542" s="60" t="n">
        <f aca="false">S1542+J1542</f>
        <v>9.13</v>
      </c>
      <c r="V1542" s="63" t="n">
        <f aca="false">IFERROR(S1542/F1542,0)</f>
        <v>0.67982129560685</v>
      </c>
      <c r="W1542" s="63" t="n">
        <f aca="false">IFERROR(R1542/F1542,0)</f>
        <v>0.32017870439315</v>
      </c>
      <c r="X1542" s="63" t="n">
        <f aca="false">IFERROR(T1542/F1542,0)</f>
        <v>0.145197319434103</v>
      </c>
      <c r="Y1542" s="63" t="n">
        <f aca="false">IFERROR(G1542/F1542,0)</f>
        <v>0.0372300819061802</v>
      </c>
      <c r="Z1542" s="59" t="n">
        <f aca="false">IF(E1542&gt;0,F1542*1000000000/E1542,"")</f>
        <v>2974.14992018737</v>
      </c>
      <c r="AA1542" s="63" t="n">
        <f aca="false">IFERROR((R1542+S1542+J1542)/F1542,0)</f>
        <v>1</v>
      </c>
      <c r="AB1542" s="0" t="str">
        <f aca="false">A1542&amp;"|"&amp;D1542</f>
        <v>Panama|2024</v>
      </c>
    </row>
    <row r="1543" customFormat="false" ht="15" hidden="false" customHeight="false" outlineLevel="0" collapsed="false">
      <c r="A1543" s="0" t="s">
        <v>328</v>
      </c>
      <c r="B1543" s="0" t="s">
        <v>567</v>
      </c>
      <c r="C1543" s="0" t="s">
        <v>127</v>
      </c>
      <c r="D1543" s="0" t="n">
        <v>2015</v>
      </c>
      <c r="E1543" s="59" t="n">
        <v>8743247</v>
      </c>
      <c r="F1543" s="60" t="n">
        <v>4.53</v>
      </c>
      <c r="G1543" s="61" t="n">
        <v>0</v>
      </c>
      <c r="H1543" s="61" t="n">
        <v>0.68</v>
      </c>
      <c r="I1543" s="61" t="n">
        <v>2.43</v>
      </c>
      <c r="J1543" s="61" t="n">
        <v>0</v>
      </c>
      <c r="K1543" s="61" t="n">
        <v>1</v>
      </c>
      <c r="L1543" s="61" t="n">
        <v>0</v>
      </c>
      <c r="M1543" s="61" t="n">
        <v>0</v>
      </c>
      <c r="N1543" s="61" t="n">
        <v>0.02</v>
      </c>
      <c r="O1543" s="61" t="n">
        <v>0.4</v>
      </c>
      <c r="P1543" s="62" t="n">
        <v>465.8</v>
      </c>
      <c r="Q1543" s="0" t="n">
        <v>0</v>
      </c>
      <c r="R1543" s="60" t="n">
        <f aca="false">G1543+H1543+I1543</f>
        <v>3.11</v>
      </c>
      <c r="S1543" s="60" t="n">
        <f aca="false">K1543+L1543+M1543+N1543+O1543</f>
        <v>1.42</v>
      </c>
      <c r="T1543" s="60" t="n">
        <f aca="false">L1543+M1543</f>
        <v>0</v>
      </c>
      <c r="U1543" s="60" t="n">
        <f aca="false">S1543+J1543</f>
        <v>1.42</v>
      </c>
      <c r="V1543" s="63" t="n">
        <f aca="false">IFERROR(S1543/F1543,0)</f>
        <v>0.313465783664459</v>
      </c>
      <c r="W1543" s="63" t="n">
        <f aca="false">IFERROR(R1543/F1543,0)</f>
        <v>0.686534216335541</v>
      </c>
      <c r="X1543" s="63" t="n">
        <f aca="false">IFERROR(T1543/F1543,0)</f>
        <v>0</v>
      </c>
      <c r="Y1543" s="63" t="n">
        <f aca="false">IFERROR(G1543/F1543,0)</f>
        <v>0</v>
      </c>
      <c r="Z1543" s="59" t="n">
        <f aca="false">IF(E1543&gt;0,F1543*1000000000/E1543,"")</f>
        <v>518.114151413085</v>
      </c>
      <c r="AA1543" s="63" t="n">
        <f aca="false">IFERROR((R1543+S1543+J1543)/F1543,0)</f>
        <v>1</v>
      </c>
      <c r="AB1543" s="0" t="str">
        <f aca="false">A1543&amp;"|"&amp;D1543</f>
        <v>Papua New Guinea|2015</v>
      </c>
    </row>
    <row r="1544" customFormat="false" ht="15" hidden="false" customHeight="false" outlineLevel="0" collapsed="false">
      <c r="A1544" s="0" t="s">
        <v>328</v>
      </c>
      <c r="B1544" s="0" t="s">
        <v>567</v>
      </c>
      <c r="C1544" s="0" t="s">
        <v>127</v>
      </c>
      <c r="D1544" s="0" t="n">
        <v>2016</v>
      </c>
      <c r="E1544" s="59" t="n">
        <v>8961717</v>
      </c>
      <c r="F1544" s="60" t="n">
        <v>4.77</v>
      </c>
      <c r="G1544" s="61" t="n">
        <v>0</v>
      </c>
      <c r="H1544" s="61" t="n">
        <v>0.83</v>
      </c>
      <c r="I1544" s="61" t="n">
        <v>2.52</v>
      </c>
      <c r="J1544" s="61" t="n">
        <v>0</v>
      </c>
      <c r="K1544" s="61" t="n">
        <v>1</v>
      </c>
      <c r="L1544" s="61" t="n">
        <v>0</v>
      </c>
      <c r="M1544" s="61" t="n">
        <v>0</v>
      </c>
      <c r="N1544" s="61" t="n">
        <v>0.02</v>
      </c>
      <c r="O1544" s="61" t="n">
        <v>0.4</v>
      </c>
      <c r="P1544" s="62" t="n">
        <v>478</v>
      </c>
      <c r="Q1544" s="0" t="n">
        <v>0</v>
      </c>
      <c r="R1544" s="60" t="n">
        <f aca="false">G1544+H1544+I1544</f>
        <v>3.35</v>
      </c>
      <c r="S1544" s="60" t="n">
        <f aca="false">K1544+L1544+M1544+N1544+O1544</f>
        <v>1.42</v>
      </c>
      <c r="T1544" s="60" t="n">
        <f aca="false">L1544+M1544</f>
        <v>0</v>
      </c>
      <c r="U1544" s="60" t="n">
        <f aca="false">S1544+J1544</f>
        <v>1.42</v>
      </c>
      <c r="V1544" s="63" t="n">
        <f aca="false">IFERROR(S1544/F1544,0)</f>
        <v>0.29769392033543</v>
      </c>
      <c r="W1544" s="63" t="n">
        <f aca="false">IFERROR(R1544/F1544,0)</f>
        <v>0.70230607966457</v>
      </c>
      <c r="X1544" s="63" t="n">
        <f aca="false">IFERROR(T1544/F1544,0)</f>
        <v>0</v>
      </c>
      <c r="Y1544" s="63" t="n">
        <f aca="false">IFERROR(G1544/F1544,0)</f>
        <v>0</v>
      </c>
      <c r="Z1544" s="59" t="n">
        <f aca="false">IF(E1544&gt;0,F1544*1000000000/E1544,"")</f>
        <v>532.264073949222</v>
      </c>
      <c r="AA1544" s="63" t="n">
        <f aca="false">IFERROR((R1544+S1544+J1544)/F1544,0)</f>
        <v>1</v>
      </c>
      <c r="AB1544" s="0" t="str">
        <f aca="false">A1544&amp;"|"&amp;D1544</f>
        <v>Papua New Guinea|2016</v>
      </c>
    </row>
    <row r="1545" customFormat="false" ht="15" hidden="false" customHeight="false" outlineLevel="0" collapsed="false">
      <c r="A1545" s="0" t="s">
        <v>328</v>
      </c>
      <c r="B1545" s="0" t="s">
        <v>567</v>
      </c>
      <c r="C1545" s="0" t="s">
        <v>127</v>
      </c>
      <c r="D1545" s="0" t="n">
        <v>2017</v>
      </c>
      <c r="E1545" s="59" t="n">
        <v>9178717</v>
      </c>
      <c r="F1545" s="60" t="n">
        <v>4.35</v>
      </c>
      <c r="G1545" s="61" t="n">
        <v>0</v>
      </c>
      <c r="H1545" s="61" t="n">
        <v>0.87</v>
      </c>
      <c r="I1545" s="61" t="n">
        <v>2.27</v>
      </c>
      <c r="J1545" s="61" t="n">
        <v>0</v>
      </c>
      <c r="K1545" s="61" t="n">
        <v>0.79</v>
      </c>
      <c r="L1545" s="61" t="n">
        <v>0</v>
      </c>
      <c r="M1545" s="61" t="n">
        <v>0</v>
      </c>
      <c r="N1545" s="61" t="n">
        <v>0.02</v>
      </c>
      <c r="O1545" s="61" t="n">
        <v>0.4</v>
      </c>
      <c r="P1545" s="62" t="n">
        <v>491.9</v>
      </c>
      <c r="Q1545" s="0" t="n">
        <v>0</v>
      </c>
      <c r="R1545" s="60" t="n">
        <f aca="false">G1545+H1545+I1545</f>
        <v>3.14</v>
      </c>
      <c r="S1545" s="60" t="n">
        <f aca="false">K1545+L1545+M1545+N1545+O1545</f>
        <v>1.21</v>
      </c>
      <c r="T1545" s="60" t="n">
        <f aca="false">L1545+M1545</f>
        <v>0</v>
      </c>
      <c r="U1545" s="60" t="n">
        <f aca="false">S1545+J1545</f>
        <v>1.21</v>
      </c>
      <c r="V1545" s="63" t="n">
        <f aca="false">IFERROR(S1545/F1545,0)</f>
        <v>0.27816091954023</v>
      </c>
      <c r="W1545" s="63" t="n">
        <f aca="false">IFERROR(R1545/F1545,0)</f>
        <v>0.72183908045977</v>
      </c>
      <c r="X1545" s="63" t="n">
        <f aca="false">IFERROR(T1545/F1545,0)</f>
        <v>0</v>
      </c>
      <c r="Y1545" s="63" t="n">
        <f aca="false">IFERROR(G1545/F1545,0)</f>
        <v>0</v>
      </c>
      <c r="Z1545" s="59" t="n">
        <f aca="false">IF(E1545&gt;0,F1545*1000000000/E1545,"")</f>
        <v>473.922444716402</v>
      </c>
      <c r="AA1545" s="63" t="n">
        <f aca="false">IFERROR((R1545+S1545+J1545)/F1545,0)</f>
        <v>1</v>
      </c>
      <c r="AB1545" s="0" t="str">
        <f aca="false">A1545&amp;"|"&amp;D1545</f>
        <v>Papua New Guinea|2017</v>
      </c>
    </row>
    <row r="1546" customFormat="false" ht="15" hidden="false" customHeight="false" outlineLevel="0" collapsed="false">
      <c r="A1546" s="0" t="s">
        <v>328</v>
      </c>
      <c r="B1546" s="0" t="s">
        <v>567</v>
      </c>
      <c r="C1546" s="0" t="s">
        <v>127</v>
      </c>
      <c r="D1546" s="0" t="n">
        <v>2018</v>
      </c>
      <c r="E1546" s="59" t="n">
        <v>9394518</v>
      </c>
      <c r="F1546" s="60" t="n">
        <v>4.36</v>
      </c>
      <c r="G1546" s="61" t="n">
        <v>0</v>
      </c>
      <c r="H1546" s="61" t="n">
        <v>0.88</v>
      </c>
      <c r="I1546" s="61" t="n">
        <v>2.48</v>
      </c>
      <c r="J1546" s="61" t="n">
        <v>0</v>
      </c>
      <c r="K1546" s="61" t="n">
        <v>0.85</v>
      </c>
      <c r="L1546" s="61" t="n">
        <v>0</v>
      </c>
      <c r="M1546" s="61" t="n">
        <v>0</v>
      </c>
      <c r="N1546" s="61" t="n">
        <v>0.02</v>
      </c>
      <c r="O1546" s="61" t="n">
        <v>0.13</v>
      </c>
      <c r="P1546" s="62" t="n">
        <v>518.4</v>
      </c>
      <c r="Q1546" s="0" t="n">
        <v>0</v>
      </c>
      <c r="R1546" s="60" t="n">
        <f aca="false">G1546+H1546+I1546</f>
        <v>3.36</v>
      </c>
      <c r="S1546" s="60" t="n">
        <f aca="false">K1546+L1546+M1546+N1546+O1546</f>
        <v>1</v>
      </c>
      <c r="T1546" s="60" t="n">
        <f aca="false">L1546+M1546</f>
        <v>0</v>
      </c>
      <c r="U1546" s="60" t="n">
        <f aca="false">S1546+J1546</f>
        <v>1</v>
      </c>
      <c r="V1546" s="63" t="n">
        <f aca="false">IFERROR(S1546/F1546,0)</f>
        <v>0.229357798165138</v>
      </c>
      <c r="W1546" s="63" t="n">
        <f aca="false">IFERROR(R1546/F1546,0)</f>
        <v>0.770642201834862</v>
      </c>
      <c r="X1546" s="63" t="n">
        <f aca="false">IFERROR(T1546/F1546,0)</f>
        <v>0</v>
      </c>
      <c r="Y1546" s="63" t="n">
        <f aca="false">IFERROR(G1546/F1546,0)</f>
        <v>0</v>
      </c>
      <c r="Z1546" s="59" t="n">
        <f aca="false">IF(E1546&gt;0,F1546*1000000000/E1546,"")</f>
        <v>464.100446664746</v>
      </c>
      <c r="AA1546" s="63" t="n">
        <f aca="false">IFERROR((R1546+S1546+J1546)/F1546,0)</f>
        <v>1</v>
      </c>
      <c r="AB1546" s="0" t="str">
        <f aca="false">A1546&amp;"|"&amp;D1546</f>
        <v>Papua New Guinea|2018</v>
      </c>
    </row>
    <row r="1547" customFormat="false" ht="15" hidden="false" customHeight="false" outlineLevel="0" collapsed="false">
      <c r="A1547" s="0" t="s">
        <v>328</v>
      </c>
      <c r="B1547" s="0" t="s">
        <v>567</v>
      </c>
      <c r="C1547" s="0" t="s">
        <v>127</v>
      </c>
      <c r="D1547" s="0" t="n">
        <v>2019</v>
      </c>
      <c r="E1547" s="59" t="n">
        <v>9609014</v>
      </c>
      <c r="F1547" s="60" t="n">
        <v>4.28</v>
      </c>
      <c r="G1547" s="61" t="n">
        <v>0</v>
      </c>
      <c r="H1547" s="61" t="n">
        <v>0.61</v>
      </c>
      <c r="I1547" s="61" t="n">
        <v>2.54</v>
      </c>
      <c r="J1547" s="61" t="n">
        <v>0</v>
      </c>
      <c r="K1547" s="61" t="n">
        <v>1.01</v>
      </c>
      <c r="L1547" s="61" t="n">
        <v>0</v>
      </c>
      <c r="M1547" s="61" t="n">
        <v>0</v>
      </c>
      <c r="N1547" s="61" t="n">
        <v>0.02</v>
      </c>
      <c r="O1547" s="61" t="n">
        <v>0.1</v>
      </c>
      <c r="P1547" s="62" t="n">
        <v>495.3</v>
      </c>
      <c r="Q1547" s="0" t="n">
        <v>0</v>
      </c>
      <c r="R1547" s="60" t="n">
        <f aca="false">G1547+H1547+I1547</f>
        <v>3.15</v>
      </c>
      <c r="S1547" s="60" t="n">
        <f aca="false">K1547+L1547+M1547+N1547+O1547</f>
        <v>1.13</v>
      </c>
      <c r="T1547" s="60" t="n">
        <f aca="false">L1547+M1547</f>
        <v>0</v>
      </c>
      <c r="U1547" s="60" t="n">
        <f aca="false">S1547+J1547</f>
        <v>1.13</v>
      </c>
      <c r="V1547" s="63" t="n">
        <f aca="false">IFERROR(S1547/F1547,0)</f>
        <v>0.264018691588785</v>
      </c>
      <c r="W1547" s="63" t="n">
        <f aca="false">IFERROR(R1547/F1547,0)</f>
        <v>0.735981308411215</v>
      </c>
      <c r="X1547" s="63" t="n">
        <f aca="false">IFERROR(T1547/F1547,0)</f>
        <v>0</v>
      </c>
      <c r="Y1547" s="63" t="n">
        <f aca="false">IFERROR(G1547/F1547,0)</f>
        <v>0</v>
      </c>
      <c r="Z1547" s="59" t="n">
        <f aca="false">IF(E1547&gt;0,F1547*1000000000/E1547,"")</f>
        <v>445.415107106723</v>
      </c>
      <c r="AA1547" s="63" t="n">
        <f aca="false">IFERROR((R1547+S1547+J1547)/F1547,0)</f>
        <v>1</v>
      </c>
      <c r="AB1547" s="0" t="str">
        <f aca="false">A1547&amp;"|"&amp;D1547</f>
        <v>Papua New Guinea|2019</v>
      </c>
    </row>
    <row r="1548" customFormat="false" ht="15" hidden="false" customHeight="false" outlineLevel="0" collapsed="false">
      <c r="A1548" s="0" t="s">
        <v>328</v>
      </c>
      <c r="B1548" s="0" t="s">
        <v>567</v>
      </c>
      <c r="C1548" s="0" t="s">
        <v>127</v>
      </c>
      <c r="D1548" s="0" t="n">
        <v>2020</v>
      </c>
      <c r="E1548" s="59" t="n">
        <v>9815743</v>
      </c>
      <c r="F1548" s="60" t="n">
        <v>4.1</v>
      </c>
      <c r="G1548" s="61" t="n">
        <v>0</v>
      </c>
      <c r="H1548" s="61" t="n">
        <v>0.82</v>
      </c>
      <c r="I1548" s="61" t="n">
        <v>2.16</v>
      </c>
      <c r="J1548" s="61" t="n">
        <v>0</v>
      </c>
      <c r="K1548" s="61" t="n">
        <v>1.01</v>
      </c>
      <c r="L1548" s="61" t="n">
        <v>0</v>
      </c>
      <c r="M1548" s="61" t="n">
        <v>0</v>
      </c>
      <c r="N1548" s="61" t="n">
        <v>0.01</v>
      </c>
      <c r="O1548" s="61" t="n">
        <v>0.1</v>
      </c>
      <c r="P1548" s="62" t="n">
        <v>490.2</v>
      </c>
      <c r="Q1548" s="0" t="n">
        <v>0</v>
      </c>
      <c r="R1548" s="60" t="n">
        <f aca="false">G1548+H1548+I1548</f>
        <v>2.98</v>
      </c>
      <c r="S1548" s="60" t="n">
        <f aca="false">K1548+L1548+M1548+N1548+O1548</f>
        <v>1.12</v>
      </c>
      <c r="T1548" s="60" t="n">
        <f aca="false">L1548+M1548</f>
        <v>0</v>
      </c>
      <c r="U1548" s="60" t="n">
        <f aca="false">S1548+J1548</f>
        <v>1.12</v>
      </c>
      <c r="V1548" s="63" t="n">
        <f aca="false">IFERROR(S1548/F1548,0)</f>
        <v>0.273170731707317</v>
      </c>
      <c r="W1548" s="63" t="n">
        <f aca="false">IFERROR(R1548/F1548,0)</f>
        <v>0.726829268292683</v>
      </c>
      <c r="X1548" s="63" t="n">
        <f aca="false">IFERROR(T1548/F1548,0)</f>
        <v>0</v>
      </c>
      <c r="Y1548" s="63" t="n">
        <f aca="false">IFERROR(G1548/F1548,0)</f>
        <v>0</v>
      </c>
      <c r="Z1548" s="59" t="n">
        <f aca="false">IF(E1548&gt;0,F1548*1000000000/E1548,"")</f>
        <v>417.696347591823</v>
      </c>
      <c r="AA1548" s="63" t="n">
        <f aca="false">IFERROR((R1548+S1548+J1548)/F1548,0)</f>
        <v>1</v>
      </c>
      <c r="AB1548" s="0" t="str">
        <f aca="false">A1548&amp;"|"&amp;D1548</f>
        <v>Papua New Guinea|2020</v>
      </c>
    </row>
    <row r="1549" customFormat="false" ht="15" hidden="false" customHeight="false" outlineLevel="0" collapsed="false">
      <c r="A1549" s="0" t="s">
        <v>328</v>
      </c>
      <c r="B1549" s="0" t="s">
        <v>567</v>
      </c>
      <c r="C1549" s="0" t="s">
        <v>127</v>
      </c>
      <c r="D1549" s="0" t="n">
        <v>2021</v>
      </c>
      <c r="E1549" s="59" t="n">
        <v>10012898</v>
      </c>
      <c r="F1549" s="60" t="n">
        <v>4.53</v>
      </c>
      <c r="G1549" s="61" t="n">
        <v>0</v>
      </c>
      <c r="H1549" s="61" t="n">
        <v>0.86</v>
      </c>
      <c r="I1549" s="61" t="n">
        <v>2.55</v>
      </c>
      <c r="J1549" s="61" t="n">
        <v>0</v>
      </c>
      <c r="K1549" s="61" t="n">
        <v>1.01</v>
      </c>
      <c r="L1549" s="61" t="n">
        <v>0</v>
      </c>
      <c r="M1549" s="61" t="n">
        <v>0</v>
      </c>
      <c r="N1549" s="61" t="n">
        <v>0.01</v>
      </c>
      <c r="O1549" s="61" t="n">
        <v>0.1</v>
      </c>
      <c r="P1549" s="62" t="n">
        <v>507.7</v>
      </c>
      <c r="Q1549" s="0" t="n">
        <v>0</v>
      </c>
      <c r="R1549" s="60" t="n">
        <f aca="false">G1549+H1549+I1549</f>
        <v>3.41</v>
      </c>
      <c r="S1549" s="60" t="n">
        <f aca="false">K1549+L1549+M1549+N1549+O1549</f>
        <v>1.12</v>
      </c>
      <c r="T1549" s="60" t="n">
        <f aca="false">L1549+M1549</f>
        <v>0</v>
      </c>
      <c r="U1549" s="60" t="n">
        <f aca="false">S1549+J1549</f>
        <v>1.12</v>
      </c>
      <c r="V1549" s="63" t="n">
        <f aca="false">IFERROR(S1549/F1549,0)</f>
        <v>0.247240618101545</v>
      </c>
      <c r="W1549" s="63" t="n">
        <f aca="false">IFERROR(R1549/F1549,0)</f>
        <v>0.752759381898455</v>
      </c>
      <c r="X1549" s="63" t="n">
        <f aca="false">IFERROR(T1549/F1549,0)</f>
        <v>0</v>
      </c>
      <c r="Y1549" s="63" t="n">
        <f aca="false">IFERROR(G1549/F1549,0)</f>
        <v>0</v>
      </c>
      <c r="Z1549" s="59" t="n">
        <f aca="false">IF(E1549&gt;0,F1549*1000000000/E1549,"")</f>
        <v>452.416473232824</v>
      </c>
      <c r="AA1549" s="63" t="n">
        <f aca="false">IFERROR((R1549+S1549+J1549)/F1549,0)</f>
        <v>1</v>
      </c>
      <c r="AB1549" s="0" t="str">
        <f aca="false">A1549&amp;"|"&amp;D1549</f>
        <v>Papua New Guinea|2021</v>
      </c>
    </row>
    <row r="1550" customFormat="false" ht="15" hidden="false" customHeight="false" outlineLevel="0" collapsed="false">
      <c r="A1550" s="0" t="s">
        <v>328</v>
      </c>
      <c r="B1550" s="0" t="s">
        <v>567</v>
      </c>
      <c r="C1550" s="0" t="s">
        <v>127</v>
      </c>
      <c r="D1550" s="0" t="n">
        <v>2022</v>
      </c>
      <c r="E1550" s="59" t="n">
        <v>10203177</v>
      </c>
      <c r="F1550" s="60" t="n">
        <v>4.59</v>
      </c>
      <c r="G1550" s="61" t="n">
        <v>0</v>
      </c>
      <c r="H1550" s="61" t="n">
        <v>0.91</v>
      </c>
      <c r="I1550" s="61" t="n">
        <v>2.71</v>
      </c>
      <c r="J1550" s="61" t="n">
        <v>0</v>
      </c>
      <c r="K1550" s="61" t="n">
        <v>0.85</v>
      </c>
      <c r="L1550" s="61" t="n">
        <v>0.01</v>
      </c>
      <c r="M1550" s="61" t="n">
        <v>0</v>
      </c>
      <c r="N1550" s="61" t="n">
        <v>0.01</v>
      </c>
      <c r="O1550" s="61" t="n">
        <v>0.1</v>
      </c>
      <c r="P1550" s="62" t="n">
        <v>529.4</v>
      </c>
      <c r="Q1550" s="0" t="n">
        <v>0</v>
      </c>
      <c r="R1550" s="60" t="n">
        <f aca="false">G1550+H1550+I1550</f>
        <v>3.62</v>
      </c>
      <c r="S1550" s="60" t="n">
        <f aca="false">K1550+L1550+M1550+N1550+O1550</f>
        <v>0.97</v>
      </c>
      <c r="T1550" s="60" t="n">
        <f aca="false">L1550+M1550</f>
        <v>0.01</v>
      </c>
      <c r="U1550" s="60" t="n">
        <f aca="false">S1550+J1550</f>
        <v>0.97</v>
      </c>
      <c r="V1550" s="63" t="n">
        <f aca="false">IFERROR(S1550/F1550,0)</f>
        <v>0.211328976034858</v>
      </c>
      <c r="W1550" s="63" t="n">
        <f aca="false">IFERROR(R1550/F1550,0)</f>
        <v>0.788671023965142</v>
      </c>
      <c r="X1550" s="63" t="n">
        <f aca="false">IFERROR(T1550/F1550,0)</f>
        <v>0.00217864923747277</v>
      </c>
      <c r="Y1550" s="63" t="n">
        <f aca="false">IFERROR(G1550/F1550,0)</f>
        <v>0</v>
      </c>
      <c r="Z1550" s="59" t="n">
        <f aca="false">IF(E1550&gt;0,F1550*1000000000/E1550,"")</f>
        <v>449.859881877968</v>
      </c>
      <c r="AA1550" s="63" t="n">
        <f aca="false">IFERROR((R1550+S1550+J1550)/F1550,0)</f>
        <v>1</v>
      </c>
      <c r="AB1550" s="0" t="str">
        <f aca="false">A1550&amp;"|"&amp;D1550</f>
        <v>Papua New Guinea|2022</v>
      </c>
    </row>
    <row r="1551" customFormat="false" ht="15" hidden="false" customHeight="false" outlineLevel="0" collapsed="false">
      <c r="A1551" s="0" t="s">
        <v>328</v>
      </c>
      <c r="B1551" s="0" t="s">
        <v>567</v>
      </c>
      <c r="C1551" s="0" t="s">
        <v>127</v>
      </c>
      <c r="D1551" s="0" t="n">
        <v>2023</v>
      </c>
      <c r="E1551" s="59" t="n">
        <v>10389638</v>
      </c>
      <c r="F1551" s="60" t="n">
        <v>4.73</v>
      </c>
      <c r="G1551" s="61" t="n">
        <v>0</v>
      </c>
      <c r="H1551" s="61" t="n">
        <v>0.91</v>
      </c>
      <c r="I1551" s="61" t="n">
        <v>2.7</v>
      </c>
      <c r="J1551" s="61" t="n">
        <v>0</v>
      </c>
      <c r="K1551" s="61" t="n">
        <v>1</v>
      </c>
      <c r="L1551" s="61" t="n">
        <v>0.01</v>
      </c>
      <c r="M1551" s="61" t="n">
        <v>0</v>
      </c>
      <c r="N1551" s="61" t="n">
        <v>0.01</v>
      </c>
      <c r="O1551" s="61" t="n">
        <v>0.1</v>
      </c>
      <c r="P1551" s="62" t="n">
        <v>513.7</v>
      </c>
      <c r="Q1551" s="0" t="n">
        <v>0</v>
      </c>
      <c r="R1551" s="60" t="n">
        <f aca="false">G1551+H1551+I1551</f>
        <v>3.61</v>
      </c>
      <c r="S1551" s="60" t="n">
        <f aca="false">K1551+L1551+M1551+N1551+O1551</f>
        <v>1.12</v>
      </c>
      <c r="T1551" s="60" t="n">
        <f aca="false">L1551+M1551</f>
        <v>0.01</v>
      </c>
      <c r="U1551" s="60" t="n">
        <f aca="false">S1551+J1551</f>
        <v>1.12</v>
      </c>
      <c r="V1551" s="63" t="n">
        <f aca="false">IFERROR(S1551/F1551,0)</f>
        <v>0.236786469344609</v>
      </c>
      <c r="W1551" s="63" t="n">
        <f aca="false">IFERROR(R1551/F1551,0)</f>
        <v>0.763213530655391</v>
      </c>
      <c r="X1551" s="63" t="n">
        <f aca="false">IFERROR(T1551/F1551,0)</f>
        <v>0.00211416490486258</v>
      </c>
      <c r="Y1551" s="63" t="n">
        <f aca="false">IFERROR(G1551/F1551,0)</f>
        <v>0</v>
      </c>
      <c r="Z1551" s="59" t="n">
        <f aca="false">IF(E1551&gt;0,F1551*1000000000/E1551,"")</f>
        <v>455.261290143121</v>
      </c>
      <c r="AA1551" s="63" t="n">
        <f aca="false">IFERROR((R1551+S1551+J1551)/F1551,0)</f>
        <v>1</v>
      </c>
      <c r="AB1551" s="0" t="str">
        <f aca="false">A1551&amp;"|"&amp;D1551</f>
        <v>Papua New Guinea|2023</v>
      </c>
    </row>
    <row r="1552" customFormat="false" ht="15" hidden="false" customHeight="false" outlineLevel="0" collapsed="false">
      <c r="A1552" s="0" t="s">
        <v>328</v>
      </c>
      <c r="B1552" s="0" t="s">
        <v>567</v>
      </c>
      <c r="C1552" s="0" t="s">
        <v>127</v>
      </c>
      <c r="D1552" s="0" t="n">
        <v>2024</v>
      </c>
      <c r="E1552" s="59" t="n">
        <v>10576509</v>
      </c>
      <c r="F1552" s="60" t="n">
        <v>4.73</v>
      </c>
      <c r="G1552" s="61" t="n">
        <v>0</v>
      </c>
      <c r="H1552" s="61" t="n">
        <v>0.91</v>
      </c>
      <c r="I1552" s="61" t="n">
        <v>2.7</v>
      </c>
      <c r="J1552" s="61" t="n">
        <v>0</v>
      </c>
      <c r="K1552" s="61" t="n">
        <v>1</v>
      </c>
      <c r="L1552" s="61" t="n">
        <v>0.01</v>
      </c>
      <c r="M1552" s="61" t="n">
        <v>0</v>
      </c>
      <c r="N1552" s="61" t="n">
        <v>0.01</v>
      </c>
      <c r="O1552" s="61" t="n">
        <v>0.1</v>
      </c>
      <c r="P1552" s="62" t="n">
        <v>513.7</v>
      </c>
      <c r="Q1552" s="0" t="n">
        <v>0</v>
      </c>
      <c r="R1552" s="60" t="n">
        <f aca="false">G1552+H1552+I1552</f>
        <v>3.61</v>
      </c>
      <c r="S1552" s="60" t="n">
        <f aca="false">K1552+L1552+M1552+N1552+O1552</f>
        <v>1.12</v>
      </c>
      <c r="T1552" s="60" t="n">
        <f aca="false">L1552+M1552</f>
        <v>0.01</v>
      </c>
      <c r="U1552" s="60" t="n">
        <f aca="false">S1552+J1552</f>
        <v>1.12</v>
      </c>
      <c r="V1552" s="63" t="n">
        <f aca="false">IFERROR(S1552/F1552,0)</f>
        <v>0.236786469344609</v>
      </c>
      <c r="W1552" s="63" t="n">
        <f aca="false">IFERROR(R1552/F1552,0)</f>
        <v>0.763213530655391</v>
      </c>
      <c r="X1552" s="63" t="n">
        <f aca="false">IFERROR(T1552/F1552,0)</f>
        <v>0.00211416490486258</v>
      </c>
      <c r="Y1552" s="63" t="n">
        <f aca="false">IFERROR(G1552/F1552,0)</f>
        <v>0</v>
      </c>
      <c r="Z1552" s="59" t="n">
        <f aca="false">IF(E1552&gt;0,F1552*1000000000/E1552,"")</f>
        <v>447.217508158883</v>
      </c>
      <c r="AA1552" s="63" t="n">
        <f aca="false">IFERROR((R1552+S1552+J1552)/F1552,0)</f>
        <v>1</v>
      </c>
      <c r="AB1552" s="0" t="str">
        <f aca="false">A1552&amp;"|"&amp;D1552</f>
        <v>Papua New Guinea|2024</v>
      </c>
    </row>
    <row r="1553" customFormat="false" ht="15" hidden="false" customHeight="false" outlineLevel="0" collapsed="false">
      <c r="A1553" s="0" t="s">
        <v>329</v>
      </c>
      <c r="B1553" s="0" t="s">
        <v>568</v>
      </c>
      <c r="C1553" s="0" t="s">
        <v>127</v>
      </c>
      <c r="D1553" s="0" t="n">
        <v>2015</v>
      </c>
      <c r="E1553" s="59" t="n">
        <v>6159106</v>
      </c>
      <c r="F1553" s="60" t="n">
        <v>55.89</v>
      </c>
      <c r="G1553" s="61" t="n">
        <v>0</v>
      </c>
      <c r="H1553" s="61" t="n">
        <v>0</v>
      </c>
      <c r="I1553" s="61" t="n">
        <v>0</v>
      </c>
      <c r="J1553" s="61" t="n">
        <v>0</v>
      </c>
      <c r="K1553" s="61" t="n">
        <v>55.74</v>
      </c>
      <c r="L1553" s="61" t="n">
        <v>0</v>
      </c>
      <c r="M1553" s="61" t="n">
        <v>0</v>
      </c>
      <c r="N1553" s="61" t="n">
        <v>0.15</v>
      </c>
      <c r="O1553" s="61" t="n">
        <v>0</v>
      </c>
      <c r="P1553" s="62" t="n">
        <v>24.2</v>
      </c>
      <c r="Q1553" s="0" t="n">
        <v>0</v>
      </c>
      <c r="R1553" s="60" t="n">
        <f aca="false">G1553+H1553+I1553</f>
        <v>0</v>
      </c>
      <c r="S1553" s="60" t="n">
        <f aca="false">K1553+L1553+M1553+N1553+O1553</f>
        <v>55.89</v>
      </c>
      <c r="T1553" s="60" t="n">
        <f aca="false">L1553+M1553</f>
        <v>0</v>
      </c>
      <c r="U1553" s="60" t="n">
        <f aca="false">S1553+J1553</f>
        <v>55.89</v>
      </c>
      <c r="V1553" s="63" t="n">
        <f aca="false">IFERROR(S1553/F1553,0)</f>
        <v>1</v>
      </c>
      <c r="W1553" s="63" t="n">
        <f aca="false">IFERROR(R1553/F1553,0)</f>
        <v>0</v>
      </c>
      <c r="X1553" s="63" t="n">
        <f aca="false">IFERROR(T1553/F1553,0)</f>
        <v>0</v>
      </c>
      <c r="Y1553" s="63" t="n">
        <f aca="false">IFERROR(G1553/F1553,0)</f>
        <v>0</v>
      </c>
      <c r="Z1553" s="59" t="n">
        <f aca="false">IF(E1553&gt;0,F1553*1000000000/E1553,"")</f>
        <v>9074.36891003337</v>
      </c>
      <c r="AA1553" s="63" t="n">
        <f aca="false">IFERROR((R1553+S1553+J1553)/F1553,0)</f>
        <v>1</v>
      </c>
      <c r="AB1553" s="0" t="str">
        <f aca="false">A1553&amp;"|"&amp;D1553</f>
        <v>Paraguay|2015</v>
      </c>
    </row>
    <row r="1554" customFormat="false" ht="15" hidden="false" customHeight="false" outlineLevel="0" collapsed="false">
      <c r="A1554" s="0" t="s">
        <v>329</v>
      </c>
      <c r="B1554" s="0" t="s">
        <v>568</v>
      </c>
      <c r="C1554" s="0" t="s">
        <v>127</v>
      </c>
      <c r="D1554" s="0" t="n">
        <v>2016</v>
      </c>
      <c r="E1554" s="59" t="n">
        <v>6249129</v>
      </c>
      <c r="F1554" s="60" t="n">
        <v>63.94</v>
      </c>
      <c r="G1554" s="61" t="n">
        <v>0</v>
      </c>
      <c r="H1554" s="61" t="n">
        <v>0</v>
      </c>
      <c r="I1554" s="61" t="n">
        <v>0</v>
      </c>
      <c r="J1554" s="61" t="n">
        <v>0</v>
      </c>
      <c r="K1554" s="61" t="n">
        <v>63.77</v>
      </c>
      <c r="L1554" s="61" t="n">
        <v>0</v>
      </c>
      <c r="M1554" s="61" t="n">
        <v>0</v>
      </c>
      <c r="N1554" s="61" t="n">
        <v>0.17</v>
      </c>
      <c r="O1554" s="61" t="n">
        <v>0</v>
      </c>
      <c r="P1554" s="62" t="n">
        <v>24.4</v>
      </c>
      <c r="Q1554" s="0" t="n">
        <v>0</v>
      </c>
      <c r="R1554" s="60" t="n">
        <f aca="false">G1554+H1554+I1554</f>
        <v>0</v>
      </c>
      <c r="S1554" s="60" t="n">
        <f aca="false">K1554+L1554+M1554+N1554+O1554</f>
        <v>63.94</v>
      </c>
      <c r="T1554" s="60" t="n">
        <f aca="false">L1554+M1554</f>
        <v>0</v>
      </c>
      <c r="U1554" s="60" t="n">
        <f aca="false">S1554+J1554</f>
        <v>63.94</v>
      </c>
      <c r="V1554" s="63" t="n">
        <f aca="false">IFERROR(S1554/F1554,0)</f>
        <v>1</v>
      </c>
      <c r="W1554" s="63" t="n">
        <f aca="false">IFERROR(R1554/F1554,0)</f>
        <v>0</v>
      </c>
      <c r="X1554" s="63" t="n">
        <f aca="false">IFERROR(T1554/F1554,0)</f>
        <v>0</v>
      </c>
      <c r="Y1554" s="63" t="n">
        <f aca="false">IFERROR(G1554/F1554,0)</f>
        <v>0</v>
      </c>
      <c r="Z1554" s="59" t="n">
        <f aca="false">IF(E1554&gt;0,F1554*1000000000/E1554,"")</f>
        <v>10231.8259072584</v>
      </c>
      <c r="AA1554" s="63" t="n">
        <f aca="false">IFERROR((R1554+S1554+J1554)/F1554,0)</f>
        <v>1</v>
      </c>
      <c r="AB1554" s="0" t="str">
        <f aca="false">A1554&amp;"|"&amp;D1554</f>
        <v>Paraguay|2016</v>
      </c>
    </row>
    <row r="1555" customFormat="false" ht="15" hidden="false" customHeight="false" outlineLevel="0" collapsed="false">
      <c r="A1555" s="0" t="s">
        <v>329</v>
      </c>
      <c r="B1555" s="0" t="s">
        <v>568</v>
      </c>
      <c r="C1555" s="0" t="s">
        <v>127</v>
      </c>
      <c r="D1555" s="0" t="n">
        <v>2017</v>
      </c>
      <c r="E1555" s="59" t="n">
        <v>6338658</v>
      </c>
      <c r="F1555" s="60" t="n">
        <v>59.82</v>
      </c>
      <c r="G1555" s="61" t="n">
        <v>0</v>
      </c>
      <c r="H1555" s="61" t="n">
        <v>0</v>
      </c>
      <c r="I1555" s="61" t="n">
        <v>0</v>
      </c>
      <c r="J1555" s="61" t="n">
        <v>0</v>
      </c>
      <c r="K1555" s="61" t="n">
        <v>59.68</v>
      </c>
      <c r="L1555" s="61" t="n">
        <v>0</v>
      </c>
      <c r="M1555" s="61" t="n">
        <v>0</v>
      </c>
      <c r="N1555" s="61" t="n">
        <v>0.14</v>
      </c>
      <c r="O1555" s="61" t="n">
        <v>0</v>
      </c>
      <c r="P1555" s="62" t="n">
        <v>24.2</v>
      </c>
      <c r="Q1555" s="0" t="n">
        <v>0</v>
      </c>
      <c r="R1555" s="60" t="n">
        <f aca="false">G1555+H1555+I1555</f>
        <v>0</v>
      </c>
      <c r="S1555" s="60" t="n">
        <f aca="false">K1555+L1555+M1555+N1555+O1555</f>
        <v>59.82</v>
      </c>
      <c r="T1555" s="60" t="n">
        <f aca="false">L1555+M1555</f>
        <v>0</v>
      </c>
      <c r="U1555" s="60" t="n">
        <f aca="false">S1555+J1555</f>
        <v>59.82</v>
      </c>
      <c r="V1555" s="63" t="n">
        <f aca="false">IFERROR(S1555/F1555,0)</f>
        <v>1</v>
      </c>
      <c r="W1555" s="63" t="n">
        <f aca="false">IFERROR(R1555/F1555,0)</f>
        <v>0</v>
      </c>
      <c r="X1555" s="63" t="n">
        <f aca="false">IFERROR(T1555/F1555,0)</f>
        <v>0</v>
      </c>
      <c r="Y1555" s="63" t="n">
        <f aca="false">IFERROR(G1555/F1555,0)</f>
        <v>0</v>
      </c>
      <c r="Z1555" s="59" t="n">
        <f aca="false">IF(E1555&gt;0,F1555*1000000000/E1555,"")</f>
        <v>9437.32884784129</v>
      </c>
      <c r="AA1555" s="63" t="n">
        <f aca="false">IFERROR((R1555+S1555+J1555)/F1555,0)</f>
        <v>1</v>
      </c>
      <c r="AB1555" s="0" t="str">
        <f aca="false">A1555&amp;"|"&amp;D1555</f>
        <v>Paraguay|2017</v>
      </c>
    </row>
    <row r="1556" customFormat="false" ht="15" hidden="false" customHeight="false" outlineLevel="0" collapsed="false">
      <c r="A1556" s="0" t="s">
        <v>329</v>
      </c>
      <c r="B1556" s="0" t="s">
        <v>568</v>
      </c>
      <c r="C1556" s="0" t="s">
        <v>127</v>
      </c>
      <c r="D1556" s="0" t="n">
        <v>2018</v>
      </c>
      <c r="E1556" s="59" t="n">
        <v>6427382</v>
      </c>
      <c r="F1556" s="60" t="n">
        <v>59.34</v>
      </c>
      <c r="G1556" s="61" t="n">
        <v>0</v>
      </c>
      <c r="H1556" s="61" t="n">
        <v>0</v>
      </c>
      <c r="I1556" s="61" t="n">
        <v>0</v>
      </c>
      <c r="J1556" s="61" t="n">
        <v>0</v>
      </c>
      <c r="K1556" s="61" t="n">
        <v>59.21</v>
      </c>
      <c r="L1556" s="61" t="n">
        <v>0</v>
      </c>
      <c r="M1556" s="61" t="n">
        <v>0</v>
      </c>
      <c r="N1556" s="61" t="n">
        <v>0.13</v>
      </c>
      <c r="O1556" s="61" t="n">
        <v>0</v>
      </c>
      <c r="P1556" s="62" t="n">
        <v>24.3</v>
      </c>
      <c r="Q1556" s="0" t="n">
        <v>0</v>
      </c>
      <c r="R1556" s="60" t="n">
        <f aca="false">G1556+H1556+I1556</f>
        <v>0</v>
      </c>
      <c r="S1556" s="60" t="n">
        <f aca="false">K1556+L1556+M1556+N1556+O1556</f>
        <v>59.34</v>
      </c>
      <c r="T1556" s="60" t="n">
        <f aca="false">L1556+M1556</f>
        <v>0</v>
      </c>
      <c r="U1556" s="60" t="n">
        <f aca="false">S1556+J1556</f>
        <v>59.34</v>
      </c>
      <c r="V1556" s="63" t="n">
        <f aca="false">IFERROR(S1556/F1556,0)</f>
        <v>1</v>
      </c>
      <c r="W1556" s="63" t="n">
        <f aca="false">IFERROR(R1556/F1556,0)</f>
        <v>0</v>
      </c>
      <c r="X1556" s="63" t="n">
        <f aca="false">IFERROR(T1556/F1556,0)</f>
        <v>0</v>
      </c>
      <c r="Y1556" s="63" t="n">
        <f aca="false">IFERROR(G1556/F1556,0)</f>
        <v>0</v>
      </c>
      <c r="Z1556" s="59" t="n">
        <f aca="false">IF(E1556&gt;0,F1556*1000000000/E1556,"")</f>
        <v>9232.37486117987</v>
      </c>
      <c r="AA1556" s="63" t="n">
        <f aca="false">IFERROR((R1556+S1556+J1556)/F1556,0)</f>
        <v>1</v>
      </c>
      <c r="AB1556" s="0" t="str">
        <f aca="false">A1556&amp;"|"&amp;D1556</f>
        <v>Paraguay|2018</v>
      </c>
    </row>
    <row r="1557" customFormat="false" ht="15" hidden="false" customHeight="false" outlineLevel="0" collapsed="false">
      <c r="A1557" s="0" t="s">
        <v>329</v>
      </c>
      <c r="B1557" s="0" t="s">
        <v>568</v>
      </c>
      <c r="C1557" s="0" t="s">
        <v>127</v>
      </c>
      <c r="D1557" s="0" t="n">
        <v>2019</v>
      </c>
      <c r="E1557" s="59" t="n">
        <v>6515059</v>
      </c>
      <c r="F1557" s="60" t="n">
        <v>49.59</v>
      </c>
      <c r="G1557" s="61" t="n">
        <v>0</v>
      </c>
      <c r="H1557" s="61" t="n">
        <v>0</v>
      </c>
      <c r="I1557" s="61" t="n">
        <v>0</v>
      </c>
      <c r="J1557" s="61" t="n">
        <v>0</v>
      </c>
      <c r="K1557" s="61" t="n">
        <v>49.45</v>
      </c>
      <c r="L1557" s="61" t="n">
        <v>0</v>
      </c>
      <c r="M1557" s="61" t="n">
        <v>0</v>
      </c>
      <c r="N1557" s="61" t="n">
        <v>0.14</v>
      </c>
      <c r="O1557" s="61" t="n">
        <v>0</v>
      </c>
      <c r="P1557" s="62" t="n">
        <v>24.2</v>
      </c>
      <c r="Q1557" s="0" t="n">
        <v>0</v>
      </c>
      <c r="R1557" s="60" t="n">
        <f aca="false">G1557+H1557+I1557</f>
        <v>0</v>
      </c>
      <c r="S1557" s="60" t="n">
        <f aca="false">K1557+L1557+M1557+N1557+O1557</f>
        <v>49.59</v>
      </c>
      <c r="T1557" s="60" t="n">
        <f aca="false">L1557+M1557</f>
        <v>0</v>
      </c>
      <c r="U1557" s="60" t="n">
        <f aca="false">S1557+J1557</f>
        <v>49.59</v>
      </c>
      <c r="V1557" s="63" t="n">
        <f aca="false">IFERROR(S1557/F1557,0)</f>
        <v>1</v>
      </c>
      <c r="W1557" s="63" t="n">
        <f aca="false">IFERROR(R1557/F1557,0)</f>
        <v>0</v>
      </c>
      <c r="X1557" s="63" t="n">
        <f aca="false">IFERROR(T1557/F1557,0)</f>
        <v>0</v>
      </c>
      <c r="Y1557" s="63" t="n">
        <f aca="false">IFERROR(G1557/F1557,0)</f>
        <v>0</v>
      </c>
      <c r="Z1557" s="59" t="n">
        <f aca="false">IF(E1557&gt;0,F1557*1000000000/E1557,"")</f>
        <v>7611.59645676271</v>
      </c>
      <c r="AA1557" s="63" t="n">
        <f aca="false">IFERROR((R1557+S1557+J1557)/F1557,0)</f>
        <v>1</v>
      </c>
      <c r="AB1557" s="0" t="str">
        <f aca="false">A1557&amp;"|"&amp;D1557</f>
        <v>Paraguay|2019</v>
      </c>
    </row>
    <row r="1558" customFormat="false" ht="15" hidden="false" customHeight="false" outlineLevel="0" collapsed="false">
      <c r="A1558" s="0" t="s">
        <v>329</v>
      </c>
      <c r="B1558" s="0" t="s">
        <v>568</v>
      </c>
      <c r="C1558" s="0" t="s">
        <v>127</v>
      </c>
      <c r="D1558" s="0" t="n">
        <v>2020</v>
      </c>
      <c r="E1558" s="59" t="n">
        <v>6603741</v>
      </c>
      <c r="F1558" s="60" t="n">
        <v>46.63</v>
      </c>
      <c r="G1558" s="61" t="n">
        <v>0</v>
      </c>
      <c r="H1558" s="61" t="n">
        <v>0</v>
      </c>
      <c r="I1558" s="61" t="n">
        <v>0</v>
      </c>
      <c r="J1558" s="61" t="n">
        <v>0</v>
      </c>
      <c r="K1558" s="61" t="n">
        <v>46.37</v>
      </c>
      <c r="L1558" s="61" t="n">
        <v>0</v>
      </c>
      <c r="M1558" s="61" t="n">
        <v>0</v>
      </c>
      <c r="N1558" s="61" t="n">
        <v>0.26</v>
      </c>
      <c r="O1558" s="61" t="n">
        <v>0</v>
      </c>
      <c r="P1558" s="62" t="n">
        <v>24.9</v>
      </c>
      <c r="Q1558" s="0" t="n">
        <v>0</v>
      </c>
      <c r="R1558" s="60" t="n">
        <f aca="false">G1558+H1558+I1558</f>
        <v>0</v>
      </c>
      <c r="S1558" s="60" t="n">
        <f aca="false">K1558+L1558+M1558+N1558+O1558</f>
        <v>46.63</v>
      </c>
      <c r="T1558" s="60" t="n">
        <f aca="false">L1558+M1558</f>
        <v>0</v>
      </c>
      <c r="U1558" s="60" t="n">
        <f aca="false">S1558+J1558</f>
        <v>46.63</v>
      </c>
      <c r="V1558" s="63" t="n">
        <f aca="false">IFERROR(S1558/F1558,0)</f>
        <v>1</v>
      </c>
      <c r="W1558" s="63" t="n">
        <f aca="false">IFERROR(R1558/F1558,0)</f>
        <v>0</v>
      </c>
      <c r="X1558" s="63" t="n">
        <f aca="false">IFERROR(T1558/F1558,0)</f>
        <v>0</v>
      </c>
      <c r="Y1558" s="63" t="n">
        <f aca="false">IFERROR(G1558/F1558,0)</f>
        <v>0</v>
      </c>
      <c r="Z1558" s="59" t="n">
        <f aca="false">IF(E1558&gt;0,F1558*1000000000/E1558,"")</f>
        <v>7061.14912744155</v>
      </c>
      <c r="AA1558" s="63" t="n">
        <f aca="false">IFERROR((R1558+S1558+J1558)/F1558,0)</f>
        <v>1</v>
      </c>
      <c r="AB1558" s="0" t="str">
        <f aca="false">A1558&amp;"|"&amp;D1558</f>
        <v>Paraguay|2020</v>
      </c>
    </row>
    <row r="1559" customFormat="false" ht="15" hidden="false" customHeight="false" outlineLevel="0" collapsed="false">
      <c r="A1559" s="0" t="s">
        <v>329</v>
      </c>
      <c r="B1559" s="0" t="s">
        <v>568</v>
      </c>
      <c r="C1559" s="0" t="s">
        <v>127</v>
      </c>
      <c r="D1559" s="0" t="n">
        <v>2021</v>
      </c>
      <c r="E1559" s="59" t="n">
        <v>6684184</v>
      </c>
      <c r="F1559" s="60" t="n">
        <v>40.84</v>
      </c>
      <c r="G1559" s="61" t="n">
        <v>0</v>
      </c>
      <c r="H1559" s="61" t="n">
        <v>0</v>
      </c>
      <c r="I1559" s="61" t="n">
        <v>0</v>
      </c>
      <c r="J1559" s="61" t="n">
        <v>0</v>
      </c>
      <c r="K1559" s="61" t="n">
        <v>40.57</v>
      </c>
      <c r="L1559" s="61" t="n">
        <v>0</v>
      </c>
      <c r="M1559" s="61" t="n">
        <v>0</v>
      </c>
      <c r="N1559" s="61" t="n">
        <v>0.27</v>
      </c>
      <c r="O1559" s="61" t="n">
        <v>0</v>
      </c>
      <c r="P1559" s="62" t="n">
        <v>25</v>
      </c>
      <c r="Q1559" s="0" t="n">
        <v>0</v>
      </c>
      <c r="R1559" s="60" t="n">
        <f aca="false">G1559+H1559+I1559</f>
        <v>0</v>
      </c>
      <c r="S1559" s="60" t="n">
        <f aca="false">K1559+L1559+M1559+N1559+O1559</f>
        <v>40.84</v>
      </c>
      <c r="T1559" s="60" t="n">
        <f aca="false">L1559+M1559</f>
        <v>0</v>
      </c>
      <c r="U1559" s="60" t="n">
        <f aca="false">S1559+J1559</f>
        <v>40.84</v>
      </c>
      <c r="V1559" s="63" t="n">
        <f aca="false">IFERROR(S1559/F1559,0)</f>
        <v>1</v>
      </c>
      <c r="W1559" s="63" t="n">
        <f aca="false">IFERROR(R1559/F1559,0)</f>
        <v>0</v>
      </c>
      <c r="X1559" s="63" t="n">
        <f aca="false">IFERROR(T1559/F1559,0)</f>
        <v>0</v>
      </c>
      <c r="Y1559" s="63" t="n">
        <f aca="false">IFERROR(G1559/F1559,0)</f>
        <v>0</v>
      </c>
      <c r="Z1559" s="59" t="n">
        <f aca="false">IF(E1559&gt;0,F1559*1000000000/E1559,"")</f>
        <v>6109.94550718532</v>
      </c>
      <c r="AA1559" s="63" t="n">
        <f aca="false">IFERROR((R1559+S1559+J1559)/F1559,0)</f>
        <v>1</v>
      </c>
      <c r="AB1559" s="0" t="str">
        <f aca="false">A1559&amp;"|"&amp;D1559</f>
        <v>Paraguay|2021</v>
      </c>
    </row>
    <row r="1560" customFormat="false" ht="15" hidden="false" customHeight="false" outlineLevel="0" collapsed="false">
      <c r="A1560" s="0" t="s">
        <v>329</v>
      </c>
      <c r="B1560" s="0" t="s">
        <v>568</v>
      </c>
      <c r="C1560" s="0" t="s">
        <v>127</v>
      </c>
      <c r="D1560" s="0" t="n">
        <v>2022</v>
      </c>
      <c r="E1560" s="59" t="n">
        <v>6760460</v>
      </c>
      <c r="F1560" s="60" t="n">
        <v>44.11</v>
      </c>
      <c r="G1560" s="61" t="n">
        <v>0</v>
      </c>
      <c r="H1560" s="61" t="n">
        <v>0</v>
      </c>
      <c r="I1560" s="61" t="n">
        <v>0</v>
      </c>
      <c r="J1560" s="61" t="n">
        <v>0</v>
      </c>
      <c r="K1560" s="61" t="n">
        <v>43.87</v>
      </c>
      <c r="L1560" s="61" t="n">
        <v>0</v>
      </c>
      <c r="M1560" s="61" t="n">
        <v>0</v>
      </c>
      <c r="N1560" s="61" t="n">
        <v>0.24</v>
      </c>
      <c r="O1560" s="61" t="n">
        <v>0</v>
      </c>
      <c r="P1560" s="62" t="n">
        <v>24.7</v>
      </c>
      <c r="Q1560" s="0" t="n">
        <v>0</v>
      </c>
      <c r="R1560" s="60" t="n">
        <f aca="false">G1560+H1560+I1560</f>
        <v>0</v>
      </c>
      <c r="S1560" s="60" t="n">
        <f aca="false">K1560+L1560+M1560+N1560+O1560</f>
        <v>44.11</v>
      </c>
      <c r="T1560" s="60" t="n">
        <f aca="false">L1560+M1560</f>
        <v>0</v>
      </c>
      <c r="U1560" s="60" t="n">
        <f aca="false">S1560+J1560</f>
        <v>44.11</v>
      </c>
      <c r="V1560" s="63" t="n">
        <f aca="false">IFERROR(S1560/F1560,0)</f>
        <v>1</v>
      </c>
      <c r="W1560" s="63" t="n">
        <f aca="false">IFERROR(R1560/F1560,0)</f>
        <v>0</v>
      </c>
      <c r="X1560" s="63" t="n">
        <f aca="false">IFERROR(T1560/F1560,0)</f>
        <v>0</v>
      </c>
      <c r="Y1560" s="63" t="n">
        <f aca="false">IFERROR(G1560/F1560,0)</f>
        <v>0</v>
      </c>
      <c r="Z1560" s="59" t="n">
        <f aca="false">IF(E1560&gt;0,F1560*1000000000/E1560,"")</f>
        <v>6524.70394026442</v>
      </c>
      <c r="AA1560" s="63" t="n">
        <f aca="false">IFERROR((R1560+S1560+J1560)/F1560,0)</f>
        <v>1</v>
      </c>
      <c r="AB1560" s="0" t="str">
        <f aca="false">A1560&amp;"|"&amp;D1560</f>
        <v>Paraguay|2022</v>
      </c>
    </row>
    <row r="1561" customFormat="false" ht="15" hidden="false" customHeight="false" outlineLevel="0" collapsed="false">
      <c r="A1561" s="0" t="s">
        <v>329</v>
      </c>
      <c r="B1561" s="0" t="s">
        <v>568</v>
      </c>
      <c r="C1561" s="0" t="s">
        <v>127</v>
      </c>
      <c r="D1561" s="0" t="n">
        <v>2023</v>
      </c>
      <c r="E1561" s="59" t="n">
        <v>6844150</v>
      </c>
      <c r="F1561" s="60" t="n">
        <v>53.04</v>
      </c>
      <c r="G1561" s="61" t="n">
        <v>0</v>
      </c>
      <c r="H1561" s="61" t="n">
        <v>0</v>
      </c>
      <c r="I1561" s="61" t="n">
        <v>0</v>
      </c>
      <c r="J1561" s="61" t="n">
        <v>0</v>
      </c>
      <c r="K1561" s="61" t="n">
        <v>52.8</v>
      </c>
      <c r="L1561" s="61" t="n">
        <v>0</v>
      </c>
      <c r="M1561" s="61" t="n">
        <v>0</v>
      </c>
      <c r="N1561" s="61" t="n">
        <v>0.24</v>
      </c>
      <c r="O1561" s="61" t="n">
        <v>0</v>
      </c>
      <c r="P1561" s="62" t="n">
        <v>24.5</v>
      </c>
      <c r="Q1561" s="0" t="n">
        <v>0</v>
      </c>
      <c r="R1561" s="60" t="n">
        <f aca="false">G1561+H1561+I1561</f>
        <v>0</v>
      </c>
      <c r="S1561" s="60" t="n">
        <f aca="false">K1561+L1561+M1561+N1561+O1561</f>
        <v>53.04</v>
      </c>
      <c r="T1561" s="60" t="n">
        <f aca="false">L1561+M1561</f>
        <v>0</v>
      </c>
      <c r="U1561" s="60" t="n">
        <f aca="false">S1561+J1561</f>
        <v>53.04</v>
      </c>
      <c r="V1561" s="63" t="n">
        <f aca="false">IFERROR(S1561/F1561,0)</f>
        <v>1</v>
      </c>
      <c r="W1561" s="63" t="n">
        <f aca="false">IFERROR(R1561/F1561,0)</f>
        <v>0</v>
      </c>
      <c r="X1561" s="63" t="n">
        <f aca="false">IFERROR(T1561/F1561,0)</f>
        <v>0</v>
      </c>
      <c r="Y1561" s="63" t="n">
        <f aca="false">IFERROR(G1561/F1561,0)</f>
        <v>0</v>
      </c>
      <c r="Z1561" s="59" t="n">
        <f aca="false">IF(E1561&gt;0,F1561*1000000000/E1561,"")</f>
        <v>7749.6840367321</v>
      </c>
      <c r="AA1561" s="63" t="n">
        <f aca="false">IFERROR((R1561+S1561+J1561)/F1561,0)</f>
        <v>1</v>
      </c>
      <c r="AB1561" s="0" t="str">
        <f aca="false">A1561&amp;"|"&amp;D1561</f>
        <v>Paraguay|2023</v>
      </c>
    </row>
    <row r="1562" customFormat="false" ht="15" hidden="false" customHeight="false" outlineLevel="0" collapsed="false">
      <c r="A1562" s="0" t="s">
        <v>329</v>
      </c>
      <c r="B1562" s="0" t="s">
        <v>568</v>
      </c>
      <c r="C1562" s="0" t="s">
        <v>127</v>
      </c>
      <c r="D1562" s="0" t="n">
        <v>2024</v>
      </c>
      <c r="E1562" s="59" t="n">
        <v>6929152</v>
      </c>
      <c r="F1562" s="60" t="n">
        <v>42.41</v>
      </c>
      <c r="G1562" s="61" t="n">
        <v>0</v>
      </c>
      <c r="H1562" s="61" t="n">
        <v>0</v>
      </c>
      <c r="I1562" s="61" t="n">
        <v>0</v>
      </c>
      <c r="J1562" s="61" t="n">
        <v>0</v>
      </c>
      <c r="K1562" s="61" t="n">
        <v>42.17</v>
      </c>
      <c r="L1562" s="61" t="n">
        <v>0</v>
      </c>
      <c r="M1562" s="61" t="n">
        <v>0</v>
      </c>
      <c r="N1562" s="61" t="n">
        <v>0.24</v>
      </c>
      <c r="O1562" s="61" t="n">
        <v>0</v>
      </c>
      <c r="P1562" s="62" t="n">
        <v>24.8</v>
      </c>
      <c r="Q1562" s="0" t="n">
        <v>0</v>
      </c>
      <c r="R1562" s="60" t="n">
        <f aca="false">G1562+H1562+I1562</f>
        <v>0</v>
      </c>
      <c r="S1562" s="60" t="n">
        <f aca="false">K1562+L1562+M1562+N1562+O1562</f>
        <v>42.41</v>
      </c>
      <c r="T1562" s="60" t="n">
        <f aca="false">L1562+M1562</f>
        <v>0</v>
      </c>
      <c r="U1562" s="60" t="n">
        <f aca="false">S1562+J1562</f>
        <v>42.41</v>
      </c>
      <c r="V1562" s="63" t="n">
        <f aca="false">IFERROR(S1562/F1562,0)</f>
        <v>1</v>
      </c>
      <c r="W1562" s="63" t="n">
        <f aca="false">IFERROR(R1562/F1562,0)</f>
        <v>0</v>
      </c>
      <c r="X1562" s="63" t="n">
        <f aca="false">IFERROR(T1562/F1562,0)</f>
        <v>0</v>
      </c>
      <c r="Y1562" s="63" t="n">
        <f aca="false">IFERROR(G1562/F1562,0)</f>
        <v>0</v>
      </c>
      <c r="Z1562" s="59" t="n">
        <f aca="false">IF(E1562&gt;0,F1562*1000000000/E1562,"")</f>
        <v>6120.51806627997</v>
      </c>
      <c r="AA1562" s="63" t="n">
        <f aca="false">IFERROR((R1562+S1562+J1562)/F1562,0)</f>
        <v>1</v>
      </c>
      <c r="AB1562" s="0" t="str">
        <f aca="false">A1562&amp;"|"&amp;D1562</f>
        <v>Paraguay|2024</v>
      </c>
    </row>
    <row r="1563" customFormat="false" ht="15" hidden="false" customHeight="false" outlineLevel="0" collapsed="false">
      <c r="A1563" s="0" t="s">
        <v>329</v>
      </c>
      <c r="B1563" s="0" t="s">
        <v>568</v>
      </c>
      <c r="C1563" s="0" t="s">
        <v>127</v>
      </c>
      <c r="D1563" s="0" t="n">
        <v>2025</v>
      </c>
      <c r="E1563" s="59" t="n">
        <v>7013079</v>
      </c>
      <c r="F1563" s="60" t="n">
        <v>45.35</v>
      </c>
      <c r="G1563" s="61" t="n">
        <v>0</v>
      </c>
      <c r="H1563" s="61" t="n">
        <v>0</v>
      </c>
      <c r="I1563" s="61" t="n">
        <v>0</v>
      </c>
      <c r="J1563" s="61" t="n">
        <v>0</v>
      </c>
      <c r="K1563" s="61" t="n">
        <v>45.11</v>
      </c>
      <c r="L1563" s="61" t="n">
        <v>0</v>
      </c>
      <c r="M1563" s="61" t="n">
        <v>0</v>
      </c>
      <c r="N1563" s="61" t="n">
        <v>0.24</v>
      </c>
      <c r="O1563" s="61" t="n">
        <v>0</v>
      </c>
      <c r="P1563" s="62" t="n">
        <v>24.7</v>
      </c>
      <c r="Q1563" s="0" t="n">
        <v>0</v>
      </c>
      <c r="R1563" s="60" t="n">
        <f aca="false">G1563+H1563+I1563</f>
        <v>0</v>
      </c>
      <c r="S1563" s="60" t="n">
        <f aca="false">K1563+L1563+M1563+N1563+O1563</f>
        <v>45.35</v>
      </c>
      <c r="T1563" s="60" t="n">
        <f aca="false">L1563+M1563</f>
        <v>0</v>
      </c>
      <c r="U1563" s="60" t="n">
        <f aca="false">S1563+J1563</f>
        <v>45.35</v>
      </c>
      <c r="V1563" s="63" t="n">
        <f aca="false">IFERROR(S1563/F1563,0)</f>
        <v>1</v>
      </c>
      <c r="W1563" s="63" t="n">
        <f aca="false">IFERROR(R1563/F1563,0)</f>
        <v>0</v>
      </c>
      <c r="X1563" s="63" t="n">
        <f aca="false">IFERROR(T1563/F1563,0)</f>
        <v>0</v>
      </c>
      <c r="Y1563" s="63" t="n">
        <f aca="false">IFERROR(G1563/F1563,0)</f>
        <v>0</v>
      </c>
      <c r="Z1563" s="59" t="n">
        <f aca="false">IF(E1563&gt;0,F1563*1000000000/E1563,"")</f>
        <v>6466.48925529001</v>
      </c>
      <c r="AA1563" s="63" t="n">
        <f aca="false">IFERROR((R1563+S1563+J1563)/F1563,0)</f>
        <v>1</v>
      </c>
      <c r="AB1563" s="0" t="str">
        <f aca="false">A1563&amp;"|"&amp;D1563</f>
        <v>Paraguay|2025</v>
      </c>
    </row>
    <row r="1564" customFormat="false" ht="15" hidden="false" customHeight="false" outlineLevel="0" collapsed="false">
      <c r="A1564" s="0" t="s">
        <v>330</v>
      </c>
      <c r="B1564" s="0" t="s">
        <v>569</v>
      </c>
      <c r="C1564" s="0" t="s">
        <v>127</v>
      </c>
      <c r="D1564" s="0" t="n">
        <v>2015</v>
      </c>
      <c r="E1564" s="59" t="n">
        <v>30457598</v>
      </c>
      <c r="F1564" s="60" t="n">
        <v>48.27</v>
      </c>
      <c r="G1564" s="61" t="n">
        <v>0.41</v>
      </c>
      <c r="H1564" s="61" t="n">
        <v>21.73</v>
      </c>
      <c r="I1564" s="61" t="n">
        <v>0.68</v>
      </c>
      <c r="J1564" s="61" t="n">
        <v>0</v>
      </c>
      <c r="K1564" s="61" t="n">
        <v>23.71</v>
      </c>
      <c r="L1564" s="61" t="n">
        <v>0.23</v>
      </c>
      <c r="M1564" s="61" t="n">
        <v>0.6</v>
      </c>
      <c r="N1564" s="61" t="n">
        <v>0.91</v>
      </c>
      <c r="O1564" s="61" t="n">
        <v>0</v>
      </c>
      <c r="P1564" s="62" t="n">
        <v>305.8</v>
      </c>
      <c r="Q1564" s="0" t="n">
        <v>0</v>
      </c>
      <c r="R1564" s="60" t="n">
        <f aca="false">G1564+H1564+I1564</f>
        <v>22.82</v>
      </c>
      <c r="S1564" s="60" t="n">
        <f aca="false">K1564+L1564+M1564+N1564+O1564</f>
        <v>25.45</v>
      </c>
      <c r="T1564" s="60" t="n">
        <f aca="false">L1564+M1564</f>
        <v>0.83</v>
      </c>
      <c r="U1564" s="60" t="n">
        <f aca="false">S1564+J1564</f>
        <v>25.45</v>
      </c>
      <c r="V1564" s="63" t="n">
        <f aca="false">IFERROR(S1564/F1564,0)</f>
        <v>0.527242593743526</v>
      </c>
      <c r="W1564" s="63" t="n">
        <f aca="false">IFERROR(R1564/F1564,0)</f>
        <v>0.472757406256474</v>
      </c>
      <c r="X1564" s="63" t="n">
        <f aca="false">IFERROR(T1564/F1564,0)</f>
        <v>0.0171949451004765</v>
      </c>
      <c r="Y1564" s="63" t="n">
        <f aca="false">IFERROR(G1564/F1564,0)</f>
        <v>0.00849388854360887</v>
      </c>
      <c r="Z1564" s="59" t="n">
        <f aca="false">IF(E1564&gt;0,F1564*1000000000/E1564,"")</f>
        <v>1584.82622300025</v>
      </c>
      <c r="AA1564" s="63" t="n">
        <f aca="false">IFERROR((R1564+S1564+J1564)/F1564,0)</f>
        <v>1</v>
      </c>
      <c r="AB1564" s="0" t="str">
        <f aca="false">A1564&amp;"|"&amp;D1564</f>
        <v>Peru|2015</v>
      </c>
    </row>
    <row r="1565" customFormat="false" ht="15" hidden="false" customHeight="false" outlineLevel="0" collapsed="false">
      <c r="A1565" s="0" t="s">
        <v>330</v>
      </c>
      <c r="B1565" s="0" t="s">
        <v>569</v>
      </c>
      <c r="C1565" s="0" t="s">
        <v>127</v>
      </c>
      <c r="D1565" s="0" t="n">
        <v>2016</v>
      </c>
      <c r="E1565" s="59" t="n">
        <v>30866497</v>
      </c>
      <c r="F1565" s="60" t="n">
        <v>51.63</v>
      </c>
      <c r="G1565" s="61" t="n">
        <v>0.99</v>
      </c>
      <c r="H1565" s="61" t="n">
        <v>23.56</v>
      </c>
      <c r="I1565" s="61" t="n">
        <v>1.06</v>
      </c>
      <c r="J1565" s="61" t="n">
        <v>0</v>
      </c>
      <c r="K1565" s="61" t="n">
        <v>24.16</v>
      </c>
      <c r="L1565" s="61" t="n">
        <v>0.24</v>
      </c>
      <c r="M1565" s="61" t="n">
        <v>1.06</v>
      </c>
      <c r="N1565" s="61" t="n">
        <v>0.56</v>
      </c>
      <c r="O1565" s="61" t="n">
        <v>0</v>
      </c>
      <c r="P1565" s="62" t="n">
        <v>320.9</v>
      </c>
      <c r="Q1565" s="0" t="n">
        <v>0</v>
      </c>
      <c r="R1565" s="60" t="n">
        <f aca="false">G1565+H1565+I1565</f>
        <v>25.61</v>
      </c>
      <c r="S1565" s="60" t="n">
        <f aca="false">K1565+L1565+M1565+N1565+O1565</f>
        <v>26.02</v>
      </c>
      <c r="T1565" s="60" t="n">
        <f aca="false">L1565+M1565</f>
        <v>1.3</v>
      </c>
      <c r="U1565" s="60" t="n">
        <f aca="false">S1565+J1565</f>
        <v>26.02</v>
      </c>
      <c r="V1565" s="63" t="n">
        <f aca="false">IFERROR(S1565/F1565,0)</f>
        <v>0.503970559752082</v>
      </c>
      <c r="W1565" s="63" t="n">
        <f aca="false">IFERROR(R1565/F1565,0)</f>
        <v>0.496029440247918</v>
      </c>
      <c r="X1565" s="63" t="n">
        <f aca="false">IFERROR(T1565/F1565,0)</f>
        <v>0.0251791594034476</v>
      </c>
      <c r="Y1565" s="63" t="n">
        <f aca="false">IFERROR(G1565/F1565,0)</f>
        <v>0.0191748983149332</v>
      </c>
      <c r="Z1565" s="59" t="n">
        <f aca="false">IF(E1565&gt;0,F1565*1000000000/E1565,"")</f>
        <v>1672.68738010666</v>
      </c>
      <c r="AA1565" s="63" t="n">
        <f aca="false">IFERROR((R1565+S1565+J1565)/F1565,0)</f>
        <v>1</v>
      </c>
      <c r="AB1565" s="0" t="str">
        <f aca="false">A1565&amp;"|"&amp;D1565</f>
        <v>Peru|2016</v>
      </c>
    </row>
    <row r="1566" customFormat="false" ht="15" hidden="false" customHeight="false" outlineLevel="0" collapsed="false">
      <c r="A1566" s="0" t="s">
        <v>330</v>
      </c>
      <c r="B1566" s="0" t="s">
        <v>569</v>
      </c>
      <c r="C1566" s="0" t="s">
        <v>127</v>
      </c>
      <c r="D1566" s="0" t="n">
        <v>2017</v>
      </c>
      <c r="E1566" s="59" t="n">
        <v>31324639</v>
      </c>
      <c r="F1566" s="60" t="n">
        <v>52.71</v>
      </c>
      <c r="G1566" s="61" t="n">
        <v>0.76</v>
      </c>
      <c r="H1566" s="61" t="n">
        <v>19.87</v>
      </c>
      <c r="I1566" s="61" t="n">
        <v>1.19</v>
      </c>
      <c r="J1566" s="61" t="n">
        <v>0</v>
      </c>
      <c r="K1566" s="61" t="n">
        <v>29.06</v>
      </c>
      <c r="L1566" s="61" t="n">
        <v>0.29</v>
      </c>
      <c r="M1566" s="61" t="n">
        <v>1.07</v>
      </c>
      <c r="N1566" s="61" t="n">
        <v>0.47</v>
      </c>
      <c r="O1566" s="61" t="n">
        <v>0</v>
      </c>
      <c r="P1566" s="62" t="n">
        <v>271.5</v>
      </c>
      <c r="Q1566" s="0" t="n">
        <v>0</v>
      </c>
      <c r="R1566" s="60" t="n">
        <f aca="false">G1566+H1566+I1566</f>
        <v>21.82</v>
      </c>
      <c r="S1566" s="60" t="n">
        <f aca="false">K1566+L1566+M1566+N1566+O1566</f>
        <v>30.89</v>
      </c>
      <c r="T1566" s="60" t="n">
        <f aca="false">L1566+M1566</f>
        <v>1.36</v>
      </c>
      <c r="U1566" s="60" t="n">
        <f aca="false">S1566+J1566</f>
        <v>30.89</v>
      </c>
      <c r="V1566" s="63" t="n">
        <f aca="false">IFERROR(S1566/F1566,0)</f>
        <v>0.586036805160311</v>
      </c>
      <c r="W1566" s="63" t="n">
        <f aca="false">IFERROR(R1566/F1566,0)</f>
        <v>0.413963194839689</v>
      </c>
      <c r="X1566" s="63" t="n">
        <f aca="false">IFERROR(T1566/F1566,0)</f>
        <v>0.0258015556820338</v>
      </c>
      <c r="Y1566" s="63" t="n">
        <f aca="false">IFERROR(G1566/F1566,0)</f>
        <v>0.0144185164105483</v>
      </c>
      <c r="Z1566" s="59" t="n">
        <f aca="false">IF(E1566&gt;0,F1566*1000000000/E1566,"")</f>
        <v>1682.70095626641</v>
      </c>
      <c r="AA1566" s="63" t="n">
        <f aca="false">IFERROR((R1566+S1566+J1566)/F1566,0)</f>
        <v>1</v>
      </c>
      <c r="AB1566" s="0" t="str">
        <f aca="false">A1566&amp;"|"&amp;D1566</f>
        <v>Peru|2017</v>
      </c>
    </row>
    <row r="1567" customFormat="false" ht="15" hidden="false" customHeight="false" outlineLevel="0" collapsed="false">
      <c r="A1567" s="0" t="s">
        <v>330</v>
      </c>
      <c r="B1567" s="0" t="s">
        <v>569</v>
      </c>
      <c r="C1567" s="0" t="s">
        <v>127</v>
      </c>
      <c r="D1567" s="0" t="n">
        <v>2018</v>
      </c>
      <c r="E1567" s="59" t="n">
        <v>31897590</v>
      </c>
      <c r="F1567" s="60" t="n">
        <v>54.62</v>
      </c>
      <c r="G1567" s="61" t="n">
        <v>0.13</v>
      </c>
      <c r="H1567" s="61" t="n">
        <v>20.68</v>
      </c>
      <c r="I1567" s="61" t="n">
        <v>0.42</v>
      </c>
      <c r="J1567" s="61" t="n">
        <v>0</v>
      </c>
      <c r="K1567" s="61" t="n">
        <v>30.72</v>
      </c>
      <c r="L1567" s="61" t="n">
        <v>0.75</v>
      </c>
      <c r="M1567" s="61" t="n">
        <v>1.5</v>
      </c>
      <c r="N1567" s="61" t="n">
        <v>0.42</v>
      </c>
      <c r="O1567" s="61" t="n">
        <v>0</v>
      </c>
      <c r="P1567" s="62" t="n">
        <v>252.8</v>
      </c>
      <c r="Q1567" s="0" t="n">
        <v>0</v>
      </c>
      <c r="R1567" s="60" t="n">
        <f aca="false">G1567+H1567+I1567</f>
        <v>21.23</v>
      </c>
      <c r="S1567" s="60" t="n">
        <f aca="false">K1567+L1567+M1567+N1567+O1567</f>
        <v>33.39</v>
      </c>
      <c r="T1567" s="60" t="n">
        <f aca="false">L1567+M1567</f>
        <v>2.25</v>
      </c>
      <c r="U1567" s="60" t="n">
        <f aca="false">S1567+J1567</f>
        <v>33.39</v>
      </c>
      <c r="V1567" s="63" t="n">
        <f aca="false">IFERROR(S1567/F1567,0)</f>
        <v>0.611314536799707</v>
      </c>
      <c r="W1567" s="63" t="n">
        <f aca="false">IFERROR(R1567/F1567,0)</f>
        <v>0.388685463200293</v>
      </c>
      <c r="X1567" s="63" t="n">
        <f aca="false">IFERROR(T1567/F1567,0)</f>
        <v>0.0411937019406811</v>
      </c>
      <c r="Y1567" s="63" t="n">
        <f aca="false">IFERROR(G1567/F1567,0)</f>
        <v>0.00238008055657268</v>
      </c>
      <c r="Z1567" s="59" t="n">
        <f aca="false">IF(E1567&gt;0,F1567*1000000000/E1567,"")</f>
        <v>1712.35507133925</v>
      </c>
      <c r="AA1567" s="63" t="n">
        <f aca="false">IFERROR((R1567+S1567+J1567)/F1567,0)</f>
        <v>1</v>
      </c>
      <c r="AB1567" s="0" t="str">
        <f aca="false">A1567&amp;"|"&amp;D1567</f>
        <v>Peru|2018</v>
      </c>
    </row>
    <row r="1568" customFormat="false" ht="15" hidden="false" customHeight="false" outlineLevel="0" collapsed="false">
      <c r="A1568" s="0" t="s">
        <v>330</v>
      </c>
      <c r="B1568" s="0" t="s">
        <v>569</v>
      </c>
      <c r="C1568" s="0" t="s">
        <v>127</v>
      </c>
      <c r="D1568" s="0" t="n">
        <v>2019</v>
      </c>
      <c r="E1568" s="59" t="n">
        <v>32449302</v>
      </c>
      <c r="F1568" s="60" t="n">
        <v>56.87</v>
      </c>
      <c r="G1568" s="61" t="n">
        <v>0.16</v>
      </c>
      <c r="H1568" s="61" t="n">
        <v>21.73</v>
      </c>
      <c r="I1568" s="61" t="n">
        <v>0.55</v>
      </c>
      <c r="J1568" s="61" t="n">
        <v>0</v>
      </c>
      <c r="K1568" s="61" t="n">
        <v>31.45</v>
      </c>
      <c r="L1568" s="61" t="n">
        <v>0.78</v>
      </c>
      <c r="M1568" s="61" t="n">
        <v>1.65</v>
      </c>
      <c r="N1568" s="61" t="n">
        <v>0.55</v>
      </c>
      <c r="O1568" s="61" t="n">
        <v>0</v>
      </c>
      <c r="P1568" s="62" t="n">
        <v>256.7</v>
      </c>
      <c r="Q1568" s="0" t="n">
        <v>0</v>
      </c>
      <c r="R1568" s="60" t="n">
        <f aca="false">G1568+H1568+I1568</f>
        <v>22.44</v>
      </c>
      <c r="S1568" s="60" t="n">
        <f aca="false">K1568+L1568+M1568+N1568+O1568</f>
        <v>34.43</v>
      </c>
      <c r="T1568" s="60" t="n">
        <f aca="false">L1568+M1568</f>
        <v>2.43</v>
      </c>
      <c r="U1568" s="60" t="n">
        <f aca="false">S1568+J1568</f>
        <v>34.43</v>
      </c>
      <c r="V1568" s="63" t="n">
        <f aca="false">IFERROR(S1568/F1568,0)</f>
        <v>0.60541586073501</v>
      </c>
      <c r="W1568" s="63" t="n">
        <f aca="false">IFERROR(R1568/F1568,0)</f>
        <v>0.39458413926499</v>
      </c>
      <c r="X1568" s="63" t="n">
        <f aca="false">IFERROR(T1568/F1568,0)</f>
        <v>0.0427290311236153</v>
      </c>
      <c r="Y1568" s="63" t="n">
        <f aca="false">IFERROR(G1568/F1568,0)</f>
        <v>0.00281343414805697</v>
      </c>
      <c r="Z1568" s="59" t="n">
        <f aca="false">IF(E1568&gt;0,F1568*1000000000/E1568,"")</f>
        <v>1752.58007090569</v>
      </c>
      <c r="AA1568" s="63" t="n">
        <f aca="false">IFERROR((R1568+S1568+J1568)/F1568,0)</f>
        <v>1</v>
      </c>
      <c r="AB1568" s="0" t="str">
        <f aca="false">A1568&amp;"|"&amp;D1568</f>
        <v>Peru|2019</v>
      </c>
    </row>
    <row r="1569" customFormat="false" ht="15" hidden="false" customHeight="false" outlineLevel="0" collapsed="false">
      <c r="A1569" s="0" t="s">
        <v>330</v>
      </c>
      <c r="B1569" s="0" t="s">
        <v>569</v>
      </c>
      <c r="C1569" s="0" t="s">
        <v>127</v>
      </c>
      <c r="D1569" s="0" t="n">
        <v>2020</v>
      </c>
      <c r="E1569" s="59" t="n">
        <v>32838577</v>
      </c>
      <c r="F1569" s="60" t="n">
        <v>52.99</v>
      </c>
      <c r="G1569" s="61" t="n">
        <v>0.14</v>
      </c>
      <c r="H1569" s="61" t="n">
        <v>18.67</v>
      </c>
      <c r="I1569" s="61" t="n">
        <v>0.54</v>
      </c>
      <c r="J1569" s="61" t="n">
        <v>0</v>
      </c>
      <c r="K1569" s="61" t="n">
        <v>30.5</v>
      </c>
      <c r="L1569" s="61" t="n">
        <v>0.79</v>
      </c>
      <c r="M1569" s="61" t="n">
        <v>1.81</v>
      </c>
      <c r="N1569" s="61" t="n">
        <v>0.54</v>
      </c>
      <c r="O1569" s="61" t="n">
        <v>0</v>
      </c>
      <c r="P1569" s="62" t="n">
        <v>239.7</v>
      </c>
      <c r="Q1569" s="0" t="n">
        <v>0</v>
      </c>
      <c r="R1569" s="60" t="n">
        <f aca="false">G1569+H1569+I1569</f>
        <v>19.35</v>
      </c>
      <c r="S1569" s="60" t="n">
        <f aca="false">K1569+L1569+M1569+N1569+O1569</f>
        <v>33.64</v>
      </c>
      <c r="T1569" s="60" t="n">
        <f aca="false">L1569+M1569</f>
        <v>2.6</v>
      </c>
      <c r="U1569" s="60" t="n">
        <f aca="false">S1569+J1569</f>
        <v>33.64</v>
      </c>
      <c r="V1569" s="63" t="n">
        <f aca="false">IFERROR(S1569/F1569,0)</f>
        <v>0.634836761653142</v>
      </c>
      <c r="W1569" s="63" t="n">
        <f aca="false">IFERROR(R1569/F1569,0)</f>
        <v>0.365163238346858</v>
      </c>
      <c r="X1569" s="63" t="n">
        <f aca="false">IFERROR(T1569/F1569,0)</f>
        <v>0.0490658614832987</v>
      </c>
      <c r="Y1569" s="63" t="n">
        <f aca="false">IFERROR(G1569/F1569,0)</f>
        <v>0.00264200792602378</v>
      </c>
      <c r="Z1569" s="59" t="n">
        <f aca="false">IF(E1569&gt;0,F1569*1000000000/E1569,"")</f>
        <v>1613.65092037941</v>
      </c>
      <c r="AA1569" s="63" t="n">
        <f aca="false">IFERROR((R1569+S1569+J1569)/F1569,0)</f>
        <v>1</v>
      </c>
      <c r="AB1569" s="0" t="str">
        <f aca="false">A1569&amp;"|"&amp;D1569</f>
        <v>Peru|2020</v>
      </c>
    </row>
    <row r="1570" customFormat="false" ht="15" hidden="false" customHeight="false" outlineLevel="0" collapsed="false">
      <c r="A1570" s="0" t="s">
        <v>330</v>
      </c>
      <c r="B1570" s="0" t="s">
        <v>569</v>
      </c>
      <c r="C1570" s="0" t="s">
        <v>127</v>
      </c>
      <c r="D1570" s="0" t="n">
        <v>2021</v>
      </c>
      <c r="E1570" s="59" t="n">
        <v>33155883</v>
      </c>
      <c r="F1570" s="60" t="n">
        <v>56.99</v>
      </c>
      <c r="G1570" s="61" t="n">
        <v>0.14</v>
      </c>
      <c r="H1570" s="61" t="n">
        <v>21.17</v>
      </c>
      <c r="I1570" s="61" t="n">
        <v>0.59</v>
      </c>
      <c r="J1570" s="61" t="n">
        <v>0</v>
      </c>
      <c r="K1570" s="61" t="n">
        <v>31.89</v>
      </c>
      <c r="L1570" s="61" t="n">
        <v>0.8</v>
      </c>
      <c r="M1570" s="61" t="n">
        <v>1.82</v>
      </c>
      <c r="N1570" s="61" t="n">
        <v>0.58</v>
      </c>
      <c r="O1570" s="61" t="n">
        <v>0</v>
      </c>
      <c r="P1570" s="62" t="n">
        <v>250.9</v>
      </c>
      <c r="Q1570" s="0" t="n">
        <v>0</v>
      </c>
      <c r="R1570" s="60" t="n">
        <f aca="false">G1570+H1570+I1570</f>
        <v>21.9</v>
      </c>
      <c r="S1570" s="60" t="n">
        <f aca="false">K1570+L1570+M1570+N1570+O1570</f>
        <v>35.09</v>
      </c>
      <c r="T1570" s="60" t="n">
        <f aca="false">L1570+M1570</f>
        <v>2.62</v>
      </c>
      <c r="U1570" s="60" t="n">
        <f aca="false">S1570+J1570</f>
        <v>35.09</v>
      </c>
      <c r="V1570" s="63" t="n">
        <f aca="false">IFERROR(S1570/F1570,0)</f>
        <v>0.61572205650114</v>
      </c>
      <c r="W1570" s="63" t="n">
        <f aca="false">IFERROR(R1570/F1570,0)</f>
        <v>0.384277943498859</v>
      </c>
      <c r="X1570" s="63" t="n">
        <f aca="false">IFERROR(T1570/F1570,0)</f>
        <v>0.0459729777153887</v>
      </c>
      <c r="Y1570" s="63" t="n">
        <f aca="false">IFERROR(G1570/F1570,0)</f>
        <v>0.00245657132830321</v>
      </c>
      <c r="Z1570" s="59" t="n">
        <f aca="false">IF(E1570&gt;0,F1570*1000000000/E1570,"")</f>
        <v>1718.85031685026</v>
      </c>
      <c r="AA1570" s="63" t="n">
        <f aca="false">IFERROR((R1570+S1570+J1570)/F1570,0)</f>
        <v>1</v>
      </c>
      <c r="AB1570" s="0" t="str">
        <f aca="false">A1570&amp;"|"&amp;D1570</f>
        <v>Peru|2021</v>
      </c>
    </row>
    <row r="1571" customFormat="false" ht="15" hidden="false" customHeight="false" outlineLevel="0" collapsed="false">
      <c r="A1571" s="0" t="s">
        <v>330</v>
      </c>
      <c r="B1571" s="0" t="s">
        <v>569</v>
      </c>
      <c r="C1571" s="0" t="s">
        <v>127</v>
      </c>
      <c r="D1571" s="0" t="n">
        <v>2022</v>
      </c>
      <c r="E1571" s="59" t="n">
        <v>33475436</v>
      </c>
      <c r="F1571" s="60" t="n">
        <v>59.9</v>
      </c>
      <c r="G1571" s="61" t="n">
        <v>0.17</v>
      </c>
      <c r="H1571" s="61" t="n">
        <v>26.02</v>
      </c>
      <c r="I1571" s="61" t="n">
        <v>0.62</v>
      </c>
      <c r="J1571" s="61" t="n">
        <v>0</v>
      </c>
      <c r="K1571" s="61" t="n">
        <v>29.73</v>
      </c>
      <c r="L1571" s="61" t="n">
        <v>0.84</v>
      </c>
      <c r="M1571" s="61" t="n">
        <v>1.93</v>
      </c>
      <c r="N1571" s="61" t="n">
        <v>0.59</v>
      </c>
      <c r="O1571" s="61" t="n">
        <v>0</v>
      </c>
      <c r="P1571" s="62" t="n">
        <v>287.8</v>
      </c>
      <c r="Q1571" s="0" t="n">
        <v>0</v>
      </c>
      <c r="R1571" s="60" t="n">
        <f aca="false">G1571+H1571+I1571</f>
        <v>26.81</v>
      </c>
      <c r="S1571" s="60" t="n">
        <f aca="false">K1571+L1571+M1571+N1571+O1571</f>
        <v>33.09</v>
      </c>
      <c r="T1571" s="60" t="n">
        <f aca="false">L1571+M1571</f>
        <v>2.77</v>
      </c>
      <c r="U1571" s="60" t="n">
        <f aca="false">S1571+J1571</f>
        <v>33.09</v>
      </c>
      <c r="V1571" s="63" t="n">
        <f aca="false">IFERROR(S1571/F1571,0)</f>
        <v>0.552420701168614</v>
      </c>
      <c r="W1571" s="63" t="n">
        <f aca="false">IFERROR(R1571/F1571,0)</f>
        <v>0.447579298831386</v>
      </c>
      <c r="X1571" s="63" t="n">
        <f aca="false">IFERROR(T1571/F1571,0)</f>
        <v>0.0462437395659432</v>
      </c>
      <c r="Y1571" s="63" t="n">
        <f aca="false">IFERROR(G1571/F1571,0)</f>
        <v>0.00283806343906511</v>
      </c>
      <c r="Z1571" s="59" t="n">
        <f aca="false">IF(E1571&gt;0,F1571*1000000000/E1571,"")</f>
        <v>1789.371765016</v>
      </c>
      <c r="AA1571" s="63" t="n">
        <f aca="false">IFERROR((R1571+S1571+J1571)/F1571,0)</f>
        <v>1</v>
      </c>
      <c r="AB1571" s="0" t="str">
        <f aca="false">A1571&amp;"|"&amp;D1571</f>
        <v>Peru|2022</v>
      </c>
    </row>
    <row r="1572" customFormat="false" ht="15" hidden="false" customHeight="false" outlineLevel="0" collapsed="false">
      <c r="A1572" s="0" t="s">
        <v>330</v>
      </c>
      <c r="B1572" s="0" t="s">
        <v>569</v>
      </c>
      <c r="C1572" s="0" t="s">
        <v>127</v>
      </c>
      <c r="D1572" s="0" t="n">
        <v>2023</v>
      </c>
      <c r="E1572" s="59" t="n">
        <v>33845616</v>
      </c>
      <c r="F1572" s="60" t="n">
        <v>60.87</v>
      </c>
      <c r="G1572" s="61" t="n">
        <v>0.04</v>
      </c>
      <c r="H1572" s="61" t="n">
        <v>27.44</v>
      </c>
      <c r="I1572" s="61" t="n">
        <v>0.29</v>
      </c>
      <c r="J1572" s="61" t="n">
        <v>0</v>
      </c>
      <c r="K1572" s="61" t="n">
        <v>29.73</v>
      </c>
      <c r="L1572" s="61" t="n">
        <v>0.84</v>
      </c>
      <c r="M1572" s="61" t="n">
        <v>1.93</v>
      </c>
      <c r="N1572" s="61" t="n">
        <v>0.6</v>
      </c>
      <c r="O1572" s="61" t="n">
        <v>0</v>
      </c>
      <c r="P1572" s="62" t="n">
        <v>291.8</v>
      </c>
      <c r="Q1572" s="0" t="n">
        <v>0</v>
      </c>
      <c r="R1572" s="60" t="n">
        <f aca="false">G1572+H1572+I1572</f>
        <v>27.77</v>
      </c>
      <c r="S1572" s="60" t="n">
        <f aca="false">K1572+L1572+M1572+N1572+O1572</f>
        <v>33.1</v>
      </c>
      <c r="T1572" s="60" t="n">
        <f aca="false">L1572+M1572</f>
        <v>2.77</v>
      </c>
      <c r="U1572" s="60" t="n">
        <f aca="false">S1572+J1572</f>
        <v>33.1</v>
      </c>
      <c r="V1572" s="63" t="n">
        <f aca="false">IFERROR(S1572/F1572,0)</f>
        <v>0.543781830129785</v>
      </c>
      <c r="W1572" s="63" t="n">
        <f aca="false">IFERROR(R1572/F1572,0)</f>
        <v>0.456218169870215</v>
      </c>
      <c r="X1572" s="63" t="n">
        <f aca="false">IFERROR(T1572/F1572,0)</f>
        <v>0.0455068178084442</v>
      </c>
      <c r="Y1572" s="63" t="n">
        <f aca="false">IFERROR(G1572/F1572,0)</f>
        <v>0.000657138163298834</v>
      </c>
      <c r="Z1572" s="59" t="n">
        <f aca="false">IF(E1572&gt;0,F1572*1000000000/E1572,"")</f>
        <v>1798.4603973525</v>
      </c>
      <c r="AA1572" s="63" t="n">
        <f aca="false">IFERROR((R1572+S1572+J1572)/F1572,0)</f>
        <v>1</v>
      </c>
      <c r="AB1572" s="0" t="str">
        <f aca="false">A1572&amp;"|"&amp;D1572</f>
        <v>Peru|2023</v>
      </c>
    </row>
    <row r="1573" customFormat="false" ht="15" hidden="false" customHeight="false" outlineLevel="0" collapsed="false">
      <c r="A1573" s="0" t="s">
        <v>330</v>
      </c>
      <c r="B1573" s="0" t="s">
        <v>569</v>
      </c>
      <c r="C1573" s="0" t="s">
        <v>127</v>
      </c>
      <c r="D1573" s="0" t="n">
        <v>2024</v>
      </c>
      <c r="E1573" s="59" t="n">
        <v>34217850</v>
      </c>
      <c r="F1573" s="60" t="n">
        <v>59.29</v>
      </c>
      <c r="G1573" s="61" t="n">
        <v>0</v>
      </c>
      <c r="H1573" s="61" t="n">
        <v>23.23</v>
      </c>
      <c r="I1573" s="61" t="n">
        <v>0.42</v>
      </c>
      <c r="J1573" s="61" t="n">
        <v>0</v>
      </c>
      <c r="K1573" s="61" t="n">
        <v>32</v>
      </c>
      <c r="L1573" s="61" t="n">
        <v>0.95</v>
      </c>
      <c r="M1573" s="61" t="n">
        <v>2.09</v>
      </c>
      <c r="N1573" s="61" t="n">
        <v>0.6</v>
      </c>
      <c r="O1573" s="61" t="n">
        <v>0</v>
      </c>
      <c r="P1573" s="62" t="n">
        <v>258.7</v>
      </c>
      <c r="Q1573" s="0" t="n">
        <v>0</v>
      </c>
      <c r="R1573" s="60" t="n">
        <f aca="false">G1573+H1573+I1573</f>
        <v>23.65</v>
      </c>
      <c r="S1573" s="60" t="n">
        <f aca="false">K1573+L1573+M1573+N1573+O1573</f>
        <v>35.64</v>
      </c>
      <c r="T1573" s="60" t="n">
        <f aca="false">L1573+M1573</f>
        <v>3.04</v>
      </c>
      <c r="U1573" s="60" t="n">
        <f aca="false">S1573+J1573</f>
        <v>35.64</v>
      </c>
      <c r="V1573" s="63" t="n">
        <f aca="false">IFERROR(S1573/F1573,0)</f>
        <v>0.601113172541744</v>
      </c>
      <c r="W1573" s="63" t="n">
        <f aca="false">IFERROR(R1573/F1573,0)</f>
        <v>0.398886827458256</v>
      </c>
      <c r="X1573" s="63" t="n">
        <f aca="false">IFERROR(T1573/F1573,0)</f>
        <v>0.0512734019227526</v>
      </c>
      <c r="Y1573" s="63" t="n">
        <f aca="false">IFERROR(G1573/F1573,0)</f>
        <v>0</v>
      </c>
      <c r="Z1573" s="59" t="n">
        <f aca="false">IF(E1573&gt;0,F1573*1000000000/E1573,"")</f>
        <v>1732.72137203243</v>
      </c>
      <c r="AA1573" s="63" t="n">
        <f aca="false">IFERROR((R1573+S1573+J1573)/F1573,0)</f>
        <v>1</v>
      </c>
      <c r="AB1573" s="0" t="str">
        <f aca="false">A1573&amp;"|"&amp;D1573</f>
        <v>Peru|2024</v>
      </c>
    </row>
    <row r="1574" customFormat="false" ht="15" hidden="false" customHeight="false" outlineLevel="0" collapsed="false">
      <c r="A1574" s="0" t="s">
        <v>330</v>
      </c>
      <c r="B1574" s="0" t="s">
        <v>569</v>
      </c>
      <c r="C1574" s="0" t="s">
        <v>127</v>
      </c>
      <c r="D1574" s="0" t="n">
        <v>2025</v>
      </c>
      <c r="E1574" s="59" t="n">
        <v>34576673</v>
      </c>
      <c r="F1574" s="60" t="n">
        <v>60.44</v>
      </c>
      <c r="G1574" s="61" t="n">
        <v>0.01</v>
      </c>
      <c r="H1574" s="61" t="n">
        <v>21.83</v>
      </c>
      <c r="I1574" s="61" t="n">
        <v>0.13</v>
      </c>
      <c r="J1574" s="61" t="n">
        <v>0</v>
      </c>
      <c r="K1574" s="61" t="n">
        <v>33.88</v>
      </c>
      <c r="L1574" s="61" t="n">
        <v>1.83</v>
      </c>
      <c r="M1574" s="61" t="n">
        <v>2.11</v>
      </c>
      <c r="N1574" s="61" t="n">
        <v>0.65</v>
      </c>
      <c r="O1574" s="61" t="n">
        <v>0</v>
      </c>
      <c r="P1574" s="62" t="n">
        <v>238.2</v>
      </c>
      <c r="Q1574" s="0" t="n">
        <v>0</v>
      </c>
      <c r="R1574" s="60" t="n">
        <f aca="false">G1574+H1574+I1574</f>
        <v>21.97</v>
      </c>
      <c r="S1574" s="60" t="n">
        <f aca="false">K1574+L1574+M1574+N1574+O1574</f>
        <v>38.47</v>
      </c>
      <c r="T1574" s="60" t="n">
        <f aca="false">L1574+M1574</f>
        <v>3.94</v>
      </c>
      <c r="U1574" s="60" t="n">
        <f aca="false">S1574+J1574</f>
        <v>38.47</v>
      </c>
      <c r="V1574" s="63" t="n">
        <f aca="false">IFERROR(S1574/F1574,0)</f>
        <v>0.636499007279947</v>
      </c>
      <c r="W1574" s="63" t="n">
        <f aca="false">IFERROR(R1574/F1574,0)</f>
        <v>0.363500992720053</v>
      </c>
      <c r="X1574" s="63" t="n">
        <f aca="false">IFERROR(T1574/F1574,0)</f>
        <v>0.0651886168100596</v>
      </c>
      <c r="Y1574" s="63" t="n">
        <f aca="false">IFERROR(G1574/F1574,0)</f>
        <v>0.000165453342157512</v>
      </c>
      <c r="Z1574" s="59" t="n">
        <f aca="false">IF(E1574&gt;0,F1574*1000000000/E1574,"")</f>
        <v>1747.99929420624</v>
      </c>
      <c r="AA1574" s="63" t="n">
        <f aca="false">IFERROR((R1574+S1574+J1574)/F1574,0)</f>
        <v>1</v>
      </c>
      <c r="AB1574" s="0" t="str">
        <f aca="false">A1574&amp;"|"&amp;D1574</f>
        <v>Peru|2025</v>
      </c>
    </row>
    <row r="1575" customFormat="false" ht="15" hidden="false" customHeight="false" outlineLevel="0" collapsed="false">
      <c r="A1575" s="0" t="s">
        <v>331</v>
      </c>
      <c r="B1575" s="0" t="s">
        <v>570</v>
      </c>
      <c r="C1575" s="0" t="s">
        <v>127</v>
      </c>
      <c r="D1575" s="0" t="n">
        <v>2015</v>
      </c>
      <c r="E1575" s="59" t="n">
        <v>105312988</v>
      </c>
      <c r="F1575" s="60" t="n">
        <v>82.4</v>
      </c>
      <c r="G1575" s="61" t="n">
        <v>36.69</v>
      </c>
      <c r="H1575" s="61" t="n">
        <v>18.88</v>
      </c>
      <c r="I1575" s="61" t="n">
        <v>5.89</v>
      </c>
      <c r="J1575" s="61" t="n">
        <v>0</v>
      </c>
      <c r="K1575" s="61" t="n">
        <v>8.66</v>
      </c>
      <c r="L1575" s="61" t="n">
        <v>0.14</v>
      </c>
      <c r="M1575" s="61" t="n">
        <v>0.75</v>
      </c>
      <c r="N1575" s="61" t="n">
        <v>0.35</v>
      </c>
      <c r="O1575" s="61" t="n">
        <v>11.04</v>
      </c>
      <c r="P1575" s="62" t="n">
        <v>544.8</v>
      </c>
      <c r="Q1575" s="0" t="n">
        <v>0</v>
      </c>
      <c r="R1575" s="60" t="n">
        <f aca="false">G1575+H1575+I1575</f>
        <v>61.46</v>
      </c>
      <c r="S1575" s="60" t="n">
        <f aca="false">K1575+L1575+M1575+N1575+O1575</f>
        <v>20.94</v>
      </c>
      <c r="T1575" s="60" t="n">
        <f aca="false">L1575+M1575</f>
        <v>0.89</v>
      </c>
      <c r="U1575" s="60" t="n">
        <f aca="false">S1575+J1575</f>
        <v>20.94</v>
      </c>
      <c r="V1575" s="63" t="n">
        <f aca="false">IFERROR(S1575/F1575,0)</f>
        <v>0.254126213592233</v>
      </c>
      <c r="W1575" s="63" t="n">
        <f aca="false">IFERROR(R1575/F1575,0)</f>
        <v>0.745873786407767</v>
      </c>
      <c r="X1575" s="63" t="n">
        <f aca="false">IFERROR(T1575/F1575,0)</f>
        <v>0.0108009708737864</v>
      </c>
      <c r="Y1575" s="63" t="n">
        <f aca="false">IFERROR(G1575/F1575,0)</f>
        <v>0.445266990291262</v>
      </c>
      <c r="Z1575" s="59" t="n">
        <f aca="false">IF(E1575&gt;0,F1575*1000000000/E1575,"")</f>
        <v>782.429608777219</v>
      </c>
      <c r="AA1575" s="63" t="n">
        <f aca="false">IFERROR((R1575+S1575+J1575)/F1575,0)</f>
        <v>1</v>
      </c>
      <c r="AB1575" s="0" t="str">
        <f aca="false">A1575&amp;"|"&amp;D1575</f>
        <v>Philippines|2015</v>
      </c>
    </row>
    <row r="1576" customFormat="false" ht="15" hidden="false" customHeight="false" outlineLevel="0" collapsed="false">
      <c r="A1576" s="0" t="s">
        <v>331</v>
      </c>
      <c r="B1576" s="0" t="s">
        <v>570</v>
      </c>
      <c r="C1576" s="0" t="s">
        <v>127</v>
      </c>
      <c r="D1576" s="0" t="n">
        <v>2016</v>
      </c>
      <c r="E1576" s="59" t="n">
        <v>106735721</v>
      </c>
      <c r="F1576" s="60" t="n">
        <v>90.79</v>
      </c>
      <c r="G1576" s="61" t="n">
        <v>43.3</v>
      </c>
      <c r="H1576" s="61" t="n">
        <v>19.85</v>
      </c>
      <c r="I1576" s="61" t="n">
        <v>5.66</v>
      </c>
      <c r="J1576" s="61" t="n">
        <v>0</v>
      </c>
      <c r="K1576" s="61" t="n">
        <v>8.11</v>
      </c>
      <c r="L1576" s="61" t="n">
        <v>1.1</v>
      </c>
      <c r="M1576" s="61" t="n">
        <v>0.98</v>
      </c>
      <c r="N1576" s="61" t="n">
        <v>0.72</v>
      </c>
      <c r="O1576" s="61" t="n">
        <v>11.07</v>
      </c>
      <c r="P1576" s="62" t="n">
        <v>560.2</v>
      </c>
      <c r="Q1576" s="0" t="n">
        <v>0</v>
      </c>
      <c r="R1576" s="60" t="n">
        <f aca="false">G1576+H1576+I1576</f>
        <v>68.81</v>
      </c>
      <c r="S1576" s="60" t="n">
        <f aca="false">K1576+L1576+M1576+N1576+O1576</f>
        <v>21.98</v>
      </c>
      <c r="T1576" s="60" t="n">
        <f aca="false">L1576+M1576</f>
        <v>2.08</v>
      </c>
      <c r="U1576" s="60" t="n">
        <f aca="false">S1576+J1576</f>
        <v>21.98</v>
      </c>
      <c r="V1576" s="63" t="n">
        <f aca="false">IFERROR(S1576/F1576,0)</f>
        <v>0.242097147262914</v>
      </c>
      <c r="W1576" s="63" t="n">
        <f aca="false">IFERROR(R1576/F1576,0)</f>
        <v>0.757902852737086</v>
      </c>
      <c r="X1576" s="63" t="n">
        <f aca="false">IFERROR(T1576/F1576,0)</f>
        <v>0.0229100121158718</v>
      </c>
      <c r="Y1576" s="63" t="n">
        <f aca="false">IFERROR(G1576/F1576,0)</f>
        <v>0.4769247714506</v>
      </c>
      <c r="Z1576" s="59" t="n">
        <f aca="false">IF(E1576&gt;0,F1576*1000000000/E1576,"")</f>
        <v>850.605581237419</v>
      </c>
      <c r="AA1576" s="63" t="n">
        <f aca="false">IFERROR((R1576+S1576+J1576)/F1576,0)</f>
        <v>1</v>
      </c>
      <c r="AB1576" s="0" t="str">
        <f aca="false">A1576&amp;"|"&amp;D1576</f>
        <v>Philippines|2016</v>
      </c>
    </row>
    <row r="1577" customFormat="false" ht="15" hidden="false" customHeight="false" outlineLevel="0" collapsed="false">
      <c r="A1577" s="0" t="s">
        <v>331</v>
      </c>
      <c r="B1577" s="0" t="s">
        <v>570</v>
      </c>
      <c r="C1577" s="0" t="s">
        <v>127</v>
      </c>
      <c r="D1577" s="0" t="n">
        <v>2017</v>
      </c>
      <c r="E1577" s="59" t="n">
        <v>108119691</v>
      </c>
      <c r="F1577" s="60" t="n">
        <v>94.36</v>
      </c>
      <c r="G1577" s="61" t="n">
        <v>46.85</v>
      </c>
      <c r="H1577" s="61" t="n">
        <v>20.55</v>
      </c>
      <c r="I1577" s="61" t="n">
        <v>3.79</v>
      </c>
      <c r="J1577" s="61" t="n">
        <v>0</v>
      </c>
      <c r="K1577" s="61" t="n">
        <v>9.61</v>
      </c>
      <c r="L1577" s="61" t="n">
        <v>1.2</v>
      </c>
      <c r="M1577" s="61" t="n">
        <v>1.09</v>
      </c>
      <c r="N1577" s="61" t="n">
        <v>1</v>
      </c>
      <c r="O1577" s="61" t="n">
        <v>10.27</v>
      </c>
      <c r="P1577" s="62" t="n">
        <v>560.5</v>
      </c>
      <c r="Q1577" s="0" t="n">
        <v>0</v>
      </c>
      <c r="R1577" s="60" t="n">
        <f aca="false">G1577+H1577+I1577</f>
        <v>71.19</v>
      </c>
      <c r="S1577" s="60" t="n">
        <f aca="false">K1577+L1577+M1577+N1577+O1577</f>
        <v>23.17</v>
      </c>
      <c r="T1577" s="60" t="n">
        <f aca="false">L1577+M1577</f>
        <v>2.29</v>
      </c>
      <c r="U1577" s="60" t="n">
        <f aca="false">S1577+J1577</f>
        <v>23.17</v>
      </c>
      <c r="V1577" s="63" t="n">
        <f aca="false">IFERROR(S1577/F1577,0)</f>
        <v>0.245548961424332</v>
      </c>
      <c r="W1577" s="63" t="n">
        <f aca="false">IFERROR(R1577/F1577,0)</f>
        <v>0.754451038575668</v>
      </c>
      <c r="X1577" s="63" t="n">
        <f aca="false">IFERROR(T1577/F1577,0)</f>
        <v>0.0242687579482832</v>
      </c>
      <c r="Y1577" s="63" t="n">
        <f aca="false">IFERROR(G1577/F1577,0)</f>
        <v>0.496502755404833</v>
      </c>
      <c r="Z1577" s="59" t="n">
        <f aca="false">IF(E1577&gt;0,F1577*1000000000/E1577,"")</f>
        <v>872.736493484799</v>
      </c>
      <c r="AA1577" s="63" t="n">
        <f aca="false">IFERROR((R1577+S1577+J1577)/F1577,0)</f>
        <v>1</v>
      </c>
      <c r="AB1577" s="0" t="str">
        <f aca="false">A1577&amp;"|"&amp;D1577</f>
        <v>Philippines|2017</v>
      </c>
    </row>
    <row r="1578" customFormat="false" ht="15" hidden="false" customHeight="false" outlineLevel="0" collapsed="false">
      <c r="A1578" s="0" t="s">
        <v>331</v>
      </c>
      <c r="B1578" s="0" t="s">
        <v>570</v>
      </c>
      <c r="C1578" s="0" t="s">
        <v>127</v>
      </c>
      <c r="D1578" s="0" t="n">
        <v>2018</v>
      </c>
      <c r="E1578" s="59" t="n">
        <v>109465284</v>
      </c>
      <c r="F1578" s="60" t="n">
        <v>99.74</v>
      </c>
      <c r="G1578" s="61" t="n">
        <v>51.93</v>
      </c>
      <c r="H1578" s="61" t="n">
        <v>21.33</v>
      </c>
      <c r="I1578" s="61" t="n">
        <v>3.17</v>
      </c>
      <c r="J1578" s="61" t="n">
        <v>0</v>
      </c>
      <c r="K1578" s="61" t="n">
        <v>9.38</v>
      </c>
      <c r="L1578" s="61" t="n">
        <v>1.25</v>
      </c>
      <c r="M1578" s="61" t="n">
        <v>1.15</v>
      </c>
      <c r="N1578" s="61" t="n">
        <v>1.09</v>
      </c>
      <c r="O1578" s="61" t="n">
        <v>10.44</v>
      </c>
      <c r="P1578" s="62" t="n">
        <v>572.4</v>
      </c>
      <c r="Q1578" s="0" t="n">
        <v>0</v>
      </c>
      <c r="R1578" s="60" t="n">
        <f aca="false">G1578+H1578+I1578</f>
        <v>76.43</v>
      </c>
      <c r="S1578" s="60" t="n">
        <f aca="false">K1578+L1578+M1578+N1578+O1578</f>
        <v>23.31</v>
      </c>
      <c r="T1578" s="60" t="n">
        <f aca="false">L1578+M1578</f>
        <v>2.4</v>
      </c>
      <c r="U1578" s="60" t="n">
        <f aca="false">S1578+J1578</f>
        <v>23.31</v>
      </c>
      <c r="V1578" s="63" t="n">
        <f aca="false">IFERROR(S1578/F1578,0)</f>
        <v>0.233707639863646</v>
      </c>
      <c r="W1578" s="63" t="n">
        <f aca="false">IFERROR(R1578/F1578,0)</f>
        <v>0.766292360136355</v>
      </c>
      <c r="X1578" s="63" t="n">
        <f aca="false">IFERROR(T1578/F1578,0)</f>
        <v>0.0240625626629236</v>
      </c>
      <c r="Y1578" s="63" t="n">
        <f aca="false">IFERROR(G1578/F1578,0)</f>
        <v>0.520653699619009</v>
      </c>
      <c r="Z1578" s="59" t="n">
        <f aca="false">IF(E1578&gt;0,F1578*1000000000/E1578,"")</f>
        <v>911.156453949364</v>
      </c>
      <c r="AA1578" s="63" t="n">
        <f aca="false">IFERROR((R1578+S1578+J1578)/F1578,0)</f>
        <v>1</v>
      </c>
      <c r="AB1578" s="0" t="str">
        <f aca="false">A1578&amp;"|"&amp;D1578</f>
        <v>Philippines|2018</v>
      </c>
    </row>
    <row r="1579" customFormat="false" ht="15" hidden="false" customHeight="false" outlineLevel="0" collapsed="false">
      <c r="A1579" s="0" t="s">
        <v>331</v>
      </c>
      <c r="B1579" s="0" t="s">
        <v>570</v>
      </c>
      <c r="C1579" s="0" t="s">
        <v>127</v>
      </c>
      <c r="D1579" s="0" t="n">
        <v>2019</v>
      </c>
      <c r="E1579" s="59" t="n">
        <v>110804685</v>
      </c>
      <c r="F1579" s="60" t="n">
        <v>106.03</v>
      </c>
      <c r="G1579" s="61" t="n">
        <v>57.89</v>
      </c>
      <c r="H1579" s="61" t="n">
        <v>22.35</v>
      </c>
      <c r="I1579" s="61" t="n">
        <v>3.75</v>
      </c>
      <c r="J1579" s="61" t="n">
        <v>0</v>
      </c>
      <c r="K1579" s="61" t="n">
        <v>8.03</v>
      </c>
      <c r="L1579" s="61" t="n">
        <v>1.25</v>
      </c>
      <c r="M1579" s="61" t="n">
        <v>1.04</v>
      </c>
      <c r="N1579" s="61" t="n">
        <v>1.03</v>
      </c>
      <c r="O1579" s="61" t="n">
        <v>10.69</v>
      </c>
      <c r="P1579" s="62" t="n">
        <v>592.7</v>
      </c>
      <c r="Q1579" s="0" t="n">
        <v>0</v>
      </c>
      <c r="R1579" s="60" t="n">
        <f aca="false">G1579+H1579+I1579</f>
        <v>83.99</v>
      </c>
      <c r="S1579" s="60" t="n">
        <f aca="false">K1579+L1579+M1579+N1579+O1579</f>
        <v>22.04</v>
      </c>
      <c r="T1579" s="60" t="n">
        <f aca="false">L1579+M1579</f>
        <v>2.29</v>
      </c>
      <c r="U1579" s="60" t="n">
        <f aca="false">S1579+J1579</f>
        <v>22.04</v>
      </c>
      <c r="V1579" s="63" t="n">
        <f aca="false">IFERROR(S1579/F1579,0)</f>
        <v>0.207865698387249</v>
      </c>
      <c r="W1579" s="63" t="n">
        <f aca="false">IFERROR(R1579/F1579,0)</f>
        <v>0.792134301612751</v>
      </c>
      <c r="X1579" s="63" t="n">
        <f aca="false">IFERROR(T1579/F1579,0)</f>
        <v>0.0215976610393285</v>
      </c>
      <c r="Y1579" s="63" t="n">
        <f aca="false">IFERROR(G1579/F1579,0)</f>
        <v>0.545977553522588</v>
      </c>
      <c r="Z1579" s="59" t="n">
        <f aca="false">IF(E1579&gt;0,F1579*1000000000/E1579,"")</f>
        <v>956.908997124084</v>
      </c>
      <c r="AA1579" s="63" t="n">
        <f aca="false">IFERROR((R1579+S1579+J1579)/F1579,0)</f>
        <v>1</v>
      </c>
      <c r="AB1579" s="0" t="str">
        <f aca="false">A1579&amp;"|"&amp;D1579</f>
        <v>Philippines|2019</v>
      </c>
    </row>
    <row r="1580" customFormat="false" ht="15" hidden="false" customHeight="false" outlineLevel="0" collapsed="false">
      <c r="A1580" s="0" t="s">
        <v>331</v>
      </c>
      <c r="B1580" s="0" t="s">
        <v>570</v>
      </c>
      <c r="C1580" s="0" t="s">
        <v>127</v>
      </c>
      <c r="D1580" s="0" t="n">
        <v>2020</v>
      </c>
      <c r="E1580" s="59" t="n">
        <v>112081270</v>
      </c>
      <c r="F1580" s="60" t="n">
        <v>101.75</v>
      </c>
      <c r="G1580" s="61" t="n">
        <v>58.18</v>
      </c>
      <c r="H1580" s="61" t="n">
        <v>19.5</v>
      </c>
      <c r="I1580" s="61" t="n">
        <v>2.47</v>
      </c>
      <c r="J1580" s="61" t="n">
        <v>0</v>
      </c>
      <c r="K1580" s="61" t="n">
        <v>7.19</v>
      </c>
      <c r="L1580" s="61" t="n">
        <v>1.37</v>
      </c>
      <c r="M1580" s="61" t="n">
        <v>1.03</v>
      </c>
      <c r="N1580" s="61" t="n">
        <v>1.25</v>
      </c>
      <c r="O1580" s="61" t="n">
        <v>10.76</v>
      </c>
      <c r="P1580" s="62" t="n">
        <v>598.8</v>
      </c>
      <c r="Q1580" s="0" t="n">
        <v>0</v>
      </c>
      <c r="R1580" s="60" t="n">
        <f aca="false">G1580+H1580+I1580</f>
        <v>80.15</v>
      </c>
      <c r="S1580" s="60" t="n">
        <f aca="false">K1580+L1580+M1580+N1580+O1580</f>
        <v>21.6</v>
      </c>
      <c r="T1580" s="60" t="n">
        <f aca="false">L1580+M1580</f>
        <v>2.4</v>
      </c>
      <c r="U1580" s="60" t="n">
        <f aca="false">S1580+J1580</f>
        <v>21.6</v>
      </c>
      <c r="V1580" s="63" t="n">
        <f aca="false">IFERROR(S1580/F1580,0)</f>
        <v>0.212285012285012</v>
      </c>
      <c r="W1580" s="63" t="n">
        <f aca="false">IFERROR(R1580/F1580,0)</f>
        <v>0.787714987714988</v>
      </c>
      <c r="X1580" s="63" t="n">
        <f aca="false">IFERROR(T1580/F1580,0)</f>
        <v>0.0235872235872236</v>
      </c>
      <c r="Y1580" s="63" t="n">
        <f aca="false">IFERROR(G1580/F1580,0)</f>
        <v>0.571793611793612</v>
      </c>
      <c r="Z1580" s="59" t="n">
        <f aca="false">IF(E1580&gt;0,F1580*1000000000/E1580,"")</f>
        <v>907.823403499978</v>
      </c>
      <c r="AA1580" s="63" t="n">
        <f aca="false">IFERROR((R1580+S1580+J1580)/F1580,0)</f>
        <v>1</v>
      </c>
      <c r="AB1580" s="0" t="str">
        <f aca="false">A1580&amp;"|"&amp;D1580</f>
        <v>Philippines|2020</v>
      </c>
    </row>
    <row r="1581" customFormat="false" ht="15" hidden="false" customHeight="false" outlineLevel="0" collapsed="false">
      <c r="A1581" s="0" t="s">
        <v>331</v>
      </c>
      <c r="B1581" s="0" t="s">
        <v>570</v>
      </c>
      <c r="C1581" s="0" t="s">
        <v>127</v>
      </c>
      <c r="D1581" s="0" t="n">
        <v>2021</v>
      </c>
      <c r="E1581" s="59" t="n">
        <v>113100947</v>
      </c>
      <c r="F1581" s="60" t="n">
        <v>105.76</v>
      </c>
      <c r="G1581" s="61" t="n">
        <v>62.05</v>
      </c>
      <c r="H1581" s="61" t="n">
        <v>18.68</v>
      </c>
      <c r="I1581" s="61" t="n">
        <v>1.62</v>
      </c>
      <c r="J1581" s="61" t="n">
        <v>0</v>
      </c>
      <c r="K1581" s="61" t="n">
        <v>9.19</v>
      </c>
      <c r="L1581" s="61" t="n">
        <v>1.47</v>
      </c>
      <c r="M1581" s="61" t="n">
        <v>1.28</v>
      </c>
      <c r="N1581" s="61" t="n">
        <v>1.45</v>
      </c>
      <c r="O1581" s="61" t="n">
        <v>10.02</v>
      </c>
      <c r="P1581" s="62" t="n">
        <v>599.6</v>
      </c>
      <c r="Q1581" s="0" t="n">
        <v>0</v>
      </c>
      <c r="R1581" s="60" t="n">
        <f aca="false">G1581+H1581+I1581</f>
        <v>82.35</v>
      </c>
      <c r="S1581" s="60" t="n">
        <f aca="false">K1581+L1581+M1581+N1581+O1581</f>
        <v>23.41</v>
      </c>
      <c r="T1581" s="60" t="n">
        <f aca="false">L1581+M1581</f>
        <v>2.75</v>
      </c>
      <c r="U1581" s="60" t="n">
        <f aca="false">S1581+J1581</f>
        <v>23.41</v>
      </c>
      <c r="V1581" s="63" t="n">
        <f aca="false">IFERROR(S1581/F1581,0)</f>
        <v>0.221350226928896</v>
      </c>
      <c r="W1581" s="63" t="n">
        <f aca="false">IFERROR(R1581/F1581,0)</f>
        <v>0.778649773071104</v>
      </c>
      <c r="X1581" s="63" t="n">
        <f aca="false">IFERROR(T1581/F1581,0)</f>
        <v>0.0260022692889561</v>
      </c>
      <c r="Y1581" s="63" t="n">
        <f aca="false">IFERROR(G1581/F1581,0)</f>
        <v>0.586705748865355</v>
      </c>
      <c r="Z1581" s="59" t="n">
        <f aca="false">IF(E1581&gt;0,F1581*1000000000/E1581,"")</f>
        <v>935.093850275188</v>
      </c>
      <c r="AA1581" s="63" t="n">
        <f aca="false">IFERROR((R1581+S1581+J1581)/F1581,0)</f>
        <v>1</v>
      </c>
      <c r="AB1581" s="0" t="str">
        <f aca="false">A1581&amp;"|"&amp;D1581</f>
        <v>Philippines|2021</v>
      </c>
    </row>
    <row r="1582" customFormat="false" ht="15" hidden="false" customHeight="false" outlineLevel="0" collapsed="false">
      <c r="A1582" s="0" t="s">
        <v>331</v>
      </c>
      <c r="B1582" s="0" t="s">
        <v>570</v>
      </c>
      <c r="C1582" s="0" t="s">
        <v>127</v>
      </c>
      <c r="D1582" s="0" t="n">
        <v>2022</v>
      </c>
      <c r="E1582" s="59" t="n">
        <v>113964343</v>
      </c>
      <c r="F1582" s="60" t="n">
        <v>111.55</v>
      </c>
      <c r="G1582" s="61" t="n">
        <v>66.43</v>
      </c>
      <c r="H1582" s="61" t="n">
        <v>17.88</v>
      </c>
      <c r="I1582" s="61" t="n">
        <v>2.52</v>
      </c>
      <c r="J1582" s="61" t="n">
        <v>0</v>
      </c>
      <c r="K1582" s="61" t="n">
        <v>10.09</v>
      </c>
      <c r="L1582" s="61" t="n">
        <v>1.82</v>
      </c>
      <c r="M1582" s="61" t="n">
        <v>1.06</v>
      </c>
      <c r="N1582" s="61" t="n">
        <v>1.32</v>
      </c>
      <c r="O1582" s="61" t="n">
        <v>10.43</v>
      </c>
      <c r="P1582" s="62" t="n">
        <v>602.5</v>
      </c>
      <c r="Q1582" s="0" t="n">
        <v>0</v>
      </c>
      <c r="R1582" s="60" t="n">
        <f aca="false">G1582+H1582+I1582</f>
        <v>86.83</v>
      </c>
      <c r="S1582" s="60" t="n">
        <f aca="false">K1582+L1582+M1582+N1582+O1582</f>
        <v>24.72</v>
      </c>
      <c r="T1582" s="60" t="n">
        <f aca="false">L1582+M1582</f>
        <v>2.88</v>
      </c>
      <c r="U1582" s="60" t="n">
        <f aca="false">S1582+J1582</f>
        <v>24.72</v>
      </c>
      <c r="V1582" s="63" t="n">
        <f aca="false">IFERROR(S1582/F1582,0)</f>
        <v>0.221604661586732</v>
      </c>
      <c r="W1582" s="63" t="n">
        <f aca="false">IFERROR(R1582/F1582,0)</f>
        <v>0.778395338413268</v>
      </c>
      <c r="X1582" s="63" t="n">
        <f aca="false">IFERROR(T1582/F1582,0)</f>
        <v>0.0258180188256387</v>
      </c>
      <c r="Y1582" s="63" t="n">
        <f aca="false">IFERROR(G1582/F1582,0)</f>
        <v>0.595517705064993</v>
      </c>
      <c r="Z1582" s="59" t="n">
        <f aca="false">IF(E1582&gt;0,F1582*1000000000/E1582,"")</f>
        <v>978.814926349376</v>
      </c>
      <c r="AA1582" s="63" t="n">
        <f aca="false">IFERROR((R1582+S1582+J1582)/F1582,0)</f>
        <v>1</v>
      </c>
      <c r="AB1582" s="0" t="str">
        <f aca="false">A1582&amp;"|"&amp;D1582</f>
        <v>Philippines|2022</v>
      </c>
    </row>
    <row r="1583" customFormat="false" ht="15" hidden="false" customHeight="false" outlineLevel="0" collapsed="false">
      <c r="A1583" s="0" t="s">
        <v>331</v>
      </c>
      <c r="B1583" s="0" t="s">
        <v>570</v>
      </c>
      <c r="C1583" s="0" t="s">
        <v>127</v>
      </c>
      <c r="D1583" s="0" t="n">
        <v>2023</v>
      </c>
      <c r="E1583" s="59" t="n">
        <v>114891199</v>
      </c>
      <c r="F1583" s="60" t="n">
        <v>116.73</v>
      </c>
      <c r="G1583" s="61" t="n">
        <v>73.75</v>
      </c>
      <c r="H1583" s="61" t="n">
        <v>16.67</v>
      </c>
      <c r="I1583" s="61" t="n">
        <v>1.3</v>
      </c>
      <c r="J1583" s="61" t="n">
        <v>0</v>
      </c>
      <c r="K1583" s="61" t="n">
        <v>10.09</v>
      </c>
      <c r="L1583" s="61" t="n">
        <v>1.82</v>
      </c>
      <c r="M1583" s="61" t="n">
        <v>1.35</v>
      </c>
      <c r="N1583" s="61" t="n">
        <v>1.32</v>
      </c>
      <c r="O1583" s="61" t="n">
        <v>10.43</v>
      </c>
      <c r="P1583" s="62" t="n">
        <v>616.1</v>
      </c>
      <c r="Q1583" s="0" t="n">
        <v>0</v>
      </c>
      <c r="R1583" s="60" t="n">
        <f aca="false">G1583+H1583+I1583</f>
        <v>91.72</v>
      </c>
      <c r="S1583" s="60" t="n">
        <f aca="false">K1583+L1583+M1583+N1583+O1583</f>
        <v>25.01</v>
      </c>
      <c r="T1583" s="60" t="n">
        <f aca="false">L1583+M1583</f>
        <v>3.17</v>
      </c>
      <c r="U1583" s="60" t="n">
        <f aca="false">S1583+J1583</f>
        <v>25.01</v>
      </c>
      <c r="V1583" s="63" t="n">
        <f aca="false">IFERROR(S1583/F1583,0)</f>
        <v>0.214255118649876</v>
      </c>
      <c r="W1583" s="63" t="n">
        <f aca="false">IFERROR(R1583/F1583,0)</f>
        <v>0.785744881350124</v>
      </c>
      <c r="X1583" s="63" t="n">
        <f aca="false">IFERROR(T1583/F1583,0)</f>
        <v>0.0271566863702561</v>
      </c>
      <c r="Y1583" s="63" t="n">
        <f aca="false">IFERROR(G1583/F1583,0)</f>
        <v>0.631799880065108</v>
      </c>
      <c r="Z1583" s="59" t="n">
        <f aca="false">IF(E1583&gt;0,F1583*1000000000/E1583,"")</f>
        <v>1016.00471590518</v>
      </c>
      <c r="AA1583" s="63" t="n">
        <f aca="false">IFERROR((R1583+S1583+J1583)/F1583,0)</f>
        <v>1</v>
      </c>
      <c r="AB1583" s="0" t="str">
        <f aca="false">A1583&amp;"|"&amp;D1583</f>
        <v>Philippines|2023</v>
      </c>
    </row>
    <row r="1584" customFormat="false" ht="15" hidden="false" customHeight="false" outlineLevel="0" collapsed="false">
      <c r="A1584" s="0" t="s">
        <v>331</v>
      </c>
      <c r="B1584" s="0" t="s">
        <v>570</v>
      </c>
      <c r="C1584" s="0" t="s">
        <v>127</v>
      </c>
      <c r="D1584" s="0" t="n">
        <v>2024</v>
      </c>
      <c r="E1584" s="59" t="n">
        <v>115843663</v>
      </c>
      <c r="F1584" s="60" t="n">
        <v>124.17</v>
      </c>
      <c r="G1584" s="61" t="n">
        <v>79.36</v>
      </c>
      <c r="H1584" s="61" t="n">
        <v>18.05</v>
      </c>
      <c r="I1584" s="61" t="n">
        <v>1.34</v>
      </c>
      <c r="J1584" s="61" t="n">
        <v>0</v>
      </c>
      <c r="K1584" s="61" t="n">
        <v>10.09</v>
      </c>
      <c r="L1584" s="61" t="n">
        <v>2.08</v>
      </c>
      <c r="M1584" s="61" t="n">
        <v>1.5</v>
      </c>
      <c r="N1584" s="61" t="n">
        <v>1.32</v>
      </c>
      <c r="O1584" s="61" t="n">
        <v>10.43</v>
      </c>
      <c r="P1584" s="62" t="n">
        <v>621.7</v>
      </c>
      <c r="Q1584" s="0" t="n">
        <v>0</v>
      </c>
      <c r="R1584" s="60" t="n">
        <f aca="false">G1584+H1584+I1584</f>
        <v>98.75</v>
      </c>
      <c r="S1584" s="60" t="n">
        <f aca="false">K1584+L1584+M1584+N1584+O1584</f>
        <v>25.42</v>
      </c>
      <c r="T1584" s="60" t="n">
        <f aca="false">L1584+M1584</f>
        <v>3.58</v>
      </c>
      <c r="U1584" s="60" t="n">
        <f aca="false">S1584+J1584</f>
        <v>25.42</v>
      </c>
      <c r="V1584" s="63" t="n">
        <f aca="false">IFERROR(S1584/F1584,0)</f>
        <v>0.204719336393654</v>
      </c>
      <c r="W1584" s="63" t="n">
        <f aca="false">IFERROR(R1584/F1584,0)</f>
        <v>0.795280663606346</v>
      </c>
      <c r="X1584" s="63" t="n">
        <f aca="false">IFERROR(T1584/F1584,0)</f>
        <v>0.0288314407666908</v>
      </c>
      <c r="Y1584" s="63" t="n">
        <f aca="false">IFERROR(G1584/F1584,0)</f>
        <v>0.639123781911895</v>
      </c>
      <c r="Z1584" s="59" t="n">
        <f aca="false">IF(E1584&gt;0,F1584*1000000000/E1584,"")</f>
        <v>1071.87563639109</v>
      </c>
      <c r="AA1584" s="63" t="n">
        <f aca="false">IFERROR((R1584+S1584+J1584)/F1584,0)</f>
        <v>1</v>
      </c>
      <c r="AB1584" s="0" t="str">
        <f aca="false">A1584&amp;"|"&amp;D1584</f>
        <v>Philippines|2024</v>
      </c>
    </row>
    <row r="1585" customFormat="false" ht="15" hidden="false" customHeight="false" outlineLevel="0" collapsed="false">
      <c r="A1585" s="0" t="s">
        <v>331</v>
      </c>
      <c r="B1585" s="0" t="s">
        <v>570</v>
      </c>
      <c r="C1585" s="0" t="s">
        <v>127</v>
      </c>
      <c r="D1585" s="0" t="n">
        <v>2025</v>
      </c>
      <c r="E1585" s="59" t="n">
        <v>116786960</v>
      </c>
      <c r="F1585" s="60" t="n">
        <v>123.12</v>
      </c>
      <c r="G1585" s="61" t="n">
        <v>72.23</v>
      </c>
      <c r="H1585" s="61" t="n">
        <v>21.25</v>
      </c>
      <c r="I1585" s="61" t="n">
        <v>0.94</v>
      </c>
      <c r="J1585" s="61" t="n">
        <v>0</v>
      </c>
      <c r="K1585" s="61" t="n">
        <v>12.7</v>
      </c>
      <c r="L1585" s="61" t="n">
        <v>3</v>
      </c>
      <c r="M1585" s="61" t="n">
        <v>1.46</v>
      </c>
      <c r="N1585" s="61" t="n">
        <v>1.45</v>
      </c>
      <c r="O1585" s="61" t="n">
        <v>10.09</v>
      </c>
      <c r="P1585" s="62" t="n">
        <v>588.3</v>
      </c>
      <c r="Q1585" s="0" t="n">
        <v>0</v>
      </c>
      <c r="R1585" s="60" t="n">
        <f aca="false">G1585+H1585+I1585</f>
        <v>94.42</v>
      </c>
      <c r="S1585" s="60" t="n">
        <f aca="false">K1585+L1585+M1585+N1585+O1585</f>
        <v>28.7</v>
      </c>
      <c r="T1585" s="60" t="n">
        <f aca="false">L1585+M1585</f>
        <v>4.46</v>
      </c>
      <c r="U1585" s="60" t="n">
        <f aca="false">S1585+J1585</f>
        <v>28.7</v>
      </c>
      <c r="V1585" s="63" t="n">
        <f aca="false">IFERROR(S1585/F1585,0)</f>
        <v>0.233105912930474</v>
      </c>
      <c r="W1585" s="63" t="n">
        <f aca="false">IFERROR(R1585/F1585,0)</f>
        <v>0.766894087069526</v>
      </c>
      <c r="X1585" s="63" t="n">
        <f aca="false">IFERROR(T1585/F1585,0)</f>
        <v>0.0362248213125406</v>
      </c>
      <c r="Y1585" s="63" t="n">
        <f aca="false">IFERROR(G1585/F1585,0)</f>
        <v>0.586663417803769</v>
      </c>
      <c r="Z1585" s="59" t="n">
        <f aca="false">IF(E1585&gt;0,F1585*1000000000/E1585,"")</f>
        <v>1054.22728701903</v>
      </c>
      <c r="AA1585" s="63" t="n">
        <f aca="false">IFERROR((R1585+S1585+J1585)/F1585,0)</f>
        <v>1</v>
      </c>
      <c r="AB1585" s="0" t="str">
        <f aca="false">A1585&amp;"|"&amp;D1585</f>
        <v>Philippines|2025</v>
      </c>
    </row>
    <row r="1586" customFormat="false" ht="15" hidden="false" customHeight="false" outlineLevel="0" collapsed="false">
      <c r="A1586" s="0" t="s">
        <v>332</v>
      </c>
      <c r="B1586" s="0" t="s">
        <v>571</v>
      </c>
      <c r="C1586" s="0" t="s">
        <v>127</v>
      </c>
      <c r="D1586" s="0" t="n">
        <v>2015</v>
      </c>
      <c r="E1586" s="59" t="n">
        <v>38266314</v>
      </c>
      <c r="F1586" s="60" t="n">
        <v>164.3</v>
      </c>
      <c r="G1586" s="61" t="n">
        <v>130.52</v>
      </c>
      <c r="H1586" s="61" t="n">
        <v>6.39</v>
      </c>
      <c r="I1586" s="61" t="n">
        <v>4.7</v>
      </c>
      <c r="J1586" s="61" t="n">
        <v>0</v>
      </c>
      <c r="K1586" s="61" t="n">
        <v>1.83</v>
      </c>
      <c r="L1586" s="61" t="n">
        <v>0.06</v>
      </c>
      <c r="M1586" s="61" t="n">
        <v>10.86</v>
      </c>
      <c r="N1586" s="61" t="n">
        <v>9.94</v>
      </c>
      <c r="O1586" s="61" t="n">
        <v>0</v>
      </c>
      <c r="P1586" s="62" t="n">
        <v>826.1</v>
      </c>
      <c r="Q1586" s="0" t="n">
        <v>0</v>
      </c>
      <c r="R1586" s="60" t="n">
        <f aca="false">G1586+H1586+I1586</f>
        <v>141.61</v>
      </c>
      <c r="S1586" s="60" t="n">
        <f aca="false">K1586+L1586+M1586+N1586+O1586</f>
        <v>22.69</v>
      </c>
      <c r="T1586" s="60" t="n">
        <f aca="false">L1586+M1586</f>
        <v>10.92</v>
      </c>
      <c r="U1586" s="60" t="n">
        <f aca="false">S1586+J1586</f>
        <v>22.69</v>
      </c>
      <c r="V1586" s="63" t="n">
        <f aca="false">IFERROR(S1586/F1586,0)</f>
        <v>0.138101034692635</v>
      </c>
      <c r="W1586" s="63" t="n">
        <f aca="false">IFERROR(R1586/F1586,0)</f>
        <v>0.861898965307364</v>
      </c>
      <c r="X1586" s="63" t="n">
        <f aca="false">IFERROR(T1586/F1586,0)</f>
        <v>0.0664637857577602</v>
      </c>
      <c r="Y1586" s="63" t="n">
        <f aca="false">IFERROR(G1586/F1586,0)</f>
        <v>0.794400486914181</v>
      </c>
      <c r="Z1586" s="59" t="n">
        <f aca="false">IF(E1586&gt;0,F1586*1000000000/E1586,"")</f>
        <v>4293.59357684673</v>
      </c>
      <c r="AA1586" s="63" t="n">
        <f aca="false">IFERROR((R1586+S1586+J1586)/F1586,0)</f>
        <v>1</v>
      </c>
      <c r="AB1586" s="0" t="str">
        <f aca="false">A1586&amp;"|"&amp;D1586</f>
        <v>Poland|2015</v>
      </c>
    </row>
    <row r="1587" customFormat="false" ht="15" hidden="false" customHeight="false" outlineLevel="0" collapsed="false">
      <c r="A1587" s="0" t="s">
        <v>332</v>
      </c>
      <c r="B1587" s="0" t="s">
        <v>571</v>
      </c>
      <c r="C1587" s="0" t="s">
        <v>127</v>
      </c>
      <c r="D1587" s="0" t="n">
        <v>2016</v>
      </c>
      <c r="E1587" s="59" t="n">
        <v>38263260</v>
      </c>
      <c r="F1587" s="60" t="n">
        <v>166</v>
      </c>
      <c r="G1587" s="61" t="n">
        <v>130.32</v>
      </c>
      <c r="H1587" s="61" t="n">
        <v>7.83</v>
      </c>
      <c r="I1587" s="61" t="n">
        <v>5.04</v>
      </c>
      <c r="J1587" s="61" t="n">
        <v>0</v>
      </c>
      <c r="K1587" s="61" t="n">
        <v>2.14</v>
      </c>
      <c r="L1587" s="61" t="n">
        <v>0.12</v>
      </c>
      <c r="M1587" s="61" t="n">
        <v>12.59</v>
      </c>
      <c r="N1587" s="61" t="n">
        <v>7.96</v>
      </c>
      <c r="O1587" s="61" t="n">
        <v>0</v>
      </c>
      <c r="P1587" s="62" t="n">
        <v>818.5</v>
      </c>
      <c r="Q1587" s="0" t="n">
        <v>0</v>
      </c>
      <c r="R1587" s="60" t="n">
        <f aca="false">G1587+H1587+I1587</f>
        <v>143.19</v>
      </c>
      <c r="S1587" s="60" t="n">
        <f aca="false">K1587+L1587+M1587+N1587+O1587</f>
        <v>22.81</v>
      </c>
      <c r="T1587" s="60" t="n">
        <f aca="false">L1587+M1587</f>
        <v>12.71</v>
      </c>
      <c r="U1587" s="60" t="n">
        <f aca="false">S1587+J1587</f>
        <v>22.81</v>
      </c>
      <c r="V1587" s="63" t="n">
        <f aca="false">IFERROR(S1587/F1587,0)</f>
        <v>0.137409638554217</v>
      </c>
      <c r="W1587" s="63" t="n">
        <f aca="false">IFERROR(R1587/F1587,0)</f>
        <v>0.862590361445783</v>
      </c>
      <c r="X1587" s="63" t="n">
        <f aca="false">IFERROR(T1587/F1587,0)</f>
        <v>0.076566265060241</v>
      </c>
      <c r="Y1587" s="63" t="n">
        <f aca="false">IFERROR(G1587/F1587,0)</f>
        <v>0.785060240963855</v>
      </c>
      <c r="Z1587" s="59" t="n">
        <f aca="false">IF(E1587&gt;0,F1587*1000000000/E1587,"")</f>
        <v>4338.36531440343</v>
      </c>
      <c r="AA1587" s="63" t="n">
        <f aca="false">IFERROR((R1587+S1587+J1587)/F1587,0)</f>
        <v>1</v>
      </c>
      <c r="AB1587" s="0" t="str">
        <f aca="false">A1587&amp;"|"&amp;D1587</f>
        <v>Poland|2016</v>
      </c>
    </row>
    <row r="1588" customFormat="false" ht="15" hidden="false" customHeight="false" outlineLevel="0" collapsed="false">
      <c r="A1588" s="0" t="s">
        <v>332</v>
      </c>
      <c r="B1588" s="0" t="s">
        <v>571</v>
      </c>
      <c r="C1588" s="0" t="s">
        <v>127</v>
      </c>
      <c r="D1588" s="0" t="n">
        <v>2017</v>
      </c>
      <c r="E1588" s="59" t="n">
        <v>38254964</v>
      </c>
      <c r="F1588" s="60" t="n">
        <v>169.91</v>
      </c>
      <c r="G1588" s="61" t="n">
        <v>131.16</v>
      </c>
      <c r="H1588" s="61" t="n">
        <v>10.03</v>
      </c>
      <c r="I1588" s="61" t="n">
        <v>4.59</v>
      </c>
      <c r="J1588" s="61" t="n">
        <v>0</v>
      </c>
      <c r="K1588" s="61" t="n">
        <v>2.56</v>
      </c>
      <c r="L1588" s="61" t="n">
        <v>0.17</v>
      </c>
      <c r="M1588" s="61" t="n">
        <v>14.91</v>
      </c>
      <c r="N1588" s="61" t="n">
        <v>6.49</v>
      </c>
      <c r="O1588" s="61" t="n">
        <v>0</v>
      </c>
      <c r="P1588" s="62" t="n">
        <v>805.5</v>
      </c>
      <c r="Q1588" s="0" t="n">
        <v>0</v>
      </c>
      <c r="R1588" s="60" t="n">
        <f aca="false">G1588+H1588+I1588</f>
        <v>145.78</v>
      </c>
      <c r="S1588" s="60" t="n">
        <f aca="false">K1588+L1588+M1588+N1588+O1588</f>
        <v>24.13</v>
      </c>
      <c r="T1588" s="60" t="n">
        <f aca="false">L1588+M1588</f>
        <v>15.08</v>
      </c>
      <c r="U1588" s="60" t="n">
        <f aca="false">S1588+J1588</f>
        <v>24.13</v>
      </c>
      <c r="V1588" s="63" t="n">
        <f aca="false">IFERROR(S1588/F1588,0)</f>
        <v>0.142016361603202</v>
      </c>
      <c r="W1588" s="63" t="n">
        <f aca="false">IFERROR(R1588/F1588,0)</f>
        <v>0.857983638396798</v>
      </c>
      <c r="X1588" s="63" t="n">
        <f aca="false">IFERROR(T1588/F1588,0)</f>
        <v>0.0887528691660291</v>
      </c>
      <c r="Y1588" s="63" t="n">
        <f aca="false">IFERROR(G1588/F1588,0)</f>
        <v>0.77193808486846</v>
      </c>
      <c r="Z1588" s="59" t="n">
        <f aca="false">IF(E1588&gt;0,F1588*1000000000/E1588,"")</f>
        <v>4441.5150933092</v>
      </c>
      <c r="AA1588" s="63" t="n">
        <f aca="false">IFERROR((R1588+S1588+J1588)/F1588,0)</f>
        <v>1</v>
      </c>
      <c r="AB1588" s="0" t="str">
        <f aca="false">A1588&amp;"|"&amp;D1588</f>
        <v>Poland|2017</v>
      </c>
    </row>
    <row r="1589" customFormat="false" ht="15" hidden="false" customHeight="false" outlineLevel="0" collapsed="false">
      <c r="A1589" s="0" t="s">
        <v>332</v>
      </c>
      <c r="B1589" s="0" t="s">
        <v>571</v>
      </c>
      <c r="C1589" s="0" t="s">
        <v>127</v>
      </c>
      <c r="D1589" s="0" t="n">
        <v>2018</v>
      </c>
      <c r="E1589" s="59" t="n">
        <v>38241070</v>
      </c>
      <c r="F1589" s="60" t="n">
        <v>169.43</v>
      </c>
      <c r="G1589" s="61" t="n">
        <v>130.56</v>
      </c>
      <c r="H1589" s="61" t="n">
        <v>12.63</v>
      </c>
      <c r="I1589" s="61" t="n">
        <v>4.62</v>
      </c>
      <c r="J1589" s="61" t="n">
        <v>0</v>
      </c>
      <c r="K1589" s="61" t="n">
        <v>1.97</v>
      </c>
      <c r="L1589" s="61" t="n">
        <v>0.3</v>
      </c>
      <c r="M1589" s="61" t="n">
        <v>12.8</v>
      </c>
      <c r="N1589" s="61" t="n">
        <v>6.55</v>
      </c>
      <c r="O1589" s="61" t="n">
        <v>0</v>
      </c>
      <c r="P1589" s="62" t="n">
        <v>809</v>
      </c>
      <c r="Q1589" s="0" t="n">
        <v>0</v>
      </c>
      <c r="R1589" s="60" t="n">
        <f aca="false">G1589+H1589+I1589</f>
        <v>147.81</v>
      </c>
      <c r="S1589" s="60" t="n">
        <f aca="false">K1589+L1589+M1589+N1589+O1589</f>
        <v>21.62</v>
      </c>
      <c r="T1589" s="60" t="n">
        <f aca="false">L1589+M1589</f>
        <v>13.1</v>
      </c>
      <c r="U1589" s="60" t="n">
        <f aca="false">S1589+J1589</f>
        <v>21.62</v>
      </c>
      <c r="V1589" s="63" t="n">
        <f aca="false">IFERROR(S1589/F1589,0)</f>
        <v>0.127604320368294</v>
      </c>
      <c r="W1589" s="63" t="n">
        <f aca="false">IFERROR(R1589/F1589,0)</f>
        <v>0.872395679631706</v>
      </c>
      <c r="X1589" s="63" t="n">
        <f aca="false">IFERROR(T1589/F1589,0)</f>
        <v>0.0773180664581243</v>
      </c>
      <c r="Y1589" s="63" t="n">
        <f aca="false">IFERROR(G1589/F1589,0)</f>
        <v>0.770583721891046</v>
      </c>
      <c r="Z1589" s="59" t="n">
        <f aca="false">IF(E1589&gt;0,F1589*1000000000/E1589,"")</f>
        <v>4430.57686408879</v>
      </c>
      <c r="AA1589" s="63" t="n">
        <f aca="false">IFERROR((R1589+S1589+J1589)/F1589,0)</f>
        <v>1</v>
      </c>
      <c r="AB1589" s="0" t="str">
        <f aca="false">A1589&amp;"|"&amp;D1589</f>
        <v>Poland|2018</v>
      </c>
    </row>
    <row r="1590" customFormat="false" ht="15" hidden="false" customHeight="false" outlineLevel="0" collapsed="false">
      <c r="A1590" s="0" t="s">
        <v>332</v>
      </c>
      <c r="B1590" s="0" t="s">
        <v>571</v>
      </c>
      <c r="C1590" s="0" t="s">
        <v>127</v>
      </c>
      <c r="D1590" s="0" t="n">
        <v>2019</v>
      </c>
      <c r="E1590" s="59" t="n">
        <v>38225884</v>
      </c>
      <c r="F1590" s="60" t="n">
        <v>163.22</v>
      </c>
      <c r="G1590" s="61" t="n">
        <v>118.14</v>
      </c>
      <c r="H1590" s="61" t="n">
        <v>14.8</v>
      </c>
      <c r="I1590" s="61" t="n">
        <v>4.82</v>
      </c>
      <c r="J1590" s="61" t="n">
        <v>0</v>
      </c>
      <c r="K1590" s="61" t="n">
        <v>1.96</v>
      </c>
      <c r="L1590" s="61" t="n">
        <v>0.71</v>
      </c>
      <c r="M1590" s="61" t="n">
        <v>15.11</v>
      </c>
      <c r="N1590" s="61" t="n">
        <v>7.68</v>
      </c>
      <c r="O1590" s="61" t="n">
        <v>0</v>
      </c>
      <c r="P1590" s="62" t="n">
        <v>771.7</v>
      </c>
      <c r="Q1590" s="0" t="n">
        <v>0</v>
      </c>
      <c r="R1590" s="60" t="n">
        <f aca="false">G1590+H1590+I1590</f>
        <v>137.76</v>
      </c>
      <c r="S1590" s="60" t="n">
        <f aca="false">K1590+L1590+M1590+N1590+O1590</f>
        <v>25.46</v>
      </c>
      <c r="T1590" s="60" t="n">
        <f aca="false">L1590+M1590</f>
        <v>15.82</v>
      </c>
      <c r="U1590" s="60" t="n">
        <f aca="false">S1590+J1590</f>
        <v>25.46</v>
      </c>
      <c r="V1590" s="63" t="n">
        <f aca="false">IFERROR(S1590/F1590,0)</f>
        <v>0.15598578605563</v>
      </c>
      <c r="W1590" s="63" t="n">
        <f aca="false">IFERROR(R1590/F1590,0)</f>
        <v>0.84401421394437</v>
      </c>
      <c r="X1590" s="63" t="n">
        <f aca="false">IFERROR(T1590/F1590,0)</f>
        <v>0.0969243965200343</v>
      </c>
      <c r="Y1590" s="63" t="n">
        <f aca="false">IFERROR(G1590/F1590,0)</f>
        <v>0.723808356819017</v>
      </c>
      <c r="Z1590" s="59" t="n">
        <f aca="false">IF(E1590&gt;0,F1590*1000000000/E1590,"")</f>
        <v>4269.88163308401</v>
      </c>
      <c r="AA1590" s="63" t="n">
        <f aca="false">IFERROR((R1590+S1590+J1590)/F1590,0)</f>
        <v>1</v>
      </c>
      <c r="AB1590" s="0" t="str">
        <f aca="false">A1590&amp;"|"&amp;D1590</f>
        <v>Poland|2019</v>
      </c>
    </row>
    <row r="1591" customFormat="false" ht="15" hidden="false" customHeight="false" outlineLevel="0" collapsed="false">
      <c r="A1591" s="0" t="s">
        <v>332</v>
      </c>
      <c r="B1591" s="0" t="s">
        <v>571</v>
      </c>
      <c r="C1591" s="0" t="s">
        <v>127</v>
      </c>
      <c r="D1591" s="0" t="n">
        <v>2020</v>
      </c>
      <c r="E1591" s="59" t="n">
        <v>38171005</v>
      </c>
      <c r="F1591" s="60" t="n">
        <v>157.15</v>
      </c>
      <c r="G1591" s="61" t="n">
        <v>107.4</v>
      </c>
      <c r="H1591" s="61" t="n">
        <v>17.29</v>
      </c>
      <c r="I1591" s="61" t="n">
        <v>4.23</v>
      </c>
      <c r="J1591" s="61" t="n">
        <v>0</v>
      </c>
      <c r="K1591" s="61" t="n">
        <v>2.12</v>
      </c>
      <c r="L1591" s="61" t="n">
        <v>1.96</v>
      </c>
      <c r="M1591" s="61" t="n">
        <v>15.8</v>
      </c>
      <c r="N1591" s="61" t="n">
        <v>8.35</v>
      </c>
      <c r="O1591" s="61" t="n">
        <v>0</v>
      </c>
      <c r="P1591" s="62" t="n">
        <v>738.3</v>
      </c>
      <c r="Q1591" s="0" t="n">
        <v>0</v>
      </c>
      <c r="R1591" s="60" t="n">
        <f aca="false">G1591+H1591+I1591</f>
        <v>128.92</v>
      </c>
      <c r="S1591" s="60" t="n">
        <f aca="false">K1591+L1591+M1591+N1591+O1591</f>
        <v>28.23</v>
      </c>
      <c r="T1591" s="60" t="n">
        <f aca="false">L1591+M1591</f>
        <v>17.76</v>
      </c>
      <c r="U1591" s="60" t="n">
        <f aca="false">S1591+J1591</f>
        <v>28.23</v>
      </c>
      <c r="V1591" s="63" t="n">
        <f aca="false">IFERROR(S1591/F1591,0)</f>
        <v>0.179637289214127</v>
      </c>
      <c r="W1591" s="63" t="n">
        <f aca="false">IFERROR(R1591/F1591,0)</f>
        <v>0.820362710785873</v>
      </c>
      <c r="X1591" s="63" t="n">
        <f aca="false">IFERROR(T1591/F1591,0)</f>
        <v>0.113013044861597</v>
      </c>
      <c r="Y1591" s="63" t="n">
        <f aca="false">IFERROR(G1591/F1591,0)</f>
        <v>0.683423480750875</v>
      </c>
      <c r="Z1591" s="59" t="n">
        <f aca="false">IF(E1591&gt;0,F1591*1000000000/E1591,"")</f>
        <v>4116.99927733105</v>
      </c>
      <c r="AA1591" s="63" t="n">
        <f aca="false">IFERROR((R1591+S1591+J1591)/F1591,0)</f>
        <v>1</v>
      </c>
      <c r="AB1591" s="0" t="str">
        <f aca="false">A1591&amp;"|"&amp;D1591</f>
        <v>Poland|2020</v>
      </c>
    </row>
    <row r="1592" customFormat="false" ht="15" hidden="false" customHeight="false" outlineLevel="0" collapsed="false">
      <c r="A1592" s="0" t="s">
        <v>332</v>
      </c>
      <c r="B1592" s="0" t="s">
        <v>571</v>
      </c>
      <c r="C1592" s="0" t="s">
        <v>127</v>
      </c>
      <c r="D1592" s="0" t="n">
        <v>2021</v>
      </c>
      <c r="E1592" s="59" t="n">
        <v>38040303</v>
      </c>
      <c r="F1592" s="60" t="n">
        <v>178.79</v>
      </c>
      <c r="G1592" s="61" t="n">
        <v>127.57</v>
      </c>
      <c r="H1592" s="61" t="n">
        <v>15.82</v>
      </c>
      <c r="I1592" s="61" t="n">
        <v>4.84</v>
      </c>
      <c r="J1592" s="61" t="n">
        <v>0</v>
      </c>
      <c r="K1592" s="61" t="n">
        <v>2.34</v>
      </c>
      <c r="L1592" s="61" t="n">
        <v>3.93</v>
      </c>
      <c r="M1592" s="61" t="n">
        <v>16.23</v>
      </c>
      <c r="N1592" s="61" t="n">
        <v>8.06</v>
      </c>
      <c r="O1592" s="61" t="n">
        <v>0</v>
      </c>
      <c r="P1592" s="62" t="n">
        <v>756.4</v>
      </c>
      <c r="Q1592" s="0" t="n">
        <v>0</v>
      </c>
      <c r="R1592" s="60" t="n">
        <f aca="false">G1592+H1592+I1592</f>
        <v>148.23</v>
      </c>
      <c r="S1592" s="60" t="n">
        <f aca="false">K1592+L1592+M1592+N1592+O1592</f>
        <v>30.56</v>
      </c>
      <c r="T1592" s="60" t="n">
        <f aca="false">L1592+M1592</f>
        <v>20.16</v>
      </c>
      <c r="U1592" s="60" t="n">
        <f aca="false">S1592+J1592</f>
        <v>30.56</v>
      </c>
      <c r="V1592" s="63" t="n">
        <f aca="false">IFERROR(S1592/F1592,0)</f>
        <v>0.170926785614408</v>
      </c>
      <c r="W1592" s="63" t="n">
        <f aca="false">IFERROR(R1592/F1592,0)</f>
        <v>0.829073214385592</v>
      </c>
      <c r="X1592" s="63" t="n">
        <f aca="false">IFERROR(T1592/F1592,0)</f>
        <v>0.112757984227306</v>
      </c>
      <c r="Y1592" s="63" t="n">
        <f aca="false">IFERROR(G1592/F1592,0)</f>
        <v>0.713518653168522</v>
      </c>
      <c r="Z1592" s="59" t="n">
        <f aca="false">IF(E1592&gt;0,F1592*1000000000/E1592,"")</f>
        <v>4700.01513920644</v>
      </c>
      <c r="AA1592" s="63" t="n">
        <f aca="false">IFERROR((R1592+S1592+J1592)/F1592,0)</f>
        <v>1</v>
      </c>
      <c r="AB1592" s="0" t="str">
        <f aca="false">A1592&amp;"|"&amp;D1592</f>
        <v>Poland|2021</v>
      </c>
    </row>
    <row r="1593" customFormat="false" ht="15" hidden="false" customHeight="false" outlineLevel="0" collapsed="false">
      <c r="A1593" s="0" t="s">
        <v>332</v>
      </c>
      <c r="B1593" s="0" t="s">
        <v>571</v>
      </c>
      <c r="C1593" s="0" t="s">
        <v>127</v>
      </c>
      <c r="D1593" s="0" t="n">
        <v>2022</v>
      </c>
      <c r="E1593" s="59" t="n">
        <v>38385734</v>
      </c>
      <c r="F1593" s="60" t="n">
        <v>178.6</v>
      </c>
      <c r="G1593" s="61" t="n">
        <v>124.73</v>
      </c>
      <c r="H1593" s="61" t="n">
        <v>11.36</v>
      </c>
      <c r="I1593" s="61" t="n">
        <v>4.82</v>
      </c>
      <c r="J1593" s="61" t="n">
        <v>0</v>
      </c>
      <c r="K1593" s="61" t="n">
        <v>1.97</v>
      </c>
      <c r="L1593" s="61" t="n">
        <v>8.31</v>
      </c>
      <c r="M1593" s="61" t="n">
        <v>19.78</v>
      </c>
      <c r="N1593" s="61" t="n">
        <v>7.63</v>
      </c>
      <c r="O1593" s="61" t="n">
        <v>0</v>
      </c>
      <c r="P1593" s="62" t="n">
        <v>732.5</v>
      </c>
      <c r="Q1593" s="0" t="n">
        <v>0</v>
      </c>
      <c r="R1593" s="60" t="n">
        <f aca="false">G1593+H1593+I1593</f>
        <v>140.91</v>
      </c>
      <c r="S1593" s="60" t="n">
        <f aca="false">K1593+L1593+M1593+N1593+O1593</f>
        <v>37.69</v>
      </c>
      <c r="T1593" s="60" t="n">
        <f aca="false">L1593+M1593</f>
        <v>28.09</v>
      </c>
      <c r="U1593" s="60" t="n">
        <f aca="false">S1593+J1593</f>
        <v>37.69</v>
      </c>
      <c r="V1593" s="63" t="n">
        <f aca="false">IFERROR(S1593/F1593,0)</f>
        <v>0.211030235162374</v>
      </c>
      <c r="W1593" s="63" t="n">
        <f aca="false">IFERROR(R1593/F1593,0)</f>
        <v>0.788969764837626</v>
      </c>
      <c r="X1593" s="63" t="n">
        <f aca="false">IFERROR(T1593/F1593,0)</f>
        <v>0.157278835386338</v>
      </c>
      <c r="Y1593" s="63" t="n">
        <f aca="false">IFERROR(G1593/F1593,0)</f>
        <v>0.698376259798432</v>
      </c>
      <c r="Z1593" s="59" t="n">
        <f aca="false">IF(E1593&gt;0,F1593*1000000000/E1593,"")</f>
        <v>4652.77021926948</v>
      </c>
      <c r="AA1593" s="63" t="n">
        <f aca="false">IFERROR((R1593+S1593+J1593)/F1593,0)</f>
        <v>1</v>
      </c>
      <c r="AB1593" s="0" t="str">
        <f aca="false">A1593&amp;"|"&amp;D1593</f>
        <v>Poland|2022</v>
      </c>
    </row>
    <row r="1594" customFormat="false" ht="15" hidden="false" customHeight="false" outlineLevel="0" collapsed="false">
      <c r="A1594" s="0" t="s">
        <v>332</v>
      </c>
      <c r="B1594" s="0" t="s">
        <v>571</v>
      </c>
      <c r="C1594" s="0" t="s">
        <v>127</v>
      </c>
      <c r="D1594" s="0" t="n">
        <v>2023</v>
      </c>
      <c r="E1594" s="59" t="n">
        <v>38762847</v>
      </c>
      <c r="F1594" s="60" t="n">
        <v>165.52</v>
      </c>
      <c r="G1594" s="61" t="n">
        <v>98.85</v>
      </c>
      <c r="H1594" s="61" t="n">
        <v>16.49</v>
      </c>
      <c r="I1594" s="61" t="n">
        <v>4.32</v>
      </c>
      <c r="J1594" s="61" t="n">
        <v>0</v>
      </c>
      <c r="K1594" s="61" t="n">
        <v>2.41</v>
      </c>
      <c r="L1594" s="61" t="n">
        <v>11.11</v>
      </c>
      <c r="M1594" s="61" t="n">
        <v>24.18</v>
      </c>
      <c r="N1594" s="61" t="n">
        <v>8.16</v>
      </c>
      <c r="O1594" s="61" t="n">
        <v>0</v>
      </c>
      <c r="P1594" s="62" t="n">
        <v>650.7</v>
      </c>
      <c r="Q1594" s="0" t="n">
        <v>0</v>
      </c>
      <c r="R1594" s="60" t="n">
        <f aca="false">G1594+H1594+I1594</f>
        <v>119.66</v>
      </c>
      <c r="S1594" s="60" t="n">
        <f aca="false">K1594+L1594+M1594+N1594+O1594</f>
        <v>45.86</v>
      </c>
      <c r="T1594" s="60" t="n">
        <f aca="false">L1594+M1594</f>
        <v>35.29</v>
      </c>
      <c r="U1594" s="60" t="n">
        <f aca="false">S1594+J1594</f>
        <v>45.86</v>
      </c>
      <c r="V1594" s="63" t="n">
        <f aca="false">IFERROR(S1594/F1594,0)</f>
        <v>0.277066215563074</v>
      </c>
      <c r="W1594" s="63" t="n">
        <f aca="false">IFERROR(R1594/F1594,0)</f>
        <v>0.722933784436926</v>
      </c>
      <c r="X1594" s="63" t="n">
        <f aca="false">IFERROR(T1594/F1594,0)</f>
        <v>0.213206863218946</v>
      </c>
      <c r="Y1594" s="63" t="n">
        <f aca="false">IFERROR(G1594/F1594,0)</f>
        <v>0.597208796520058</v>
      </c>
      <c r="Z1594" s="59" t="n">
        <f aca="false">IF(E1594&gt;0,F1594*1000000000/E1594,"")</f>
        <v>4270.0681918436</v>
      </c>
      <c r="AA1594" s="63" t="n">
        <f aca="false">IFERROR((R1594+S1594+J1594)/F1594,0)</f>
        <v>1</v>
      </c>
      <c r="AB1594" s="0" t="str">
        <f aca="false">A1594&amp;"|"&amp;D1594</f>
        <v>Poland|2023</v>
      </c>
    </row>
    <row r="1595" customFormat="false" ht="15" hidden="false" customHeight="false" outlineLevel="0" collapsed="false">
      <c r="A1595" s="0" t="s">
        <v>332</v>
      </c>
      <c r="B1595" s="0" t="s">
        <v>571</v>
      </c>
      <c r="C1595" s="0" t="s">
        <v>127</v>
      </c>
      <c r="D1595" s="0" t="n">
        <v>2024</v>
      </c>
      <c r="E1595" s="59" t="n">
        <v>38539209</v>
      </c>
      <c r="F1595" s="60" t="n">
        <v>172.12</v>
      </c>
      <c r="G1595" s="61" t="n">
        <v>93.5</v>
      </c>
      <c r="H1595" s="61" t="n">
        <v>20.46</v>
      </c>
      <c r="I1595" s="61" t="n">
        <v>4.55</v>
      </c>
      <c r="J1595" s="61" t="n">
        <v>0</v>
      </c>
      <c r="K1595" s="61" t="n">
        <v>2.11</v>
      </c>
      <c r="L1595" s="61" t="n">
        <v>17.66</v>
      </c>
      <c r="M1595" s="61" t="n">
        <v>25.89</v>
      </c>
      <c r="N1595" s="61" t="n">
        <v>7.95</v>
      </c>
      <c r="O1595" s="61" t="n">
        <v>0</v>
      </c>
      <c r="P1595" s="62" t="n">
        <v>608.2</v>
      </c>
      <c r="Q1595" s="0" t="n">
        <v>0</v>
      </c>
      <c r="R1595" s="60" t="n">
        <f aca="false">G1595+H1595+I1595</f>
        <v>118.51</v>
      </c>
      <c r="S1595" s="60" t="n">
        <f aca="false">K1595+L1595+M1595+N1595+O1595</f>
        <v>53.61</v>
      </c>
      <c r="T1595" s="60" t="n">
        <f aca="false">L1595+M1595</f>
        <v>43.55</v>
      </c>
      <c r="U1595" s="60" t="n">
        <f aca="false">S1595+J1595</f>
        <v>53.61</v>
      </c>
      <c r="V1595" s="63" t="n">
        <f aca="false">IFERROR(S1595/F1595,0)</f>
        <v>0.311468742737625</v>
      </c>
      <c r="W1595" s="63" t="n">
        <f aca="false">IFERROR(R1595/F1595,0)</f>
        <v>0.688531257262375</v>
      </c>
      <c r="X1595" s="63" t="n">
        <f aca="false">IFERROR(T1595/F1595,0)</f>
        <v>0.253021148036254</v>
      </c>
      <c r="Y1595" s="63" t="n">
        <f aca="false">IFERROR(G1595/F1595,0)</f>
        <v>0.543225656518708</v>
      </c>
      <c r="Z1595" s="59" t="n">
        <f aca="false">IF(E1595&gt;0,F1595*1000000000/E1595,"")</f>
        <v>4466.10100378552</v>
      </c>
      <c r="AA1595" s="63" t="n">
        <f aca="false">IFERROR((R1595+S1595+J1595)/F1595,0)</f>
        <v>1</v>
      </c>
      <c r="AB1595" s="0" t="str">
        <f aca="false">A1595&amp;"|"&amp;D1595</f>
        <v>Poland|2024</v>
      </c>
    </row>
    <row r="1596" customFormat="false" ht="15" hidden="false" customHeight="false" outlineLevel="0" collapsed="false">
      <c r="A1596" s="0" t="s">
        <v>332</v>
      </c>
      <c r="B1596" s="0" t="s">
        <v>571</v>
      </c>
      <c r="C1596" s="0" t="s">
        <v>127</v>
      </c>
      <c r="D1596" s="0" t="n">
        <v>2025</v>
      </c>
      <c r="E1596" s="59" t="n">
        <v>38140913</v>
      </c>
      <c r="F1596" s="60" t="n">
        <v>173.26</v>
      </c>
      <c r="G1596" s="61" t="n">
        <v>87.32</v>
      </c>
      <c r="H1596" s="61" t="n">
        <v>24.82</v>
      </c>
      <c r="I1596" s="61" t="n">
        <v>6.53</v>
      </c>
      <c r="J1596" s="61" t="n">
        <v>0</v>
      </c>
      <c r="K1596" s="61" t="n">
        <v>1.7</v>
      </c>
      <c r="L1596" s="61" t="n">
        <v>19.55</v>
      </c>
      <c r="M1596" s="61" t="n">
        <v>24.62</v>
      </c>
      <c r="N1596" s="61" t="n">
        <v>8.48</v>
      </c>
      <c r="O1596" s="61" t="n">
        <v>0.24</v>
      </c>
      <c r="P1596" s="62" t="n">
        <v>588.6</v>
      </c>
      <c r="Q1596" s="0" t="n">
        <v>0</v>
      </c>
      <c r="R1596" s="60" t="n">
        <f aca="false">G1596+H1596+I1596</f>
        <v>118.67</v>
      </c>
      <c r="S1596" s="60" t="n">
        <f aca="false">K1596+L1596+M1596+N1596+O1596</f>
        <v>54.59</v>
      </c>
      <c r="T1596" s="60" t="n">
        <f aca="false">L1596+M1596</f>
        <v>44.17</v>
      </c>
      <c r="U1596" s="60" t="n">
        <f aca="false">S1596+J1596</f>
        <v>54.59</v>
      </c>
      <c r="V1596" s="63" t="n">
        <f aca="false">IFERROR(S1596/F1596,0)</f>
        <v>0.315075608911463</v>
      </c>
      <c r="W1596" s="63" t="n">
        <f aca="false">IFERROR(R1596/F1596,0)</f>
        <v>0.684924391088537</v>
      </c>
      <c r="X1596" s="63" t="n">
        <f aca="false">IFERROR(T1596/F1596,0)</f>
        <v>0.254934780099273</v>
      </c>
      <c r="Y1596" s="63" t="n">
        <f aca="false">IFERROR(G1596/F1596,0)</f>
        <v>0.503982454115203</v>
      </c>
      <c r="Z1596" s="59" t="n">
        <f aca="false">IF(E1596&gt;0,F1596*1000000000/E1596,"")</f>
        <v>4542.62854169223</v>
      </c>
      <c r="AA1596" s="63" t="n">
        <f aca="false">IFERROR((R1596+S1596+J1596)/F1596,0)</f>
        <v>1</v>
      </c>
      <c r="AB1596" s="0" t="str">
        <f aca="false">A1596&amp;"|"&amp;D1596</f>
        <v>Poland|2025</v>
      </c>
    </row>
    <row r="1597" customFormat="false" ht="15" hidden="false" customHeight="false" outlineLevel="0" collapsed="false">
      <c r="A1597" s="0" t="s">
        <v>333</v>
      </c>
      <c r="B1597" s="0" t="s">
        <v>572</v>
      </c>
      <c r="C1597" s="0" t="s">
        <v>127</v>
      </c>
      <c r="D1597" s="0" t="n">
        <v>2015</v>
      </c>
      <c r="E1597" s="59" t="n">
        <v>10370264</v>
      </c>
      <c r="F1597" s="60" t="n">
        <v>51.14</v>
      </c>
      <c r="G1597" s="61" t="n">
        <v>14.73</v>
      </c>
      <c r="H1597" s="61" t="n">
        <v>10.56</v>
      </c>
      <c r="I1597" s="61" t="n">
        <v>1.49</v>
      </c>
      <c r="J1597" s="61" t="n">
        <v>0</v>
      </c>
      <c r="K1597" s="61" t="n">
        <v>8.66</v>
      </c>
      <c r="L1597" s="61" t="n">
        <v>0.8</v>
      </c>
      <c r="M1597" s="61" t="n">
        <v>11.6</v>
      </c>
      <c r="N1597" s="61" t="n">
        <v>3.1</v>
      </c>
      <c r="O1597" s="61" t="n">
        <v>0.2</v>
      </c>
      <c r="P1597" s="62" t="n">
        <v>414</v>
      </c>
      <c r="Q1597" s="0" t="n">
        <v>0</v>
      </c>
      <c r="R1597" s="60" t="n">
        <f aca="false">G1597+H1597+I1597</f>
        <v>26.78</v>
      </c>
      <c r="S1597" s="60" t="n">
        <f aca="false">K1597+L1597+M1597+N1597+O1597</f>
        <v>24.36</v>
      </c>
      <c r="T1597" s="60" t="n">
        <f aca="false">L1597+M1597</f>
        <v>12.4</v>
      </c>
      <c r="U1597" s="60" t="n">
        <f aca="false">S1597+J1597</f>
        <v>24.36</v>
      </c>
      <c r="V1597" s="63" t="n">
        <f aca="false">IFERROR(S1597/F1597,0)</f>
        <v>0.476339460305045</v>
      </c>
      <c r="W1597" s="63" t="n">
        <f aca="false">IFERROR(R1597/F1597,0)</f>
        <v>0.523660539694955</v>
      </c>
      <c r="X1597" s="63" t="n">
        <f aca="false">IFERROR(T1597/F1597,0)</f>
        <v>0.242471646460696</v>
      </c>
      <c r="Y1597" s="63" t="n">
        <f aca="false">IFERROR(G1597/F1597,0)</f>
        <v>0.288032850997262</v>
      </c>
      <c r="Z1597" s="59" t="n">
        <f aca="false">IF(E1597&gt;0,F1597*1000000000/E1597,"")</f>
        <v>4931.40772501067</v>
      </c>
      <c r="AA1597" s="63" t="n">
        <f aca="false">IFERROR((R1597+S1597+J1597)/F1597,0)</f>
        <v>1</v>
      </c>
      <c r="AB1597" s="0" t="str">
        <f aca="false">A1597&amp;"|"&amp;D1597</f>
        <v>Portugal|2015</v>
      </c>
    </row>
    <row r="1598" customFormat="false" ht="15" hidden="false" customHeight="false" outlineLevel="0" collapsed="false">
      <c r="A1598" s="0" t="s">
        <v>333</v>
      </c>
      <c r="B1598" s="0" t="s">
        <v>572</v>
      </c>
      <c r="C1598" s="0" t="s">
        <v>127</v>
      </c>
      <c r="D1598" s="0" t="n">
        <v>2016</v>
      </c>
      <c r="E1598" s="59" t="n">
        <v>10346377</v>
      </c>
      <c r="F1598" s="60" t="n">
        <v>59.05</v>
      </c>
      <c r="G1598" s="61" t="n">
        <v>12.63</v>
      </c>
      <c r="H1598" s="61" t="n">
        <v>12.58</v>
      </c>
      <c r="I1598" s="61" t="n">
        <v>1.54</v>
      </c>
      <c r="J1598" s="61" t="n">
        <v>0</v>
      </c>
      <c r="K1598" s="61" t="n">
        <v>15.72</v>
      </c>
      <c r="L1598" s="61" t="n">
        <v>0.87</v>
      </c>
      <c r="M1598" s="61" t="n">
        <v>12.47</v>
      </c>
      <c r="N1598" s="61" t="n">
        <v>3.07</v>
      </c>
      <c r="O1598" s="61" t="n">
        <v>0.17</v>
      </c>
      <c r="P1598" s="62" t="n">
        <v>343.6</v>
      </c>
      <c r="Q1598" s="0" t="n">
        <v>0</v>
      </c>
      <c r="R1598" s="60" t="n">
        <f aca="false">G1598+H1598+I1598</f>
        <v>26.75</v>
      </c>
      <c r="S1598" s="60" t="n">
        <f aca="false">K1598+L1598+M1598+N1598+O1598</f>
        <v>32.3</v>
      </c>
      <c r="T1598" s="60" t="n">
        <f aca="false">L1598+M1598</f>
        <v>13.34</v>
      </c>
      <c r="U1598" s="60" t="n">
        <f aca="false">S1598+J1598</f>
        <v>32.3</v>
      </c>
      <c r="V1598" s="63" t="n">
        <f aca="false">IFERROR(S1598/F1598,0)</f>
        <v>0.546994072819645</v>
      </c>
      <c r="W1598" s="63" t="n">
        <f aca="false">IFERROR(R1598/F1598,0)</f>
        <v>0.453005927180356</v>
      </c>
      <c r="X1598" s="63" t="n">
        <f aca="false">IFERROR(T1598/F1598,0)</f>
        <v>0.225910245554615</v>
      </c>
      <c r="Y1598" s="63" t="n">
        <f aca="false">IFERROR(G1598/F1598,0)</f>
        <v>0.213886536833192</v>
      </c>
      <c r="Z1598" s="59" t="n">
        <f aca="false">IF(E1598&gt;0,F1598*1000000000/E1598,"")</f>
        <v>5707.31184452297</v>
      </c>
      <c r="AA1598" s="63" t="n">
        <f aca="false">IFERROR((R1598+S1598+J1598)/F1598,0)</f>
        <v>1</v>
      </c>
      <c r="AB1598" s="0" t="str">
        <f aca="false">A1598&amp;"|"&amp;D1598</f>
        <v>Portugal|2016</v>
      </c>
    </row>
    <row r="1599" customFormat="false" ht="15" hidden="false" customHeight="false" outlineLevel="0" collapsed="false">
      <c r="A1599" s="0" t="s">
        <v>333</v>
      </c>
      <c r="B1599" s="0" t="s">
        <v>572</v>
      </c>
      <c r="C1599" s="0" t="s">
        <v>127</v>
      </c>
      <c r="D1599" s="0" t="n">
        <v>2017</v>
      </c>
      <c r="E1599" s="59" t="n">
        <v>10330838</v>
      </c>
      <c r="F1599" s="60" t="n">
        <v>57.59</v>
      </c>
      <c r="G1599" s="61" t="n">
        <v>14.67</v>
      </c>
      <c r="H1599" s="61" t="n">
        <v>18.89</v>
      </c>
      <c r="I1599" s="61" t="n">
        <v>1.45</v>
      </c>
      <c r="J1599" s="61" t="n">
        <v>0</v>
      </c>
      <c r="K1599" s="61" t="n">
        <v>5.9</v>
      </c>
      <c r="L1599" s="61" t="n">
        <v>0.99</v>
      </c>
      <c r="M1599" s="61" t="n">
        <v>12.25</v>
      </c>
      <c r="N1599" s="61" t="n">
        <v>3.22</v>
      </c>
      <c r="O1599" s="61" t="n">
        <v>0.22</v>
      </c>
      <c r="P1599" s="62" t="n">
        <v>433.8</v>
      </c>
      <c r="Q1599" s="0" t="n">
        <v>0</v>
      </c>
      <c r="R1599" s="60" t="n">
        <f aca="false">G1599+H1599+I1599</f>
        <v>35.01</v>
      </c>
      <c r="S1599" s="60" t="n">
        <f aca="false">K1599+L1599+M1599+N1599+O1599</f>
        <v>22.58</v>
      </c>
      <c r="T1599" s="60" t="n">
        <f aca="false">L1599+M1599</f>
        <v>13.24</v>
      </c>
      <c r="U1599" s="60" t="n">
        <f aca="false">S1599+J1599</f>
        <v>22.58</v>
      </c>
      <c r="V1599" s="63" t="n">
        <f aca="false">IFERROR(S1599/F1599,0)</f>
        <v>0.392081958673381</v>
      </c>
      <c r="W1599" s="63" t="n">
        <f aca="false">IFERROR(R1599/F1599,0)</f>
        <v>0.607918041326619</v>
      </c>
      <c r="X1599" s="63" t="n">
        <f aca="false">IFERROR(T1599/F1599,0)</f>
        <v>0.229901024483417</v>
      </c>
      <c r="Y1599" s="63" t="n">
        <f aca="false">IFERROR(G1599/F1599,0)</f>
        <v>0.254731724257684</v>
      </c>
      <c r="Z1599" s="59" t="n">
        <f aca="false">IF(E1599&gt;0,F1599*1000000000/E1599,"")</f>
        <v>5574.57197567129</v>
      </c>
      <c r="AA1599" s="63" t="n">
        <f aca="false">IFERROR((R1599+S1599+J1599)/F1599,0)</f>
        <v>1</v>
      </c>
      <c r="AB1599" s="0" t="str">
        <f aca="false">A1599&amp;"|"&amp;D1599</f>
        <v>Portugal|2017</v>
      </c>
    </row>
    <row r="1600" customFormat="false" ht="15" hidden="false" customHeight="false" outlineLevel="0" collapsed="false">
      <c r="A1600" s="0" t="s">
        <v>333</v>
      </c>
      <c r="B1600" s="0" t="s">
        <v>572</v>
      </c>
      <c r="C1600" s="0" t="s">
        <v>127</v>
      </c>
      <c r="D1600" s="0" t="n">
        <v>2018</v>
      </c>
      <c r="E1600" s="59" t="n">
        <v>10325355</v>
      </c>
      <c r="F1600" s="60" t="n">
        <v>58.35</v>
      </c>
      <c r="G1600" s="61" t="n">
        <v>12.01</v>
      </c>
      <c r="H1600" s="61" t="n">
        <v>15.61</v>
      </c>
      <c r="I1600" s="61" t="n">
        <v>1.32</v>
      </c>
      <c r="J1600" s="61" t="n">
        <v>0</v>
      </c>
      <c r="K1600" s="61" t="n">
        <v>12.39</v>
      </c>
      <c r="L1600" s="61" t="n">
        <v>1.01</v>
      </c>
      <c r="M1600" s="61" t="n">
        <v>12.62</v>
      </c>
      <c r="N1600" s="61" t="n">
        <v>3.16</v>
      </c>
      <c r="O1600" s="61" t="n">
        <v>0.23</v>
      </c>
      <c r="P1600" s="62" t="n">
        <v>358.7</v>
      </c>
      <c r="Q1600" s="0" t="n">
        <v>0</v>
      </c>
      <c r="R1600" s="60" t="n">
        <f aca="false">G1600+H1600+I1600</f>
        <v>28.94</v>
      </c>
      <c r="S1600" s="60" t="n">
        <f aca="false">K1600+L1600+M1600+N1600+O1600</f>
        <v>29.41</v>
      </c>
      <c r="T1600" s="60" t="n">
        <f aca="false">L1600+M1600</f>
        <v>13.63</v>
      </c>
      <c r="U1600" s="60" t="n">
        <f aca="false">S1600+J1600</f>
        <v>29.41</v>
      </c>
      <c r="V1600" s="63" t="n">
        <f aca="false">IFERROR(S1600/F1600,0)</f>
        <v>0.504027420736932</v>
      </c>
      <c r="W1600" s="63" t="n">
        <f aca="false">IFERROR(R1600/F1600,0)</f>
        <v>0.495972579263068</v>
      </c>
      <c r="X1600" s="63" t="n">
        <f aca="false">IFERROR(T1600/F1600,0)</f>
        <v>0.233590402742074</v>
      </c>
      <c r="Y1600" s="63" t="n">
        <f aca="false">IFERROR(G1600/F1600,0)</f>
        <v>0.205826906598115</v>
      </c>
      <c r="Z1600" s="59" t="n">
        <f aca="false">IF(E1600&gt;0,F1600*1000000000/E1600,"")</f>
        <v>5651.13741851975</v>
      </c>
      <c r="AA1600" s="63" t="n">
        <f aca="false">IFERROR((R1600+S1600+J1600)/F1600,0)</f>
        <v>1</v>
      </c>
      <c r="AB1600" s="0" t="str">
        <f aca="false">A1600&amp;"|"&amp;D1600</f>
        <v>Portugal|2018</v>
      </c>
    </row>
    <row r="1601" customFormat="false" ht="15" hidden="false" customHeight="false" outlineLevel="0" collapsed="false">
      <c r="A1601" s="0" t="s">
        <v>333</v>
      </c>
      <c r="B1601" s="0" t="s">
        <v>572</v>
      </c>
      <c r="C1601" s="0" t="s">
        <v>127</v>
      </c>
      <c r="D1601" s="0" t="n">
        <v>2019</v>
      </c>
      <c r="E1601" s="59" t="n">
        <v>10343218</v>
      </c>
      <c r="F1601" s="60" t="n">
        <v>51.6</v>
      </c>
      <c r="G1601" s="61" t="n">
        <v>5.53</v>
      </c>
      <c r="H1601" s="61" t="n">
        <v>17.26</v>
      </c>
      <c r="I1601" s="61" t="n">
        <v>1.4</v>
      </c>
      <c r="J1601" s="61" t="n">
        <v>0</v>
      </c>
      <c r="K1601" s="61" t="n">
        <v>8.82</v>
      </c>
      <c r="L1601" s="61" t="n">
        <v>1.34</v>
      </c>
      <c r="M1601" s="61" t="n">
        <v>13.67</v>
      </c>
      <c r="N1601" s="61" t="n">
        <v>3.36</v>
      </c>
      <c r="O1601" s="61" t="n">
        <v>0.22</v>
      </c>
      <c r="P1601" s="62" t="n">
        <v>301</v>
      </c>
      <c r="Q1601" s="0" t="n">
        <v>0</v>
      </c>
      <c r="R1601" s="60" t="n">
        <f aca="false">G1601+H1601+I1601</f>
        <v>24.19</v>
      </c>
      <c r="S1601" s="60" t="n">
        <f aca="false">K1601+L1601+M1601+N1601+O1601</f>
        <v>27.41</v>
      </c>
      <c r="T1601" s="60" t="n">
        <f aca="false">L1601+M1601</f>
        <v>15.01</v>
      </c>
      <c r="U1601" s="60" t="n">
        <f aca="false">S1601+J1601</f>
        <v>27.41</v>
      </c>
      <c r="V1601" s="63" t="n">
        <f aca="false">IFERROR(S1601/F1601,0)</f>
        <v>0.531201550387597</v>
      </c>
      <c r="W1601" s="63" t="n">
        <f aca="false">IFERROR(R1601/F1601,0)</f>
        <v>0.468798449612403</v>
      </c>
      <c r="X1601" s="63" t="n">
        <f aca="false">IFERROR(T1601/F1601,0)</f>
        <v>0.290891472868217</v>
      </c>
      <c r="Y1601" s="63" t="n">
        <f aca="false">IFERROR(G1601/F1601,0)</f>
        <v>0.107170542635659</v>
      </c>
      <c r="Z1601" s="59" t="n">
        <f aca="false">IF(E1601&gt;0,F1601*1000000000/E1601,"")</f>
        <v>4988.77622032137</v>
      </c>
      <c r="AA1601" s="63" t="n">
        <f aca="false">IFERROR((R1601+S1601+J1601)/F1601,0)</f>
        <v>1</v>
      </c>
      <c r="AB1601" s="0" t="str">
        <f aca="false">A1601&amp;"|"&amp;D1601</f>
        <v>Portugal|2019</v>
      </c>
    </row>
    <row r="1602" customFormat="false" ht="15" hidden="false" customHeight="false" outlineLevel="0" collapsed="false">
      <c r="A1602" s="0" t="s">
        <v>333</v>
      </c>
      <c r="B1602" s="0" t="s">
        <v>572</v>
      </c>
      <c r="C1602" s="0" t="s">
        <v>127</v>
      </c>
      <c r="D1602" s="0" t="n">
        <v>2020</v>
      </c>
      <c r="E1602" s="59" t="n">
        <v>10370519</v>
      </c>
      <c r="F1602" s="60" t="n">
        <v>51.39</v>
      </c>
      <c r="G1602" s="61" t="n">
        <v>2.36</v>
      </c>
      <c r="H1602" s="61" t="n">
        <v>17.6</v>
      </c>
      <c r="I1602" s="61" t="n">
        <v>1.32</v>
      </c>
      <c r="J1602" s="61" t="n">
        <v>0</v>
      </c>
      <c r="K1602" s="61" t="n">
        <v>12.08</v>
      </c>
      <c r="L1602" s="61" t="n">
        <v>1.72</v>
      </c>
      <c r="M1602" s="61" t="n">
        <v>12.3</v>
      </c>
      <c r="N1602" s="61" t="n">
        <v>3.79</v>
      </c>
      <c r="O1602" s="61" t="n">
        <v>0.22</v>
      </c>
      <c r="P1602" s="62" t="n">
        <v>248.3</v>
      </c>
      <c r="Q1602" s="0" t="n">
        <v>0</v>
      </c>
      <c r="R1602" s="60" t="n">
        <f aca="false">G1602+H1602+I1602</f>
        <v>21.28</v>
      </c>
      <c r="S1602" s="60" t="n">
        <f aca="false">K1602+L1602+M1602+N1602+O1602</f>
        <v>30.11</v>
      </c>
      <c r="T1602" s="60" t="n">
        <f aca="false">L1602+M1602</f>
        <v>14.02</v>
      </c>
      <c r="U1602" s="60" t="n">
        <f aca="false">S1602+J1602</f>
        <v>30.11</v>
      </c>
      <c r="V1602" s="63" t="n">
        <f aca="false">IFERROR(S1602/F1602,0)</f>
        <v>0.585911655964195</v>
      </c>
      <c r="W1602" s="63" t="n">
        <f aca="false">IFERROR(R1602/F1602,0)</f>
        <v>0.414088344035805</v>
      </c>
      <c r="X1602" s="63" t="n">
        <f aca="false">IFERROR(T1602/F1602,0)</f>
        <v>0.272815722903289</v>
      </c>
      <c r="Y1602" s="63" t="n">
        <f aca="false">IFERROR(G1602/F1602,0)</f>
        <v>0.0459233313874295</v>
      </c>
      <c r="Z1602" s="59" t="n">
        <f aca="false">IF(E1602&gt;0,F1602*1000000000/E1602,"")</f>
        <v>4955.39326431011</v>
      </c>
      <c r="AA1602" s="63" t="n">
        <f aca="false">IFERROR((R1602+S1602+J1602)/F1602,0)</f>
        <v>1</v>
      </c>
      <c r="AB1602" s="0" t="str">
        <f aca="false">A1602&amp;"|"&amp;D1602</f>
        <v>Portugal|2020</v>
      </c>
    </row>
    <row r="1603" customFormat="false" ht="15" hidden="false" customHeight="false" outlineLevel="0" collapsed="false">
      <c r="A1603" s="0" t="s">
        <v>333</v>
      </c>
      <c r="B1603" s="0" t="s">
        <v>572</v>
      </c>
      <c r="C1603" s="0" t="s">
        <v>127</v>
      </c>
      <c r="D1603" s="0" t="n">
        <v>2021</v>
      </c>
      <c r="E1603" s="59" t="n">
        <v>10390957</v>
      </c>
      <c r="F1603" s="60" t="n">
        <v>49.22</v>
      </c>
      <c r="G1603" s="61" t="n">
        <v>0.8</v>
      </c>
      <c r="H1603" s="61" t="n">
        <v>15.57</v>
      </c>
      <c r="I1603" s="61" t="n">
        <v>1.31</v>
      </c>
      <c r="J1603" s="61" t="n">
        <v>0</v>
      </c>
      <c r="K1603" s="61" t="n">
        <v>11.91</v>
      </c>
      <c r="L1603" s="61" t="n">
        <v>2.24</v>
      </c>
      <c r="M1603" s="61" t="n">
        <v>13.21</v>
      </c>
      <c r="N1603" s="61" t="n">
        <v>4</v>
      </c>
      <c r="O1603" s="61" t="n">
        <v>0.18</v>
      </c>
      <c r="P1603" s="62" t="n">
        <v>210.5</v>
      </c>
      <c r="Q1603" s="0" t="n">
        <v>0</v>
      </c>
      <c r="R1603" s="60" t="n">
        <f aca="false">G1603+H1603+I1603</f>
        <v>17.68</v>
      </c>
      <c r="S1603" s="60" t="n">
        <f aca="false">K1603+L1603+M1603+N1603+O1603</f>
        <v>31.54</v>
      </c>
      <c r="T1603" s="60" t="n">
        <f aca="false">L1603+M1603</f>
        <v>15.45</v>
      </c>
      <c r="U1603" s="60" t="n">
        <f aca="false">S1603+J1603</f>
        <v>31.54</v>
      </c>
      <c r="V1603" s="63" t="n">
        <f aca="false">IFERROR(S1603/F1603,0)</f>
        <v>0.640796424217798</v>
      </c>
      <c r="W1603" s="63" t="n">
        <f aca="false">IFERROR(R1603/F1603,0)</f>
        <v>0.359203575782202</v>
      </c>
      <c r="X1603" s="63" t="n">
        <f aca="false">IFERROR(T1603/F1603,0)</f>
        <v>0.313896789922796</v>
      </c>
      <c r="Y1603" s="63" t="n">
        <f aca="false">IFERROR(G1603/F1603,0)</f>
        <v>0.016253555465258</v>
      </c>
      <c r="Z1603" s="59" t="n">
        <f aca="false">IF(E1603&gt;0,F1603*1000000000/E1603,"")</f>
        <v>4736.81105599802</v>
      </c>
      <c r="AA1603" s="63" t="n">
        <f aca="false">IFERROR((R1603+S1603+J1603)/F1603,0)</f>
        <v>1</v>
      </c>
      <c r="AB1603" s="0" t="str">
        <f aca="false">A1603&amp;"|"&amp;D1603</f>
        <v>Portugal|2021</v>
      </c>
    </row>
    <row r="1604" customFormat="false" ht="15" hidden="false" customHeight="false" outlineLevel="0" collapsed="false">
      <c r="A1604" s="0" t="s">
        <v>333</v>
      </c>
      <c r="B1604" s="0" t="s">
        <v>572</v>
      </c>
      <c r="C1604" s="0" t="s">
        <v>127</v>
      </c>
      <c r="D1604" s="0" t="n">
        <v>2022</v>
      </c>
      <c r="E1604" s="59" t="n">
        <v>10417074</v>
      </c>
      <c r="F1604" s="60" t="n">
        <v>46.33</v>
      </c>
      <c r="G1604" s="61" t="n">
        <v>0</v>
      </c>
      <c r="H1604" s="61" t="n">
        <v>17.39</v>
      </c>
      <c r="I1604" s="61" t="n">
        <v>1.33</v>
      </c>
      <c r="J1604" s="61" t="n">
        <v>0</v>
      </c>
      <c r="K1604" s="61" t="n">
        <v>6.54</v>
      </c>
      <c r="L1604" s="61" t="n">
        <v>3.52</v>
      </c>
      <c r="M1604" s="61" t="n">
        <v>13.25</v>
      </c>
      <c r="N1604" s="61" t="n">
        <v>4.11</v>
      </c>
      <c r="O1604" s="61" t="n">
        <v>0.19</v>
      </c>
      <c r="P1604" s="62" t="n">
        <v>225.3</v>
      </c>
      <c r="Q1604" s="0" t="n">
        <v>0</v>
      </c>
      <c r="R1604" s="60" t="n">
        <f aca="false">G1604+H1604+I1604</f>
        <v>18.72</v>
      </c>
      <c r="S1604" s="60" t="n">
        <f aca="false">K1604+L1604+M1604+N1604+O1604</f>
        <v>27.61</v>
      </c>
      <c r="T1604" s="60" t="n">
        <f aca="false">L1604+M1604</f>
        <v>16.77</v>
      </c>
      <c r="U1604" s="60" t="n">
        <f aca="false">S1604+J1604</f>
        <v>27.61</v>
      </c>
      <c r="V1604" s="63" t="n">
        <f aca="false">IFERROR(S1604/F1604,0)</f>
        <v>0.595942154111807</v>
      </c>
      <c r="W1604" s="63" t="n">
        <f aca="false">IFERROR(R1604/F1604,0)</f>
        <v>0.404057845888193</v>
      </c>
      <c r="X1604" s="63" t="n">
        <f aca="false">IFERROR(T1604/F1604,0)</f>
        <v>0.361968486941507</v>
      </c>
      <c r="Y1604" s="63" t="n">
        <f aca="false">IFERROR(G1604/F1604,0)</f>
        <v>0</v>
      </c>
      <c r="Z1604" s="59" t="n">
        <f aca="false">IF(E1604&gt;0,F1604*1000000000/E1604,"")</f>
        <v>4447.50608472206</v>
      </c>
      <c r="AA1604" s="63" t="n">
        <f aca="false">IFERROR((R1604+S1604+J1604)/F1604,0)</f>
        <v>1</v>
      </c>
      <c r="AB1604" s="0" t="str">
        <f aca="false">A1604&amp;"|"&amp;D1604</f>
        <v>Portugal|2022</v>
      </c>
    </row>
    <row r="1605" customFormat="false" ht="15" hidden="false" customHeight="false" outlineLevel="0" collapsed="false">
      <c r="A1605" s="0" t="s">
        <v>333</v>
      </c>
      <c r="B1605" s="0" t="s">
        <v>572</v>
      </c>
      <c r="C1605" s="0" t="s">
        <v>127</v>
      </c>
      <c r="D1605" s="0" t="n">
        <v>2023</v>
      </c>
      <c r="E1605" s="59" t="n">
        <v>10430735</v>
      </c>
      <c r="F1605" s="60" t="n">
        <v>46.14</v>
      </c>
      <c r="G1605" s="61" t="n">
        <v>0</v>
      </c>
      <c r="H1605" s="61" t="n">
        <v>10.42</v>
      </c>
      <c r="I1605" s="61" t="n">
        <v>1.36</v>
      </c>
      <c r="J1605" s="61" t="n">
        <v>0</v>
      </c>
      <c r="K1605" s="61" t="n">
        <v>12.04</v>
      </c>
      <c r="L1605" s="61" t="n">
        <v>5.16</v>
      </c>
      <c r="M1605" s="61" t="n">
        <v>13.15</v>
      </c>
      <c r="N1605" s="61" t="n">
        <v>3.8</v>
      </c>
      <c r="O1605" s="61" t="n">
        <v>0.21</v>
      </c>
      <c r="P1605" s="62" t="n">
        <v>158.4</v>
      </c>
      <c r="Q1605" s="0" t="n">
        <v>0</v>
      </c>
      <c r="R1605" s="60" t="n">
        <f aca="false">G1605+H1605+I1605</f>
        <v>11.78</v>
      </c>
      <c r="S1605" s="60" t="n">
        <f aca="false">K1605+L1605+M1605+N1605+O1605</f>
        <v>34.36</v>
      </c>
      <c r="T1605" s="60" t="n">
        <f aca="false">L1605+M1605</f>
        <v>18.31</v>
      </c>
      <c r="U1605" s="60" t="n">
        <f aca="false">S1605+J1605</f>
        <v>34.36</v>
      </c>
      <c r="V1605" s="63" t="n">
        <f aca="false">IFERROR(S1605/F1605,0)</f>
        <v>0.744690073688773</v>
      </c>
      <c r="W1605" s="63" t="n">
        <f aca="false">IFERROR(R1605/F1605,0)</f>
        <v>0.255309926311227</v>
      </c>
      <c r="X1605" s="63" t="n">
        <f aca="false">IFERROR(T1605/F1605,0)</f>
        <v>0.396835717381881</v>
      </c>
      <c r="Y1605" s="63" t="n">
        <f aca="false">IFERROR(G1605/F1605,0)</f>
        <v>0</v>
      </c>
      <c r="Z1605" s="59" t="n">
        <f aca="false">IF(E1605&gt;0,F1605*1000000000/E1605,"")</f>
        <v>4423.46584396977</v>
      </c>
      <c r="AA1605" s="63" t="n">
        <f aca="false">IFERROR((R1605+S1605+J1605)/F1605,0)</f>
        <v>1</v>
      </c>
      <c r="AB1605" s="0" t="str">
        <f aca="false">A1605&amp;"|"&amp;D1605</f>
        <v>Portugal|2023</v>
      </c>
    </row>
    <row r="1606" customFormat="false" ht="15" hidden="false" customHeight="false" outlineLevel="0" collapsed="false">
      <c r="A1606" s="0" t="s">
        <v>333</v>
      </c>
      <c r="B1606" s="0" t="s">
        <v>572</v>
      </c>
      <c r="C1606" s="0" t="s">
        <v>127</v>
      </c>
      <c r="D1606" s="0" t="n">
        <v>2024</v>
      </c>
      <c r="E1606" s="59" t="n">
        <v>10425291</v>
      </c>
      <c r="F1606" s="60" t="n">
        <v>47.27</v>
      </c>
      <c r="G1606" s="61" t="n">
        <v>0</v>
      </c>
      <c r="H1606" s="61" t="n">
        <v>5.63</v>
      </c>
      <c r="I1606" s="61" t="n">
        <v>1.37</v>
      </c>
      <c r="J1606" s="61" t="n">
        <v>0</v>
      </c>
      <c r="K1606" s="61" t="n">
        <v>14.89</v>
      </c>
      <c r="L1606" s="61" t="n">
        <v>7.09</v>
      </c>
      <c r="M1606" s="61" t="n">
        <v>14.34</v>
      </c>
      <c r="N1606" s="61" t="n">
        <v>3.75</v>
      </c>
      <c r="O1606" s="61" t="n">
        <v>0.2</v>
      </c>
      <c r="P1606" s="62" t="n">
        <v>110.6</v>
      </c>
      <c r="Q1606" s="0" t="n">
        <v>0</v>
      </c>
      <c r="R1606" s="60" t="n">
        <f aca="false">G1606+H1606+I1606</f>
        <v>7</v>
      </c>
      <c r="S1606" s="60" t="n">
        <f aca="false">K1606+L1606+M1606+N1606+O1606</f>
        <v>40.27</v>
      </c>
      <c r="T1606" s="60" t="n">
        <f aca="false">L1606+M1606</f>
        <v>21.43</v>
      </c>
      <c r="U1606" s="60" t="n">
        <f aca="false">S1606+J1606</f>
        <v>40.27</v>
      </c>
      <c r="V1606" s="63" t="n">
        <f aca="false">IFERROR(S1606/F1606,0)</f>
        <v>0.851914533530781</v>
      </c>
      <c r="W1606" s="63" t="n">
        <f aca="false">IFERROR(R1606/F1606,0)</f>
        <v>0.148085466469219</v>
      </c>
      <c r="X1606" s="63" t="n">
        <f aca="false">IFERROR(T1606/F1606,0)</f>
        <v>0.453353078062196</v>
      </c>
      <c r="Y1606" s="63" t="n">
        <f aca="false">IFERROR(G1606/F1606,0)</f>
        <v>0</v>
      </c>
      <c r="Z1606" s="59" t="n">
        <f aca="false">IF(E1606&gt;0,F1606*1000000000/E1606,"")</f>
        <v>4534.16600073801</v>
      </c>
      <c r="AA1606" s="63" t="n">
        <f aca="false">IFERROR((R1606+S1606+J1606)/F1606,0)</f>
        <v>1</v>
      </c>
      <c r="AB1606" s="0" t="str">
        <f aca="false">A1606&amp;"|"&amp;D1606</f>
        <v>Portugal|2024</v>
      </c>
    </row>
    <row r="1607" customFormat="false" ht="15" hidden="false" customHeight="false" outlineLevel="0" collapsed="false">
      <c r="A1607" s="0" t="s">
        <v>333</v>
      </c>
      <c r="B1607" s="0" t="s">
        <v>572</v>
      </c>
      <c r="C1607" s="0" t="s">
        <v>127</v>
      </c>
      <c r="D1607" s="0" t="n">
        <v>2025</v>
      </c>
      <c r="E1607" s="59" t="n">
        <v>10411831</v>
      </c>
      <c r="F1607" s="60" t="n">
        <v>51.13</v>
      </c>
      <c r="G1607" s="61" t="n">
        <v>0</v>
      </c>
      <c r="H1607" s="61" t="n">
        <v>8.39</v>
      </c>
      <c r="I1607" s="61" t="n">
        <v>1.35</v>
      </c>
      <c r="J1607" s="61" t="n">
        <v>0</v>
      </c>
      <c r="K1607" s="61" t="n">
        <v>15.18</v>
      </c>
      <c r="L1607" s="61" t="n">
        <v>8.86</v>
      </c>
      <c r="M1607" s="61" t="n">
        <v>13.67</v>
      </c>
      <c r="N1607" s="61" t="n">
        <v>3.48</v>
      </c>
      <c r="O1607" s="61" t="n">
        <v>0.2</v>
      </c>
      <c r="P1607" s="62" t="n">
        <v>127.9</v>
      </c>
      <c r="Q1607" s="0" t="n">
        <v>0</v>
      </c>
      <c r="R1607" s="60" t="n">
        <f aca="false">G1607+H1607+I1607</f>
        <v>9.74</v>
      </c>
      <c r="S1607" s="60" t="n">
        <f aca="false">K1607+L1607+M1607+N1607+O1607</f>
        <v>41.39</v>
      </c>
      <c r="T1607" s="60" t="n">
        <f aca="false">L1607+M1607</f>
        <v>22.53</v>
      </c>
      <c r="U1607" s="60" t="n">
        <f aca="false">S1607+J1607</f>
        <v>41.39</v>
      </c>
      <c r="V1607" s="63" t="n">
        <f aca="false">IFERROR(S1607/F1607,0)</f>
        <v>0.809505182867201</v>
      </c>
      <c r="W1607" s="63" t="n">
        <f aca="false">IFERROR(R1607/F1607,0)</f>
        <v>0.190494817132799</v>
      </c>
      <c r="X1607" s="63" t="n">
        <f aca="false">IFERROR(T1607/F1607,0)</f>
        <v>0.440641502053589</v>
      </c>
      <c r="Y1607" s="63" t="n">
        <f aca="false">IFERROR(G1607/F1607,0)</f>
        <v>0</v>
      </c>
      <c r="Z1607" s="59" t="n">
        <f aca="false">IF(E1607&gt;0,F1607*1000000000/E1607,"")</f>
        <v>4910.7596925075</v>
      </c>
      <c r="AA1607" s="63" t="n">
        <f aca="false">IFERROR((R1607+S1607+J1607)/F1607,0)</f>
        <v>1</v>
      </c>
      <c r="AB1607" s="0" t="str">
        <f aca="false">A1607&amp;"|"&amp;D1607</f>
        <v>Portugal|2025</v>
      </c>
    </row>
    <row r="1608" customFormat="false" ht="15" hidden="false" customHeight="false" outlineLevel="0" collapsed="false">
      <c r="A1608" s="0" t="s">
        <v>334</v>
      </c>
      <c r="B1608" s="0" t="s">
        <v>573</v>
      </c>
      <c r="C1608" s="0" t="s">
        <v>127</v>
      </c>
      <c r="D1608" s="0" t="n">
        <v>2015</v>
      </c>
      <c r="E1608" s="59" t="n">
        <v>3521811</v>
      </c>
      <c r="F1608" s="60" t="n">
        <v>20.9</v>
      </c>
      <c r="G1608" s="61" t="n">
        <v>3.26</v>
      </c>
      <c r="H1608" s="61" t="n">
        <v>6.37</v>
      </c>
      <c r="I1608" s="61" t="n">
        <v>10.89</v>
      </c>
      <c r="J1608" s="61" t="n">
        <v>0</v>
      </c>
      <c r="K1608" s="61" t="n">
        <v>0.05</v>
      </c>
      <c r="L1608" s="61" t="n">
        <v>0.09</v>
      </c>
      <c r="M1608" s="61" t="n">
        <v>0.24</v>
      </c>
      <c r="N1608" s="61" t="n">
        <v>0</v>
      </c>
      <c r="O1608" s="61" t="n">
        <v>0</v>
      </c>
      <c r="P1608" s="62" t="n">
        <v>680.9</v>
      </c>
      <c r="Q1608" s="0" t="n">
        <v>0</v>
      </c>
      <c r="R1608" s="60" t="n">
        <f aca="false">G1608+H1608+I1608</f>
        <v>20.52</v>
      </c>
      <c r="S1608" s="60" t="n">
        <f aca="false">K1608+L1608+M1608+N1608+O1608</f>
        <v>0.38</v>
      </c>
      <c r="T1608" s="60" t="n">
        <f aca="false">L1608+M1608</f>
        <v>0.33</v>
      </c>
      <c r="U1608" s="60" t="n">
        <f aca="false">S1608+J1608</f>
        <v>0.38</v>
      </c>
      <c r="V1608" s="63" t="n">
        <f aca="false">IFERROR(S1608/F1608,0)</f>
        <v>0.0181818181818182</v>
      </c>
      <c r="W1608" s="63" t="n">
        <f aca="false">IFERROR(R1608/F1608,0)</f>
        <v>0.981818181818182</v>
      </c>
      <c r="X1608" s="63" t="n">
        <f aca="false">IFERROR(T1608/F1608,0)</f>
        <v>0.0157894736842105</v>
      </c>
      <c r="Y1608" s="63" t="n">
        <f aca="false">IFERROR(G1608/F1608,0)</f>
        <v>0.155980861244019</v>
      </c>
      <c r="Z1608" s="59" t="n">
        <f aca="false">IF(E1608&gt;0,F1608*1000000000/E1608,"")</f>
        <v>5934.44679456109</v>
      </c>
      <c r="AA1608" s="63" t="n">
        <f aca="false">IFERROR((R1608+S1608+J1608)/F1608,0)</f>
        <v>1</v>
      </c>
      <c r="AB1608" s="0" t="str">
        <f aca="false">A1608&amp;"|"&amp;D1608</f>
        <v>Puerto Rico|2015</v>
      </c>
    </row>
    <row r="1609" customFormat="false" ht="15" hidden="false" customHeight="false" outlineLevel="0" collapsed="false">
      <c r="A1609" s="0" t="s">
        <v>334</v>
      </c>
      <c r="B1609" s="0" t="s">
        <v>573</v>
      </c>
      <c r="C1609" s="0" t="s">
        <v>127</v>
      </c>
      <c r="D1609" s="0" t="n">
        <v>2016</v>
      </c>
      <c r="E1609" s="59" t="n">
        <v>3476008</v>
      </c>
      <c r="F1609" s="60" t="n">
        <v>20.64</v>
      </c>
      <c r="G1609" s="61" t="n">
        <v>3.48</v>
      </c>
      <c r="H1609" s="61" t="n">
        <v>6.96</v>
      </c>
      <c r="I1609" s="61" t="n">
        <v>9.81</v>
      </c>
      <c r="J1609" s="61" t="n">
        <v>0</v>
      </c>
      <c r="K1609" s="61" t="n">
        <v>0.07</v>
      </c>
      <c r="L1609" s="61" t="n">
        <v>0.12</v>
      </c>
      <c r="M1609" s="61" t="n">
        <v>0.19</v>
      </c>
      <c r="N1609" s="61" t="n">
        <v>0.01</v>
      </c>
      <c r="O1609" s="61" t="n">
        <v>0</v>
      </c>
      <c r="P1609" s="62" t="n">
        <v>683.1</v>
      </c>
      <c r="Q1609" s="0" t="n">
        <v>0</v>
      </c>
      <c r="R1609" s="60" t="n">
        <f aca="false">G1609+H1609+I1609</f>
        <v>20.25</v>
      </c>
      <c r="S1609" s="60" t="n">
        <f aca="false">K1609+L1609+M1609+N1609+O1609</f>
        <v>0.39</v>
      </c>
      <c r="T1609" s="60" t="n">
        <f aca="false">L1609+M1609</f>
        <v>0.31</v>
      </c>
      <c r="U1609" s="60" t="n">
        <f aca="false">S1609+J1609</f>
        <v>0.39</v>
      </c>
      <c r="V1609" s="63" t="n">
        <f aca="false">IFERROR(S1609/F1609,0)</f>
        <v>0.0188953488372093</v>
      </c>
      <c r="W1609" s="63" t="n">
        <f aca="false">IFERROR(R1609/F1609,0)</f>
        <v>0.981104651162791</v>
      </c>
      <c r="X1609" s="63" t="n">
        <f aca="false">IFERROR(T1609/F1609,0)</f>
        <v>0.0150193798449612</v>
      </c>
      <c r="Y1609" s="63" t="n">
        <f aca="false">IFERROR(G1609/F1609,0)</f>
        <v>0.168604651162791</v>
      </c>
      <c r="Z1609" s="59" t="n">
        <f aca="false">IF(E1609&gt;0,F1609*1000000000/E1609,"")</f>
        <v>5937.84594281716</v>
      </c>
      <c r="AA1609" s="63" t="n">
        <f aca="false">IFERROR((R1609+S1609+J1609)/F1609,0)</f>
        <v>1</v>
      </c>
      <c r="AB1609" s="0" t="str">
        <f aca="false">A1609&amp;"|"&amp;D1609</f>
        <v>Puerto Rico|2016</v>
      </c>
    </row>
    <row r="1610" customFormat="false" ht="15" hidden="false" customHeight="false" outlineLevel="0" collapsed="false">
      <c r="A1610" s="0" t="s">
        <v>334</v>
      </c>
      <c r="B1610" s="0" t="s">
        <v>573</v>
      </c>
      <c r="C1610" s="0" t="s">
        <v>127</v>
      </c>
      <c r="D1610" s="0" t="n">
        <v>2017</v>
      </c>
      <c r="E1610" s="59" t="n">
        <v>3371878</v>
      </c>
      <c r="F1610" s="60" t="n">
        <v>16.38</v>
      </c>
      <c r="G1610" s="61" t="n">
        <v>2.32</v>
      </c>
      <c r="H1610" s="61" t="n">
        <v>5.28</v>
      </c>
      <c r="I1610" s="61" t="n">
        <v>8.41</v>
      </c>
      <c r="J1610" s="61" t="n">
        <v>0</v>
      </c>
      <c r="K1610" s="61" t="n">
        <v>0.05</v>
      </c>
      <c r="L1610" s="61" t="n">
        <v>0.16</v>
      </c>
      <c r="M1610" s="61" t="n">
        <v>0.15</v>
      </c>
      <c r="N1610" s="61" t="n">
        <v>0.01</v>
      </c>
      <c r="O1610" s="61" t="n">
        <v>0</v>
      </c>
      <c r="P1610" s="62" t="n">
        <v>674</v>
      </c>
      <c r="Q1610" s="0" t="n">
        <v>0</v>
      </c>
      <c r="R1610" s="60" t="n">
        <f aca="false">G1610+H1610+I1610</f>
        <v>16.01</v>
      </c>
      <c r="S1610" s="60" t="n">
        <f aca="false">K1610+L1610+M1610+N1610+O1610</f>
        <v>0.37</v>
      </c>
      <c r="T1610" s="60" t="n">
        <f aca="false">L1610+M1610</f>
        <v>0.31</v>
      </c>
      <c r="U1610" s="60" t="n">
        <f aca="false">S1610+J1610</f>
        <v>0.37</v>
      </c>
      <c r="V1610" s="63" t="n">
        <f aca="false">IFERROR(S1610/F1610,0)</f>
        <v>0.0225885225885226</v>
      </c>
      <c r="W1610" s="63" t="n">
        <f aca="false">IFERROR(R1610/F1610,0)</f>
        <v>0.977411477411477</v>
      </c>
      <c r="X1610" s="63" t="n">
        <f aca="false">IFERROR(T1610/F1610,0)</f>
        <v>0.0189255189255189</v>
      </c>
      <c r="Y1610" s="63" t="n">
        <f aca="false">IFERROR(G1610/F1610,0)</f>
        <v>0.141636141636142</v>
      </c>
      <c r="Z1610" s="59" t="n">
        <f aca="false">IF(E1610&gt;0,F1610*1000000000/E1610,"")</f>
        <v>4857.82700323084</v>
      </c>
      <c r="AA1610" s="63" t="n">
        <f aca="false">IFERROR((R1610+S1610+J1610)/F1610,0)</f>
        <v>1</v>
      </c>
      <c r="AB1610" s="0" t="str">
        <f aca="false">A1610&amp;"|"&amp;D1610</f>
        <v>Puerto Rico|2017</v>
      </c>
    </row>
    <row r="1611" customFormat="false" ht="15" hidden="false" customHeight="false" outlineLevel="0" collapsed="false">
      <c r="A1611" s="0" t="s">
        <v>334</v>
      </c>
      <c r="B1611" s="0" t="s">
        <v>573</v>
      </c>
      <c r="C1611" s="0" t="s">
        <v>127</v>
      </c>
      <c r="D1611" s="0" t="n">
        <v>2018</v>
      </c>
      <c r="E1611" s="59" t="n">
        <v>3290068</v>
      </c>
      <c r="F1611" s="60" t="n">
        <v>17.69</v>
      </c>
      <c r="G1611" s="61" t="n">
        <v>2.51</v>
      </c>
      <c r="H1611" s="61" t="n">
        <v>6.22</v>
      </c>
      <c r="I1611" s="61" t="n">
        <v>8.49</v>
      </c>
      <c r="J1611" s="61" t="n">
        <v>0</v>
      </c>
      <c r="K1611" s="61" t="n">
        <v>0.04</v>
      </c>
      <c r="L1611" s="61" t="n">
        <v>0.31</v>
      </c>
      <c r="M1611" s="61" t="n">
        <v>0.11</v>
      </c>
      <c r="N1611" s="61" t="n">
        <v>0.01</v>
      </c>
      <c r="O1611" s="61" t="n">
        <v>0</v>
      </c>
      <c r="P1611" s="62" t="n">
        <v>671.6</v>
      </c>
      <c r="Q1611" s="0" t="n">
        <v>0</v>
      </c>
      <c r="R1611" s="60" t="n">
        <f aca="false">G1611+H1611+I1611</f>
        <v>17.22</v>
      </c>
      <c r="S1611" s="60" t="n">
        <f aca="false">K1611+L1611+M1611+N1611+O1611</f>
        <v>0.47</v>
      </c>
      <c r="T1611" s="60" t="n">
        <f aca="false">L1611+M1611</f>
        <v>0.42</v>
      </c>
      <c r="U1611" s="60" t="n">
        <f aca="false">S1611+J1611</f>
        <v>0.47</v>
      </c>
      <c r="V1611" s="63" t="n">
        <f aca="false">IFERROR(S1611/F1611,0)</f>
        <v>0.0265686828716789</v>
      </c>
      <c r="W1611" s="63" t="n">
        <f aca="false">IFERROR(R1611/F1611,0)</f>
        <v>0.973431317128321</v>
      </c>
      <c r="X1611" s="63" t="n">
        <f aca="false">IFERROR(T1611/F1611,0)</f>
        <v>0.0237422272470322</v>
      </c>
      <c r="Y1611" s="63" t="n">
        <f aca="false">IFERROR(G1611/F1611,0)</f>
        <v>0.141888072357264</v>
      </c>
      <c r="Z1611" s="59" t="n">
        <f aca="false">IF(E1611&gt;0,F1611*1000000000/E1611,"")</f>
        <v>5376.78856485641</v>
      </c>
      <c r="AA1611" s="63" t="n">
        <f aca="false">IFERROR((R1611+S1611+J1611)/F1611,0)</f>
        <v>1</v>
      </c>
      <c r="AB1611" s="0" t="str">
        <f aca="false">A1611&amp;"|"&amp;D1611</f>
        <v>Puerto Rico|2018</v>
      </c>
    </row>
    <row r="1612" customFormat="false" ht="15" hidden="false" customHeight="false" outlineLevel="0" collapsed="false">
      <c r="A1612" s="0" t="s">
        <v>334</v>
      </c>
      <c r="B1612" s="0" t="s">
        <v>573</v>
      </c>
      <c r="C1612" s="0" t="s">
        <v>127</v>
      </c>
      <c r="D1612" s="0" t="n">
        <v>2019</v>
      </c>
      <c r="E1612" s="59" t="n">
        <v>3288027</v>
      </c>
      <c r="F1612" s="60" t="n">
        <v>19.15</v>
      </c>
      <c r="G1612" s="61" t="n">
        <v>3.52</v>
      </c>
      <c r="H1612" s="61" t="n">
        <v>7.63</v>
      </c>
      <c r="I1612" s="61" t="n">
        <v>7.27</v>
      </c>
      <c r="J1612" s="61" t="n">
        <v>0</v>
      </c>
      <c r="K1612" s="61" t="n">
        <v>0.05</v>
      </c>
      <c r="L1612" s="61" t="n">
        <v>0.5</v>
      </c>
      <c r="M1612" s="61" t="n">
        <v>0.16</v>
      </c>
      <c r="N1612" s="61" t="n">
        <v>0.02</v>
      </c>
      <c r="O1612" s="61" t="n">
        <v>0</v>
      </c>
      <c r="P1612" s="62" t="n">
        <v>673.6</v>
      </c>
      <c r="Q1612" s="0" t="n">
        <v>0</v>
      </c>
      <c r="R1612" s="60" t="n">
        <f aca="false">G1612+H1612+I1612</f>
        <v>18.42</v>
      </c>
      <c r="S1612" s="60" t="n">
        <f aca="false">K1612+L1612+M1612+N1612+O1612</f>
        <v>0.73</v>
      </c>
      <c r="T1612" s="60" t="n">
        <f aca="false">L1612+M1612</f>
        <v>0.66</v>
      </c>
      <c r="U1612" s="60" t="n">
        <f aca="false">S1612+J1612</f>
        <v>0.73</v>
      </c>
      <c r="V1612" s="63" t="n">
        <f aca="false">IFERROR(S1612/F1612,0)</f>
        <v>0.0381201044386423</v>
      </c>
      <c r="W1612" s="63" t="n">
        <f aca="false">IFERROR(R1612/F1612,0)</f>
        <v>0.961879895561358</v>
      </c>
      <c r="X1612" s="63" t="n">
        <f aca="false">IFERROR(T1612/F1612,0)</f>
        <v>0.0344647519582246</v>
      </c>
      <c r="Y1612" s="63" t="n">
        <f aca="false">IFERROR(G1612/F1612,0)</f>
        <v>0.183812010443864</v>
      </c>
      <c r="Z1612" s="59" t="n">
        <f aca="false">IF(E1612&gt;0,F1612*1000000000/E1612,"")</f>
        <v>5824.16141959905</v>
      </c>
      <c r="AA1612" s="63" t="n">
        <f aca="false">IFERROR((R1612+S1612+J1612)/F1612,0)</f>
        <v>1</v>
      </c>
      <c r="AB1612" s="0" t="str">
        <f aca="false">A1612&amp;"|"&amp;D1612</f>
        <v>Puerto Rico|2019</v>
      </c>
    </row>
    <row r="1613" customFormat="false" ht="15" hidden="false" customHeight="false" outlineLevel="0" collapsed="false">
      <c r="A1613" s="0" t="s">
        <v>334</v>
      </c>
      <c r="B1613" s="0" t="s">
        <v>573</v>
      </c>
      <c r="C1613" s="0" t="s">
        <v>127</v>
      </c>
      <c r="D1613" s="0" t="n">
        <v>2020</v>
      </c>
      <c r="E1613" s="59" t="n">
        <v>3275800</v>
      </c>
      <c r="F1613" s="60" t="n">
        <v>19.07</v>
      </c>
      <c r="G1613" s="61" t="n">
        <v>3.06</v>
      </c>
      <c r="H1613" s="61" t="n">
        <v>5.62</v>
      </c>
      <c r="I1613" s="61" t="n">
        <v>9.63</v>
      </c>
      <c r="J1613" s="61" t="n">
        <v>0</v>
      </c>
      <c r="K1613" s="61" t="n">
        <v>0.05</v>
      </c>
      <c r="L1613" s="61" t="n">
        <v>0.56</v>
      </c>
      <c r="M1613" s="61" t="n">
        <v>0.14</v>
      </c>
      <c r="N1613" s="61" t="n">
        <v>0.01</v>
      </c>
      <c r="O1613" s="61" t="n">
        <v>0</v>
      </c>
      <c r="P1613" s="62" t="n">
        <v>668.6</v>
      </c>
      <c r="Q1613" s="0" t="n">
        <v>0</v>
      </c>
      <c r="R1613" s="60" t="n">
        <f aca="false">G1613+H1613+I1613</f>
        <v>18.31</v>
      </c>
      <c r="S1613" s="60" t="n">
        <f aca="false">K1613+L1613+M1613+N1613+O1613</f>
        <v>0.76</v>
      </c>
      <c r="T1613" s="60" t="n">
        <f aca="false">L1613+M1613</f>
        <v>0.7</v>
      </c>
      <c r="U1613" s="60" t="n">
        <f aca="false">S1613+J1613</f>
        <v>0.76</v>
      </c>
      <c r="V1613" s="63" t="n">
        <f aca="false">IFERROR(S1613/F1613,0)</f>
        <v>0.0398531725222863</v>
      </c>
      <c r="W1613" s="63" t="n">
        <f aca="false">IFERROR(R1613/F1613,0)</f>
        <v>0.960146827477714</v>
      </c>
      <c r="X1613" s="63" t="n">
        <f aca="false">IFERROR(T1613/F1613,0)</f>
        <v>0.0367068694284216</v>
      </c>
      <c r="Y1613" s="63" t="n">
        <f aca="false">IFERROR(G1613/F1613,0)</f>
        <v>0.1604614577871</v>
      </c>
      <c r="Z1613" s="59" t="n">
        <f aca="false">IF(E1613&gt;0,F1613*1000000000/E1613,"")</f>
        <v>5821.47872275475</v>
      </c>
      <c r="AA1613" s="63" t="n">
        <f aca="false">IFERROR((R1613+S1613+J1613)/F1613,0)</f>
        <v>1</v>
      </c>
      <c r="AB1613" s="0" t="str">
        <f aca="false">A1613&amp;"|"&amp;D1613</f>
        <v>Puerto Rico|2020</v>
      </c>
    </row>
    <row r="1614" customFormat="false" ht="15" hidden="false" customHeight="false" outlineLevel="0" collapsed="false">
      <c r="A1614" s="0" t="s">
        <v>334</v>
      </c>
      <c r="B1614" s="0" t="s">
        <v>573</v>
      </c>
      <c r="C1614" s="0" t="s">
        <v>127</v>
      </c>
      <c r="D1614" s="0" t="n">
        <v>2021</v>
      </c>
      <c r="E1614" s="59" t="n">
        <v>3253210</v>
      </c>
      <c r="F1614" s="60" t="n">
        <v>19.36</v>
      </c>
      <c r="G1614" s="61" t="n">
        <v>3.18</v>
      </c>
      <c r="H1614" s="61" t="n">
        <v>5.28</v>
      </c>
      <c r="I1614" s="61" t="n">
        <v>10</v>
      </c>
      <c r="J1614" s="61" t="n">
        <v>0</v>
      </c>
      <c r="K1614" s="61" t="n">
        <v>0.05</v>
      </c>
      <c r="L1614" s="61" t="n">
        <v>0.68</v>
      </c>
      <c r="M1614" s="61" t="n">
        <v>0.16</v>
      </c>
      <c r="N1614" s="61" t="n">
        <v>0.01</v>
      </c>
      <c r="O1614" s="61" t="n">
        <v>0</v>
      </c>
      <c r="P1614" s="62" t="n">
        <v>665.3</v>
      </c>
      <c r="Q1614" s="0" t="n">
        <v>0</v>
      </c>
      <c r="R1614" s="60" t="n">
        <f aca="false">G1614+H1614+I1614</f>
        <v>18.46</v>
      </c>
      <c r="S1614" s="60" t="n">
        <f aca="false">K1614+L1614+M1614+N1614+O1614</f>
        <v>0.9</v>
      </c>
      <c r="T1614" s="60" t="n">
        <f aca="false">L1614+M1614</f>
        <v>0.84</v>
      </c>
      <c r="U1614" s="60" t="n">
        <f aca="false">S1614+J1614</f>
        <v>0.9</v>
      </c>
      <c r="V1614" s="63" t="n">
        <f aca="false">IFERROR(S1614/F1614,0)</f>
        <v>0.0464876033057851</v>
      </c>
      <c r="W1614" s="63" t="n">
        <f aca="false">IFERROR(R1614/F1614,0)</f>
        <v>0.953512396694215</v>
      </c>
      <c r="X1614" s="63" t="n">
        <f aca="false">IFERROR(T1614/F1614,0)</f>
        <v>0.0433884297520661</v>
      </c>
      <c r="Y1614" s="63" t="n">
        <f aca="false">IFERROR(G1614/F1614,0)</f>
        <v>0.164256198347107</v>
      </c>
      <c r="Z1614" s="59" t="n">
        <f aca="false">IF(E1614&gt;0,F1614*1000000000/E1614,"")</f>
        <v>5951.04527528195</v>
      </c>
      <c r="AA1614" s="63" t="n">
        <f aca="false">IFERROR((R1614+S1614+J1614)/F1614,0)</f>
        <v>1</v>
      </c>
      <c r="AB1614" s="0" t="str">
        <f aca="false">A1614&amp;"|"&amp;D1614</f>
        <v>Puerto Rico|2021</v>
      </c>
    </row>
    <row r="1615" customFormat="false" ht="15" hidden="false" customHeight="false" outlineLevel="0" collapsed="false">
      <c r="A1615" s="0" t="s">
        <v>334</v>
      </c>
      <c r="B1615" s="0" t="s">
        <v>573</v>
      </c>
      <c r="C1615" s="0" t="s">
        <v>127</v>
      </c>
      <c r="D1615" s="0" t="n">
        <v>2022</v>
      </c>
      <c r="E1615" s="59" t="n">
        <v>3240972</v>
      </c>
      <c r="F1615" s="60" t="n">
        <v>19.9</v>
      </c>
      <c r="G1615" s="61" t="n">
        <v>3.24</v>
      </c>
      <c r="H1615" s="61" t="n">
        <v>5.39</v>
      </c>
      <c r="I1615" s="61" t="n">
        <v>10.2</v>
      </c>
      <c r="J1615" s="61" t="n">
        <v>0</v>
      </c>
      <c r="K1615" s="61" t="n">
        <v>0.05</v>
      </c>
      <c r="L1615" s="61" t="n">
        <v>0.85</v>
      </c>
      <c r="M1615" s="61" t="n">
        <v>0.16</v>
      </c>
      <c r="N1615" s="61" t="n">
        <v>0.01</v>
      </c>
      <c r="O1615" s="61" t="n">
        <v>0</v>
      </c>
      <c r="P1615" s="62" t="n">
        <v>660.3</v>
      </c>
      <c r="Q1615" s="0" t="n">
        <v>0</v>
      </c>
      <c r="R1615" s="60" t="n">
        <f aca="false">G1615+H1615+I1615</f>
        <v>18.83</v>
      </c>
      <c r="S1615" s="60" t="n">
        <f aca="false">K1615+L1615+M1615+N1615+O1615</f>
        <v>1.07</v>
      </c>
      <c r="T1615" s="60" t="n">
        <f aca="false">L1615+M1615</f>
        <v>1.01</v>
      </c>
      <c r="U1615" s="60" t="n">
        <f aca="false">S1615+J1615</f>
        <v>1.07</v>
      </c>
      <c r="V1615" s="63" t="n">
        <f aca="false">IFERROR(S1615/F1615,0)</f>
        <v>0.0537688442211055</v>
      </c>
      <c r="W1615" s="63" t="n">
        <f aca="false">IFERROR(R1615/F1615,0)</f>
        <v>0.946231155778895</v>
      </c>
      <c r="X1615" s="63" t="n">
        <f aca="false">IFERROR(T1615/F1615,0)</f>
        <v>0.0507537688442211</v>
      </c>
      <c r="Y1615" s="63" t="n">
        <f aca="false">IFERROR(G1615/F1615,0)</f>
        <v>0.162814070351759</v>
      </c>
      <c r="Z1615" s="59" t="n">
        <f aca="false">IF(E1615&gt;0,F1615*1000000000/E1615,"")</f>
        <v>6140.13326866138</v>
      </c>
      <c r="AA1615" s="63" t="n">
        <f aca="false">IFERROR((R1615+S1615+J1615)/F1615,0)</f>
        <v>1</v>
      </c>
      <c r="AB1615" s="0" t="str">
        <f aca="false">A1615&amp;"|"&amp;D1615</f>
        <v>Puerto Rico|2022</v>
      </c>
    </row>
    <row r="1616" customFormat="false" ht="15" hidden="false" customHeight="false" outlineLevel="0" collapsed="false">
      <c r="A1616" s="0" t="s">
        <v>334</v>
      </c>
      <c r="B1616" s="0" t="s">
        <v>573</v>
      </c>
      <c r="C1616" s="0" t="s">
        <v>127</v>
      </c>
      <c r="D1616" s="0" t="n">
        <v>2023</v>
      </c>
      <c r="E1616" s="59" t="n">
        <v>3242022</v>
      </c>
      <c r="F1616" s="60" t="n">
        <v>19.9</v>
      </c>
      <c r="G1616" s="61" t="n">
        <v>3.24</v>
      </c>
      <c r="H1616" s="61" t="n">
        <v>5.39</v>
      </c>
      <c r="I1616" s="61" t="n">
        <v>10.2</v>
      </c>
      <c r="J1616" s="61" t="n">
        <v>0</v>
      </c>
      <c r="K1616" s="61" t="n">
        <v>0.05</v>
      </c>
      <c r="L1616" s="61" t="n">
        <v>0.85</v>
      </c>
      <c r="M1616" s="61" t="n">
        <v>0.16</v>
      </c>
      <c r="N1616" s="61" t="n">
        <v>0.01</v>
      </c>
      <c r="O1616" s="61" t="n">
        <v>0</v>
      </c>
      <c r="P1616" s="62" t="n">
        <v>660.3</v>
      </c>
      <c r="Q1616" s="0" t="n">
        <v>0</v>
      </c>
      <c r="R1616" s="60" t="n">
        <f aca="false">G1616+H1616+I1616</f>
        <v>18.83</v>
      </c>
      <c r="S1616" s="60" t="n">
        <f aca="false">K1616+L1616+M1616+N1616+O1616</f>
        <v>1.07</v>
      </c>
      <c r="T1616" s="60" t="n">
        <f aca="false">L1616+M1616</f>
        <v>1.01</v>
      </c>
      <c r="U1616" s="60" t="n">
        <f aca="false">S1616+J1616</f>
        <v>1.07</v>
      </c>
      <c r="V1616" s="63" t="n">
        <f aca="false">IFERROR(S1616/F1616,0)</f>
        <v>0.0537688442211055</v>
      </c>
      <c r="W1616" s="63" t="n">
        <f aca="false">IFERROR(R1616/F1616,0)</f>
        <v>0.946231155778895</v>
      </c>
      <c r="X1616" s="63" t="n">
        <f aca="false">IFERROR(T1616/F1616,0)</f>
        <v>0.0507537688442211</v>
      </c>
      <c r="Y1616" s="63" t="n">
        <f aca="false">IFERROR(G1616/F1616,0)</f>
        <v>0.162814070351759</v>
      </c>
      <c r="Z1616" s="59" t="n">
        <f aca="false">IF(E1616&gt;0,F1616*1000000000/E1616,"")</f>
        <v>6138.14465170193</v>
      </c>
      <c r="AA1616" s="63" t="n">
        <f aca="false">IFERROR((R1616+S1616+J1616)/F1616,0)</f>
        <v>1</v>
      </c>
      <c r="AB1616" s="0" t="str">
        <f aca="false">A1616&amp;"|"&amp;D1616</f>
        <v>Puerto Rico|2023</v>
      </c>
    </row>
    <row r="1617" customFormat="false" ht="15" hidden="false" customHeight="false" outlineLevel="0" collapsed="false">
      <c r="A1617" s="0" t="s">
        <v>334</v>
      </c>
      <c r="B1617" s="0" t="s">
        <v>573</v>
      </c>
      <c r="C1617" s="0" t="s">
        <v>127</v>
      </c>
      <c r="D1617" s="0" t="n">
        <v>2024</v>
      </c>
      <c r="E1617" s="59" t="n">
        <v>3242212</v>
      </c>
      <c r="F1617" s="60" t="n">
        <v>20</v>
      </c>
      <c r="G1617" s="61" t="n">
        <v>3.2</v>
      </c>
      <c r="H1617" s="61" t="n">
        <v>5.4</v>
      </c>
      <c r="I1617" s="61" t="n">
        <v>10.2</v>
      </c>
      <c r="J1617" s="61" t="n">
        <v>0</v>
      </c>
      <c r="K1617" s="61" t="n">
        <v>0.05</v>
      </c>
      <c r="L1617" s="61" t="n">
        <v>0.96</v>
      </c>
      <c r="M1617" s="61" t="n">
        <v>0.18</v>
      </c>
      <c r="N1617" s="61" t="n">
        <v>0.01</v>
      </c>
      <c r="O1617" s="61" t="n">
        <v>0</v>
      </c>
      <c r="P1617" s="62" t="n">
        <v>656</v>
      </c>
      <c r="Q1617" s="0" t="n">
        <v>0</v>
      </c>
      <c r="R1617" s="60" t="n">
        <f aca="false">G1617+H1617+I1617</f>
        <v>18.8</v>
      </c>
      <c r="S1617" s="60" t="n">
        <f aca="false">K1617+L1617+M1617+N1617+O1617</f>
        <v>1.2</v>
      </c>
      <c r="T1617" s="60" t="n">
        <f aca="false">L1617+M1617</f>
        <v>1.14</v>
      </c>
      <c r="U1617" s="60" t="n">
        <f aca="false">S1617+J1617</f>
        <v>1.2</v>
      </c>
      <c r="V1617" s="63" t="n">
        <f aca="false">IFERROR(S1617/F1617,0)</f>
        <v>0.06</v>
      </c>
      <c r="W1617" s="63" t="n">
        <f aca="false">IFERROR(R1617/F1617,0)</f>
        <v>0.94</v>
      </c>
      <c r="X1617" s="63" t="n">
        <f aca="false">IFERROR(T1617/F1617,0)</f>
        <v>0.057</v>
      </c>
      <c r="Y1617" s="63" t="n">
        <f aca="false">IFERROR(G1617/F1617,0)</f>
        <v>0.16</v>
      </c>
      <c r="Z1617" s="59" t="n">
        <f aca="false">IF(E1617&gt;0,F1617*1000000000/E1617,"")</f>
        <v>6168.62808477669</v>
      </c>
      <c r="AA1617" s="63" t="n">
        <f aca="false">IFERROR((R1617+S1617+J1617)/F1617,0)</f>
        <v>1</v>
      </c>
      <c r="AB1617" s="0" t="str">
        <f aca="false">A1617&amp;"|"&amp;D1617</f>
        <v>Puerto Rico|2024</v>
      </c>
    </row>
    <row r="1618" customFormat="false" ht="15" hidden="false" customHeight="false" outlineLevel="0" collapsed="false">
      <c r="A1618" s="0" t="s">
        <v>334</v>
      </c>
      <c r="B1618" s="0" t="s">
        <v>573</v>
      </c>
      <c r="C1618" s="0" t="s">
        <v>127</v>
      </c>
      <c r="D1618" s="0" t="n">
        <v>2025</v>
      </c>
      <c r="E1618" s="59" t="n">
        <v>3235290</v>
      </c>
      <c r="F1618" s="60" t="n">
        <v>20.27</v>
      </c>
      <c r="G1618" s="61" t="n">
        <v>3.35</v>
      </c>
      <c r="H1618" s="61" t="n">
        <v>5.98</v>
      </c>
      <c r="I1618" s="61" t="n">
        <v>9.65</v>
      </c>
      <c r="J1618" s="61" t="n">
        <v>0</v>
      </c>
      <c r="K1618" s="61" t="n">
        <v>0.05</v>
      </c>
      <c r="L1618" s="61" t="n">
        <v>1</v>
      </c>
      <c r="M1618" s="61" t="n">
        <v>0.23</v>
      </c>
      <c r="N1618" s="61" t="n">
        <v>0.01</v>
      </c>
      <c r="O1618" s="61" t="n">
        <v>0</v>
      </c>
      <c r="P1618" s="62" t="n">
        <v>654.7</v>
      </c>
      <c r="Q1618" s="0" t="n">
        <v>0</v>
      </c>
      <c r="R1618" s="60" t="n">
        <f aca="false">G1618+H1618+I1618</f>
        <v>18.98</v>
      </c>
      <c r="S1618" s="60" t="n">
        <f aca="false">K1618+L1618+M1618+N1618+O1618</f>
        <v>1.29</v>
      </c>
      <c r="T1618" s="60" t="n">
        <f aca="false">L1618+M1618</f>
        <v>1.23</v>
      </c>
      <c r="U1618" s="60" t="n">
        <f aca="false">S1618+J1618</f>
        <v>1.29</v>
      </c>
      <c r="V1618" s="63" t="n">
        <f aca="false">IFERROR(S1618/F1618,0)</f>
        <v>0.0636408485446473</v>
      </c>
      <c r="W1618" s="63" t="n">
        <f aca="false">IFERROR(R1618/F1618,0)</f>
        <v>0.936359151455353</v>
      </c>
      <c r="X1618" s="63" t="n">
        <f aca="false">IFERROR(T1618/F1618,0)</f>
        <v>0.0606808090774544</v>
      </c>
      <c r="Y1618" s="63" t="n">
        <f aca="false">IFERROR(G1618/F1618,0)</f>
        <v>0.165268870251603</v>
      </c>
      <c r="Z1618" s="59" t="n">
        <f aca="false">IF(E1618&gt;0,F1618*1000000000/E1618,"")</f>
        <v>6265.28070126635</v>
      </c>
      <c r="AA1618" s="63" t="n">
        <f aca="false">IFERROR((R1618+S1618+J1618)/F1618,0)</f>
        <v>1</v>
      </c>
      <c r="AB1618" s="0" t="str">
        <f aca="false">A1618&amp;"|"&amp;D1618</f>
        <v>Puerto Rico|2025</v>
      </c>
    </row>
    <row r="1619" customFormat="false" ht="15" hidden="false" customHeight="false" outlineLevel="0" collapsed="false">
      <c r="A1619" s="0" t="s">
        <v>335</v>
      </c>
      <c r="B1619" s="0" t="s">
        <v>574</v>
      </c>
      <c r="C1619" s="0" t="s">
        <v>127</v>
      </c>
      <c r="D1619" s="0" t="n">
        <v>2015</v>
      </c>
      <c r="E1619" s="59" t="n">
        <v>2427340</v>
      </c>
      <c r="F1619" s="60" t="n">
        <v>41.63</v>
      </c>
      <c r="G1619" s="61" t="n">
        <v>0</v>
      </c>
      <c r="H1619" s="61" t="n">
        <v>41.5</v>
      </c>
      <c r="I1619" s="61" t="n">
        <v>0</v>
      </c>
      <c r="J1619" s="61" t="n">
        <v>0</v>
      </c>
      <c r="K1619" s="61" t="n">
        <v>0</v>
      </c>
      <c r="L1619" s="61" t="n">
        <v>0.01</v>
      </c>
      <c r="M1619" s="61" t="n">
        <v>0</v>
      </c>
      <c r="N1619" s="61" t="n">
        <v>0.12</v>
      </c>
      <c r="O1619" s="61" t="n">
        <v>0</v>
      </c>
      <c r="P1619" s="62" t="n">
        <v>602.5</v>
      </c>
      <c r="Q1619" s="0" t="n">
        <v>0</v>
      </c>
      <c r="R1619" s="60" t="n">
        <f aca="false">G1619+H1619+I1619</f>
        <v>41.5</v>
      </c>
      <c r="S1619" s="60" t="n">
        <f aca="false">K1619+L1619+M1619+N1619+O1619</f>
        <v>0.13</v>
      </c>
      <c r="T1619" s="60" t="n">
        <f aca="false">L1619+M1619</f>
        <v>0.01</v>
      </c>
      <c r="U1619" s="60" t="n">
        <f aca="false">S1619+J1619</f>
        <v>0.13</v>
      </c>
      <c r="V1619" s="63" t="n">
        <f aca="false">IFERROR(S1619/F1619,0)</f>
        <v>0.00312274801825607</v>
      </c>
      <c r="W1619" s="63" t="n">
        <f aca="false">IFERROR(R1619/F1619,0)</f>
        <v>0.996877251981744</v>
      </c>
      <c r="X1619" s="63" t="n">
        <f aca="false">IFERROR(T1619/F1619,0)</f>
        <v>0.000240211386019697</v>
      </c>
      <c r="Y1619" s="63" t="n">
        <f aca="false">IFERROR(G1619/F1619,0)</f>
        <v>0</v>
      </c>
      <c r="Z1619" s="59" t="n">
        <f aca="false">IF(E1619&gt;0,F1619*1000000000/E1619,"")</f>
        <v>17150.4609984592</v>
      </c>
      <c r="AA1619" s="63" t="n">
        <f aca="false">IFERROR((R1619+S1619+J1619)/F1619,0)</f>
        <v>1</v>
      </c>
      <c r="AB1619" s="0" t="str">
        <f aca="false">A1619&amp;"|"&amp;D1619</f>
        <v>Qatar|2015</v>
      </c>
    </row>
    <row r="1620" customFormat="false" ht="15" hidden="false" customHeight="false" outlineLevel="0" collapsed="false">
      <c r="A1620" s="0" t="s">
        <v>335</v>
      </c>
      <c r="B1620" s="0" t="s">
        <v>574</v>
      </c>
      <c r="C1620" s="0" t="s">
        <v>127</v>
      </c>
      <c r="D1620" s="0" t="n">
        <v>2016</v>
      </c>
      <c r="E1620" s="59" t="n">
        <v>2599382</v>
      </c>
      <c r="F1620" s="60" t="n">
        <v>42.44</v>
      </c>
      <c r="G1620" s="61" t="n">
        <v>0</v>
      </c>
      <c r="H1620" s="61" t="n">
        <v>42.31</v>
      </c>
      <c r="I1620" s="61" t="n">
        <v>0</v>
      </c>
      <c r="J1620" s="61" t="n">
        <v>0</v>
      </c>
      <c r="K1620" s="61" t="n">
        <v>0</v>
      </c>
      <c r="L1620" s="61" t="n">
        <v>0.01</v>
      </c>
      <c r="M1620" s="61" t="n">
        <v>0</v>
      </c>
      <c r="N1620" s="61" t="n">
        <v>0.12</v>
      </c>
      <c r="O1620" s="61" t="n">
        <v>0</v>
      </c>
      <c r="P1620" s="62" t="n">
        <v>602.5</v>
      </c>
      <c r="Q1620" s="0" t="n">
        <v>0</v>
      </c>
      <c r="R1620" s="60" t="n">
        <f aca="false">G1620+H1620+I1620</f>
        <v>42.31</v>
      </c>
      <c r="S1620" s="60" t="n">
        <f aca="false">K1620+L1620+M1620+N1620+O1620</f>
        <v>0.13</v>
      </c>
      <c r="T1620" s="60" t="n">
        <f aca="false">L1620+M1620</f>
        <v>0.01</v>
      </c>
      <c r="U1620" s="60" t="n">
        <f aca="false">S1620+J1620</f>
        <v>0.13</v>
      </c>
      <c r="V1620" s="63" t="n">
        <f aca="false">IFERROR(S1620/F1620,0)</f>
        <v>0.0030631479736098</v>
      </c>
      <c r="W1620" s="63" t="n">
        <f aca="false">IFERROR(R1620/F1620,0)</f>
        <v>0.99693685202639</v>
      </c>
      <c r="X1620" s="63" t="n">
        <f aca="false">IFERROR(T1620/F1620,0)</f>
        <v>0.000235626767200754</v>
      </c>
      <c r="Y1620" s="63" t="n">
        <f aca="false">IFERROR(G1620/F1620,0)</f>
        <v>0</v>
      </c>
      <c r="Z1620" s="59" t="n">
        <f aca="false">IF(E1620&gt;0,F1620*1000000000/E1620,"")</f>
        <v>16326.9577153339</v>
      </c>
      <c r="AA1620" s="63" t="n">
        <f aca="false">IFERROR((R1620+S1620+J1620)/F1620,0)</f>
        <v>1</v>
      </c>
      <c r="AB1620" s="0" t="str">
        <f aca="false">A1620&amp;"|"&amp;D1620</f>
        <v>Qatar|2016</v>
      </c>
    </row>
    <row r="1621" customFormat="false" ht="15" hidden="false" customHeight="false" outlineLevel="0" collapsed="false">
      <c r="A1621" s="0" t="s">
        <v>335</v>
      </c>
      <c r="B1621" s="0" t="s">
        <v>574</v>
      </c>
      <c r="C1621" s="0" t="s">
        <v>127</v>
      </c>
      <c r="D1621" s="0" t="n">
        <v>2017</v>
      </c>
      <c r="E1621" s="59" t="n">
        <v>2706716</v>
      </c>
      <c r="F1621" s="60" t="n">
        <v>45.7</v>
      </c>
      <c r="G1621" s="61" t="n">
        <v>0</v>
      </c>
      <c r="H1621" s="61" t="n">
        <v>45.56</v>
      </c>
      <c r="I1621" s="61" t="n">
        <v>0</v>
      </c>
      <c r="J1621" s="61" t="n">
        <v>0</v>
      </c>
      <c r="K1621" s="61" t="n">
        <v>0</v>
      </c>
      <c r="L1621" s="61" t="n">
        <v>0.01</v>
      </c>
      <c r="M1621" s="61" t="n">
        <v>0</v>
      </c>
      <c r="N1621" s="61" t="n">
        <v>0.13</v>
      </c>
      <c r="O1621" s="61" t="n">
        <v>0</v>
      </c>
      <c r="P1621" s="62" t="n">
        <v>602.4</v>
      </c>
      <c r="Q1621" s="0" t="n">
        <v>0</v>
      </c>
      <c r="R1621" s="60" t="n">
        <f aca="false">G1621+H1621+I1621</f>
        <v>45.56</v>
      </c>
      <c r="S1621" s="60" t="n">
        <f aca="false">K1621+L1621+M1621+N1621+O1621</f>
        <v>0.14</v>
      </c>
      <c r="T1621" s="60" t="n">
        <f aca="false">L1621+M1621</f>
        <v>0.01</v>
      </c>
      <c r="U1621" s="60" t="n">
        <f aca="false">S1621+J1621</f>
        <v>0.14</v>
      </c>
      <c r="V1621" s="63" t="n">
        <f aca="false">IFERROR(S1621/F1621,0)</f>
        <v>0.00306345733041576</v>
      </c>
      <c r="W1621" s="63" t="n">
        <f aca="false">IFERROR(R1621/F1621,0)</f>
        <v>0.996936542669584</v>
      </c>
      <c r="X1621" s="63" t="n">
        <f aca="false">IFERROR(T1621/F1621,0)</f>
        <v>0.000218818380743982</v>
      </c>
      <c r="Y1621" s="63" t="n">
        <f aca="false">IFERROR(G1621/F1621,0)</f>
        <v>0</v>
      </c>
      <c r="Z1621" s="59" t="n">
        <f aca="false">IF(E1621&gt;0,F1621*1000000000/E1621,"")</f>
        <v>16883.9287165702</v>
      </c>
      <c r="AA1621" s="63" t="n">
        <f aca="false">IFERROR((R1621+S1621+J1621)/F1621,0)</f>
        <v>1</v>
      </c>
      <c r="AB1621" s="0" t="str">
        <f aca="false">A1621&amp;"|"&amp;D1621</f>
        <v>Qatar|2017</v>
      </c>
    </row>
    <row r="1622" customFormat="false" ht="15" hidden="false" customHeight="false" outlineLevel="0" collapsed="false">
      <c r="A1622" s="0" t="s">
        <v>335</v>
      </c>
      <c r="B1622" s="0" t="s">
        <v>574</v>
      </c>
      <c r="C1622" s="0" t="s">
        <v>127</v>
      </c>
      <c r="D1622" s="0" t="n">
        <v>2018</v>
      </c>
      <c r="E1622" s="59" t="n">
        <v>2761144</v>
      </c>
      <c r="F1622" s="60" t="n">
        <v>48.06</v>
      </c>
      <c r="G1622" s="61" t="n">
        <v>0</v>
      </c>
      <c r="H1622" s="61" t="n">
        <v>47.91</v>
      </c>
      <c r="I1622" s="61" t="n">
        <v>0</v>
      </c>
      <c r="J1622" s="61" t="n">
        <v>0</v>
      </c>
      <c r="K1622" s="61" t="n">
        <v>0</v>
      </c>
      <c r="L1622" s="61" t="n">
        <v>0.01</v>
      </c>
      <c r="M1622" s="61" t="n">
        <v>0</v>
      </c>
      <c r="N1622" s="61" t="n">
        <v>0.14</v>
      </c>
      <c r="O1622" s="61" t="n">
        <v>0</v>
      </c>
      <c r="P1622" s="62" t="n">
        <v>602.4</v>
      </c>
      <c r="Q1622" s="0" t="n">
        <v>0</v>
      </c>
      <c r="R1622" s="60" t="n">
        <f aca="false">G1622+H1622+I1622</f>
        <v>47.91</v>
      </c>
      <c r="S1622" s="60" t="n">
        <f aca="false">K1622+L1622+M1622+N1622+O1622</f>
        <v>0.15</v>
      </c>
      <c r="T1622" s="60" t="n">
        <f aca="false">L1622+M1622</f>
        <v>0.01</v>
      </c>
      <c r="U1622" s="60" t="n">
        <f aca="false">S1622+J1622</f>
        <v>0.15</v>
      </c>
      <c r="V1622" s="63" t="n">
        <f aca="false">IFERROR(S1622/F1622,0)</f>
        <v>0.0031210986267166</v>
      </c>
      <c r="W1622" s="63" t="n">
        <f aca="false">IFERROR(R1622/F1622,0)</f>
        <v>0.996878901373283</v>
      </c>
      <c r="X1622" s="63" t="n">
        <f aca="false">IFERROR(T1622/F1622,0)</f>
        <v>0.000208073241781107</v>
      </c>
      <c r="Y1622" s="63" t="n">
        <f aca="false">IFERROR(G1622/F1622,0)</f>
        <v>0</v>
      </c>
      <c r="Z1622" s="59" t="n">
        <f aca="false">IF(E1622&gt;0,F1622*1000000000/E1622,"")</f>
        <v>17405.8288883159</v>
      </c>
      <c r="AA1622" s="63" t="n">
        <f aca="false">IFERROR((R1622+S1622+J1622)/F1622,0)</f>
        <v>1</v>
      </c>
      <c r="AB1622" s="0" t="str">
        <f aca="false">A1622&amp;"|"&amp;D1622</f>
        <v>Qatar|2018</v>
      </c>
    </row>
    <row r="1623" customFormat="false" ht="15" hidden="false" customHeight="false" outlineLevel="0" collapsed="false">
      <c r="A1623" s="0" t="s">
        <v>335</v>
      </c>
      <c r="B1623" s="0" t="s">
        <v>574</v>
      </c>
      <c r="C1623" s="0" t="s">
        <v>127</v>
      </c>
      <c r="D1623" s="0" t="n">
        <v>2019</v>
      </c>
      <c r="E1623" s="59" t="n">
        <v>2797927</v>
      </c>
      <c r="F1623" s="60" t="n">
        <v>50</v>
      </c>
      <c r="G1623" s="61" t="n">
        <v>0</v>
      </c>
      <c r="H1623" s="61" t="n">
        <v>49.87</v>
      </c>
      <c r="I1623" s="61" t="n">
        <v>0</v>
      </c>
      <c r="J1623" s="61" t="n">
        <v>0</v>
      </c>
      <c r="K1623" s="61" t="n">
        <v>0</v>
      </c>
      <c r="L1623" s="61" t="n">
        <v>0.01</v>
      </c>
      <c r="M1623" s="61" t="n">
        <v>0</v>
      </c>
      <c r="N1623" s="61" t="n">
        <v>0.12</v>
      </c>
      <c r="O1623" s="61" t="n">
        <v>0</v>
      </c>
      <c r="P1623" s="62" t="n">
        <v>602.8</v>
      </c>
      <c r="Q1623" s="0" t="n">
        <v>0</v>
      </c>
      <c r="R1623" s="60" t="n">
        <f aca="false">G1623+H1623+I1623</f>
        <v>49.87</v>
      </c>
      <c r="S1623" s="60" t="n">
        <f aca="false">K1623+L1623+M1623+N1623+O1623</f>
        <v>0.13</v>
      </c>
      <c r="T1623" s="60" t="n">
        <f aca="false">L1623+M1623</f>
        <v>0.01</v>
      </c>
      <c r="U1623" s="60" t="n">
        <f aca="false">S1623+J1623</f>
        <v>0.13</v>
      </c>
      <c r="V1623" s="63" t="n">
        <f aca="false">IFERROR(S1623/F1623,0)</f>
        <v>0.0026</v>
      </c>
      <c r="W1623" s="63" t="n">
        <f aca="false">IFERROR(R1623/F1623,0)</f>
        <v>0.9974</v>
      </c>
      <c r="X1623" s="63" t="n">
        <f aca="false">IFERROR(T1623/F1623,0)</f>
        <v>0.0002</v>
      </c>
      <c r="Y1623" s="63" t="n">
        <f aca="false">IFERROR(G1623/F1623,0)</f>
        <v>0</v>
      </c>
      <c r="Z1623" s="59" t="n">
        <f aca="false">IF(E1623&gt;0,F1623*1000000000/E1623,"")</f>
        <v>17870.3733156726</v>
      </c>
      <c r="AA1623" s="63" t="n">
        <f aca="false">IFERROR((R1623+S1623+J1623)/F1623,0)</f>
        <v>1</v>
      </c>
      <c r="AB1623" s="0" t="str">
        <f aca="false">A1623&amp;"|"&amp;D1623</f>
        <v>Qatar|2019</v>
      </c>
    </row>
    <row r="1624" customFormat="false" ht="15" hidden="false" customHeight="false" outlineLevel="0" collapsed="false">
      <c r="A1624" s="0" t="s">
        <v>335</v>
      </c>
      <c r="B1624" s="0" t="s">
        <v>574</v>
      </c>
      <c r="C1624" s="0" t="s">
        <v>127</v>
      </c>
      <c r="D1624" s="0" t="n">
        <v>2020</v>
      </c>
      <c r="E1624" s="59" t="n">
        <v>2803375</v>
      </c>
      <c r="F1624" s="60" t="n">
        <v>49.4</v>
      </c>
      <c r="G1624" s="61" t="n">
        <v>0</v>
      </c>
      <c r="H1624" s="61" t="n">
        <v>49.26</v>
      </c>
      <c r="I1624" s="61" t="n">
        <v>0</v>
      </c>
      <c r="J1624" s="61" t="n">
        <v>0</v>
      </c>
      <c r="K1624" s="61" t="n">
        <v>0</v>
      </c>
      <c r="L1624" s="61" t="n">
        <v>0.01</v>
      </c>
      <c r="M1624" s="61" t="n">
        <v>0</v>
      </c>
      <c r="N1624" s="61" t="n">
        <v>0.13</v>
      </c>
      <c r="O1624" s="61" t="n">
        <v>0</v>
      </c>
      <c r="P1624" s="62" t="n">
        <v>602.6</v>
      </c>
      <c r="Q1624" s="0" t="n">
        <v>0</v>
      </c>
      <c r="R1624" s="60" t="n">
        <f aca="false">G1624+H1624+I1624</f>
        <v>49.26</v>
      </c>
      <c r="S1624" s="60" t="n">
        <f aca="false">K1624+L1624+M1624+N1624+O1624</f>
        <v>0.14</v>
      </c>
      <c r="T1624" s="60" t="n">
        <f aca="false">L1624+M1624</f>
        <v>0.01</v>
      </c>
      <c r="U1624" s="60" t="n">
        <f aca="false">S1624+J1624</f>
        <v>0.14</v>
      </c>
      <c r="V1624" s="63" t="n">
        <f aca="false">IFERROR(S1624/F1624,0)</f>
        <v>0.00283400809716599</v>
      </c>
      <c r="W1624" s="63" t="n">
        <f aca="false">IFERROR(R1624/F1624,0)</f>
        <v>0.997165991902834</v>
      </c>
      <c r="X1624" s="63" t="n">
        <f aca="false">IFERROR(T1624/F1624,0)</f>
        <v>0.000202429149797571</v>
      </c>
      <c r="Y1624" s="63" t="n">
        <f aca="false">IFERROR(G1624/F1624,0)</f>
        <v>0</v>
      </c>
      <c r="Z1624" s="59" t="n">
        <f aca="false">IF(E1624&gt;0,F1624*1000000000/E1624,"")</f>
        <v>17621.6168011772</v>
      </c>
      <c r="AA1624" s="63" t="n">
        <f aca="false">IFERROR((R1624+S1624+J1624)/F1624,0)</f>
        <v>1</v>
      </c>
      <c r="AB1624" s="0" t="str">
        <f aca="false">A1624&amp;"|"&amp;D1624</f>
        <v>Qatar|2020</v>
      </c>
    </row>
    <row r="1625" customFormat="false" ht="15" hidden="false" customHeight="false" outlineLevel="0" collapsed="false">
      <c r="A1625" s="0" t="s">
        <v>335</v>
      </c>
      <c r="B1625" s="0" t="s">
        <v>574</v>
      </c>
      <c r="C1625" s="0" t="s">
        <v>127</v>
      </c>
      <c r="D1625" s="0" t="n">
        <v>2021</v>
      </c>
      <c r="E1625" s="59" t="n">
        <v>2814988</v>
      </c>
      <c r="F1625" s="60" t="n">
        <v>51.79</v>
      </c>
      <c r="G1625" s="61" t="n">
        <v>0</v>
      </c>
      <c r="H1625" s="61" t="n">
        <v>51.64</v>
      </c>
      <c r="I1625" s="61" t="n">
        <v>0</v>
      </c>
      <c r="J1625" s="61" t="n">
        <v>0</v>
      </c>
      <c r="K1625" s="61" t="n">
        <v>0</v>
      </c>
      <c r="L1625" s="61" t="n">
        <v>0.01</v>
      </c>
      <c r="M1625" s="61" t="n">
        <v>0</v>
      </c>
      <c r="N1625" s="61" t="n">
        <v>0.14</v>
      </c>
      <c r="O1625" s="61" t="n">
        <v>0</v>
      </c>
      <c r="P1625" s="62" t="n">
        <v>602.4</v>
      </c>
      <c r="Q1625" s="0" t="n">
        <v>0</v>
      </c>
      <c r="R1625" s="60" t="n">
        <f aca="false">G1625+H1625+I1625</f>
        <v>51.64</v>
      </c>
      <c r="S1625" s="60" t="n">
        <f aca="false">K1625+L1625+M1625+N1625+O1625</f>
        <v>0.15</v>
      </c>
      <c r="T1625" s="60" t="n">
        <f aca="false">L1625+M1625</f>
        <v>0.01</v>
      </c>
      <c r="U1625" s="60" t="n">
        <f aca="false">S1625+J1625</f>
        <v>0.15</v>
      </c>
      <c r="V1625" s="63" t="n">
        <f aca="false">IFERROR(S1625/F1625,0)</f>
        <v>0.0028963120293493</v>
      </c>
      <c r="W1625" s="63" t="n">
        <f aca="false">IFERROR(R1625/F1625,0)</f>
        <v>0.997103687970651</v>
      </c>
      <c r="X1625" s="63" t="n">
        <f aca="false">IFERROR(T1625/F1625,0)</f>
        <v>0.000193087468623286</v>
      </c>
      <c r="Y1625" s="63" t="n">
        <f aca="false">IFERROR(G1625/F1625,0)</f>
        <v>0</v>
      </c>
      <c r="Z1625" s="59" t="n">
        <f aca="false">IF(E1625&gt;0,F1625*1000000000/E1625,"")</f>
        <v>18397.9469894721</v>
      </c>
      <c r="AA1625" s="63" t="n">
        <f aca="false">IFERROR((R1625+S1625+J1625)/F1625,0)</f>
        <v>1</v>
      </c>
      <c r="AB1625" s="0" t="str">
        <f aca="false">A1625&amp;"|"&amp;D1625</f>
        <v>Qatar|2021</v>
      </c>
    </row>
    <row r="1626" customFormat="false" ht="15" hidden="false" customHeight="false" outlineLevel="0" collapsed="false">
      <c r="A1626" s="0" t="s">
        <v>335</v>
      </c>
      <c r="B1626" s="0" t="s">
        <v>574</v>
      </c>
      <c r="C1626" s="0" t="s">
        <v>127</v>
      </c>
      <c r="D1626" s="0" t="n">
        <v>2022</v>
      </c>
      <c r="E1626" s="59" t="n">
        <v>2892466</v>
      </c>
      <c r="F1626" s="60" t="n">
        <v>54.75</v>
      </c>
      <c r="G1626" s="61" t="n">
        <v>0</v>
      </c>
      <c r="H1626" s="61" t="n">
        <v>54.03</v>
      </c>
      <c r="I1626" s="61" t="n">
        <v>0</v>
      </c>
      <c r="J1626" s="61" t="n">
        <v>0</v>
      </c>
      <c r="K1626" s="61" t="n">
        <v>0</v>
      </c>
      <c r="L1626" s="61" t="n">
        <v>0.59</v>
      </c>
      <c r="M1626" s="61" t="n">
        <v>0</v>
      </c>
      <c r="N1626" s="61" t="n">
        <v>0.13</v>
      </c>
      <c r="O1626" s="61" t="n">
        <v>0</v>
      </c>
      <c r="P1626" s="62" t="n">
        <v>596.9</v>
      </c>
      <c r="Q1626" s="0" t="n">
        <v>0</v>
      </c>
      <c r="R1626" s="60" t="n">
        <f aca="false">G1626+H1626+I1626</f>
        <v>54.03</v>
      </c>
      <c r="S1626" s="60" t="n">
        <f aca="false">K1626+L1626+M1626+N1626+O1626</f>
        <v>0.72</v>
      </c>
      <c r="T1626" s="60" t="n">
        <f aca="false">L1626+M1626</f>
        <v>0.59</v>
      </c>
      <c r="U1626" s="60" t="n">
        <f aca="false">S1626+J1626</f>
        <v>0.72</v>
      </c>
      <c r="V1626" s="63" t="n">
        <f aca="false">IFERROR(S1626/F1626,0)</f>
        <v>0.0131506849315068</v>
      </c>
      <c r="W1626" s="63" t="n">
        <f aca="false">IFERROR(R1626/F1626,0)</f>
        <v>0.986849315068493</v>
      </c>
      <c r="X1626" s="63" t="n">
        <f aca="false">IFERROR(T1626/F1626,0)</f>
        <v>0.0107762557077626</v>
      </c>
      <c r="Y1626" s="63" t="n">
        <f aca="false">IFERROR(G1626/F1626,0)</f>
        <v>0</v>
      </c>
      <c r="Z1626" s="59" t="n">
        <f aca="false">IF(E1626&gt;0,F1626*1000000000/E1626,"")</f>
        <v>18928.4852440789</v>
      </c>
      <c r="AA1626" s="63" t="n">
        <f aca="false">IFERROR((R1626+S1626+J1626)/F1626,0)</f>
        <v>1</v>
      </c>
      <c r="AB1626" s="0" t="str">
        <f aca="false">A1626&amp;"|"&amp;D1626</f>
        <v>Qatar|2022</v>
      </c>
    </row>
    <row r="1627" customFormat="false" ht="15" hidden="false" customHeight="false" outlineLevel="0" collapsed="false">
      <c r="A1627" s="0" t="s">
        <v>335</v>
      </c>
      <c r="B1627" s="0" t="s">
        <v>574</v>
      </c>
      <c r="C1627" s="0" t="s">
        <v>127</v>
      </c>
      <c r="D1627" s="0" t="n">
        <v>2023</v>
      </c>
      <c r="E1627" s="59" t="n">
        <v>2979086</v>
      </c>
      <c r="F1627" s="60" t="n">
        <v>56.38</v>
      </c>
      <c r="G1627" s="61" t="n">
        <v>0</v>
      </c>
      <c r="H1627" s="61" t="n">
        <v>54.37</v>
      </c>
      <c r="I1627" s="61" t="n">
        <v>0</v>
      </c>
      <c r="J1627" s="61" t="n">
        <v>0</v>
      </c>
      <c r="K1627" s="61" t="n">
        <v>0</v>
      </c>
      <c r="L1627" s="61" t="n">
        <v>1.88</v>
      </c>
      <c r="M1627" s="61" t="n">
        <v>0</v>
      </c>
      <c r="N1627" s="61" t="n">
        <v>0.13</v>
      </c>
      <c r="O1627" s="61" t="n">
        <v>0</v>
      </c>
      <c r="P1627" s="62" t="n">
        <v>584.2</v>
      </c>
      <c r="Q1627" s="0" t="n">
        <v>0</v>
      </c>
      <c r="R1627" s="60" t="n">
        <f aca="false">G1627+H1627+I1627</f>
        <v>54.37</v>
      </c>
      <c r="S1627" s="60" t="n">
        <f aca="false">K1627+L1627+M1627+N1627+O1627</f>
        <v>2.01</v>
      </c>
      <c r="T1627" s="60" t="n">
        <f aca="false">L1627+M1627</f>
        <v>1.88</v>
      </c>
      <c r="U1627" s="60" t="n">
        <f aca="false">S1627+J1627</f>
        <v>2.01</v>
      </c>
      <c r="V1627" s="63" t="n">
        <f aca="false">IFERROR(S1627/F1627,0)</f>
        <v>0.035650940049663</v>
      </c>
      <c r="W1627" s="63" t="n">
        <f aca="false">IFERROR(R1627/F1627,0)</f>
        <v>0.964349059950337</v>
      </c>
      <c r="X1627" s="63" t="n">
        <f aca="false">IFERROR(T1627/F1627,0)</f>
        <v>0.0333451578573962</v>
      </c>
      <c r="Y1627" s="63" t="n">
        <f aca="false">IFERROR(G1627/F1627,0)</f>
        <v>0</v>
      </c>
      <c r="Z1627" s="59" t="n">
        <f aca="false">IF(E1627&gt;0,F1627*1000000000/E1627,"")</f>
        <v>18925.2676827725</v>
      </c>
      <c r="AA1627" s="63" t="n">
        <f aca="false">IFERROR((R1627+S1627+J1627)/F1627,0)</f>
        <v>1</v>
      </c>
      <c r="AB1627" s="0" t="str">
        <f aca="false">A1627&amp;"|"&amp;D1627</f>
        <v>Qatar|2023</v>
      </c>
    </row>
    <row r="1628" customFormat="false" ht="15" hidden="false" customHeight="false" outlineLevel="0" collapsed="false">
      <c r="A1628" s="0" t="s">
        <v>335</v>
      </c>
      <c r="B1628" s="0" t="s">
        <v>574</v>
      </c>
      <c r="C1628" s="0" t="s">
        <v>127</v>
      </c>
      <c r="D1628" s="0" t="n">
        <v>2024</v>
      </c>
      <c r="E1628" s="59" t="n">
        <v>3048429</v>
      </c>
      <c r="F1628" s="60" t="n">
        <v>56.68</v>
      </c>
      <c r="G1628" s="61" t="n">
        <v>0</v>
      </c>
      <c r="H1628" s="61" t="n">
        <v>54.4</v>
      </c>
      <c r="I1628" s="61" t="n">
        <v>0</v>
      </c>
      <c r="J1628" s="61" t="n">
        <v>0</v>
      </c>
      <c r="K1628" s="61" t="n">
        <v>0</v>
      </c>
      <c r="L1628" s="61" t="n">
        <v>2.15</v>
      </c>
      <c r="M1628" s="61" t="n">
        <v>0</v>
      </c>
      <c r="N1628" s="61" t="n">
        <v>0.13</v>
      </c>
      <c r="O1628" s="61" t="n">
        <v>0</v>
      </c>
      <c r="P1628" s="62" t="n">
        <v>581.7</v>
      </c>
      <c r="Q1628" s="0" t="n">
        <v>0</v>
      </c>
      <c r="R1628" s="60" t="n">
        <f aca="false">G1628+H1628+I1628</f>
        <v>54.4</v>
      </c>
      <c r="S1628" s="60" t="n">
        <f aca="false">K1628+L1628+M1628+N1628+O1628</f>
        <v>2.28</v>
      </c>
      <c r="T1628" s="60" t="n">
        <f aca="false">L1628+M1628</f>
        <v>2.15</v>
      </c>
      <c r="U1628" s="60" t="n">
        <f aca="false">S1628+J1628</f>
        <v>2.28</v>
      </c>
      <c r="V1628" s="63" t="n">
        <f aca="false">IFERROR(S1628/F1628,0)</f>
        <v>0.0402258292166549</v>
      </c>
      <c r="W1628" s="63" t="n">
        <f aca="false">IFERROR(R1628/F1628,0)</f>
        <v>0.959774170783345</v>
      </c>
      <c r="X1628" s="63" t="n">
        <f aca="false">IFERROR(T1628/F1628,0)</f>
        <v>0.0379322512350035</v>
      </c>
      <c r="Y1628" s="63" t="n">
        <f aca="false">IFERROR(G1628/F1628,0)</f>
        <v>0</v>
      </c>
      <c r="Z1628" s="59" t="n">
        <f aca="false">IF(E1628&gt;0,F1628*1000000000/E1628,"")</f>
        <v>18593.1835709475</v>
      </c>
      <c r="AA1628" s="63" t="n">
        <f aca="false">IFERROR((R1628+S1628+J1628)/F1628,0)</f>
        <v>1</v>
      </c>
      <c r="AB1628" s="0" t="str">
        <f aca="false">A1628&amp;"|"&amp;D1628</f>
        <v>Qatar|2024</v>
      </c>
    </row>
    <row r="1629" customFormat="false" ht="15" hidden="false" customHeight="false" outlineLevel="0" collapsed="false">
      <c r="A1629" s="0" t="s">
        <v>335</v>
      </c>
      <c r="B1629" s="0" t="s">
        <v>574</v>
      </c>
      <c r="C1629" s="0" t="s">
        <v>127</v>
      </c>
      <c r="D1629" s="0" t="n">
        <v>2025</v>
      </c>
      <c r="E1629" s="59" t="n">
        <v>3115891</v>
      </c>
      <c r="F1629" s="60" t="n">
        <v>56.18</v>
      </c>
      <c r="G1629" s="61" t="n">
        <v>0</v>
      </c>
      <c r="H1629" s="61" t="n">
        <v>53.9</v>
      </c>
      <c r="I1629" s="61" t="n">
        <v>0</v>
      </c>
      <c r="J1629" s="61" t="n">
        <v>0</v>
      </c>
      <c r="K1629" s="61" t="n">
        <v>0</v>
      </c>
      <c r="L1629" s="61" t="n">
        <v>2.15</v>
      </c>
      <c r="M1629" s="61" t="n">
        <v>0</v>
      </c>
      <c r="N1629" s="61" t="n">
        <v>0.13</v>
      </c>
      <c r="O1629" s="61" t="n">
        <v>0</v>
      </c>
      <c r="P1629" s="62" t="n">
        <v>581.5</v>
      </c>
      <c r="Q1629" s="0" t="n">
        <v>0</v>
      </c>
      <c r="R1629" s="60" t="n">
        <f aca="false">G1629+H1629+I1629</f>
        <v>53.9</v>
      </c>
      <c r="S1629" s="60" t="n">
        <f aca="false">K1629+L1629+M1629+N1629+O1629</f>
        <v>2.28</v>
      </c>
      <c r="T1629" s="60" t="n">
        <f aca="false">L1629+M1629</f>
        <v>2.15</v>
      </c>
      <c r="U1629" s="60" t="n">
        <f aca="false">S1629+J1629</f>
        <v>2.28</v>
      </c>
      <c r="V1629" s="63" t="n">
        <f aca="false">IFERROR(S1629/F1629,0)</f>
        <v>0.0405838376646493</v>
      </c>
      <c r="W1629" s="63" t="n">
        <f aca="false">IFERROR(R1629/F1629,0)</f>
        <v>0.959416162335351</v>
      </c>
      <c r="X1629" s="63" t="n">
        <f aca="false">IFERROR(T1629/F1629,0)</f>
        <v>0.0382698469206123</v>
      </c>
      <c r="Y1629" s="63" t="n">
        <f aca="false">IFERROR(G1629/F1629,0)</f>
        <v>0</v>
      </c>
      <c r="Z1629" s="59" t="n">
        <f aca="false">IF(E1629&gt;0,F1629*1000000000/E1629,"")</f>
        <v>18030.1557403645</v>
      </c>
      <c r="AA1629" s="63" t="n">
        <f aca="false">IFERROR((R1629+S1629+J1629)/F1629,0)</f>
        <v>1</v>
      </c>
      <c r="AB1629" s="0" t="str">
        <f aca="false">A1629&amp;"|"&amp;D1629</f>
        <v>Qatar|2025</v>
      </c>
    </row>
    <row r="1630" customFormat="false" ht="15" hidden="false" customHeight="false" outlineLevel="0" collapsed="false">
      <c r="A1630" s="0" t="s">
        <v>336</v>
      </c>
      <c r="B1630" s="0" t="s">
        <v>575</v>
      </c>
      <c r="C1630" s="0" t="s">
        <v>127</v>
      </c>
      <c r="D1630" s="0" t="n">
        <v>2015</v>
      </c>
      <c r="E1630" s="59" t="n">
        <v>865016</v>
      </c>
      <c r="F1630" s="60" t="n">
        <v>2.9</v>
      </c>
      <c r="G1630" s="61" t="n">
        <v>1.17</v>
      </c>
      <c r="H1630" s="61" t="n">
        <v>0</v>
      </c>
      <c r="I1630" s="61" t="n">
        <v>0.68</v>
      </c>
      <c r="J1630" s="61" t="n">
        <v>0</v>
      </c>
      <c r="K1630" s="61" t="n">
        <v>0.5</v>
      </c>
      <c r="L1630" s="61" t="n">
        <v>0.24</v>
      </c>
      <c r="M1630" s="61" t="n">
        <v>0.02</v>
      </c>
      <c r="N1630" s="61" t="n">
        <v>0.29</v>
      </c>
      <c r="O1630" s="61" t="n">
        <v>0</v>
      </c>
      <c r="P1630" s="62" t="n">
        <v>551.7</v>
      </c>
      <c r="Q1630" s="0" t="n">
        <v>3</v>
      </c>
      <c r="R1630" s="60" t="n">
        <f aca="false">G1630+H1630+I1630</f>
        <v>1.85</v>
      </c>
      <c r="S1630" s="60" t="n">
        <f aca="false">K1630+L1630+M1630+N1630+O1630</f>
        <v>1.05</v>
      </c>
      <c r="T1630" s="60" t="n">
        <f aca="false">L1630+M1630</f>
        <v>0.26</v>
      </c>
      <c r="U1630" s="60" t="n">
        <f aca="false">S1630+J1630</f>
        <v>1.05</v>
      </c>
      <c r="V1630" s="63" t="n">
        <f aca="false">IFERROR(S1630/F1630,0)</f>
        <v>0.362068965517241</v>
      </c>
      <c r="W1630" s="63" t="n">
        <f aca="false">IFERROR(R1630/F1630,0)</f>
        <v>0.637931034482759</v>
      </c>
      <c r="X1630" s="63" t="n">
        <f aca="false">IFERROR(T1630/F1630,0)</f>
        <v>0.0896551724137931</v>
      </c>
      <c r="Y1630" s="63" t="n">
        <f aca="false">IFERROR(G1630/F1630,0)</f>
        <v>0.403448275862069</v>
      </c>
      <c r="Z1630" s="59" t="n">
        <f aca="false">IF(E1630&gt;0,F1630*1000000000/E1630,"")</f>
        <v>3352.53914378462</v>
      </c>
      <c r="AA1630" s="63" t="n">
        <f aca="false">IFERROR((R1630+S1630+J1630)/F1630,0)</f>
        <v>1</v>
      </c>
      <c r="AB1630" s="0" t="str">
        <f aca="false">A1630&amp;"|"&amp;D1630</f>
        <v>Reunion|2015</v>
      </c>
    </row>
    <row r="1631" customFormat="false" ht="15" hidden="false" customHeight="false" outlineLevel="0" collapsed="false">
      <c r="A1631" s="0" t="s">
        <v>336</v>
      </c>
      <c r="B1631" s="0" t="s">
        <v>575</v>
      </c>
      <c r="C1631" s="0" t="s">
        <v>127</v>
      </c>
      <c r="D1631" s="0" t="n">
        <v>2016</v>
      </c>
      <c r="E1631" s="59" t="n">
        <v>862861</v>
      </c>
      <c r="F1631" s="60" t="n">
        <v>2.94</v>
      </c>
      <c r="G1631" s="61" t="n">
        <v>1.14</v>
      </c>
      <c r="H1631" s="61" t="n">
        <v>0</v>
      </c>
      <c r="I1631" s="61" t="n">
        <v>0.8</v>
      </c>
      <c r="J1631" s="61" t="n">
        <v>0</v>
      </c>
      <c r="K1631" s="61" t="n">
        <v>0.46</v>
      </c>
      <c r="L1631" s="61" t="n">
        <v>0.26</v>
      </c>
      <c r="M1631" s="61" t="n">
        <v>0.02</v>
      </c>
      <c r="N1631" s="61" t="n">
        <v>0.26</v>
      </c>
      <c r="O1631" s="61" t="n">
        <v>0</v>
      </c>
      <c r="P1631" s="62" t="n">
        <v>561.2</v>
      </c>
      <c r="Q1631" s="0" t="n">
        <v>3</v>
      </c>
      <c r="R1631" s="60" t="n">
        <f aca="false">G1631+H1631+I1631</f>
        <v>1.94</v>
      </c>
      <c r="S1631" s="60" t="n">
        <f aca="false">K1631+L1631+M1631+N1631+O1631</f>
        <v>1</v>
      </c>
      <c r="T1631" s="60" t="n">
        <f aca="false">L1631+M1631</f>
        <v>0.28</v>
      </c>
      <c r="U1631" s="60" t="n">
        <f aca="false">S1631+J1631</f>
        <v>1</v>
      </c>
      <c r="V1631" s="63" t="n">
        <f aca="false">IFERROR(S1631/F1631,0)</f>
        <v>0.340136054421769</v>
      </c>
      <c r="W1631" s="63" t="n">
        <f aca="false">IFERROR(R1631/F1631,0)</f>
        <v>0.659863945578231</v>
      </c>
      <c r="X1631" s="63" t="n">
        <f aca="false">IFERROR(T1631/F1631,0)</f>
        <v>0.0952380952380953</v>
      </c>
      <c r="Y1631" s="63" t="n">
        <f aca="false">IFERROR(G1631/F1631,0)</f>
        <v>0.387755102040816</v>
      </c>
      <c r="Z1631" s="59" t="n">
        <f aca="false">IF(E1631&gt;0,F1631*1000000000/E1631,"")</f>
        <v>3407.26953704015</v>
      </c>
      <c r="AA1631" s="63" t="n">
        <f aca="false">IFERROR((R1631+S1631+J1631)/F1631,0)</f>
        <v>1</v>
      </c>
      <c r="AB1631" s="0" t="str">
        <f aca="false">A1631&amp;"|"&amp;D1631</f>
        <v>Reunion|2016</v>
      </c>
    </row>
    <row r="1632" customFormat="false" ht="15" hidden="false" customHeight="false" outlineLevel="0" collapsed="false">
      <c r="A1632" s="0" t="s">
        <v>336</v>
      </c>
      <c r="B1632" s="0" t="s">
        <v>575</v>
      </c>
      <c r="C1632" s="0" t="s">
        <v>127</v>
      </c>
      <c r="D1632" s="0" t="n">
        <v>2017</v>
      </c>
      <c r="E1632" s="59" t="n">
        <v>858761</v>
      </c>
      <c r="F1632" s="60" t="n">
        <v>2.98</v>
      </c>
      <c r="G1632" s="61" t="n">
        <v>1.14</v>
      </c>
      <c r="H1632" s="61" t="n">
        <v>0</v>
      </c>
      <c r="I1632" s="61" t="n">
        <v>0.88</v>
      </c>
      <c r="J1632" s="61" t="n">
        <v>0</v>
      </c>
      <c r="K1632" s="61" t="n">
        <v>0.42</v>
      </c>
      <c r="L1632" s="61" t="n">
        <v>0.26</v>
      </c>
      <c r="M1632" s="61" t="n">
        <v>0.01</v>
      </c>
      <c r="N1632" s="61" t="n">
        <v>0.27</v>
      </c>
      <c r="O1632" s="61" t="n">
        <v>0</v>
      </c>
      <c r="P1632" s="62" t="n">
        <v>570.5</v>
      </c>
      <c r="Q1632" s="0" t="n">
        <v>3</v>
      </c>
      <c r="R1632" s="60" t="n">
        <f aca="false">G1632+H1632+I1632</f>
        <v>2.02</v>
      </c>
      <c r="S1632" s="60" t="n">
        <f aca="false">K1632+L1632+M1632+N1632+O1632</f>
        <v>0.96</v>
      </c>
      <c r="T1632" s="60" t="n">
        <f aca="false">L1632+M1632</f>
        <v>0.27</v>
      </c>
      <c r="U1632" s="60" t="n">
        <f aca="false">S1632+J1632</f>
        <v>0.96</v>
      </c>
      <c r="V1632" s="63" t="n">
        <f aca="false">IFERROR(S1632/F1632,0)</f>
        <v>0.322147651006711</v>
      </c>
      <c r="W1632" s="63" t="n">
        <f aca="false">IFERROR(R1632/F1632,0)</f>
        <v>0.677852348993289</v>
      </c>
      <c r="X1632" s="63" t="n">
        <f aca="false">IFERROR(T1632/F1632,0)</f>
        <v>0.0906040268456376</v>
      </c>
      <c r="Y1632" s="63" t="n">
        <f aca="false">IFERROR(G1632/F1632,0)</f>
        <v>0.38255033557047</v>
      </c>
      <c r="Z1632" s="59" t="n">
        <f aca="false">IF(E1632&gt;0,F1632*1000000000/E1632,"")</f>
        <v>3470.11566664066</v>
      </c>
      <c r="AA1632" s="63" t="n">
        <f aca="false">IFERROR((R1632+S1632+J1632)/F1632,0)</f>
        <v>1</v>
      </c>
      <c r="AB1632" s="0" t="str">
        <f aca="false">A1632&amp;"|"&amp;D1632</f>
        <v>Reunion|2017</v>
      </c>
    </row>
    <row r="1633" customFormat="false" ht="15" hidden="false" customHeight="false" outlineLevel="0" collapsed="false">
      <c r="A1633" s="0" t="s">
        <v>336</v>
      </c>
      <c r="B1633" s="0" t="s">
        <v>575</v>
      </c>
      <c r="C1633" s="0" t="s">
        <v>127</v>
      </c>
      <c r="D1633" s="0" t="n">
        <v>2018</v>
      </c>
      <c r="E1633" s="59" t="n">
        <v>856946</v>
      </c>
      <c r="F1633" s="60" t="n">
        <v>2.95</v>
      </c>
      <c r="G1633" s="61" t="n">
        <v>1.06</v>
      </c>
      <c r="H1633" s="61" t="n">
        <v>0</v>
      </c>
      <c r="I1633" s="61" t="n">
        <v>0.82</v>
      </c>
      <c r="J1633" s="61" t="n">
        <v>0</v>
      </c>
      <c r="K1633" s="61" t="n">
        <v>0.6</v>
      </c>
      <c r="L1633" s="61" t="n">
        <v>0.25</v>
      </c>
      <c r="M1633" s="61" t="n">
        <v>0.01</v>
      </c>
      <c r="N1633" s="61" t="n">
        <v>0.21</v>
      </c>
      <c r="O1633" s="61" t="n">
        <v>0</v>
      </c>
      <c r="P1633" s="62" t="n">
        <v>535.6</v>
      </c>
      <c r="Q1633" s="0" t="n">
        <v>3</v>
      </c>
      <c r="R1633" s="60" t="n">
        <f aca="false">G1633+H1633+I1633</f>
        <v>1.88</v>
      </c>
      <c r="S1633" s="60" t="n">
        <f aca="false">K1633+L1633+M1633+N1633+O1633</f>
        <v>1.07</v>
      </c>
      <c r="T1633" s="60" t="n">
        <f aca="false">L1633+M1633</f>
        <v>0.26</v>
      </c>
      <c r="U1633" s="60" t="n">
        <f aca="false">S1633+J1633</f>
        <v>1.07</v>
      </c>
      <c r="V1633" s="63" t="n">
        <f aca="false">IFERROR(S1633/F1633,0)</f>
        <v>0.36271186440678</v>
      </c>
      <c r="W1633" s="63" t="n">
        <f aca="false">IFERROR(R1633/F1633,0)</f>
        <v>0.63728813559322</v>
      </c>
      <c r="X1633" s="63" t="n">
        <f aca="false">IFERROR(T1633/F1633,0)</f>
        <v>0.088135593220339</v>
      </c>
      <c r="Y1633" s="63" t="n">
        <f aca="false">IFERROR(G1633/F1633,0)</f>
        <v>0.359322033898305</v>
      </c>
      <c r="Z1633" s="59" t="n">
        <f aca="false">IF(E1633&gt;0,F1633*1000000000/E1633,"")</f>
        <v>3442.45728435631</v>
      </c>
      <c r="AA1633" s="63" t="n">
        <f aca="false">IFERROR((R1633+S1633+J1633)/F1633,0)</f>
        <v>1</v>
      </c>
      <c r="AB1633" s="0" t="str">
        <f aca="false">A1633&amp;"|"&amp;D1633</f>
        <v>Reunion|2018</v>
      </c>
    </row>
    <row r="1634" customFormat="false" ht="15" hidden="false" customHeight="false" outlineLevel="0" collapsed="false">
      <c r="A1634" s="0" t="s">
        <v>336</v>
      </c>
      <c r="B1634" s="0" t="s">
        <v>575</v>
      </c>
      <c r="C1634" s="0" t="s">
        <v>127</v>
      </c>
      <c r="D1634" s="0" t="n">
        <v>2019</v>
      </c>
      <c r="E1634" s="59" t="n">
        <v>857327</v>
      </c>
      <c r="F1634" s="60" t="n">
        <v>3.05</v>
      </c>
      <c r="G1634" s="61" t="n">
        <v>1.09</v>
      </c>
      <c r="H1634" s="61" t="n">
        <v>0</v>
      </c>
      <c r="I1634" s="61" t="n">
        <v>1.01</v>
      </c>
      <c r="J1634" s="61" t="n">
        <v>0</v>
      </c>
      <c r="K1634" s="61" t="n">
        <v>0.42</v>
      </c>
      <c r="L1634" s="61" t="n">
        <v>0.26</v>
      </c>
      <c r="M1634" s="61" t="n">
        <v>0.01</v>
      </c>
      <c r="N1634" s="61" t="n">
        <v>0.26</v>
      </c>
      <c r="O1634" s="61" t="n">
        <v>0</v>
      </c>
      <c r="P1634" s="62" t="n">
        <v>567.2</v>
      </c>
      <c r="Q1634" s="0" t="n">
        <v>3</v>
      </c>
      <c r="R1634" s="60" t="n">
        <f aca="false">G1634+H1634+I1634</f>
        <v>2.1</v>
      </c>
      <c r="S1634" s="60" t="n">
        <f aca="false">K1634+L1634+M1634+N1634+O1634</f>
        <v>0.95</v>
      </c>
      <c r="T1634" s="60" t="n">
        <f aca="false">L1634+M1634</f>
        <v>0.27</v>
      </c>
      <c r="U1634" s="60" t="n">
        <f aca="false">S1634+J1634</f>
        <v>0.95</v>
      </c>
      <c r="V1634" s="63" t="n">
        <f aca="false">IFERROR(S1634/F1634,0)</f>
        <v>0.311475409836066</v>
      </c>
      <c r="W1634" s="63" t="n">
        <f aca="false">IFERROR(R1634/F1634,0)</f>
        <v>0.688524590163935</v>
      </c>
      <c r="X1634" s="63" t="n">
        <f aca="false">IFERROR(T1634/F1634,0)</f>
        <v>0.0885245901639344</v>
      </c>
      <c r="Y1634" s="63" t="n">
        <f aca="false">IFERROR(G1634/F1634,0)</f>
        <v>0.357377049180328</v>
      </c>
      <c r="Z1634" s="59" t="n">
        <f aca="false">IF(E1634&gt;0,F1634*1000000000/E1634,"")</f>
        <v>3557.56904891599</v>
      </c>
      <c r="AA1634" s="63" t="n">
        <f aca="false">IFERROR((R1634+S1634+J1634)/F1634,0)</f>
        <v>1</v>
      </c>
      <c r="AB1634" s="0" t="str">
        <f aca="false">A1634&amp;"|"&amp;D1634</f>
        <v>Reunion|2019</v>
      </c>
    </row>
    <row r="1635" customFormat="false" ht="15" hidden="false" customHeight="false" outlineLevel="0" collapsed="false">
      <c r="A1635" s="0" t="s">
        <v>336</v>
      </c>
      <c r="B1635" s="0" t="s">
        <v>575</v>
      </c>
      <c r="C1635" s="0" t="s">
        <v>127</v>
      </c>
      <c r="D1635" s="0" t="n">
        <v>2020</v>
      </c>
      <c r="E1635" s="59" t="n">
        <v>861452</v>
      </c>
      <c r="F1635" s="60" t="n">
        <v>3.79</v>
      </c>
      <c r="G1635" s="61" t="n">
        <v>1.91</v>
      </c>
      <c r="H1635" s="61" t="n">
        <v>0</v>
      </c>
      <c r="I1635" s="61" t="n">
        <v>0.95</v>
      </c>
      <c r="J1635" s="61" t="n">
        <v>0</v>
      </c>
      <c r="K1635" s="61" t="n">
        <v>0.42</v>
      </c>
      <c r="L1635" s="61" t="n">
        <v>0.26</v>
      </c>
      <c r="M1635" s="61" t="n">
        <v>0.01</v>
      </c>
      <c r="N1635" s="61" t="n">
        <v>0.24</v>
      </c>
      <c r="O1635" s="61" t="n">
        <v>0</v>
      </c>
      <c r="P1635" s="62" t="n">
        <v>643.8</v>
      </c>
      <c r="Q1635" s="0" t="n">
        <v>3</v>
      </c>
      <c r="R1635" s="60" t="n">
        <f aca="false">G1635+H1635+I1635</f>
        <v>2.86</v>
      </c>
      <c r="S1635" s="60" t="n">
        <f aca="false">K1635+L1635+M1635+N1635+O1635</f>
        <v>0.93</v>
      </c>
      <c r="T1635" s="60" t="n">
        <f aca="false">L1635+M1635</f>
        <v>0.27</v>
      </c>
      <c r="U1635" s="60" t="n">
        <f aca="false">S1635+J1635</f>
        <v>0.93</v>
      </c>
      <c r="V1635" s="63" t="n">
        <f aca="false">IFERROR(S1635/F1635,0)</f>
        <v>0.245382585751979</v>
      </c>
      <c r="W1635" s="63" t="n">
        <f aca="false">IFERROR(R1635/F1635,0)</f>
        <v>0.754617414248021</v>
      </c>
      <c r="X1635" s="63" t="n">
        <f aca="false">IFERROR(T1635/F1635,0)</f>
        <v>0.0712401055408971</v>
      </c>
      <c r="Y1635" s="63" t="n">
        <f aca="false">IFERROR(G1635/F1635,0)</f>
        <v>0.503957783641161</v>
      </c>
      <c r="Z1635" s="59" t="n">
        <f aca="false">IF(E1635&gt;0,F1635*1000000000/E1635,"")</f>
        <v>4399.54866899142</v>
      </c>
      <c r="AA1635" s="63" t="n">
        <f aca="false">IFERROR((R1635+S1635+J1635)/F1635,0)</f>
        <v>1</v>
      </c>
      <c r="AB1635" s="0" t="str">
        <f aca="false">A1635&amp;"|"&amp;D1635</f>
        <v>Reunion|2020</v>
      </c>
    </row>
    <row r="1636" customFormat="false" ht="15" hidden="false" customHeight="false" outlineLevel="0" collapsed="false">
      <c r="A1636" s="0" t="s">
        <v>336</v>
      </c>
      <c r="B1636" s="0" t="s">
        <v>575</v>
      </c>
      <c r="C1636" s="0" t="s">
        <v>127</v>
      </c>
      <c r="D1636" s="0" t="n">
        <v>2021</v>
      </c>
      <c r="E1636" s="59" t="n">
        <v>868085</v>
      </c>
      <c r="F1636" s="60" t="n">
        <v>3.09</v>
      </c>
      <c r="G1636" s="61" t="n">
        <v>0.93</v>
      </c>
      <c r="H1636" s="61" t="n">
        <v>0</v>
      </c>
      <c r="I1636" s="61" t="n">
        <v>1.29</v>
      </c>
      <c r="J1636" s="61" t="n">
        <v>0</v>
      </c>
      <c r="K1636" s="61" t="n">
        <v>0.36</v>
      </c>
      <c r="L1636" s="61" t="n">
        <v>0.27</v>
      </c>
      <c r="M1636" s="61" t="n">
        <v>0</v>
      </c>
      <c r="N1636" s="61" t="n">
        <v>0.24</v>
      </c>
      <c r="O1636" s="61" t="n">
        <v>0</v>
      </c>
      <c r="P1636" s="62" t="n">
        <v>572.8</v>
      </c>
      <c r="Q1636" s="0" t="n">
        <v>3</v>
      </c>
      <c r="R1636" s="60" t="n">
        <f aca="false">G1636+H1636+I1636</f>
        <v>2.22</v>
      </c>
      <c r="S1636" s="60" t="n">
        <f aca="false">K1636+L1636+M1636+N1636+O1636</f>
        <v>0.87</v>
      </c>
      <c r="T1636" s="60" t="n">
        <f aca="false">L1636+M1636</f>
        <v>0.27</v>
      </c>
      <c r="U1636" s="60" t="n">
        <f aca="false">S1636+J1636</f>
        <v>0.87</v>
      </c>
      <c r="V1636" s="63" t="n">
        <f aca="false">IFERROR(S1636/F1636,0)</f>
        <v>0.281553398058252</v>
      </c>
      <c r="W1636" s="63" t="n">
        <f aca="false">IFERROR(R1636/F1636,0)</f>
        <v>0.718446601941748</v>
      </c>
      <c r="X1636" s="63" t="n">
        <f aca="false">IFERROR(T1636/F1636,0)</f>
        <v>0.087378640776699</v>
      </c>
      <c r="Y1636" s="63" t="n">
        <f aca="false">IFERROR(G1636/F1636,0)</f>
        <v>0.300970873786408</v>
      </c>
      <c r="Z1636" s="59" t="n">
        <f aca="false">IF(E1636&gt;0,F1636*1000000000/E1636,"")</f>
        <v>3559.55925974991</v>
      </c>
      <c r="AA1636" s="63" t="n">
        <f aca="false">IFERROR((R1636+S1636+J1636)/F1636,0)</f>
        <v>1</v>
      </c>
      <c r="AB1636" s="0" t="str">
        <f aca="false">A1636&amp;"|"&amp;D1636</f>
        <v>Reunion|2021</v>
      </c>
    </row>
    <row r="1637" customFormat="false" ht="15" hidden="false" customHeight="false" outlineLevel="0" collapsed="false">
      <c r="A1637" s="0" t="s">
        <v>336</v>
      </c>
      <c r="B1637" s="0" t="s">
        <v>575</v>
      </c>
      <c r="C1637" s="0" t="s">
        <v>127</v>
      </c>
      <c r="D1637" s="0" t="n">
        <v>2022</v>
      </c>
      <c r="E1637" s="59" t="n">
        <v>871543</v>
      </c>
      <c r="F1637" s="60" t="n">
        <v>3.06</v>
      </c>
      <c r="G1637" s="61" t="n">
        <v>0.58</v>
      </c>
      <c r="H1637" s="61" t="n">
        <v>0</v>
      </c>
      <c r="I1637" s="61" t="n">
        <v>1.33</v>
      </c>
      <c r="J1637" s="61" t="n">
        <v>0</v>
      </c>
      <c r="K1637" s="61" t="n">
        <v>0.63</v>
      </c>
      <c r="L1637" s="61" t="n">
        <v>0.27</v>
      </c>
      <c r="M1637" s="61" t="n">
        <v>0</v>
      </c>
      <c r="N1637" s="61" t="n">
        <v>0.25</v>
      </c>
      <c r="O1637" s="61" t="n">
        <v>0</v>
      </c>
      <c r="P1637" s="62" t="n">
        <v>483.7</v>
      </c>
      <c r="Q1637" s="0" t="n">
        <v>3</v>
      </c>
      <c r="R1637" s="60" t="n">
        <f aca="false">G1637+H1637+I1637</f>
        <v>1.91</v>
      </c>
      <c r="S1637" s="60" t="n">
        <f aca="false">K1637+L1637+M1637+N1637+O1637</f>
        <v>1.15</v>
      </c>
      <c r="T1637" s="60" t="n">
        <f aca="false">L1637+M1637</f>
        <v>0.27</v>
      </c>
      <c r="U1637" s="60" t="n">
        <f aca="false">S1637+J1637</f>
        <v>1.15</v>
      </c>
      <c r="V1637" s="63" t="n">
        <f aca="false">IFERROR(S1637/F1637,0)</f>
        <v>0.375816993464052</v>
      </c>
      <c r="W1637" s="63" t="n">
        <f aca="false">IFERROR(R1637/F1637,0)</f>
        <v>0.624183006535948</v>
      </c>
      <c r="X1637" s="63" t="n">
        <f aca="false">IFERROR(T1637/F1637,0)</f>
        <v>0.0882352941176471</v>
      </c>
      <c r="Y1637" s="63" t="n">
        <f aca="false">IFERROR(G1637/F1637,0)</f>
        <v>0.189542483660131</v>
      </c>
      <c r="Z1637" s="59" t="n">
        <f aca="false">IF(E1637&gt;0,F1637*1000000000/E1637,"")</f>
        <v>3511.01437335851</v>
      </c>
      <c r="AA1637" s="63" t="n">
        <f aca="false">IFERROR((R1637+S1637+J1637)/F1637,0)</f>
        <v>1</v>
      </c>
      <c r="AB1637" s="0" t="str">
        <f aca="false">A1637&amp;"|"&amp;D1637</f>
        <v>Reunion|2022</v>
      </c>
    </row>
    <row r="1638" customFormat="false" ht="15" hidden="false" customHeight="false" outlineLevel="0" collapsed="false">
      <c r="A1638" s="0" t="s">
        <v>336</v>
      </c>
      <c r="B1638" s="0" t="s">
        <v>575</v>
      </c>
      <c r="C1638" s="0" t="s">
        <v>127</v>
      </c>
      <c r="D1638" s="0" t="n">
        <v>2023</v>
      </c>
      <c r="E1638" s="59" t="n">
        <v>874883</v>
      </c>
      <c r="F1638" s="60" t="n">
        <v>3.07</v>
      </c>
      <c r="G1638" s="61" t="n">
        <v>0.4</v>
      </c>
      <c r="H1638" s="61" t="n">
        <v>0</v>
      </c>
      <c r="I1638" s="61" t="n">
        <v>0.93</v>
      </c>
      <c r="J1638" s="61" t="n">
        <v>0</v>
      </c>
      <c r="K1638" s="61" t="n">
        <v>0.39</v>
      </c>
      <c r="L1638" s="61" t="n">
        <v>0.29</v>
      </c>
      <c r="M1638" s="61" t="n">
        <v>0.02</v>
      </c>
      <c r="N1638" s="61" t="n">
        <v>1.04</v>
      </c>
      <c r="O1638" s="61" t="n">
        <v>0</v>
      </c>
      <c r="P1638" s="62" t="n">
        <v>394.1</v>
      </c>
      <c r="Q1638" s="0" t="n">
        <v>3</v>
      </c>
      <c r="R1638" s="60" t="n">
        <f aca="false">G1638+H1638+I1638</f>
        <v>1.33</v>
      </c>
      <c r="S1638" s="60" t="n">
        <f aca="false">K1638+L1638+M1638+N1638+O1638</f>
        <v>1.74</v>
      </c>
      <c r="T1638" s="60" t="n">
        <f aca="false">L1638+M1638</f>
        <v>0.31</v>
      </c>
      <c r="U1638" s="60" t="n">
        <f aca="false">S1638+J1638</f>
        <v>1.74</v>
      </c>
      <c r="V1638" s="63" t="n">
        <f aca="false">IFERROR(S1638/F1638,0)</f>
        <v>0.566775244299674</v>
      </c>
      <c r="W1638" s="63" t="n">
        <f aca="false">IFERROR(R1638/F1638,0)</f>
        <v>0.433224755700326</v>
      </c>
      <c r="X1638" s="63" t="n">
        <f aca="false">IFERROR(T1638/F1638,0)</f>
        <v>0.100977198697068</v>
      </c>
      <c r="Y1638" s="63" t="n">
        <f aca="false">IFERROR(G1638/F1638,0)</f>
        <v>0.130293159609121</v>
      </c>
      <c r="Z1638" s="59" t="n">
        <f aca="false">IF(E1638&gt;0,F1638*1000000000/E1638,"")</f>
        <v>3509.04063743381</v>
      </c>
      <c r="AA1638" s="63" t="n">
        <f aca="false">IFERROR((R1638+S1638+J1638)/F1638,0)</f>
        <v>1</v>
      </c>
      <c r="AB1638" s="0" t="str">
        <f aca="false">A1638&amp;"|"&amp;D1638</f>
        <v>Reunion|2023</v>
      </c>
    </row>
    <row r="1639" customFormat="false" ht="15" hidden="false" customHeight="false" outlineLevel="0" collapsed="false">
      <c r="A1639" s="0" t="s">
        <v>337</v>
      </c>
      <c r="B1639" s="0" t="s">
        <v>576</v>
      </c>
      <c r="C1639" s="0" t="s">
        <v>127</v>
      </c>
      <c r="D1639" s="0" t="n">
        <v>2015</v>
      </c>
      <c r="E1639" s="59" t="n">
        <v>19871018</v>
      </c>
      <c r="F1639" s="60" t="n">
        <v>65.66</v>
      </c>
      <c r="G1639" s="61" t="n">
        <v>18.13</v>
      </c>
      <c r="H1639" s="61" t="n">
        <v>9.39</v>
      </c>
      <c r="I1639" s="61" t="n">
        <v>0.31</v>
      </c>
      <c r="J1639" s="61" t="n">
        <v>11.64</v>
      </c>
      <c r="K1639" s="61" t="n">
        <v>16.63</v>
      </c>
      <c r="L1639" s="61" t="n">
        <v>1.98</v>
      </c>
      <c r="M1639" s="61" t="n">
        <v>7.06</v>
      </c>
      <c r="N1639" s="61" t="n">
        <v>0.52</v>
      </c>
      <c r="O1639" s="61" t="n">
        <v>0</v>
      </c>
      <c r="P1639" s="62" t="n">
        <v>369</v>
      </c>
      <c r="Q1639" s="0" t="n">
        <v>0</v>
      </c>
      <c r="R1639" s="60" t="n">
        <f aca="false">G1639+H1639+I1639</f>
        <v>27.83</v>
      </c>
      <c r="S1639" s="60" t="n">
        <f aca="false">K1639+L1639+M1639+N1639+O1639</f>
        <v>26.19</v>
      </c>
      <c r="T1639" s="60" t="n">
        <f aca="false">L1639+M1639</f>
        <v>9.04</v>
      </c>
      <c r="U1639" s="60" t="n">
        <f aca="false">S1639+J1639</f>
        <v>37.83</v>
      </c>
      <c r="V1639" s="63" t="n">
        <f aca="false">IFERROR(S1639/F1639,0)</f>
        <v>0.398872982028632</v>
      </c>
      <c r="W1639" s="63" t="n">
        <f aca="false">IFERROR(R1639/F1639,0)</f>
        <v>0.423850137069753</v>
      </c>
      <c r="X1639" s="63" t="n">
        <f aca="false">IFERROR(T1639/F1639,0)</f>
        <v>0.137678952177886</v>
      </c>
      <c r="Y1639" s="63" t="n">
        <f aca="false">IFERROR(G1639/F1639,0)</f>
        <v>0.276119402985075</v>
      </c>
      <c r="Z1639" s="59" t="n">
        <f aca="false">IF(E1639&gt;0,F1639*1000000000/E1639,"")</f>
        <v>3304.30982448911</v>
      </c>
      <c r="AA1639" s="63" t="n">
        <f aca="false">IFERROR((R1639+S1639+J1639)/F1639,0)</f>
        <v>1</v>
      </c>
      <c r="AB1639" s="0" t="str">
        <f aca="false">A1639&amp;"|"&amp;D1639</f>
        <v>Romania|2015</v>
      </c>
    </row>
    <row r="1640" customFormat="false" ht="15" hidden="false" customHeight="false" outlineLevel="0" collapsed="false">
      <c r="A1640" s="0" t="s">
        <v>337</v>
      </c>
      <c r="B1640" s="0" t="s">
        <v>576</v>
      </c>
      <c r="C1640" s="0" t="s">
        <v>127</v>
      </c>
      <c r="D1640" s="0" t="n">
        <v>2016</v>
      </c>
      <c r="E1640" s="59" t="n">
        <v>19777049</v>
      </c>
      <c r="F1640" s="60" t="n">
        <v>64.22</v>
      </c>
      <c r="G1640" s="61" t="n">
        <v>15.88</v>
      </c>
      <c r="H1640" s="61" t="n">
        <v>9.65</v>
      </c>
      <c r="I1640" s="61" t="n">
        <v>0.43</v>
      </c>
      <c r="J1640" s="61" t="n">
        <v>11.29</v>
      </c>
      <c r="K1640" s="61" t="n">
        <v>18.03</v>
      </c>
      <c r="L1640" s="61" t="n">
        <v>1.82</v>
      </c>
      <c r="M1640" s="61" t="n">
        <v>6.59</v>
      </c>
      <c r="N1640" s="61" t="n">
        <v>0.53</v>
      </c>
      <c r="O1640" s="61" t="n">
        <v>0</v>
      </c>
      <c r="P1640" s="62" t="n">
        <v>345.4</v>
      </c>
      <c r="Q1640" s="0" t="n">
        <v>0</v>
      </c>
      <c r="R1640" s="60" t="n">
        <f aca="false">G1640+H1640+I1640</f>
        <v>25.96</v>
      </c>
      <c r="S1640" s="60" t="n">
        <f aca="false">K1640+L1640+M1640+N1640+O1640</f>
        <v>26.97</v>
      </c>
      <c r="T1640" s="60" t="n">
        <f aca="false">L1640+M1640</f>
        <v>8.41</v>
      </c>
      <c r="U1640" s="60" t="n">
        <f aca="false">S1640+J1640</f>
        <v>38.26</v>
      </c>
      <c r="V1640" s="63" t="n">
        <f aca="false">IFERROR(S1640/F1640,0)</f>
        <v>0.419962628464653</v>
      </c>
      <c r="W1640" s="63" t="n">
        <f aca="false">IFERROR(R1640/F1640,0)</f>
        <v>0.404235440672688</v>
      </c>
      <c r="X1640" s="63" t="n">
        <f aca="false">IFERROR(T1640/F1640,0)</f>
        <v>0.130956088445967</v>
      </c>
      <c r="Y1640" s="63" t="n">
        <f aca="false">IFERROR(G1640/F1640,0)</f>
        <v>0.247274992214264</v>
      </c>
      <c r="Z1640" s="59" t="n">
        <f aca="false">IF(E1640&gt;0,F1640*1000000000/E1640,"")</f>
        <v>3247.19830547014</v>
      </c>
      <c r="AA1640" s="63" t="n">
        <f aca="false">IFERROR((R1640+S1640+J1640)/F1640,0)</f>
        <v>1</v>
      </c>
      <c r="AB1640" s="0" t="str">
        <f aca="false">A1640&amp;"|"&amp;D1640</f>
        <v>Romania|2016</v>
      </c>
    </row>
    <row r="1641" customFormat="false" ht="15" hidden="false" customHeight="false" outlineLevel="0" collapsed="false">
      <c r="A1641" s="0" t="s">
        <v>337</v>
      </c>
      <c r="B1641" s="0" t="s">
        <v>576</v>
      </c>
      <c r="C1641" s="0" t="s">
        <v>127</v>
      </c>
      <c r="D1641" s="0" t="n">
        <v>2017</v>
      </c>
      <c r="E1641" s="59" t="n">
        <v>19689405</v>
      </c>
      <c r="F1641" s="60" t="n">
        <v>63.54</v>
      </c>
      <c r="G1641" s="61" t="n">
        <v>16.78</v>
      </c>
      <c r="H1641" s="61" t="n">
        <v>10.66</v>
      </c>
      <c r="I1641" s="61" t="n">
        <v>0.3</v>
      </c>
      <c r="J1641" s="61" t="n">
        <v>11.51</v>
      </c>
      <c r="K1641" s="61" t="n">
        <v>14.49</v>
      </c>
      <c r="L1641" s="61" t="n">
        <v>1.86</v>
      </c>
      <c r="M1641" s="61" t="n">
        <v>7.41</v>
      </c>
      <c r="N1641" s="61" t="n">
        <v>0.53</v>
      </c>
      <c r="O1641" s="61" t="n">
        <v>0</v>
      </c>
      <c r="P1641" s="62" t="n">
        <v>369.2</v>
      </c>
      <c r="Q1641" s="0" t="n">
        <v>0</v>
      </c>
      <c r="R1641" s="60" t="n">
        <f aca="false">G1641+H1641+I1641</f>
        <v>27.74</v>
      </c>
      <c r="S1641" s="60" t="n">
        <f aca="false">K1641+L1641+M1641+N1641+O1641</f>
        <v>24.29</v>
      </c>
      <c r="T1641" s="60" t="n">
        <f aca="false">L1641+M1641</f>
        <v>9.27</v>
      </c>
      <c r="U1641" s="60" t="n">
        <f aca="false">S1641+J1641</f>
        <v>35.8</v>
      </c>
      <c r="V1641" s="63" t="n">
        <f aca="false">IFERROR(S1641/F1641,0)</f>
        <v>0.382278879446018</v>
      </c>
      <c r="W1641" s="63" t="n">
        <f aca="false">IFERROR(R1641/F1641,0)</f>
        <v>0.436575385583884</v>
      </c>
      <c r="X1641" s="63" t="n">
        <f aca="false">IFERROR(T1641/F1641,0)</f>
        <v>0.145892351274788</v>
      </c>
      <c r="Y1641" s="63" t="n">
        <f aca="false">IFERROR(G1641/F1641,0)</f>
        <v>0.264085615360403</v>
      </c>
      <c r="Z1641" s="59" t="n">
        <f aca="false">IF(E1641&gt;0,F1641*1000000000/E1641,"")</f>
        <v>3227.11630950758</v>
      </c>
      <c r="AA1641" s="63" t="n">
        <f aca="false">IFERROR((R1641+S1641+J1641)/F1641,0)</f>
        <v>1</v>
      </c>
      <c r="AB1641" s="0" t="str">
        <f aca="false">A1641&amp;"|"&amp;D1641</f>
        <v>Romania|2017</v>
      </c>
    </row>
    <row r="1642" customFormat="false" ht="15" hidden="false" customHeight="false" outlineLevel="0" collapsed="false">
      <c r="A1642" s="0" t="s">
        <v>337</v>
      </c>
      <c r="B1642" s="0" t="s">
        <v>576</v>
      </c>
      <c r="C1642" s="0" t="s">
        <v>127</v>
      </c>
      <c r="D1642" s="0" t="n">
        <v>2018</v>
      </c>
      <c r="E1642" s="59" t="n">
        <v>19597874</v>
      </c>
      <c r="F1642" s="60" t="n">
        <v>64.07</v>
      </c>
      <c r="G1642" s="61" t="n">
        <v>15.65</v>
      </c>
      <c r="H1642" s="61" t="n">
        <v>10.52</v>
      </c>
      <c r="I1642" s="61" t="n">
        <v>0.33</v>
      </c>
      <c r="J1642" s="61" t="n">
        <v>11.38</v>
      </c>
      <c r="K1642" s="61" t="n">
        <v>17.66</v>
      </c>
      <c r="L1642" s="61" t="n">
        <v>1.77</v>
      </c>
      <c r="M1642" s="61" t="n">
        <v>6.32</v>
      </c>
      <c r="N1642" s="61" t="n">
        <v>0.44</v>
      </c>
      <c r="O1642" s="61" t="n">
        <v>0</v>
      </c>
      <c r="P1642" s="62" t="n">
        <v>348.1</v>
      </c>
      <c r="Q1642" s="0" t="n">
        <v>0</v>
      </c>
      <c r="R1642" s="60" t="n">
        <f aca="false">G1642+H1642+I1642</f>
        <v>26.5</v>
      </c>
      <c r="S1642" s="60" t="n">
        <f aca="false">K1642+L1642+M1642+N1642+O1642</f>
        <v>26.19</v>
      </c>
      <c r="T1642" s="60" t="n">
        <f aca="false">L1642+M1642</f>
        <v>8.09</v>
      </c>
      <c r="U1642" s="60" t="n">
        <f aca="false">S1642+J1642</f>
        <v>37.57</v>
      </c>
      <c r="V1642" s="63" t="n">
        <f aca="false">IFERROR(S1642/F1642,0)</f>
        <v>0.408771656001249</v>
      </c>
      <c r="W1642" s="63" t="n">
        <f aca="false">IFERROR(R1642/F1642,0)</f>
        <v>0.413610113937881</v>
      </c>
      <c r="X1642" s="63" t="n">
        <f aca="false">IFERROR(T1642/F1642,0)</f>
        <v>0.126268144217262</v>
      </c>
      <c r="Y1642" s="63" t="n">
        <f aca="false">IFERROR(G1642/F1642,0)</f>
        <v>0.244264086155767</v>
      </c>
      <c r="Z1642" s="59" t="n">
        <f aca="false">IF(E1642&gt;0,F1642*1000000000/E1642,"")</f>
        <v>3269.23216263152</v>
      </c>
      <c r="AA1642" s="63" t="n">
        <f aca="false">IFERROR((R1642+S1642+J1642)/F1642,0)</f>
        <v>1</v>
      </c>
      <c r="AB1642" s="0" t="str">
        <f aca="false">A1642&amp;"|"&amp;D1642</f>
        <v>Romania|2018</v>
      </c>
    </row>
    <row r="1643" customFormat="false" ht="15" hidden="false" customHeight="false" outlineLevel="0" collapsed="false">
      <c r="A1643" s="0" t="s">
        <v>337</v>
      </c>
      <c r="B1643" s="0" t="s">
        <v>576</v>
      </c>
      <c r="C1643" s="0" t="s">
        <v>127</v>
      </c>
      <c r="D1643" s="0" t="n">
        <v>2019</v>
      </c>
      <c r="E1643" s="59" t="n">
        <v>19501542</v>
      </c>
      <c r="F1643" s="60" t="n">
        <v>58.76</v>
      </c>
      <c r="G1643" s="61" t="n">
        <v>13.61</v>
      </c>
      <c r="H1643" s="61" t="n">
        <v>8.95</v>
      </c>
      <c r="I1643" s="61" t="n">
        <v>0.29</v>
      </c>
      <c r="J1643" s="61" t="n">
        <v>11.28</v>
      </c>
      <c r="K1643" s="61" t="n">
        <v>15.58</v>
      </c>
      <c r="L1643" s="61" t="n">
        <v>1.78</v>
      </c>
      <c r="M1643" s="61" t="n">
        <v>6.77</v>
      </c>
      <c r="N1643" s="61" t="n">
        <v>0.5</v>
      </c>
      <c r="O1643" s="61" t="n">
        <v>0</v>
      </c>
      <c r="P1643" s="62" t="n">
        <v>329</v>
      </c>
      <c r="Q1643" s="0" t="n">
        <v>0</v>
      </c>
      <c r="R1643" s="60" t="n">
        <f aca="false">G1643+H1643+I1643</f>
        <v>22.85</v>
      </c>
      <c r="S1643" s="60" t="n">
        <f aca="false">K1643+L1643+M1643+N1643+O1643</f>
        <v>24.63</v>
      </c>
      <c r="T1643" s="60" t="n">
        <f aca="false">L1643+M1643</f>
        <v>8.55</v>
      </c>
      <c r="U1643" s="60" t="n">
        <f aca="false">S1643+J1643</f>
        <v>35.91</v>
      </c>
      <c r="V1643" s="63" t="n">
        <f aca="false">IFERROR(S1643/F1643,0)</f>
        <v>0.419162695711368</v>
      </c>
      <c r="W1643" s="63" t="n">
        <f aca="false">IFERROR(R1643/F1643,0)</f>
        <v>0.388869979577944</v>
      </c>
      <c r="X1643" s="63" t="n">
        <f aca="false">IFERROR(T1643/F1643,0)</f>
        <v>0.145507147719537</v>
      </c>
      <c r="Y1643" s="63" t="n">
        <f aca="false">IFERROR(G1643/F1643,0)</f>
        <v>0.231620149761743</v>
      </c>
      <c r="Z1643" s="59" t="n">
        <f aca="false">IF(E1643&gt;0,F1643*1000000000/E1643,"")</f>
        <v>3013.09506704649</v>
      </c>
      <c r="AA1643" s="63" t="n">
        <f aca="false">IFERROR((R1643+S1643+J1643)/F1643,0)</f>
        <v>1</v>
      </c>
      <c r="AB1643" s="0" t="str">
        <f aca="false">A1643&amp;"|"&amp;D1643</f>
        <v>Romania|2019</v>
      </c>
    </row>
    <row r="1644" customFormat="false" ht="15" hidden="false" customHeight="false" outlineLevel="0" collapsed="false">
      <c r="A1644" s="0" t="s">
        <v>337</v>
      </c>
      <c r="B1644" s="0" t="s">
        <v>576</v>
      </c>
      <c r="C1644" s="0" t="s">
        <v>127</v>
      </c>
      <c r="D1644" s="0" t="n">
        <v>2020</v>
      </c>
      <c r="E1644" s="59" t="n">
        <v>19392467</v>
      </c>
      <c r="F1644" s="60" t="n">
        <v>55.21</v>
      </c>
      <c r="G1644" s="61" t="n">
        <v>9.36</v>
      </c>
      <c r="H1644" s="61" t="n">
        <v>9.46</v>
      </c>
      <c r="I1644" s="61" t="n">
        <v>0.31</v>
      </c>
      <c r="J1644" s="61" t="n">
        <v>11.47</v>
      </c>
      <c r="K1644" s="61" t="n">
        <v>15.38</v>
      </c>
      <c r="L1644" s="61" t="n">
        <v>1.73</v>
      </c>
      <c r="M1644" s="61" t="n">
        <v>6.95</v>
      </c>
      <c r="N1644" s="61" t="n">
        <v>0.55</v>
      </c>
      <c r="O1644" s="61" t="n">
        <v>0</v>
      </c>
      <c r="P1644" s="62" t="n">
        <v>277.9</v>
      </c>
      <c r="Q1644" s="0" t="n">
        <v>0</v>
      </c>
      <c r="R1644" s="60" t="n">
        <f aca="false">G1644+H1644+I1644</f>
        <v>19.13</v>
      </c>
      <c r="S1644" s="60" t="n">
        <f aca="false">K1644+L1644+M1644+N1644+O1644</f>
        <v>24.61</v>
      </c>
      <c r="T1644" s="60" t="n">
        <f aca="false">L1644+M1644</f>
        <v>8.68</v>
      </c>
      <c r="U1644" s="60" t="n">
        <f aca="false">S1644+J1644</f>
        <v>36.08</v>
      </c>
      <c r="V1644" s="63" t="n">
        <f aca="false">IFERROR(S1644/F1644,0)</f>
        <v>0.445752581054157</v>
      </c>
      <c r="W1644" s="63" t="n">
        <f aca="false">IFERROR(R1644/F1644,0)</f>
        <v>0.346495200144901</v>
      </c>
      <c r="X1644" s="63" t="n">
        <f aca="false">IFERROR(T1644/F1644,0)</f>
        <v>0.157217895308821</v>
      </c>
      <c r="Y1644" s="63" t="n">
        <f aca="false">IFERROR(G1644/F1644,0)</f>
        <v>0.169534504618729</v>
      </c>
      <c r="Z1644" s="59" t="n">
        <f aca="false">IF(E1644&gt;0,F1644*1000000000/E1644,"")</f>
        <v>2846.98176874556</v>
      </c>
      <c r="AA1644" s="63" t="n">
        <f aca="false">IFERROR((R1644+S1644+J1644)/F1644,0)</f>
        <v>1</v>
      </c>
      <c r="AB1644" s="0" t="str">
        <f aca="false">A1644&amp;"|"&amp;D1644</f>
        <v>Romania|2020</v>
      </c>
    </row>
    <row r="1645" customFormat="false" ht="15" hidden="false" customHeight="false" outlineLevel="0" collapsed="false">
      <c r="A1645" s="0" t="s">
        <v>337</v>
      </c>
      <c r="B1645" s="0" t="s">
        <v>576</v>
      </c>
      <c r="C1645" s="0" t="s">
        <v>127</v>
      </c>
      <c r="D1645" s="0" t="n">
        <v>2021</v>
      </c>
      <c r="E1645" s="59" t="n">
        <v>19248159</v>
      </c>
      <c r="F1645" s="60" t="n">
        <v>58.56</v>
      </c>
      <c r="G1645" s="61" t="n">
        <v>10.69</v>
      </c>
      <c r="H1645" s="61" t="n">
        <v>9.91</v>
      </c>
      <c r="I1645" s="61" t="n">
        <v>0.34</v>
      </c>
      <c r="J1645" s="61" t="n">
        <v>11.28</v>
      </c>
      <c r="K1645" s="61" t="n">
        <v>17.41</v>
      </c>
      <c r="L1645" s="61" t="n">
        <v>1.7</v>
      </c>
      <c r="M1645" s="61" t="n">
        <v>6.58</v>
      </c>
      <c r="N1645" s="61" t="n">
        <v>0.65</v>
      </c>
      <c r="O1645" s="61" t="n">
        <v>0</v>
      </c>
      <c r="P1645" s="62" t="n">
        <v>290</v>
      </c>
      <c r="Q1645" s="0" t="n">
        <v>0</v>
      </c>
      <c r="R1645" s="60" t="n">
        <f aca="false">G1645+H1645+I1645</f>
        <v>20.94</v>
      </c>
      <c r="S1645" s="60" t="n">
        <f aca="false">K1645+L1645+M1645+N1645+O1645</f>
        <v>26.34</v>
      </c>
      <c r="T1645" s="60" t="n">
        <f aca="false">L1645+M1645</f>
        <v>8.28</v>
      </c>
      <c r="U1645" s="60" t="n">
        <f aca="false">S1645+J1645</f>
        <v>37.62</v>
      </c>
      <c r="V1645" s="63" t="n">
        <f aca="false">IFERROR(S1645/F1645,0)</f>
        <v>0.449795081967213</v>
      </c>
      <c r="W1645" s="63" t="n">
        <f aca="false">IFERROR(R1645/F1645,0)</f>
        <v>0.357581967213115</v>
      </c>
      <c r="X1645" s="63" t="n">
        <f aca="false">IFERROR(T1645/F1645,0)</f>
        <v>0.141393442622951</v>
      </c>
      <c r="Y1645" s="63" t="n">
        <f aca="false">IFERROR(G1645/F1645,0)</f>
        <v>0.18254781420765</v>
      </c>
      <c r="Z1645" s="59" t="n">
        <f aca="false">IF(E1645&gt;0,F1645*1000000000/E1645,"")</f>
        <v>3042.36888317475</v>
      </c>
      <c r="AA1645" s="63" t="n">
        <f aca="false">IFERROR((R1645+S1645+J1645)/F1645,0)</f>
        <v>1</v>
      </c>
      <c r="AB1645" s="0" t="str">
        <f aca="false">A1645&amp;"|"&amp;D1645</f>
        <v>Romania|2021</v>
      </c>
    </row>
    <row r="1646" customFormat="false" ht="15" hidden="false" customHeight="false" outlineLevel="0" collapsed="false">
      <c r="A1646" s="0" t="s">
        <v>337</v>
      </c>
      <c r="B1646" s="0" t="s">
        <v>576</v>
      </c>
      <c r="C1646" s="0" t="s">
        <v>127</v>
      </c>
      <c r="D1646" s="0" t="n">
        <v>2022</v>
      </c>
      <c r="E1646" s="59" t="n">
        <v>19166776</v>
      </c>
      <c r="F1646" s="60" t="n">
        <v>54.74</v>
      </c>
      <c r="G1646" s="61" t="n">
        <v>10.37</v>
      </c>
      <c r="H1646" s="61" t="n">
        <v>9.33</v>
      </c>
      <c r="I1646" s="61" t="n">
        <v>0.33</v>
      </c>
      <c r="J1646" s="61" t="n">
        <v>11.09</v>
      </c>
      <c r="K1646" s="61" t="n">
        <v>13.98</v>
      </c>
      <c r="L1646" s="61" t="n">
        <v>1.99</v>
      </c>
      <c r="M1646" s="61" t="n">
        <v>7</v>
      </c>
      <c r="N1646" s="61" t="n">
        <v>0.65</v>
      </c>
      <c r="O1646" s="61" t="n">
        <v>0</v>
      </c>
      <c r="P1646" s="62" t="n">
        <v>297.8</v>
      </c>
      <c r="Q1646" s="0" t="n">
        <v>0</v>
      </c>
      <c r="R1646" s="60" t="n">
        <f aca="false">G1646+H1646+I1646</f>
        <v>20.03</v>
      </c>
      <c r="S1646" s="60" t="n">
        <f aca="false">K1646+L1646+M1646+N1646+O1646</f>
        <v>23.62</v>
      </c>
      <c r="T1646" s="60" t="n">
        <f aca="false">L1646+M1646</f>
        <v>8.99</v>
      </c>
      <c r="U1646" s="60" t="n">
        <f aca="false">S1646+J1646</f>
        <v>34.71</v>
      </c>
      <c r="V1646" s="63" t="n">
        <f aca="false">IFERROR(S1646/F1646,0)</f>
        <v>0.431494336865181</v>
      </c>
      <c r="W1646" s="63" t="n">
        <f aca="false">IFERROR(R1646/F1646,0)</f>
        <v>0.365911582024114</v>
      </c>
      <c r="X1646" s="63" t="n">
        <f aca="false">IFERROR(T1646/F1646,0)</f>
        <v>0.164230909755206</v>
      </c>
      <c r="Y1646" s="63" t="n">
        <f aca="false">IFERROR(G1646/F1646,0)</f>
        <v>0.18944099378882</v>
      </c>
      <c r="Z1646" s="59" t="n">
        <f aca="false">IF(E1646&gt;0,F1646*1000000000/E1646,"")</f>
        <v>2855.98370847554</v>
      </c>
      <c r="AA1646" s="63" t="n">
        <f aca="false">IFERROR((R1646+S1646+J1646)/F1646,0)</f>
        <v>1</v>
      </c>
      <c r="AB1646" s="0" t="str">
        <f aca="false">A1646&amp;"|"&amp;D1646</f>
        <v>Romania|2022</v>
      </c>
    </row>
    <row r="1647" customFormat="false" ht="15" hidden="false" customHeight="false" outlineLevel="0" collapsed="false">
      <c r="A1647" s="0" t="s">
        <v>337</v>
      </c>
      <c r="B1647" s="0" t="s">
        <v>576</v>
      </c>
      <c r="C1647" s="0" t="s">
        <v>127</v>
      </c>
      <c r="D1647" s="0" t="n">
        <v>2023</v>
      </c>
      <c r="E1647" s="59" t="n">
        <v>19118482</v>
      </c>
      <c r="F1647" s="60" t="n">
        <v>56.95</v>
      </c>
      <c r="G1647" s="61" t="n">
        <v>8.06</v>
      </c>
      <c r="H1647" s="61" t="n">
        <v>9.15</v>
      </c>
      <c r="I1647" s="61" t="n">
        <v>0.19</v>
      </c>
      <c r="J1647" s="61" t="n">
        <v>11.19</v>
      </c>
      <c r="K1647" s="61" t="n">
        <v>18.14</v>
      </c>
      <c r="L1647" s="61" t="n">
        <v>2.23</v>
      </c>
      <c r="M1647" s="61" t="n">
        <v>7.55</v>
      </c>
      <c r="N1647" s="61" t="n">
        <v>0.44</v>
      </c>
      <c r="O1647" s="61" t="n">
        <v>0</v>
      </c>
      <c r="P1647" s="62" t="n">
        <v>243.2</v>
      </c>
      <c r="Q1647" s="0" t="n">
        <v>0</v>
      </c>
      <c r="R1647" s="60" t="n">
        <f aca="false">G1647+H1647+I1647</f>
        <v>17.4</v>
      </c>
      <c r="S1647" s="60" t="n">
        <f aca="false">K1647+L1647+M1647+N1647+O1647</f>
        <v>28.36</v>
      </c>
      <c r="T1647" s="60" t="n">
        <f aca="false">L1647+M1647</f>
        <v>9.78</v>
      </c>
      <c r="U1647" s="60" t="n">
        <f aca="false">S1647+J1647</f>
        <v>39.55</v>
      </c>
      <c r="V1647" s="63" t="n">
        <f aca="false">IFERROR(S1647/F1647,0)</f>
        <v>0.497980684811238</v>
      </c>
      <c r="W1647" s="63" t="n">
        <f aca="false">IFERROR(R1647/F1647,0)</f>
        <v>0.305531167690957</v>
      </c>
      <c r="X1647" s="63" t="n">
        <f aca="false">IFERROR(T1647/F1647,0)</f>
        <v>0.171729587357331</v>
      </c>
      <c r="Y1647" s="63" t="n">
        <f aca="false">IFERROR(G1647/F1647,0)</f>
        <v>0.141527655838455</v>
      </c>
      <c r="Z1647" s="59" t="n">
        <f aca="false">IF(E1647&gt;0,F1647*1000000000/E1647,"")</f>
        <v>2978.79298157668</v>
      </c>
      <c r="AA1647" s="63" t="n">
        <f aca="false">IFERROR((R1647+S1647+J1647)/F1647,0)</f>
        <v>1</v>
      </c>
      <c r="AB1647" s="0" t="str">
        <f aca="false">A1647&amp;"|"&amp;D1647</f>
        <v>Romania|2023</v>
      </c>
    </row>
    <row r="1648" customFormat="false" ht="15" hidden="false" customHeight="false" outlineLevel="0" collapsed="false">
      <c r="A1648" s="0" t="s">
        <v>337</v>
      </c>
      <c r="B1648" s="0" t="s">
        <v>576</v>
      </c>
      <c r="C1648" s="0" t="s">
        <v>127</v>
      </c>
      <c r="D1648" s="0" t="n">
        <v>2024</v>
      </c>
      <c r="E1648" s="59" t="n">
        <v>19015096</v>
      </c>
      <c r="F1648" s="60" t="n">
        <v>52.72</v>
      </c>
      <c r="G1648" s="61" t="n">
        <v>7.08</v>
      </c>
      <c r="H1648" s="61" t="n">
        <v>10.03</v>
      </c>
      <c r="I1648" s="61" t="n">
        <v>0.18</v>
      </c>
      <c r="J1648" s="61" t="n">
        <v>10.91</v>
      </c>
      <c r="K1648" s="61" t="n">
        <v>14.19</v>
      </c>
      <c r="L1648" s="61" t="n">
        <v>3.42</v>
      </c>
      <c r="M1648" s="61" t="n">
        <v>6.43</v>
      </c>
      <c r="N1648" s="61" t="n">
        <v>0.48</v>
      </c>
      <c r="O1648" s="61" t="n">
        <v>0</v>
      </c>
      <c r="P1648" s="62" t="n">
        <v>251.3</v>
      </c>
      <c r="Q1648" s="0" t="n">
        <v>0</v>
      </c>
      <c r="R1648" s="60" t="n">
        <f aca="false">G1648+H1648+I1648</f>
        <v>17.29</v>
      </c>
      <c r="S1648" s="60" t="n">
        <f aca="false">K1648+L1648+M1648+N1648+O1648</f>
        <v>24.52</v>
      </c>
      <c r="T1648" s="60" t="n">
        <f aca="false">L1648+M1648</f>
        <v>9.85</v>
      </c>
      <c r="U1648" s="60" t="n">
        <f aca="false">S1648+J1648</f>
        <v>35.43</v>
      </c>
      <c r="V1648" s="63" t="n">
        <f aca="false">IFERROR(S1648/F1648,0)</f>
        <v>0.465098634294385</v>
      </c>
      <c r="W1648" s="63" t="n">
        <f aca="false">IFERROR(R1648/F1648,0)</f>
        <v>0.327959028831563</v>
      </c>
      <c r="X1648" s="63" t="n">
        <f aca="false">IFERROR(T1648/F1648,0)</f>
        <v>0.186836115326252</v>
      </c>
      <c r="Y1648" s="63" t="n">
        <f aca="false">IFERROR(G1648/F1648,0)</f>
        <v>0.134294385432473</v>
      </c>
      <c r="Z1648" s="59" t="n">
        <f aca="false">IF(E1648&gt;0,F1648*1000000000/E1648,"")</f>
        <v>2772.53399088808</v>
      </c>
      <c r="AA1648" s="63" t="n">
        <f aca="false">IFERROR((R1648+S1648+J1648)/F1648,0)</f>
        <v>1</v>
      </c>
      <c r="AB1648" s="0" t="str">
        <f aca="false">A1648&amp;"|"&amp;D1648</f>
        <v>Romania|2024</v>
      </c>
    </row>
    <row r="1649" customFormat="false" ht="15" hidden="false" customHeight="false" outlineLevel="0" collapsed="false">
      <c r="A1649" s="0" t="s">
        <v>337</v>
      </c>
      <c r="B1649" s="0" t="s">
        <v>576</v>
      </c>
      <c r="C1649" s="0" t="s">
        <v>127</v>
      </c>
      <c r="D1649" s="0" t="n">
        <v>2025</v>
      </c>
      <c r="E1649" s="59" t="n">
        <v>18908655</v>
      </c>
      <c r="F1649" s="60" t="n">
        <v>49.81</v>
      </c>
      <c r="G1649" s="61" t="n">
        <v>6.68</v>
      </c>
      <c r="H1649" s="61" t="n">
        <v>9.32</v>
      </c>
      <c r="I1649" s="61" t="n">
        <v>0.18</v>
      </c>
      <c r="J1649" s="61" t="n">
        <v>10.2</v>
      </c>
      <c r="K1649" s="61" t="n">
        <v>12.09</v>
      </c>
      <c r="L1649" s="61" t="n">
        <v>4.88</v>
      </c>
      <c r="M1649" s="61" t="n">
        <v>5.97</v>
      </c>
      <c r="N1649" s="61" t="n">
        <v>0.49</v>
      </c>
      <c r="O1649" s="61" t="n">
        <v>0</v>
      </c>
      <c r="P1649" s="62" t="n">
        <v>250.8</v>
      </c>
      <c r="Q1649" s="0" t="n">
        <v>0</v>
      </c>
      <c r="R1649" s="60" t="n">
        <f aca="false">G1649+H1649+I1649</f>
        <v>16.18</v>
      </c>
      <c r="S1649" s="60" t="n">
        <f aca="false">K1649+L1649+M1649+N1649+O1649</f>
        <v>23.43</v>
      </c>
      <c r="T1649" s="60" t="n">
        <f aca="false">L1649+M1649</f>
        <v>10.85</v>
      </c>
      <c r="U1649" s="60" t="n">
        <f aca="false">S1649+J1649</f>
        <v>33.63</v>
      </c>
      <c r="V1649" s="63" t="n">
        <f aca="false">IFERROR(S1649/F1649,0)</f>
        <v>0.470387472395101</v>
      </c>
      <c r="W1649" s="63" t="n">
        <f aca="false">IFERROR(R1649/F1649,0)</f>
        <v>0.324834370608312</v>
      </c>
      <c r="X1649" s="63" t="n">
        <f aca="false">IFERROR(T1649/F1649,0)</f>
        <v>0.217827745432644</v>
      </c>
      <c r="Y1649" s="63" t="n">
        <f aca="false">IFERROR(G1649/F1649,0)</f>
        <v>0.134109616542863</v>
      </c>
      <c r="Z1649" s="59" t="n">
        <f aca="false">IF(E1649&gt;0,F1649*1000000000/E1649,"")</f>
        <v>2634.24341921728</v>
      </c>
      <c r="AA1649" s="63" t="n">
        <f aca="false">IFERROR((R1649+S1649+J1649)/F1649,0)</f>
        <v>1</v>
      </c>
      <c r="AB1649" s="0" t="str">
        <f aca="false">A1649&amp;"|"&amp;D1649</f>
        <v>Romania|2025</v>
      </c>
    </row>
    <row r="1650" customFormat="false" ht="15" hidden="false" customHeight="false" outlineLevel="0" collapsed="false">
      <c r="A1650" s="0" t="s">
        <v>338</v>
      </c>
      <c r="B1650" s="0" t="s">
        <v>577</v>
      </c>
      <c r="C1650" s="0" t="s">
        <v>127</v>
      </c>
      <c r="D1650" s="0" t="n">
        <v>2015</v>
      </c>
      <c r="E1650" s="59" t="n">
        <v>145307612</v>
      </c>
      <c r="F1650" s="60" t="n">
        <v>1067.55</v>
      </c>
      <c r="G1650" s="61" t="n">
        <v>158.55</v>
      </c>
      <c r="H1650" s="61" t="n">
        <v>529.76</v>
      </c>
      <c r="I1650" s="61" t="n">
        <v>14.81</v>
      </c>
      <c r="J1650" s="61" t="n">
        <v>195.47</v>
      </c>
      <c r="K1650" s="61" t="n">
        <v>167.99</v>
      </c>
      <c r="L1650" s="61" t="n">
        <v>0.34</v>
      </c>
      <c r="M1650" s="61" t="n">
        <v>0.15</v>
      </c>
      <c r="N1650" s="61" t="n">
        <v>0.48</v>
      </c>
      <c r="O1650" s="61" t="n">
        <v>0</v>
      </c>
      <c r="P1650" s="62" t="n">
        <v>444.4</v>
      </c>
      <c r="Q1650" s="0" t="n">
        <v>1</v>
      </c>
      <c r="R1650" s="60" t="n">
        <f aca="false">G1650+H1650+I1650</f>
        <v>703.12</v>
      </c>
      <c r="S1650" s="60" t="n">
        <f aca="false">K1650+L1650+M1650+N1650+O1650</f>
        <v>168.96</v>
      </c>
      <c r="T1650" s="60" t="n">
        <f aca="false">L1650+M1650</f>
        <v>0.49</v>
      </c>
      <c r="U1650" s="60" t="n">
        <f aca="false">S1650+J1650</f>
        <v>364.43</v>
      </c>
      <c r="V1650" s="63" t="n">
        <f aca="false">IFERROR(S1650/F1650,0)</f>
        <v>0.158268933539413</v>
      </c>
      <c r="W1650" s="63" t="n">
        <f aca="false">IFERROR(R1650/F1650,0)</f>
        <v>0.658629572385368</v>
      </c>
      <c r="X1650" s="63" t="n">
        <f aca="false">IFERROR(T1650/F1650,0)</f>
        <v>0.0004589948948527</v>
      </c>
      <c r="Y1650" s="63" t="n">
        <f aca="false">IFERROR(G1650/F1650,0)</f>
        <v>0.148517633834481</v>
      </c>
      <c r="Z1650" s="59" t="n">
        <f aca="false">IF(E1650&gt;0,F1650*1000000000/E1650,"")</f>
        <v>7346.82777664807</v>
      </c>
      <c r="AA1650" s="63" t="n">
        <f aca="false">IFERROR((R1650+S1650+J1650)/F1650,0)</f>
        <v>1</v>
      </c>
      <c r="AB1650" s="0" t="str">
        <f aca="false">A1650&amp;"|"&amp;D1650</f>
        <v>Russia|2015</v>
      </c>
    </row>
    <row r="1651" customFormat="false" ht="15" hidden="false" customHeight="false" outlineLevel="0" collapsed="false">
      <c r="A1651" s="0" t="s">
        <v>338</v>
      </c>
      <c r="B1651" s="0" t="s">
        <v>577</v>
      </c>
      <c r="C1651" s="0" t="s">
        <v>127</v>
      </c>
      <c r="D1651" s="0" t="n">
        <v>2016</v>
      </c>
      <c r="E1651" s="59" t="n">
        <v>145778668</v>
      </c>
      <c r="F1651" s="60" t="n">
        <v>1090.97</v>
      </c>
      <c r="G1651" s="61" t="n">
        <v>171.45</v>
      </c>
      <c r="H1651" s="61" t="n">
        <v>521.81</v>
      </c>
      <c r="I1651" s="61" t="n">
        <v>15.42</v>
      </c>
      <c r="J1651" s="61" t="n">
        <v>196.61</v>
      </c>
      <c r="K1651" s="61" t="n">
        <v>184.61</v>
      </c>
      <c r="L1651" s="61" t="n">
        <v>0.47</v>
      </c>
      <c r="M1651" s="61" t="n">
        <v>0.15</v>
      </c>
      <c r="N1651" s="61" t="n">
        <v>0.45</v>
      </c>
      <c r="O1651" s="61" t="n">
        <v>0</v>
      </c>
      <c r="P1651" s="62" t="n">
        <v>442.7</v>
      </c>
      <c r="Q1651" s="0" t="n">
        <v>1</v>
      </c>
      <c r="R1651" s="60" t="n">
        <f aca="false">G1651+H1651+I1651</f>
        <v>708.68</v>
      </c>
      <c r="S1651" s="60" t="n">
        <f aca="false">K1651+L1651+M1651+N1651+O1651</f>
        <v>185.68</v>
      </c>
      <c r="T1651" s="60" t="n">
        <f aca="false">L1651+M1651</f>
        <v>0.62</v>
      </c>
      <c r="U1651" s="60" t="n">
        <f aca="false">S1651+J1651</f>
        <v>382.29</v>
      </c>
      <c r="V1651" s="63" t="n">
        <f aca="false">IFERROR(S1651/F1651,0)</f>
        <v>0.170197163991677</v>
      </c>
      <c r="W1651" s="63" t="n">
        <f aca="false">IFERROR(R1651/F1651,0)</f>
        <v>0.64958706472222</v>
      </c>
      <c r="X1651" s="63" t="n">
        <f aca="false">IFERROR(T1651/F1651,0)</f>
        <v>0.00056830160316049</v>
      </c>
      <c r="Y1651" s="63" t="n">
        <f aca="false">IFERROR(G1651/F1651,0)</f>
        <v>0.157153725583655</v>
      </c>
      <c r="Z1651" s="59" t="n">
        <f aca="false">IF(E1651&gt;0,F1651*1000000000/E1651,"")</f>
        <v>7483.74240873157</v>
      </c>
      <c r="AA1651" s="63" t="n">
        <f aca="false">IFERROR((R1651+S1651+J1651)/F1651,0)</f>
        <v>1</v>
      </c>
      <c r="AB1651" s="0" t="str">
        <f aca="false">A1651&amp;"|"&amp;D1651</f>
        <v>Russia|2016</v>
      </c>
    </row>
    <row r="1652" customFormat="false" ht="15" hidden="false" customHeight="false" outlineLevel="0" collapsed="false">
      <c r="A1652" s="0" t="s">
        <v>338</v>
      </c>
      <c r="B1652" s="0" t="s">
        <v>577</v>
      </c>
      <c r="C1652" s="0" t="s">
        <v>127</v>
      </c>
      <c r="D1652" s="0" t="n">
        <v>2017</v>
      </c>
      <c r="E1652" s="59" t="n">
        <v>146186798</v>
      </c>
      <c r="F1652" s="60" t="n">
        <v>1091.17</v>
      </c>
      <c r="G1652" s="61" t="n">
        <v>174.01</v>
      </c>
      <c r="H1652" s="61" t="n">
        <v>516.27</v>
      </c>
      <c r="I1652" s="61" t="n">
        <v>11.39</v>
      </c>
      <c r="J1652" s="61" t="n">
        <v>203.14</v>
      </c>
      <c r="K1652" s="61" t="n">
        <v>185.16</v>
      </c>
      <c r="L1652" s="61" t="n">
        <v>0.54</v>
      </c>
      <c r="M1652" s="61" t="n">
        <v>0.14</v>
      </c>
      <c r="N1652" s="61" t="n">
        <v>0.52</v>
      </c>
      <c r="O1652" s="61" t="n">
        <v>0</v>
      </c>
      <c r="P1652" s="62" t="n">
        <v>439.6</v>
      </c>
      <c r="Q1652" s="0" t="n">
        <v>1</v>
      </c>
      <c r="R1652" s="60" t="n">
        <f aca="false">G1652+H1652+I1652</f>
        <v>701.67</v>
      </c>
      <c r="S1652" s="60" t="n">
        <f aca="false">K1652+L1652+M1652+N1652+O1652</f>
        <v>186.36</v>
      </c>
      <c r="T1652" s="60" t="n">
        <f aca="false">L1652+M1652</f>
        <v>0.68</v>
      </c>
      <c r="U1652" s="60" t="n">
        <f aca="false">S1652+J1652</f>
        <v>389.5</v>
      </c>
      <c r="V1652" s="63" t="n">
        <f aca="false">IFERROR(S1652/F1652,0)</f>
        <v>0.170789152927591</v>
      </c>
      <c r="W1652" s="63" t="n">
        <f aca="false">IFERROR(R1652/F1652,0)</f>
        <v>0.643043705380463</v>
      </c>
      <c r="X1652" s="63" t="n">
        <f aca="false">IFERROR(T1652/F1652,0)</f>
        <v>0.000623184288424352</v>
      </c>
      <c r="Y1652" s="63" t="n">
        <f aca="false">IFERROR(G1652/F1652,0)</f>
        <v>0.159471026512826</v>
      </c>
      <c r="Z1652" s="59" t="n">
        <f aca="false">IF(E1652&gt;0,F1652*1000000000/E1652,"")</f>
        <v>7464.21711760867</v>
      </c>
      <c r="AA1652" s="63" t="n">
        <f aca="false">IFERROR((R1652+S1652+J1652)/F1652,0)</f>
        <v>1</v>
      </c>
      <c r="AB1652" s="0" t="str">
        <f aca="false">A1652&amp;"|"&amp;D1652</f>
        <v>Russia|2017</v>
      </c>
    </row>
    <row r="1653" customFormat="false" ht="15" hidden="false" customHeight="false" outlineLevel="0" collapsed="false">
      <c r="A1653" s="0" t="s">
        <v>338</v>
      </c>
      <c r="B1653" s="0" t="s">
        <v>577</v>
      </c>
      <c r="C1653" s="0" t="s">
        <v>127</v>
      </c>
      <c r="D1653" s="0" t="n">
        <v>2018</v>
      </c>
      <c r="E1653" s="59" t="n">
        <v>146430146</v>
      </c>
      <c r="F1653" s="60" t="n">
        <v>1109.19</v>
      </c>
      <c r="G1653" s="61" t="n">
        <v>176.61</v>
      </c>
      <c r="H1653" s="61" t="n">
        <v>523.72</v>
      </c>
      <c r="I1653" s="61" t="n">
        <v>12.28</v>
      </c>
      <c r="J1653" s="61" t="n">
        <v>204.58</v>
      </c>
      <c r="K1653" s="61" t="n">
        <v>190.64</v>
      </c>
      <c r="L1653" s="61" t="n">
        <v>0.62</v>
      </c>
      <c r="M1653" s="61" t="n">
        <v>0.24</v>
      </c>
      <c r="N1653" s="61" t="n">
        <v>0.5</v>
      </c>
      <c r="O1653" s="61" t="n">
        <v>0</v>
      </c>
      <c r="P1653" s="62" t="n">
        <v>439.3</v>
      </c>
      <c r="Q1653" s="0" t="n">
        <v>1</v>
      </c>
      <c r="R1653" s="60" t="n">
        <f aca="false">G1653+H1653+I1653</f>
        <v>712.61</v>
      </c>
      <c r="S1653" s="60" t="n">
        <f aca="false">K1653+L1653+M1653+N1653+O1653</f>
        <v>192</v>
      </c>
      <c r="T1653" s="60" t="n">
        <f aca="false">L1653+M1653</f>
        <v>0.86</v>
      </c>
      <c r="U1653" s="60" t="n">
        <f aca="false">S1653+J1653</f>
        <v>396.58</v>
      </c>
      <c r="V1653" s="63" t="n">
        <f aca="false">IFERROR(S1653/F1653,0)</f>
        <v>0.173099288670111</v>
      </c>
      <c r="W1653" s="63" t="n">
        <f aca="false">IFERROR(R1653/F1653,0)</f>
        <v>0.642459813016706</v>
      </c>
      <c r="X1653" s="63" t="n">
        <f aca="false">IFERROR(T1653/F1653,0)</f>
        <v>0.00077534056383487</v>
      </c>
      <c r="Y1653" s="63" t="n">
        <f aca="false">IFERROR(G1653/F1653,0)</f>
        <v>0.159224298812647</v>
      </c>
      <c r="Z1653" s="59" t="n">
        <f aca="false">IF(E1653&gt;0,F1653*1000000000/E1653,"")</f>
        <v>7574.87464364066</v>
      </c>
      <c r="AA1653" s="63" t="n">
        <f aca="false">IFERROR((R1653+S1653+J1653)/F1653,0)</f>
        <v>1</v>
      </c>
      <c r="AB1653" s="0" t="str">
        <f aca="false">A1653&amp;"|"&amp;D1653</f>
        <v>Russia|2018</v>
      </c>
    </row>
    <row r="1654" customFormat="false" ht="15" hidden="false" customHeight="false" outlineLevel="0" collapsed="false">
      <c r="A1654" s="0" t="s">
        <v>338</v>
      </c>
      <c r="B1654" s="0" t="s">
        <v>577</v>
      </c>
      <c r="C1654" s="0" t="s">
        <v>127</v>
      </c>
      <c r="D1654" s="0" t="n">
        <v>2019</v>
      </c>
      <c r="E1654" s="59" t="n">
        <v>146533063</v>
      </c>
      <c r="F1654" s="60" t="n">
        <v>1118.16</v>
      </c>
      <c r="G1654" s="61" t="n">
        <v>187.55</v>
      </c>
      <c r="H1654" s="61" t="n">
        <v>512.33</v>
      </c>
      <c r="I1654" s="61" t="n">
        <v>13.07</v>
      </c>
      <c r="J1654" s="61" t="n">
        <v>208.99</v>
      </c>
      <c r="K1654" s="61" t="n">
        <v>194.38</v>
      </c>
      <c r="L1654" s="61" t="n">
        <v>0.99</v>
      </c>
      <c r="M1654" s="61" t="n">
        <v>0.31</v>
      </c>
      <c r="N1654" s="61" t="n">
        <v>0.54</v>
      </c>
      <c r="O1654" s="61" t="n">
        <v>0</v>
      </c>
      <c r="P1654" s="62" t="n">
        <v>440</v>
      </c>
      <c r="Q1654" s="0" t="n">
        <v>1</v>
      </c>
      <c r="R1654" s="60" t="n">
        <f aca="false">G1654+H1654+I1654</f>
        <v>712.95</v>
      </c>
      <c r="S1654" s="60" t="n">
        <f aca="false">K1654+L1654+M1654+N1654+O1654</f>
        <v>196.22</v>
      </c>
      <c r="T1654" s="60" t="n">
        <f aca="false">L1654+M1654</f>
        <v>1.3</v>
      </c>
      <c r="U1654" s="60" t="n">
        <f aca="false">S1654+J1654</f>
        <v>405.21</v>
      </c>
      <c r="V1654" s="63" t="n">
        <f aca="false">IFERROR(S1654/F1654,0)</f>
        <v>0.175484724905201</v>
      </c>
      <c r="W1654" s="63" t="n">
        <f aca="false">IFERROR(R1654/F1654,0)</f>
        <v>0.637610002146383</v>
      </c>
      <c r="X1654" s="63" t="n">
        <f aca="false">IFERROR(T1654/F1654,0)</f>
        <v>0.00116262431136868</v>
      </c>
      <c r="Y1654" s="63" t="n">
        <f aca="false">IFERROR(G1654/F1654,0)</f>
        <v>0.167730915074766</v>
      </c>
      <c r="Z1654" s="59" t="n">
        <f aca="false">IF(E1654&gt;0,F1654*1000000000/E1654,"")</f>
        <v>7630.76930972227</v>
      </c>
      <c r="AA1654" s="63" t="n">
        <f aca="false">IFERROR((R1654+S1654+J1654)/F1654,0)</f>
        <v>1</v>
      </c>
      <c r="AB1654" s="0" t="str">
        <f aca="false">A1654&amp;"|"&amp;D1654</f>
        <v>Russia|2019</v>
      </c>
    </row>
    <row r="1655" customFormat="false" ht="15" hidden="false" customHeight="false" outlineLevel="0" collapsed="false">
      <c r="A1655" s="0" t="s">
        <v>338</v>
      </c>
      <c r="B1655" s="0" t="s">
        <v>577</v>
      </c>
      <c r="C1655" s="0" t="s">
        <v>127</v>
      </c>
      <c r="D1655" s="0" t="n">
        <v>2020</v>
      </c>
      <c r="E1655" s="59" t="n">
        <v>146371295</v>
      </c>
      <c r="F1655" s="60" t="n">
        <v>1085.42</v>
      </c>
      <c r="G1655" s="61" t="n">
        <v>174.96</v>
      </c>
      <c r="H1655" s="61" t="n">
        <v>465.88</v>
      </c>
      <c r="I1655" s="61" t="n">
        <v>12.42</v>
      </c>
      <c r="J1655" s="61" t="n">
        <v>215.91</v>
      </c>
      <c r="K1655" s="61" t="n">
        <v>212.44</v>
      </c>
      <c r="L1655" s="61" t="n">
        <v>1.86</v>
      </c>
      <c r="M1655" s="61" t="n">
        <v>1.14</v>
      </c>
      <c r="N1655" s="61" t="n">
        <v>0.81</v>
      </c>
      <c r="O1655" s="61" t="n">
        <v>0</v>
      </c>
      <c r="P1655" s="62" t="n">
        <v>417.6</v>
      </c>
      <c r="Q1655" s="0" t="n">
        <v>1</v>
      </c>
      <c r="R1655" s="60" t="n">
        <f aca="false">G1655+H1655+I1655</f>
        <v>653.26</v>
      </c>
      <c r="S1655" s="60" t="n">
        <f aca="false">K1655+L1655+M1655+N1655+O1655</f>
        <v>216.25</v>
      </c>
      <c r="T1655" s="60" t="n">
        <f aca="false">L1655+M1655</f>
        <v>3</v>
      </c>
      <c r="U1655" s="60" t="n">
        <f aca="false">S1655+J1655</f>
        <v>432.16</v>
      </c>
      <c r="V1655" s="63" t="n">
        <f aca="false">IFERROR(S1655/F1655,0)</f>
        <v>0.199231633837593</v>
      </c>
      <c r="W1655" s="63" t="n">
        <f aca="false">IFERROR(R1655/F1655,0)</f>
        <v>0.601849975124836</v>
      </c>
      <c r="X1655" s="63" t="n">
        <f aca="false">IFERROR(T1655/F1655,0)</f>
        <v>0.00276390705901863</v>
      </c>
      <c r="Y1655" s="63" t="n">
        <f aca="false">IFERROR(G1655/F1655,0)</f>
        <v>0.161191059681966</v>
      </c>
      <c r="Z1655" s="59" t="n">
        <f aca="false">IF(E1655&gt;0,F1655*1000000000/E1655,"")</f>
        <v>7415.52501807134</v>
      </c>
      <c r="AA1655" s="63" t="n">
        <f aca="false">IFERROR((R1655+S1655+J1655)/F1655,0)</f>
        <v>1</v>
      </c>
      <c r="AB1655" s="0" t="str">
        <f aca="false">A1655&amp;"|"&amp;D1655</f>
        <v>Russia|2020</v>
      </c>
    </row>
    <row r="1656" customFormat="false" ht="15" hidden="false" customHeight="false" outlineLevel="0" collapsed="false">
      <c r="A1656" s="0" t="s">
        <v>338</v>
      </c>
      <c r="B1656" s="0" t="s">
        <v>577</v>
      </c>
      <c r="C1656" s="0" t="s">
        <v>127</v>
      </c>
      <c r="D1656" s="0" t="n">
        <v>2021</v>
      </c>
      <c r="E1656" s="59" t="n">
        <v>145836172</v>
      </c>
      <c r="F1656" s="60" t="n">
        <v>1157.07</v>
      </c>
      <c r="G1656" s="61" t="n">
        <v>187.14</v>
      </c>
      <c r="H1656" s="61" t="n">
        <v>513.41</v>
      </c>
      <c r="I1656" s="61" t="n">
        <v>13.89</v>
      </c>
      <c r="J1656" s="61" t="n">
        <v>222.39</v>
      </c>
      <c r="K1656" s="61" t="n">
        <v>214.53</v>
      </c>
      <c r="L1656" s="61" t="n">
        <v>2.31</v>
      </c>
      <c r="M1656" s="61" t="n">
        <v>2.58</v>
      </c>
      <c r="N1656" s="61" t="n">
        <v>0.82</v>
      </c>
      <c r="O1656" s="61" t="n">
        <v>0</v>
      </c>
      <c r="P1656" s="62" t="n">
        <v>426.8</v>
      </c>
      <c r="Q1656" s="0" t="n">
        <v>1</v>
      </c>
      <c r="R1656" s="60" t="n">
        <f aca="false">G1656+H1656+I1656</f>
        <v>714.44</v>
      </c>
      <c r="S1656" s="60" t="n">
        <f aca="false">K1656+L1656+M1656+N1656+O1656</f>
        <v>220.24</v>
      </c>
      <c r="T1656" s="60" t="n">
        <f aca="false">L1656+M1656</f>
        <v>4.89</v>
      </c>
      <c r="U1656" s="60" t="n">
        <f aca="false">S1656+J1656</f>
        <v>442.63</v>
      </c>
      <c r="V1656" s="63" t="n">
        <f aca="false">IFERROR(S1656/F1656,0)</f>
        <v>0.190342848747267</v>
      </c>
      <c r="W1656" s="63" t="n">
        <f aca="false">IFERROR(R1656/F1656,0)</f>
        <v>0.617456160820002</v>
      </c>
      <c r="X1656" s="63" t="n">
        <f aca="false">IFERROR(T1656/F1656,0)</f>
        <v>0.00422619201949752</v>
      </c>
      <c r="Y1656" s="63" t="n">
        <f aca="false">IFERROR(G1656/F1656,0)</f>
        <v>0.161736109310586</v>
      </c>
      <c r="Z1656" s="59" t="n">
        <f aca="false">IF(E1656&gt;0,F1656*1000000000/E1656,"")</f>
        <v>7934.0398484952</v>
      </c>
      <c r="AA1656" s="63" t="n">
        <f aca="false">IFERROR((R1656+S1656+J1656)/F1656,0)</f>
        <v>1</v>
      </c>
      <c r="AB1656" s="0" t="str">
        <f aca="false">A1656&amp;"|"&amp;D1656</f>
        <v>Russia|2021</v>
      </c>
    </row>
    <row r="1657" customFormat="false" ht="15" hidden="false" customHeight="false" outlineLevel="0" collapsed="false">
      <c r="A1657" s="0" t="s">
        <v>338</v>
      </c>
      <c r="B1657" s="0" t="s">
        <v>577</v>
      </c>
      <c r="C1657" s="0" t="s">
        <v>127</v>
      </c>
      <c r="D1657" s="0" t="n">
        <v>2022</v>
      </c>
      <c r="E1657" s="59" t="n">
        <v>145579889</v>
      </c>
      <c r="F1657" s="60" t="n">
        <v>1166.94</v>
      </c>
      <c r="G1657" s="61" t="n">
        <v>191.96</v>
      </c>
      <c r="H1657" s="61" t="n">
        <v>531.59</v>
      </c>
      <c r="I1657" s="61" t="n">
        <v>14.58</v>
      </c>
      <c r="J1657" s="61" t="n">
        <v>223.7</v>
      </c>
      <c r="K1657" s="61" t="n">
        <v>197.67</v>
      </c>
      <c r="L1657" s="61" t="n">
        <v>2.4</v>
      </c>
      <c r="M1657" s="61" t="n">
        <v>4.2</v>
      </c>
      <c r="N1657" s="61" t="n">
        <v>0.84</v>
      </c>
      <c r="O1657" s="61" t="n">
        <v>0</v>
      </c>
      <c r="P1657" s="62" t="n">
        <v>436.3</v>
      </c>
      <c r="Q1657" s="0" t="n">
        <v>1</v>
      </c>
      <c r="R1657" s="60" t="n">
        <f aca="false">G1657+H1657+I1657</f>
        <v>738.13</v>
      </c>
      <c r="S1657" s="60" t="n">
        <f aca="false">K1657+L1657+M1657+N1657+O1657</f>
        <v>205.11</v>
      </c>
      <c r="T1657" s="60" t="n">
        <f aca="false">L1657+M1657</f>
        <v>6.6</v>
      </c>
      <c r="U1657" s="60" t="n">
        <f aca="false">S1657+J1657</f>
        <v>428.81</v>
      </c>
      <c r="V1657" s="63" t="n">
        <f aca="false">IFERROR(S1657/F1657,0)</f>
        <v>0.175767391639673</v>
      </c>
      <c r="W1657" s="63" t="n">
        <f aca="false">IFERROR(R1657/F1657,0)</f>
        <v>0.632534663307454</v>
      </c>
      <c r="X1657" s="63" t="n">
        <f aca="false">IFERROR(T1657/F1657,0)</f>
        <v>0.00565581777983444</v>
      </c>
      <c r="Y1657" s="63" t="n">
        <f aca="false">IFERROR(G1657/F1657,0)</f>
        <v>0.164498603184397</v>
      </c>
      <c r="Z1657" s="59" t="n">
        <f aca="false">IF(E1657&gt;0,F1657*1000000000/E1657,"")</f>
        <v>8015.80498526139</v>
      </c>
      <c r="AA1657" s="63" t="n">
        <f aca="false">IFERROR((R1657+S1657+J1657)/F1657,0)</f>
        <v>1</v>
      </c>
      <c r="AB1657" s="0" t="str">
        <f aca="false">A1657&amp;"|"&amp;D1657</f>
        <v>Russia|2022</v>
      </c>
    </row>
    <row r="1658" customFormat="false" ht="15" hidden="false" customHeight="false" outlineLevel="0" collapsed="false">
      <c r="A1658" s="0" t="s">
        <v>338</v>
      </c>
      <c r="B1658" s="0" t="s">
        <v>577</v>
      </c>
      <c r="C1658" s="0" t="s">
        <v>127</v>
      </c>
      <c r="D1658" s="0" t="n">
        <v>2023</v>
      </c>
      <c r="E1658" s="59" t="n">
        <v>145440502</v>
      </c>
      <c r="F1658" s="60" t="n">
        <v>1178.25</v>
      </c>
      <c r="G1658" s="61" t="n">
        <v>204.06</v>
      </c>
      <c r="H1658" s="61" t="n">
        <v>533.35</v>
      </c>
      <c r="I1658" s="61" t="n">
        <v>14.36</v>
      </c>
      <c r="J1658" s="61" t="n">
        <v>217.38</v>
      </c>
      <c r="K1658" s="61" t="n">
        <v>200.87</v>
      </c>
      <c r="L1658" s="61" t="n">
        <v>2.63</v>
      </c>
      <c r="M1658" s="61" t="n">
        <v>4.75</v>
      </c>
      <c r="N1658" s="61" t="n">
        <v>0.85</v>
      </c>
      <c r="O1658" s="61" t="n">
        <v>0</v>
      </c>
      <c r="P1658" s="62" t="n">
        <v>442.7</v>
      </c>
      <c r="Q1658" s="0" t="n">
        <v>1</v>
      </c>
      <c r="R1658" s="60" t="n">
        <f aca="false">G1658+H1658+I1658</f>
        <v>751.77</v>
      </c>
      <c r="S1658" s="60" t="n">
        <f aca="false">K1658+L1658+M1658+N1658+O1658</f>
        <v>209.1</v>
      </c>
      <c r="T1658" s="60" t="n">
        <f aca="false">L1658+M1658</f>
        <v>7.38</v>
      </c>
      <c r="U1658" s="60" t="n">
        <f aca="false">S1658+J1658</f>
        <v>426.48</v>
      </c>
      <c r="V1658" s="63" t="n">
        <f aca="false">IFERROR(S1658/F1658,0)</f>
        <v>0.177466581795035</v>
      </c>
      <c r="W1658" s="63" t="n">
        <f aca="false">IFERROR(R1658/F1658,0)</f>
        <v>0.638039465308721</v>
      </c>
      <c r="X1658" s="63" t="n">
        <f aca="false">IFERROR(T1658/F1658,0)</f>
        <v>0.00626352641629535</v>
      </c>
      <c r="Y1658" s="63" t="n">
        <f aca="false">IFERROR(G1658/F1658,0)</f>
        <v>0.173189051559516</v>
      </c>
      <c r="Z1658" s="59" t="n">
        <f aca="false">IF(E1658&gt;0,F1658*1000000000/E1658,"")</f>
        <v>8101.25091564934</v>
      </c>
      <c r="AA1658" s="63" t="n">
        <f aca="false">IFERROR((R1658+S1658+J1658)/F1658,0)</f>
        <v>1</v>
      </c>
      <c r="AB1658" s="0" t="str">
        <f aca="false">A1658&amp;"|"&amp;D1658</f>
        <v>Russia|2023</v>
      </c>
    </row>
    <row r="1659" customFormat="false" ht="15" hidden="false" customHeight="false" outlineLevel="0" collapsed="false">
      <c r="A1659" s="0" t="s">
        <v>338</v>
      </c>
      <c r="B1659" s="0" t="s">
        <v>577</v>
      </c>
      <c r="C1659" s="0" t="s">
        <v>127</v>
      </c>
      <c r="D1659" s="0" t="n">
        <v>2024</v>
      </c>
      <c r="E1659" s="59" t="n">
        <v>144820421</v>
      </c>
      <c r="F1659" s="60" t="n">
        <v>1209.31</v>
      </c>
      <c r="G1659" s="61" t="n">
        <v>215.17</v>
      </c>
      <c r="H1659" s="61" t="n">
        <v>545.78</v>
      </c>
      <c r="I1659" s="61" t="n">
        <v>13.79</v>
      </c>
      <c r="J1659" s="61" t="n">
        <v>215.71</v>
      </c>
      <c r="K1659" s="61" t="n">
        <v>210.54</v>
      </c>
      <c r="L1659" s="61" t="n">
        <v>2.92</v>
      </c>
      <c r="M1659" s="61" t="n">
        <v>4.57</v>
      </c>
      <c r="N1659" s="61" t="n">
        <v>0.83</v>
      </c>
      <c r="O1659" s="61" t="n">
        <v>0</v>
      </c>
      <c r="P1659" s="62" t="n">
        <v>446</v>
      </c>
      <c r="Q1659" s="0" t="n">
        <v>1</v>
      </c>
      <c r="R1659" s="60" t="n">
        <f aca="false">G1659+H1659+I1659</f>
        <v>774.74</v>
      </c>
      <c r="S1659" s="60" t="n">
        <f aca="false">K1659+L1659+M1659+N1659+O1659</f>
        <v>218.86</v>
      </c>
      <c r="T1659" s="60" t="n">
        <f aca="false">L1659+M1659</f>
        <v>7.49</v>
      </c>
      <c r="U1659" s="60" t="n">
        <f aca="false">S1659+J1659</f>
        <v>434.57</v>
      </c>
      <c r="V1659" s="63" t="n">
        <f aca="false">IFERROR(S1659/F1659,0)</f>
        <v>0.180979236093309</v>
      </c>
      <c r="W1659" s="63" t="n">
        <f aca="false">IFERROR(R1659/F1659,0)</f>
        <v>0.640646318975283</v>
      </c>
      <c r="X1659" s="63" t="n">
        <f aca="false">IFERROR(T1659/F1659,0)</f>
        <v>0.00619361454052311</v>
      </c>
      <c r="Y1659" s="63" t="n">
        <f aca="false">IFERROR(G1659/F1659,0)</f>
        <v>0.177927909303653</v>
      </c>
      <c r="Z1659" s="59" t="n">
        <f aca="false">IF(E1659&gt;0,F1659*1000000000/E1659,"")</f>
        <v>8350.41074766659</v>
      </c>
      <c r="AA1659" s="63" t="n">
        <f aca="false">IFERROR((R1659+S1659+J1659)/F1659,0)</f>
        <v>1</v>
      </c>
      <c r="AB1659" s="0" t="str">
        <f aca="false">A1659&amp;"|"&amp;D1659</f>
        <v>Russia|2024</v>
      </c>
    </row>
    <row r="1660" customFormat="false" ht="15" hidden="false" customHeight="false" outlineLevel="0" collapsed="false">
      <c r="A1660" s="0" t="s">
        <v>338</v>
      </c>
      <c r="B1660" s="0" t="s">
        <v>577</v>
      </c>
      <c r="C1660" s="0" t="s">
        <v>127</v>
      </c>
      <c r="D1660" s="0" t="n">
        <v>2025</v>
      </c>
      <c r="E1660" s="59" t="n">
        <v>143997393</v>
      </c>
      <c r="F1660" s="60" t="n">
        <v>1192.79</v>
      </c>
      <c r="G1660" s="61" t="n">
        <v>219.52</v>
      </c>
      <c r="H1660" s="61" t="n">
        <v>533.17</v>
      </c>
      <c r="I1660" s="61" t="n">
        <v>14.47</v>
      </c>
      <c r="J1660" s="61" t="n">
        <v>218.65</v>
      </c>
      <c r="K1660" s="61" t="n">
        <v>199.73</v>
      </c>
      <c r="L1660" s="61" t="n">
        <v>2.84</v>
      </c>
      <c r="M1660" s="61" t="n">
        <v>3.64</v>
      </c>
      <c r="N1660" s="61" t="n">
        <v>0.77</v>
      </c>
      <c r="O1660" s="61" t="n">
        <v>0</v>
      </c>
      <c r="P1660" s="62" t="n">
        <v>449.7</v>
      </c>
      <c r="Q1660" s="0" t="n">
        <v>1</v>
      </c>
      <c r="R1660" s="60" t="n">
        <f aca="false">G1660+H1660+I1660</f>
        <v>767.16</v>
      </c>
      <c r="S1660" s="60" t="n">
        <f aca="false">K1660+L1660+M1660+N1660+O1660</f>
        <v>206.98</v>
      </c>
      <c r="T1660" s="60" t="n">
        <f aca="false">L1660+M1660</f>
        <v>6.48</v>
      </c>
      <c r="U1660" s="60" t="n">
        <f aca="false">S1660+J1660</f>
        <v>425.63</v>
      </c>
      <c r="V1660" s="63" t="n">
        <f aca="false">IFERROR(S1660/F1660,0)</f>
        <v>0.173525934992748</v>
      </c>
      <c r="W1660" s="63" t="n">
        <f aca="false">IFERROR(R1660/F1660,0)</f>
        <v>0.643164345777547</v>
      </c>
      <c r="X1660" s="63" t="n">
        <f aca="false">IFERROR(T1660/F1660,0)</f>
        <v>0.00543264111872165</v>
      </c>
      <c r="Y1660" s="63" t="n">
        <f aca="false">IFERROR(G1660/F1660,0)</f>
        <v>0.184039101602126</v>
      </c>
      <c r="Z1660" s="59" t="n">
        <f aca="false">IF(E1660&gt;0,F1660*1000000000/E1660,"")</f>
        <v>8283.41385319386</v>
      </c>
      <c r="AA1660" s="63" t="n">
        <f aca="false">IFERROR((R1660+S1660+J1660)/F1660,0)</f>
        <v>1</v>
      </c>
      <c r="AB1660" s="0" t="str">
        <f aca="false">A1660&amp;"|"&amp;D1660</f>
        <v>Russia|2025</v>
      </c>
    </row>
    <row r="1661" customFormat="false" ht="15" hidden="false" customHeight="false" outlineLevel="0" collapsed="false">
      <c r="A1661" s="0" t="s">
        <v>339</v>
      </c>
      <c r="B1661" s="0" t="s">
        <v>578</v>
      </c>
      <c r="C1661" s="0" t="s">
        <v>127</v>
      </c>
      <c r="D1661" s="0" t="n">
        <v>2015</v>
      </c>
      <c r="E1661" s="59" t="n">
        <v>11640026</v>
      </c>
      <c r="F1661" s="60" t="n">
        <v>0.51</v>
      </c>
      <c r="G1661" s="61" t="n">
        <v>0</v>
      </c>
      <c r="H1661" s="61" t="n">
        <v>0.02</v>
      </c>
      <c r="I1661" s="61" t="n">
        <v>0.2</v>
      </c>
      <c r="J1661" s="61" t="n">
        <v>0</v>
      </c>
      <c r="K1661" s="61" t="n">
        <v>0.28</v>
      </c>
      <c r="L1661" s="61" t="n">
        <v>0.01</v>
      </c>
      <c r="M1661" s="61" t="n">
        <v>0</v>
      </c>
      <c r="N1661" s="61" t="n">
        <v>0</v>
      </c>
      <c r="O1661" s="61" t="n">
        <v>0</v>
      </c>
      <c r="P1661" s="62" t="n">
        <v>294.1</v>
      </c>
      <c r="Q1661" s="0" t="n">
        <v>0</v>
      </c>
      <c r="R1661" s="60" t="n">
        <f aca="false">G1661+H1661+I1661</f>
        <v>0.22</v>
      </c>
      <c r="S1661" s="60" t="n">
        <f aca="false">K1661+L1661+M1661+N1661+O1661</f>
        <v>0.29</v>
      </c>
      <c r="T1661" s="60" t="n">
        <f aca="false">L1661+M1661</f>
        <v>0.01</v>
      </c>
      <c r="U1661" s="60" t="n">
        <f aca="false">S1661+J1661</f>
        <v>0.29</v>
      </c>
      <c r="V1661" s="63" t="n">
        <f aca="false">IFERROR(S1661/F1661,0)</f>
        <v>0.568627450980392</v>
      </c>
      <c r="W1661" s="63" t="n">
        <f aca="false">IFERROR(R1661/F1661,0)</f>
        <v>0.431372549019608</v>
      </c>
      <c r="X1661" s="63" t="n">
        <f aca="false">IFERROR(T1661/F1661,0)</f>
        <v>0.0196078431372549</v>
      </c>
      <c r="Y1661" s="63" t="n">
        <f aca="false">IFERROR(G1661/F1661,0)</f>
        <v>0</v>
      </c>
      <c r="Z1661" s="59" t="n">
        <f aca="false">IF(E1661&gt;0,F1661*1000000000/E1661,"")</f>
        <v>43.8143351226191</v>
      </c>
      <c r="AA1661" s="63" t="n">
        <f aca="false">IFERROR((R1661+S1661+J1661)/F1661,0)</f>
        <v>1</v>
      </c>
      <c r="AB1661" s="0" t="str">
        <f aca="false">A1661&amp;"|"&amp;D1661</f>
        <v>Rwanda|2015</v>
      </c>
    </row>
    <row r="1662" customFormat="false" ht="15" hidden="false" customHeight="false" outlineLevel="0" collapsed="false">
      <c r="A1662" s="0" t="s">
        <v>339</v>
      </c>
      <c r="B1662" s="0" t="s">
        <v>578</v>
      </c>
      <c r="C1662" s="0" t="s">
        <v>127</v>
      </c>
      <c r="D1662" s="0" t="n">
        <v>2016</v>
      </c>
      <c r="E1662" s="59" t="n">
        <v>11919183</v>
      </c>
      <c r="F1662" s="60" t="n">
        <v>0.64</v>
      </c>
      <c r="G1662" s="61" t="n">
        <v>0.01</v>
      </c>
      <c r="H1662" s="61" t="n">
        <v>0.1</v>
      </c>
      <c r="I1662" s="61" t="n">
        <v>0.21</v>
      </c>
      <c r="J1662" s="61" t="n">
        <v>0</v>
      </c>
      <c r="K1662" s="61" t="n">
        <v>0.3</v>
      </c>
      <c r="L1662" s="61" t="n">
        <v>0.02</v>
      </c>
      <c r="M1662" s="61" t="n">
        <v>0</v>
      </c>
      <c r="N1662" s="61" t="n">
        <v>0</v>
      </c>
      <c r="O1662" s="61" t="n">
        <v>0</v>
      </c>
      <c r="P1662" s="62" t="n">
        <v>343.8</v>
      </c>
      <c r="Q1662" s="0" t="n">
        <v>0</v>
      </c>
      <c r="R1662" s="60" t="n">
        <f aca="false">G1662+H1662+I1662</f>
        <v>0.32</v>
      </c>
      <c r="S1662" s="60" t="n">
        <f aca="false">K1662+L1662+M1662+N1662+O1662</f>
        <v>0.32</v>
      </c>
      <c r="T1662" s="60" t="n">
        <f aca="false">L1662+M1662</f>
        <v>0.02</v>
      </c>
      <c r="U1662" s="60" t="n">
        <f aca="false">S1662+J1662</f>
        <v>0.32</v>
      </c>
      <c r="V1662" s="63" t="n">
        <f aca="false">IFERROR(S1662/F1662,0)</f>
        <v>0.5</v>
      </c>
      <c r="W1662" s="63" t="n">
        <f aca="false">IFERROR(R1662/F1662,0)</f>
        <v>0.5</v>
      </c>
      <c r="X1662" s="63" t="n">
        <f aca="false">IFERROR(T1662/F1662,0)</f>
        <v>0.03125</v>
      </c>
      <c r="Y1662" s="63" t="n">
        <f aca="false">IFERROR(G1662/F1662,0)</f>
        <v>0.015625</v>
      </c>
      <c r="Z1662" s="59" t="n">
        <f aca="false">IF(E1662&gt;0,F1662*1000000000/E1662,"")</f>
        <v>53.6949554344455</v>
      </c>
      <c r="AA1662" s="63" t="n">
        <f aca="false">IFERROR((R1662+S1662+J1662)/F1662,0)</f>
        <v>1</v>
      </c>
      <c r="AB1662" s="0" t="str">
        <f aca="false">A1662&amp;"|"&amp;D1662</f>
        <v>Rwanda|2016</v>
      </c>
    </row>
    <row r="1663" customFormat="false" ht="15" hidden="false" customHeight="false" outlineLevel="0" collapsed="false">
      <c r="A1663" s="0" t="s">
        <v>339</v>
      </c>
      <c r="B1663" s="0" t="s">
        <v>578</v>
      </c>
      <c r="C1663" s="0" t="s">
        <v>127</v>
      </c>
      <c r="D1663" s="0" t="n">
        <v>2017</v>
      </c>
      <c r="E1663" s="59" t="n">
        <v>12202062</v>
      </c>
      <c r="F1663" s="60" t="n">
        <v>0.65</v>
      </c>
      <c r="G1663" s="61" t="n">
        <v>0.02</v>
      </c>
      <c r="H1663" s="61" t="n">
        <v>0.11</v>
      </c>
      <c r="I1663" s="61" t="n">
        <v>0.22</v>
      </c>
      <c r="J1663" s="61" t="n">
        <v>0</v>
      </c>
      <c r="K1663" s="61" t="n">
        <v>0.28</v>
      </c>
      <c r="L1663" s="61" t="n">
        <v>0.02</v>
      </c>
      <c r="M1663" s="61" t="n">
        <v>0</v>
      </c>
      <c r="N1663" s="61" t="n">
        <v>0</v>
      </c>
      <c r="O1663" s="61" t="n">
        <v>0</v>
      </c>
      <c r="P1663" s="62" t="n">
        <v>353.9</v>
      </c>
      <c r="Q1663" s="0" t="n">
        <v>0</v>
      </c>
      <c r="R1663" s="60" t="n">
        <f aca="false">G1663+H1663+I1663</f>
        <v>0.35</v>
      </c>
      <c r="S1663" s="60" t="n">
        <f aca="false">K1663+L1663+M1663+N1663+O1663</f>
        <v>0.3</v>
      </c>
      <c r="T1663" s="60" t="n">
        <f aca="false">L1663+M1663</f>
        <v>0.02</v>
      </c>
      <c r="U1663" s="60" t="n">
        <f aca="false">S1663+J1663</f>
        <v>0.3</v>
      </c>
      <c r="V1663" s="63" t="n">
        <f aca="false">IFERROR(S1663/F1663,0)</f>
        <v>0.461538461538462</v>
      </c>
      <c r="W1663" s="63" t="n">
        <f aca="false">IFERROR(R1663/F1663,0)</f>
        <v>0.538461538461538</v>
      </c>
      <c r="X1663" s="63" t="n">
        <f aca="false">IFERROR(T1663/F1663,0)</f>
        <v>0.0307692307692308</v>
      </c>
      <c r="Y1663" s="63" t="n">
        <f aca="false">IFERROR(G1663/F1663,0)</f>
        <v>0.0307692307692308</v>
      </c>
      <c r="Z1663" s="59" t="n">
        <f aca="false">IF(E1663&gt;0,F1663*1000000000/E1663,"")</f>
        <v>53.269685074539</v>
      </c>
      <c r="AA1663" s="63" t="n">
        <f aca="false">IFERROR((R1663+S1663+J1663)/F1663,0)</f>
        <v>1</v>
      </c>
      <c r="AB1663" s="0" t="str">
        <f aca="false">A1663&amp;"|"&amp;D1663</f>
        <v>Rwanda|2017</v>
      </c>
    </row>
    <row r="1664" customFormat="false" ht="15" hidden="false" customHeight="false" outlineLevel="0" collapsed="false">
      <c r="A1664" s="0" t="s">
        <v>339</v>
      </c>
      <c r="B1664" s="0" t="s">
        <v>578</v>
      </c>
      <c r="C1664" s="0" t="s">
        <v>127</v>
      </c>
      <c r="D1664" s="0" t="n">
        <v>2018</v>
      </c>
      <c r="E1664" s="59" t="n">
        <v>12488000</v>
      </c>
      <c r="F1664" s="60" t="n">
        <v>0.82</v>
      </c>
      <c r="G1664" s="61" t="n">
        <v>0.03</v>
      </c>
      <c r="H1664" s="61" t="n">
        <v>0.21</v>
      </c>
      <c r="I1664" s="61" t="n">
        <v>0.24</v>
      </c>
      <c r="J1664" s="61" t="n">
        <v>0</v>
      </c>
      <c r="K1664" s="61" t="n">
        <v>0.31</v>
      </c>
      <c r="L1664" s="61" t="n">
        <v>0.03</v>
      </c>
      <c r="M1664" s="61" t="n">
        <v>0</v>
      </c>
      <c r="N1664" s="61" t="n">
        <v>0</v>
      </c>
      <c r="O1664" s="61" t="n">
        <v>0</v>
      </c>
      <c r="P1664" s="62" t="n">
        <v>390.2</v>
      </c>
      <c r="Q1664" s="0" t="n">
        <v>0</v>
      </c>
      <c r="R1664" s="60" t="n">
        <f aca="false">G1664+H1664+I1664</f>
        <v>0.48</v>
      </c>
      <c r="S1664" s="60" t="n">
        <f aca="false">K1664+L1664+M1664+N1664+O1664</f>
        <v>0.34</v>
      </c>
      <c r="T1664" s="60" t="n">
        <f aca="false">L1664+M1664</f>
        <v>0.03</v>
      </c>
      <c r="U1664" s="60" t="n">
        <f aca="false">S1664+J1664</f>
        <v>0.34</v>
      </c>
      <c r="V1664" s="63" t="n">
        <f aca="false">IFERROR(S1664/F1664,0)</f>
        <v>0.414634146341463</v>
      </c>
      <c r="W1664" s="63" t="n">
        <f aca="false">IFERROR(R1664/F1664,0)</f>
        <v>0.585365853658537</v>
      </c>
      <c r="X1664" s="63" t="n">
        <f aca="false">IFERROR(T1664/F1664,0)</f>
        <v>0.0365853658536585</v>
      </c>
      <c r="Y1664" s="63" t="n">
        <f aca="false">IFERROR(G1664/F1664,0)</f>
        <v>0.0365853658536585</v>
      </c>
      <c r="Z1664" s="59" t="n">
        <f aca="false">IF(E1664&gt;0,F1664*1000000000/E1664,"")</f>
        <v>65.6630365150545</v>
      </c>
      <c r="AA1664" s="63" t="n">
        <f aca="false">IFERROR((R1664+S1664+J1664)/F1664,0)</f>
        <v>1</v>
      </c>
      <c r="AB1664" s="0" t="str">
        <f aca="false">A1664&amp;"|"&amp;D1664</f>
        <v>Rwanda|2018</v>
      </c>
    </row>
    <row r="1665" customFormat="false" ht="15" hidden="false" customHeight="false" outlineLevel="0" collapsed="false">
      <c r="A1665" s="0" t="s">
        <v>339</v>
      </c>
      <c r="B1665" s="0" t="s">
        <v>578</v>
      </c>
      <c r="C1665" s="0" t="s">
        <v>127</v>
      </c>
      <c r="D1665" s="0" t="n">
        <v>2019</v>
      </c>
      <c r="E1665" s="59" t="n">
        <v>12776102</v>
      </c>
      <c r="F1665" s="60" t="n">
        <v>0.85</v>
      </c>
      <c r="G1665" s="61" t="n">
        <v>0.02</v>
      </c>
      <c r="H1665" s="61" t="n">
        <v>0.21</v>
      </c>
      <c r="I1665" s="61" t="n">
        <v>0.19</v>
      </c>
      <c r="J1665" s="61" t="n">
        <v>0</v>
      </c>
      <c r="K1665" s="61" t="n">
        <v>0.4</v>
      </c>
      <c r="L1665" s="61" t="n">
        <v>0.03</v>
      </c>
      <c r="M1665" s="61" t="n">
        <v>0</v>
      </c>
      <c r="N1665" s="61" t="n">
        <v>0</v>
      </c>
      <c r="O1665" s="61" t="n">
        <v>0</v>
      </c>
      <c r="P1665" s="62" t="n">
        <v>329.4</v>
      </c>
      <c r="Q1665" s="0" t="n">
        <v>0</v>
      </c>
      <c r="R1665" s="60" t="n">
        <f aca="false">G1665+H1665+I1665</f>
        <v>0.42</v>
      </c>
      <c r="S1665" s="60" t="n">
        <f aca="false">K1665+L1665+M1665+N1665+O1665</f>
        <v>0.43</v>
      </c>
      <c r="T1665" s="60" t="n">
        <f aca="false">L1665+M1665</f>
        <v>0.03</v>
      </c>
      <c r="U1665" s="60" t="n">
        <f aca="false">S1665+J1665</f>
        <v>0.43</v>
      </c>
      <c r="V1665" s="63" t="n">
        <f aca="false">IFERROR(S1665/F1665,0)</f>
        <v>0.505882352941177</v>
      </c>
      <c r="W1665" s="63" t="n">
        <f aca="false">IFERROR(R1665/F1665,0)</f>
        <v>0.494117647058824</v>
      </c>
      <c r="X1665" s="63" t="n">
        <f aca="false">IFERROR(T1665/F1665,0)</f>
        <v>0.0352941176470588</v>
      </c>
      <c r="Y1665" s="63" t="n">
        <f aca="false">IFERROR(G1665/F1665,0)</f>
        <v>0.0235294117647059</v>
      </c>
      <c r="Z1665" s="59" t="n">
        <f aca="false">IF(E1665&gt;0,F1665*1000000000/E1665,"")</f>
        <v>66.5304644562168</v>
      </c>
      <c r="AA1665" s="63" t="n">
        <f aca="false">IFERROR((R1665+S1665+J1665)/F1665,0)</f>
        <v>1</v>
      </c>
      <c r="AB1665" s="0" t="str">
        <f aca="false">A1665&amp;"|"&amp;D1665</f>
        <v>Rwanda|2019</v>
      </c>
    </row>
    <row r="1666" customFormat="false" ht="15" hidden="false" customHeight="false" outlineLevel="0" collapsed="false">
      <c r="A1666" s="0" t="s">
        <v>339</v>
      </c>
      <c r="B1666" s="0" t="s">
        <v>578</v>
      </c>
      <c r="C1666" s="0" t="s">
        <v>127</v>
      </c>
      <c r="D1666" s="0" t="n">
        <v>2020</v>
      </c>
      <c r="E1666" s="59" t="n">
        <v>13065838</v>
      </c>
      <c r="F1666" s="60" t="n">
        <v>0.89</v>
      </c>
      <c r="G1666" s="61" t="n">
        <v>0.03</v>
      </c>
      <c r="H1666" s="61" t="n">
        <v>0.21</v>
      </c>
      <c r="I1666" s="61" t="n">
        <v>0.09</v>
      </c>
      <c r="J1666" s="61" t="n">
        <v>0</v>
      </c>
      <c r="K1666" s="61" t="n">
        <v>0.53</v>
      </c>
      <c r="L1666" s="61" t="n">
        <v>0.03</v>
      </c>
      <c r="M1666" s="61" t="n">
        <v>0</v>
      </c>
      <c r="N1666" s="61" t="n">
        <v>0</v>
      </c>
      <c r="O1666" s="61" t="n">
        <v>0</v>
      </c>
      <c r="P1666" s="62" t="n">
        <v>247.2</v>
      </c>
      <c r="Q1666" s="0" t="n">
        <v>0</v>
      </c>
      <c r="R1666" s="60" t="n">
        <f aca="false">G1666+H1666+I1666</f>
        <v>0.33</v>
      </c>
      <c r="S1666" s="60" t="n">
        <f aca="false">K1666+L1666+M1666+N1666+O1666</f>
        <v>0.56</v>
      </c>
      <c r="T1666" s="60" t="n">
        <f aca="false">L1666+M1666</f>
        <v>0.03</v>
      </c>
      <c r="U1666" s="60" t="n">
        <f aca="false">S1666+J1666</f>
        <v>0.56</v>
      </c>
      <c r="V1666" s="63" t="n">
        <f aca="false">IFERROR(S1666/F1666,0)</f>
        <v>0.629213483146068</v>
      </c>
      <c r="W1666" s="63" t="n">
        <f aca="false">IFERROR(R1666/F1666,0)</f>
        <v>0.370786516853933</v>
      </c>
      <c r="X1666" s="63" t="n">
        <f aca="false">IFERROR(T1666/F1666,0)</f>
        <v>0.0337078651685393</v>
      </c>
      <c r="Y1666" s="63" t="n">
        <f aca="false">IFERROR(G1666/F1666,0)</f>
        <v>0.0337078651685393</v>
      </c>
      <c r="Z1666" s="59" t="n">
        <f aca="false">IF(E1666&gt;0,F1666*1000000000/E1666,"")</f>
        <v>68.1165647392842</v>
      </c>
      <c r="AA1666" s="63" t="n">
        <f aca="false">IFERROR((R1666+S1666+J1666)/F1666,0)</f>
        <v>1</v>
      </c>
      <c r="AB1666" s="0" t="str">
        <f aca="false">A1666&amp;"|"&amp;D1666</f>
        <v>Rwanda|2020</v>
      </c>
    </row>
    <row r="1667" customFormat="false" ht="15" hidden="false" customHeight="false" outlineLevel="0" collapsed="false">
      <c r="A1667" s="0" t="s">
        <v>339</v>
      </c>
      <c r="B1667" s="0" t="s">
        <v>578</v>
      </c>
      <c r="C1667" s="0" t="s">
        <v>127</v>
      </c>
      <c r="D1667" s="0" t="n">
        <v>2021</v>
      </c>
      <c r="E1667" s="59" t="n">
        <v>13355260</v>
      </c>
      <c r="F1667" s="60" t="n">
        <v>1</v>
      </c>
      <c r="G1667" s="61" t="n">
        <v>0.04</v>
      </c>
      <c r="H1667" s="61" t="n">
        <v>0.22</v>
      </c>
      <c r="I1667" s="61" t="n">
        <v>0.15</v>
      </c>
      <c r="J1667" s="61" t="n">
        <v>0</v>
      </c>
      <c r="K1667" s="61" t="n">
        <v>0.55</v>
      </c>
      <c r="L1667" s="61" t="n">
        <v>0.04</v>
      </c>
      <c r="M1667" s="61" t="n">
        <v>0</v>
      </c>
      <c r="N1667" s="61" t="n">
        <v>0</v>
      </c>
      <c r="O1667" s="61" t="n">
        <v>0</v>
      </c>
      <c r="P1667" s="62" t="n">
        <v>280</v>
      </c>
      <c r="Q1667" s="0" t="n">
        <v>0</v>
      </c>
      <c r="R1667" s="60" t="n">
        <f aca="false">G1667+H1667+I1667</f>
        <v>0.41</v>
      </c>
      <c r="S1667" s="60" t="n">
        <f aca="false">K1667+L1667+M1667+N1667+O1667</f>
        <v>0.59</v>
      </c>
      <c r="T1667" s="60" t="n">
        <f aca="false">L1667+M1667</f>
        <v>0.04</v>
      </c>
      <c r="U1667" s="60" t="n">
        <f aca="false">S1667+J1667</f>
        <v>0.59</v>
      </c>
      <c r="V1667" s="63" t="n">
        <f aca="false">IFERROR(S1667/F1667,0)</f>
        <v>0.59</v>
      </c>
      <c r="W1667" s="63" t="n">
        <f aca="false">IFERROR(R1667/F1667,0)</f>
        <v>0.41</v>
      </c>
      <c r="X1667" s="63" t="n">
        <f aca="false">IFERROR(T1667/F1667,0)</f>
        <v>0.04</v>
      </c>
      <c r="Y1667" s="63" t="n">
        <f aca="false">IFERROR(G1667/F1667,0)</f>
        <v>0.04</v>
      </c>
      <c r="Z1667" s="59" t="n">
        <f aca="false">IF(E1667&gt;0,F1667*1000000000/E1667,"")</f>
        <v>74.8768649955149</v>
      </c>
      <c r="AA1667" s="63" t="n">
        <f aca="false">IFERROR((R1667+S1667+J1667)/F1667,0)</f>
        <v>1</v>
      </c>
      <c r="AB1667" s="0" t="str">
        <f aca="false">A1667&amp;"|"&amp;D1667</f>
        <v>Rwanda|2021</v>
      </c>
    </row>
    <row r="1668" customFormat="false" ht="15" hidden="false" customHeight="false" outlineLevel="0" collapsed="false">
      <c r="A1668" s="0" t="s">
        <v>339</v>
      </c>
      <c r="B1668" s="0" t="s">
        <v>578</v>
      </c>
      <c r="C1668" s="0" t="s">
        <v>127</v>
      </c>
      <c r="D1668" s="0" t="n">
        <v>2022</v>
      </c>
      <c r="E1668" s="59" t="n">
        <v>13651025</v>
      </c>
      <c r="F1668" s="60" t="n">
        <v>1.04</v>
      </c>
      <c r="G1668" s="61" t="n">
        <v>0.05</v>
      </c>
      <c r="H1668" s="61" t="n">
        <v>0.21</v>
      </c>
      <c r="I1668" s="61" t="n">
        <v>0.18</v>
      </c>
      <c r="J1668" s="61" t="n">
        <v>0</v>
      </c>
      <c r="K1668" s="61" t="n">
        <v>0.56</v>
      </c>
      <c r="L1668" s="61" t="n">
        <v>0.04</v>
      </c>
      <c r="M1668" s="61" t="n">
        <v>0</v>
      </c>
      <c r="N1668" s="61" t="n">
        <v>0</v>
      </c>
      <c r="O1668" s="61" t="n">
        <v>0</v>
      </c>
      <c r="P1668" s="62" t="n">
        <v>288.5</v>
      </c>
      <c r="Q1668" s="0" t="n">
        <v>0</v>
      </c>
      <c r="R1668" s="60" t="n">
        <f aca="false">G1668+H1668+I1668</f>
        <v>0.44</v>
      </c>
      <c r="S1668" s="60" t="n">
        <f aca="false">K1668+L1668+M1668+N1668+O1668</f>
        <v>0.6</v>
      </c>
      <c r="T1668" s="60" t="n">
        <f aca="false">L1668+M1668</f>
        <v>0.04</v>
      </c>
      <c r="U1668" s="60" t="n">
        <f aca="false">S1668+J1668</f>
        <v>0.6</v>
      </c>
      <c r="V1668" s="63" t="n">
        <f aca="false">IFERROR(S1668/F1668,0)</f>
        <v>0.576923076923077</v>
      </c>
      <c r="W1668" s="63" t="n">
        <f aca="false">IFERROR(R1668/F1668,0)</f>
        <v>0.423076923076923</v>
      </c>
      <c r="X1668" s="63" t="n">
        <f aca="false">IFERROR(T1668/F1668,0)</f>
        <v>0.0384615384615385</v>
      </c>
      <c r="Y1668" s="63" t="n">
        <f aca="false">IFERROR(G1668/F1668,0)</f>
        <v>0.0480769230769231</v>
      </c>
      <c r="Z1668" s="59" t="n">
        <f aca="false">IF(E1668&gt;0,F1668*1000000000/E1668,"")</f>
        <v>76.1847553571985</v>
      </c>
      <c r="AA1668" s="63" t="n">
        <f aca="false">IFERROR((R1668+S1668+J1668)/F1668,0)</f>
        <v>1</v>
      </c>
      <c r="AB1668" s="0" t="str">
        <f aca="false">A1668&amp;"|"&amp;D1668</f>
        <v>Rwanda|2022</v>
      </c>
    </row>
    <row r="1669" customFormat="false" ht="15" hidden="false" customHeight="false" outlineLevel="0" collapsed="false">
      <c r="A1669" s="0" t="s">
        <v>339</v>
      </c>
      <c r="B1669" s="0" t="s">
        <v>578</v>
      </c>
      <c r="C1669" s="0" t="s">
        <v>127</v>
      </c>
      <c r="D1669" s="0" t="n">
        <v>2023</v>
      </c>
      <c r="E1669" s="59" t="n">
        <v>13954473</v>
      </c>
      <c r="F1669" s="60" t="n">
        <v>1.1</v>
      </c>
      <c r="G1669" s="61" t="n">
        <v>0.17</v>
      </c>
      <c r="H1669" s="61" t="n">
        <v>0.3</v>
      </c>
      <c r="I1669" s="61" t="n">
        <v>0.09</v>
      </c>
      <c r="J1669" s="61" t="n">
        <v>0</v>
      </c>
      <c r="K1669" s="61" t="n">
        <v>0.5</v>
      </c>
      <c r="L1669" s="61" t="n">
        <v>0.04</v>
      </c>
      <c r="M1669" s="61" t="n">
        <v>0</v>
      </c>
      <c r="N1669" s="61" t="n">
        <v>0</v>
      </c>
      <c r="O1669" s="61" t="n">
        <v>0</v>
      </c>
      <c r="P1669" s="62" t="n">
        <v>354.6</v>
      </c>
      <c r="Q1669" s="0" t="n">
        <v>0</v>
      </c>
      <c r="R1669" s="60" t="n">
        <f aca="false">G1669+H1669+I1669</f>
        <v>0.56</v>
      </c>
      <c r="S1669" s="60" t="n">
        <f aca="false">K1669+L1669+M1669+N1669+O1669</f>
        <v>0.54</v>
      </c>
      <c r="T1669" s="60" t="n">
        <f aca="false">L1669+M1669</f>
        <v>0.04</v>
      </c>
      <c r="U1669" s="60" t="n">
        <f aca="false">S1669+J1669</f>
        <v>0.54</v>
      </c>
      <c r="V1669" s="63" t="n">
        <f aca="false">IFERROR(S1669/F1669,0)</f>
        <v>0.490909090909091</v>
      </c>
      <c r="W1669" s="63" t="n">
        <f aca="false">IFERROR(R1669/F1669,0)</f>
        <v>0.509090909090909</v>
      </c>
      <c r="X1669" s="63" t="n">
        <f aca="false">IFERROR(T1669/F1669,0)</f>
        <v>0.0363636363636364</v>
      </c>
      <c r="Y1669" s="63" t="n">
        <f aca="false">IFERROR(G1669/F1669,0)</f>
        <v>0.154545454545455</v>
      </c>
      <c r="Z1669" s="59" t="n">
        <f aca="false">IF(E1669&gt;0,F1669*1000000000/E1669,"")</f>
        <v>78.8277708516832</v>
      </c>
      <c r="AA1669" s="63" t="n">
        <f aca="false">IFERROR((R1669+S1669+J1669)/F1669,0)</f>
        <v>1</v>
      </c>
      <c r="AB1669" s="0" t="str">
        <f aca="false">A1669&amp;"|"&amp;D1669</f>
        <v>Rwanda|2023</v>
      </c>
    </row>
    <row r="1670" customFormat="false" ht="15" hidden="false" customHeight="false" outlineLevel="0" collapsed="false">
      <c r="A1670" s="0" t="s">
        <v>339</v>
      </c>
      <c r="B1670" s="0" t="s">
        <v>578</v>
      </c>
      <c r="C1670" s="0" t="s">
        <v>127</v>
      </c>
      <c r="D1670" s="0" t="n">
        <v>2024</v>
      </c>
      <c r="E1670" s="59" t="n">
        <v>14256573</v>
      </c>
      <c r="F1670" s="60" t="n">
        <v>1.13</v>
      </c>
      <c r="G1670" s="61" t="n">
        <v>0.17</v>
      </c>
      <c r="H1670" s="61" t="n">
        <v>0.3</v>
      </c>
      <c r="I1670" s="61" t="n">
        <v>0.1</v>
      </c>
      <c r="J1670" s="61" t="n">
        <v>0</v>
      </c>
      <c r="K1670" s="61" t="n">
        <v>0.52</v>
      </c>
      <c r="L1670" s="61" t="n">
        <v>0.04</v>
      </c>
      <c r="M1670" s="61" t="n">
        <v>0</v>
      </c>
      <c r="N1670" s="61" t="n">
        <v>0</v>
      </c>
      <c r="O1670" s="61" t="n">
        <v>0</v>
      </c>
      <c r="P1670" s="62" t="n">
        <v>354</v>
      </c>
      <c r="Q1670" s="0" t="n">
        <v>0</v>
      </c>
      <c r="R1670" s="60" t="n">
        <f aca="false">G1670+H1670+I1670</f>
        <v>0.57</v>
      </c>
      <c r="S1670" s="60" t="n">
        <f aca="false">K1670+L1670+M1670+N1670+O1670</f>
        <v>0.56</v>
      </c>
      <c r="T1670" s="60" t="n">
        <f aca="false">L1670+M1670</f>
        <v>0.04</v>
      </c>
      <c r="U1670" s="60" t="n">
        <f aca="false">S1670+J1670</f>
        <v>0.56</v>
      </c>
      <c r="V1670" s="63" t="n">
        <f aca="false">IFERROR(S1670/F1670,0)</f>
        <v>0.495575221238938</v>
      </c>
      <c r="W1670" s="63" t="n">
        <f aca="false">IFERROR(R1670/F1670,0)</f>
        <v>0.504424778761062</v>
      </c>
      <c r="X1670" s="63" t="n">
        <f aca="false">IFERROR(T1670/F1670,0)</f>
        <v>0.0353982300884956</v>
      </c>
      <c r="Y1670" s="63" t="n">
        <f aca="false">IFERROR(G1670/F1670,0)</f>
        <v>0.150442477876106</v>
      </c>
      <c r="Z1670" s="59" t="n">
        <f aca="false">IF(E1670&gt;0,F1670*1000000000/E1670,"")</f>
        <v>79.2616851188571</v>
      </c>
      <c r="AA1670" s="63" t="n">
        <f aca="false">IFERROR((R1670+S1670+J1670)/F1670,0)</f>
        <v>1</v>
      </c>
      <c r="AB1670" s="0" t="str">
        <f aca="false">A1670&amp;"|"&amp;D1670</f>
        <v>Rwanda|2024</v>
      </c>
    </row>
    <row r="1671" customFormat="false" ht="15" hidden="false" customHeight="false" outlineLevel="0" collapsed="false">
      <c r="A1671" s="0" t="s">
        <v>340</v>
      </c>
      <c r="B1671" s="0" t="s">
        <v>579</v>
      </c>
      <c r="C1671" s="0" t="s">
        <v>127</v>
      </c>
      <c r="D1671" s="0" t="n">
        <v>2015</v>
      </c>
      <c r="E1671" s="59" t="n">
        <v>5529</v>
      </c>
      <c r="F1671" s="60" t="n">
        <v>0.01</v>
      </c>
      <c r="G1671" s="61" t="n">
        <v>0</v>
      </c>
      <c r="H1671" s="61" t="n">
        <v>0</v>
      </c>
      <c r="I1671" s="61" t="n">
        <v>0.01</v>
      </c>
      <c r="J1671" s="61" t="n">
        <v>0</v>
      </c>
      <c r="K1671" s="61" t="n">
        <v>0</v>
      </c>
      <c r="L1671" s="61" t="n">
        <v>0</v>
      </c>
      <c r="M1671" s="61" t="n">
        <v>0</v>
      </c>
      <c r="N1671" s="61" t="n">
        <v>0</v>
      </c>
      <c r="O1671" s="61" t="n">
        <v>0</v>
      </c>
      <c r="P1671" s="62" t="n">
        <v>1000</v>
      </c>
      <c r="Q1671" s="0" t="n">
        <v>0</v>
      </c>
      <c r="R1671" s="60" t="n">
        <f aca="false">G1671+H1671+I1671</f>
        <v>0.01</v>
      </c>
      <c r="S1671" s="60" t="n">
        <f aca="false">K1671+L1671+M1671+N1671+O1671</f>
        <v>0</v>
      </c>
      <c r="T1671" s="60" t="n">
        <f aca="false">L1671+M1671</f>
        <v>0</v>
      </c>
      <c r="U1671" s="60" t="n">
        <f aca="false">S1671+J1671</f>
        <v>0</v>
      </c>
      <c r="V1671" s="63" t="n">
        <f aca="false">IFERROR(S1671/F1671,0)</f>
        <v>0</v>
      </c>
      <c r="W1671" s="63" t="n">
        <f aca="false">IFERROR(R1671/F1671,0)</f>
        <v>1</v>
      </c>
      <c r="X1671" s="63" t="n">
        <f aca="false">IFERROR(T1671/F1671,0)</f>
        <v>0</v>
      </c>
      <c r="Y1671" s="63" t="n">
        <f aca="false">IFERROR(G1671/F1671,0)</f>
        <v>0</v>
      </c>
      <c r="Z1671" s="59" t="n">
        <f aca="false">IF(E1671&gt;0,F1671*1000000000/E1671,"")</f>
        <v>1808.64532465184</v>
      </c>
      <c r="AA1671" s="63" t="n">
        <f aca="false">IFERROR((R1671+S1671+J1671)/F1671,0)</f>
        <v>1</v>
      </c>
      <c r="AB1671" s="0" t="str">
        <f aca="false">A1671&amp;"|"&amp;D1671</f>
        <v>Saint Helena|2015</v>
      </c>
    </row>
    <row r="1672" customFormat="false" ht="15" hidden="false" customHeight="false" outlineLevel="0" collapsed="false">
      <c r="A1672" s="0" t="s">
        <v>340</v>
      </c>
      <c r="B1672" s="0" t="s">
        <v>579</v>
      </c>
      <c r="C1672" s="0" t="s">
        <v>127</v>
      </c>
      <c r="D1672" s="0" t="n">
        <v>2016</v>
      </c>
      <c r="E1672" s="59" t="n">
        <v>5544</v>
      </c>
      <c r="F1672" s="60" t="n">
        <v>0.01</v>
      </c>
      <c r="G1672" s="61" t="n">
        <v>0</v>
      </c>
      <c r="H1672" s="61" t="n">
        <v>0</v>
      </c>
      <c r="I1672" s="61" t="n">
        <v>0.01</v>
      </c>
      <c r="J1672" s="61" t="n">
        <v>0</v>
      </c>
      <c r="K1672" s="61" t="n">
        <v>0</v>
      </c>
      <c r="L1672" s="61" t="n">
        <v>0</v>
      </c>
      <c r="M1672" s="61" t="n">
        <v>0</v>
      </c>
      <c r="N1672" s="61" t="n">
        <v>0</v>
      </c>
      <c r="O1672" s="61" t="n">
        <v>0</v>
      </c>
      <c r="P1672" s="62" t="n">
        <v>1000</v>
      </c>
      <c r="Q1672" s="0" t="n">
        <v>0</v>
      </c>
      <c r="R1672" s="60" t="n">
        <f aca="false">G1672+H1672+I1672</f>
        <v>0.01</v>
      </c>
      <c r="S1672" s="60" t="n">
        <f aca="false">K1672+L1672+M1672+N1672+O1672</f>
        <v>0</v>
      </c>
      <c r="T1672" s="60" t="n">
        <f aca="false">L1672+M1672</f>
        <v>0</v>
      </c>
      <c r="U1672" s="60" t="n">
        <f aca="false">S1672+J1672</f>
        <v>0</v>
      </c>
      <c r="V1672" s="63" t="n">
        <f aca="false">IFERROR(S1672/F1672,0)</f>
        <v>0</v>
      </c>
      <c r="W1672" s="63" t="n">
        <f aca="false">IFERROR(R1672/F1672,0)</f>
        <v>1</v>
      </c>
      <c r="X1672" s="63" t="n">
        <f aca="false">IFERROR(T1672/F1672,0)</f>
        <v>0</v>
      </c>
      <c r="Y1672" s="63" t="n">
        <f aca="false">IFERROR(G1672/F1672,0)</f>
        <v>0</v>
      </c>
      <c r="Z1672" s="59" t="n">
        <f aca="false">IF(E1672&gt;0,F1672*1000000000/E1672,"")</f>
        <v>1803.7518037518</v>
      </c>
      <c r="AA1672" s="63" t="n">
        <f aca="false">IFERROR((R1672+S1672+J1672)/F1672,0)</f>
        <v>1</v>
      </c>
      <c r="AB1672" s="0" t="str">
        <f aca="false">A1672&amp;"|"&amp;D1672</f>
        <v>Saint Helena|2016</v>
      </c>
    </row>
    <row r="1673" customFormat="false" ht="15" hidden="false" customHeight="false" outlineLevel="0" collapsed="false">
      <c r="A1673" s="0" t="s">
        <v>340</v>
      </c>
      <c r="B1673" s="0" t="s">
        <v>579</v>
      </c>
      <c r="C1673" s="0" t="s">
        <v>127</v>
      </c>
      <c r="D1673" s="0" t="n">
        <v>2017</v>
      </c>
      <c r="E1673" s="59" t="n">
        <v>5528</v>
      </c>
      <c r="F1673" s="60" t="n">
        <v>0.01</v>
      </c>
      <c r="G1673" s="61" t="n">
        <v>0</v>
      </c>
      <c r="H1673" s="61" t="n">
        <v>0</v>
      </c>
      <c r="I1673" s="61" t="n">
        <v>0.01</v>
      </c>
      <c r="J1673" s="61" t="n">
        <v>0</v>
      </c>
      <c r="K1673" s="61" t="n">
        <v>0</v>
      </c>
      <c r="L1673" s="61" t="n">
        <v>0</v>
      </c>
      <c r="M1673" s="61" t="n">
        <v>0</v>
      </c>
      <c r="N1673" s="61" t="n">
        <v>0</v>
      </c>
      <c r="O1673" s="61" t="n">
        <v>0</v>
      </c>
      <c r="P1673" s="62" t="n">
        <v>1000</v>
      </c>
      <c r="Q1673" s="0" t="n">
        <v>0</v>
      </c>
      <c r="R1673" s="60" t="n">
        <f aca="false">G1673+H1673+I1673</f>
        <v>0.01</v>
      </c>
      <c r="S1673" s="60" t="n">
        <f aca="false">K1673+L1673+M1673+N1673+O1673</f>
        <v>0</v>
      </c>
      <c r="T1673" s="60" t="n">
        <f aca="false">L1673+M1673</f>
        <v>0</v>
      </c>
      <c r="U1673" s="60" t="n">
        <f aca="false">S1673+J1673</f>
        <v>0</v>
      </c>
      <c r="V1673" s="63" t="n">
        <f aca="false">IFERROR(S1673/F1673,0)</f>
        <v>0</v>
      </c>
      <c r="W1673" s="63" t="n">
        <f aca="false">IFERROR(R1673/F1673,0)</f>
        <v>1</v>
      </c>
      <c r="X1673" s="63" t="n">
        <f aca="false">IFERROR(T1673/F1673,0)</f>
        <v>0</v>
      </c>
      <c r="Y1673" s="63" t="n">
        <f aca="false">IFERROR(G1673/F1673,0)</f>
        <v>0</v>
      </c>
      <c r="Z1673" s="59" t="n">
        <f aca="false">IF(E1673&gt;0,F1673*1000000000/E1673,"")</f>
        <v>1808.97250361795</v>
      </c>
      <c r="AA1673" s="63" t="n">
        <f aca="false">IFERROR((R1673+S1673+J1673)/F1673,0)</f>
        <v>1</v>
      </c>
      <c r="AB1673" s="0" t="str">
        <f aca="false">A1673&amp;"|"&amp;D1673</f>
        <v>Saint Helena|2017</v>
      </c>
    </row>
    <row r="1674" customFormat="false" ht="15" hidden="false" customHeight="false" outlineLevel="0" collapsed="false">
      <c r="A1674" s="0" t="s">
        <v>340</v>
      </c>
      <c r="B1674" s="0" t="s">
        <v>579</v>
      </c>
      <c r="C1674" s="0" t="s">
        <v>127</v>
      </c>
      <c r="D1674" s="0" t="n">
        <v>2018</v>
      </c>
      <c r="E1674" s="59" t="n">
        <v>5507</v>
      </c>
      <c r="F1674" s="60" t="n">
        <v>0.01</v>
      </c>
      <c r="G1674" s="61" t="n">
        <v>0</v>
      </c>
      <c r="H1674" s="61" t="n">
        <v>0</v>
      </c>
      <c r="I1674" s="61" t="n">
        <v>0.01</v>
      </c>
      <c r="J1674" s="61" t="n">
        <v>0</v>
      </c>
      <c r="K1674" s="61" t="n">
        <v>0</v>
      </c>
      <c r="L1674" s="61" t="n">
        <v>0</v>
      </c>
      <c r="M1674" s="61" t="n">
        <v>0</v>
      </c>
      <c r="N1674" s="61" t="n">
        <v>0</v>
      </c>
      <c r="O1674" s="61" t="n">
        <v>0</v>
      </c>
      <c r="P1674" s="62" t="n">
        <v>1000</v>
      </c>
      <c r="Q1674" s="0" t="n">
        <v>0</v>
      </c>
      <c r="R1674" s="60" t="n">
        <f aca="false">G1674+H1674+I1674</f>
        <v>0.01</v>
      </c>
      <c r="S1674" s="60" t="n">
        <f aca="false">K1674+L1674+M1674+N1674+O1674</f>
        <v>0</v>
      </c>
      <c r="T1674" s="60" t="n">
        <f aca="false">L1674+M1674</f>
        <v>0</v>
      </c>
      <c r="U1674" s="60" t="n">
        <f aca="false">S1674+J1674</f>
        <v>0</v>
      </c>
      <c r="V1674" s="63" t="n">
        <f aca="false">IFERROR(S1674/F1674,0)</f>
        <v>0</v>
      </c>
      <c r="W1674" s="63" t="n">
        <f aca="false">IFERROR(R1674/F1674,0)</f>
        <v>1</v>
      </c>
      <c r="X1674" s="63" t="n">
        <f aca="false">IFERROR(T1674/F1674,0)</f>
        <v>0</v>
      </c>
      <c r="Y1674" s="63" t="n">
        <f aca="false">IFERROR(G1674/F1674,0)</f>
        <v>0</v>
      </c>
      <c r="Z1674" s="59" t="n">
        <f aca="false">IF(E1674&gt;0,F1674*1000000000/E1674,"")</f>
        <v>1815.87071000545</v>
      </c>
      <c r="AA1674" s="63" t="n">
        <f aca="false">IFERROR((R1674+S1674+J1674)/F1674,0)</f>
        <v>1</v>
      </c>
      <c r="AB1674" s="0" t="str">
        <f aca="false">A1674&amp;"|"&amp;D1674</f>
        <v>Saint Helena|2018</v>
      </c>
    </row>
    <row r="1675" customFormat="false" ht="15" hidden="false" customHeight="false" outlineLevel="0" collapsed="false">
      <c r="A1675" s="0" t="s">
        <v>340</v>
      </c>
      <c r="B1675" s="0" t="s">
        <v>579</v>
      </c>
      <c r="C1675" s="0" t="s">
        <v>127</v>
      </c>
      <c r="D1675" s="0" t="n">
        <v>2019</v>
      </c>
      <c r="E1675" s="59" t="n">
        <v>5485</v>
      </c>
      <c r="F1675" s="60" t="n">
        <v>0.01</v>
      </c>
      <c r="G1675" s="61" t="n">
        <v>0</v>
      </c>
      <c r="H1675" s="61" t="n">
        <v>0</v>
      </c>
      <c r="I1675" s="61" t="n">
        <v>0.01</v>
      </c>
      <c r="J1675" s="61" t="n">
        <v>0</v>
      </c>
      <c r="K1675" s="61" t="n">
        <v>0</v>
      </c>
      <c r="L1675" s="61" t="n">
        <v>0</v>
      </c>
      <c r="M1675" s="61" t="n">
        <v>0</v>
      </c>
      <c r="N1675" s="61" t="n">
        <v>0</v>
      </c>
      <c r="O1675" s="61" t="n">
        <v>0</v>
      </c>
      <c r="P1675" s="62" t="n">
        <v>1000</v>
      </c>
      <c r="Q1675" s="0" t="n">
        <v>0</v>
      </c>
      <c r="R1675" s="60" t="n">
        <f aca="false">G1675+H1675+I1675</f>
        <v>0.01</v>
      </c>
      <c r="S1675" s="60" t="n">
        <f aca="false">K1675+L1675+M1675+N1675+O1675</f>
        <v>0</v>
      </c>
      <c r="T1675" s="60" t="n">
        <f aca="false">L1675+M1675</f>
        <v>0</v>
      </c>
      <c r="U1675" s="60" t="n">
        <f aca="false">S1675+J1675</f>
        <v>0</v>
      </c>
      <c r="V1675" s="63" t="n">
        <f aca="false">IFERROR(S1675/F1675,0)</f>
        <v>0</v>
      </c>
      <c r="W1675" s="63" t="n">
        <f aca="false">IFERROR(R1675/F1675,0)</f>
        <v>1</v>
      </c>
      <c r="X1675" s="63" t="n">
        <f aca="false">IFERROR(T1675/F1675,0)</f>
        <v>0</v>
      </c>
      <c r="Y1675" s="63" t="n">
        <f aca="false">IFERROR(G1675/F1675,0)</f>
        <v>0</v>
      </c>
      <c r="Z1675" s="59" t="n">
        <f aca="false">IF(E1675&gt;0,F1675*1000000000/E1675,"")</f>
        <v>1823.15405651778</v>
      </c>
      <c r="AA1675" s="63" t="n">
        <f aca="false">IFERROR((R1675+S1675+J1675)/F1675,0)</f>
        <v>1</v>
      </c>
      <c r="AB1675" s="0" t="str">
        <f aca="false">A1675&amp;"|"&amp;D1675</f>
        <v>Saint Helena|2019</v>
      </c>
    </row>
    <row r="1676" customFormat="false" ht="15" hidden="false" customHeight="false" outlineLevel="0" collapsed="false">
      <c r="A1676" s="0" t="s">
        <v>340</v>
      </c>
      <c r="B1676" s="0" t="s">
        <v>579</v>
      </c>
      <c r="C1676" s="0" t="s">
        <v>127</v>
      </c>
      <c r="D1676" s="0" t="n">
        <v>2020</v>
      </c>
      <c r="E1676" s="59" t="n">
        <v>5451</v>
      </c>
      <c r="F1676" s="60" t="n">
        <v>0.01</v>
      </c>
      <c r="G1676" s="61" t="n">
        <v>0</v>
      </c>
      <c r="H1676" s="61" t="n">
        <v>0</v>
      </c>
      <c r="I1676" s="61" t="n">
        <v>0.01</v>
      </c>
      <c r="J1676" s="61" t="n">
        <v>0</v>
      </c>
      <c r="K1676" s="61" t="n">
        <v>0</v>
      </c>
      <c r="L1676" s="61" t="n">
        <v>0</v>
      </c>
      <c r="M1676" s="61" t="n">
        <v>0</v>
      </c>
      <c r="N1676" s="61" t="n">
        <v>0</v>
      </c>
      <c r="O1676" s="61" t="n">
        <v>0</v>
      </c>
      <c r="P1676" s="62" t="n">
        <v>1000</v>
      </c>
      <c r="Q1676" s="0" t="n">
        <v>0</v>
      </c>
      <c r="R1676" s="60" t="n">
        <f aca="false">G1676+H1676+I1676</f>
        <v>0.01</v>
      </c>
      <c r="S1676" s="60" t="n">
        <f aca="false">K1676+L1676+M1676+N1676+O1676</f>
        <v>0</v>
      </c>
      <c r="T1676" s="60" t="n">
        <f aca="false">L1676+M1676</f>
        <v>0</v>
      </c>
      <c r="U1676" s="60" t="n">
        <f aca="false">S1676+J1676</f>
        <v>0</v>
      </c>
      <c r="V1676" s="63" t="n">
        <f aca="false">IFERROR(S1676/F1676,0)</f>
        <v>0</v>
      </c>
      <c r="W1676" s="63" t="n">
        <f aca="false">IFERROR(R1676/F1676,0)</f>
        <v>1</v>
      </c>
      <c r="X1676" s="63" t="n">
        <f aca="false">IFERROR(T1676/F1676,0)</f>
        <v>0</v>
      </c>
      <c r="Y1676" s="63" t="n">
        <f aca="false">IFERROR(G1676/F1676,0)</f>
        <v>0</v>
      </c>
      <c r="Z1676" s="59" t="n">
        <f aca="false">IF(E1676&gt;0,F1676*1000000000/E1676,"")</f>
        <v>1834.52577508714</v>
      </c>
      <c r="AA1676" s="63" t="n">
        <f aca="false">IFERROR((R1676+S1676+J1676)/F1676,0)</f>
        <v>1</v>
      </c>
      <c r="AB1676" s="0" t="str">
        <f aca="false">A1676&amp;"|"&amp;D1676</f>
        <v>Saint Helena|2020</v>
      </c>
    </row>
    <row r="1677" customFormat="false" ht="15" hidden="false" customHeight="false" outlineLevel="0" collapsed="false">
      <c r="A1677" s="0" t="s">
        <v>340</v>
      </c>
      <c r="B1677" s="0" t="s">
        <v>579</v>
      </c>
      <c r="C1677" s="0" t="s">
        <v>127</v>
      </c>
      <c r="D1677" s="0" t="n">
        <v>2021</v>
      </c>
      <c r="E1677" s="59" t="n">
        <v>5415</v>
      </c>
      <c r="F1677" s="60" t="n">
        <v>0.01</v>
      </c>
      <c r="G1677" s="61" t="n">
        <v>0</v>
      </c>
      <c r="H1677" s="61" t="n">
        <v>0</v>
      </c>
      <c r="I1677" s="61" t="n">
        <v>0.01</v>
      </c>
      <c r="J1677" s="61" t="n">
        <v>0</v>
      </c>
      <c r="K1677" s="61" t="n">
        <v>0</v>
      </c>
      <c r="L1677" s="61" t="n">
        <v>0</v>
      </c>
      <c r="M1677" s="61" t="n">
        <v>0</v>
      </c>
      <c r="N1677" s="61" t="n">
        <v>0</v>
      </c>
      <c r="O1677" s="61" t="n">
        <v>0</v>
      </c>
      <c r="P1677" s="62" t="n">
        <v>1000</v>
      </c>
      <c r="Q1677" s="0" t="n">
        <v>0</v>
      </c>
      <c r="R1677" s="60" t="n">
        <f aca="false">G1677+H1677+I1677</f>
        <v>0.01</v>
      </c>
      <c r="S1677" s="60" t="n">
        <f aca="false">K1677+L1677+M1677+N1677+O1677</f>
        <v>0</v>
      </c>
      <c r="T1677" s="60" t="n">
        <f aca="false">L1677+M1677</f>
        <v>0</v>
      </c>
      <c r="U1677" s="60" t="n">
        <f aca="false">S1677+J1677</f>
        <v>0</v>
      </c>
      <c r="V1677" s="63" t="n">
        <f aca="false">IFERROR(S1677/F1677,0)</f>
        <v>0</v>
      </c>
      <c r="W1677" s="63" t="n">
        <f aca="false">IFERROR(R1677/F1677,0)</f>
        <v>1</v>
      </c>
      <c r="X1677" s="63" t="n">
        <f aca="false">IFERROR(T1677/F1677,0)</f>
        <v>0</v>
      </c>
      <c r="Y1677" s="63" t="n">
        <f aca="false">IFERROR(G1677/F1677,0)</f>
        <v>0</v>
      </c>
      <c r="Z1677" s="59" t="n">
        <f aca="false">IF(E1677&gt;0,F1677*1000000000/E1677,"")</f>
        <v>1846.72206832872</v>
      </c>
      <c r="AA1677" s="63" t="n">
        <f aca="false">IFERROR((R1677+S1677+J1677)/F1677,0)</f>
        <v>1</v>
      </c>
      <c r="AB1677" s="0" t="str">
        <f aca="false">A1677&amp;"|"&amp;D1677</f>
        <v>Saint Helena|2021</v>
      </c>
    </row>
    <row r="1678" customFormat="false" ht="15" hidden="false" customHeight="false" outlineLevel="0" collapsed="false">
      <c r="A1678" s="0" t="s">
        <v>340</v>
      </c>
      <c r="B1678" s="0" t="s">
        <v>579</v>
      </c>
      <c r="C1678" s="0" t="s">
        <v>127</v>
      </c>
      <c r="D1678" s="0" t="n">
        <v>2022</v>
      </c>
      <c r="E1678" s="59" t="n">
        <v>5369</v>
      </c>
      <c r="F1678" s="60" t="n">
        <v>0.01</v>
      </c>
      <c r="G1678" s="61" t="n">
        <v>0</v>
      </c>
      <c r="H1678" s="61" t="n">
        <v>0</v>
      </c>
      <c r="I1678" s="61" t="n">
        <v>0.01</v>
      </c>
      <c r="J1678" s="61" t="n">
        <v>0</v>
      </c>
      <c r="K1678" s="61" t="n">
        <v>0</v>
      </c>
      <c r="L1678" s="61" t="n">
        <v>0</v>
      </c>
      <c r="M1678" s="61" t="n">
        <v>0</v>
      </c>
      <c r="N1678" s="61" t="n">
        <v>0</v>
      </c>
      <c r="O1678" s="61" t="n">
        <v>0</v>
      </c>
      <c r="P1678" s="62" t="n">
        <v>1000</v>
      </c>
      <c r="Q1678" s="0" t="n">
        <v>0</v>
      </c>
      <c r="R1678" s="60" t="n">
        <f aca="false">G1678+H1678+I1678</f>
        <v>0.01</v>
      </c>
      <c r="S1678" s="60" t="n">
        <f aca="false">K1678+L1678+M1678+N1678+O1678</f>
        <v>0</v>
      </c>
      <c r="T1678" s="60" t="n">
        <f aca="false">L1678+M1678</f>
        <v>0</v>
      </c>
      <c r="U1678" s="60" t="n">
        <f aca="false">S1678+J1678</f>
        <v>0</v>
      </c>
      <c r="V1678" s="63" t="n">
        <f aca="false">IFERROR(S1678/F1678,0)</f>
        <v>0</v>
      </c>
      <c r="W1678" s="63" t="n">
        <f aca="false">IFERROR(R1678/F1678,0)</f>
        <v>1</v>
      </c>
      <c r="X1678" s="63" t="n">
        <f aca="false">IFERROR(T1678/F1678,0)</f>
        <v>0</v>
      </c>
      <c r="Y1678" s="63" t="n">
        <f aca="false">IFERROR(G1678/F1678,0)</f>
        <v>0</v>
      </c>
      <c r="Z1678" s="59" t="n">
        <f aca="false">IF(E1678&gt;0,F1678*1000000000/E1678,"")</f>
        <v>1862.54423542559</v>
      </c>
      <c r="AA1678" s="63" t="n">
        <f aca="false">IFERROR((R1678+S1678+J1678)/F1678,0)</f>
        <v>1</v>
      </c>
      <c r="AB1678" s="0" t="str">
        <f aca="false">A1678&amp;"|"&amp;D1678</f>
        <v>Saint Helena|2022</v>
      </c>
    </row>
    <row r="1679" customFormat="false" ht="15" hidden="false" customHeight="false" outlineLevel="0" collapsed="false">
      <c r="A1679" s="0" t="s">
        <v>340</v>
      </c>
      <c r="B1679" s="0" t="s">
        <v>579</v>
      </c>
      <c r="C1679" s="0" t="s">
        <v>127</v>
      </c>
      <c r="D1679" s="0" t="n">
        <v>2023</v>
      </c>
      <c r="E1679" s="59" t="n">
        <v>5316</v>
      </c>
      <c r="F1679" s="60" t="n">
        <v>0.01</v>
      </c>
      <c r="G1679" s="61" t="n">
        <v>0</v>
      </c>
      <c r="H1679" s="61" t="n">
        <v>0</v>
      </c>
      <c r="I1679" s="61" t="n">
        <v>0.01</v>
      </c>
      <c r="J1679" s="61" t="n">
        <v>0</v>
      </c>
      <c r="K1679" s="61" t="n">
        <v>0</v>
      </c>
      <c r="L1679" s="61" t="n">
        <v>0</v>
      </c>
      <c r="M1679" s="61" t="n">
        <v>0</v>
      </c>
      <c r="N1679" s="61" t="n">
        <v>0</v>
      </c>
      <c r="O1679" s="61" t="n">
        <v>0</v>
      </c>
      <c r="P1679" s="62" t="n">
        <v>1000</v>
      </c>
      <c r="Q1679" s="0" t="n">
        <v>0</v>
      </c>
      <c r="R1679" s="60" t="n">
        <f aca="false">G1679+H1679+I1679</f>
        <v>0.01</v>
      </c>
      <c r="S1679" s="60" t="n">
        <f aca="false">K1679+L1679+M1679+N1679+O1679</f>
        <v>0</v>
      </c>
      <c r="T1679" s="60" t="n">
        <f aca="false">L1679+M1679</f>
        <v>0</v>
      </c>
      <c r="U1679" s="60" t="n">
        <f aca="false">S1679+J1679</f>
        <v>0</v>
      </c>
      <c r="V1679" s="63" t="n">
        <f aca="false">IFERROR(S1679/F1679,0)</f>
        <v>0</v>
      </c>
      <c r="W1679" s="63" t="n">
        <f aca="false">IFERROR(R1679/F1679,0)</f>
        <v>1</v>
      </c>
      <c r="X1679" s="63" t="n">
        <f aca="false">IFERROR(T1679/F1679,0)</f>
        <v>0</v>
      </c>
      <c r="Y1679" s="63" t="n">
        <f aca="false">IFERROR(G1679/F1679,0)</f>
        <v>0</v>
      </c>
      <c r="Z1679" s="59" t="n">
        <f aca="false">IF(E1679&gt;0,F1679*1000000000/E1679,"")</f>
        <v>1881.1136192626</v>
      </c>
      <c r="AA1679" s="63" t="n">
        <f aca="false">IFERROR((R1679+S1679+J1679)/F1679,0)</f>
        <v>1</v>
      </c>
      <c r="AB1679" s="0" t="str">
        <f aca="false">A1679&amp;"|"&amp;D1679</f>
        <v>Saint Helena|2023</v>
      </c>
    </row>
    <row r="1680" customFormat="false" ht="15" hidden="false" customHeight="false" outlineLevel="0" collapsed="false">
      <c r="A1680" s="0" t="s">
        <v>341</v>
      </c>
      <c r="B1680" s="0" t="s">
        <v>580</v>
      </c>
      <c r="C1680" s="0" t="s">
        <v>127</v>
      </c>
      <c r="D1680" s="0" t="n">
        <v>2015</v>
      </c>
      <c r="E1680" s="59" t="n">
        <v>47108</v>
      </c>
      <c r="F1680" s="60" t="n">
        <v>0.22</v>
      </c>
      <c r="G1680" s="61" t="n">
        <v>0</v>
      </c>
      <c r="H1680" s="61" t="n">
        <v>0</v>
      </c>
      <c r="I1680" s="61" t="n">
        <v>0.21</v>
      </c>
      <c r="J1680" s="61" t="n">
        <v>0</v>
      </c>
      <c r="K1680" s="61" t="n">
        <v>0</v>
      </c>
      <c r="L1680" s="61" t="n">
        <v>0</v>
      </c>
      <c r="M1680" s="61" t="n">
        <v>0.01</v>
      </c>
      <c r="N1680" s="61" t="n">
        <v>0</v>
      </c>
      <c r="O1680" s="61" t="n">
        <v>0</v>
      </c>
      <c r="P1680" s="62" t="n">
        <v>636.4</v>
      </c>
      <c r="Q1680" s="0" t="n">
        <v>0</v>
      </c>
      <c r="R1680" s="60" t="n">
        <f aca="false">G1680+H1680+I1680</f>
        <v>0.21</v>
      </c>
      <c r="S1680" s="60" t="n">
        <f aca="false">K1680+L1680+M1680+N1680+O1680</f>
        <v>0.01</v>
      </c>
      <c r="T1680" s="60" t="n">
        <f aca="false">L1680+M1680</f>
        <v>0.01</v>
      </c>
      <c r="U1680" s="60" t="n">
        <f aca="false">S1680+J1680</f>
        <v>0.01</v>
      </c>
      <c r="V1680" s="63" t="n">
        <f aca="false">IFERROR(S1680/F1680,0)</f>
        <v>0.0454545454545455</v>
      </c>
      <c r="W1680" s="63" t="n">
        <f aca="false">IFERROR(R1680/F1680,0)</f>
        <v>0.954545454545455</v>
      </c>
      <c r="X1680" s="63" t="n">
        <f aca="false">IFERROR(T1680/F1680,0)</f>
        <v>0.0454545454545455</v>
      </c>
      <c r="Y1680" s="63" t="n">
        <f aca="false">IFERROR(G1680/F1680,0)</f>
        <v>0</v>
      </c>
      <c r="Z1680" s="59" t="n">
        <f aca="false">IF(E1680&gt;0,F1680*1000000000/E1680,"")</f>
        <v>4670.11972488749</v>
      </c>
      <c r="AA1680" s="63" t="n">
        <f aca="false">IFERROR((R1680+S1680+J1680)/F1680,0)</f>
        <v>1</v>
      </c>
      <c r="AB1680" s="0" t="str">
        <f aca="false">A1680&amp;"|"&amp;D1680</f>
        <v>Saint Kitts and Nevis|2015</v>
      </c>
    </row>
    <row r="1681" customFormat="false" ht="15" hidden="false" customHeight="false" outlineLevel="0" collapsed="false">
      <c r="A1681" s="0" t="s">
        <v>341</v>
      </c>
      <c r="B1681" s="0" t="s">
        <v>580</v>
      </c>
      <c r="C1681" s="0" t="s">
        <v>127</v>
      </c>
      <c r="D1681" s="0" t="n">
        <v>2016</v>
      </c>
      <c r="E1681" s="59" t="n">
        <v>47099</v>
      </c>
      <c r="F1681" s="60" t="n">
        <v>0.23</v>
      </c>
      <c r="G1681" s="61" t="n">
        <v>0</v>
      </c>
      <c r="H1681" s="61" t="n">
        <v>0</v>
      </c>
      <c r="I1681" s="61" t="n">
        <v>0.22</v>
      </c>
      <c r="J1681" s="61" t="n">
        <v>0</v>
      </c>
      <c r="K1681" s="61" t="n">
        <v>0</v>
      </c>
      <c r="L1681" s="61" t="n">
        <v>0</v>
      </c>
      <c r="M1681" s="61" t="n">
        <v>0.01</v>
      </c>
      <c r="N1681" s="61" t="n">
        <v>0</v>
      </c>
      <c r="O1681" s="61" t="n">
        <v>0</v>
      </c>
      <c r="P1681" s="62" t="n">
        <v>608.7</v>
      </c>
      <c r="Q1681" s="0" t="n">
        <v>0</v>
      </c>
      <c r="R1681" s="60" t="n">
        <f aca="false">G1681+H1681+I1681</f>
        <v>0.22</v>
      </c>
      <c r="S1681" s="60" t="n">
        <f aca="false">K1681+L1681+M1681+N1681+O1681</f>
        <v>0.01</v>
      </c>
      <c r="T1681" s="60" t="n">
        <f aca="false">L1681+M1681</f>
        <v>0.01</v>
      </c>
      <c r="U1681" s="60" t="n">
        <f aca="false">S1681+J1681</f>
        <v>0.01</v>
      </c>
      <c r="V1681" s="63" t="n">
        <f aca="false">IFERROR(S1681/F1681,0)</f>
        <v>0.0434782608695652</v>
      </c>
      <c r="W1681" s="63" t="n">
        <f aca="false">IFERROR(R1681/F1681,0)</f>
        <v>0.956521739130435</v>
      </c>
      <c r="X1681" s="63" t="n">
        <f aca="false">IFERROR(T1681/F1681,0)</f>
        <v>0.0434782608695652</v>
      </c>
      <c r="Y1681" s="63" t="n">
        <f aca="false">IFERROR(G1681/F1681,0)</f>
        <v>0</v>
      </c>
      <c r="Z1681" s="59" t="n">
        <f aca="false">IF(E1681&gt;0,F1681*1000000000/E1681,"")</f>
        <v>4883.33085628145</v>
      </c>
      <c r="AA1681" s="63" t="n">
        <f aca="false">IFERROR((R1681+S1681+J1681)/F1681,0)</f>
        <v>1</v>
      </c>
      <c r="AB1681" s="0" t="str">
        <f aca="false">A1681&amp;"|"&amp;D1681</f>
        <v>Saint Kitts and Nevis|2016</v>
      </c>
    </row>
    <row r="1682" customFormat="false" ht="15" hidden="false" customHeight="false" outlineLevel="0" collapsed="false">
      <c r="A1682" s="0" t="s">
        <v>341</v>
      </c>
      <c r="B1682" s="0" t="s">
        <v>580</v>
      </c>
      <c r="C1682" s="0" t="s">
        <v>127</v>
      </c>
      <c r="D1682" s="0" t="n">
        <v>2017</v>
      </c>
      <c r="E1682" s="59" t="n">
        <v>47075</v>
      </c>
      <c r="F1682" s="60" t="n">
        <v>0.22</v>
      </c>
      <c r="G1682" s="61" t="n">
        <v>0</v>
      </c>
      <c r="H1682" s="61" t="n">
        <v>0</v>
      </c>
      <c r="I1682" s="61" t="n">
        <v>0.22</v>
      </c>
      <c r="J1682" s="61" t="n">
        <v>0</v>
      </c>
      <c r="K1682" s="61" t="n">
        <v>0</v>
      </c>
      <c r="L1682" s="61" t="n">
        <v>0</v>
      </c>
      <c r="M1682" s="61" t="n">
        <v>0</v>
      </c>
      <c r="N1682" s="61" t="n">
        <v>0</v>
      </c>
      <c r="O1682" s="61" t="n">
        <v>0</v>
      </c>
      <c r="P1682" s="62" t="n">
        <v>636.4</v>
      </c>
      <c r="Q1682" s="0" t="n">
        <v>0</v>
      </c>
      <c r="R1682" s="60" t="n">
        <f aca="false">G1682+H1682+I1682</f>
        <v>0.22</v>
      </c>
      <c r="S1682" s="60" t="n">
        <f aca="false">K1682+L1682+M1682+N1682+O1682</f>
        <v>0</v>
      </c>
      <c r="T1682" s="60" t="n">
        <f aca="false">L1682+M1682</f>
        <v>0</v>
      </c>
      <c r="U1682" s="60" t="n">
        <f aca="false">S1682+J1682</f>
        <v>0</v>
      </c>
      <c r="V1682" s="63" t="n">
        <f aca="false">IFERROR(S1682/F1682,0)</f>
        <v>0</v>
      </c>
      <c r="W1682" s="63" t="n">
        <f aca="false">IFERROR(R1682/F1682,0)</f>
        <v>1</v>
      </c>
      <c r="X1682" s="63" t="n">
        <f aca="false">IFERROR(T1682/F1682,0)</f>
        <v>0</v>
      </c>
      <c r="Y1682" s="63" t="n">
        <f aca="false">IFERROR(G1682/F1682,0)</f>
        <v>0</v>
      </c>
      <c r="Z1682" s="59" t="n">
        <f aca="false">IF(E1682&gt;0,F1682*1000000000/E1682,"")</f>
        <v>4673.39352097716</v>
      </c>
      <c r="AA1682" s="63" t="n">
        <f aca="false">IFERROR((R1682+S1682+J1682)/F1682,0)</f>
        <v>1</v>
      </c>
      <c r="AB1682" s="0" t="str">
        <f aca="false">A1682&amp;"|"&amp;D1682</f>
        <v>Saint Kitts and Nevis|2017</v>
      </c>
    </row>
    <row r="1683" customFormat="false" ht="15" hidden="false" customHeight="false" outlineLevel="0" collapsed="false">
      <c r="A1683" s="0" t="s">
        <v>341</v>
      </c>
      <c r="B1683" s="0" t="s">
        <v>580</v>
      </c>
      <c r="C1683" s="0" t="s">
        <v>127</v>
      </c>
      <c r="D1683" s="0" t="n">
        <v>2018</v>
      </c>
      <c r="E1683" s="59" t="n">
        <v>47032</v>
      </c>
      <c r="F1683" s="60" t="n">
        <v>0.23</v>
      </c>
      <c r="G1683" s="61" t="n">
        <v>0</v>
      </c>
      <c r="H1683" s="61" t="n">
        <v>0</v>
      </c>
      <c r="I1683" s="61" t="n">
        <v>0.22</v>
      </c>
      <c r="J1683" s="61" t="n">
        <v>0</v>
      </c>
      <c r="K1683" s="61" t="n">
        <v>0</v>
      </c>
      <c r="L1683" s="61" t="n">
        <v>0</v>
      </c>
      <c r="M1683" s="61" t="n">
        <v>0.01</v>
      </c>
      <c r="N1683" s="61" t="n">
        <v>0</v>
      </c>
      <c r="O1683" s="61" t="n">
        <v>0</v>
      </c>
      <c r="P1683" s="62" t="n">
        <v>608.7</v>
      </c>
      <c r="Q1683" s="0" t="n">
        <v>0</v>
      </c>
      <c r="R1683" s="60" t="n">
        <f aca="false">G1683+H1683+I1683</f>
        <v>0.22</v>
      </c>
      <c r="S1683" s="60" t="n">
        <f aca="false">K1683+L1683+M1683+N1683+O1683</f>
        <v>0.01</v>
      </c>
      <c r="T1683" s="60" t="n">
        <f aca="false">L1683+M1683</f>
        <v>0.01</v>
      </c>
      <c r="U1683" s="60" t="n">
        <f aca="false">S1683+J1683</f>
        <v>0.01</v>
      </c>
      <c r="V1683" s="63" t="n">
        <f aca="false">IFERROR(S1683/F1683,0)</f>
        <v>0.0434782608695652</v>
      </c>
      <c r="W1683" s="63" t="n">
        <f aca="false">IFERROR(R1683/F1683,0)</f>
        <v>0.956521739130435</v>
      </c>
      <c r="X1683" s="63" t="n">
        <f aca="false">IFERROR(T1683/F1683,0)</f>
        <v>0.0434782608695652</v>
      </c>
      <c r="Y1683" s="63" t="n">
        <f aca="false">IFERROR(G1683/F1683,0)</f>
        <v>0</v>
      </c>
      <c r="Z1683" s="59" t="n">
        <f aca="false">IF(E1683&gt;0,F1683*1000000000/E1683,"")</f>
        <v>4890.2874638544</v>
      </c>
      <c r="AA1683" s="63" t="n">
        <f aca="false">IFERROR((R1683+S1683+J1683)/F1683,0)</f>
        <v>1</v>
      </c>
      <c r="AB1683" s="0" t="str">
        <f aca="false">A1683&amp;"|"&amp;D1683</f>
        <v>Saint Kitts and Nevis|2018</v>
      </c>
    </row>
    <row r="1684" customFormat="false" ht="15" hidden="false" customHeight="false" outlineLevel="0" collapsed="false">
      <c r="A1684" s="0" t="s">
        <v>341</v>
      </c>
      <c r="B1684" s="0" t="s">
        <v>580</v>
      </c>
      <c r="C1684" s="0" t="s">
        <v>127</v>
      </c>
      <c r="D1684" s="0" t="n">
        <v>2019</v>
      </c>
      <c r="E1684" s="59" t="n">
        <v>46976</v>
      </c>
      <c r="F1684" s="60" t="n">
        <v>0.23</v>
      </c>
      <c r="G1684" s="61" t="n">
        <v>0</v>
      </c>
      <c r="H1684" s="61" t="n">
        <v>0</v>
      </c>
      <c r="I1684" s="61" t="n">
        <v>0.22</v>
      </c>
      <c r="J1684" s="61" t="n">
        <v>0</v>
      </c>
      <c r="K1684" s="61" t="n">
        <v>0</v>
      </c>
      <c r="L1684" s="61" t="n">
        <v>0</v>
      </c>
      <c r="M1684" s="61" t="n">
        <v>0.01</v>
      </c>
      <c r="N1684" s="61" t="n">
        <v>0</v>
      </c>
      <c r="O1684" s="61" t="n">
        <v>0</v>
      </c>
      <c r="P1684" s="62" t="n">
        <v>608.7</v>
      </c>
      <c r="Q1684" s="0" t="n">
        <v>0</v>
      </c>
      <c r="R1684" s="60" t="n">
        <f aca="false">G1684+H1684+I1684</f>
        <v>0.22</v>
      </c>
      <c r="S1684" s="60" t="n">
        <f aca="false">K1684+L1684+M1684+N1684+O1684</f>
        <v>0.01</v>
      </c>
      <c r="T1684" s="60" t="n">
        <f aca="false">L1684+M1684</f>
        <v>0.01</v>
      </c>
      <c r="U1684" s="60" t="n">
        <f aca="false">S1684+J1684</f>
        <v>0.01</v>
      </c>
      <c r="V1684" s="63" t="n">
        <f aca="false">IFERROR(S1684/F1684,0)</f>
        <v>0.0434782608695652</v>
      </c>
      <c r="W1684" s="63" t="n">
        <f aca="false">IFERROR(R1684/F1684,0)</f>
        <v>0.956521739130435</v>
      </c>
      <c r="X1684" s="63" t="n">
        <f aca="false">IFERROR(T1684/F1684,0)</f>
        <v>0.0434782608695652</v>
      </c>
      <c r="Y1684" s="63" t="n">
        <f aca="false">IFERROR(G1684/F1684,0)</f>
        <v>0</v>
      </c>
      <c r="Z1684" s="59" t="n">
        <f aca="false">IF(E1684&gt;0,F1684*1000000000/E1684,"")</f>
        <v>4896.11716621253</v>
      </c>
      <c r="AA1684" s="63" t="n">
        <f aca="false">IFERROR((R1684+S1684+J1684)/F1684,0)</f>
        <v>1</v>
      </c>
      <c r="AB1684" s="0" t="str">
        <f aca="false">A1684&amp;"|"&amp;D1684</f>
        <v>Saint Kitts and Nevis|2019</v>
      </c>
    </row>
    <row r="1685" customFormat="false" ht="15" hidden="false" customHeight="false" outlineLevel="0" collapsed="false">
      <c r="A1685" s="0" t="s">
        <v>341</v>
      </c>
      <c r="B1685" s="0" t="s">
        <v>580</v>
      </c>
      <c r="C1685" s="0" t="s">
        <v>127</v>
      </c>
      <c r="D1685" s="0" t="n">
        <v>2020</v>
      </c>
      <c r="E1685" s="59" t="n">
        <v>46896</v>
      </c>
      <c r="F1685" s="60" t="n">
        <v>0.22</v>
      </c>
      <c r="G1685" s="61" t="n">
        <v>0</v>
      </c>
      <c r="H1685" s="61" t="n">
        <v>0</v>
      </c>
      <c r="I1685" s="61" t="n">
        <v>0.21</v>
      </c>
      <c r="J1685" s="61" t="n">
        <v>0</v>
      </c>
      <c r="K1685" s="61" t="n">
        <v>0</v>
      </c>
      <c r="L1685" s="61" t="n">
        <v>0</v>
      </c>
      <c r="M1685" s="61" t="n">
        <v>0.01</v>
      </c>
      <c r="N1685" s="61" t="n">
        <v>0</v>
      </c>
      <c r="O1685" s="61" t="n">
        <v>0</v>
      </c>
      <c r="P1685" s="62" t="n">
        <v>636.4</v>
      </c>
      <c r="Q1685" s="0" t="n">
        <v>0</v>
      </c>
      <c r="R1685" s="60" t="n">
        <f aca="false">G1685+H1685+I1685</f>
        <v>0.21</v>
      </c>
      <c r="S1685" s="60" t="n">
        <f aca="false">K1685+L1685+M1685+N1685+O1685</f>
        <v>0.01</v>
      </c>
      <c r="T1685" s="60" t="n">
        <f aca="false">L1685+M1685</f>
        <v>0.01</v>
      </c>
      <c r="U1685" s="60" t="n">
        <f aca="false">S1685+J1685</f>
        <v>0.01</v>
      </c>
      <c r="V1685" s="63" t="n">
        <f aca="false">IFERROR(S1685/F1685,0)</f>
        <v>0.0454545454545455</v>
      </c>
      <c r="W1685" s="63" t="n">
        <f aca="false">IFERROR(R1685/F1685,0)</f>
        <v>0.954545454545455</v>
      </c>
      <c r="X1685" s="63" t="n">
        <f aca="false">IFERROR(T1685/F1685,0)</f>
        <v>0.0454545454545455</v>
      </c>
      <c r="Y1685" s="63" t="n">
        <f aca="false">IFERROR(G1685/F1685,0)</f>
        <v>0</v>
      </c>
      <c r="Z1685" s="59" t="n">
        <f aca="false">IF(E1685&gt;0,F1685*1000000000/E1685,"")</f>
        <v>4691.23166154896</v>
      </c>
      <c r="AA1685" s="63" t="n">
        <f aca="false">IFERROR((R1685+S1685+J1685)/F1685,0)</f>
        <v>1</v>
      </c>
      <c r="AB1685" s="0" t="str">
        <f aca="false">A1685&amp;"|"&amp;D1685</f>
        <v>Saint Kitts and Nevis|2020</v>
      </c>
    </row>
    <row r="1686" customFormat="false" ht="15" hidden="false" customHeight="false" outlineLevel="0" collapsed="false">
      <c r="A1686" s="0" t="s">
        <v>341</v>
      </c>
      <c r="B1686" s="0" t="s">
        <v>580</v>
      </c>
      <c r="C1686" s="0" t="s">
        <v>127</v>
      </c>
      <c r="D1686" s="0" t="n">
        <v>2021</v>
      </c>
      <c r="E1686" s="59" t="n">
        <v>46786</v>
      </c>
      <c r="F1686" s="60" t="n">
        <v>0.22</v>
      </c>
      <c r="G1686" s="61" t="n">
        <v>0</v>
      </c>
      <c r="H1686" s="61" t="n">
        <v>0</v>
      </c>
      <c r="I1686" s="61" t="n">
        <v>0.21</v>
      </c>
      <c r="J1686" s="61" t="n">
        <v>0</v>
      </c>
      <c r="K1686" s="61" t="n">
        <v>0</v>
      </c>
      <c r="L1686" s="61" t="n">
        <v>0</v>
      </c>
      <c r="M1686" s="61" t="n">
        <v>0.01</v>
      </c>
      <c r="N1686" s="61" t="n">
        <v>0</v>
      </c>
      <c r="O1686" s="61" t="n">
        <v>0</v>
      </c>
      <c r="P1686" s="62" t="n">
        <v>636.4</v>
      </c>
      <c r="Q1686" s="0" t="n">
        <v>0</v>
      </c>
      <c r="R1686" s="60" t="n">
        <f aca="false">G1686+H1686+I1686</f>
        <v>0.21</v>
      </c>
      <c r="S1686" s="60" t="n">
        <f aca="false">K1686+L1686+M1686+N1686+O1686</f>
        <v>0.01</v>
      </c>
      <c r="T1686" s="60" t="n">
        <f aca="false">L1686+M1686</f>
        <v>0.01</v>
      </c>
      <c r="U1686" s="60" t="n">
        <f aca="false">S1686+J1686</f>
        <v>0.01</v>
      </c>
      <c r="V1686" s="63" t="n">
        <f aca="false">IFERROR(S1686/F1686,0)</f>
        <v>0.0454545454545455</v>
      </c>
      <c r="W1686" s="63" t="n">
        <f aca="false">IFERROR(R1686/F1686,0)</f>
        <v>0.954545454545455</v>
      </c>
      <c r="X1686" s="63" t="n">
        <f aca="false">IFERROR(T1686/F1686,0)</f>
        <v>0.0454545454545455</v>
      </c>
      <c r="Y1686" s="63" t="n">
        <f aca="false">IFERROR(G1686/F1686,0)</f>
        <v>0</v>
      </c>
      <c r="Z1686" s="59" t="n">
        <f aca="false">IF(E1686&gt;0,F1686*1000000000/E1686,"")</f>
        <v>4702.26136023597</v>
      </c>
      <c r="AA1686" s="63" t="n">
        <f aca="false">IFERROR((R1686+S1686+J1686)/F1686,0)</f>
        <v>1</v>
      </c>
      <c r="AB1686" s="0" t="str">
        <f aca="false">A1686&amp;"|"&amp;D1686</f>
        <v>Saint Kitts and Nevis|2021</v>
      </c>
    </row>
    <row r="1687" customFormat="false" ht="15" hidden="false" customHeight="false" outlineLevel="0" collapsed="false">
      <c r="A1687" s="0" t="s">
        <v>341</v>
      </c>
      <c r="B1687" s="0" t="s">
        <v>580</v>
      </c>
      <c r="C1687" s="0" t="s">
        <v>127</v>
      </c>
      <c r="D1687" s="0" t="n">
        <v>2022</v>
      </c>
      <c r="E1687" s="59" t="n">
        <v>46732</v>
      </c>
      <c r="F1687" s="60" t="n">
        <v>0.22</v>
      </c>
      <c r="G1687" s="61" t="n">
        <v>0</v>
      </c>
      <c r="H1687" s="61" t="n">
        <v>0</v>
      </c>
      <c r="I1687" s="61" t="n">
        <v>0.21</v>
      </c>
      <c r="J1687" s="61" t="n">
        <v>0</v>
      </c>
      <c r="K1687" s="61" t="n">
        <v>0</v>
      </c>
      <c r="L1687" s="61" t="n">
        <v>0</v>
      </c>
      <c r="M1687" s="61" t="n">
        <v>0.01</v>
      </c>
      <c r="N1687" s="61" t="n">
        <v>0</v>
      </c>
      <c r="O1687" s="61" t="n">
        <v>0</v>
      </c>
      <c r="P1687" s="62" t="n">
        <v>636.4</v>
      </c>
      <c r="Q1687" s="0" t="n">
        <v>0</v>
      </c>
      <c r="R1687" s="60" t="n">
        <f aca="false">G1687+H1687+I1687</f>
        <v>0.21</v>
      </c>
      <c r="S1687" s="60" t="n">
        <f aca="false">K1687+L1687+M1687+N1687+O1687</f>
        <v>0.01</v>
      </c>
      <c r="T1687" s="60" t="n">
        <f aca="false">L1687+M1687</f>
        <v>0.01</v>
      </c>
      <c r="U1687" s="60" t="n">
        <f aca="false">S1687+J1687</f>
        <v>0.01</v>
      </c>
      <c r="V1687" s="63" t="n">
        <f aca="false">IFERROR(S1687/F1687,0)</f>
        <v>0.0454545454545455</v>
      </c>
      <c r="W1687" s="63" t="n">
        <f aca="false">IFERROR(R1687/F1687,0)</f>
        <v>0.954545454545455</v>
      </c>
      <c r="X1687" s="63" t="n">
        <f aca="false">IFERROR(T1687/F1687,0)</f>
        <v>0.0454545454545455</v>
      </c>
      <c r="Y1687" s="63" t="n">
        <f aca="false">IFERROR(G1687/F1687,0)</f>
        <v>0</v>
      </c>
      <c r="Z1687" s="59" t="n">
        <f aca="false">IF(E1687&gt;0,F1687*1000000000/E1687,"")</f>
        <v>4707.6949413678</v>
      </c>
      <c r="AA1687" s="63" t="n">
        <f aca="false">IFERROR((R1687+S1687+J1687)/F1687,0)</f>
        <v>1</v>
      </c>
      <c r="AB1687" s="0" t="str">
        <f aca="false">A1687&amp;"|"&amp;D1687</f>
        <v>Saint Kitts and Nevis|2022</v>
      </c>
    </row>
    <row r="1688" customFormat="false" ht="15" hidden="false" customHeight="false" outlineLevel="0" collapsed="false">
      <c r="A1688" s="0" t="s">
        <v>341</v>
      </c>
      <c r="B1688" s="0" t="s">
        <v>580</v>
      </c>
      <c r="C1688" s="0" t="s">
        <v>127</v>
      </c>
      <c r="D1688" s="0" t="n">
        <v>2023</v>
      </c>
      <c r="E1688" s="59" t="n">
        <v>46783</v>
      </c>
      <c r="F1688" s="60" t="n">
        <v>0.22</v>
      </c>
      <c r="G1688" s="61" t="n">
        <v>0</v>
      </c>
      <c r="H1688" s="61" t="n">
        <v>0</v>
      </c>
      <c r="I1688" s="61" t="n">
        <v>0.21</v>
      </c>
      <c r="J1688" s="61" t="n">
        <v>0</v>
      </c>
      <c r="K1688" s="61" t="n">
        <v>0</v>
      </c>
      <c r="L1688" s="61" t="n">
        <v>0</v>
      </c>
      <c r="M1688" s="61" t="n">
        <v>0.01</v>
      </c>
      <c r="N1688" s="61" t="n">
        <v>0</v>
      </c>
      <c r="O1688" s="61" t="n">
        <v>0</v>
      </c>
      <c r="P1688" s="62" t="n">
        <v>636.4</v>
      </c>
      <c r="Q1688" s="0" t="n">
        <v>0</v>
      </c>
      <c r="R1688" s="60" t="n">
        <f aca="false">G1688+H1688+I1688</f>
        <v>0.21</v>
      </c>
      <c r="S1688" s="60" t="n">
        <f aca="false">K1688+L1688+M1688+N1688+O1688</f>
        <v>0.01</v>
      </c>
      <c r="T1688" s="60" t="n">
        <f aca="false">L1688+M1688</f>
        <v>0.01</v>
      </c>
      <c r="U1688" s="60" t="n">
        <f aca="false">S1688+J1688</f>
        <v>0.01</v>
      </c>
      <c r="V1688" s="63" t="n">
        <f aca="false">IFERROR(S1688/F1688,0)</f>
        <v>0.0454545454545455</v>
      </c>
      <c r="W1688" s="63" t="n">
        <f aca="false">IFERROR(R1688/F1688,0)</f>
        <v>0.954545454545455</v>
      </c>
      <c r="X1688" s="63" t="n">
        <f aca="false">IFERROR(T1688/F1688,0)</f>
        <v>0.0454545454545455</v>
      </c>
      <c r="Y1688" s="63" t="n">
        <f aca="false">IFERROR(G1688/F1688,0)</f>
        <v>0</v>
      </c>
      <c r="Z1688" s="59" t="n">
        <f aca="false">IF(E1688&gt;0,F1688*1000000000/E1688,"")</f>
        <v>4702.56289677874</v>
      </c>
      <c r="AA1688" s="63" t="n">
        <f aca="false">IFERROR((R1688+S1688+J1688)/F1688,0)</f>
        <v>1</v>
      </c>
      <c r="AB1688" s="0" t="str">
        <f aca="false">A1688&amp;"|"&amp;D1688</f>
        <v>Saint Kitts and Nevis|2023</v>
      </c>
    </row>
    <row r="1689" customFormat="false" ht="15" hidden="false" customHeight="false" outlineLevel="0" collapsed="false">
      <c r="A1689" s="0" t="s">
        <v>341</v>
      </c>
      <c r="B1689" s="0" t="s">
        <v>580</v>
      </c>
      <c r="C1689" s="0" t="s">
        <v>127</v>
      </c>
      <c r="D1689" s="0" t="n">
        <v>2024</v>
      </c>
      <c r="E1689" s="59" t="n">
        <v>46867</v>
      </c>
      <c r="F1689" s="60" t="n">
        <v>0.23</v>
      </c>
      <c r="G1689" s="61" t="n">
        <v>0</v>
      </c>
      <c r="H1689" s="61" t="n">
        <v>0</v>
      </c>
      <c r="I1689" s="61" t="n">
        <v>0.21</v>
      </c>
      <c r="J1689" s="61" t="n">
        <v>0</v>
      </c>
      <c r="K1689" s="61" t="n">
        <v>0</v>
      </c>
      <c r="L1689" s="61" t="n">
        <v>0.01</v>
      </c>
      <c r="M1689" s="61" t="n">
        <v>0.01</v>
      </c>
      <c r="N1689" s="61" t="n">
        <v>0</v>
      </c>
      <c r="O1689" s="61" t="n">
        <v>0</v>
      </c>
      <c r="P1689" s="62" t="n">
        <v>608.7</v>
      </c>
      <c r="Q1689" s="0" t="n">
        <v>0</v>
      </c>
      <c r="R1689" s="60" t="n">
        <f aca="false">G1689+H1689+I1689</f>
        <v>0.21</v>
      </c>
      <c r="S1689" s="60" t="n">
        <f aca="false">K1689+L1689+M1689+N1689+O1689</f>
        <v>0.02</v>
      </c>
      <c r="T1689" s="60" t="n">
        <f aca="false">L1689+M1689</f>
        <v>0.02</v>
      </c>
      <c r="U1689" s="60" t="n">
        <f aca="false">S1689+J1689</f>
        <v>0.02</v>
      </c>
      <c r="V1689" s="63" t="n">
        <f aca="false">IFERROR(S1689/F1689,0)</f>
        <v>0.0869565217391304</v>
      </c>
      <c r="W1689" s="63" t="n">
        <f aca="false">IFERROR(R1689/F1689,0)</f>
        <v>0.91304347826087</v>
      </c>
      <c r="X1689" s="63" t="n">
        <f aca="false">IFERROR(T1689/F1689,0)</f>
        <v>0.0869565217391304</v>
      </c>
      <c r="Y1689" s="63" t="n">
        <f aca="false">IFERROR(G1689/F1689,0)</f>
        <v>0</v>
      </c>
      <c r="Z1689" s="59" t="n">
        <f aca="false">IF(E1689&gt;0,F1689*1000000000/E1689,"")</f>
        <v>4907.50421405253</v>
      </c>
      <c r="AA1689" s="63" t="n">
        <f aca="false">IFERROR((R1689+S1689+J1689)/F1689,0)</f>
        <v>1</v>
      </c>
      <c r="AB1689" s="0" t="str">
        <f aca="false">A1689&amp;"|"&amp;D1689</f>
        <v>Saint Kitts and Nevis|2024</v>
      </c>
    </row>
    <row r="1690" customFormat="false" ht="15" hidden="false" customHeight="false" outlineLevel="0" collapsed="false">
      <c r="A1690" s="0" t="s">
        <v>342</v>
      </c>
      <c r="B1690" s="0" t="s">
        <v>581</v>
      </c>
      <c r="C1690" s="0" t="s">
        <v>127</v>
      </c>
      <c r="D1690" s="0" t="n">
        <v>2015</v>
      </c>
      <c r="E1690" s="59" t="n">
        <v>174919</v>
      </c>
      <c r="F1690" s="60" t="n">
        <v>0.38</v>
      </c>
      <c r="G1690" s="61" t="n">
        <v>0</v>
      </c>
      <c r="H1690" s="61" t="n">
        <v>0</v>
      </c>
      <c r="I1690" s="61" t="n">
        <v>0.38</v>
      </c>
      <c r="J1690" s="61" t="n">
        <v>0</v>
      </c>
      <c r="K1690" s="61" t="n">
        <v>0</v>
      </c>
      <c r="L1690" s="61" t="n">
        <v>0</v>
      </c>
      <c r="M1690" s="61" t="n">
        <v>0</v>
      </c>
      <c r="N1690" s="61" t="n">
        <v>0</v>
      </c>
      <c r="O1690" s="61" t="n">
        <v>0</v>
      </c>
      <c r="P1690" s="62" t="n">
        <v>657.9</v>
      </c>
      <c r="Q1690" s="0" t="n">
        <v>0</v>
      </c>
      <c r="R1690" s="60" t="n">
        <f aca="false">G1690+H1690+I1690</f>
        <v>0.38</v>
      </c>
      <c r="S1690" s="60" t="n">
        <f aca="false">K1690+L1690+M1690+N1690+O1690</f>
        <v>0</v>
      </c>
      <c r="T1690" s="60" t="n">
        <f aca="false">L1690+M1690</f>
        <v>0</v>
      </c>
      <c r="U1690" s="60" t="n">
        <f aca="false">S1690+J1690</f>
        <v>0</v>
      </c>
      <c r="V1690" s="63" t="n">
        <f aca="false">IFERROR(S1690/F1690,0)</f>
        <v>0</v>
      </c>
      <c r="W1690" s="63" t="n">
        <f aca="false">IFERROR(R1690/F1690,0)</f>
        <v>1</v>
      </c>
      <c r="X1690" s="63" t="n">
        <f aca="false">IFERROR(T1690/F1690,0)</f>
        <v>0</v>
      </c>
      <c r="Y1690" s="63" t="n">
        <f aca="false">IFERROR(G1690/F1690,0)</f>
        <v>0</v>
      </c>
      <c r="Z1690" s="59" t="n">
        <f aca="false">IF(E1690&gt;0,F1690*1000000000/E1690,"")</f>
        <v>2172.43409806825</v>
      </c>
      <c r="AA1690" s="63" t="n">
        <f aca="false">IFERROR((R1690+S1690+J1690)/F1690,0)</f>
        <v>1</v>
      </c>
      <c r="AB1690" s="0" t="str">
        <f aca="false">A1690&amp;"|"&amp;D1690</f>
        <v>Saint Lucia|2015</v>
      </c>
    </row>
    <row r="1691" customFormat="false" ht="15" hidden="false" customHeight="false" outlineLevel="0" collapsed="false">
      <c r="A1691" s="0" t="s">
        <v>342</v>
      </c>
      <c r="B1691" s="0" t="s">
        <v>581</v>
      </c>
      <c r="C1691" s="0" t="s">
        <v>127</v>
      </c>
      <c r="D1691" s="0" t="n">
        <v>2016</v>
      </c>
      <c r="E1691" s="59" t="n">
        <v>175651</v>
      </c>
      <c r="F1691" s="60" t="n">
        <v>0.39</v>
      </c>
      <c r="G1691" s="61" t="n">
        <v>0</v>
      </c>
      <c r="H1691" s="61" t="n">
        <v>0</v>
      </c>
      <c r="I1691" s="61" t="n">
        <v>0.39</v>
      </c>
      <c r="J1691" s="61" t="n">
        <v>0</v>
      </c>
      <c r="K1691" s="61" t="n">
        <v>0</v>
      </c>
      <c r="L1691" s="61" t="n">
        <v>0</v>
      </c>
      <c r="M1691" s="61" t="n">
        <v>0</v>
      </c>
      <c r="N1691" s="61" t="n">
        <v>0</v>
      </c>
      <c r="O1691" s="61" t="n">
        <v>0</v>
      </c>
      <c r="P1691" s="62" t="n">
        <v>666.7</v>
      </c>
      <c r="Q1691" s="0" t="n">
        <v>0</v>
      </c>
      <c r="R1691" s="60" t="n">
        <f aca="false">G1691+H1691+I1691</f>
        <v>0.39</v>
      </c>
      <c r="S1691" s="60" t="n">
        <f aca="false">K1691+L1691+M1691+N1691+O1691</f>
        <v>0</v>
      </c>
      <c r="T1691" s="60" t="n">
        <f aca="false">L1691+M1691</f>
        <v>0</v>
      </c>
      <c r="U1691" s="60" t="n">
        <f aca="false">S1691+J1691</f>
        <v>0</v>
      </c>
      <c r="V1691" s="63" t="n">
        <f aca="false">IFERROR(S1691/F1691,0)</f>
        <v>0</v>
      </c>
      <c r="W1691" s="63" t="n">
        <f aca="false">IFERROR(R1691/F1691,0)</f>
        <v>1</v>
      </c>
      <c r="X1691" s="63" t="n">
        <f aca="false">IFERROR(T1691/F1691,0)</f>
        <v>0</v>
      </c>
      <c r="Y1691" s="63" t="n">
        <f aca="false">IFERROR(G1691/F1691,0)</f>
        <v>0</v>
      </c>
      <c r="Z1691" s="59" t="n">
        <f aca="false">IF(E1691&gt;0,F1691*1000000000/E1691,"")</f>
        <v>2220.3118684209</v>
      </c>
      <c r="AA1691" s="63" t="n">
        <f aca="false">IFERROR((R1691+S1691+J1691)/F1691,0)</f>
        <v>1</v>
      </c>
      <c r="AB1691" s="0" t="str">
        <f aca="false">A1691&amp;"|"&amp;D1691</f>
        <v>Saint Lucia|2016</v>
      </c>
    </row>
    <row r="1692" customFormat="false" ht="15" hidden="false" customHeight="false" outlineLevel="0" collapsed="false">
      <c r="A1692" s="0" t="s">
        <v>342</v>
      </c>
      <c r="B1692" s="0" t="s">
        <v>581</v>
      </c>
      <c r="C1692" s="0" t="s">
        <v>127</v>
      </c>
      <c r="D1692" s="0" t="n">
        <v>2017</v>
      </c>
      <c r="E1692" s="59" t="n">
        <v>176352</v>
      </c>
      <c r="F1692" s="60" t="n">
        <v>0.4</v>
      </c>
      <c r="G1692" s="61" t="n">
        <v>0</v>
      </c>
      <c r="H1692" s="61" t="n">
        <v>0</v>
      </c>
      <c r="I1692" s="61" t="n">
        <v>0.4</v>
      </c>
      <c r="J1692" s="61" t="n">
        <v>0</v>
      </c>
      <c r="K1692" s="61" t="n">
        <v>0</v>
      </c>
      <c r="L1692" s="61" t="n">
        <v>0</v>
      </c>
      <c r="M1692" s="61" t="n">
        <v>0</v>
      </c>
      <c r="N1692" s="61" t="n">
        <v>0</v>
      </c>
      <c r="O1692" s="61" t="n">
        <v>0</v>
      </c>
      <c r="P1692" s="62" t="n">
        <v>650</v>
      </c>
      <c r="Q1692" s="0" t="n">
        <v>0</v>
      </c>
      <c r="R1692" s="60" t="n">
        <f aca="false">G1692+H1692+I1692</f>
        <v>0.4</v>
      </c>
      <c r="S1692" s="60" t="n">
        <f aca="false">K1692+L1692+M1692+N1692+O1692</f>
        <v>0</v>
      </c>
      <c r="T1692" s="60" t="n">
        <f aca="false">L1692+M1692</f>
        <v>0</v>
      </c>
      <c r="U1692" s="60" t="n">
        <f aca="false">S1692+J1692</f>
        <v>0</v>
      </c>
      <c r="V1692" s="63" t="n">
        <f aca="false">IFERROR(S1692/F1692,0)</f>
        <v>0</v>
      </c>
      <c r="W1692" s="63" t="n">
        <f aca="false">IFERROR(R1692/F1692,0)</f>
        <v>1</v>
      </c>
      <c r="X1692" s="63" t="n">
        <f aca="false">IFERROR(T1692/F1692,0)</f>
        <v>0</v>
      </c>
      <c r="Y1692" s="63" t="n">
        <f aca="false">IFERROR(G1692/F1692,0)</f>
        <v>0</v>
      </c>
      <c r="Z1692" s="59" t="n">
        <f aca="false">IF(E1692&gt;0,F1692*1000000000/E1692,"")</f>
        <v>2268.19089094538</v>
      </c>
      <c r="AA1692" s="63" t="n">
        <f aca="false">IFERROR((R1692+S1692+J1692)/F1692,0)</f>
        <v>1</v>
      </c>
      <c r="AB1692" s="0" t="str">
        <f aca="false">A1692&amp;"|"&amp;D1692</f>
        <v>Saint Lucia|2017</v>
      </c>
    </row>
    <row r="1693" customFormat="false" ht="15" hidden="false" customHeight="false" outlineLevel="0" collapsed="false">
      <c r="A1693" s="0" t="s">
        <v>342</v>
      </c>
      <c r="B1693" s="0" t="s">
        <v>581</v>
      </c>
      <c r="C1693" s="0" t="s">
        <v>127</v>
      </c>
      <c r="D1693" s="0" t="n">
        <v>2018</v>
      </c>
      <c r="E1693" s="59" t="n">
        <v>177032</v>
      </c>
      <c r="F1693" s="60" t="n">
        <v>0.41</v>
      </c>
      <c r="G1693" s="61" t="n">
        <v>0</v>
      </c>
      <c r="H1693" s="61" t="n">
        <v>0</v>
      </c>
      <c r="I1693" s="61" t="n">
        <v>0.4</v>
      </c>
      <c r="J1693" s="61" t="n">
        <v>0</v>
      </c>
      <c r="K1693" s="61" t="n">
        <v>0</v>
      </c>
      <c r="L1693" s="61" t="n">
        <v>0.01</v>
      </c>
      <c r="M1693" s="61" t="n">
        <v>0</v>
      </c>
      <c r="N1693" s="61" t="n">
        <v>0</v>
      </c>
      <c r="O1693" s="61" t="n">
        <v>0</v>
      </c>
      <c r="P1693" s="62" t="n">
        <v>634.1</v>
      </c>
      <c r="Q1693" s="0" t="n">
        <v>0</v>
      </c>
      <c r="R1693" s="60" t="n">
        <f aca="false">G1693+H1693+I1693</f>
        <v>0.4</v>
      </c>
      <c r="S1693" s="60" t="n">
        <f aca="false">K1693+L1693+M1693+N1693+O1693</f>
        <v>0.01</v>
      </c>
      <c r="T1693" s="60" t="n">
        <f aca="false">L1693+M1693</f>
        <v>0.01</v>
      </c>
      <c r="U1693" s="60" t="n">
        <f aca="false">S1693+J1693</f>
        <v>0.01</v>
      </c>
      <c r="V1693" s="63" t="n">
        <f aca="false">IFERROR(S1693/F1693,0)</f>
        <v>0.024390243902439</v>
      </c>
      <c r="W1693" s="63" t="n">
        <f aca="false">IFERROR(R1693/F1693,0)</f>
        <v>0.975609756097561</v>
      </c>
      <c r="X1693" s="63" t="n">
        <f aca="false">IFERROR(T1693/F1693,0)</f>
        <v>0.024390243902439</v>
      </c>
      <c r="Y1693" s="63" t="n">
        <f aca="false">IFERROR(G1693/F1693,0)</f>
        <v>0</v>
      </c>
      <c r="Z1693" s="59" t="n">
        <f aca="false">IF(E1693&gt;0,F1693*1000000000/E1693,"")</f>
        <v>2315.96547516833</v>
      </c>
      <c r="AA1693" s="63" t="n">
        <f aca="false">IFERROR((R1693+S1693+J1693)/F1693,0)</f>
        <v>1</v>
      </c>
      <c r="AB1693" s="0" t="str">
        <f aca="false">A1693&amp;"|"&amp;D1693</f>
        <v>Saint Lucia|2018</v>
      </c>
    </row>
    <row r="1694" customFormat="false" ht="15" hidden="false" customHeight="false" outlineLevel="0" collapsed="false">
      <c r="A1694" s="0" t="s">
        <v>342</v>
      </c>
      <c r="B1694" s="0" t="s">
        <v>581</v>
      </c>
      <c r="C1694" s="0" t="s">
        <v>127</v>
      </c>
      <c r="D1694" s="0" t="n">
        <v>2019</v>
      </c>
      <c r="E1694" s="59" t="n">
        <v>177675</v>
      </c>
      <c r="F1694" s="60" t="n">
        <v>0.42</v>
      </c>
      <c r="G1694" s="61" t="n">
        <v>0</v>
      </c>
      <c r="H1694" s="61" t="n">
        <v>0</v>
      </c>
      <c r="I1694" s="61" t="n">
        <v>0.41</v>
      </c>
      <c r="J1694" s="61" t="n">
        <v>0</v>
      </c>
      <c r="K1694" s="61" t="n">
        <v>0</v>
      </c>
      <c r="L1694" s="61" t="n">
        <v>0.01</v>
      </c>
      <c r="M1694" s="61" t="n">
        <v>0</v>
      </c>
      <c r="N1694" s="61" t="n">
        <v>0</v>
      </c>
      <c r="O1694" s="61" t="n">
        <v>0</v>
      </c>
      <c r="P1694" s="62" t="n">
        <v>642.9</v>
      </c>
      <c r="Q1694" s="0" t="n">
        <v>0</v>
      </c>
      <c r="R1694" s="60" t="n">
        <f aca="false">G1694+H1694+I1694</f>
        <v>0.41</v>
      </c>
      <c r="S1694" s="60" t="n">
        <f aca="false">K1694+L1694+M1694+N1694+O1694</f>
        <v>0.01</v>
      </c>
      <c r="T1694" s="60" t="n">
        <f aca="false">L1694+M1694</f>
        <v>0.01</v>
      </c>
      <c r="U1694" s="60" t="n">
        <f aca="false">S1694+J1694</f>
        <v>0.01</v>
      </c>
      <c r="V1694" s="63" t="n">
        <f aca="false">IFERROR(S1694/F1694,0)</f>
        <v>0.0238095238095238</v>
      </c>
      <c r="W1694" s="63" t="n">
        <f aca="false">IFERROR(R1694/F1694,0)</f>
        <v>0.976190476190476</v>
      </c>
      <c r="X1694" s="63" t="n">
        <f aca="false">IFERROR(T1694/F1694,0)</f>
        <v>0.0238095238095238</v>
      </c>
      <c r="Y1694" s="63" t="n">
        <f aca="false">IFERROR(G1694/F1694,0)</f>
        <v>0</v>
      </c>
      <c r="Z1694" s="59" t="n">
        <f aca="false">IF(E1694&gt;0,F1694*1000000000/E1694,"")</f>
        <v>2363.86661038413</v>
      </c>
      <c r="AA1694" s="63" t="n">
        <f aca="false">IFERROR((R1694+S1694+J1694)/F1694,0)</f>
        <v>1</v>
      </c>
      <c r="AB1694" s="0" t="str">
        <f aca="false">A1694&amp;"|"&amp;D1694</f>
        <v>Saint Lucia|2019</v>
      </c>
    </row>
    <row r="1695" customFormat="false" ht="15" hidden="false" customHeight="false" outlineLevel="0" collapsed="false">
      <c r="A1695" s="0" t="s">
        <v>342</v>
      </c>
      <c r="B1695" s="0" t="s">
        <v>581</v>
      </c>
      <c r="C1695" s="0" t="s">
        <v>127</v>
      </c>
      <c r="D1695" s="0" t="n">
        <v>2020</v>
      </c>
      <c r="E1695" s="59" t="n">
        <v>178261</v>
      </c>
      <c r="F1695" s="60" t="n">
        <v>0.38</v>
      </c>
      <c r="G1695" s="61" t="n">
        <v>0</v>
      </c>
      <c r="H1695" s="61" t="n">
        <v>0</v>
      </c>
      <c r="I1695" s="61" t="n">
        <v>0.37</v>
      </c>
      <c r="J1695" s="61" t="n">
        <v>0</v>
      </c>
      <c r="K1695" s="61" t="n">
        <v>0</v>
      </c>
      <c r="L1695" s="61" t="n">
        <v>0.01</v>
      </c>
      <c r="M1695" s="61" t="n">
        <v>0</v>
      </c>
      <c r="N1695" s="61" t="n">
        <v>0</v>
      </c>
      <c r="O1695" s="61" t="n">
        <v>0</v>
      </c>
      <c r="P1695" s="62" t="n">
        <v>631.6</v>
      </c>
      <c r="Q1695" s="0" t="n">
        <v>0</v>
      </c>
      <c r="R1695" s="60" t="n">
        <f aca="false">G1695+H1695+I1695</f>
        <v>0.37</v>
      </c>
      <c r="S1695" s="60" t="n">
        <f aca="false">K1695+L1695+M1695+N1695+O1695</f>
        <v>0.01</v>
      </c>
      <c r="T1695" s="60" t="n">
        <f aca="false">L1695+M1695</f>
        <v>0.01</v>
      </c>
      <c r="U1695" s="60" t="n">
        <f aca="false">S1695+J1695</f>
        <v>0.01</v>
      </c>
      <c r="V1695" s="63" t="n">
        <f aca="false">IFERROR(S1695/F1695,0)</f>
        <v>0.0263157894736842</v>
      </c>
      <c r="W1695" s="63" t="n">
        <f aca="false">IFERROR(R1695/F1695,0)</f>
        <v>0.973684210526316</v>
      </c>
      <c r="X1695" s="63" t="n">
        <f aca="false">IFERROR(T1695/F1695,0)</f>
        <v>0.0263157894736842</v>
      </c>
      <c r="Y1695" s="63" t="n">
        <f aca="false">IFERROR(G1695/F1695,0)</f>
        <v>0</v>
      </c>
      <c r="Z1695" s="59" t="n">
        <f aca="false">IF(E1695&gt;0,F1695*1000000000/E1695,"")</f>
        <v>2131.70575728847</v>
      </c>
      <c r="AA1695" s="63" t="n">
        <f aca="false">IFERROR((R1695+S1695+J1695)/F1695,0)</f>
        <v>1</v>
      </c>
      <c r="AB1695" s="0" t="str">
        <f aca="false">A1695&amp;"|"&amp;D1695</f>
        <v>Saint Lucia|2020</v>
      </c>
    </row>
    <row r="1696" customFormat="false" ht="15" hidden="false" customHeight="false" outlineLevel="0" collapsed="false">
      <c r="A1696" s="0" t="s">
        <v>342</v>
      </c>
      <c r="B1696" s="0" t="s">
        <v>581</v>
      </c>
      <c r="C1696" s="0" t="s">
        <v>127</v>
      </c>
      <c r="D1696" s="0" t="n">
        <v>2021</v>
      </c>
      <c r="E1696" s="59" t="n">
        <v>178540</v>
      </c>
      <c r="F1696" s="60" t="n">
        <v>0.4</v>
      </c>
      <c r="G1696" s="61" t="n">
        <v>0</v>
      </c>
      <c r="H1696" s="61" t="n">
        <v>0</v>
      </c>
      <c r="I1696" s="61" t="n">
        <v>0.39</v>
      </c>
      <c r="J1696" s="61" t="n">
        <v>0</v>
      </c>
      <c r="K1696" s="61" t="n">
        <v>0</v>
      </c>
      <c r="L1696" s="61" t="n">
        <v>0.01</v>
      </c>
      <c r="M1696" s="61" t="n">
        <v>0</v>
      </c>
      <c r="N1696" s="61" t="n">
        <v>0</v>
      </c>
      <c r="O1696" s="61" t="n">
        <v>0</v>
      </c>
      <c r="P1696" s="62" t="n">
        <v>650</v>
      </c>
      <c r="Q1696" s="0" t="n">
        <v>0</v>
      </c>
      <c r="R1696" s="60" t="n">
        <f aca="false">G1696+H1696+I1696</f>
        <v>0.39</v>
      </c>
      <c r="S1696" s="60" t="n">
        <f aca="false">K1696+L1696+M1696+N1696+O1696</f>
        <v>0.01</v>
      </c>
      <c r="T1696" s="60" t="n">
        <f aca="false">L1696+M1696</f>
        <v>0.01</v>
      </c>
      <c r="U1696" s="60" t="n">
        <f aca="false">S1696+J1696</f>
        <v>0.01</v>
      </c>
      <c r="V1696" s="63" t="n">
        <f aca="false">IFERROR(S1696/F1696,0)</f>
        <v>0.025</v>
      </c>
      <c r="W1696" s="63" t="n">
        <f aca="false">IFERROR(R1696/F1696,0)</f>
        <v>0.975</v>
      </c>
      <c r="X1696" s="63" t="n">
        <f aca="false">IFERROR(T1696/F1696,0)</f>
        <v>0.025</v>
      </c>
      <c r="Y1696" s="63" t="n">
        <f aca="false">IFERROR(G1696/F1696,0)</f>
        <v>0</v>
      </c>
      <c r="Z1696" s="59" t="n">
        <f aca="false">IF(E1696&gt;0,F1696*1000000000/E1696,"")</f>
        <v>2240.39430939845</v>
      </c>
      <c r="AA1696" s="63" t="n">
        <f aca="false">IFERROR((R1696+S1696+J1696)/F1696,0)</f>
        <v>1</v>
      </c>
      <c r="AB1696" s="0" t="str">
        <f aca="false">A1696&amp;"|"&amp;D1696</f>
        <v>Saint Lucia|2021</v>
      </c>
    </row>
    <row r="1697" customFormat="false" ht="15" hidden="false" customHeight="false" outlineLevel="0" collapsed="false">
      <c r="A1697" s="0" t="s">
        <v>342</v>
      </c>
      <c r="B1697" s="0" t="s">
        <v>581</v>
      </c>
      <c r="C1697" s="0" t="s">
        <v>127</v>
      </c>
      <c r="D1697" s="0" t="n">
        <v>2022</v>
      </c>
      <c r="E1697" s="59" t="n">
        <v>178794</v>
      </c>
      <c r="F1697" s="60" t="n">
        <v>0.4</v>
      </c>
      <c r="G1697" s="61" t="n">
        <v>0</v>
      </c>
      <c r="H1697" s="61" t="n">
        <v>0</v>
      </c>
      <c r="I1697" s="61" t="n">
        <v>0.39</v>
      </c>
      <c r="J1697" s="61" t="n">
        <v>0</v>
      </c>
      <c r="K1697" s="61" t="n">
        <v>0</v>
      </c>
      <c r="L1697" s="61" t="n">
        <v>0.01</v>
      </c>
      <c r="M1697" s="61" t="n">
        <v>0</v>
      </c>
      <c r="N1697" s="61" t="n">
        <v>0</v>
      </c>
      <c r="O1697" s="61" t="n">
        <v>0</v>
      </c>
      <c r="P1697" s="62" t="n">
        <v>650</v>
      </c>
      <c r="Q1697" s="0" t="n">
        <v>0</v>
      </c>
      <c r="R1697" s="60" t="n">
        <f aca="false">G1697+H1697+I1697</f>
        <v>0.39</v>
      </c>
      <c r="S1697" s="60" t="n">
        <f aca="false">K1697+L1697+M1697+N1697+O1697</f>
        <v>0.01</v>
      </c>
      <c r="T1697" s="60" t="n">
        <f aca="false">L1697+M1697</f>
        <v>0.01</v>
      </c>
      <c r="U1697" s="60" t="n">
        <f aca="false">S1697+J1697</f>
        <v>0.01</v>
      </c>
      <c r="V1697" s="63" t="n">
        <f aca="false">IFERROR(S1697/F1697,0)</f>
        <v>0.025</v>
      </c>
      <c r="W1697" s="63" t="n">
        <f aca="false">IFERROR(R1697/F1697,0)</f>
        <v>0.975</v>
      </c>
      <c r="X1697" s="63" t="n">
        <f aca="false">IFERROR(T1697/F1697,0)</f>
        <v>0.025</v>
      </c>
      <c r="Y1697" s="63" t="n">
        <f aca="false">IFERROR(G1697/F1697,0)</f>
        <v>0</v>
      </c>
      <c r="Z1697" s="59" t="n">
        <f aca="false">IF(E1697&gt;0,F1697*1000000000/E1697,"")</f>
        <v>2237.21153953712</v>
      </c>
      <c r="AA1697" s="63" t="n">
        <f aca="false">IFERROR((R1697+S1697+J1697)/F1697,0)</f>
        <v>1</v>
      </c>
      <c r="AB1697" s="0" t="str">
        <f aca="false">A1697&amp;"|"&amp;D1697</f>
        <v>Saint Lucia|2022</v>
      </c>
    </row>
    <row r="1698" customFormat="false" ht="15" hidden="false" customHeight="false" outlineLevel="0" collapsed="false">
      <c r="A1698" s="0" t="s">
        <v>342</v>
      </c>
      <c r="B1698" s="0" t="s">
        <v>581</v>
      </c>
      <c r="C1698" s="0" t="s">
        <v>127</v>
      </c>
      <c r="D1698" s="0" t="n">
        <v>2023</v>
      </c>
      <c r="E1698" s="59" t="n">
        <v>179291</v>
      </c>
      <c r="F1698" s="60" t="n">
        <v>0.4</v>
      </c>
      <c r="G1698" s="61" t="n">
        <v>0</v>
      </c>
      <c r="H1698" s="61" t="n">
        <v>0</v>
      </c>
      <c r="I1698" s="61" t="n">
        <v>0.39</v>
      </c>
      <c r="J1698" s="61" t="n">
        <v>0</v>
      </c>
      <c r="K1698" s="61" t="n">
        <v>0</v>
      </c>
      <c r="L1698" s="61" t="n">
        <v>0.01</v>
      </c>
      <c r="M1698" s="61" t="n">
        <v>0</v>
      </c>
      <c r="N1698" s="61" t="n">
        <v>0</v>
      </c>
      <c r="O1698" s="61" t="n">
        <v>0</v>
      </c>
      <c r="P1698" s="62" t="n">
        <v>650</v>
      </c>
      <c r="Q1698" s="0" t="n">
        <v>0</v>
      </c>
      <c r="R1698" s="60" t="n">
        <f aca="false">G1698+H1698+I1698</f>
        <v>0.39</v>
      </c>
      <c r="S1698" s="60" t="n">
        <f aca="false">K1698+L1698+M1698+N1698+O1698</f>
        <v>0.01</v>
      </c>
      <c r="T1698" s="60" t="n">
        <f aca="false">L1698+M1698</f>
        <v>0.01</v>
      </c>
      <c r="U1698" s="60" t="n">
        <f aca="false">S1698+J1698</f>
        <v>0.01</v>
      </c>
      <c r="V1698" s="63" t="n">
        <f aca="false">IFERROR(S1698/F1698,0)</f>
        <v>0.025</v>
      </c>
      <c r="W1698" s="63" t="n">
        <f aca="false">IFERROR(R1698/F1698,0)</f>
        <v>0.975</v>
      </c>
      <c r="X1698" s="63" t="n">
        <f aca="false">IFERROR(T1698/F1698,0)</f>
        <v>0.025</v>
      </c>
      <c r="Y1698" s="63" t="n">
        <f aca="false">IFERROR(G1698/F1698,0)</f>
        <v>0</v>
      </c>
      <c r="Z1698" s="59" t="n">
        <f aca="false">IF(E1698&gt;0,F1698*1000000000/E1698,"")</f>
        <v>2231.00992241663</v>
      </c>
      <c r="AA1698" s="63" t="n">
        <f aca="false">IFERROR((R1698+S1698+J1698)/F1698,0)</f>
        <v>1</v>
      </c>
      <c r="AB1698" s="0" t="str">
        <f aca="false">A1698&amp;"|"&amp;D1698</f>
        <v>Saint Lucia|2023</v>
      </c>
    </row>
    <row r="1699" customFormat="false" ht="15" hidden="false" customHeight="false" outlineLevel="0" collapsed="false">
      <c r="A1699" s="0" t="s">
        <v>342</v>
      </c>
      <c r="B1699" s="0" t="s">
        <v>581</v>
      </c>
      <c r="C1699" s="0" t="s">
        <v>127</v>
      </c>
      <c r="D1699" s="0" t="n">
        <v>2024</v>
      </c>
      <c r="E1699" s="59" t="n">
        <v>179751</v>
      </c>
      <c r="F1699" s="60" t="n">
        <v>0.4</v>
      </c>
      <c r="G1699" s="61" t="n">
        <v>0</v>
      </c>
      <c r="H1699" s="61" t="n">
        <v>0</v>
      </c>
      <c r="I1699" s="61" t="n">
        <v>0.39</v>
      </c>
      <c r="J1699" s="61" t="n">
        <v>0</v>
      </c>
      <c r="K1699" s="61" t="n">
        <v>0</v>
      </c>
      <c r="L1699" s="61" t="n">
        <v>0.01</v>
      </c>
      <c r="M1699" s="61" t="n">
        <v>0</v>
      </c>
      <c r="N1699" s="61" t="n">
        <v>0</v>
      </c>
      <c r="O1699" s="61" t="n">
        <v>0</v>
      </c>
      <c r="P1699" s="62" t="n">
        <v>650</v>
      </c>
      <c r="Q1699" s="0" t="n">
        <v>0</v>
      </c>
      <c r="R1699" s="60" t="n">
        <f aca="false">G1699+H1699+I1699</f>
        <v>0.39</v>
      </c>
      <c r="S1699" s="60" t="n">
        <f aca="false">K1699+L1699+M1699+N1699+O1699</f>
        <v>0.01</v>
      </c>
      <c r="T1699" s="60" t="n">
        <f aca="false">L1699+M1699</f>
        <v>0.01</v>
      </c>
      <c r="U1699" s="60" t="n">
        <f aca="false">S1699+J1699</f>
        <v>0.01</v>
      </c>
      <c r="V1699" s="63" t="n">
        <f aca="false">IFERROR(S1699/F1699,0)</f>
        <v>0.025</v>
      </c>
      <c r="W1699" s="63" t="n">
        <f aca="false">IFERROR(R1699/F1699,0)</f>
        <v>0.975</v>
      </c>
      <c r="X1699" s="63" t="n">
        <f aca="false">IFERROR(T1699/F1699,0)</f>
        <v>0.025</v>
      </c>
      <c r="Y1699" s="63" t="n">
        <f aca="false">IFERROR(G1699/F1699,0)</f>
        <v>0</v>
      </c>
      <c r="Z1699" s="59" t="n">
        <f aca="false">IF(E1699&gt;0,F1699*1000000000/E1699,"")</f>
        <v>2225.30055465616</v>
      </c>
      <c r="AA1699" s="63" t="n">
        <f aca="false">IFERROR((R1699+S1699+J1699)/F1699,0)</f>
        <v>1</v>
      </c>
      <c r="AB1699" s="0" t="str">
        <f aca="false">A1699&amp;"|"&amp;D1699</f>
        <v>Saint Lucia|2024</v>
      </c>
    </row>
    <row r="1700" customFormat="false" ht="15" hidden="false" customHeight="false" outlineLevel="0" collapsed="false">
      <c r="A1700" s="0" t="s">
        <v>343</v>
      </c>
      <c r="B1700" s="0" t="s">
        <v>582</v>
      </c>
      <c r="C1700" s="0" t="s">
        <v>127</v>
      </c>
      <c r="D1700" s="0" t="n">
        <v>2015</v>
      </c>
      <c r="E1700" s="59" t="n">
        <v>5971</v>
      </c>
      <c r="F1700" s="60" t="n">
        <v>0.05</v>
      </c>
      <c r="G1700" s="61" t="n">
        <v>0</v>
      </c>
      <c r="H1700" s="61" t="n">
        <v>0</v>
      </c>
      <c r="I1700" s="61" t="n">
        <v>0.05</v>
      </c>
      <c r="J1700" s="61" t="n">
        <v>0</v>
      </c>
      <c r="K1700" s="61" t="n">
        <v>0</v>
      </c>
      <c r="L1700" s="61" t="n">
        <v>0</v>
      </c>
      <c r="M1700" s="61" t="n">
        <v>0</v>
      </c>
      <c r="N1700" s="61" t="n">
        <v>0</v>
      </c>
      <c r="O1700" s="61" t="n">
        <v>0</v>
      </c>
      <c r="P1700" s="62" t="n">
        <v>600</v>
      </c>
      <c r="Q1700" s="0" t="n">
        <v>0</v>
      </c>
      <c r="R1700" s="60" t="n">
        <f aca="false">G1700+H1700+I1700</f>
        <v>0.05</v>
      </c>
      <c r="S1700" s="60" t="n">
        <f aca="false">K1700+L1700+M1700+N1700+O1700</f>
        <v>0</v>
      </c>
      <c r="T1700" s="60" t="n">
        <f aca="false">L1700+M1700</f>
        <v>0</v>
      </c>
      <c r="U1700" s="60" t="n">
        <f aca="false">S1700+J1700</f>
        <v>0</v>
      </c>
      <c r="V1700" s="63" t="n">
        <f aca="false">IFERROR(S1700/F1700,0)</f>
        <v>0</v>
      </c>
      <c r="W1700" s="63" t="n">
        <f aca="false">IFERROR(R1700/F1700,0)</f>
        <v>1</v>
      </c>
      <c r="X1700" s="63" t="n">
        <f aca="false">IFERROR(T1700/F1700,0)</f>
        <v>0</v>
      </c>
      <c r="Y1700" s="63" t="n">
        <f aca="false">IFERROR(G1700/F1700,0)</f>
        <v>0</v>
      </c>
      <c r="Z1700" s="59" t="n">
        <f aca="false">IF(E1700&gt;0,F1700*1000000000/E1700,"")</f>
        <v>8373.80673254061</v>
      </c>
      <c r="AA1700" s="63" t="n">
        <f aca="false">IFERROR((R1700+S1700+J1700)/F1700,0)</f>
        <v>1</v>
      </c>
      <c r="AB1700" s="0" t="str">
        <f aca="false">A1700&amp;"|"&amp;D1700</f>
        <v>Saint Pierre and Miquelon|2015</v>
      </c>
    </row>
    <row r="1701" customFormat="false" ht="15" hidden="false" customHeight="false" outlineLevel="0" collapsed="false">
      <c r="A1701" s="0" t="s">
        <v>343</v>
      </c>
      <c r="B1701" s="0" t="s">
        <v>582</v>
      </c>
      <c r="C1701" s="0" t="s">
        <v>127</v>
      </c>
      <c r="D1701" s="0" t="n">
        <v>2016</v>
      </c>
      <c r="E1701" s="59" t="n">
        <v>5957</v>
      </c>
      <c r="F1701" s="60" t="n">
        <v>0.05</v>
      </c>
      <c r="G1701" s="61" t="n">
        <v>0</v>
      </c>
      <c r="H1701" s="61" t="n">
        <v>0</v>
      </c>
      <c r="I1701" s="61" t="n">
        <v>0.05</v>
      </c>
      <c r="J1701" s="61" t="n">
        <v>0</v>
      </c>
      <c r="K1701" s="61" t="n">
        <v>0</v>
      </c>
      <c r="L1701" s="61" t="n">
        <v>0</v>
      </c>
      <c r="M1701" s="61" t="n">
        <v>0</v>
      </c>
      <c r="N1701" s="61" t="n">
        <v>0</v>
      </c>
      <c r="O1701" s="61" t="n">
        <v>0</v>
      </c>
      <c r="P1701" s="62" t="n">
        <v>600</v>
      </c>
      <c r="Q1701" s="0" t="n">
        <v>0</v>
      </c>
      <c r="R1701" s="60" t="n">
        <f aca="false">G1701+H1701+I1701</f>
        <v>0.05</v>
      </c>
      <c r="S1701" s="60" t="n">
        <f aca="false">K1701+L1701+M1701+N1701+O1701</f>
        <v>0</v>
      </c>
      <c r="T1701" s="60" t="n">
        <f aca="false">L1701+M1701</f>
        <v>0</v>
      </c>
      <c r="U1701" s="60" t="n">
        <f aca="false">S1701+J1701</f>
        <v>0</v>
      </c>
      <c r="V1701" s="63" t="n">
        <f aca="false">IFERROR(S1701/F1701,0)</f>
        <v>0</v>
      </c>
      <c r="W1701" s="63" t="n">
        <f aca="false">IFERROR(R1701/F1701,0)</f>
        <v>1</v>
      </c>
      <c r="X1701" s="63" t="n">
        <f aca="false">IFERROR(T1701/F1701,0)</f>
        <v>0</v>
      </c>
      <c r="Y1701" s="63" t="n">
        <f aca="false">IFERROR(G1701/F1701,0)</f>
        <v>0</v>
      </c>
      <c r="Z1701" s="59" t="n">
        <f aca="false">IF(E1701&gt;0,F1701*1000000000/E1701,"")</f>
        <v>8393.48665435622</v>
      </c>
      <c r="AA1701" s="63" t="n">
        <f aca="false">IFERROR((R1701+S1701+J1701)/F1701,0)</f>
        <v>1</v>
      </c>
      <c r="AB1701" s="0" t="str">
        <f aca="false">A1701&amp;"|"&amp;D1701</f>
        <v>Saint Pierre and Miquelon|2016</v>
      </c>
    </row>
    <row r="1702" customFormat="false" ht="15" hidden="false" customHeight="false" outlineLevel="0" collapsed="false">
      <c r="A1702" s="0" t="s">
        <v>343</v>
      </c>
      <c r="B1702" s="0" t="s">
        <v>582</v>
      </c>
      <c r="C1702" s="0" t="s">
        <v>127</v>
      </c>
      <c r="D1702" s="0" t="n">
        <v>2017</v>
      </c>
      <c r="E1702" s="59" t="n">
        <v>5946</v>
      </c>
      <c r="F1702" s="60" t="n">
        <v>0.05</v>
      </c>
      <c r="G1702" s="61" t="n">
        <v>0</v>
      </c>
      <c r="H1702" s="61" t="n">
        <v>0</v>
      </c>
      <c r="I1702" s="61" t="n">
        <v>0.05</v>
      </c>
      <c r="J1702" s="61" t="n">
        <v>0</v>
      </c>
      <c r="K1702" s="61" t="n">
        <v>0</v>
      </c>
      <c r="L1702" s="61" t="n">
        <v>0</v>
      </c>
      <c r="M1702" s="61" t="n">
        <v>0</v>
      </c>
      <c r="N1702" s="61" t="n">
        <v>0</v>
      </c>
      <c r="O1702" s="61" t="n">
        <v>0</v>
      </c>
      <c r="P1702" s="62" t="n">
        <v>600</v>
      </c>
      <c r="Q1702" s="0" t="n">
        <v>0</v>
      </c>
      <c r="R1702" s="60" t="n">
        <f aca="false">G1702+H1702+I1702</f>
        <v>0.05</v>
      </c>
      <c r="S1702" s="60" t="n">
        <f aca="false">K1702+L1702+M1702+N1702+O1702</f>
        <v>0</v>
      </c>
      <c r="T1702" s="60" t="n">
        <f aca="false">L1702+M1702</f>
        <v>0</v>
      </c>
      <c r="U1702" s="60" t="n">
        <f aca="false">S1702+J1702</f>
        <v>0</v>
      </c>
      <c r="V1702" s="63" t="n">
        <f aca="false">IFERROR(S1702/F1702,0)</f>
        <v>0</v>
      </c>
      <c r="W1702" s="63" t="n">
        <f aca="false">IFERROR(R1702/F1702,0)</f>
        <v>1</v>
      </c>
      <c r="X1702" s="63" t="n">
        <f aca="false">IFERROR(T1702/F1702,0)</f>
        <v>0</v>
      </c>
      <c r="Y1702" s="63" t="n">
        <f aca="false">IFERROR(G1702/F1702,0)</f>
        <v>0</v>
      </c>
      <c r="Z1702" s="59" t="n">
        <f aca="false">IF(E1702&gt;0,F1702*1000000000/E1702,"")</f>
        <v>8409.01446350488</v>
      </c>
      <c r="AA1702" s="63" t="n">
        <f aca="false">IFERROR((R1702+S1702+J1702)/F1702,0)</f>
        <v>1</v>
      </c>
      <c r="AB1702" s="0" t="str">
        <f aca="false">A1702&amp;"|"&amp;D1702</f>
        <v>Saint Pierre and Miquelon|2017</v>
      </c>
    </row>
    <row r="1703" customFormat="false" ht="15" hidden="false" customHeight="false" outlineLevel="0" collapsed="false">
      <c r="A1703" s="0" t="s">
        <v>343</v>
      </c>
      <c r="B1703" s="0" t="s">
        <v>582</v>
      </c>
      <c r="C1703" s="0" t="s">
        <v>127</v>
      </c>
      <c r="D1703" s="0" t="n">
        <v>2018</v>
      </c>
      <c r="E1703" s="59" t="n">
        <v>5932</v>
      </c>
      <c r="F1703" s="60" t="n">
        <v>0.05</v>
      </c>
      <c r="G1703" s="61" t="n">
        <v>0</v>
      </c>
      <c r="H1703" s="61" t="n">
        <v>0</v>
      </c>
      <c r="I1703" s="61" t="n">
        <v>0.05</v>
      </c>
      <c r="J1703" s="61" t="n">
        <v>0</v>
      </c>
      <c r="K1703" s="61" t="n">
        <v>0</v>
      </c>
      <c r="L1703" s="61" t="n">
        <v>0</v>
      </c>
      <c r="M1703" s="61" t="n">
        <v>0</v>
      </c>
      <c r="N1703" s="61" t="n">
        <v>0</v>
      </c>
      <c r="O1703" s="61" t="n">
        <v>0</v>
      </c>
      <c r="P1703" s="62" t="n">
        <v>600</v>
      </c>
      <c r="Q1703" s="0" t="n">
        <v>0</v>
      </c>
      <c r="R1703" s="60" t="n">
        <f aca="false">G1703+H1703+I1703</f>
        <v>0.05</v>
      </c>
      <c r="S1703" s="60" t="n">
        <f aca="false">K1703+L1703+M1703+N1703+O1703</f>
        <v>0</v>
      </c>
      <c r="T1703" s="60" t="n">
        <f aca="false">L1703+M1703</f>
        <v>0</v>
      </c>
      <c r="U1703" s="60" t="n">
        <f aca="false">S1703+J1703</f>
        <v>0</v>
      </c>
      <c r="V1703" s="63" t="n">
        <f aca="false">IFERROR(S1703/F1703,0)</f>
        <v>0</v>
      </c>
      <c r="W1703" s="63" t="n">
        <f aca="false">IFERROR(R1703/F1703,0)</f>
        <v>1</v>
      </c>
      <c r="X1703" s="63" t="n">
        <f aca="false">IFERROR(T1703/F1703,0)</f>
        <v>0</v>
      </c>
      <c r="Y1703" s="63" t="n">
        <f aca="false">IFERROR(G1703/F1703,0)</f>
        <v>0</v>
      </c>
      <c r="Z1703" s="59" t="n">
        <f aca="false">IF(E1703&gt;0,F1703*1000000000/E1703,"")</f>
        <v>8428.86041807148</v>
      </c>
      <c r="AA1703" s="63" t="n">
        <f aca="false">IFERROR((R1703+S1703+J1703)/F1703,0)</f>
        <v>1</v>
      </c>
      <c r="AB1703" s="0" t="str">
        <f aca="false">A1703&amp;"|"&amp;D1703</f>
        <v>Saint Pierre and Miquelon|2018</v>
      </c>
    </row>
    <row r="1704" customFormat="false" ht="15" hidden="false" customHeight="false" outlineLevel="0" collapsed="false">
      <c r="A1704" s="0" t="s">
        <v>343</v>
      </c>
      <c r="B1704" s="0" t="s">
        <v>582</v>
      </c>
      <c r="C1704" s="0" t="s">
        <v>127</v>
      </c>
      <c r="D1704" s="0" t="n">
        <v>2019</v>
      </c>
      <c r="E1704" s="59" t="n">
        <v>5899</v>
      </c>
      <c r="F1704" s="60" t="n">
        <v>0.05</v>
      </c>
      <c r="G1704" s="61" t="n">
        <v>0</v>
      </c>
      <c r="H1704" s="61" t="n">
        <v>0</v>
      </c>
      <c r="I1704" s="61" t="n">
        <v>0.05</v>
      </c>
      <c r="J1704" s="61" t="n">
        <v>0</v>
      </c>
      <c r="K1704" s="61" t="n">
        <v>0</v>
      </c>
      <c r="L1704" s="61" t="n">
        <v>0</v>
      </c>
      <c r="M1704" s="61" t="n">
        <v>0</v>
      </c>
      <c r="N1704" s="61" t="n">
        <v>0</v>
      </c>
      <c r="O1704" s="61" t="n">
        <v>0</v>
      </c>
      <c r="P1704" s="62" t="n">
        <v>600</v>
      </c>
      <c r="Q1704" s="0" t="n">
        <v>0</v>
      </c>
      <c r="R1704" s="60" t="n">
        <f aca="false">G1704+H1704+I1704</f>
        <v>0.05</v>
      </c>
      <c r="S1704" s="60" t="n">
        <f aca="false">K1704+L1704+M1704+N1704+O1704</f>
        <v>0</v>
      </c>
      <c r="T1704" s="60" t="n">
        <f aca="false">L1704+M1704</f>
        <v>0</v>
      </c>
      <c r="U1704" s="60" t="n">
        <f aca="false">S1704+J1704</f>
        <v>0</v>
      </c>
      <c r="V1704" s="63" t="n">
        <f aca="false">IFERROR(S1704/F1704,0)</f>
        <v>0</v>
      </c>
      <c r="W1704" s="63" t="n">
        <f aca="false">IFERROR(R1704/F1704,0)</f>
        <v>1</v>
      </c>
      <c r="X1704" s="63" t="n">
        <f aca="false">IFERROR(T1704/F1704,0)</f>
        <v>0</v>
      </c>
      <c r="Y1704" s="63" t="n">
        <f aca="false">IFERROR(G1704/F1704,0)</f>
        <v>0</v>
      </c>
      <c r="Z1704" s="59" t="n">
        <f aca="false">IF(E1704&gt;0,F1704*1000000000/E1704,"")</f>
        <v>8476.01288353958</v>
      </c>
      <c r="AA1704" s="63" t="n">
        <f aca="false">IFERROR((R1704+S1704+J1704)/F1704,0)</f>
        <v>1</v>
      </c>
      <c r="AB1704" s="0" t="str">
        <f aca="false">A1704&amp;"|"&amp;D1704</f>
        <v>Saint Pierre and Miquelon|2019</v>
      </c>
    </row>
    <row r="1705" customFormat="false" ht="15" hidden="false" customHeight="false" outlineLevel="0" collapsed="false">
      <c r="A1705" s="0" t="s">
        <v>343</v>
      </c>
      <c r="B1705" s="0" t="s">
        <v>582</v>
      </c>
      <c r="C1705" s="0" t="s">
        <v>127</v>
      </c>
      <c r="D1705" s="0" t="n">
        <v>2020</v>
      </c>
      <c r="E1705" s="59" t="n">
        <v>5852</v>
      </c>
      <c r="F1705" s="60" t="n">
        <v>0.05</v>
      </c>
      <c r="G1705" s="61" t="n">
        <v>0</v>
      </c>
      <c r="H1705" s="61" t="n">
        <v>0</v>
      </c>
      <c r="I1705" s="61" t="n">
        <v>0.05</v>
      </c>
      <c r="J1705" s="61" t="n">
        <v>0</v>
      </c>
      <c r="K1705" s="61" t="n">
        <v>0</v>
      </c>
      <c r="L1705" s="61" t="n">
        <v>0</v>
      </c>
      <c r="M1705" s="61" t="n">
        <v>0</v>
      </c>
      <c r="N1705" s="61" t="n">
        <v>0</v>
      </c>
      <c r="O1705" s="61" t="n">
        <v>0</v>
      </c>
      <c r="P1705" s="62" t="n">
        <v>600</v>
      </c>
      <c r="Q1705" s="0" t="n">
        <v>0</v>
      </c>
      <c r="R1705" s="60" t="n">
        <f aca="false">G1705+H1705+I1705</f>
        <v>0.05</v>
      </c>
      <c r="S1705" s="60" t="n">
        <f aca="false">K1705+L1705+M1705+N1705+O1705</f>
        <v>0</v>
      </c>
      <c r="T1705" s="60" t="n">
        <f aca="false">L1705+M1705</f>
        <v>0</v>
      </c>
      <c r="U1705" s="60" t="n">
        <f aca="false">S1705+J1705</f>
        <v>0</v>
      </c>
      <c r="V1705" s="63" t="n">
        <f aca="false">IFERROR(S1705/F1705,0)</f>
        <v>0</v>
      </c>
      <c r="W1705" s="63" t="n">
        <f aca="false">IFERROR(R1705/F1705,0)</f>
        <v>1</v>
      </c>
      <c r="X1705" s="63" t="n">
        <f aca="false">IFERROR(T1705/F1705,0)</f>
        <v>0</v>
      </c>
      <c r="Y1705" s="63" t="n">
        <f aca="false">IFERROR(G1705/F1705,0)</f>
        <v>0</v>
      </c>
      <c r="Z1705" s="59" t="n">
        <f aca="false">IF(E1705&gt;0,F1705*1000000000/E1705,"")</f>
        <v>8544.08749145591</v>
      </c>
      <c r="AA1705" s="63" t="n">
        <f aca="false">IFERROR((R1705+S1705+J1705)/F1705,0)</f>
        <v>1</v>
      </c>
      <c r="AB1705" s="0" t="str">
        <f aca="false">A1705&amp;"|"&amp;D1705</f>
        <v>Saint Pierre and Miquelon|2020</v>
      </c>
    </row>
    <row r="1706" customFormat="false" ht="15" hidden="false" customHeight="false" outlineLevel="0" collapsed="false">
      <c r="A1706" s="0" t="s">
        <v>343</v>
      </c>
      <c r="B1706" s="0" t="s">
        <v>582</v>
      </c>
      <c r="C1706" s="0" t="s">
        <v>127</v>
      </c>
      <c r="D1706" s="0" t="n">
        <v>2021</v>
      </c>
      <c r="E1706" s="59" t="n">
        <v>5802</v>
      </c>
      <c r="F1706" s="60" t="n">
        <v>0.05</v>
      </c>
      <c r="G1706" s="61" t="n">
        <v>0</v>
      </c>
      <c r="H1706" s="61" t="n">
        <v>0</v>
      </c>
      <c r="I1706" s="61" t="n">
        <v>0.05</v>
      </c>
      <c r="J1706" s="61" t="n">
        <v>0</v>
      </c>
      <c r="K1706" s="61" t="n">
        <v>0</v>
      </c>
      <c r="L1706" s="61" t="n">
        <v>0</v>
      </c>
      <c r="M1706" s="61" t="n">
        <v>0</v>
      </c>
      <c r="N1706" s="61" t="n">
        <v>0</v>
      </c>
      <c r="O1706" s="61" t="n">
        <v>0</v>
      </c>
      <c r="P1706" s="62" t="n">
        <v>600</v>
      </c>
      <c r="Q1706" s="0" t="n">
        <v>0</v>
      </c>
      <c r="R1706" s="60" t="n">
        <f aca="false">G1706+H1706+I1706</f>
        <v>0.05</v>
      </c>
      <c r="S1706" s="60" t="n">
        <f aca="false">K1706+L1706+M1706+N1706+O1706</f>
        <v>0</v>
      </c>
      <c r="T1706" s="60" t="n">
        <f aca="false">L1706+M1706</f>
        <v>0</v>
      </c>
      <c r="U1706" s="60" t="n">
        <f aca="false">S1706+J1706</f>
        <v>0</v>
      </c>
      <c r="V1706" s="63" t="n">
        <f aca="false">IFERROR(S1706/F1706,0)</f>
        <v>0</v>
      </c>
      <c r="W1706" s="63" t="n">
        <f aca="false">IFERROR(R1706/F1706,0)</f>
        <v>1</v>
      </c>
      <c r="X1706" s="63" t="n">
        <f aca="false">IFERROR(T1706/F1706,0)</f>
        <v>0</v>
      </c>
      <c r="Y1706" s="63" t="n">
        <f aca="false">IFERROR(G1706/F1706,0)</f>
        <v>0</v>
      </c>
      <c r="Z1706" s="59" t="n">
        <f aca="false">IF(E1706&gt;0,F1706*1000000000/E1706,"")</f>
        <v>8617.71802826612</v>
      </c>
      <c r="AA1706" s="63" t="n">
        <f aca="false">IFERROR((R1706+S1706+J1706)/F1706,0)</f>
        <v>1</v>
      </c>
      <c r="AB1706" s="0" t="str">
        <f aca="false">A1706&amp;"|"&amp;D1706</f>
        <v>Saint Pierre and Miquelon|2021</v>
      </c>
    </row>
    <row r="1707" customFormat="false" ht="15" hidden="false" customHeight="false" outlineLevel="0" collapsed="false">
      <c r="A1707" s="0" t="s">
        <v>343</v>
      </c>
      <c r="B1707" s="0" t="s">
        <v>582</v>
      </c>
      <c r="C1707" s="0" t="s">
        <v>127</v>
      </c>
      <c r="D1707" s="0" t="n">
        <v>2022</v>
      </c>
      <c r="E1707" s="59" t="n">
        <v>5760</v>
      </c>
      <c r="F1707" s="60" t="n">
        <v>0.05</v>
      </c>
      <c r="G1707" s="61" t="n">
        <v>0</v>
      </c>
      <c r="H1707" s="61" t="n">
        <v>0</v>
      </c>
      <c r="I1707" s="61" t="n">
        <v>0.05</v>
      </c>
      <c r="J1707" s="61" t="n">
        <v>0</v>
      </c>
      <c r="K1707" s="61" t="n">
        <v>0</v>
      </c>
      <c r="L1707" s="61" t="n">
        <v>0</v>
      </c>
      <c r="M1707" s="61" t="n">
        <v>0</v>
      </c>
      <c r="N1707" s="61" t="n">
        <v>0</v>
      </c>
      <c r="O1707" s="61" t="n">
        <v>0</v>
      </c>
      <c r="P1707" s="62" t="n">
        <v>600</v>
      </c>
      <c r="Q1707" s="0" t="n">
        <v>0</v>
      </c>
      <c r="R1707" s="60" t="n">
        <f aca="false">G1707+H1707+I1707</f>
        <v>0.05</v>
      </c>
      <c r="S1707" s="60" t="n">
        <f aca="false">K1707+L1707+M1707+N1707+O1707</f>
        <v>0</v>
      </c>
      <c r="T1707" s="60" t="n">
        <f aca="false">L1707+M1707</f>
        <v>0</v>
      </c>
      <c r="U1707" s="60" t="n">
        <f aca="false">S1707+J1707</f>
        <v>0</v>
      </c>
      <c r="V1707" s="63" t="n">
        <f aca="false">IFERROR(S1707/F1707,0)</f>
        <v>0</v>
      </c>
      <c r="W1707" s="63" t="n">
        <f aca="false">IFERROR(R1707/F1707,0)</f>
        <v>1</v>
      </c>
      <c r="X1707" s="63" t="n">
        <f aca="false">IFERROR(T1707/F1707,0)</f>
        <v>0</v>
      </c>
      <c r="Y1707" s="63" t="n">
        <f aca="false">IFERROR(G1707/F1707,0)</f>
        <v>0</v>
      </c>
      <c r="Z1707" s="59" t="n">
        <f aca="false">IF(E1707&gt;0,F1707*1000000000/E1707,"")</f>
        <v>8680.55555555556</v>
      </c>
      <c r="AA1707" s="63" t="n">
        <f aca="false">IFERROR((R1707+S1707+J1707)/F1707,0)</f>
        <v>1</v>
      </c>
      <c r="AB1707" s="0" t="str">
        <f aca="false">A1707&amp;"|"&amp;D1707</f>
        <v>Saint Pierre and Miquelon|2022</v>
      </c>
    </row>
    <row r="1708" customFormat="false" ht="15" hidden="false" customHeight="false" outlineLevel="0" collapsed="false">
      <c r="A1708" s="0" t="s">
        <v>343</v>
      </c>
      <c r="B1708" s="0" t="s">
        <v>582</v>
      </c>
      <c r="C1708" s="0" t="s">
        <v>127</v>
      </c>
      <c r="D1708" s="0" t="n">
        <v>2023</v>
      </c>
      <c r="E1708" s="59" t="n">
        <v>5707</v>
      </c>
      <c r="F1708" s="60" t="n">
        <v>0.05</v>
      </c>
      <c r="G1708" s="61" t="n">
        <v>0</v>
      </c>
      <c r="H1708" s="61" t="n">
        <v>0</v>
      </c>
      <c r="I1708" s="61" t="n">
        <v>0.05</v>
      </c>
      <c r="J1708" s="61" t="n">
        <v>0</v>
      </c>
      <c r="K1708" s="61" t="n">
        <v>0</v>
      </c>
      <c r="L1708" s="61" t="n">
        <v>0</v>
      </c>
      <c r="M1708" s="61" t="n">
        <v>0</v>
      </c>
      <c r="N1708" s="61" t="n">
        <v>0</v>
      </c>
      <c r="O1708" s="61" t="n">
        <v>0</v>
      </c>
      <c r="P1708" s="62" t="n">
        <v>600</v>
      </c>
      <c r="Q1708" s="0" t="n">
        <v>0</v>
      </c>
      <c r="R1708" s="60" t="n">
        <f aca="false">G1708+H1708+I1708</f>
        <v>0.05</v>
      </c>
      <c r="S1708" s="60" t="n">
        <f aca="false">K1708+L1708+M1708+N1708+O1708</f>
        <v>0</v>
      </c>
      <c r="T1708" s="60" t="n">
        <f aca="false">L1708+M1708</f>
        <v>0</v>
      </c>
      <c r="U1708" s="60" t="n">
        <f aca="false">S1708+J1708</f>
        <v>0</v>
      </c>
      <c r="V1708" s="63" t="n">
        <f aca="false">IFERROR(S1708/F1708,0)</f>
        <v>0</v>
      </c>
      <c r="W1708" s="63" t="n">
        <f aca="false">IFERROR(R1708/F1708,0)</f>
        <v>1</v>
      </c>
      <c r="X1708" s="63" t="n">
        <f aca="false">IFERROR(T1708/F1708,0)</f>
        <v>0</v>
      </c>
      <c r="Y1708" s="63" t="n">
        <f aca="false">IFERROR(G1708/F1708,0)</f>
        <v>0</v>
      </c>
      <c r="Z1708" s="59" t="n">
        <f aca="false">IF(E1708&gt;0,F1708*1000000000/E1708,"")</f>
        <v>8761.17049237778</v>
      </c>
      <c r="AA1708" s="63" t="n">
        <f aca="false">IFERROR((R1708+S1708+J1708)/F1708,0)</f>
        <v>1</v>
      </c>
      <c r="AB1708" s="0" t="str">
        <f aca="false">A1708&amp;"|"&amp;D1708</f>
        <v>Saint Pierre and Miquelon|2023</v>
      </c>
    </row>
    <row r="1709" customFormat="false" ht="15" hidden="false" customHeight="false" outlineLevel="0" collapsed="false">
      <c r="A1709" s="0" t="s">
        <v>344</v>
      </c>
      <c r="B1709" s="0" t="s">
        <v>583</v>
      </c>
      <c r="C1709" s="0" t="s">
        <v>127</v>
      </c>
      <c r="D1709" s="0" t="n">
        <v>2015</v>
      </c>
      <c r="E1709" s="59" t="n">
        <v>106975</v>
      </c>
      <c r="F1709" s="60" t="n">
        <v>0.15</v>
      </c>
      <c r="G1709" s="61" t="n">
        <v>0</v>
      </c>
      <c r="H1709" s="61" t="n">
        <v>0</v>
      </c>
      <c r="I1709" s="61" t="n">
        <v>0.13</v>
      </c>
      <c r="J1709" s="61" t="n">
        <v>0</v>
      </c>
      <c r="K1709" s="61" t="n">
        <v>0.02</v>
      </c>
      <c r="L1709" s="61" t="n">
        <v>0</v>
      </c>
      <c r="M1709" s="61" t="n">
        <v>0</v>
      </c>
      <c r="N1709" s="61" t="n">
        <v>0</v>
      </c>
      <c r="O1709" s="61" t="n">
        <v>0</v>
      </c>
      <c r="P1709" s="62" t="n">
        <v>600</v>
      </c>
      <c r="Q1709" s="0" t="n">
        <v>0</v>
      </c>
      <c r="R1709" s="60" t="n">
        <f aca="false">G1709+H1709+I1709</f>
        <v>0.13</v>
      </c>
      <c r="S1709" s="60" t="n">
        <f aca="false">K1709+L1709+M1709+N1709+O1709</f>
        <v>0.02</v>
      </c>
      <c r="T1709" s="60" t="n">
        <f aca="false">L1709+M1709</f>
        <v>0</v>
      </c>
      <c r="U1709" s="60" t="n">
        <f aca="false">S1709+J1709</f>
        <v>0.02</v>
      </c>
      <c r="V1709" s="63" t="n">
        <f aca="false">IFERROR(S1709/F1709,0)</f>
        <v>0.133333333333333</v>
      </c>
      <c r="W1709" s="63" t="n">
        <f aca="false">IFERROR(R1709/F1709,0)</f>
        <v>0.866666666666667</v>
      </c>
      <c r="X1709" s="63" t="n">
        <f aca="false">IFERROR(T1709/F1709,0)</f>
        <v>0</v>
      </c>
      <c r="Y1709" s="63" t="n">
        <f aca="false">IFERROR(G1709/F1709,0)</f>
        <v>0</v>
      </c>
      <c r="Z1709" s="59" t="n">
        <f aca="false">IF(E1709&gt;0,F1709*1000000000/E1709,"")</f>
        <v>1402.19677494742</v>
      </c>
      <c r="AA1709" s="63" t="n">
        <f aca="false">IFERROR((R1709+S1709+J1709)/F1709,0)</f>
        <v>1</v>
      </c>
      <c r="AB1709" s="0" t="str">
        <f aca="false">A1709&amp;"|"&amp;D1709</f>
        <v>Saint Vincent and the Grenadines|2015</v>
      </c>
    </row>
    <row r="1710" customFormat="false" ht="15" hidden="false" customHeight="false" outlineLevel="0" collapsed="false">
      <c r="A1710" s="0" t="s">
        <v>344</v>
      </c>
      <c r="B1710" s="0" t="s">
        <v>583</v>
      </c>
      <c r="C1710" s="0" t="s">
        <v>127</v>
      </c>
      <c r="D1710" s="0" t="n">
        <v>2016</v>
      </c>
      <c r="E1710" s="59" t="n">
        <v>106365</v>
      </c>
      <c r="F1710" s="60" t="n">
        <v>0.16</v>
      </c>
      <c r="G1710" s="61" t="n">
        <v>0</v>
      </c>
      <c r="H1710" s="61" t="n">
        <v>0</v>
      </c>
      <c r="I1710" s="61" t="n">
        <v>0.14</v>
      </c>
      <c r="J1710" s="61" t="n">
        <v>0</v>
      </c>
      <c r="K1710" s="61" t="n">
        <v>0.02</v>
      </c>
      <c r="L1710" s="61" t="n">
        <v>0</v>
      </c>
      <c r="M1710" s="61" t="n">
        <v>0</v>
      </c>
      <c r="N1710" s="61" t="n">
        <v>0</v>
      </c>
      <c r="O1710" s="61" t="n">
        <v>0</v>
      </c>
      <c r="P1710" s="62" t="n">
        <v>562.5</v>
      </c>
      <c r="Q1710" s="0" t="n">
        <v>0</v>
      </c>
      <c r="R1710" s="60" t="n">
        <f aca="false">G1710+H1710+I1710</f>
        <v>0.14</v>
      </c>
      <c r="S1710" s="60" t="n">
        <f aca="false">K1710+L1710+M1710+N1710+O1710</f>
        <v>0.02</v>
      </c>
      <c r="T1710" s="60" t="n">
        <f aca="false">L1710+M1710</f>
        <v>0</v>
      </c>
      <c r="U1710" s="60" t="n">
        <f aca="false">S1710+J1710</f>
        <v>0.02</v>
      </c>
      <c r="V1710" s="63" t="n">
        <f aca="false">IFERROR(S1710/F1710,0)</f>
        <v>0.125</v>
      </c>
      <c r="W1710" s="63" t="n">
        <f aca="false">IFERROR(R1710/F1710,0)</f>
        <v>0.875</v>
      </c>
      <c r="X1710" s="63" t="n">
        <f aca="false">IFERROR(T1710/F1710,0)</f>
        <v>0</v>
      </c>
      <c r="Y1710" s="63" t="n">
        <f aca="false">IFERROR(G1710/F1710,0)</f>
        <v>0</v>
      </c>
      <c r="Z1710" s="59" t="n">
        <f aca="false">IF(E1710&gt;0,F1710*1000000000/E1710,"")</f>
        <v>1504.254218963</v>
      </c>
      <c r="AA1710" s="63" t="n">
        <f aca="false">IFERROR((R1710+S1710+J1710)/F1710,0)</f>
        <v>1</v>
      </c>
      <c r="AB1710" s="0" t="str">
        <f aca="false">A1710&amp;"|"&amp;D1710</f>
        <v>Saint Vincent and the Grenadines|2016</v>
      </c>
    </row>
    <row r="1711" customFormat="false" ht="15" hidden="false" customHeight="false" outlineLevel="0" collapsed="false">
      <c r="A1711" s="0" t="s">
        <v>344</v>
      </c>
      <c r="B1711" s="0" t="s">
        <v>583</v>
      </c>
      <c r="C1711" s="0" t="s">
        <v>127</v>
      </c>
      <c r="D1711" s="0" t="n">
        <v>2017</v>
      </c>
      <c r="E1711" s="59" t="n">
        <v>105674</v>
      </c>
      <c r="F1711" s="60" t="n">
        <v>0.15</v>
      </c>
      <c r="G1711" s="61" t="n">
        <v>0</v>
      </c>
      <c r="H1711" s="61" t="n">
        <v>0</v>
      </c>
      <c r="I1711" s="61" t="n">
        <v>0.13</v>
      </c>
      <c r="J1711" s="61" t="n">
        <v>0</v>
      </c>
      <c r="K1711" s="61" t="n">
        <v>0.02</v>
      </c>
      <c r="L1711" s="61" t="n">
        <v>0</v>
      </c>
      <c r="M1711" s="61" t="n">
        <v>0</v>
      </c>
      <c r="N1711" s="61" t="n">
        <v>0</v>
      </c>
      <c r="O1711" s="61" t="n">
        <v>0</v>
      </c>
      <c r="P1711" s="62" t="n">
        <v>600</v>
      </c>
      <c r="Q1711" s="0" t="n">
        <v>0</v>
      </c>
      <c r="R1711" s="60" t="n">
        <f aca="false">G1711+H1711+I1711</f>
        <v>0.13</v>
      </c>
      <c r="S1711" s="60" t="n">
        <f aca="false">K1711+L1711+M1711+N1711+O1711</f>
        <v>0.02</v>
      </c>
      <c r="T1711" s="60" t="n">
        <f aca="false">L1711+M1711</f>
        <v>0</v>
      </c>
      <c r="U1711" s="60" t="n">
        <f aca="false">S1711+J1711</f>
        <v>0.02</v>
      </c>
      <c r="V1711" s="63" t="n">
        <f aca="false">IFERROR(S1711/F1711,0)</f>
        <v>0.133333333333333</v>
      </c>
      <c r="W1711" s="63" t="n">
        <f aca="false">IFERROR(R1711/F1711,0)</f>
        <v>0.866666666666667</v>
      </c>
      <c r="X1711" s="63" t="n">
        <f aca="false">IFERROR(T1711/F1711,0)</f>
        <v>0</v>
      </c>
      <c r="Y1711" s="63" t="n">
        <f aca="false">IFERROR(G1711/F1711,0)</f>
        <v>0</v>
      </c>
      <c r="Z1711" s="59" t="n">
        <f aca="false">IF(E1711&gt;0,F1711*1000000000/E1711,"")</f>
        <v>1419.45984821243</v>
      </c>
      <c r="AA1711" s="63" t="n">
        <f aca="false">IFERROR((R1711+S1711+J1711)/F1711,0)</f>
        <v>1</v>
      </c>
      <c r="AB1711" s="0" t="str">
        <f aca="false">A1711&amp;"|"&amp;D1711</f>
        <v>Saint Vincent and the Grenadines|2017</v>
      </c>
    </row>
    <row r="1712" customFormat="false" ht="15" hidden="false" customHeight="false" outlineLevel="0" collapsed="false">
      <c r="A1712" s="0" t="s">
        <v>344</v>
      </c>
      <c r="B1712" s="0" t="s">
        <v>583</v>
      </c>
      <c r="C1712" s="0" t="s">
        <v>127</v>
      </c>
      <c r="D1712" s="0" t="n">
        <v>2018</v>
      </c>
      <c r="E1712" s="59" t="n">
        <v>104939</v>
      </c>
      <c r="F1712" s="60" t="n">
        <v>0.15</v>
      </c>
      <c r="G1712" s="61" t="n">
        <v>0</v>
      </c>
      <c r="H1712" s="61" t="n">
        <v>0</v>
      </c>
      <c r="I1712" s="61" t="n">
        <v>0.13</v>
      </c>
      <c r="J1712" s="61" t="n">
        <v>0</v>
      </c>
      <c r="K1712" s="61" t="n">
        <v>0.02</v>
      </c>
      <c r="L1712" s="61" t="n">
        <v>0</v>
      </c>
      <c r="M1712" s="61" t="n">
        <v>0</v>
      </c>
      <c r="N1712" s="61" t="n">
        <v>0</v>
      </c>
      <c r="O1712" s="61" t="n">
        <v>0</v>
      </c>
      <c r="P1712" s="62" t="n">
        <v>600</v>
      </c>
      <c r="Q1712" s="0" t="n">
        <v>0</v>
      </c>
      <c r="R1712" s="60" t="n">
        <f aca="false">G1712+H1712+I1712</f>
        <v>0.13</v>
      </c>
      <c r="S1712" s="60" t="n">
        <f aca="false">K1712+L1712+M1712+N1712+O1712</f>
        <v>0.02</v>
      </c>
      <c r="T1712" s="60" t="n">
        <f aca="false">L1712+M1712</f>
        <v>0</v>
      </c>
      <c r="U1712" s="60" t="n">
        <f aca="false">S1712+J1712</f>
        <v>0.02</v>
      </c>
      <c r="V1712" s="63" t="n">
        <f aca="false">IFERROR(S1712/F1712,0)</f>
        <v>0.133333333333333</v>
      </c>
      <c r="W1712" s="63" t="n">
        <f aca="false">IFERROR(R1712/F1712,0)</f>
        <v>0.866666666666667</v>
      </c>
      <c r="X1712" s="63" t="n">
        <f aca="false">IFERROR(T1712/F1712,0)</f>
        <v>0</v>
      </c>
      <c r="Y1712" s="63" t="n">
        <f aca="false">IFERROR(G1712/F1712,0)</f>
        <v>0</v>
      </c>
      <c r="Z1712" s="59" t="n">
        <f aca="false">IF(E1712&gt;0,F1712*1000000000/E1712,"")</f>
        <v>1429.40184297544</v>
      </c>
      <c r="AA1712" s="63" t="n">
        <f aca="false">IFERROR((R1712+S1712+J1712)/F1712,0)</f>
        <v>1</v>
      </c>
      <c r="AB1712" s="0" t="str">
        <f aca="false">A1712&amp;"|"&amp;D1712</f>
        <v>Saint Vincent and the Grenadines|2018</v>
      </c>
    </row>
    <row r="1713" customFormat="false" ht="15" hidden="false" customHeight="false" outlineLevel="0" collapsed="false">
      <c r="A1713" s="0" t="s">
        <v>344</v>
      </c>
      <c r="B1713" s="0" t="s">
        <v>583</v>
      </c>
      <c r="C1713" s="0" t="s">
        <v>127</v>
      </c>
      <c r="D1713" s="0" t="n">
        <v>2019</v>
      </c>
      <c r="E1713" s="59" t="n">
        <v>104183</v>
      </c>
      <c r="F1713" s="60" t="n">
        <v>0.15</v>
      </c>
      <c r="G1713" s="61" t="n">
        <v>0</v>
      </c>
      <c r="H1713" s="61" t="n">
        <v>0</v>
      </c>
      <c r="I1713" s="61" t="n">
        <v>0.13</v>
      </c>
      <c r="J1713" s="61" t="n">
        <v>0</v>
      </c>
      <c r="K1713" s="61" t="n">
        <v>0.02</v>
      </c>
      <c r="L1713" s="61" t="n">
        <v>0</v>
      </c>
      <c r="M1713" s="61" t="n">
        <v>0</v>
      </c>
      <c r="N1713" s="61" t="n">
        <v>0</v>
      </c>
      <c r="O1713" s="61" t="n">
        <v>0</v>
      </c>
      <c r="P1713" s="62" t="n">
        <v>600</v>
      </c>
      <c r="Q1713" s="0" t="n">
        <v>0</v>
      </c>
      <c r="R1713" s="60" t="n">
        <f aca="false">G1713+H1713+I1713</f>
        <v>0.13</v>
      </c>
      <c r="S1713" s="60" t="n">
        <f aca="false">K1713+L1713+M1713+N1713+O1713</f>
        <v>0.02</v>
      </c>
      <c r="T1713" s="60" t="n">
        <f aca="false">L1713+M1713</f>
        <v>0</v>
      </c>
      <c r="U1713" s="60" t="n">
        <f aca="false">S1713+J1713</f>
        <v>0.02</v>
      </c>
      <c r="V1713" s="63" t="n">
        <f aca="false">IFERROR(S1713/F1713,0)</f>
        <v>0.133333333333333</v>
      </c>
      <c r="W1713" s="63" t="n">
        <f aca="false">IFERROR(R1713/F1713,0)</f>
        <v>0.866666666666667</v>
      </c>
      <c r="X1713" s="63" t="n">
        <f aca="false">IFERROR(T1713/F1713,0)</f>
        <v>0</v>
      </c>
      <c r="Y1713" s="63" t="n">
        <f aca="false">IFERROR(G1713/F1713,0)</f>
        <v>0</v>
      </c>
      <c r="Z1713" s="59" t="n">
        <f aca="false">IF(E1713&gt;0,F1713*1000000000/E1713,"")</f>
        <v>1439.77424339864</v>
      </c>
      <c r="AA1713" s="63" t="n">
        <f aca="false">IFERROR((R1713+S1713+J1713)/F1713,0)</f>
        <v>1</v>
      </c>
      <c r="AB1713" s="0" t="str">
        <f aca="false">A1713&amp;"|"&amp;D1713</f>
        <v>Saint Vincent and the Grenadines|2019</v>
      </c>
    </row>
    <row r="1714" customFormat="false" ht="15" hidden="false" customHeight="false" outlineLevel="0" collapsed="false">
      <c r="A1714" s="0" t="s">
        <v>344</v>
      </c>
      <c r="B1714" s="0" t="s">
        <v>583</v>
      </c>
      <c r="C1714" s="0" t="s">
        <v>127</v>
      </c>
      <c r="D1714" s="0" t="n">
        <v>2020</v>
      </c>
      <c r="E1714" s="59" t="n">
        <v>103540</v>
      </c>
      <c r="F1714" s="60" t="n">
        <v>0.15</v>
      </c>
      <c r="G1714" s="61" t="n">
        <v>0</v>
      </c>
      <c r="H1714" s="61" t="n">
        <v>0</v>
      </c>
      <c r="I1714" s="61" t="n">
        <v>0.13</v>
      </c>
      <c r="J1714" s="61" t="n">
        <v>0</v>
      </c>
      <c r="K1714" s="61" t="n">
        <v>0.02</v>
      </c>
      <c r="L1714" s="61" t="n">
        <v>0</v>
      </c>
      <c r="M1714" s="61" t="n">
        <v>0</v>
      </c>
      <c r="N1714" s="61" t="n">
        <v>0</v>
      </c>
      <c r="O1714" s="61" t="n">
        <v>0</v>
      </c>
      <c r="P1714" s="62" t="n">
        <v>600</v>
      </c>
      <c r="Q1714" s="0" t="n">
        <v>0</v>
      </c>
      <c r="R1714" s="60" t="n">
        <f aca="false">G1714+H1714+I1714</f>
        <v>0.13</v>
      </c>
      <c r="S1714" s="60" t="n">
        <f aca="false">K1714+L1714+M1714+N1714+O1714</f>
        <v>0.02</v>
      </c>
      <c r="T1714" s="60" t="n">
        <f aca="false">L1714+M1714</f>
        <v>0</v>
      </c>
      <c r="U1714" s="60" t="n">
        <f aca="false">S1714+J1714</f>
        <v>0.02</v>
      </c>
      <c r="V1714" s="63" t="n">
        <f aca="false">IFERROR(S1714/F1714,0)</f>
        <v>0.133333333333333</v>
      </c>
      <c r="W1714" s="63" t="n">
        <f aca="false">IFERROR(R1714/F1714,0)</f>
        <v>0.866666666666667</v>
      </c>
      <c r="X1714" s="63" t="n">
        <f aca="false">IFERROR(T1714/F1714,0)</f>
        <v>0</v>
      </c>
      <c r="Y1714" s="63" t="n">
        <f aca="false">IFERROR(G1714/F1714,0)</f>
        <v>0</v>
      </c>
      <c r="Z1714" s="59" t="n">
        <f aca="false">IF(E1714&gt;0,F1714*1000000000/E1714,"")</f>
        <v>1448.71547228124</v>
      </c>
      <c r="AA1714" s="63" t="n">
        <f aca="false">IFERROR((R1714+S1714+J1714)/F1714,0)</f>
        <v>1</v>
      </c>
      <c r="AB1714" s="0" t="str">
        <f aca="false">A1714&amp;"|"&amp;D1714</f>
        <v>Saint Vincent and the Grenadines|2020</v>
      </c>
    </row>
    <row r="1715" customFormat="false" ht="15" hidden="false" customHeight="false" outlineLevel="0" collapsed="false">
      <c r="A1715" s="0" t="s">
        <v>344</v>
      </c>
      <c r="B1715" s="0" t="s">
        <v>583</v>
      </c>
      <c r="C1715" s="0" t="s">
        <v>127</v>
      </c>
      <c r="D1715" s="0" t="n">
        <v>2021</v>
      </c>
      <c r="E1715" s="59" t="n">
        <v>102848</v>
      </c>
      <c r="F1715" s="60" t="n">
        <v>0.14</v>
      </c>
      <c r="G1715" s="61" t="n">
        <v>0</v>
      </c>
      <c r="H1715" s="61" t="n">
        <v>0</v>
      </c>
      <c r="I1715" s="61" t="n">
        <v>0.12</v>
      </c>
      <c r="J1715" s="61" t="n">
        <v>0</v>
      </c>
      <c r="K1715" s="61" t="n">
        <v>0.02</v>
      </c>
      <c r="L1715" s="61" t="n">
        <v>0</v>
      </c>
      <c r="M1715" s="61" t="n">
        <v>0</v>
      </c>
      <c r="N1715" s="61" t="n">
        <v>0</v>
      </c>
      <c r="O1715" s="61" t="n">
        <v>0</v>
      </c>
      <c r="P1715" s="62" t="n">
        <v>571.4</v>
      </c>
      <c r="Q1715" s="0" t="n">
        <v>0</v>
      </c>
      <c r="R1715" s="60" t="n">
        <f aca="false">G1715+H1715+I1715</f>
        <v>0.12</v>
      </c>
      <c r="S1715" s="60" t="n">
        <f aca="false">K1715+L1715+M1715+N1715+O1715</f>
        <v>0.02</v>
      </c>
      <c r="T1715" s="60" t="n">
        <f aca="false">L1715+M1715</f>
        <v>0</v>
      </c>
      <c r="U1715" s="60" t="n">
        <f aca="false">S1715+J1715</f>
        <v>0.02</v>
      </c>
      <c r="V1715" s="63" t="n">
        <f aca="false">IFERROR(S1715/F1715,0)</f>
        <v>0.142857142857143</v>
      </c>
      <c r="W1715" s="63" t="n">
        <f aca="false">IFERROR(R1715/F1715,0)</f>
        <v>0.857142857142857</v>
      </c>
      <c r="X1715" s="63" t="n">
        <f aca="false">IFERROR(T1715/F1715,0)</f>
        <v>0</v>
      </c>
      <c r="Y1715" s="63" t="n">
        <f aca="false">IFERROR(G1715/F1715,0)</f>
        <v>0</v>
      </c>
      <c r="Z1715" s="59" t="n">
        <f aca="false">IF(E1715&gt;0,F1715*1000000000/E1715,"")</f>
        <v>1361.23210952085</v>
      </c>
      <c r="AA1715" s="63" t="n">
        <f aca="false">IFERROR((R1715+S1715+J1715)/F1715,0)</f>
        <v>1</v>
      </c>
      <c r="AB1715" s="0" t="str">
        <f aca="false">A1715&amp;"|"&amp;D1715</f>
        <v>Saint Vincent and the Grenadines|2021</v>
      </c>
    </row>
    <row r="1716" customFormat="false" ht="15" hidden="false" customHeight="false" outlineLevel="0" collapsed="false">
      <c r="A1716" s="0" t="s">
        <v>344</v>
      </c>
      <c r="B1716" s="0" t="s">
        <v>583</v>
      </c>
      <c r="C1716" s="0" t="s">
        <v>127</v>
      </c>
      <c r="D1716" s="0" t="n">
        <v>2022</v>
      </c>
      <c r="E1716" s="59" t="n">
        <v>102063</v>
      </c>
      <c r="F1716" s="60" t="n">
        <v>0.15</v>
      </c>
      <c r="G1716" s="61" t="n">
        <v>0</v>
      </c>
      <c r="H1716" s="61" t="n">
        <v>0</v>
      </c>
      <c r="I1716" s="61" t="n">
        <v>0.13</v>
      </c>
      <c r="J1716" s="61" t="n">
        <v>0</v>
      </c>
      <c r="K1716" s="61" t="n">
        <v>0.02</v>
      </c>
      <c r="L1716" s="61" t="n">
        <v>0</v>
      </c>
      <c r="M1716" s="61" t="n">
        <v>0</v>
      </c>
      <c r="N1716" s="61" t="n">
        <v>0</v>
      </c>
      <c r="O1716" s="61" t="n">
        <v>0</v>
      </c>
      <c r="P1716" s="62" t="n">
        <v>600</v>
      </c>
      <c r="Q1716" s="0" t="n">
        <v>0</v>
      </c>
      <c r="R1716" s="60" t="n">
        <f aca="false">G1716+H1716+I1716</f>
        <v>0.13</v>
      </c>
      <c r="S1716" s="60" t="n">
        <f aca="false">K1716+L1716+M1716+N1716+O1716</f>
        <v>0.02</v>
      </c>
      <c r="T1716" s="60" t="n">
        <f aca="false">L1716+M1716</f>
        <v>0</v>
      </c>
      <c r="U1716" s="60" t="n">
        <f aca="false">S1716+J1716</f>
        <v>0.02</v>
      </c>
      <c r="V1716" s="63" t="n">
        <f aca="false">IFERROR(S1716/F1716,0)</f>
        <v>0.133333333333333</v>
      </c>
      <c r="W1716" s="63" t="n">
        <f aca="false">IFERROR(R1716/F1716,0)</f>
        <v>0.866666666666667</v>
      </c>
      <c r="X1716" s="63" t="n">
        <f aca="false">IFERROR(T1716/F1716,0)</f>
        <v>0</v>
      </c>
      <c r="Y1716" s="63" t="n">
        <f aca="false">IFERROR(G1716/F1716,0)</f>
        <v>0</v>
      </c>
      <c r="Z1716" s="59" t="n">
        <f aca="false">IF(E1716&gt;0,F1716*1000000000/E1716,"")</f>
        <v>1469.68049146116</v>
      </c>
      <c r="AA1716" s="63" t="n">
        <f aca="false">IFERROR((R1716+S1716+J1716)/F1716,0)</f>
        <v>1</v>
      </c>
      <c r="AB1716" s="0" t="str">
        <f aca="false">A1716&amp;"|"&amp;D1716</f>
        <v>Saint Vincent and the Grenadines|2022</v>
      </c>
    </row>
    <row r="1717" customFormat="false" ht="15" hidden="false" customHeight="false" outlineLevel="0" collapsed="false">
      <c r="A1717" s="0" t="s">
        <v>344</v>
      </c>
      <c r="B1717" s="0" t="s">
        <v>583</v>
      </c>
      <c r="C1717" s="0" t="s">
        <v>127</v>
      </c>
      <c r="D1717" s="0" t="n">
        <v>2023</v>
      </c>
      <c r="E1717" s="59" t="n">
        <v>101331</v>
      </c>
      <c r="F1717" s="60" t="n">
        <v>0.15</v>
      </c>
      <c r="G1717" s="61" t="n">
        <v>0</v>
      </c>
      <c r="H1717" s="61" t="n">
        <v>0</v>
      </c>
      <c r="I1717" s="61" t="n">
        <v>0.13</v>
      </c>
      <c r="J1717" s="61" t="n">
        <v>0</v>
      </c>
      <c r="K1717" s="61" t="n">
        <v>0.02</v>
      </c>
      <c r="L1717" s="61" t="n">
        <v>0</v>
      </c>
      <c r="M1717" s="61" t="n">
        <v>0</v>
      </c>
      <c r="N1717" s="61" t="n">
        <v>0</v>
      </c>
      <c r="O1717" s="61" t="n">
        <v>0</v>
      </c>
      <c r="P1717" s="62" t="n">
        <v>600</v>
      </c>
      <c r="Q1717" s="0" t="n">
        <v>0</v>
      </c>
      <c r="R1717" s="60" t="n">
        <f aca="false">G1717+H1717+I1717</f>
        <v>0.13</v>
      </c>
      <c r="S1717" s="60" t="n">
        <f aca="false">K1717+L1717+M1717+N1717+O1717</f>
        <v>0.02</v>
      </c>
      <c r="T1717" s="60" t="n">
        <f aca="false">L1717+M1717</f>
        <v>0</v>
      </c>
      <c r="U1717" s="60" t="n">
        <f aca="false">S1717+J1717</f>
        <v>0.02</v>
      </c>
      <c r="V1717" s="63" t="n">
        <f aca="false">IFERROR(S1717/F1717,0)</f>
        <v>0.133333333333333</v>
      </c>
      <c r="W1717" s="63" t="n">
        <f aca="false">IFERROR(R1717/F1717,0)</f>
        <v>0.866666666666667</v>
      </c>
      <c r="X1717" s="63" t="n">
        <f aca="false">IFERROR(T1717/F1717,0)</f>
        <v>0</v>
      </c>
      <c r="Y1717" s="63" t="n">
        <f aca="false">IFERROR(G1717/F1717,0)</f>
        <v>0</v>
      </c>
      <c r="Z1717" s="59" t="n">
        <f aca="false">IF(E1717&gt;0,F1717*1000000000/E1717,"")</f>
        <v>1480.29724368653</v>
      </c>
      <c r="AA1717" s="63" t="n">
        <f aca="false">IFERROR((R1717+S1717+J1717)/F1717,0)</f>
        <v>1</v>
      </c>
      <c r="AB1717" s="0" t="str">
        <f aca="false">A1717&amp;"|"&amp;D1717</f>
        <v>Saint Vincent and the Grenadines|2023</v>
      </c>
    </row>
    <row r="1718" customFormat="false" ht="15" hidden="false" customHeight="false" outlineLevel="0" collapsed="false">
      <c r="A1718" s="0" t="s">
        <v>344</v>
      </c>
      <c r="B1718" s="0" t="s">
        <v>583</v>
      </c>
      <c r="C1718" s="0" t="s">
        <v>127</v>
      </c>
      <c r="D1718" s="0" t="n">
        <v>2024</v>
      </c>
      <c r="E1718" s="59" t="n">
        <v>100630</v>
      </c>
      <c r="F1718" s="60" t="n">
        <v>0.15</v>
      </c>
      <c r="G1718" s="61" t="n">
        <v>0</v>
      </c>
      <c r="H1718" s="61" t="n">
        <v>0</v>
      </c>
      <c r="I1718" s="61" t="n">
        <v>0.13</v>
      </c>
      <c r="J1718" s="61" t="n">
        <v>0</v>
      </c>
      <c r="K1718" s="61" t="n">
        <v>0.02</v>
      </c>
      <c r="L1718" s="61" t="n">
        <v>0</v>
      </c>
      <c r="M1718" s="61" t="n">
        <v>0</v>
      </c>
      <c r="N1718" s="61" t="n">
        <v>0</v>
      </c>
      <c r="O1718" s="61" t="n">
        <v>0</v>
      </c>
      <c r="P1718" s="62" t="n">
        <v>600</v>
      </c>
      <c r="Q1718" s="0" t="n">
        <v>0</v>
      </c>
      <c r="R1718" s="60" t="n">
        <f aca="false">G1718+H1718+I1718</f>
        <v>0.13</v>
      </c>
      <c r="S1718" s="60" t="n">
        <f aca="false">K1718+L1718+M1718+N1718+O1718</f>
        <v>0.02</v>
      </c>
      <c r="T1718" s="60" t="n">
        <f aca="false">L1718+M1718</f>
        <v>0</v>
      </c>
      <c r="U1718" s="60" t="n">
        <f aca="false">S1718+J1718</f>
        <v>0.02</v>
      </c>
      <c r="V1718" s="63" t="n">
        <f aca="false">IFERROR(S1718/F1718,0)</f>
        <v>0.133333333333333</v>
      </c>
      <c r="W1718" s="63" t="n">
        <f aca="false">IFERROR(R1718/F1718,0)</f>
        <v>0.866666666666667</v>
      </c>
      <c r="X1718" s="63" t="n">
        <f aca="false">IFERROR(T1718/F1718,0)</f>
        <v>0</v>
      </c>
      <c r="Y1718" s="63" t="n">
        <f aca="false">IFERROR(G1718/F1718,0)</f>
        <v>0</v>
      </c>
      <c r="Z1718" s="59" t="n">
        <f aca="false">IF(E1718&gt;0,F1718*1000000000/E1718,"")</f>
        <v>1490.60916227765</v>
      </c>
      <c r="AA1718" s="63" t="n">
        <f aca="false">IFERROR((R1718+S1718+J1718)/F1718,0)</f>
        <v>1</v>
      </c>
      <c r="AB1718" s="0" t="str">
        <f aca="false">A1718&amp;"|"&amp;D1718</f>
        <v>Saint Vincent and the Grenadines|2024</v>
      </c>
    </row>
    <row r="1719" customFormat="false" ht="15" hidden="false" customHeight="false" outlineLevel="0" collapsed="false">
      <c r="A1719" s="0" t="s">
        <v>345</v>
      </c>
      <c r="B1719" s="0" t="s">
        <v>584</v>
      </c>
      <c r="C1719" s="0" t="s">
        <v>127</v>
      </c>
      <c r="D1719" s="0" t="n">
        <v>2015</v>
      </c>
      <c r="E1719" s="59" t="n">
        <v>201794</v>
      </c>
      <c r="F1719" s="60" t="n">
        <v>0.13</v>
      </c>
      <c r="G1719" s="61" t="n">
        <v>0</v>
      </c>
      <c r="H1719" s="61" t="n">
        <v>0</v>
      </c>
      <c r="I1719" s="61" t="n">
        <v>0.09</v>
      </c>
      <c r="J1719" s="61" t="n">
        <v>0</v>
      </c>
      <c r="K1719" s="61" t="n">
        <v>0.03</v>
      </c>
      <c r="L1719" s="61" t="n">
        <v>0.01</v>
      </c>
      <c r="M1719" s="61" t="n">
        <v>0</v>
      </c>
      <c r="N1719" s="61" t="n">
        <v>0</v>
      </c>
      <c r="O1719" s="61" t="n">
        <v>0</v>
      </c>
      <c r="P1719" s="62" t="n">
        <v>461.5</v>
      </c>
      <c r="Q1719" s="0" t="n">
        <v>0</v>
      </c>
      <c r="R1719" s="60" t="n">
        <f aca="false">G1719+H1719+I1719</f>
        <v>0.09</v>
      </c>
      <c r="S1719" s="60" t="n">
        <f aca="false">K1719+L1719+M1719+N1719+O1719</f>
        <v>0.04</v>
      </c>
      <c r="T1719" s="60" t="n">
        <f aca="false">L1719+M1719</f>
        <v>0.01</v>
      </c>
      <c r="U1719" s="60" t="n">
        <f aca="false">S1719+J1719</f>
        <v>0.04</v>
      </c>
      <c r="V1719" s="63" t="n">
        <f aca="false">IFERROR(S1719/F1719,0)</f>
        <v>0.307692307692308</v>
      </c>
      <c r="W1719" s="63" t="n">
        <f aca="false">IFERROR(R1719/F1719,0)</f>
        <v>0.692307692307692</v>
      </c>
      <c r="X1719" s="63" t="n">
        <f aca="false">IFERROR(T1719/F1719,0)</f>
        <v>0.0769230769230769</v>
      </c>
      <c r="Y1719" s="63" t="n">
        <f aca="false">IFERROR(G1719/F1719,0)</f>
        <v>0</v>
      </c>
      <c r="Z1719" s="59" t="n">
        <f aca="false">IF(E1719&gt;0,F1719*1000000000/E1719,"")</f>
        <v>644.221334628383</v>
      </c>
      <c r="AA1719" s="63" t="n">
        <f aca="false">IFERROR((R1719+S1719+J1719)/F1719,0)</f>
        <v>1</v>
      </c>
      <c r="AB1719" s="0" t="str">
        <f aca="false">A1719&amp;"|"&amp;D1719</f>
        <v>Samoa|2015</v>
      </c>
    </row>
    <row r="1720" customFormat="false" ht="15" hidden="false" customHeight="false" outlineLevel="0" collapsed="false">
      <c r="A1720" s="0" t="s">
        <v>345</v>
      </c>
      <c r="B1720" s="0" t="s">
        <v>584</v>
      </c>
      <c r="C1720" s="0" t="s">
        <v>127</v>
      </c>
      <c r="D1720" s="0" t="n">
        <v>2016</v>
      </c>
      <c r="E1720" s="59" t="n">
        <v>203509</v>
      </c>
      <c r="F1720" s="60" t="n">
        <v>0.15</v>
      </c>
      <c r="G1720" s="61" t="n">
        <v>0</v>
      </c>
      <c r="H1720" s="61" t="n">
        <v>0</v>
      </c>
      <c r="I1720" s="61" t="n">
        <v>0.1</v>
      </c>
      <c r="J1720" s="61" t="n">
        <v>0</v>
      </c>
      <c r="K1720" s="61" t="n">
        <v>0.03</v>
      </c>
      <c r="L1720" s="61" t="n">
        <v>0.02</v>
      </c>
      <c r="M1720" s="61" t="n">
        <v>0</v>
      </c>
      <c r="N1720" s="61" t="n">
        <v>0</v>
      </c>
      <c r="O1720" s="61" t="n">
        <v>0</v>
      </c>
      <c r="P1720" s="62" t="n">
        <v>466.7</v>
      </c>
      <c r="Q1720" s="0" t="n">
        <v>0</v>
      </c>
      <c r="R1720" s="60" t="n">
        <f aca="false">G1720+H1720+I1720</f>
        <v>0.1</v>
      </c>
      <c r="S1720" s="60" t="n">
        <f aca="false">K1720+L1720+M1720+N1720+O1720</f>
        <v>0.05</v>
      </c>
      <c r="T1720" s="60" t="n">
        <f aca="false">L1720+M1720</f>
        <v>0.02</v>
      </c>
      <c r="U1720" s="60" t="n">
        <f aca="false">S1720+J1720</f>
        <v>0.05</v>
      </c>
      <c r="V1720" s="63" t="n">
        <f aca="false">IFERROR(S1720/F1720,0)</f>
        <v>0.333333333333333</v>
      </c>
      <c r="W1720" s="63" t="n">
        <f aca="false">IFERROR(R1720/F1720,0)</f>
        <v>0.666666666666667</v>
      </c>
      <c r="X1720" s="63" t="n">
        <f aca="false">IFERROR(T1720/F1720,0)</f>
        <v>0.133333333333333</v>
      </c>
      <c r="Y1720" s="63" t="n">
        <f aca="false">IFERROR(G1720/F1720,0)</f>
        <v>0</v>
      </c>
      <c r="Z1720" s="59" t="n">
        <f aca="false">IF(E1720&gt;0,F1720*1000000000/E1720,"")</f>
        <v>737.068139492602</v>
      </c>
      <c r="AA1720" s="63" t="n">
        <f aca="false">IFERROR((R1720+S1720+J1720)/F1720,0)</f>
        <v>1</v>
      </c>
      <c r="AB1720" s="0" t="str">
        <f aca="false">A1720&amp;"|"&amp;D1720</f>
        <v>Samoa|2016</v>
      </c>
    </row>
    <row r="1721" customFormat="false" ht="15" hidden="false" customHeight="false" outlineLevel="0" collapsed="false">
      <c r="A1721" s="0" t="s">
        <v>345</v>
      </c>
      <c r="B1721" s="0" t="s">
        <v>584</v>
      </c>
      <c r="C1721" s="0" t="s">
        <v>127</v>
      </c>
      <c r="D1721" s="0" t="n">
        <v>2017</v>
      </c>
      <c r="E1721" s="59" t="n">
        <v>205423</v>
      </c>
      <c r="F1721" s="60" t="n">
        <v>0.16</v>
      </c>
      <c r="G1721" s="61" t="n">
        <v>0</v>
      </c>
      <c r="H1721" s="61" t="n">
        <v>0</v>
      </c>
      <c r="I1721" s="61" t="n">
        <v>0.11</v>
      </c>
      <c r="J1721" s="61" t="n">
        <v>0</v>
      </c>
      <c r="K1721" s="61" t="n">
        <v>0.03</v>
      </c>
      <c r="L1721" s="61" t="n">
        <v>0.02</v>
      </c>
      <c r="M1721" s="61" t="n">
        <v>0</v>
      </c>
      <c r="N1721" s="61" t="n">
        <v>0</v>
      </c>
      <c r="O1721" s="61" t="n">
        <v>0</v>
      </c>
      <c r="P1721" s="62" t="n">
        <v>437.5</v>
      </c>
      <c r="Q1721" s="0" t="n">
        <v>0</v>
      </c>
      <c r="R1721" s="60" t="n">
        <f aca="false">G1721+H1721+I1721</f>
        <v>0.11</v>
      </c>
      <c r="S1721" s="60" t="n">
        <f aca="false">K1721+L1721+M1721+N1721+O1721</f>
        <v>0.05</v>
      </c>
      <c r="T1721" s="60" t="n">
        <f aca="false">L1721+M1721</f>
        <v>0.02</v>
      </c>
      <c r="U1721" s="60" t="n">
        <f aca="false">S1721+J1721</f>
        <v>0.05</v>
      </c>
      <c r="V1721" s="63" t="n">
        <f aca="false">IFERROR(S1721/F1721,0)</f>
        <v>0.3125</v>
      </c>
      <c r="W1721" s="63" t="n">
        <f aca="false">IFERROR(R1721/F1721,0)</f>
        <v>0.6875</v>
      </c>
      <c r="X1721" s="63" t="n">
        <f aca="false">IFERROR(T1721/F1721,0)</f>
        <v>0.125</v>
      </c>
      <c r="Y1721" s="63" t="n">
        <f aca="false">IFERROR(G1721/F1721,0)</f>
        <v>0</v>
      </c>
      <c r="Z1721" s="59" t="n">
        <f aca="false">IF(E1721&gt;0,F1721*1000000000/E1721,"")</f>
        <v>778.880651144224</v>
      </c>
      <c r="AA1721" s="63" t="n">
        <f aca="false">IFERROR((R1721+S1721+J1721)/F1721,0)</f>
        <v>1</v>
      </c>
      <c r="AB1721" s="0" t="str">
        <f aca="false">A1721&amp;"|"&amp;D1721</f>
        <v>Samoa|2017</v>
      </c>
    </row>
    <row r="1722" customFormat="false" ht="15" hidden="false" customHeight="false" outlineLevel="0" collapsed="false">
      <c r="A1722" s="0" t="s">
        <v>345</v>
      </c>
      <c r="B1722" s="0" t="s">
        <v>584</v>
      </c>
      <c r="C1722" s="0" t="s">
        <v>127</v>
      </c>
      <c r="D1722" s="0" t="n">
        <v>2018</v>
      </c>
      <c r="E1722" s="59" t="n">
        <v>207595</v>
      </c>
      <c r="F1722" s="60" t="n">
        <v>0.15</v>
      </c>
      <c r="G1722" s="61" t="n">
        <v>0</v>
      </c>
      <c r="H1722" s="61" t="n">
        <v>0</v>
      </c>
      <c r="I1722" s="61" t="n">
        <v>0.09</v>
      </c>
      <c r="J1722" s="61" t="n">
        <v>0</v>
      </c>
      <c r="K1722" s="61" t="n">
        <v>0.04</v>
      </c>
      <c r="L1722" s="61" t="n">
        <v>0.02</v>
      </c>
      <c r="M1722" s="61" t="n">
        <v>0</v>
      </c>
      <c r="N1722" s="61" t="n">
        <v>0</v>
      </c>
      <c r="O1722" s="61" t="n">
        <v>0</v>
      </c>
      <c r="P1722" s="62" t="n">
        <v>400</v>
      </c>
      <c r="Q1722" s="0" t="n">
        <v>0</v>
      </c>
      <c r="R1722" s="60" t="n">
        <f aca="false">G1722+H1722+I1722</f>
        <v>0.09</v>
      </c>
      <c r="S1722" s="60" t="n">
        <f aca="false">K1722+L1722+M1722+N1722+O1722</f>
        <v>0.06</v>
      </c>
      <c r="T1722" s="60" t="n">
        <f aca="false">L1722+M1722</f>
        <v>0.02</v>
      </c>
      <c r="U1722" s="60" t="n">
        <f aca="false">S1722+J1722</f>
        <v>0.06</v>
      </c>
      <c r="V1722" s="63" t="n">
        <f aca="false">IFERROR(S1722/F1722,0)</f>
        <v>0.4</v>
      </c>
      <c r="W1722" s="63" t="n">
        <f aca="false">IFERROR(R1722/F1722,0)</f>
        <v>0.6</v>
      </c>
      <c r="X1722" s="63" t="n">
        <f aca="false">IFERROR(T1722/F1722,0)</f>
        <v>0.133333333333333</v>
      </c>
      <c r="Y1722" s="63" t="n">
        <f aca="false">IFERROR(G1722/F1722,0)</f>
        <v>0</v>
      </c>
      <c r="Z1722" s="59" t="n">
        <f aca="false">IF(E1722&gt;0,F1722*1000000000/E1722,"")</f>
        <v>722.560755316843</v>
      </c>
      <c r="AA1722" s="63" t="n">
        <f aca="false">IFERROR((R1722+S1722+J1722)/F1722,0)</f>
        <v>1</v>
      </c>
      <c r="AB1722" s="0" t="str">
        <f aca="false">A1722&amp;"|"&amp;D1722</f>
        <v>Samoa|2018</v>
      </c>
    </row>
    <row r="1723" customFormat="false" ht="15" hidden="false" customHeight="false" outlineLevel="0" collapsed="false">
      <c r="A1723" s="0" t="s">
        <v>345</v>
      </c>
      <c r="B1723" s="0" t="s">
        <v>584</v>
      </c>
      <c r="C1723" s="0" t="s">
        <v>127</v>
      </c>
      <c r="D1723" s="0" t="n">
        <v>2019</v>
      </c>
      <c r="E1723" s="59" t="n">
        <v>209794</v>
      </c>
      <c r="F1723" s="60" t="n">
        <v>0.17</v>
      </c>
      <c r="G1723" s="61" t="n">
        <v>0</v>
      </c>
      <c r="H1723" s="61" t="n">
        <v>0</v>
      </c>
      <c r="I1723" s="61" t="n">
        <v>0.1</v>
      </c>
      <c r="J1723" s="61" t="n">
        <v>0</v>
      </c>
      <c r="K1723" s="61" t="n">
        <v>0.05</v>
      </c>
      <c r="L1723" s="61" t="n">
        <v>0.02</v>
      </c>
      <c r="M1723" s="61" t="n">
        <v>0</v>
      </c>
      <c r="N1723" s="61" t="n">
        <v>0</v>
      </c>
      <c r="O1723" s="61" t="n">
        <v>0</v>
      </c>
      <c r="P1723" s="62" t="n">
        <v>411.8</v>
      </c>
      <c r="Q1723" s="0" t="n">
        <v>0</v>
      </c>
      <c r="R1723" s="60" t="n">
        <f aca="false">G1723+H1723+I1723</f>
        <v>0.1</v>
      </c>
      <c r="S1723" s="60" t="n">
        <f aca="false">K1723+L1723+M1723+N1723+O1723</f>
        <v>0.07</v>
      </c>
      <c r="T1723" s="60" t="n">
        <f aca="false">L1723+M1723</f>
        <v>0.02</v>
      </c>
      <c r="U1723" s="60" t="n">
        <f aca="false">S1723+J1723</f>
        <v>0.07</v>
      </c>
      <c r="V1723" s="63" t="n">
        <f aca="false">IFERROR(S1723/F1723,0)</f>
        <v>0.411764705882353</v>
      </c>
      <c r="W1723" s="63" t="n">
        <f aca="false">IFERROR(R1723/F1723,0)</f>
        <v>0.588235294117647</v>
      </c>
      <c r="X1723" s="63" t="n">
        <f aca="false">IFERROR(T1723/F1723,0)</f>
        <v>0.117647058823529</v>
      </c>
      <c r="Y1723" s="63" t="n">
        <f aca="false">IFERROR(G1723/F1723,0)</f>
        <v>0</v>
      </c>
      <c r="Z1723" s="59" t="n">
        <f aca="false">IF(E1723&gt;0,F1723*1000000000/E1723,"")</f>
        <v>810.318693575603</v>
      </c>
      <c r="AA1723" s="63" t="n">
        <f aca="false">IFERROR((R1723+S1723+J1723)/F1723,0)</f>
        <v>1</v>
      </c>
      <c r="AB1723" s="0" t="str">
        <f aca="false">A1723&amp;"|"&amp;D1723</f>
        <v>Samoa|2019</v>
      </c>
    </row>
    <row r="1724" customFormat="false" ht="15" hidden="false" customHeight="false" outlineLevel="0" collapsed="false">
      <c r="A1724" s="0" t="s">
        <v>345</v>
      </c>
      <c r="B1724" s="0" t="s">
        <v>584</v>
      </c>
      <c r="C1724" s="0" t="s">
        <v>127</v>
      </c>
      <c r="D1724" s="0" t="n">
        <v>2020</v>
      </c>
      <c r="E1724" s="59" t="n">
        <v>211957</v>
      </c>
      <c r="F1724" s="60" t="n">
        <v>0.18</v>
      </c>
      <c r="G1724" s="61" t="n">
        <v>0</v>
      </c>
      <c r="H1724" s="61" t="n">
        <v>0</v>
      </c>
      <c r="I1724" s="61" t="n">
        <v>0.11</v>
      </c>
      <c r="J1724" s="61" t="n">
        <v>0</v>
      </c>
      <c r="K1724" s="61" t="n">
        <v>0.05</v>
      </c>
      <c r="L1724" s="61" t="n">
        <v>0.02</v>
      </c>
      <c r="M1724" s="61" t="n">
        <v>0</v>
      </c>
      <c r="N1724" s="61" t="n">
        <v>0</v>
      </c>
      <c r="O1724" s="61" t="n">
        <v>0</v>
      </c>
      <c r="P1724" s="62" t="n">
        <v>388.9</v>
      </c>
      <c r="Q1724" s="0" t="n">
        <v>0</v>
      </c>
      <c r="R1724" s="60" t="n">
        <f aca="false">G1724+H1724+I1724</f>
        <v>0.11</v>
      </c>
      <c r="S1724" s="60" t="n">
        <f aca="false">K1724+L1724+M1724+N1724+O1724</f>
        <v>0.07</v>
      </c>
      <c r="T1724" s="60" t="n">
        <f aca="false">L1724+M1724</f>
        <v>0.02</v>
      </c>
      <c r="U1724" s="60" t="n">
        <f aca="false">S1724+J1724</f>
        <v>0.07</v>
      </c>
      <c r="V1724" s="63" t="n">
        <f aca="false">IFERROR(S1724/F1724,0)</f>
        <v>0.388888888888889</v>
      </c>
      <c r="W1724" s="63" t="n">
        <f aca="false">IFERROR(R1724/F1724,0)</f>
        <v>0.611111111111111</v>
      </c>
      <c r="X1724" s="63" t="n">
        <f aca="false">IFERROR(T1724/F1724,0)</f>
        <v>0.111111111111111</v>
      </c>
      <c r="Y1724" s="63" t="n">
        <f aca="false">IFERROR(G1724/F1724,0)</f>
        <v>0</v>
      </c>
      <c r="Z1724" s="59" t="n">
        <f aca="false">IF(E1724&gt;0,F1724*1000000000/E1724,"")</f>
        <v>849.228853022075</v>
      </c>
      <c r="AA1724" s="63" t="n">
        <f aca="false">IFERROR((R1724+S1724+J1724)/F1724,0)</f>
        <v>1</v>
      </c>
      <c r="AB1724" s="0" t="str">
        <f aca="false">A1724&amp;"|"&amp;D1724</f>
        <v>Samoa|2020</v>
      </c>
    </row>
    <row r="1725" customFormat="false" ht="15" hidden="false" customHeight="false" outlineLevel="0" collapsed="false">
      <c r="A1725" s="0" t="s">
        <v>345</v>
      </c>
      <c r="B1725" s="0" t="s">
        <v>584</v>
      </c>
      <c r="C1725" s="0" t="s">
        <v>127</v>
      </c>
      <c r="D1725" s="0" t="n">
        <v>2021</v>
      </c>
      <c r="E1725" s="59" t="n">
        <v>213792</v>
      </c>
      <c r="F1725" s="60" t="n">
        <v>0.17</v>
      </c>
      <c r="G1725" s="61" t="n">
        <v>0</v>
      </c>
      <c r="H1725" s="61" t="n">
        <v>0</v>
      </c>
      <c r="I1725" s="61" t="n">
        <v>0.09</v>
      </c>
      <c r="J1725" s="61" t="n">
        <v>0</v>
      </c>
      <c r="K1725" s="61" t="n">
        <v>0.05</v>
      </c>
      <c r="L1725" s="61" t="n">
        <v>0.02</v>
      </c>
      <c r="M1725" s="61" t="n">
        <v>0</v>
      </c>
      <c r="N1725" s="61" t="n">
        <v>0.01</v>
      </c>
      <c r="O1725" s="61" t="n">
        <v>0</v>
      </c>
      <c r="P1725" s="62" t="n">
        <v>352.9</v>
      </c>
      <c r="Q1725" s="0" t="n">
        <v>0</v>
      </c>
      <c r="R1725" s="60" t="n">
        <f aca="false">G1725+H1725+I1725</f>
        <v>0.09</v>
      </c>
      <c r="S1725" s="60" t="n">
        <f aca="false">K1725+L1725+M1725+N1725+O1725</f>
        <v>0.08</v>
      </c>
      <c r="T1725" s="60" t="n">
        <f aca="false">L1725+M1725</f>
        <v>0.02</v>
      </c>
      <c r="U1725" s="60" t="n">
        <f aca="false">S1725+J1725</f>
        <v>0.08</v>
      </c>
      <c r="V1725" s="63" t="n">
        <f aca="false">IFERROR(S1725/F1725,0)</f>
        <v>0.470588235294118</v>
      </c>
      <c r="W1725" s="63" t="n">
        <f aca="false">IFERROR(R1725/F1725,0)</f>
        <v>0.529411764705882</v>
      </c>
      <c r="X1725" s="63" t="n">
        <f aca="false">IFERROR(T1725/F1725,0)</f>
        <v>0.117647058823529</v>
      </c>
      <c r="Y1725" s="63" t="n">
        <f aca="false">IFERROR(G1725/F1725,0)</f>
        <v>0</v>
      </c>
      <c r="Z1725" s="59" t="n">
        <f aca="false">IF(E1725&gt;0,F1725*1000000000/E1725,"")</f>
        <v>795.165394402036</v>
      </c>
      <c r="AA1725" s="63" t="n">
        <f aca="false">IFERROR((R1725+S1725+J1725)/F1725,0)</f>
        <v>1</v>
      </c>
      <c r="AB1725" s="0" t="str">
        <f aca="false">A1725&amp;"|"&amp;D1725</f>
        <v>Samoa|2021</v>
      </c>
    </row>
    <row r="1726" customFormat="false" ht="15" hidden="false" customHeight="false" outlineLevel="0" collapsed="false">
      <c r="A1726" s="0" t="s">
        <v>345</v>
      </c>
      <c r="B1726" s="0" t="s">
        <v>584</v>
      </c>
      <c r="C1726" s="0" t="s">
        <v>127</v>
      </c>
      <c r="D1726" s="0" t="n">
        <v>2022</v>
      </c>
      <c r="E1726" s="59" t="n">
        <v>215270</v>
      </c>
      <c r="F1726" s="60" t="n">
        <v>0.16</v>
      </c>
      <c r="G1726" s="61" t="n">
        <v>0</v>
      </c>
      <c r="H1726" s="61" t="n">
        <v>0</v>
      </c>
      <c r="I1726" s="61" t="n">
        <v>0.09</v>
      </c>
      <c r="J1726" s="61" t="n">
        <v>0</v>
      </c>
      <c r="K1726" s="61" t="n">
        <v>0.04</v>
      </c>
      <c r="L1726" s="61" t="n">
        <v>0.02</v>
      </c>
      <c r="M1726" s="61" t="n">
        <v>0</v>
      </c>
      <c r="N1726" s="61" t="n">
        <v>0.01</v>
      </c>
      <c r="O1726" s="61" t="n">
        <v>0</v>
      </c>
      <c r="P1726" s="62" t="n">
        <v>375</v>
      </c>
      <c r="Q1726" s="0" t="n">
        <v>0</v>
      </c>
      <c r="R1726" s="60" t="n">
        <f aca="false">G1726+H1726+I1726</f>
        <v>0.09</v>
      </c>
      <c r="S1726" s="60" t="n">
        <f aca="false">K1726+L1726+M1726+N1726+O1726</f>
        <v>0.07</v>
      </c>
      <c r="T1726" s="60" t="n">
        <f aca="false">L1726+M1726</f>
        <v>0.02</v>
      </c>
      <c r="U1726" s="60" t="n">
        <f aca="false">S1726+J1726</f>
        <v>0.07</v>
      </c>
      <c r="V1726" s="63" t="n">
        <f aca="false">IFERROR(S1726/F1726,0)</f>
        <v>0.4375</v>
      </c>
      <c r="W1726" s="63" t="n">
        <f aca="false">IFERROR(R1726/F1726,0)</f>
        <v>0.5625</v>
      </c>
      <c r="X1726" s="63" t="n">
        <f aca="false">IFERROR(T1726/F1726,0)</f>
        <v>0.125</v>
      </c>
      <c r="Y1726" s="63" t="n">
        <f aca="false">IFERROR(G1726/F1726,0)</f>
        <v>0</v>
      </c>
      <c r="Z1726" s="59" t="n">
        <f aca="false">IF(E1726&gt;0,F1726*1000000000/E1726,"")</f>
        <v>743.252659450922</v>
      </c>
      <c r="AA1726" s="63" t="n">
        <f aca="false">IFERROR((R1726+S1726+J1726)/F1726,0)</f>
        <v>1</v>
      </c>
      <c r="AB1726" s="0" t="str">
        <f aca="false">A1726&amp;"|"&amp;D1726</f>
        <v>Samoa|2022</v>
      </c>
    </row>
    <row r="1727" customFormat="false" ht="15" hidden="false" customHeight="false" outlineLevel="0" collapsed="false">
      <c r="A1727" s="0" t="s">
        <v>345</v>
      </c>
      <c r="B1727" s="0" t="s">
        <v>584</v>
      </c>
      <c r="C1727" s="0" t="s">
        <v>127</v>
      </c>
      <c r="D1727" s="0" t="n">
        <v>2023</v>
      </c>
      <c r="E1727" s="59" t="n">
        <v>216673</v>
      </c>
      <c r="F1727" s="60" t="n">
        <v>0.15</v>
      </c>
      <c r="G1727" s="61" t="n">
        <v>0</v>
      </c>
      <c r="H1727" s="61" t="n">
        <v>0</v>
      </c>
      <c r="I1727" s="61" t="n">
        <v>0.09</v>
      </c>
      <c r="J1727" s="61" t="n">
        <v>0</v>
      </c>
      <c r="K1727" s="61" t="n">
        <v>0.03</v>
      </c>
      <c r="L1727" s="61" t="n">
        <v>0.02</v>
      </c>
      <c r="M1727" s="61" t="n">
        <v>0</v>
      </c>
      <c r="N1727" s="61" t="n">
        <v>0.01</v>
      </c>
      <c r="O1727" s="61" t="n">
        <v>0</v>
      </c>
      <c r="P1727" s="62" t="n">
        <v>400</v>
      </c>
      <c r="Q1727" s="0" t="n">
        <v>0</v>
      </c>
      <c r="R1727" s="60" t="n">
        <f aca="false">G1727+H1727+I1727</f>
        <v>0.09</v>
      </c>
      <c r="S1727" s="60" t="n">
        <f aca="false">K1727+L1727+M1727+N1727+O1727</f>
        <v>0.06</v>
      </c>
      <c r="T1727" s="60" t="n">
        <f aca="false">L1727+M1727</f>
        <v>0.02</v>
      </c>
      <c r="U1727" s="60" t="n">
        <f aca="false">S1727+J1727</f>
        <v>0.06</v>
      </c>
      <c r="V1727" s="63" t="n">
        <f aca="false">IFERROR(S1727/F1727,0)</f>
        <v>0.4</v>
      </c>
      <c r="W1727" s="63" t="n">
        <f aca="false">IFERROR(R1727/F1727,0)</f>
        <v>0.6</v>
      </c>
      <c r="X1727" s="63" t="n">
        <f aca="false">IFERROR(T1727/F1727,0)</f>
        <v>0.133333333333333</v>
      </c>
      <c r="Y1727" s="63" t="n">
        <f aca="false">IFERROR(G1727/F1727,0)</f>
        <v>0</v>
      </c>
      <c r="Z1727" s="59" t="n">
        <f aca="false">IF(E1727&gt;0,F1727*1000000000/E1727,"")</f>
        <v>692.287456212818</v>
      </c>
      <c r="AA1727" s="63" t="n">
        <f aca="false">IFERROR((R1727+S1727+J1727)/F1727,0)</f>
        <v>1</v>
      </c>
      <c r="AB1727" s="0" t="str">
        <f aca="false">A1727&amp;"|"&amp;D1727</f>
        <v>Samoa|2023</v>
      </c>
    </row>
    <row r="1728" customFormat="false" ht="15" hidden="false" customHeight="false" outlineLevel="0" collapsed="false">
      <c r="A1728" s="0" t="s">
        <v>345</v>
      </c>
      <c r="B1728" s="0" t="s">
        <v>584</v>
      </c>
      <c r="C1728" s="0" t="s">
        <v>127</v>
      </c>
      <c r="D1728" s="0" t="n">
        <v>2024</v>
      </c>
      <c r="E1728" s="59" t="n">
        <v>218031</v>
      </c>
      <c r="F1728" s="60" t="n">
        <v>0.16</v>
      </c>
      <c r="G1728" s="61" t="n">
        <v>0</v>
      </c>
      <c r="H1728" s="61" t="n">
        <v>0</v>
      </c>
      <c r="I1728" s="61" t="n">
        <v>0.09</v>
      </c>
      <c r="J1728" s="61" t="n">
        <v>0</v>
      </c>
      <c r="K1728" s="61" t="n">
        <v>0.03</v>
      </c>
      <c r="L1728" s="61" t="n">
        <v>0.03</v>
      </c>
      <c r="M1728" s="61" t="n">
        <v>0</v>
      </c>
      <c r="N1728" s="61" t="n">
        <v>0.01</v>
      </c>
      <c r="O1728" s="61" t="n">
        <v>0</v>
      </c>
      <c r="P1728" s="62" t="n">
        <v>375</v>
      </c>
      <c r="Q1728" s="0" t="n">
        <v>0</v>
      </c>
      <c r="R1728" s="60" t="n">
        <f aca="false">G1728+H1728+I1728</f>
        <v>0.09</v>
      </c>
      <c r="S1728" s="60" t="n">
        <f aca="false">K1728+L1728+M1728+N1728+O1728</f>
        <v>0.07</v>
      </c>
      <c r="T1728" s="60" t="n">
        <f aca="false">L1728+M1728</f>
        <v>0.03</v>
      </c>
      <c r="U1728" s="60" t="n">
        <f aca="false">S1728+J1728</f>
        <v>0.07</v>
      </c>
      <c r="V1728" s="63" t="n">
        <f aca="false">IFERROR(S1728/F1728,0)</f>
        <v>0.4375</v>
      </c>
      <c r="W1728" s="63" t="n">
        <f aca="false">IFERROR(R1728/F1728,0)</f>
        <v>0.5625</v>
      </c>
      <c r="X1728" s="63" t="n">
        <f aca="false">IFERROR(T1728/F1728,0)</f>
        <v>0.1875</v>
      </c>
      <c r="Y1728" s="63" t="n">
        <f aca="false">IFERROR(G1728/F1728,0)</f>
        <v>0</v>
      </c>
      <c r="Z1728" s="59" t="n">
        <f aca="false">IF(E1728&gt;0,F1728*1000000000/E1728,"")</f>
        <v>733.840600648532</v>
      </c>
      <c r="AA1728" s="63" t="n">
        <f aca="false">IFERROR((R1728+S1728+J1728)/F1728,0)</f>
        <v>1</v>
      </c>
      <c r="AB1728" s="0" t="str">
        <f aca="false">A1728&amp;"|"&amp;D1728</f>
        <v>Samoa|2024</v>
      </c>
    </row>
    <row r="1729" customFormat="false" ht="15" hidden="false" customHeight="false" outlineLevel="0" collapsed="false">
      <c r="A1729" s="0" t="s">
        <v>346</v>
      </c>
      <c r="B1729" s="0" t="s">
        <v>585</v>
      </c>
      <c r="C1729" s="0" t="s">
        <v>127</v>
      </c>
      <c r="D1729" s="0" t="n">
        <v>2015</v>
      </c>
      <c r="E1729" s="59" t="n">
        <v>200308</v>
      </c>
      <c r="F1729" s="60" t="n">
        <v>0.1</v>
      </c>
      <c r="G1729" s="61" t="n">
        <v>0</v>
      </c>
      <c r="H1729" s="61" t="n">
        <v>0</v>
      </c>
      <c r="I1729" s="61" t="n">
        <v>0.09</v>
      </c>
      <c r="J1729" s="61" t="n">
        <v>0</v>
      </c>
      <c r="K1729" s="61" t="n">
        <v>0.01</v>
      </c>
      <c r="L1729" s="61" t="n">
        <v>0</v>
      </c>
      <c r="M1729" s="61" t="n">
        <v>0</v>
      </c>
      <c r="N1729" s="61" t="n">
        <v>0</v>
      </c>
      <c r="O1729" s="61" t="n">
        <v>0</v>
      </c>
      <c r="P1729" s="62" t="n">
        <v>600</v>
      </c>
      <c r="Q1729" s="0" t="n">
        <v>0</v>
      </c>
      <c r="R1729" s="60" t="n">
        <f aca="false">G1729+H1729+I1729</f>
        <v>0.09</v>
      </c>
      <c r="S1729" s="60" t="n">
        <f aca="false">K1729+L1729+M1729+N1729+O1729</f>
        <v>0.01</v>
      </c>
      <c r="T1729" s="60" t="n">
        <f aca="false">L1729+M1729</f>
        <v>0</v>
      </c>
      <c r="U1729" s="60" t="n">
        <f aca="false">S1729+J1729</f>
        <v>0.01</v>
      </c>
      <c r="V1729" s="63" t="n">
        <f aca="false">IFERROR(S1729/F1729,0)</f>
        <v>0.1</v>
      </c>
      <c r="W1729" s="63" t="n">
        <f aca="false">IFERROR(R1729/F1729,0)</f>
        <v>0.9</v>
      </c>
      <c r="X1729" s="63" t="n">
        <f aca="false">IFERROR(T1729/F1729,0)</f>
        <v>0</v>
      </c>
      <c r="Y1729" s="63" t="n">
        <f aca="false">IFERROR(G1729/F1729,0)</f>
        <v>0</v>
      </c>
      <c r="Z1729" s="59" t="n">
        <f aca="false">IF(E1729&gt;0,F1729*1000000000/E1729,"")</f>
        <v>499.231183976676</v>
      </c>
      <c r="AA1729" s="63" t="n">
        <f aca="false">IFERROR((R1729+S1729+J1729)/F1729,0)</f>
        <v>1</v>
      </c>
      <c r="AB1729" s="0" t="str">
        <f aca="false">A1729&amp;"|"&amp;D1729</f>
        <v>Sao Tome and Principe|2015</v>
      </c>
    </row>
    <row r="1730" customFormat="false" ht="15" hidden="false" customHeight="false" outlineLevel="0" collapsed="false">
      <c r="A1730" s="0" t="s">
        <v>346</v>
      </c>
      <c r="B1730" s="0" t="s">
        <v>585</v>
      </c>
      <c r="C1730" s="0" t="s">
        <v>127</v>
      </c>
      <c r="D1730" s="0" t="n">
        <v>2016</v>
      </c>
      <c r="E1730" s="59" t="n">
        <v>203702</v>
      </c>
      <c r="F1730" s="60" t="n">
        <v>0.11</v>
      </c>
      <c r="G1730" s="61" t="n">
        <v>0</v>
      </c>
      <c r="H1730" s="61" t="n">
        <v>0</v>
      </c>
      <c r="I1730" s="61" t="n">
        <v>0.1</v>
      </c>
      <c r="J1730" s="61" t="n">
        <v>0</v>
      </c>
      <c r="K1730" s="61" t="n">
        <v>0.01</v>
      </c>
      <c r="L1730" s="61" t="n">
        <v>0</v>
      </c>
      <c r="M1730" s="61" t="n">
        <v>0</v>
      </c>
      <c r="N1730" s="61" t="n">
        <v>0</v>
      </c>
      <c r="O1730" s="61" t="n">
        <v>0</v>
      </c>
      <c r="P1730" s="62" t="n">
        <v>636.4</v>
      </c>
      <c r="Q1730" s="0" t="n">
        <v>0</v>
      </c>
      <c r="R1730" s="60" t="n">
        <f aca="false">G1730+H1730+I1730</f>
        <v>0.1</v>
      </c>
      <c r="S1730" s="60" t="n">
        <f aca="false">K1730+L1730+M1730+N1730+O1730</f>
        <v>0.01</v>
      </c>
      <c r="T1730" s="60" t="n">
        <f aca="false">L1730+M1730</f>
        <v>0</v>
      </c>
      <c r="U1730" s="60" t="n">
        <f aca="false">S1730+J1730</f>
        <v>0.01</v>
      </c>
      <c r="V1730" s="63" t="n">
        <f aca="false">IFERROR(S1730/F1730,0)</f>
        <v>0.0909090909090909</v>
      </c>
      <c r="W1730" s="63" t="n">
        <f aca="false">IFERROR(R1730/F1730,0)</f>
        <v>0.909090909090909</v>
      </c>
      <c r="X1730" s="63" t="n">
        <f aca="false">IFERROR(T1730/F1730,0)</f>
        <v>0</v>
      </c>
      <c r="Y1730" s="63" t="n">
        <f aca="false">IFERROR(G1730/F1730,0)</f>
        <v>0</v>
      </c>
      <c r="Z1730" s="59" t="n">
        <f aca="false">IF(E1730&gt;0,F1730*1000000000/E1730,"")</f>
        <v>540.00451640141</v>
      </c>
      <c r="AA1730" s="63" t="n">
        <f aca="false">IFERROR((R1730+S1730+J1730)/F1730,0)</f>
        <v>1</v>
      </c>
      <c r="AB1730" s="0" t="str">
        <f aca="false">A1730&amp;"|"&amp;D1730</f>
        <v>Sao Tome and Principe|2016</v>
      </c>
    </row>
    <row r="1731" customFormat="false" ht="15" hidden="false" customHeight="false" outlineLevel="0" collapsed="false">
      <c r="A1731" s="0" t="s">
        <v>346</v>
      </c>
      <c r="B1731" s="0" t="s">
        <v>585</v>
      </c>
      <c r="C1731" s="0" t="s">
        <v>127</v>
      </c>
      <c r="D1731" s="0" t="n">
        <v>2017</v>
      </c>
      <c r="E1731" s="59" t="n">
        <v>206986</v>
      </c>
      <c r="F1731" s="60" t="n">
        <v>0.1</v>
      </c>
      <c r="G1731" s="61" t="n">
        <v>0</v>
      </c>
      <c r="H1731" s="61" t="n">
        <v>0</v>
      </c>
      <c r="I1731" s="61" t="n">
        <v>0.1</v>
      </c>
      <c r="J1731" s="61" t="n">
        <v>0</v>
      </c>
      <c r="K1731" s="61" t="n">
        <v>0</v>
      </c>
      <c r="L1731" s="61" t="n">
        <v>0</v>
      </c>
      <c r="M1731" s="61" t="n">
        <v>0</v>
      </c>
      <c r="N1731" s="61" t="n">
        <v>0</v>
      </c>
      <c r="O1731" s="61" t="n">
        <v>0</v>
      </c>
      <c r="P1731" s="62" t="n">
        <v>700</v>
      </c>
      <c r="Q1731" s="0" t="n">
        <v>0</v>
      </c>
      <c r="R1731" s="60" t="n">
        <f aca="false">G1731+H1731+I1731</f>
        <v>0.1</v>
      </c>
      <c r="S1731" s="60" t="n">
        <f aca="false">K1731+L1731+M1731+N1731+O1731</f>
        <v>0</v>
      </c>
      <c r="T1731" s="60" t="n">
        <f aca="false">L1731+M1731</f>
        <v>0</v>
      </c>
      <c r="U1731" s="60" t="n">
        <f aca="false">S1731+J1731</f>
        <v>0</v>
      </c>
      <c r="V1731" s="63" t="n">
        <f aca="false">IFERROR(S1731/F1731,0)</f>
        <v>0</v>
      </c>
      <c r="W1731" s="63" t="n">
        <f aca="false">IFERROR(R1731/F1731,0)</f>
        <v>1</v>
      </c>
      <c r="X1731" s="63" t="n">
        <f aca="false">IFERROR(T1731/F1731,0)</f>
        <v>0</v>
      </c>
      <c r="Y1731" s="63" t="n">
        <f aca="false">IFERROR(G1731/F1731,0)</f>
        <v>0</v>
      </c>
      <c r="Z1731" s="59" t="n">
        <f aca="false">IF(E1731&gt;0,F1731*1000000000/E1731,"")</f>
        <v>483.124462524035</v>
      </c>
      <c r="AA1731" s="63" t="n">
        <f aca="false">IFERROR((R1731+S1731+J1731)/F1731,0)</f>
        <v>1</v>
      </c>
      <c r="AB1731" s="0" t="str">
        <f aca="false">A1731&amp;"|"&amp;D1731</f>
        <v>Sao Tome and Principe|2017</v>
      </c>
    </row>
    <row r="1732" customFormat="false" ht="15" hidden="false" customHeight="false" outlineLevel="0" collapsed="false">
      <c r="A1732" s="0" t="s">
        <v>346</v>
      </c>
      <c r="B1732" s="0" t="s">
        <v>585</v>
      </c>
      <c r="C1732" s="0" t="s">
        <v>127</v>
      </c>
      <c r="D1732" s="0" t="n">
        <v>2018</v>
      </c>
      <c r="E1732" s="59" t="n">
        <v>210198</v>
      </c>
      <c r="F1732" s="60" t="n">
        <v>0.1</v>
      </c>
      <c r="G1732" s="61" t="n">
        <v>0</v>
      </c>
      <c r="H1732" s="61" t="n">
        <v>0</v>
      </c>
      <c r="I1732" s="61" t="n">
        <v>0.1</v>
      </c>
      <c r="J1732" s="61" t="n">
        <v>0</v>
      </c>
      <c r="K1732" s="61" t="n">
        <v>0</v>
      </c>
      <c r="L1732" s="61" t="n">
        <v>0</v>
      </c>
      <c r="M1732" s="61" t="n">
        <v>0</v>
      </c>
      <c r="N1732" s="61" t="n">
        <v>0</v>
      </c>
      <c r="O1732" s="61" t="n">
        <v>0</v>
      </c>
      <c r="P1732" s="62" t="n">
        <v>700</v>
      </c>
      <c r="Q1732" s="0" t="n">
        <v>0</v>
      </c>
      <c r="R1732" s="60" t="n">
        <f aca="false">G1732+H1732+I1732</f>
        <v>0.1</v>
      </c>
      <c r="S1732" s="60" t="n">
        <f aca="false">K1732+L1732+M1732+N1732+O1732</f>
        <v>0</v>
      </c>
      <c r="T1732" s="60" t="n">
        <f aca="false">L1732+M1732</f>
        <v>0</v>
      </c>
      <c r="U1732" s="60" t="n">
        <f aca="false">S1732+J1732</f>
        <v>0</v>
      </c>
      <c r="V1732" s="63" t="n">
        <f aca="false">IFERROR(S1732/F1732,0)</f>
        <v>0</v>
      </c>
      <c r="W1732" s="63" t="n">
        <f aca="false">IFERROR(R1732/F1732,0)</f>
        <v>1</v>
      </c>
      <c r="X1732" s="63" t="n">
        <f aca="false">IFERROR(T1732/F1732,0)</f>
        <v>0</v>
      </c>
      <c r="Y1732" s="63" t="n">
        <f aca="false">IFERROR(G1732/F1732,0)</f>
        <v>0</v>
      </c>
      <c r="Z1732" s="59" t="n">
        <f aca="false">IF(E1732&gt;0,F1732*1000000000/E1732,"")</f>
        <v>475.741919523497</v>
      </c>
      <c r="AA1732" s="63" t="n">
        <f aca="false">IFERROR((R1732+S1732+J1732)/F1732,0)</f>
        <v>1</v>
      </c>
      <c r="AB1732" s="0" t="str">
        <f aca="false">A1732&amp;"|"&amp;D1732</f>
        <v>Sao Tome and Principe|2018</v>
      </c>
    </row>
    <row r="1733" customFormat="false" ht="15" hidden="false" customHeight="false" outlineLevel="0" collapsed="false">
      <c r="A1733" s="0" t="s">
        <v>346</v>
      </c>
      <c r="B1733" s="0" t="s">
        <v>585</v>
      </c>
      <c r="C1733" s="0" t="s">
        <v>127</v>
      </c>
      <c r="D1733" s="0" t="n">
        <v>2019</v>
      </c>
      <c r="E1733" s="59" t="n">
        <v>213405</v>
      </c>
      <c r="F1733" s="60" t="n">
        <v>0.11</v>
      </c>
      <c r="G1733" s="61" t="n">
        <v>0</v>
      </c>
      <c r="H1733" s="61" t="n">
        <v>0</v>
      </c>
      <c r="I1733" s="61" t="n">
        <v>0.1</v>
      </c>
      <c r="J1733" s="61" t="n">
        <v>0</v>
      </c>
      <c r="K1733" s="61" t="n">
        <v>0.01</v>
      </c>
      <c r="L1733" s="61" t="n">
        <v>0</v>
      </c>
      <c r="M1733" s="61" t="n">
        <v>0</v>
      </c>
      <c r="N1733" s="61" t="n">
        <v>0</v>
      </c>
      <c r="O1733" s="61" t="n">
        <v>0</v>
      </c>
      <c r="P1733" s="62" t="n">
        <v>636.4</v>
      </c>
      <c r="Q1733" s="0" t="n">
        <v>0</v>
      </c>
      <c r="R1733" s="60" t="n">
        <f aca="false">G1733+H1733+I1733</f>
        <v>0.1</v>
      </c>
      <c r="S1733" s="60" t="n">
        <f aca="false">K1733+L1733+M1733+N1733+O1733</f>
        <v>0.01</v>
      </c>
      <c r="T1733" s="60" t="n">
        <f aca="false">L1733+M1733</f>
        <v>0</v>
      </c>
      <c r="U1733" s="60" t="n">
        <f aca="false">S1733+J1733</f>
        <v>0.01</v>
      </c>
      <c r="V1733" s="63" t="n">
        <f aca="false">IFERROR(S1733/F1733,0)</f>
        <v>0.0909090909090909</v>
      </c>
      <c r="W1733" s="63" t="n">
        <f aca="false">IFERROR(R1733/F1733,0)</f>
        <v>0.909090909090909</v>
      </c>
      <c r="X1733" s="63" t="n">
        <f aca="false">IFERROR(T1733/F1733,0)</f>
        <v>0</v>
      </c>
      <c r="Y1733" s="63" t="n">
        <f aca="false">IFERROR(G1733/F1733,0)</f>
        <v>0</v>
      </c>
      <c r="Z1733" s="59" t="n">
        <f aca="false">IF(E1733&gt;0,F1733*1000000000/E1733,"")</f>
        <v>515.451840397367</v>
      </c>
      <c r="AA1733" s="63" t="n">
        <f aca="false">IFERROR((R1733+S1733+J1733)/F1733,0)</f>
        <v>1</v>
      </c>
      <c r="AB1733" s="0" t="str">
        <f aca="false">A1733&amp;"|"&amp;D1733</f>
        <v>Sao Tome and Principe|2019</v>
      </c>
    </row>
    <row r="1734" customFormat="false" ht="15" hidden="false" customHeight="false" outlineLevel="0" collapsed="false">
      <c r="A1734" s="0" t="s">
        <v>346</v>
      </c>
      <c r="B1734" s="0" t="s">
        <v>585</v>
      </c>
      <c r="C1734" s="0" t="s">
        <v>127</v>
      </c>
      <c r="D1734" s="0" t="n">
        <v>2020</v>
      </c>
      <c r="E1734" s="59" t="n">
        <v>217450</v>
      </c>
      <c r="F1734" s="60" t="n">
        <v>0.11</v>
      </c>
      <c r="G1734" s="61" t="n">
        <v>0</v>
      </c>
      <c r="H1734" s="61" t="n">
        <v>0</v>
      </c>
      <c r="I1734" s="61" t="n">
        <v>0.1</v>
      </c>
      <c r="J1734" s="61" t="n">
        <v>0</v>
      </c>
      <c r="K1734" s="61" t="n">
        <v>0.01</v>
      </c>
      <c r="L1734" s="61" t="n">
        <v>0</v>
      </c>
      <c r="M1734" s="61" t="n">
        <v>0</v>
      </c>
      <c r="N1734" s="61" t="n">
        <v>0</v>
      </c>
      <c r="O1734" s="61" t="n">
        <v>0</v>
      </c>
      <c r="P1734" s="62" t="n">
        <v>636.4</v>
      </c>
      <c r="Q1734" s="0" t="n">
        <v>0</v>
      </c>
      <c r="R1734" s="60" t="n">
        <f aca="false">G1734+H1734+I1734</f>
        <v>0.1</v>
      </c>
      <c r="S1734" s="60" t="n">
        <f aca="false">K1734+L1734+M1734+N1734+O1734</f>
        <v>0.01</v>
      </c>
      <c r="T1734" s="60" t="n">
        <f aca="false">L1734+M1734</f>
        <v>0</v>
      </c>
      <c r="U1734" s="60" t="n">
        <f aca="false">S1734+J1734</f>
        <v>0.01</v>
      </c>
      <c r="V1734" s="63" t="n">
        <f aca="false">IFERROR(S1734/F1734,0)</f>
        <v>0.0909090909090909</v>
      </c>
      <c r="W1734" s="63" t="n">
        <f aca="false">IFERROR(R1734/F1734,0)</f>
        <v>0.909090909090909</v>
      </c>
      <c r="X1734" s="63" t="n">
        <f aca="false">IFERROR(T1734/F1734,0)</f>
        <v>0</v>
      </c>
      <c r="Y1734" s="63" t="n">
        <f aca="false">IFERROR(G1734/F1734,0)</f>
        <v>0</v>
      </c>
      <c r="Z1734" s="59" t="n">
        <f aca="false">IF(E1734&gt;0,F1734*1000000000/E1734,"")</f>
        <v>505.863416877443</v>
      </c>
      <c r="AA1734" s="63" t="n">
        <f aca="false">IFERROR((R1734+S1734+J1734)/F1734,0)</f>
        <v>1</v>
      </c>
      <c r="AB1734" s="0" t="str">
        <f aca="false">A1734&amp;"|"&amp;D1734</f>
        <v>Sao Tome and Principe|2020</v>
      </c>
    </row>
    <row r="1735" customFormat="false" ht="15" hidden="false" customHeight="false" outlineLevel="0" collapsed="false">
      <c r="A1735" s="0" t="s">
        <v>346</v>
      </c>
      <c r="B1735" s="0" t="s">
        <v>585</v>
      </c>
      <c r="C1735" s="0" t="s">
        <v>127</v>
      </c>
      <c r="D1735" s="0" t="n">
        <v>2021</v>
      </c>
      <c r="E1735" s="59" t="n">
        <v>221975</v>
      </c>
      <c r="F1735" s="60" t="n">
        <v>0.11</v>
      </c>
      <c r="G1735" s="61" t="n">
        <v>0</v>
      </c>
      <c r="H1735" s="61" t="n">
        <v>0</v>
      </c>
      <c r="I1735" s="61" t="n">
        <v>0.1</v>
      </c>
      <c r="J1735" s="61" t="n">
        <v>0</v>
      </c>
      <c r="K1735" s="61" t="n">
        <v>0.01</v>
      </c>
      <c r="L1735" s="61" t="n">
        <v>0</v>
      </c>
      <c r="M1735" s="61" t="n">
        <v>0</v>
      </c>
      <c r="N1735" s="61" t="n">
        <v>0</v>
      </c>
      <c r="O1735" s="61" t="n">
        <v>0</v>
      </c>
      <c r="P1735" s="62" t="n">
        <v>636.4</v>
      </c>
      <c r="Q1735" s="0" t="n">
        <v>0</v>
      </c>
      <c r="R1735" s="60" t="n">
        <f aca="false">G1735+H1735+I1735</f>
        <v>0.1</v>
      </c>
      <c r="S1735" s="60" t="n">
        <f aca="false">K1735+L1735+M1735+N1735+O1735</f>
        <v>0.01</v>
      </c>
      <c r="T1735" s="60" t="n">
        <f aca="false">L1735+M1735</f>
        <v>0</v>
      </c>
      <c r="U1735" s="60" t="n">
        <f aca="false">S1735+J1735</f>
        <v>0.01</v>
      </c>
      <c r="V1735" s="63" t="n">
        <f aca="false">IFERROR(S1735/F1735,0)</f>
        <v>0.0909090909090909</v>
      </c>
      <c r="W1735" s="63" t="n">
        <f aca="false">IFERROR(R1735/F1735,0)</f>
        <v>0.909090909090909</v>
      </c>
      <c r="X1735" s="63" t="n">
        <f aca="false">IFERROR(T1735/F1735,0)</f>
        <v>0</v>
      </c>
      <c r="Y1735" s="63" t="n">
        <f aca="false">IFERROR(G1735/F1735,0)</f>
        <v>0</v>
      </c>
      <c r="Z1735" s="59" t="n">
        <f aca="false">IF(E1735&gt;0,F1735*1000000000/E1735,"")</f>
        <v>495.551300822165</v>
      </c>
      <c r="AA1735" s="63" t="n">
        <f aca="false">IFERROR((R1735+S1735+J1735)/F1735,0)</f>
        <v>1</v>
      </c>
      <c r="AB1735" s="0" t="str">
        <f aca="false">A1735&amp;"|"&amp;D1735</f>
        <v>Sao Tome and Principe|2021</v>
      </c>
    </row>
    <row r="1736" customFormat="false" ht="15" hidden="false" customHeight="false" outlineLevel="0" collapsed="false">
      <c r="A1736" s="0" t="s">
        <v>346</v>
      </c>
      <c r="B1736" s="0" t="s">
        <v>585</v>
      </c>
      <c r="C1736" s="0" t="s">
        <v>127</v>
      </c>
      <c r="D1736" s="0" t="n">
        <v>2022</v>
      </c>
      <c r="E1736" s="59" t="n">
        <v>226313</v>
      </c>
      <c r="F1736" s="60" t="n">
        <v>0.09</v>
      </c>
      <c r="G1736" s="61" t="n">
        <v>0</v>
      </c>
      <c r="H1736" s="61" t="n">
        <v>0</v>
      </c>
      <c r="I1736" s="61" t="n">
        <v>0.08</v>
      </c>
      <c r="J1736" s="61" t="n">
        <v>0</v>
      </c>
      <c r="K1736" s="61" t="n">
        <v>0.01</v>
      </c>
      <c r="L1736" s="61" t="n">
        <v>0</v>
      </c>
      <c r="M1736" s="61" t="n">
        <v>0</v>
      </c>
      <c r="N1736" s="61" t="n">
        <v>0</v>
      </c>
      <c r="O1736" s="61" t="n">
        <v>0</v>
      </c>
      <c r="P1736" s="62" t="n">
        <v>555.6</v>
      </c>
      <c r="Q1736" s="0" t="n">
        <v>0</v>
      </c>
      <c r="R1736" s="60" t="n">
        <f aca="false">G1736+H1736+I1736</f>
        <v>0.08</v>
      </c>
      <c r="S1736" s="60" t="n">
        <f aca="false">K1736+L1736+M1736+N1736+O1736</f>
        <v>0.01</v>
      </c>
      <c r="T1736" s="60" t="n">
        <f aca="false">L1736+M1736</f>
        <v>0</v>
      </c>
      <c r="U1736" s="60" t="n">
        <f aca="false">S1736+J1736</f>
        <v>0.01</v>
      </c>
      <c r="V1736" s="63" t="n">
        <f aca="false">IFERROR(S1736/F1736,0)</f>
        <v>0.111111111111111</v>
      </c>
      <c r="W1736" s="63" t="n">
        <f aca="false">IFERROR(R1736/F1736,0)</f>
        <v>0.888888888888889</v>
      </c>
      <c r="X1736" s="63" t="n">
        <f aca="false">IFERROR(T1736/F1736,0)</f>
        <v>0</v>
      </c>
      <c r="Y1736" s="63" t="n">
        <f aca="false">IFERROR(G1736/F1736,0)</f>
        <v>0</v>
      </c>
      <c r="Z1736" s="59" t="n">
        <f aca="false">IF(E1736&gt;0,F1736*1000000000/E1736,"")</f>
        <v>397.679320233482</v>
      </c>
      <c r="AA1736" s="63" t="n">
        <f aca="false">IFERROR((R1736+S1736+J1736)/F1736,0)</f>
        <v>1</v>
      </c>
      <c r="AB1736" s="0" t="str">
        <f aca="false">A1736&amp;"|"&amp;D1736</f>
        <v>Sao Tome and Principe|2022</v>
      </c>
    </row>
    <row r="1737" customFormat="false" ht="15" hidden="false" customHeight="false" outlineLevel="0" collapsed="false">
      <c r="A1737" s="0" t="s">
        <v>346</v>
      </c>
      <c r="B1737" s="0" t="s">
        <v>585</v>
      </c>
      <c r="C1737" s="0" t="s">
        <v>127</v>
      </c>
      <c r="D1737" s="0" t="n">
        <v>2023</v>
      </c>
      <c r="E1737" s="59" t="n">
        <v>230882</v>
      </c>
      <c r="F1737" s="60" t="n">
        <v>0.09</v>
      </c>
      <c r="G1737" s="61" t="n">
        <v>0</v>
      </c>
      <c r="H1737" s="61" t="n">
        <v>0</v>
      </c>
      <c r="I1737" s="61" t="n">
        <v>0.08</v>
      </c>
      <c r="J1737" s="61" t="n">
        <v>0</v>
      </c>
      <c r="K1737" s="61" t="n">
        <v>0.01</v>
      </c>
      <c r="L1737" s="61" t="n">
        <v>0</v>
      </c>
      <c r="M1737" s="61" t="n">
        <v>0</v>
      </c>
      <c r="N1737" s="61" t="n">
        <v>0</v>
      </c>
      <c r="O1737" s="61" t="n">
        <v>0</v>
      </c>
      <c r="P1737" s="62" t="n">
        <v>555.6</v>
      </c>
      <c r="Q1737" s="0" t="n">
        <v>0</v>
      </c>
      <c r="R1737" s="60" t="n">
        <f aca="false">G1737+H1737+I1737</f>
        <v>0.08</v>
      </c>
      <c r="S1737" s="60" t="n">
        <f aca="false">K1737+L1737+M1737+N1737+O1737</f>
        <v>0.01</v>
      </c>
      <c r="T1737" s="60" t="n">
        <f aca="false">L1737+M1737</f>
        <v>0</v>
      </c>
      <c r="U1737" s="60" t="n">
        <f aca="false">S1737+J1737</f>
        <v>0.01</v>
      </c>
      <c r="V1737" s="63" t="n">
        <f aca="false">IFERROR(S1737/F1737,0)</f>
        <v>0.111111111111111</v>
      </c>
      <c r="W1737" s="63" t="n">
        <f aca="false">IFERROR(R1737/F1737,0)</f>
        <v>0.888888888888889</v>
      </c>
      <c r="X1737" s="63" t="n">
        <f aca="false">IFERROR(T1737/F1737,0)</f>
        <v>0</v>
      </c>
      <c r="Y1737" s="63" t="n">
        <f aca="false">IFERROR(G1737/F1737,0)</f>
        <v>0</v>
      </c>
      <c r="Z1737" s="59" t="n">
        <f aca="false">IF(E1737&gt;0,F1737*1000000000/E1737,"")</f>
        <v>389.809513084606</v>
      </c>
      <c r="AA1737" s="63" t="n">
        <f aca="false">IFERROR((R1737+S1737+J1737)/F1737,0)</f>
        <v>1</v>
      </c>
      <c r="AB1737" s="0" t="str">
        <f aca="false">A1737&amp;"|"&amp;D1737</f>
        <v>Sao Tome and Principe|2023</v>
      </c>
    </row>
    <row r="1738" customFormat="false" ht="15" hidden="false" customHeight="false" outlineLevel="0" collapsed="false">
      <c r="A1738" s="0" t="s">
        <v>347</v>
      </c>
      <c r="B1738" s="0" t="s">
        <v>586</v>
      </c>
      <c r="C1738" s="0" t="s">
        <v>127</v>
      </c>
      <c r="D1738" s="0" t="n">
        <v>2015</v>
      </c>
      <c r="E1738" s="59" t="n">
        <v>29974944</v>
      </c>
      <c r="F1738" s="60" t="n">
        <v>350.64</v>
      </c>
      <c r="G1738" s="61" t="n">
        <v>0</v>
      </c>
      <c r="H1738" s="61" t="n">
        <v>165.33</v>
      </c>
      <c r="I1738" s="61" t="n">
        <v>185.26</v>
      </c>
      <c r="J1738" s="61" t="n">
        <v>0</v>
      </c>
      <c r="K1738" s="61" t="n">
        <v>0</v>
      </c>
      <c r="L1738" s="61" t="n">
        <v>0.05</v>
      </c>
      <c r="M1738" s="61" t="n">
        <v>0</v>
      </c>
      <c r="N1738" s="61" t="n">
        <v>0</v>
      </c>
      <c r="O1738" s="61" t="n">
        <v>0</v>
      </c>
      <c r="P1738" s="62" t="n">
        <v>693.1</v>
      </c>
      <c r="Q1738" s="0" t="n">
        <v>2</v>
      </c>
      <c r="R1738" s="60" t="n">
        <f aca="false">G1738+H1738+I1738</f>
        <v>350.59</v>
      </c>
      <c r="S1738" s="60" t="n">
        <f aca="false">K1738+L1738+M1738+N1738+O1738</f>
        <v>0.05</v>
      </c>
      <c r="T1738" s="60" t="n">
        <f aca="false">L1738+M1738</f>
        <v>0.05</v>
      </c>
      <c r="U1738" s="60" t="n">
        <f aca="false">S1738+J1738</f>
        <v>0.05</v>
      </c>
      <c r="V1738" s="63" t="n">
        <f aca="false">IFERROR(S1738/F1738,0)</f>
        <v>0.00014259639516313</v>
      </c>
      <c r="W1738" s="63" t="n">
        <f aca="false">IFERROR(R1738/F1738,0)</f>
        <v>0.999857403604837</v>
      </c>
      <c r="X1738" s="63" t="n">
        <f aca="false">IFERROR(T1738/F1738,0)</f>
        <v>0.00014259639516313</v>
      </c>
      <c r="Y1738" s="63" t="n">
        <f aca="false">IFERROR(G1738/F1738,0)</f>
        <v>0</v>
      </c>
      <c r="Z1738" s="59" t="n">
        <f aca="false">IF(E1738&gt;0,F1738*1000000000/E1738,"")</f>
        <v>11697.7699774852</v>
      </c>
      <c r="AA1738" s="63" t="n">
        <f aca="false">IFERROR((R1738+S1738+J1738)/F1738,0)</f>
        <v>1</v>
      </c>
      <c r="AB1738" s="0" t="str">
        <f aca="false">A1738&amp;"|"&amp;D1738</f>
        <v>Saudi Arabia|2015</v>
      </c>
    </row>
    <row r="1739" customFormat="false" ht="15" hidden="false" customHeight="false" outlineLevel="0" collapsed="false">
      <c r="A1739" s="0" t="s">
        <v>347</v>
      </c>
      <c r="B1739" s="0" t="s">
        <v>586</v>
      </c>
      <c r="C1739" s="0" t="s">
        <v>127</v>
      </c>
      <c r="D1739" s="0" t="n">
        <v>2016</v>
      </c>
      <c r="E1739" s="59" t="n">
        <v>30717804</v>
      </c>
      <c r="F1739" s="60" t="n">
        <v>357.66</v>
      </c>
      <c r="G1739" s="61" t="n">
        <v>0</v>
      </c>
      <c r="H1739" s="61" t="n">
        <v>188.56</v>
      </c>
      <c r="I1739" s="61" t="n">
        <v>169.05</v>
      </c>
      <c r="J1739" s="61" t="n">
        <v>0</v>
      </c>
      <c r="K1739" s="61" t="n">
        <v>0</v>
      </c>
      <c r="L1739" s="61" t="n">
        <v>0.05</v>
      </c>
      <c r="M1739" s="61" t="n">
        <v>0</v>
      </c>
      <c r="N1739" s="61" t="n">
        <v>0</v>
      </c>
      <c r="O1739" s="61" t="n">
        <v>0</v>
      </c>
      <c r="P1739" s="62" t="n">
        <v>697.2</v>
      </c>
      <c r="Q1739" s="0" t="n">
        <v>2</v>
      </c>
      <c r="R1739" s="60" t="n">
        <f aca="false">G1739+H1739+I1739</f>
        <v>357.61</v>
      </c>
      <c r="S1739" s="60" t="n">
        <f aca="false">K1739+L1739+M1739+N1739+O1739</f>
        <v>0.05</v>
      </c>
      <c r="T1739" s="60" t="n">
        <f aca="false">L1739+M1739</f>
        <v>0.05</v>
      </c>
      <c r="U1739" s="60" t="n">
        <f aca="false">S1739+J1739</f>
        <v>0.05</v>
      </c>
      <c r="V1739" s="63" t="n">
        <f aca="false">IFERROR(S1739/F1739,0)</f>
        <v>0.000139797573114131</v>
      </c>
      <c r="W1739" s="63" t="n">
        <f aca="false">IFERROR(R1739/F1739,0)</f>
        <v>0.999860202426886</v>
      </c>
      <c r="X1739" s="63" t="n">
        <f aca="false">IFERROR(T1739/F1739,0)</f>
        <v>0.000139797573114131</v>
      </c>
      <c r="Y1739" s="63" t="n">
        <f aca="false">IFERROR(G1739/F1739,0)</f>
        <v>0</v>
      </c>
      <c r="Z1739" s="59" t="n">
        <f aca="false">IF(E1739&gt;0,F1739*1000000000/E1739,"")</f>
        <v>11643.4104469187</v>
      </c>
      <c r="AA1739" s="63" t="n">
        <f aca="false">IFERROR((R1739+S1739+J1739)/F1739,0)</f>
        <v>1</v>
      </c>
      <c r="AB1739" s="0" t="str">
        <f aca="false">A1739&amp;"|"&amp;D1739</f>
        <v>Saudi Arabia|2016</v>
      </c>
    </row>
    <row r="1740" customFormat="false" ht="15" hidden="false" customHeight="false" outlineLevel="0" collapsed="false">
      <c r="A1740" s="0" t="s">
        <v>347</v>
      </c>
      <c r="B1740" s="0" t="s">
        <v>586</v>
      </c>
      <c r="C1740" s="0" t="s">
        <v>127</v>
      </c>
      <c r="D1740" s="0" t="n">
        <v>2017</v>
      </c>
      <c r="E1740" s="59" t="n">
        <v>30782400</v>
      </c>
      <c r="F1740" s="60" t="n">
        <v>394.99</v>
      </c>
      <c r="G1740" s="61" t="n">
        <v>0</v>
      </c>
      <c r="H1740" s="61" t="n">
        <v>222.73</v>
      </c>
      <c r="I1740" s="61" t="n">
        <v>172.19</v>
      </c>
      <c r="J1740" s="61" t="n">
        <v>0</v>
      </c>
      <c r="K1740" s="61" t="n">
        <v>0</v>
      </c>
      <c r="L1740" s="61" t="n">
        <v>0.07</v>
      </c>
      <c r="M1740" s="61" t="n">
        <v>0</v>
      </c>
      <c r="N1740" s="61" t="n">
        <v>0</v>
      </c>
      <c r="O1740" s="61" t="n">
        <v>0</v>
      </c>
      <c r="P1740" s="62" t="n">
        <v>700</v>
      </c>
      <c r="Q1740" s="0" t="n">
        <v>2</v>
      </c>
      <c r="R1740" s="60" t="n">
        <f aca="false">G1740+H1740+I1740</f>
        <v>394.92</v>
      </c>
      <c r="S1740" s="60" t="n">
        <f aca="false">K1740+L1740+M1740+N1740+O1740</f>
        <v>0.07</v>
      </c>
      <c r="T1740" s="60" t="n">
        <f aca="false">L1740+M1740</f>
        <v>0.07</v>
      </c>
      <c r="U1740" s="60" t="n">
        <f aca="false">S1740+J1740</f>
        <v>0.07</v>
      </c>
      <c r="V1740" s="63" t="n">
        <f aca="false">IFERROR(S1740/F1740,0)</f>
        <v>0.000177219676447505</v>
      </c>
      <c r="W1740" s="63" t="n">
        <f aca="false">IFERROR(R1740/F1740,0)</f>
        <v>0.999822780323552</v>
      </c>
      <c r="X1740" s="63" t="n">
        <f aca="false">IFERROR(T1740/F1740,0)</f>
        <v>0.000177219676447505</v>
      </c>
      <c r="Y1740" s="63" t="n">
        <f aca="false">IFERROR(G1740/F1740,0)</f>
        <v>0</v>
      </c>
      <c r="Z1740" s="59" t="n">
        <f aca="false">IF(E1740&gt;0,F1740*1000000000/E1740,"")</f>
        <v>12831.683039659</v>
      </c>
      <c r="AA1740" s="63" t="n">
        <f aca="false">IFERROR((R1740+S1740+J1740)/F1740,0)</f>
        <v>1</v>
      </c>
      <c r="AB1740" s="0" t="str">
        <f aca="false">A1740&amp;"|"&amp;D1740</f>
        <v>Saudi Arabia|2017</v>
      </c>
    </row>
    <row r="1741" customFormat="false" ht="15" hidden="false" customHeight="false" outlineLevel="0" collapsed="false">
      <c r="A1741" s="0" t="s">
        <v>347</v>
      </c>
      <c r="B1741" s="0" t="s">
        <v>586</v>
      </c>
      <c r="C1741" s="0" t="s">
        <v>127</v>
      </c>
      <c r="D1741" s="0" t="n">
        <v>2018</v>
      </c>
      <c r="E1741" s="59" t="n">
        <v>30365119</v>
      </c>
      <c r="F1741" s="60" t="n">
        <v>374.77</v>
      </c>
      <c r="G1741" s="61" t="n">
        <v>0</v>
      </c>
      <c r="H1741" s="61" t="n">
        <v>226.68</v>
      </c>
      <c r="I1741" s="61" t="n">
        <v>147.93</v>
      </c>
      <c r="J1741" s="61" t="n">
        <v>0</v>
      </c>
      <c r="K1741" s="61" t="n">
        <v>0</v>
      </c>
      <c r="L1741" s="61" t="n">
        <v>0.16</v>
      </c>
      <c r="M1741" s="61" t="n">
        <v>0</v>
      </c>
      <c r="N1741" s="61" t="n">
        <v>0</v>
      </c>
      <c r="O1741" s="61" t="n">
        <v>0</v>
      </c>
      <c r="P1741" s="62" t="n">
        <v>702.9</v>
      </c>
      <c r="Q1741" s="0" t="n">
        <v>2</v>
      </c>
      <c r="R1741" s="60" t="n">
        <f aca="false">G1741+H1741+I1741</f>
        <v>374.61</v>
      </c>
      <c r="S1741" s="60" t="n">
        <f aca="false">K1741+L1741+M1741+N1741+O1741</f>
        <v>0.16</v>
      </c>
      <c r="T1741" s="60" t="n">
        <f aca="false">L1741+M1741</f>
        <v>0.16</v>
      </c>
      <c r="U1741" s="60" t="n">
        <f aca="false">S1741+J1741</f>
        <v>0.16</v>
      </c>
      <c r="V1741" s="63" t="n">
        <f aca="false">IFERROR(S1741/F1741,0)</f>
        <v>0.000426928516156576</v>
      </c>
      <c r="W1741" s="63" t="n">
        <f aca="false">IFERROR(R1741/F1741,0)</f>
        <v>0.999573071483844</v>
      </c>
      <c r="X1741" s="63" t="n">
        <f aca="false">IFERROR(T1741/F1741,0)</f>
        <v>0.000426928516156576</v>
      </c>
      <c r="Y1741" s="63" t="n">
        <f aca="false">IFERROR(G1741/F1741,0)</f>
        <v>0</v>
      </c>
      <c r="Z1741" s="59" t="n">
        <f aca="false">IF(E1741&gt;0,F1741*1000000000/E1741,"")</f>
        <v>12342.1218932157</v>
      </c>
      <c r="AA1741" s="63" t="n">
        <f aca="false">IFERROR((R1741+S1741+J1741)/F1741,0)</f>
        <v>1</v>
      </c>
      <c r="AB1741" s="0" t="str">
        <f aca="false">A1741&amp;"|"&amp;D1741</f>
        <v>Saudi Arabia|2018</v>
      </c>
    </row>
    <row r="1742" customFormat="false" ht="15" hidden="false" customHeight="false" outlineLevel="0" collapsed="false">
      <c r="A1742" s="0" t="s">
        <v>347</v>
      </c>
      <c r="B1742" s="0" t="s">
        <v>586</v>
      </c>
      <c r="C1742" s="0" t="s">
        <v>127</v>
      </c>
      <c r="D1742" s="0" t="n">
        <v>2019</v>
      </c>
      <c r="E1742" s="59" t="n">
        <v>30472809</v>
      </c>
      <c r="F1742" s="60" t="n">
        <v>378.55</v>
      </c>
      <c r="G1742" s="61" t="n">
        <v>0</v>
      </c>
      <c r="H1742" s="61" t="n">
        <v>223.54</v>
      </c>
      <c r="I1742" s="61" t="n">
        <v>154.79</v>
      </c>
      <c r="J1742" s="61" t="n">
        <v>0</v>
      </c>
      <c r="K1742" s="61" t="n">
        <v>0</v>
      </c>
      <c r="L1742" s="61" t="n">
        <v>0.21</v>
      </c>
      <c r="M1742" s="61" t="n">
        <v>0.01</v>
      </c>
      <c r="N1742" s="61" t="n">
        <v>0</v>
      </c>
      <c r="O1742" s="61" t="n">
        <v>0</v>
      </c>
      <c r="P1742" s="62" t="n">
        <v>701.7</v>
      </c>
      <c r="Q1742" s="0" t="n">
        <v>2</v>
      </c>
      <c r="R1742" s="60" t="n">
        <f aca="false">G1742+H1742+I1742</f>
        <v>378.33</v>
      </c>
      <c r="S1742" s="60" t="n">
        <f aca="false">K1742+L1742+M1742+N1742+O1742</f>
        <v>0.22</v>
      </c>
      <c r="T1742" s="60" t="n">
        <f aca="false">L1742+M1742</f>
        <v>0.22</v>
      </c>
      <c r="U1742" s="60" t="n">
        <f aca="false">S1742+J1742</f>
        <v>0.22</v>
      </c>
      <c r="V1742" s="63" t="n">
        <f aca="false">IFERROR(S1742/F1742,0)</f>
        <v>0.000581164971602166</v>
      </c>
      <c r="W1742" s="63" t="n">
        <f aca="false">IFERROR(R1742/F1742,0)</f>
        <v>0.999418835028398</v>
      </c>
      <c r="X1742" s="63" t="n">
        <f aca="false">IFERROR(T1742/F1742,0)</f>
        <v>0.000581164971602166</v>
      </c>
      <c r="Y1742" s="63" t="n">
        <f aca="false">IFERROR(G1742/F1742,0)</f>
        <v>0</v>
      </c>
      <c r="Z1742" s="59" t="n">
        <f aca="false">IF(E1742&gt;0,F1742*1000000000/E1742,"")</f>
        <v>12422.5502151771</v>
      </c>
      <c r="AA1742" s="63" t="n">
        <f aca="false">IFERROR((R1742+S1742+J1742)/F1742,0)</f>
        <v>1</v>
      </c>
      <c r="AB1742" s="0" t="str">
        <f aca="false">A1742&amp;"|"&amp;D1742</f>
        <v>Saudi Arabia|2019</v>
      </c>
    </row>
    <row r="1743" customFormat="false" ht="15" hidden="false" customHeight="false" outlineLevel="0" collapsed="false">
      <c r="A1743" s="0" t="s">
        <v>347</v>
      </c>
      <c r="B1743" s="0" t="s">
        <v>586</v>
      </c>
      <c r="C1743" s="0" t="s">
        <v>127</v>
      </c>
      <c r="D1743" s="0" t="n">
        <v>2020</v>
      </c>
      <c r="E1743" s="59" t="n">
        <v>30991206</v>
      </c>
      <c r="F1743" s="60" t="n">
        <v>380.9</v>
      </c>
      <c r="G1743" s="61" t="n">
        <v>0</v>
      </c>
      <c r="H1743" s="61" t="n">
        <v>231.57</v>
      </c>
      <c r="I1743" s="61" t="n">
        <v>148.41</v>
      </c>
      <c r="J1743" s="61" t="n">
        <v>0</v>
      </c>
      <c r="K1743" s="61" t="n">
        <v>0</v>
      </c>
      <c r="L1743" s="61" t="n">
        <v>0.91</v>
      </c>
      <c r="M1743" s="61" t="n">
        <v>0.01</v>
      </c>
      <c r="N1743" s="61" t="n">
        <v>0</v>
      </c>
      <c r="O1743" s="61" t="n">
        <v>0</v>
      </c>
      <c r="P1743" s="62" t="n">
        <v>701.9</v>
      </c>
      <c r="Q1743" s="0" t="n">
        <v>2</v>
      </c>
      <c r="R1743" s="60" t="n">
        <f aca="false">G1743+H1743+I1743</f>
        <v>379.98</v>
      </c>
      <c r="S1743" s="60" t="n">
        <f aca="false">K1743+L1743+M1743+N1743+O1743</f>
        <v>0.92</v>
      </c>
      <c r="T1743" s="60" t="n">
        <f aca="false">L1743+M1743</f>
        <v>0.92</v>
      </c>
      <c r="U1743" s="60" t="n">
        <f aca="false">S1743+J1743</f>
        <v>0.92</v>
      </c>
      <c r="V1743" s="63" t="n">
        <f aca="false">IFERROR(S1743/F1743,0)</f>
        <v>0.00241533210816487</v>
      </c>
      <c r="W1743" s="63" t="n">
        <f aca="false">IFERROR(R1743/F1743,0)</f>
        <v>0.997584667891835</v>
      </c>
      <c r="X1743" s="63" t="n">
        <f aca="false">IFERROR(T1743/F1743,0)</f>
        <v>0.00241533210816487</v>
      </c>
      <c r="Y1743" s="63" t="n">
        <f aca="false">IFERROR(G1743/F1743,0)</f>
        <v>0</v>
      </c>
      <c r="Z1743" s="59" t="n">
        <f aca="false">IF(E1743&gt;0,F1743*1000000000/E1743,"")</f>
        <v>12290.5833351564</v>
      </c>
      <c r="AA1743" s="63" t="n">
        <f aca="false">IFERROR((R1743+S1743+J1743)/F1743,0)</f>
        <v>1</v>
      </c>
      <c r="AB1743" s="0" t="str">
        <f aca="false">A1743&amp;"|"&amp;D1743</f>
        <v>Saudi Arabia|2020</v>
      </c>
    </row>
    <row r="1744" customFormat="false" ht="15" hidden="false" customHeight="false" outlineLevel="0" collapsed="false">
      <c r="A1744" s="0" t="s">
        <v>347</v>
      </c>
      <c r="B1744" s="0" t="s">
        <v>586</v>
      </c>
      <c r="C1744" s="0" t="s">
        <v>127</v>
      </c>
      <c r="D1744" s="0" t="n">
        <v>2021</v>
      </c>
      <c r="E1744" s="59" t="n">
        <v>31328374</v>
      </c>
      <c r="F1744" s="60" t="n">
        <v>392.95</v>
      </c>
      <c r="G1744" s="61" t="n">
        <v>0</v>
      </c>
      <c r="H1744" s="61" t="n">
        <v>242.09</v>
      </c>
      <c r="I1744" s="61" t="n">
        <v>149.86</v>
      </c>
      <c r="J1744" s="61" t="n">
        <v>0</v>
      </c>
      <c r="K1744" s="61" t="n">
        <v>0</v>
      </c>
      <c r="L1744" s="61" t="n">
        <v>0.99</v>
      </c>
      <c r="M1744" s="61" t="n">
        <v>0.01</v>
      </c>
      <c r="N1744" s="61" t="n">
        <v>0</v>
      </c>
      <c r="O1744" s="61" t="n">
        <v>0</v>
      </c>
      <c r="P1744" s="62" t="n">
        <v>702.4</v>
      </c>
      <c r="Q1744" s="0" t="n">
        <v>2</v>
      </c>
      <c r="R1744" s="60" t="n">
        <f aca="false">G1744+H1744+I1744</f>
        <v>391.95</v>
      </c>
      <c r="S1744" s="60" t="n">
        <f aca="false">K1744+L1744+M1744+N1744+O1744</f>
        <v>1</v>
      </c>
      <c r="T1744" s="60" t="n">
        <f aca="false">L1744+M1744</f>
        <v>1</v>
      </c>
      <c r="U1744" s="60" t="n">
        <f aca="false">S1744+J1744</f>
        <v>1</v>
      </c>
      <c r="V1744" s="63" t="n">
        <f aca="false">IFERROR(S1744/F1744,0)</f>
        <v>0.00254485303473724</v>
      </c>
      <c r="W1744" s="63" t="n">
        <f aca="false">IFERROR(R1744/F1744,0)</f>
        <v>0.997455146965263</v>
      </c>
      <c r="X1744" s="63" t="n">
        <f aca="false">IFERROR(T1744/F1744,0)</f>
        <v>0.00254485303473724</v>
      </c>
      <c r="Y1744" s="63" t="n">
        <f aca="false">IFERROR(G1744/F1744,0)</f>
        <v>0</v>
      </c>
      <c r="Z1744" s="59" t="n">
        <f aca="false">IF(E1744&gt;0,F1744*1000000000/E1744,"")</f>
        <v>12542.9427010799</v>
      </c>
      <c r="AA1744" s="63" t="n">
        <f aca="false">IFERROR((R1744+S1744+J1744)/F1744,0)</f>
        <v>1</v>
      </c>
      <c r="AB1744" s="0" t="str">
        <f aca="false">A1744&amp;"|"&amp;D1744</f>
        <v>Saudi Arabia|2021</v>
      </c>
    </row>
    <row r="1745" customFormat="false" ht="15" hidden="false" customHeight="false" outlineLevel="0" collapsed="false">
      <c r="A1745" s="0" t="s">
        <v>347</v>
      </c>
      <c r="B1745" s="0" t="s">
        <v>586</v>
      </c>
      <c r="C1745" s="0" t="s">
        <v>127</v>
      </c>
      <c r="D1745" s="0" t="n">
        <v>2022</v>
      </c>
      <c r="E1745" s="59" t="n">
        <v>32175351</v>
      </c>
      <c r="F1745" s="60" t="n">
        <v>409.84</v>
      </c>
      <c r="G1745" s="61" t="n">
        <v>0</v>
      </c>
      <c r="H1745" s="61" t="n">
        <v>247.84</v>
      </c>
      <c r="I1745" s="61" t="n">
        <v>159.99</v>
      </c>
      <c r="J1745" s="61" t="n">
        <v>0</v>
      </c>
      <c r="K1745" s="61" t="n">
        <v>0</v>
      </c>
      <c r="L1745" s="61" t="n">
        <v>1.22</v>
      </c>
      <c r="M1745" s="61" t="n">
        <v>0.79</v>
      </c>
      <c r="N1745" s="61" t="n">
        <v>0</v>
      </c>
      <c r="O1745" s="61" t="n">
        <v>0</v>
      </c>
      <c r="P1745" s="62" t="n">
        <v>700</v>
      </c>
      <c r="Q1745" s="0" t="n">
        <v>2</v>
      </c>
      <c r="R1745" s="60" t="n">
        <f aca="false">G1745+H1745+I1745</f>
        <v>407.83</v>
      </c>
      <c r="S1745" s="60" t="n">
        <f aca="false">K1745+L1745+M1745+N1745+O1745</f>
        <v>2.01</v>
      </c>
      <c r="T1745" s="60" t="n">
        <f aca="false">L1745+M1745</f>
        <v>2.01</v>
      </c>
      <c r="U1745" s="60" t="n">
        <f aca="false">S1745+J1745</f>
        <v>2.01</v>
      </c>
      <c r="V1745" s="63" t="n">
        <f aca="false">IFERROR(S1745/F1745,0)</f>
        <v>0.00490435291821199</v>
      </c>
      <c r="W1745" s="63" t="n">
        <f aca="false">IFERROR(R1745/F1745,0)</f>
        <v>0.995095647081788</v>
      </c>
      <c r="X1745" s="63" t="n">
        <f aca="false">IFERROR(T1745/F1745,0)</f>
        <v>0.00490435291821199</v>
      </c>
      <c r="Y1745" s="63" t="n">
        <f aca="false">IFERROR(G1745/F1745,0)</f>
        <v>0</v>
      </c>
      <c r="Z1745" s="59" t="n">
        <f aca="false">IF(E1745&gt;0,F1745*1000000000/E1745,"")</f>
        <v>12737.700981102</v>
      </c>
      <c r="AA1745" s="63" t="n">
        <f aca="false">IFERROR((R1745+S1745+J1745)/F1745,0)</f>
        <v>1</v>
      </c>
      <c r="AB1745" s="0" t="str">
        <f aca="false">A1745&amp;"|"&amp;D1745</f>
        <v>Saudi Arabia|2022</v>
      </c>
    </row>
    <row r="1746" customFormat="false" ht="15" hidden="false" customHeight="false" outlineLevel="0" collapsed="false">
      <c r="A1746" s="0" t="s">
        <v>347</v>
      </c>
      <c r="B1746" s="0" t="s">
        <v>586</v>
      </c>
      <c r="C1746" s="0" t="s">
        <v>127</v>
      </c>
      <c r="D1746" s="0" t="n">
        <v>2023</v>
      </c>
      <c r="E1746" s="59" t="n">
        <v>33264289</v>
      </c>
      <c r="F1746" s="60" t="n">
        <v>429.25</v>
      </c>
      <c r="G1746" s="61" t="n">
        <v>0</v>
      </c>
      <c r="H1746" s="61" t="n">
        <v>265.5</v>
      </c>
      <c r="I1746" s="61" t="n">
        <v>159.03</v>
      </c>
      <c r="J1746" s="61" t="n">
        <v>0</v>
      </c>
      <c r="K1746" s="61" t="n">
        <v>0</v>
      </c>
      <c r="L1746" s="61" t="n">
        <v>3.13</v>
      </c>
      <c r="M1746" s="61" t="n">
        <v>1.59</v>
      </c>
      <c r="N1746" s="61" t="n">
        <v>0</v>
      </c>
      <c r="O1746" s="61" t="n">
        <v>0</v>
      </c>
      <c r="P1746" s="62" t="n">
        <v>697.3</v>
      </c>
      <c r="Q1746" s="0" t="n">
        <v>2</v>
      </c>
      <c r="R1746" s="60" t="n">
        <f aca="false">G1746+H1746+I1746</f>
        <v>424.53</v>
      </c>
      <c r="S1746" s="60" t="n">
        <f aca="false">K1746+L1746+M1746+N1746+O1746</f>
        <v>4.72</v>
      </c>
      <c r="T1746" s="60" t="n">
        <f aca="false">L1746+M1746</f>
        <v>4.72</v>
      </c>
      <c r="U1746" s="60" t="n">
        <f aca="false">S1746+J1746</f>
        <v>4.72</v>
      </c>
      <c r="V1746" s="63" t="n">
        <f aca="false">IFERROR(S1746/F1746,0)</f>
        <v>0.0109959231217239</v>
      </c>
      <c r="W1746" s="63" t="n">
        <f aca="false">IFERROR(R1746/F1746,0)</f>
        <v>0.989004076878276</v>
      </c>
      <c r="X1746" s="63" t="n">
        <f aca="false">IFERROR(T1746/F1746,0)</f>
        <v>0.0109959231217239</v>
      </c>
      <c r="Y1746" s="63" t="n">
        <f aca="false">IFERROR(G1746/F1746,0)</f>
        <v>0</v>
      </c>
      <c r="Z1746" s="59" t="n">
        <f aca="false">IF(E1746&gt;0,F1746*1000000000/E1746,"")</f>
        <v>12904.2289164816</v>
      </c>
      <c r="AA1746" s="63" t="n">
        <f aca="false">IFERROR((R1746+S1746+J1746)/F1746,0)</f>
        <v>1</v>
      </c>
      <c r="AB1746" s="0" t="str">
        <f aca="false">A1746&amp;"|"&amp;D1746</f>
        <v>Saudi Arabia|2023</v>
      </c>
    </row>
    <row r="1747" customFormat="false" ht="15" hidden="false" customHeight="false" outlineLevel="0" collapsed="false">
      <c r="A1747" s="0" t="s">
        <v>347</v>
      </c>
      <c r="B1747" s="0" t="s">
        <v>586</v>
      </c>
      <c r="C1747" s="0" t="s">
        <v>127</v>
      </c>
      <c r="D1747" s="0" t="n">
        <v>2024</v>
      </c>
      <c r="E1747" s="59" t="n">
        <v>33962751</v>
      </c>
      <c r="F1747" s="60" t="n">
        <v>454.64</v>
      </c>
      <c r="G1747" s="61" t="n">
        <v>0</v>
      </c>
      <c r="H1747" s="61" t="n">
        <v>287.98</v>
      </c>
      <c r="I1747" s="61" t="n">
        <v>156.84</v>
      </c>
      <c r="J1747" s="61" t="n">
        <v>0</v>
      </c>
      <c r="K1747" s="61" t="n">
        <v>0</v>
      </c>
      <c r="L1747" s="61" t="n">
        <v>8.23</v>
      </c>
      <c r="M1747" s="61" t="n">
        <v>1.59</v>
      </c>
      <c r="N1747" s="61" t="n">
        <v>0</v>
      </c>
      <c r="O1747" s="61" t="n">
        <v>0</v>
      </c>
      <c r="P1747" s="62" t="n">
        <v>692</v>
      </c>
      <c r="Q1747" s="0" t="n">
        <v>2</v>
      </c>
      <c r="R1747" s="60" t="n">
        <f aca="false">G1747+H1747+I1747</f>
        <v>444.82</v>
      </c>
      <c r="S1747" s="60" t="n">
        <f aca="false">K1747+L1747+M1747+N1747+O1747</f>
        <v>9.82</v>
      </c>
      <c r="T1747" s="60" t="n">
        <f aca="false">L1747+M1747</f>
        <v>9.82</v>
      </c>
      <c r="U1747" s="60" t="n">
        <f aca="false">S1747+J1747</f>
        <v>9.82</v>
      </c>
      <c r="V1747" s="63" t="n">
        <f aca="false">IFERROR(S1747/F1747,0)</f>
        <v>0.0215995073024811</v>
      </c>
      <c r="W1747" s="63" t="n">
        <f aca="false">IFERROR(R1747/F1747,0)</f>
        <v>0.978400492697519</v>
      </c>
      <c r="X1747" s="63" t="n">
        <f aca="false">IFERROR(T1747/F1747,0)</f>
        <v>0.0215995073024811</v>
      </c>
      <c r="Y1747" s="63" t="n">
        <f aca="false">IFERROR(G1747/F1747,0)</f>
        <v>0</v>
      </c>
      <c r="Z1747" s="59" t="n">
        <f aca="false">IF(E1747&gt;0,F1747*1000000000/E1747,"")</f>
        <v>13386.4303277435</v>
      </c>
      <c r="AA1747" s="63" t="n">
        <f aca="false">IFERROR((R1747+S1747+J1747)/F1747,0)</f>
        <v>1</v>
      </c>
      <c r="AB1747" s="0" t="str">
        <f aca="false">A1747&amp;"|"&amp;D1747</f>
        <v>Saudi Arabia|2024</v>
      </c>
    </row>
    <row r="1748" customFormat="false" ht="15" hidden="false" customHeight="false" outlineLevel="0" collapsed="false">
      <c r="A1748" s="0" t="s">
        <v>348</v>
      </c>
      <c r="B1748" s="0" t="s">
        <v>587</v>
      </c>
      <c r="C1748" s="0" t="s">
        <v>127</v>
      </c>
      <c r="D1748" s="0" t="n">
        <v>2015</v>
      </c>
      <c r="E1748" s="59" t="n">
        <v>14593335</v>
      </c>
      <c r="F1748" s="60" t="n">
        <v>4.44</v>
      </c>
      <c r="G1748" s="61" t="n">
        <v>0.2</v>
      </c>
      <c r="H1748" s="61" t="n">
        <v>0.08</v>
      </c>
      <c r="I1748" s="61" t="n">
        <v>3.76</v>
      </c>
      <c r="J1748" s="61" t="n">
        <v>0</v>
      </c>
      <c r="K1748" s="61" t="n">
        <v>0.33</v>
      </c>
      <c r="L1748" s="61" t="n">
        <v>0</v>
      </c>
      <c r="M1748" s="61" t="n">
        <v>0</v>
      </c>
      <c r="N1748" s="61" t="n">
        <v>0.07</v>
      </c>
      <c r="O1748" s="61" t="n">
        <v>0</v>
      </c>
      <c r="P1748" s="62" t="n">
        <v>619.4</v>
      </c>
      <c r="Q1748" s="0" t="n">
        <v>0</v>
      </c>
      <c r="R1748" s="60" t="n">
        <f aca="false">G1748+H1748+I1748</f>
        <v>4.04</v>
      </c>
      <c r="S1748" s="60" t="n">
        <f aca="false">K1748+L1748+M1748+N1748+O1748</f>
        <v>0.4</v>
      </c>
      <c r="T1748" s="60" t="n">
        <f aca="false">L1748+M1748</f>
        <v>0</v>
      </c>
      <c r="U1748" s="60" t="n">
        <f aca="false">S1748+J1748</f>
        <v>0.4</v>
      </c>
      <c r="V1748" s="63" t="n">
        <f aca="false">IFERROR(S1748/F1748,0)</f>
        <v>0.0900900900900901</v>
      </c>
      <c r="W1748" s="63" t="n">
        <f aca="false">IFERROR(R1748/F1748,0)</f>
        <v>0.90990990990991</v>
      </c>
      <c r="X1748" s="63" t="n">
        <f aca="false">IFERROR(T1748/F1748,0)</f>
        <v>0</v>
      </c>
      <c r="Y1748" s="63" t="n">
        <f aca="false">IFERROR(G1748/F1748,0)</f>
        <v>0.045045045045045</v>
      </c>
      <c r="Z1748" s="59" t="n">
        <f aca="false">IF(E1748&gt;0,F1748*1000000000/E1748,"")</f>
        <v>304.248480556364</v>
      </c>
      <c r="AA1748" s="63" t="n">
        <f aca="false">IFERROR((R1748+S1748+J1748)/F1748,0)</f>
        <v>1</v>
      </c>
      <c r="AB1748" s="0" t="str">
        <f aca="false">A1748&amp;"|"&amp;D1748</f>
        <v>Senegal|2015</v>
      </c>
    </row>
    <row r="1749" customFormat="false" ht="15" hidden="false" customHeight="false" outlineLevel="0" collapsed="false">
      <c r="A1749" s="0" t="s">
        <v>348</v>
      </c>
      <c r="B1749" s="0" t="s">
        <v>587</v>
      </c>
      <c r="C1749" s="0" t="s">
        <v>127</v>
      </c>
      <c r="D1749" s="0" t="n">
        <v>2016</v>
      </c>
      <c r="E1749" s="59" t="n">
        <v>15034517</v>
      </c>
      <c r="F1749" s="60" t="n">
        <v>4.78</v>
      </c>
      <c r="G1749" s="61" t="n">
        <v>0.39</v>
      </c>
      <c r="H1749" s="61" t="n">
        <v>0.08</v>
      </c>
      <c r="I1749" s="61" t="n">
        <v>3.88</v>
      </c>
      <c r="J1749" s="61" t="n">
        <v>0</v>
      </c>
      <c r="K1749" s="61" t="n">
        <v>0.36</v>
      </c>
      <c r="L1749" s="61" t="n">
        <v>0.01</v>
      </c>
      <c r="M1749" s="61" t="n">
        <v>0</v>
      </c>
      <c r="N1749" s="61" t="n">
        <v>0.06</v>
      </c>
      <c r="O1749" s="61" t="n">
        <v>0</v>
      </c>
      <c r="P1749" s="62" t="n">
        <v>623.4</v>
      </c>
      <c r="Q1749" s="0" t="n">
        <v>0</v>
      </c>
      <c r="R1749" s="60" t="n">
        <f aca="false">G1749+H1749+I1749</f>
        <v>4.35</v>
      </c>
      <c r="S1749" s="60" t="n">
        <f aca="false">K1749+L1749+M1749+N1749+O1749</f>
        <v>0.43</v>
      </c>
      <c r="T1749" s="60" t="n">
        <f aca="false">L1749+M1749</f>
        <v>0.01</v>
      </c>
      <c r="U1749" s="60" t="n">
        <f aca="false">S1749+J1749</f>
        <v>0.43</v>
      </c>
      <c r="V1749" s="63" t="n">
        <f aca="false">IFERROR(S1749/F1749,0)</f>
        <v>0.0899581589958159</v>
      </c>
      <c r="W1749" s="63" t="n">
        <f aca="false">IFERROR(R1749/F1749,0)</f>
        <v>0.910041841004184</v>
      </c>
      <c r="X1749" s="63" t="n">
        <f aca="false">IFERROR(T1749/F1749,0)</f>
        <v>0.00209205020920502</v>
      </c>
      <c r="Y1749" s="63" t="n">
        <f aca="false">IFERROR(G1749/F1749,0)</f>
        <v>0.0815899581589958</v>
      </c>
      <c r="Z1749" s="59" t="n">
        <f aca="false">IF(E1749&gt;0,F1749*1000000000/E1749,"")</f>
        <v>317.935055712132</v>
      </c>
      <c r="AA1749" s="63" t="n">
        <f aca="false">IFERROR((R1749+S1749+J1749)/F1749,0)</f>
        <v>1</v>
      </c>
      <c r="AB1749" s="0" t="str">
        <f aca="false">A1749&amp;"|"&amp;D1749</f>
        <v>Senegal|2016</v>
      </c>
    </row>
    <row r="1750" customFormat="false" ht="15" hidden="false" customHeight="false" outlineLevel="0" collapsed="false">
      <c r="A1750" s="0" t="s">
        <v>348</v>
      </c>
      <c r="B1750" s="0" t="s">
        <v>587</v>
      </c>
      <c r="C1750" s="0" t="s">
        <v>127</v>
      </c>
      <c r="D1750" s="0" t="n">
        <v>2017</v>
      </c>
      <c r="E1750" s="59" t="n">
        <v>15475001</v>
      </c>
      <c r="F1750" s="60" t="n">
        <v>4.72</v>
      </c>
      <c r="G1750" s="61" t="n">
        <v>0.31</v>
      </c>
      <c r="H1750" s="61" t="n">
        <v>0.06</v>
      </c>
      <c r="I1750" s="61" t="n">
        <v>3.82</v>
      </c>
      <c r="J1750" s="61" t="n">
        <v>0</v>
      </c>
      <c r="K1750" s="61" t="n">
        <v>0.36</v>
      </c>
      <c r="L1750" s="61" t="n">
        <v>0.09</v>
      </c>
      <c r="M1750" s="61" t="n">
        <v>0</v>
      </c>
      <c r="N1750" s="61" t="n">
        <v>0.08</v>
      </c>
      <c r="O1750" s="61" t="n">
        <v>0</v>
      </c>
      <c r="P1750" s="62" t="n">
        <v>608</v>
      </c>
      <c r="Q1750" s="0" t="n">
        <v>0</v>
      </c>
      <c r="R1750" s="60" t="n">
        <f aca="false">G1750+H1750+I1750</f>
        <v>4.19</v>
      </c>
      <c r="S1750" s="60" t="n">
        <f aca="false">K1750+L1750+M1750+N1750+O1750</f>
        <v>0.53</v>
      </c>
      <c r="T1750" s="60" t="n">
        <f aca="false">L1750+M1750</f>
        <v>0.09</v>
      </c>
      <c r="U1750" s="60" t="n">
        <f aca="false">S1750+J1750</f>
        <v>0.53</v>
      </c>
      <c r="V1750" s="63" t="n">
        <f aca="false">IFERROR(S1750/F1750,0)</f>
        <v>0.11228813559322</v>
      </c>
      <c r="W1750" s="63" t="n">
        <f aca="false">IFERROR(R1750/F1750,0)</f>
        <v>0.88771186440678</v>
      </c>
      <c r="X1750" s="63" t="n">
        <f aca="false">IFERROR(T1750/F1750,0)</f>
        <v>0.0190677966101695</v>
      </c>
      <c r="Y1750" s="63" t="n">
        <f aca="false">IFERROR(G1750/F1750,0)</f>
        <v>0.0656779661016949</v>
      </c>
      <c r="Z1750" s="59" t="n">
        <f aca="false">IF(E1750&gt;0,F1750*1000000000/E1750,"")</f>
        <v>305.008057834697</v>
      </c>
      <c r="AA1750" s="63" t="n">
        <f aca="false">IFERROR((R1750+S1750+J1750)/F1750,0)</f>
        <v>1</v>
      </c>
      <c r="AB1750" s="0" t="str">
        <f aca="false">A1750&amp;"|"&amp;D1750</f>
        <v>Senegal|2017</v>
      </c>
    </row>
    <row r="1751" customFormat="false" ht="15" hidden="false" customHeight="false" outlineLevel="0" collapsed="false">
      <c r="A1751" s="0" t="s">
        <v>348</v>
      </c>
      <c r="B1751" s="0" t="s">
        <v>587</v>
      </c>
      <c r="C1751" s="0" t="s">
        <v>127</v>
      </c>
      <c r="D1751" s="0" t="n">
        <v>2018</v>
      </c>
      <c r="E1751" s="59" t="n">
        <v>15914495</v>
      </c>
      <c r="F1751" s="60" t="n">
        <v>4.94</v>
      </c>
      <c r="G1751" s="61" t="n">
        <v>0.49</v>
      </c>
      <c r="H1751" s="61" t="n">
        <v>0.04</v>
      </c>
      <c r="I1751" s="61" t="n">
        <v>3.71</v>
      </c>
      <c r="J1751" s="61" t="n">
        <v>0</v>
      </c>
      <c r="K1751" s="61" t="n">
        <v>0.36</v>
      </c>
      <c r="L1751" s="61" t="n">
        <v>0.25</v>
      </c>
      <c r="M1751" s="61" t="n">
        <v>0</v>
      </c>
      <c r="N1751" s="61" t="n">
        <v>0.09</v>
      </c>
      <c r="O1751" s="61" t="n">
        <v>0</v>
      </c>
      <c r="P1751" s="62" t="n">
        <v>595.1</v>
      </c>
      <c r="Q1751" s="0" t="n">
        <v>0</v>
      </c>
      <c r="R1751" s="60" t="n">
        <f aca="false">G1751+H1751+I1751</f>
        <v>4.24</v>
      </c>
      <c r="S1751" s="60" t="n">
        <f aca="false">K1751+L1751+M1751+N1751+O1751</f>
        <v>0.7</v>
      </c>
      <c r="T1751" s="60" t="n">
        <f aca="false">L1751+M1751</f>
        <v>0.25</v>
      </c>
      <c r="U1751" s="60" t="n">
        <f aca="false">S1751+J1751</f>
        <v>0.7</v>
      </c>
      <c r="V1751" s="63" t="n">
        <f aca="false">IFERROR(S1751/F1751,0)</f>
        <v>0.1417004048583</v>
      </c>
      <c r="W1751" s="63" t="n">
        <f aca="false">IFERROR(R1751/F1751,0)</f>
        <v>0.8582995951417</v>
      </c>
      <c r="X1751" s="63" t="n">
        <f aca="false">IFERROR(T1751/F1751,0)</f>
        <v>0.0506072874493927</v>
      </c>
      <c r="Y1751" s="63" t="n">
        <f aca="false">IFERROR(G1751/F1751,0)</f>
        <v>0.0991902834008097</v>
      </c>
      <c r="Z1751" s="59" t="n">
        <f aca="false">IF(E1751&gt;0,F1751*1000000000/E1751,"")</f>
        <v>310.408844264301</v>
      </c>
      <c r="AA1751" s="63" t="n">
        <f aca="false">IFERROR((R1751+S1751+J1751)/F1751,0)</f>
        <v>1</v>
      </c>
      <c r="AB1751" s="0" t="str">
        <f aca="false">A1751&amp;"|"&amp;D1751</f>
        <v>Senegal|2018</v>
      </c>
    </row>
    <row r="1752" customFormat="false" ht="15" hidden="false" customHeight="false" outlineLevel="0" collapsed="false">
      <c r="A1752" s="0" t="s">
        <v>348</v>
      </c>
      <c r="B1752" s="0" t="s">
        <v>587</v>
      </c>
      <c r="C1752" s="0" t="s">
        <v>127</v>
      </c>
      <c r="D1752" s="0" t="n">
        <v>2019</v>
      </c>
      <c r="E1752" s="59" t="n">
        <v>16352926</v>
      </c>
      <c r="F1752" s="60" t="n">
        <v>5.82</v>
      </c>
      <c r="G1752" s="61" t="n">
        <v>0.76</v>
      </c>
      <c r="H1752" s="61" t="n">
        <v>0.06</v>
      </c>
      <c r="I1752" s="61" t="n">
        <v>4.22</v>
      </c>
      <c r="J1752" s="61" t="n">
        <v>0</v>
      </c>
      <c r="K1752" s="61" t="n">
        <v>0.31</v>
      </c>
      <c r="L1752" s="61" t="n">
        <v>0.33</v>
      </c>
      <c r="M1752" s="61" t="n">
        <v>0.02</v>
      </c>
      <c r="N1752" s="61" t="n">
        <v>0.12</v>
      </c>
      <c r="O1752" s="61" t="n">
        <v>0</v>
      </c>
      <c r="P1752" s="62" t="n">
        <v>610</v>
      </c>
      <c r="Q1752" s="0" t="n">
        <v>0</v>
      </c>
      <c r="R1752" s="60" t="n">
        <f aca="false">G1752+H1752+I1752</f>
        <v>5.04</v>
      </c>
      <c r="S1752" s="60" t="n">
        <f aca="false">K1752+L1752+M1752+N1752+O1752</f>
        <v>0.78</v>
      </c>
      <c r="T1752" s="60" t="n">
        <f aca="false">L1752+M1752</f>
        <v>0.35</v>
      </c>
      <c r="U1752" s="60" t="n">
        <f aca="false">S1752+J1752</f>
        <v>0.78</v>
      </c>
      <c r="V1752" s="63" t="n">
        <f aca="false">IFERROR(S1752/F1752,0)</f>
        <v>0.134020618556701</v>
      </c>
      <c r="W1752" s="63" t="n">
        <f aca="false">IFERROR(R1752/F1752,0)</f>
        <v>0.865979381443299</v>
      </c>
      <c r="X1752" s="63" t="n">
        <f aca="false">IFERROR(T1752/F1752,0)</f>
        <v>0.0601374570446735</v>
      </c>
      <c r="Y1752" s="63" t="n">
        <f aca="false">IFERROR(G1752/F1752,0)</f>
        <v>0.130584192439863</v>
      </c>
      <c r="Z1752" s="59" t="n">
        <f aca="false">IF(E1752&gt;0,F1752*1000000000/E1752,"")</f>
        <v>355.899610870862</v>
      </c>
      <c r="AA1752" s="63" t="n">
        <f aca="false">IFERROR((R1752+S1752+J1752)/F1752,0)</f>
        <v>1</v>
      </c>
      <c r="AB1752" s="0" t="str">
        <f aca="false">A1752&amp;"|"&amp;D1752</f>
        <v>Senegal|2019</v>
      </c>
    </row>
    <row r="1753" customFormat="false" ht="15" hidden="false" customHeight="false" outlineLevel="0" collapsed="false">
      <c r="A1753" s="0" t="s">
        <v>348</v>
      </c>
      <c r="B1753" s="0" t="s">
        <v>587</v>
      </c>
      <c r="C1753" s="0" t="s">
        <v>127</v>
      </c>
      <c r="D1753" s="0" t="n">
        <v>2020</v>
      </c>
      <c r="E1753" s="59" t="n">
        <v>16789217</v>
      </c>
      <c r="F1753" s="60" t="n">
        <v>6.06</v>
      </c>
      <c r="G1753" s="61" t="n">
        <v>0.15</v>
      </c>
      <c r="H1753" s="61" t="n">
        <v>0.05</v>
      </c>
      <c r="I1753" s="61" t="n">
        <v>4.84</v>
      </c>
      <c r="J1753" s="61" t="n">
        <v>0</v>
      </c>
      <c r="K1753" s="61" t="n">
        <v>0.31</v>
      </c>
      <c r="L1753" s="61" t="n">
        <v>0.38</v>
      </c>
      <c r="M1753" s="61" t="n">
        <v>0.22</v>
      </c>
      <c r="N1753" s="61" t="n">
        <v>0.11</v>
      </c>
      <c r="O1753" s="61" t="n">
        <v>0</v>
      </c>
      <c r="P1753" s="62" t="n">
        <v>562.7</v>
      </c>
      <c r="Q1753" s="0" t="n">
        <v>0</v>
      </c>
      <c r="R1753" s="60" t="n">
        <f aca="false">G1753+H1753+I1753</f>
        <v>5.04</v>
      </c>
      <c r="S1753" s="60" t="n">
        <f aca="false">K1753+L1753+M1753+N1753+O1753</f>
        <v>1.02</v>
      </c>
      <c r="T1753" s="60" t="n">
        <f aca="false">L1753+M1753</f>
        <v>0.6</v>
      </c>
      <c r="U1753" s="60" t="n">
        <f aca="false">S1753+J1753</f>
        <v>1.02</v>
      </c>
      <c r="V1753" s="63" t="n">
        <f aca="false">IFERROR(S1753/F1753,0)</f>
        <v>0.168316831683168</v>
      </c>
      <c r="W1753" s="63" t="n">
        <f aca="false">IFERROR(R1753/F1753,0)</f>
        <v>0.831683168316832</v>
      </c>
      <c r="X1753" s="63" t="n">
        <f aca="false">IFERROR(T1753/F1753,0)</f>
        <v>0.099009900990099</v>
      </c>
      <c r="Y1753" s="63" t="n">
        <f aca="false">IFERROR(G1753/F1753,0)</f>
        <v>0.0247524752475248</v>
      </c>
      <c r="Z1753" s="59" t="n">
        <f aca="false">IF(E1753&gt;0,F1753*1000000000/E1753,"")</f>
        <v>360.945957158097</v>
      </c>
      <c r="AA1753" s="63" t="n">
        <f aca="false">IFERROR((R1753+S1753+J1753)/F1753,0)</f>
        <v>1</v>
      </c>
      <c r="AB1753" s="0" t="str">
        <f aca="false">A1753&amp;"|"&amp;D1753</f>
        <v>Senegal|2020</v>
      </c>
    </row>
    <row r="1754" customFormat="false" ht="15" hidden="false" customHeight="false" outlineLevel="0" collapsed="false">
      <c r="A1754" s="0" t="s">
        <v>348</v>
      </c>
      <c r="B1754" s="0" t="s">
        <v>587</v>
      </c>
      <c r="C1754" s="0" t="s">
        <v>127</v>
      </c>
      <c r="D1754" s="0" t="n">
        <v>2021</v>
      </c>
      <c r="E1754" s="59" t="n">
        <v>17220866</v>
      </c>
      <c r="F1754" s="60" t="n">
        <v>6.66</v>
      </c>
      <c r="G1754" s="61" t="n">
        <v>0.4</v>
      </c>
      <c r="H1754" s="61" t="n">
        <v>0.02</v>
      </c>
      <c r="I1754" s="61" t="n">
        <v>4.89</v>
      </c>
      <c r="J1754" s="61" t="n">
        <v>0</v>
      </c>
      <c r="K1754" s="61" t="n">
        <v>0.31</v>
      </c>
      <c r="L1754" s="61" t="n">
        <v>0.54</v>
      </c>
      <c r="M1754" s="61" t="n">
        <v>0.4</v>
      </c>
      <c r="N1754" s="61" t="n">
        <v>0.1</v>
      </c>
      <c r="O1754" s="61" t="n">
        <v>0</v>
      </c>
      <c r="P1754" s="62" t="n">
        <v>546.5</v>
      </c>
      <c r="Q1754" s="0" t="n">
        <v>0</v>
      </c>
      <c r="R1754" s="60" t="n">
        <f aca="false">G1754+H1754+I1754</f>
        <v>5.31</v>
      </c>
      <c r="S1754" s="60" t="n">
        <f aca="false">K1754+L1754+M1754+N1754+O1754</f>
        <v>1.35</v>
      </c>
      <c r="T1754" s="60" t="n">
        <f aca="false">L1754+M1754</f>
        <v>0.94</v>
      </c>
      <c r="U1754" s="60" t="n">
        <f aca="false">S1754+J1754</f>
        <v>1.35</v>
      </c>
      <c r="V1754" s="63" t="n">
        <f aca="false">IFERROR(S1754/F1754,0)</f>
        <v>0.202702702702703</v>
      </c>
      <c r="W1754" s="63" t="n">
        <f aca="false">IFERROR(R1754/F1754,0)</f>
        <v>0.797297297297297</v>
      </c>
      <c r="X1754" s="63" t="n">
        <f aca="false">IFERROR(T1754/F1754,0)</f>
        <v>0.141141141141141</v>
      </c>
      <c r="Y1754" s="63" t="n">
        <f aca="false">IFERROR(G1754/F1754,0)</f>
        <v>0.0600600600600601</v>
      </c>
      <c r="Z1754" s="59" t="n">
        <f aca="false">IF(E1754&gt;0,F1754*1000000000/E1754,"")</f>
        <v>386.740132581021</v>
      </c>
      <c r="AA1754" s="63" t="n">
        <f aca="false">IFERROR((R1754+S1754+J1754)/F1754,0)</f>
        <v>1</v>
      </c>
      <c r="AB1754" s="0" t="str">
        <f aca="false">A1754&amp;"|"&amp;D1754</f>
        <v>Senegal|2021</v>
      </c>
    </row>
    <row r="1755" customFormat="false" ht="15" hidden="false" customHeight="false" outlineLevel="0" collapsed="false">
      <c r="A1755" s="0" t="s">
        <v>348</v>
      </c>
      <c r="B1755" s="0" t="s">
        <v>587</v>
      </c>
      <c r="C1755" s="0" t="s">
        <v>127</v>
      </c>
      <c r="D1755" s="0" t="n">
        <v>2022</v>
      </c>
      <c r="E1755" s="59" t="n">
        <v>17651099</v>
      </c>
      <c r="F1755" s="60" t="n">
        <v>7.16</v>
      </c>
      <c r="G1755" s="61" t="n">
        <v>0.47</v>
      </c>
      <c r="H1755" s="61" t="n">
        <v>0.02</v>
      </c>
      <c r="I1755" s="61" t="n">
        <v>5.26</v>
      </c>
      <c r="J1755" s="61" t="n">
        <v>0</v>
      </c>
      <c r="K1755" s="61" t="n">
        <v>0.31</v>
      </c>
      <c r="L1755" s="61" t="n">
        <v>0.59</v>
      </c>
      <c r="M1755" s="61" t="n">
        <v>0.4</v>
      </c>
      <c r="N1755" s="61" t="n">
        <v>0.11</v>
      </c>
      <c r="O1755" s="61" t="n">
        <v>0</v>
      </c>
      <c r="P1755" s="62" t="n">
        <v>550.3</v>
      </c>
      <c r="Q1755" s="0" t="n">
        <v>0</v>
      </c>
      <c r="R1755" s="60" t="n">
        <f aca="false">G1755+H1755+I1755</f>
        <v>5.75</v>
      </c>
      <c r="S1755" s="60" t="n">
        <f aca="false">K1755+L1755+M1755+N1755+O1755</f>
        <v>1.41</v>
      </c>
      <c r="T1755" s="60" t="n">
        <f aca="false">L1755+M1755</f>
        <v>0.99</v>
      </c>
      <c r="U1755" s="60" t="n">
        <f aca="false">S1755+J1755</f>
        <v>1.41</v>
      </c>
      <c r="V1755" s="63" t="n">
        <f aca="false">IFERROR(S1755/F1755,0)</f>
        <v>0.196927374301676</v>
      </c>
      <c r="W1755" s="63" t="n">
        <f aca="false">IFERROR(R1755/F1755,0)</f>
        <v>0.803072625698324</v>
      </c>
      <c r="X1755" s="63" t="n">
        <f aca="false">IFERROR(T1755/F1755,0)</f>
        <v>0.138268156424581</v>
      </c>
      <c r="Y1755" s="63" t="n">
        <f aca="false">IFERROR(G1755/F1755,0)</f>
        <v>0.0656424581005587</v>
      </c>
      <c r="Z1755" s="59" t="n">
        <f aca="false">IF(E1755&gt;0,F1755*1000000000/E1755,"")</f>
        <v>405.640464653221</v>
      </c>
      <c r="AA1755" s="63" t="n">
        <f aca="false">IFERROR((R1755+S1755+J1755)/F1755,0)</f>
        <v>1</v>
      </c>
      <c r="AB1755" s="0" t="str">
        <f aca="false">A1755&amp;"|"&amp;D1755</f>
        <v>Senegal|2022</v>
      </c>
    </row>
    <row r="1756" customFormat="false" ht="15" hidden="false" customHeight="false" outlineLevel="0" collapsed="false">
      <c r="A1756" s="0" t="s">
        <v>348</v>
      </c>
      <c r="B1756" s="0" t="s">
        <v>587</v>
      </c>
      <c r="C1756" s="0" t="s">
        <v>127</v>
      </c>
      <c r="D1756" s="0" t="n">
        <v>2023</v>
      </c>
      <c r="E1756" s="59" t="n">
        <v>18077573</v>
      </c>
      <c r="F1756" s="60" t="n">
        <v>8.2</v>
      </c>
      <c r="G1756" s="61" t="n">
        <v>0.09</v>
      </c>
      <c r="H1756" s="61" t="n">
        <v>0.02</v>
      </c>
      <c r="I1756" s="61" t="n">
        <v>6.7</v>
      </c>
      <c r="J1756" s="61" t="n">
        <v>0</v>
      </c>
      <c r="K1756" s="61" t="n">
        <v>0.31</v>
      </c>
      <c r="L1756" s="61" t="n">
        <v>0.59</v>
      </c>
      <c r="M1756" s="61" t="n">
        <v>0.38</v>
      </c>
      <c r="N1756" s="61" t="n">
        <v>0.11</v>
      </c>
      <c r="O1756" s="61" t="n">
        <v>0</v>
      </c>
      <c r="P1756" s="62" t="n">
        <v>557.3</v>
      </c>
      <c r="Q1756" s="0" t="n">
        <v>0</v>
      </c>
      <c r="R1756" s="60" t="n">
        <f aca="false">G1756+H1756+I1756</f>
        <v>6.81</v>
      </c>
      <c r="S1756" s="60" t="n">
        <f aca="false">K1756+L1756+M1756+N1756+O1756</f>
        <v>1.39</v>
      </c>
      <c r="T1756" s="60" t="n">
        <f aca="false">L1756+M1756</f>
        <v>0.97</v>
      </c>
      <c r="U1756" s="60" t="n">
        <f aca="false">S1756+J1756</f>
        <v>1.39</v>
      </c>
      <c r="V1756" s="63" t="n">
        <f aca="false">IFERROR(S1756/F1756,0)</f>
        <v>0.169512195121951</v>
      </c>
      <c r="W1756" s="63" t="n">
        <f aca="false">IFERROR(R1756/F1756,0)</f>
        <v>0.830487804878049</v>
      </c>
      <c r="X1756" s="63" t="n">
        <f aca="false">IFERROR(T1756/F1756,0)</f>
        <v>0.118292682926829</v>
      </c>
      <c r="Y1756" s="63" t="n">
        <f aca="false">IFERROR(G1756/F1756,0)</f>
        <v>0.0109756097560976</v>
      </c>
      <c r="Z1756" s="59" t="n">
        <f aca="false">IF(E1756&gt;0,F1756*1000000000/E1756,"")</f>
        <v>453.600712883306</v>
      </c>
      <c r="AA1756" s="63" t="n">
        <f aca="false">IFERROR((R1756+S1756+J1756)/F1756,0)</f>
        <v>1</v>
      </c>
      <c r="AB1756" s="0" t="str">
        <f aca="false">A1756&amp;"|"&amp;D1756</f>
        <v>Senegal|2023</v>
      </c>
    </row>
    <row r="1757" customFormat="false" ht="15" hidden="false" customHeight="false" outlineLevel="0" collapsed="false">
      <c r="A1757" s="0" t="s">
        <v>348</v>
      </c>
      <c r="B1757" s="0" t="s">
        <v>587</v>
      </c>
      <c r="C1757" s="0" t="s">
        <v>127</v>
      </c>
      <c r="D1757" s="0" t="n">
        <v>2024</v>
      </c>
      <c r="E1757" s="59" t="n">
        <v>18501988</v>
      </c>
      <c r="F1757" s="60" t="n">
        <v>7.63</v>
      </c>
      <c r="G1757" s="61" t="n">
        <v>0.1</v>
      </c>
      <c r="H1757" s="61" t="n">
        <v>0.02</v>
      </c>
      <c r="I1757" s="61" t="n">
        <v>6</v>
      </c>
      <c r="J1757" s="61" t="n">
        <v>0</v>
      </c>
      <c r="K1757" s="61" t="n">
        <v>0.31</v>
      </c>
      <c r="L1757" s="61" t="n">
        <v>0.68</v>
      </c>
      <c r="M1757" s="61" t="n">
        <v>0.41</v>
      </c>
      <c r="N1757" s="61" t="n">
        <v>0.11</v>
      </c>
      <c r="O1757" s="61" t="n">
        <v>0</v>
      </c>
      <c r="P1757" s="62" t="n">
        <v>540</v>
      </c>
      <c r="Q1757" s="0" t="n">
        <v>0</v>
      </c>
      <c r="R1757" s="60" t="n">
        <f aca="false">G1757+H1757+I1757</f>
        <v>6.12</v>
      </c>
      <c r="S1757" s="60" t="n">
        <f aca="false">K1757+L1757+M1757+N1757+O1757</f>
        <v>1.51</v>
      </c>
      <c r="T1757" s="60" t="n">
        <f aca="false">L1757+M1757</f>
        <v>1.09</v>
      </c>
      <c r="U1757" s="60" t="n">
        <f aca="false">S1757+J1757</f>
        <v>1.51</v>
      </c>
      <c r="V1757" s="63" t="n">
        <f aca="false">IFERROR(S1757/F1757,0)</f>
        <v>0.197903014416776</v>
      </c>
      <c r="W1757" s="63" t="n">
        <f aca="false">IFERROR(R1757/F1757,0)</f>
        <v>0.802096985583224</v>
      </c>
      <c r="X1757" s="63" t="n">
        <f aca="false">IFERROR(T1757/F1757,0)</f>
        <v>0.142857142857143</v>
      </c>
      <c r="Y1757" s="63" t="n">
        <f aca="false">IFERROR(G1757/F1757,0)</f>
        <v>0.0131061598951507</v>
      </c>
      <c r="Z1757" s="59" t="n">
        <f aca="false">IF(E1757&gt;0,F1757*1000000000/E1757,"")</f>
        <v>412.388117428246</v>
      </c>
      <c r="AA1757" s="63" t="n">
        <f aca="false">IFERROR((R1757+S1757+J1757)/F1757,0)</f>
        <v>1</v>
      </c>
      <c r="AB1757" s="0" t="str">
        <f aca="false">A1757&amp;"|"&amp;D1757</f>
        <v>Senegal|2024</v>
      </c>
    </row>
    <row r="1758" customFormat="false" ht="15" hidden="false" customHeight="false" outlineLevel="0" collapsed="false">
      <c r="A1758" s="0" t="s">
        <v>349</v>
      </c>
      <c r="B1758" s="0" t="s">
        <v>588</v>
      </c>
      <c r="C1758" s="0" t="s">
        <v>127</v>
      </c>
      <c r="D1758" s="0" t="n">
        <v>2015</v>
      </c>
      <c r="E1758" s="59" t="n">
        <v>7177257</v>
      </c>
      <c r="F1758" s="60" t="n">
        <v>37.59</v>
      </c>
      <c r="G1758" s="61" t="n">
        <v>27.16</v>
      </c>
      <c r="H1758" s="61" t="n">
        <v>0.22</v>
      </c>
      <c r="I1758" s="61" t="n">
        <v>0.1</v>
      </c>
      <c r="J1758" s="61" t="n">
        <v>0</v>
      </c>
      <c r="K1758" s="61" t="n">
        <v>10.08</v>
      </c>
      <c r="L1758" s="61" t="n">
        <v>0.01</v>
      </c>
      <c r="M1758" s="61" t="n">
        <v>0</v>
      </c>
      <c r="N1758" s="61" t="n">
        <v>0.02</v>
      </c>
      <c r="O1758" s="61" t="n">
        <v>0</v>
      </c>
      <c r="P1758" s="62" t="n">
        <v>744.4</v>
      </c>
      <c r="Q1758" s="0" t="n">
        <v>0</v>
      </c>
      <c r="R1758" s="60" t="n">
        <f aca="false">G1758+H1758+I1758</f>
        <v>27.48</v>
      </c>
      <c r="S1758" s="60" t="n">
        <f aca="false">K1758+L1758+M1758+N1758+O1758</f>
        <v>10.11</v>
      </c>
      <c r="T1758" s="60" t="n">
        <f aca="false">L1758+M1758</f>
        <v>0.01</v>
      </c>
      <c r="U1758" s="60" t="n">
        <f aca="false">S1758+J1758</f>
        <v>10.11</v>
      </c>
      <c r="V1758" s="63" t="n">
        <f aca="false">IFERROR(S1758/F1758,0)</f>
        <v>0.268954509177973</v>
      </c>
      <c r="W1758" s="63" t="n">
        <f aca="false">IFERROR(R1758/F1758,0)</f>
        <v>0.731045490822027</v>
      </c>
      <c r="X1758" s="63" t="n">
        <f aca="false">IFERROR(T1758/F1758,0)</f>
        <v>0.000266028198989093</v>
      </c>
      <c r="Y1758" s="63" t="n">
        <f aca="false">IFERROR(G1758/F1758,0)</f>
        <v>0.722532588454376</v>
      </c>
      <c r="Z1758" s="59" t="n">
        <f aca="false">IF(E1758&gt;0,F1758*1000000000/E1758,"")</f>
        <v>5237.37689760866</v>
      </c>
      <c r="AA1758" s="63" t="n">
        <f aca="false">IFERROR((R1758+S1758+J1758)/F1758,0)</f>
        <v>1</v>
      </c>
      <c r="AB1758" s="0" t="str">
        <f aca="false">A1758&amp;"|"&amp;D1758</f>
        <v>Serbia|2015</v>
      </c>
    </row>
    <row r="1759" customFormat="false" ht="15" hidden="false" customHeight="false" outlineLevel="0" collapsed="false">
      <c r="A1759" s="0" t="s">
        <v>349</v>
      </c>
      <c r="B1759" s="0" t="s">
        <v>588</v>
      </c>
      <c r="C1759" s="0" t="s">
        <v>127</v>
      </c>
      <c r="D1759" s="0" t="n">
        <v>2016</v>
      </c>
      <c r="E1759" s="59" t="n">
        <v>7126083</v>
      </c>
      <c r="F1759" s="60" t="n">
        <v>38.61</v>
      </c>
      <c r="G1759" s="61" t="n">
        <v>27.24</v>
      </c>
      <c r="H1759" s="61" t="n">
        <v>0.38</v>
      </c>
      <c r="I1759" s="61" t="n">
        <v>0.13</v>
      </c>
      <c r="J1759" s="61" t="n">
        <v>0</v>
      </c>
      <c r="K1759" s="61" t="n">
        <v>10.79</v>
      </c>
      <c r="L1759" s="61" t="n">
        <v>0.01</v>
      </c>
      <c r="M1759" s="61" t="n">
        <v>0.03</v>
      </c>
      <c r="N1759" s="61" t="n">
        <v>0.03</v>
      </c>
      <c r="O1759" s="61" t="n">
        <v>0</v>
      </c>
      <c r="P1759" s="62" t="n">
        <v>729.9</v>
      </c>
      <c r="Q1759" s="0" t="n">
        <v>0</v>
      </c>
      <c r="R1759" s="60" t="n">
        <f aca="false">G1759+H1759+I1759</f>
        <v>27.75</v>
      </c>
      <c r="S1759" s="60" t="n">
        <f aca="false">K1759+L1759+M1759+N1759+O1759</f>
        <v>10.86</v>
      </c>
      <c r="T1759" s="60" t="n">
        <f aca="false">L1759+M1759</f>
        <v>0.04</v>
      </c>
      <c r="U1759" s="60" t="n">
        <f aca="false">S1759+J1759</f>
        <v>10.86</v>
      </c>
      <c r="V1759" s="63" t="n">
        <f aca="false">IFERROR(S1759/F1759,0)</f>
        <v>0.281274281274281</v>
      </c>
      <c r="W1759" s="63" t="n">
        <f aca="false">IFERROR(R1759/F1759,0)</f>
        <v>0.718725718725719</v>
      </c>
      <c r="X1759" s="63" t="n">
        <f aca="false">IFERROR(T1759/F1759,0)</f>
        <v>0.00103600103600104</v>
      </c>
      <c r="Y1759" s="63" t="n">
        <f aca="false">IFERROR(G1759/F1759,0)</f>
        <v>0.705516705516706</v>
      </c>
      <c r="Z1759" s="59" t="n">
        <f aca="false">IF(E1759&gt;0,F1759*1000000000/E1759,"")</f>
        <v>5418.12381360139</v>
      </c>
      <c r="AA1759" s="63" t="n">
        <f aca="false">IFERROR((R1759+S1759+J1759)/F1759,0)</f>
        <v>1</v>
      </c>
      <c r="AB1759" s="0" t="str">
        <f aca="false">A1759&amp;"|"&amp;D1759</f>
        <v>Serbia|2016</v>
      </c>
    </row>
    <row r="1760" customFormat="false" ht="15" hidden="false" customHeight="false" outlineLevel="0" collapsed="false">
      <c r="A1760" s="0" t="s">
        <v>349</v>
      </c>
      <c r="B1760" s="0" t="s">
        <v>588</v>
      </c>
      <c r="C1760" s="0" t="s">
        <v>127</v>
      </c>
      <c r="D1760" s="0" t="n">
        <v>2017</v>
      </c>
      <c r="E1760" s="59" t="n">
        <v>7073507</v>
      </c>
      <c r="F1760" s="60" t="n">
        <v>36.44</v>
      </c>
      <c r="G1760" s="61" t="n">
        <v>26.46</v>
      </c>
      <c r="H1760" s="61" t="n">
        <v>0.55</v>
      </c>
      <c r="I1760" s="61" t="n">
        <v>0.14</v>
      </c>
      <c r="J1760" s="61" t="n">
        <v>0</v>
      </c>
      <c r="K1760" s="61" t="n">
        <v>9.15</v>
      </c>
      <c r="L1760" s="61" t="n">
        <v>0.01</v>
      </c>
      <c r="M1760" s="61" t="n">
        <v>0.05</v>
      </c>
      <c r="N1760" s="61" t="n">
        <v>0.08</v>
      </c>
      <c r="O1760" s="61" t="n">
        <v>0</v>
      </c>
      <c r="P1760" s="62" t="n">
        <v>752.7</v>
      </c>
      <c r="Q1760" s="0" t="n">
        <v>0</v>
      </c>
      <c r="R1760" s="60" t="n">
        <f aca="false">G1760+H1760+I1760</f>
        <v>27.15</v>
      </c>
      <c r="S1760" s="60" t="n">
        <f aca="false">K1760+L1760+M1760+N1760+O1760</f>
        <v>9.29</v>
      </c>
      <c r="T1760" s="60" t="n">
        <f aca="false">L1760+M1760</f>
        <v>0.06</v>
      </c>
      <c r="U1760" s="60" t="n">
        <f aca="false">S1760+J1760</f>
        <v>9.29</v>
      </c>
      <c r="V1760" s="63" t="n">
        <f aca="false">IFERROR(S1760/F1760,0)</f>
        <v>0.254939626783754</v>
      </c>
      <c r="W1760" s="63" t="n">
        <f aca="false">IFERROR(R1760/F1760,0)</f>
        <v>0.745060373216246</v>
      </c>
      <c r="X1760" s="63" t="n">
        <f aca="false">IFERROR(T1760/F1760,0)</f>
        <v>0.00164654226125137</v>
      </c>
      <c r="Y1760" s="63" t="n">
        <f aca="false">IFERROR(G1760/F1760,0)</f>
        <v>0.726125137211855</v>
      </c>
      <c r="Z1760" s="59" t="n">
        <f aca="false">IF(E1760&gt;0,F1760*1000000000/E1760,"")</f>
        <v>5151.61715398034</v>
      </c>
      <c r="AA1760" s="63" t="n">
        <f aca="false">IFERROR((R1760+S1760+J1760)/F1760,0)</f>
        <v>1</v>
      </c>
      <c r="AB1760" s="0" t="str">
        <f aca="false">A1760&amp;"|"&amp;D1760</f>
        <v>Serbia|2017</v>
      </c>
    </row>
    <row r="1761" customFormat="false" ht="15" hidden="false" customHeight="false" outlineLevel="0" collapsed="false">
      <c r="A1761" s="0" t="s">
        <v>349</v>
      </c>
      <c r="B1761" s="0" t="s">
        <v>588</v>
      </c>
      <c r="C1761" s="0" t="s">
        <v>127</v>
      </c>
      <c r="D1761" s="0" t="n">
        <v>2018</v>
      </c>
      <c r="E1761" s="59" t="n">
        <v>7020014</v>
      </c>
      <c r="F1761" s="60" t="n">
        <v>36.67</v>
      </c>
      <c r="G1761" s="61" t="n">
        <v>25.02</v>
      </c>
      <c r="H1761" s="61" t="n">
        <v>0.6</v>
      </c>
      <c r="I1761" s="61" t="n">
        <v>0.15</v>
      </c>
      <c r="J1761" s="61" t="n">
        <v>0</v>
      </c>
      <c r="K1761" s="61" t="n">
        <v>10.64</v>
      </c>
      <c r="L1761" s="61" t="n">
        <v>0.01</v>
      </c>
      <c r="M1761" s="61" t="n">
        <v>0.15</v>
      </c>
      <c r="N1761" s="61" t="n">
        <v>0.1</v>
      </c>
      <c r="O1761" s="61" t="n">
        <v>0</v>
      </c>
      <c r="P1761" s="62" t="n">
        <v>709.9</v>
      </c>
      <c r="Q1761" s="0" t="n">
        <v>0</v>
      </c>
      <c r="R1761" s="60" t="n">
        <f aca="false">G1761+H1761+I1761</f>
        <v>25.77</v>
      </c>
      <c r="S1761" s="60" t="n">
        <f aca="false">K1761+L1761+M1761+N1761+O1761</f>
        <v>10.9</v>
      </c>
      <c r="T1761" s="60" t="n">
        <f aca="false">L1761+M1761</f>
        <v>0.16</v>
      </c>
      <c r="U1761" s="60" t="n">
        <f aca="false">S1761+J1761</f>
        <v>10.9</v>
      </c>
      <c r="V1761" s="63" t="n">
        <f aca="false">IFERROR(S1761/F1761,0)</f>
        <v>0.297245704935915</v>
      </c>
      <c r="W1761" s="63" t="n">
        <f aca="false">IFERROR(R1761/F1761,0)</f>
        <v>0.702754295064085</v>
      </c>
      <c r="X1761" s="63" t="n">
        <f aca="false">IFERROR(T1761/F1761,0)</f>
        <v>0.00436323970548132</v>
      </c>
      <c r="Y1761" s="63" t="n">
        <f aca="false">IFERROR(G1761/F1761,0)</f>
        <v>0.682301608944641</v>
      </c>
      <c r="Z1761" s="59" t="n">
        <f aca="false">IF(E1761&gt;0,F1761*1000000000/E1761,"")</f>
        <v>5223.63630613842</v>
      </c>
      <c r="AA1761" s="63" t="n">
        <f aca="false">IFERROR((R1761+S1761+J1761)/F1761,0)</f>
        <v>1</v>
      </c>
      <c r="AB1761" s="0" t="str">
        <f aca="false">A1761&amp;"|"&amp;D1761</f>
        <v>Serbia|2018</v>
      </c>
    </row>
    <row r="1762" customFormat="false" ht="15" hidden="false" customHeight="false" outlineLevel="0" collapsed="false">
      <c r="A1762" s="0" t="s">
        <v>349</v>
      </c>
      <c r="B1762" s="0" t="s">
        <v>588</v>
      </c>
      <c r="C1762" s="0" t="s">
        <v>127</v>
      </c>
      <c r="D1762" s="0" t="n">
        <v>2019</v>
      </c>
      <c r="E1762" s="59" t="n">
        <v>6966155</v>
      </c>
      <c r="F1762" s="60" t="n">
        <v>36.86</v>
      </c>
      <c r="G1762" s="61" t="n">
        <v>25.58</v>
      </c>
      <c r="H1762" s="61" t="n">
        <v>0.67</v>
      </c>
      <c r="I1762" s="61" t="n">
        <v>0.1</v>
      </c>
      <c r="J1762" s="61" t="n">
        <v>0</v>
      </c>
      <c r="K1762" s="61" t="n">
        <v>9.46</v>
      </c>
      <c r="L1762" s="61" t="n">
        <v>0.01</v>
      </c>
      <c r="M1762" s="61" t="n">
        <v>0.9</v>
      </c>
      <c r="N1762" s="61" t="n">
        <v>0.14</v>
      </c>
      <c r="O1762" s="61" t="n">
        <v>0</v>
      </c>
      <c r="P1762" s="62" t="n">
        <v>721.4</v>
      </c>
      <c r="Q1762" s="0" t="n">
        <v>0</v>
      </c>
      <c r="R1762" s="60" t="n">
        <f aca="false">G1762+H1762+I1762</f>
        <v>26.35</v>
      </c>
      <c r="S1762" s="60" t="n">
        <f aca="false">K1762+L1762+M1762+N1762+O1762</f>
        <v>10.51</v>
      </c>
      <c r="T1762" s="60" t="n">
        <f aca="false">L1762+M1762</f>
        <v>0.91</v>
      </c>
      <c r="U1762" s="60" t="n">
        <f aca="false">S1762+J1762</f>
        <v>10.51</v>
      </c>
      <c r="V1762" s="63" t="n">
        <f aca="false">IFERROR(S1762/F1762,0)</f>
        <v>0.285132935431362</v>
      </c>
      <c r="W1762" s="63" t="n">
        <f aca="false">IFERROR(R1762/F1762,0)</f>
        <v>0.714867064568638</v>
      </c>
      <c r="X1762" s="63" t="n">
        <f aca="false">IFERROR(T1762/F1762,0)</f>
        <v>0.0246880086814976</v>
      </c>
      <c r="Y1762" s="63" t="n">
        <f aca="false">IFERROR(G1762/F1762,0)</f>
        <v>0.693977211068909</v>
      </c>
      <c r="Z1762" s="59" t="n">
        <f aca="false">IF(E1762&gt;0,F1762*1000000000/E1762,"")</f>
        <v>5291.29771014283</v>
      </c>
      <c r="AA1762" s="63" t="n">
        <f aca="false">IFERROR((R1762+S1762+J1762)/F1762,0)</f>
        <v>1</v>
      </c>
      <c r="AB1762" s="0" t="str">
        <f aca="false">A1762&amp;"|"&amp;D1762</f>
        <v>Serbia|2019</v>
      </c>
    </row>
    <row r="1763" customFormat="false" ht="15" hidden="false" customHeight="false" outlineLevel="0" collapsed="false">
      <c r="A1763" s="0" t="s">
        <v>349</v>
      </c>
      <c r="B1763" s="0" t="s">
        <v>588</v>
      </c>
      <c r="C1763" s="0" t="s">
        <v>127</v>
      </c>
      <c r="D1763" s="0" t="n">
        <v>2020</v>
      </c>
      <c r="E1763" s="59" t="n">
        <v>6907814</v>
      </c>
      <c r="F1763" s="60" t="n">
        <v>37.18</v>
      </c>
      <c r="G1763" s="61" t="n">
        <v>26.46</v>
      </c>
      <c r="H1763" s="61" t="n">
        <v>0.51</v>
      </c>
      <c r="I1763" s="61" t="n">
        <v>0.05</v>
      </c>
      <c r="J1763" s="61" t="n">
        <v>0</v>
      </c>
      <c r="K1763" s="61" t="n">
        <v>8.98</v>
      </c>
      <c r="L1763" s="61" t="n">
        <v>0.01</v>
      </c>
      <c r="M1763" s="61" t="n">
        <v>0.98</v>
      </c>
      <c r="N1763" s="61" t="n">
        <v>0.19</v>
      </c>
      <c r="O1763" s="61" t="n">
        <v>0</v>
      </c>
      <c r="P1763" s="62" t="n">
        <v>736.1</v>
      </c>
      <c r="Q1763" s="0" t="n">
        <v>0</v>
      </c>
      <c r="R1763" s="60" t="n">
        <f aca="false">G1763+H1763+I1763</f>
        <v>27.02</v>
      </c>
      <c r="S1763" s="60" t="n">
        <f aca="false">K1763+L1763+M1763+N1763+O1763</f>
        <v>10.16</v>
      </c>
      <c r="T1763" s="60" t="n">
        <f aca="false">L1763+M1763</f>
        <v>0.99</v>
      </c>
      <c r="U1763" s="60" t="n">
        <f aca="false">S1763+J1763</f>
        <v>10.16</v>
      </c>
      <c r="V1763" s="63" t="n">
        <f aca="false">IFERROR(S1763/F1763,0)</f>
        <v>0.273265196342119</v>
      </c>
      <c r="W1763" s="63" t="n">
        <f aca="false">IFERROR(R1763/F1763,0)</f>
        <v>0.726734803657881</v>
      </c>
      <c r="X1763" s="63" t="n">
        <f aca="false">IFERROR(T1763/F1763,0)</f>
        <v>0.0266272189349112</v>
      </c>
      <c r="Y1763" s="63" t="n">
        <f aca="false">IFERROR(G1763/F1763,0)</f>
        <v>0.711672942442173</v>
      </c>
      <c r="Z1763" s="59" t="n">
        <f aca="false">IF(E1763&gt;0,F1763*1000000000/E1763,"")</f>
        <v>5382.31052544264</v>
      </c>
      <c r="AA1763" s="63" t="n">
        <f aca="false">IFERROR((R1763+S1763+J1763)/F1763,0)</f>
        <v>1</v>
      </c>
      <c r="AB1763" s="0" t="str">
        <f aca="false">A1763&amp;"|"&amp;D1763</f>
        <v>Serbia|2020</v>
      </c>
    </row>
    <row r="1764" customFormat="false" ht="15" hidden="false" customHeight="false" outlineLevel="0" collapsed="false">
      <c r="A1764" s="0" t="s">
        <v>349</v>
      </c>
      <c r="B1764" s="0" t="s">
        <v>588</v>
      </c>
      <c r="C1764" s="0" t="s">
        <v>127</v>
      </c>
      <c r="D1764" s="0" t="n">
        <v>2021</v>
      </c>
      <c r="E1764" s="59" t="n">
        <v>6835429</v>
      </c>
      <c r="F1764" s="60" t="n">
        <v>37.46</v>
      </c>
      <c r="G1764" s="61" t="n">
        <v>23.77</v>
      </c>
      <c r="H1764" s="61" t="n">
        <v>1.07</v>
      </c>
      <c r="I1764" s="61" t="n">
        <v>0.07</v>
      </c>
      <c r="J1764" s="61" t="n">
        <v>0</v>
      </c>
      <c r="K1764" s="61" t="n">
        <v>11.21</v>
      </c>
      <c r="L1764" s="61" t="n">
        <v>0.01</v>
      </c>
      <c r="M1764" s="61" t="n">
        <v>1.08</v>
      </c>
      <c r="N1764" s="61" t="n">
        <v>0.25</v>
      </c>
      <c r="O1764" s="61" t="n">
        <v>0</v>
      </c>
      <c r="P1764" s="62" t="n">
        <v>666.3</v>
      </c>
      <c r="Q1764" s="0" t="n">
        <v>0</v>
      </c>
      <c r="R1764" s="60" t="n">
        <f aca="false">G1764+H1764+I1764</f>
        <v>24.91</v>
      </c>
      <c r="S1764" s="60" t="n">
        <f aca="false">K1764+L1764+M1764+N1764+O1764</f>
        <v>12.55</v>
      </c>
      <c r="T1764" s="60" t="n">
        <f aca="false">L1764+M1764</f>
        <v>1.09</v>
      </c>
      <c r="U1764" s="60" t="n">
        <f aca="false">S1764+J1764</f>
        <v>12.55</v>
      </c>
      <c r="V1764" s="63" t="n">
        <f aca="false">IFERROR(S1764/F1764,0)</f>
        <v>0.335024025627336</v>
      </c>
      <c r="W1764" s="63" t="n">
        <f aca="false">IFERROR(R1764/F1764,0)</f>
        <v>0.664975974372664</v>
      </c>
      <c r="X1764" s="63" t="n">
        <f aca="false">IFERROR(T1764/F1764,0)</f>
        <v>0.0290977042178324</v>
      </c>
      <c r="Y1764" s="63" t="n">
        <f aca="false">IFERROR(G1764/F1764,0)</f>
        <v>0.634543513080619</v>
      </c>
      <c r="Z1764" s="59" t="n">
        <f aca="false">IF(E1764&gt;0,F1764*1000000000/E1764,"")</f>
        <v>5480.27051411111</v>
      </c>
      <c r="AA1764" s="63" t="n">
        <f aca="false">IFERROR((R1764+S1764+J1764)/F1764,0)</f>
        <v>1</v>
      </c>
      <c r="AB1764" s="0" t="str">
        <f aca="false">A1764&amp;"|"&amp;D1764</f>
        <v>Serbia|2021</v>
      </c>
    </row>
    <row r="1765" customFormat="false" ht="15" hidden="false" customHeight="false" outlineLevel="0" collapsed="false">
      <c r="A1765" s="0" t="s">
        <v>349</v>
      </c>
      <c r="B1765" s="0" t="s">
        <v>588</v>
      </c>
      <c r="C1765" s="0" t="s">
        <v>127</v>
      </c>
      <c r="D1765" s="0" t="n">
        <v>2022</v>
      </c>
      <c r="E1765" s="59" t="n">
        <v>6791215</v>
      </c>
      <c r="F1765" s="60" t="n">
        <v>34.84</v>
      </c>
      <c r="G1765" s="61" t="n">
        <v>23.49</v>
      </c>
      <c r="H1765" s="61" t="n">
        <v>1.45</v>
      </c>
      <c r="I1765" s="61" t="n">
        <v>0.08</v>
      </c>
      <c r="J1765" s="61" t="n">
        <v>0</v>
      </c>
      <c r="K1765" s="61" t="n">
        <v>8.6</v>
      </c>
      <c r="L1765" s="61" t="n">
        <v>0.02</v>
      </c>
      <c r="M1765" s="61" t="n">
        <v>0.95</v>
      </c>
      <c r="N1765" s="61" t="n">
        <v>0.25</v>
      </c>
      <c r="O1765" s="61" t="n">
        <v>0</v>
      </c>
      <c r="P1765" s="62" t="n">
        <v>710.7</v>
      </c>
      <c r="Q1765" s="0" t="n">
        <v>0</v>
      </c>
      <c r="R1765" s="60" t="n">
        <f aca="false">G1765+H1765+I1765</f>
        <v>25.02</v>
      </c>
      <c r="S1765" s="60" t="n">
        <f aca="false">K1765+L1765+M1765+N1765+O1765</f>
        <v>9.82</v>
      </c>
      <c r="T1765" s="60" t="n">
        <f aca="false">L1765+M1765</f>
        <v>0.97</v>
      </c>
      <c r="U1765" s="60" t="n">
        <f aca="false">S1765+J1765</f>
        <v>9.82</v>
      </c>
      <c r="V1765" s="63" t="n">
        <f aca="false">IFERROR(S1765/F1765,0)</f>
        <v>0.281859931113662</v>
      </c>
      <c r="W1765" s="63" t="n">
        <f aca="false">IFERROR(R1765/F1765,0)</f>
        <v>0.718140068886337</v>
      </c>
      <c r="X1765" s="63" t="n">
        <f aca="false">IFERROR(T1765/F1765,0)</f>
        <v>0.027841561423651</v>
      </c>
      <c r="Y1765" s="63" t="n">
        <f aca="false">IFERROR(G1765/F1765,0)</f>
        <v>0.674225028702641</v>
      </c>
      <c r="Z1765" s="59" t="n">
        <f aca="false">IF(E1765&gt;0,F1765*1000000000/E1765,"")</f>
        <v>5130.15712210554</v>
      </c>
      <c r="AA1765" s="63" t="n">
        <f aca="false">IFERROR((R1765+S1765+J1765)/F1765,0)</f>
        <v>1</v>
      </c>
      <c r="AB1765" s="0" t="str">
        <f aca="false">A1765&amp;"|"&amp;D1765</f>
        <v>Serbia|2022</v>
      </c>
    </row>
    <row r="1766" customFormat="false" ht="15" hidden="false" customHeight="false" outlineLevel="0" collapsed="false">
      <c r="A1766" s="0" t="s">
        <v>349</v>
      </c>
      <c r="B1766" s="0" t="s">
        <v>588</v>
      </c>
      <c r="C1766" s="0" t="s">
        <v>127</v>
      </c>
      <c r="D1766" s="0" t="n">
        <v>2023</v>
      </c>
      <c r="E1766" s="59" t="n">
        <v>6773204</v>
      </c>
      <c r="F1766" s="60" t="n">
        <v>39.33</v>
      </c>
      <c r="G1766" s="61" t="n">
        <v>23.54</v>
      </c>
      <c r="H1766" s="61" t="n">
        <v>1.97</v>
      </c>
      <c r="I1766" s="61" t="n">
        <v>0.07</v>
      </c>
      <c r="J1766" s="61" t="n">
        <v>0</v>
      </c>
      <c r="K1766" s="61" t="n">
        <v>12.38</v>
      </c>
      <c r="L1766" s="61" t="n">
        <v>0.05</v>
      </c>
      <c r="M1766" s="61" t="n">
        <v>1.07</v>
      </c>
      <c r="N1766" s="61" t="n">
        <v>0.25</v>
      </c>
      <c r="O1766" s="61" t="n">
        <v>0</v>
      </c>
      <c r="P1766" s="62" t="n">
        <v>639</v>
      </c>
      <c r="Q1766" s="0" t="n">
        <v>0</v>
      </c>
      <c r="R1766" s="60" t="n">
        <f aca="false">G1766+H1766+I1766</f>
        <v>25.58</v>
      </c>
      <c r="S1766" s="60" t="n">
        <f aca="false">K1766+L1766+M1766+N1766+O1766</f>
        <v>13.75</v>
      </c>
      <c r="T1766" s="60" t="n">
        <f aca="false">L1766+M1766</f>
        <v>1.12</v>
      </c>
      <c r="U1766" s="60" t="n">
        <f aca="false">S1766+J1766</f>
        <v>13.75</v>
      </c>
      <c r="V1766" s="63" t="n">
        <f aca="false">IFERROR(S1766/F1766,0)</f>
        <v>0.349605898804984</v>
      </c>
      <c r="W1766" s="63" t="n">
        <f aca="false">IFERROR(R1766/F1766,0)</f>
        <v>0.650394101195017</v>
      </c>
      <c r="X1766" s="63" t="n">
        <f aca="false">IFERROR(T1766/F1766,0)</f>
        <v>0.0284769895753878</v>
      </c>
      <c r="Y1766" s="63" t="n">
        <f aca="false">IFERROR(G1766/F1766,0)</f>
        <v>0.598525298754132</v>
      </c>
      <c r="Z1766" s="59" t="n">
        <f aca="false">IF(E1766&gt;0,F1766*1000000000/E1766,"")</f>
        <v>5806.70536425597</v>
      </c>
      <c r="AA1766" s="63" t="n">
        <f aca="false">IFERROR((R1766+S1766+J1766)/F1766,0)</f>
        <v>1</v>
      </c>
      <c r="AB1766" s="0" t="str">
        <f aca="false">A1766&amp;"|"&amp;D1766</f>
        <v>Serbia|2023</v>
      </c>
    </row>
    <row r="1767" customFormat="false" ht="15" hidden="false" customHeight="false" outlineLevel="0" collapsed="false">
      <c r="A1767" s="0" t="s">
        <v>349</v>
      </c>
      <c r="B1767" s="0" t="s">
        <v>588</v>
      </c>
      <c r="C1767" s="0" t="s">
        <v>127</v>
      </c>
      <c r="D1767" s="0" t="n">
        <v>2024</v>
      </c>
      <c r="E1767" s="59" t="n">
        <v>6736217</v>
      </c>
      <c r="F1767" s="60" t="n">
        <v>36.96</v>
      </c>
      <c r="G1767" s="61" t="n">
        <v>23.26</v>
      </c>
      <c r="H1767" s="61" t="n">
        <v>1.72</v>
      </c>
      <c r="I1767" s="61" t="n">
        <v>0.13</v>
      </c>
      <c r="J1767" s="61" t="n">
        <v>0</v>
      </c>
      <c r="K1767" s="61" t="n">
        <v>10.1</v>
      </c>
      <c r="L1767" s="61" t="n">
        <v>0.16</v>
      </c>
      <c r="M1767" s="61" t="n">
        <v>1.25</v>
      </c>
      <c r="N1767" s="61" t="n">
        <v>0.34</v>
      </c>
      <c r="O1767" s="61" t="n">
        <v>0</v>
      </c>
      <c r="P1767" s="62" t="n">
        <v>666.4</v>
      </c>
      <c r="Q1767" s="0" t="n">
        <v>0</v>
      </c>
      <c r="R1767" s="60" t="n">
        <f aca="false">G1767+H1767+I1767</f>
        <v>25.11</v>
      </c>
      <c r="S1767" s="60" t="n">
        <f aca="false">K1767+L1767+M1767+N1767+O1767</f>
        <v>11.85</v>
      </c>
      <c r="T1767" s="60" t="n">
        <f aca="false">L1767+M1767</f>
        <v>1.41</v>
      </c>
      <c r="U1767" s="60" t="n">
        <f aca="false">S1767+J1767</f>
        <v>11.85</v>
      </c>
      <c r="V1767" s="63" t="n">
        <f aca="false">IFERROR(S1767/F1767,0)</f>
        <v>0.320616883116883</v>
      </c>
      <c r="W1767" s="63" t="n">
        <f aca="false">IFERROR(R1767/F1767,0)</f>
        <v>0.679383116883117</v>
      </c>
      <c r="X1767" s="63" t="n">
        <f aca="false">IFERROR(T1767/F1767,0)</f>
        <v>0.0381493506493507</v>
      </c>
      <c r="Y1767" s="63" t="n">
        <f aca="false">IFERROR(G1767/F1767,0)</f>
        <v>0.629329004329004</v>
      </c>
      <c r="Z1767" s="59" t="n">
        <f aca="false">IF(E1767&gt;0,F1767*1000000000/E1767,"")</f>
        <v>5486.7591112341</v>
      </c>
      <c r="AA1767" s="63" t="n">
        <f aca="false">IFERROR((R1767+S1767+J1767)/F1767,0)</f>
        <v>1</v>
      </c>
      <c r="AB1767" s="0" t="str">
        <f aca="false">A1767&amp;"|"&amp;D1767</f>
        <v>Serbia|2024</v>
      </c>
    </row>
    <row r="1768" customFormat="false" ht="15" hidden="false" customHeight="false" outlineLevel="0" collapsed="false">
      <c r="A1768" s="0" t="s">
        <v>349</v>
      </c>
      <c r="B1768" s="0" t="s">
        <v>588</v>
      </c>
      <c r="C1768" s="0" t="s">
        <v>127</v>
      </c>
      <c r="D1768" s="0" t="n">
        <v>2025</v>
      </c>
      <c r="E1768" s="59" t="n">
        <v>6689038</v>
      </c>
      <c r="F1768" s="60" t="n">
        <v>36.62</v>
      </c>
      <c r="G1768" s="61" t="n">
        <v>23.82</v>
      </c>
      <c r="H1768" s="61" t="n">
        <v>2.51</v>
      </c>
      <c r="I1768" s="61" t="n">
        <v>0.11</v>
      </c>
      <c r="J1768" s="61" t="n">
        <v>0</v>
      </c>
      <c r="K1768" s="61" t="n">
        <v>8.14</v>
      </c>
      <c r="L1768" s="61" t="n">
        <v>0.16</v>
      </c>
      <c r="M1768" s="61" t="n">
        <v>1.47</v>
      </c>
      <c r="N1768" s="61" t="n">
        <v>0.41</v>
      </c>
      <c r="O1768" s="61" t="n">
        <v>0</v>
      </c>
      <c r="P1768" s="62" t="n">
        <v>695.8</v>
      </c>
      <c r="Q1768" s="0" t="n">
        <v>0</v>
      </c>
      <c r="R1768" s="60" t="n">
        <f aca="false">G1768+H1768+I1768</f>
        <v>26.44</v>
      </c>
      <c r="S1768" s="60" t="n">
        <f aca="false">K1768+L1768+M1768+N1768+O1768</f>
        <v>10.18</v>
      </c>
      <c r="T1768" s="60" t="n">
        <f aca="false">L1768+M1768</f>
        <v>1.63</v>
      </c>
      <c r="U1768" s="60" t="n">
        <f aca="false">S1768+J1768</f>
        <v>10.18</v>
      </c>
      <c r="V1768" s="63" t="n">
        <f aca="false">IFERROR(S1768/F1768,0)</f>
        <v>0.27799016930639</v>
      </c>
      <c r="W1768" s="63" t="n">
        <f aca="false">IFERROR(R1768/F1768,0)</f>
        <v>0.72200983069361</v>
      </c>
      <c r="X1768" s="63" t="n">
        <f aca="false">IFERROR(T1768/F1768,0)</f>
        <v>0.0445111960677226</v>
      </c>
      <c r="Y1768" s="63" t="n">
        <f aca="false">IFERROR(G1768/F1768,0)</f>
        <v>0.650464227198252</v>
      </c>
      <c r="Z1768" s="59" t="n">
        <f aca="false">IF(E1768&gt;0,F1768*1000000000/E1768,"")</f>
        <v>5474.62878817552</v>
      </c>
      <c r="AA1768" s="63" t="n">
        <f aca="false">IFERROR((R1768+S1768+J1768)/F1768,0)</f>
        <v>1</v>
      </c>
      <c r="AB1768" s="0" t="str">
        <f aca="false">A1768&amp;"|"&amp;D1768</f>
        <v>Serbia|2025</v>
      </c>
    </row>
    <row r="1769" customFormat="false" ht="15" hidden="false" customHeight="false" outlineLevel="0" collapsed="false">
      <c r="A1769" s="0" t="s">
        <v>350</v>
      </c>
      <c r="B1769" s="0" t="s">
        <v>589</v>
      </c>
      <c r="C1769" s="0" t="s">
        <v>127</v>
      </c>
      <c r="D1769" s="0" t="n">
        <v>2015</v>
      </c>
      <c r="E1769" s="59" t="n">
        <v>107247</v>
      </c>
      <c r="F1769" s="60" t="n">
        <v>0.46</v>
      </c>
      <c r="G1769" s="61" t="n">
        <v>0</v>
      </c>
      <c r="H1769" s="61" t="n">
        <v>0</v>
      </c>
      <c r="I1769" s="61" t="n">
        <v>0.45</v>
      </c>
      <c r="J1769" s="61" t="n">
        <v>0</v>
      </c>
      <c r="K1769" s="61" t="n">
        <v>0</v>
      </c>
      <c r="L1769" s="61" t="n">
        <v>0</v>
      </c>
      <c r="M1769" s="61" t="n">
        <v>0.01</v>
      </c>
      <c r="N1769" s="61" t="n">
        <v>0</v>
      </c>
      <c r="O1769" s="61" t="n">
        <v>0</v>
      </c>
      <c r="P1769" s="62" t="n">
        <v>652.2</v>
      </c>
      <c r="Q1769" s="0" t="n">
        <v>0</v>
      </c>
      <c r="R1769" s="60" t="n">
        <f aca="false">G1769+H1769+I1769</f>
        <v>0.45</v>
      </c>
      <c r="S1769" s="60" t="n">
        <f aca="false">K1769+L1769+M1769+N1769+O1769</f>
        <v>0.01</v>
      </c>
      <c r="T1769" s="60" t="n">
        <f aca="false">L1769+M1769</f>
        <v>0.01</v>
      </c>
      <c r="U1769" s="60" t="n">
        <f aca="false">S1769+J1769</f>
        <v>0.01</v>
      </c>
      <c r="V1769" s="63" t="n">
        <f aca="false">IFERROR(S1769/F1769,0)</f>
        <v>0.0217391304347826</v>
      </c>
      <c r="W1769" s="63" t="n">
        <f aca="false">IFERROR(R1769/F1769,0)</f>
        <v>0.978260869565217</v>
      </c>
      <c r="X1769" s="63" t="n">
        <f aca="false">IFERROR(T1769/F1769,0)</f>
        <v>0.0217391304347826</v>
      </c>
      <c r="Y1769" s="63" t="n">
        <f aca="false">IFERROR(G1769/F1769,0)</f>
        <v>0</v>
      </c>
      <c r="Z1769" s="59" t="n">
        <f aca="false">IF(E1769&gt;0,F1769*1000000000/E1769,"")</f>
        <v>4289.16426566711</v>
      </c>
      <c r="AA1769" s="63" t="n">
        <f aca="false">IFERROR((R1769+S1769+J1769)/F1769,0)</f>
        <v>1</v>
      </c>
      <c r="AB1769" s="0" t="str">
        <f aca="false">A1769&amp;"|"&amp;D1769</f>
        <v>Seychelles|2015</v>
      </c>
    </row>
    <row r="1770" customFormat="false" ht="15" hidden="false" customHeight="false" outlineLevel="0" collapsed="false">
      <c r="A1770" s="0" t="s">
        <v>350</v>
      </c>
      <c r="B1770" s="0" t="s">
        <v>589</v>
      </c>
      <c r="C1770" s="0" t="s">
        <v>127</v>
      </c>
      <c r="D1770" s="0" t="n">
        <v>2016</v>
      </c>
      <c r="E1770" s="59" t="n">
        <v>109836</v>
      </c>
      <c r="F1770" s="60" t="n">
        <v>0.5</v>
      </c>
      <c r="G1770" s="61" t="n">
        <v>0</v>
      </c>
      <c r="H1770" s="61" t="n">
        <v>0</v>
      </c>
      <c r="I1770" s="61" t="n">
        <v>0.49</v>
      </c>
      <c r="J1770" s="61" t="n">
        <v>0</v>
      </c>
      <c r="K1770" s="61" t="n">
        <v>0</v>
      </c>
      <c r="L1770" s="61" t="n">
        <v>0</v>
      </c>
      <c r="M1770" s="61" t="n">
        <v>0.01</v>
      </c>
      <c r="N1770" s="61" t="n">
        <v>0</v>
      </c>
      <c r="O1770" s="61" t="n">
        <v>0</v>
      </c>
      <c r="P1770" s="62" t="n">
        <v>640</v>
      </c>
      <c r="Q1770" s="0" t="n">
        <v>0</v>
      </c>
      <c r="R1770" s="60" t="n">
        <f aca="false">G1770+H1770+I1770</f>
        <v>0.49</v>
      </c>
      <c r="S1770" s="60" t="n">
        <f aca="false">K1770+L1770+M1770+N1770+O1770</f>
        <v>0.01</v>
      </c>
      <c r="T1770" s="60" t="n">
        <f aca="false">L1770+M1770</f>
        <v>0.01</v>
      </c>
      <c r="U1770" s="60" t="n">
        <f aca="false">S1770+J1770</f>
        <v>0.01</v>
      </c>
      <c r="V1770" s="63" t="n">
        <f aca="false">IFERROR(S1770/F1770,0)</f>
        <v>0.02</v>
      </c>
      <c r="W1770" s="63" t="n">
        <f aca="false">IFERROR(R1770/F1770,0)</f>
        <v>0.98</v>
      </c>
      <c r="X1770" s="63" t="n">
        <f aca="false">IFERROR(T1770/F1770,0)</f>
        <v>0.02</v>
      </c>
      <c r="Y1770" s="63" t="n">
        <f aca="false">IFERROR(G1770/F1770,0)</f>
        <v>0</v>
      </c>
      <c r="Z1770" s="59" t="n">
        <f aca="false">IF(E1770&gt;0,F1770*1000000000/E1770,"")</f>
        <v>4552.24152372628</v>
      </c>
      <c r="AA1770" s="63" t="n">
        <f aca="false">IFERROR((R1770+S1770+J1770)/F1770,0)</f>
        <v>1</v>
      </c>
      <c r="AB1770" s="0" t="str">
        <f aca="false">A1770&amp;"|"&amp;D1770</f>
        <v>Seychelles|2016</v>
      </c>
    </row>
    <row r="1771" customFormat="false" ht="15" hidden="false" customHeight="false" outlineLevel="0" collapsed="false">
      <c r="A1771" s="0" t="s">
        <v>350</v>
      </c>
      <c r="B1771" s="0" t="s">
        <v>589</v>
      </c>
      <c r="C1771" s="0" t="s">
        <v>127</v>
      </c>
      <c r="D1771" s="0" t="n">
        <v>2017</v>
      </c>
      <c r="E1771" s="59" t="n">
        <v>112443</v>
      </c>
      <c r="F1771" s="60" t="n">
        <v>0.51</v>
      </c>
      <c r="G1771" s="61" t="n">
        <v>0</v>
      </c>
      <c r="H1771" s="61" t="n">
        <v>0</v>
      </c>
      <c r="I1771" s="61" t="n">
        <v>0.5</v>
      </c>
      <c r="J1771" s="61" t="n">
        <v>0</v>
      </c>
      <c r="K1771" s="61" t="n">
        <v>0</v>
      </c>
      <c r="L1771" s="61" t="n">
        <v>0</v>
      </c>
      <c r="M1771" s="61" t="n">
        <v>0.01</v>
      </c>
      <c r="N1771" s="61" t="n">
        <v>0</v>
      </c>
      <c r="O1771" s="61" t="n">
        <v>0</v>
      </c>
      <c r="P1771" s="62" t="n">
        <v>647.1</v>
      </c>
      <c r="Q1771" s="0" t="n">
        <v>0</v>
      </c>
      <c r="R1771" s="60" t="n">
        <f aca="false">G1771+H1771+I1771</f>
        <v>0.5</v>
      </c>
      <c r="S1771" s="60" t="n">
        <f aca="false">K1771+L1771+M1771+N1771+O1771</f>
        <v>0.01</v>
      </c>
      <c r="T1771" s="60" t="n">
        <f aca="false">L1771+M1771</f>
        <v>0.01</v>
      </c>
      <c r="U1771" s="60" t="n">
        <f aca="false">S1771+J1771</f>
        <v>0.01</v>
      </c>
      <c r="V1771" s="63" t="n">
        <f aca="false">IFERROR(S1771/F1771,0)</f>
        <v>0.0196078431372549</v>
      </c>
      <c r="W1771" s="63" t="n">
        <f aca="false">IFERROR(R1771/F1771,0)</f>
        <v>0.980392156862745</v>
      </c>
      <c r="X1771" s="63" t="n">
        <f aca="false">IFERROR(T1771/F1771,0)</f>
        <v>0.0196078431372549</v>
      </c>
      <c r="Y1771" s="63" t="n">
        <f aca="false">IFERROR(G1771/F1771,0)</f>
        <v>0</v>
      </c>
      <c r="Z1771" s="59" t="n">
        <f aca="false">IF(E1771&gt;0,F1771*1000000000/E1771,"")</f>
        <v>4535.6313865692</v>
      </c>
      <c r="AA1771" s="63" t="n">
        <f aca="false">IFERROR((R1771+S1771+J1771)/F1771,0)</f>
        <v>1</v>
      </c>
      <c r="AB1771" s="0" t="str">
        <f aca="false">A1771&amp;"|"&amp;D1771</f>
        <v>Seychelles|2017</v>
      </c>
    </row>
    <row r="1772" customFormat="false" ht="15" hidden="false" customHeight="false" outlineLevel="0" collapsed="false">
      <c r="A1772" s="0" t="s">
        <v>350</v>
      </c>
      <c r="B1772" s="0" t="s">
        <v>589</v>
      </c>
      <c r="C1772" s="0" t="s">
        <v>127</v>
      </c>
      <c r="D1772" s="0" t="n">
        <v>2018</v>
      </c>
      <c r="E1772" s="59" t="n">
        <v>115053</v>
      </c>
      <c r="F1772" s="60" t="n">
        <v>0.52</v>
      </c>
      <c r="G1772" s="61" t="n">
        <v>0</v>
      </c>
      <c r="H1772" s="61" t="n">
        <v>0</v>
      </c>
      <c r="I1772" s="61" t="n">
        <v>0.51</v>
      </c>
      <c r="J1772" s="61" t="n">
        <v>0</v>
      </c>
      <c r="K1772" s="61" t="n">
        <v>0</v>
      </c>
      <c r="L1772" s="61" t="n">
        <v>0</v>
      </c>
      <c r="M1772" s="61" t="n">
        <v>0.01</v>
      </c>
      <c r="N1772" s="61" t="n">
        <v>0</v>
      </c>
      <c r="O1772" s="61" t="n">
        <v>0</v>
      </c>
      <c r="P1772" s="62" t="n">
        <v>653.9</v>
      </c>
      <c r="Q1772" s="0" t="n">
        <v>0</v>
      </c>
      <c r="R1772" s="60" t="n">
        <f aca="false">G1772+H1772+I1772</f>
        <v>0.51</v>
      </c>
      <c r="S1772" s="60" t="n">
        <f aca="false">K1772+L1772+M1772+N1772+O1772</f>
        <v>0.01</v>
      </c>
      <c r="T1772" s="60" t="n">
        <f aca="false">L1772+M1772</f>
        <v>0.01</v>
      </c>
      <c r="U1772" s="60" t="n">
        <f aca="false">S1772+J1772</f>
        <v>0.01</v>
      </c>
      <c r="V1772" s="63" t="n">
        <f aca="false">IFERROR(S1772/F1772,0)</f>
        <v>0.0192307692307692</v>
      </c>
      <c r="W1772" s="63" t="n">
        <f aca="false">IFERROR(R1772/F1772,0)</f>
        <v>0.980769230769231</v>
      </c>
      <c r="X1772" s="63" t="n">
        <f aca="false">IFERROR(T1772/F1772,0)</f>
        <v>0.0192307692307692</v>
      </c>
      <c r="Y1772" s="63" t="n">
        <f aca="false">IFERROR(G1772/F1772,0)</f>
        <v>0</v>
      </c>
      <c r="Z1772" s="59" t="n">
        <f aca="false">IF(E1772&gt;0,F1772*1000000000/E1772,"")</f>
        <v>4519.6561584661</v>
      </c>
      <c r="AA1772" s="63" t="n">
        <f aca="false">IFERROR((R1772+S1772+J1772)/F1772,0)</f>
        <v>1</v>
      </c>
      <c r="AB1772" s="0" t="str">
        <f aca="false">A1772&amp;"|"&amp;D1772</f>
        <v>Seychelles|2018</v>
      </c>
    </row>
    <row r="1773" customFormat="false" ht="15" hidden="false" customHeight="false" outlineLevel="0" collapsed="false">
      <c r="A1773" s="0" t="s">
        <v>350</v>
      </c>
      <c r="B1773" s="0" t="s">
        <v>589</v>
      </c>
      <c r="C1773" s="0" t="s">
        <v>127</v>
      </c>
      <c r="D1773" s="0" t="n">
        <v>2019</v>
      </c>
      <c r="E1773" s="59" t="n">
        <v>117662</v>
      </c>
      <c r="F1773" s="60" t="n">
        <v>0.57</v>
      </c>
      <c r="G1773" s="61" t="n">
        <v>0</v>
      </c>
      <c r="H1773" s="61" t="n">
        <v>0</v>
      </c>
      <c r="I1773" s="61" t="n">
        <v>0.53</v>
      </c>
      <c r="J1773" s="61" t="n">
        <v>0</v>
      </c>
      <c r="K1773" s="61" t="n">
        <v>0</v>
      </c>
      <c r="L1773" s="61" t="n">
        <v>0.04</v>
      </c>
      <c r="M1773" s="61" t="n">
        <v>0</v>
      </c>
      <c r="N1773" s="61" t="n">
        <v>0</v>
      </c>
      <c r="O1773" s="61" t="n">
        <v>0</v>
      </c>
      <c r="P1773" s="62" t="n">
        <v>614</v>
      </c>
      <c r="Q1773" s="0" t="n">
        <v>0</v>
      </c>
      <c r="R1773" s="60" t="n">
        <f aca="false">G1773+H1773+I1773</f>
        <v>0.53</v>
      </c>
      <c r="S1773" s="60" t="n">
        <f aca="false">K1773+L1773+M1773+N1773+O1773</f>
        <v>0.04</v>
      </c>
      <c r="T1773" s="60" t="n">
        <f aca="false">L1773+M1773</f>
        <v>0.04</v>
      </c>
      <c r="U1773" s="60" t="n">
        <f aca="false">S1773+J1773</f>
        <v>0.04</v>
      </c>
      <c r="V1773" s="63" t="n">
        <f aca="false">IFERROR(S1773/F1773,0)</f>
        <v>0.0701754385964912</v>
      </c>
      <c r="W1773" s="63" t="n">
        <f aca="false">IFERROR(R1773/F1773,0)</f>
        <v>0.929824561403509</v>
      </c>
      <c r="X1773" s="63" t="n">
        <f aca="false">IFERROR(T1773/F1773,0)</f>
        <v>0.0701754385964912</v>
      </c>
      <c r="Y1773" s="63" t="n">
        <f aca="false">IFERROR(G1773/F1773,0)</f>
        <v>0</v>
      </c>
      <c r="Z1773" s="59" t="n">
        <f aca="false">IF(E1773&gt;0,F1773*1000000000/E1773,"")</f>
        <v>4844.38476313508</v>
      </c>
      <c r="AA1773" s="63" t="n">
        <f aca="false">IFERROR((R1773+S1773+J1773)/F1773,0)</f>
        <v>1</v>
      </c>
      <c r="AB1773" s="0" t="str">
        <f aca="false">A1773&amp;"|"&amp;D1773</f>
        <v>Seychelles|2019</v>
      </c>
    </row>
    <row r="1774" customFormat="false" ht="15" hidden="false" customHeight="false" outlineLevel="0" collapsed="false">
      <c r="A1774" s="0" t="s">
        <v>350</v>
      </c>
      <c r="B1774" s="0" t="s">
        <v>589</v>
      </c>
      <c r="C1774" s="0" t="s">
        <v>127</v>
      </c>
      <c r="D1774" s="0" t="n">
        <v>2020</v>
      </c>
      <c r="E1774" s="59" t="n">
        <v>120299</v>
      </c>
      <c r="F1774" s="60" t="n">
        <v>0.59</v>
      </c>
      <c r="G1774" s="61" t="n">
        <v>0</v>
      </c>
      <c r="H1774" s="61" t="n">
        <v>0</v>
      </c>
      <c r="I1774" s="61" t="n">
        <v>0.52</v>
      </c>
      <c r="J1774" s="61" t="n">
        <v>0</v>
      </c>
      <c r="K1774" s="61" t="n">
        <v>0</v>
      </c>
      <c r="L1774" s="61" t="n">
        <v>0.06</v>
      </c>
      <c r="M1774" s="61" t="n">
        <v>0.01</v>
      </c>
      <c r="N1774" s="61" t="n">
        <v>0</v>
      </c>
      <c r="O1774" s="61" t="n">
        <v>0</v>
      </c>
      <c r="P1774" s="62" t="n">
        <v>576.3</v>
      </c>
      <c r="Q1774" s="0" t="n">
        <v>0</v>
      </c>
      <c r="R1774" s="60" t="n">
        <f aca="false">G1774+H1774+I1774</f>
        <v>0.52</v>
      </c>
      <c r="S1774" s="60" t="n">
        <f aca="false">K1774+L1774+M1774+N1774+O1774</f>
        <v>0.07</v>
      </c>
      <c r="T1774" s="60" t="n">
        <f aca="false">L1774+M1774</f>
        <v>0.07</v>
      </c>
      <c r="U1774" s="60" t="n">
        <f aca="false">S1774+J1774</f>
        <v>0.07</v>
      </c>
      <c r="V1774" s="63" t="n">
        <f aca="false">IFERROR(S1774/F1774,0)</f>
        <v>0.11864406779661</v>
      </c>
      <c r="W1774" s="63" t="n">
        <f aca="false">IFERROR(R1774/F1774,0)</f>
        <v>0.88135593220339</v>
      </c>
      <c r="X1774" s="63" t="n">
        <f aca="false">IFERROR(T1774/F1774,0)</f>
        <v>0.11864406779661</v>
      </c>
      <c r="Y1774" s="63" t="n">
        <f aca="false">IFERROR(G1774/F1774,0)</f>
        <v>0</v>
      </c>
      <c r="Z1774" s="59" t="n">
        <f aca="false">IF(E1774&gt;0,F1774*1000000000/E1774,"")</f>
        <v>4904.44642100101</v>
      </c>
      <c r="AA1774" s="63" t="n">
        <f aca="false">IFERROR((R1774+S1774+J1774)/F1774,0)</f>
        <v>1</v>
      </c>
      <c r="AB1774" s="0" t="str">
        <f aca="false">A1774&amp;"|"&amp;D1774</f>
        <v>Seychelles|2020</v>
      </c>
    </row>
    <row r="1775" customFormat="false" ht="15" hidden="false" customHeight="false" outlineLevel="0" collapsed="false">
      <c r="A1775" s="0" t="s">
        <v>350</v>
      </c>
      <c r="B1775" s="0" t="s">
        <v>589</v>
      </c>
      <c r="C1775" s="0" t="s">
        <v>127</v>
      </c>
      <c r="D1775" s="0" t="n">
        <v>2021</v>
      </c>
      <c r="E1775" s="59" t="n">
        <v>123000</v>
      </c>
      <c r="F1775" s="60" t="n">
        <v>0.6</v>
      </c>
      <c r="G1775" s="61" t="n">
        <v>0</v>
      </c>
      <c r="H1775" s="61" t="n">
        <v>0</v>
      </c>
      <c r="I1775" s="61" t="n">
        <v>0.52</v>
      </c>
      <c r="J1775" s="61" t="n">
        <v>0</v>
      </c>
      <c r="K1775" s="61" t="n">
        <v>0</v>
      </c>
      <c r="L1775" s="61" t="n">
        <v>0.07</v>
      </c>
      <c r="M1775" s="61" t="n">
        <v>0.01</v>
      </c>
      <c r="N1775" s="61" t="n">
        <v>0</v>
      </c>
      <c r="O1775" s="61" t="n">
        <v>0</v>
      </c>
      <c r="P1775" s="62" t="n">
        <v>566.7</v>
      </c>
      <c r="Q1775" s="0" t="n">
        <v>0</v>
      </c>
      <c r="R1775" s="60" t="n">
        <f aca="false">G1775+H1775+I1775</f>
        <v>0.52</v>
      </c>
      <c r="S1775" s="60" t="n">
        <f aca="false">K1775+L1775+M1775+N1775+O1775</f>
        <v>0.08</v>
      </c>
      <c r="T1775" s="60" t="n">
        <f aca="false">L1775+M1775</f>
        <v>0.08</v>
      </c>
      <c r="U1775" s="60" t="n">
        <f aca="false">S1775+J1775</f>
        <v>0.08</v>
      </c>
      <c r="V1775" s="63" t="n">
        <f aca="false">IFERROR(S1775/F1775,0)</f>
        <v>0.133333333333333</v>
      </c>
      <c r="W1775" s="63" t="n">
        <f aca="false">IFERROR(R1775/F1775,0)</f>
        <v>0.866666666666667</v>
      </c>
      <c r="X1775" s="63" t="n">
        <f aca="false">IFERROR(T1775/F1775,0)</f>
        <v>0.133333333333333</v>
      </c>
      <c r="Y1775" s="63" t="n">
        <f aca="false">IFERROR(G1775/F1775,0)</f>
        <v>0</v>
      </c>
      <c r="Z1775" s="59" t="n">
        <f aca="false">IF(E1775&gt;0,F1775*1000000000/E1775,"")</f>
        <v>4878.04878048781</v>
      </c>
      <c r="AA1775" s="63" t="n">
        <f aca="false">IFERROR((R1775+S1775+J1775)/F1775,0)</f>
        <v>1</v>
      </c>
      <c r="AB1775" s="0" t="str">
        <f aca="false">A1775&amp;"|"&amp;D1775</f>
        <v>Seychelles|2021</v>
      </c>
    </row>
    <row r="1776" customFormat="false" ht="15" hidden="false" customHeight="false" outlineLevel="0" collapsed="false">
      <c r="A1776" s="0" t="s">
        <v>350</v>
      </c>
      <c r="B1776" s="0" t="s">
        <v>589</v>
      </c>
      <c r="C1776" s="0" t="s">
        <v>127</v>
      </c>
      <c r="D1776" s="0" t="n">
        <v>2022</v>
      </c>
      <c r="E1776" s="59" t="n">
        <v>125533</v>
      </c>
      <c r="F1776" s="60" t="n">
        <v>0.62</v>
      </c>
      <c r="G1776" s="61" t="n">
        <v>0</v>
      </c>
      <c r="H1776" s="61" t="n">
        <v>0</v>
      </c>
      <c r="I1776" s="61" t="n">
        <v>0.53</v>
      </c>
      <c r="J1776" s="61" t="n">
        <v>0</v>
      </c>
      <c r="K1776" s="61" t="n">
        <v>0</v>
      </c>
      <c r="L1776" s="61" t="n">
        <v>0.08</v>
      </c>
      <c r="M1776" s="61" t="n">
        <v>0.01</v>
      </c>
      <c r="N1776" s="61" t="n">
        <v>0</v>
      </c>
      <c r="O1776" s="61" t="n">
        <v>0</v>
      </c>
      <c r="P1776" s="62" t="n">
        <v>564.5</v>
      </c>
      <c r="Q1776" s="0" t="n">
        <v>0</v>
      </c>
      <c r="R1776" s="60" t="n">
        <f aca="false">G1776+H1776+I1776</f>
        <v>0.53</v>
      </c>
      <c r="S1776" s="60" t="n">
        <f aca="false">K1776+L1776+M1776+N1776+O1776</f>
        <v>0.09</v>
      </c>
      <c r="T1776" s="60" t="n">
        <f aca="false">L1776+M1776</f>
        <v>0.09</v>
      </c>
      <c r="U1776" s="60" t="n">
        <f aca="false">S1776+J1776</f>
        <v>0.09</v>
      </c>
      <c r="V1776" s="63" t="n">
        <f aca="false">IFERROR(S1776/F1776,0)</f>
        <v>0.145161290322581</v>
      </c>
      <c r="W1776" s="63" t="n">
        <f aca="false">IFERROR(R1776/F1776,0)</f>
        <v>0.854838709677419</v>
      </c>
      <c r="X1776" s="63" t="n">
        <f aca="false">IFERROR(T1776/F1776,0)</f>
        <v>0.145161290322581</v>
      </c>
      <c r="Y1776" s="63" t="n">
        <f aca="false">IFERROR(G1776/F1776,0)</f>
        <v>0</v>
      </c>
      <c r="Z1776" s="59" t="n">
        <f aca="false">IF(E1776&gt;0,F1776*1000000000/E1776,"")</f>
        <v>4938.94035831216</v>
      </c>
      <c r="AA1776" s="63" t="n">
        <f aca="false">IFERROR((R1776+S1776+J1776)/F1776,0)</f>
        <v>1</v>
      </c>
      <c r="AB1776" s="0" t="str">
        <f aca="false">A1776&amp;"|"&amp;D1776</f>
        <v>Seychelles|2022</v>
      </c>
    </row>
    <row r="1777" customFormat="false" ht="15" hidden="false" customHeight="false" outlineLevel="0" collapsed="false">
      <c r="A1777" s="0" t="s">
        <v>350</v>
      </c>
      <c r="B1777" s="0" t="s">
        <v>589</v>
      </c>
      <c r="C1777" s="0" t="s">
        <v>127</v>
      </c>
      <c r="D1777" s="0" t="n">
        <v>2023</v>
      </c>
      <c r="E1777" s="59" t="n">
        <v>127961</v>
      </c>
      <c r="F1777" s="60" t="n">
        <v>0.62</v>
      </c>
      <c r="G1777" s="61" t="n">
        <v>0</v>
      </c>
      <c r="H1777" s="61" t="n">
        <v>0</v>
      </c>
      <c r="I1777" s="61" t="n">
        <v>0.53</v>
      </c>
      <c r="J1777" s="61" t="n">
        <v>0</v>
      </c>
      <c r="K1777" s="61" t="n">
        <v>0</v>
      </c>
      <c r="L1777" s="61" t="n">
        <v>0.08</v>
      </c>
      <c r="M1777" s="61" t="n">
        <v>0.01</v>
      </c>
      <c r="N1777" s="61" t="n">
        <v>0</v>
      </c>
      <c r="O1777" s="61" t="n">
        <v>0</v>
      </c>
      <c r="P1777" s="62" t="n">
        <v>564.5</v>
      </c>
      <c r="Q1777" s="0" t="n">
        <v>0</v>
      </c>
      <c r="R1777" s="60" t="n">
        <f aca="false">G1777+H1777+I1777</f>
        <v>0.53</v>
      </c>
      <c r="S1777" s="60" t="n">
        <f aca="false">K1777+L1777+M1777+N1777+O1777</f>
        <v>0.09</v>
      </c>
      <c r="T1777" s="60" t="n">
        <f aca="false">L1777+M1777</f>
        <v>0.09</v>
      </c>
      <c r="U1777" s="60" t="n">
        <f aca="false">S1777+J1777</f>
        <v>0.09</v>
      </c>
      <c r="V1777" s="63" t="n">
        <f aca="false">IFERROR(S1777/F1777,0)</f>
        <v>0.145161290322581</v>
      </c>
      <c r="W1777" s="63" t="n">
        <f aca="false">IFERROR(R1777/F1777,0)</f>
        <v>0.854838709677419</v>
      </c>
      <c r="X1777" s="63" t="n">
        <f aca="false">IFERROR(T1777/F1777,0)</f>
        <v>0.145161290322581</v>
      </c>
      <c r="Y1777" s="63" t="n">
        <f aca="false">IFERROR(G1777/F1777,0)</f>
        <v>0</v>
      </c>
      <c r="Z1777" s="59" t="n">
        <f aca="false">IF(E1777&gt;0,F1777*1000000000/E1777,"")</f>
        <v>4845.22627988215</v>
      </c>
      <c r="AA1777" s="63" t="n">
        <f aca="false">IFERROR((R1777+S1777+J1777)/F1777,0)</f>
        <v>1</v>
      </c>
      <c r="AB1777" s="0" t="str">
        <f aca="false">A1777&amp;"|"&amp;D1777</f>
        <v>Seychelles|2023</v>
      </c>
    </row>
    <row r="1778" customFormat="false" ht="15" hidden="false" customHeight="false" outlineLevel="0" collapsed="false">
      <c r="A1778" s="0" t="s">
        <v>350</v>
      </c>
      <c r="B1778" s="0" t="s">
        <v>589</v>
      </c>
      <c r="C1778" s="0" t="s">
        <v>127</v>
      </c>
      <c r="D1778" s="0" t="n">
        <v>2024</v>
      </c>
      <c r="E1778" s="59" t="n">
        <v>130436</v>
      </c>
      <c r="F1778" s="60" t="n">
        <v>0.63</v>
      </c>
      <c r="G1778" s="61" t="n">
        <v>0</v>
      </c>
      <c r="H1778" s="61" t="n">
        <v>0</v>
      </c>
      <c r="I1778" s="61" t="n">
        <v>0.53</v>
      </c>
      <c r="J1778" s="61" t="n">
        <v>0</v>
      </c>
      <c r="K1778" s="61" t="n">
        <v>0</v>
      </c>
      <c r="L1778" s="61" t="n">
        <v>0.09</v>
      </c>
      <c r="M1778" s="61" t="n">
        <v>0.01</v>
      </c>
      <c r="N1778" s="61" t="n">
        <v>0</v>
      </c>
      <c r="O1778" s="61" t="n">
        <v>0</v>
      </c>
      <c r="P1778" s="62" t="n">
        <v>555.6</v>
      </c>
      <c r="Q1778" s="0" t="n">
        <v>0</v>
      </c>
      <c r="R1778" s="60" t="n">
        <f aca="false">G1778+H1778+I1778</f>
        <v>0.53</v>
      </c>
      <c r="S1778" s="60" t="n">
        <f aca="false">K1778+L1778+M1778+N1778+O1778</f>
        <v>0.1</v>
      </c>
      <c r="T1778" s="60" t="n">
        <f aca="false">L1778+M1778</f>
        <v>0.1</v>
      </c>
      <c r="U1778" s="60" t="n">
        <f aca="false">S1778+J1778</f>
        <v>0.1</v>
      </c>
      <c r="V1778" s="63" t="n">
        <f aca="false">IFERROR(S1778/F1778,0)</f>
        <v>0.158730158730159</v>
      </c>
      <c r="W1778" s="63" t="n">
        <f aca="false">IFERROR(R1778/F1778,0)</f>
        <v>0.841269841269841</v>
      </c>
      <c r="X1778" s="63" t="n">
        <f aca="false">IFERROR(T1778/F1778,0)</f>
        <v>0.158730158730159</v>
      </c>
      <c r="Y1778" s="63" t="n">
        <f aca="false">IFERROR(G1778/F1778,0)</f>
        <v>0</v>
      </c>
      <c r="Z1778" s="59" t="n">
        <f aca="false">IF(E1778&gt;0,F1778*1000000000/E1778,"")</f>
        <v>4829.95492042074</v>
      </c>
      <c r="AA1778" s="63" t="n">
        <f aca="false">IFERROR((R1778+S1778+J1778)/F1778,0)</f>
        <v>1</v>
      </c>
      <c r="AB1778" s="0" t="str">
        <f aca="false">A1778&amp;"|"&amp;D1778</f>
        <v>Seychelles|2024</v>
      </c>
    </row>
    <row r="1779" customFormat="false" ht="15" hidden="false" customHeight="false" outlineLevel="0" collapsed="false">
      <c r="A1779" s="0" t="s">
        <v>351</v>
      </c>
      <c r="B1779" s="0" t="s">
        <v>590</v>
      </c>
      <c r="C1779" s="0" t="s">
        <v>127</v>
      </c>
      <c r="D1779" s="0" t="n">
        <v>2015</v>
      </c>
      <c r="E1779" s="59" t="n">
        <v>7037660</v>
      </c>
      <c r="F1779" s="60" t="n">
        <v>0.16</v>
      </c>
      <c r="G1779" s="61" t="n">
        <v>0</v>
      </c>
      <c r="H1779" s="61" t="n">
        <v>0</v>
      </c>
      <c r="I1779" s="61" t="n">
        <v>0.04</v>
      </c>
      <c r="J1779" s="61" t="n">
        <v>0</v>
      </c>
      <c r="K1779" s="61" t="n">
        <v>0.12</v>
      </c>
      <c r="L1779" s="61" t="n">
        <v>0</v>
      </c>
      <c r="M1779" s="61" t="n">
        <v>0</v>
      </c>
      <c r="N1779" s="61" t="n">
        <v>0</v>
      </c>
      <c r="O1779" s="61" t="n">
        <v>0</v>
      </c>
      <c r="P1779" s="62" t="n">
        <v>187.5</v>
      </c>
      <c r="Q1779" s="0" t="n">
        <v>0</v>
      </c>
      <c r="R1779" s="60" t="n">
        <f aca="false">G1779+H1779+I1779</f>
        <v>0.04</v>
      </c>
      <c r="S1779" s="60" t="n">
        <f aca="false">K1779+L1779+M1779+N1779+O1779</f>
        <v>0.12</v>
      </c>
      <c r="T1779" s="60" t="n">
        <f aca="false">L1779+M1779</f>
        <v>0</v>
      </c>
      <c r="U1779" s="60" t="n">
        <f aca="false">S1779+J1779</f>
        <v>0.12</v>
      </c>
      <c r="V1779" s="63" t="n">
        <f aca="false">IFERROR(S1779/F1779,0)</f>
        <v>0.75</v>
      </c>
      <c r="W1779" s="63" t="n">
        <f aca="false">IFERROR(R1779/F1779,0)</f>
        <v>0.25</v>
      </c>
      <c r="X1779" s="63" t="n">
        <f aca="false">IFERROR(T1779/F1779,0)</f>
        <v>0</v>
      </c>
      <c r="Y1779" s="63" t="n">
        <f aca="false">IFERROR(G1779/F1779,0)</f>
        <v>0</v>
      </c>
      <c r="Z1779" s="59" t="n">
        <f aca="false">IF(E1779&gt;0,F1779*1000000000/E1779,"")</f>
        <v>22.7348294745697</v>
      </c>
      <c r="AA1779" s="63" t="n">
        <f aca="false">IFERROR((R1779+S1779+J1779)/F1779,0)</f>
        <v>1</v>
      </c>
      <c r="AB1779" s="0" t="str">
        <f aca="false">A1779&amp;"|"&amp;D1779</f>
        <v>Sierra Leone|2015</v>
      </c>
    </row>
    <row r="1780" customFormat="false" ht="15" hidden="false" customHeight="false" outlineLevel="0" collapsed="false">
      <c r="A1780" s="0" t="s">
        <v>351</v>
      </c>
      <c r="B1780" s="0" t="s">
        <v>590</v>
      </c>
      <c r="C1780" s="0" t="s">
        <v>127</v>
      </c>
      <c r="D1780" s="0" t="n">
        <v>2016</v>
      </c>
      <c r="E1780" s="59" t="n">
        <v>7205339</v>
      </c>
      <c r="F1780" s="60" t="n">
        <v>0.21</v>
      </c>
      <c r="G1780" s="61" t="n">
        <v>0</v>
      </c>
      <c r="H1780" s="61" t="n">
        <v>0</v>
      </c>
      <c r="I1780" s="61" t="n">
        <v>0.08</v>
      </c>
      <c r="J1780" s="61" t="n">
        <v>0</v>
      </c>
      <c r="K1780" s="61" t="n">
        <v>0.13</v>
      </c>
      <c r="L1780" s="61" t="n">
        <v>0</v>
      </c>
      <c r="M1780" s="61" t="n">
        <v>0</v>
      </c>
      <c r="N1780" s="61" t="n">
        <v>0</v>
      </c>
      <c r="O1780" s="61" t="n">
        <v>0</v>
      </c>
      <c r="P1780" s="62" t="n">
        <v>238.1</v>
      </c>
      <c r="Q1780" s="0" t="n">
        <v>0</v>
      </c>
      <c r="R1780" s="60" t="n">
        <f aca="false">G1780+H1780+I1780</f>
        <v>0.08</v>
      </c>
      <c r="S1780" s="60" t="n">
        <f aca="false">K1780+L1780+M1780+N1780+O1780</f>
        <v>0.13</v>
      </c>
      <c r="T1780" s="60" t="n">
        <f aca="false">L1780+M1780</f>
        <v>0</v>
      </c>
      <c r="U1780" s="60" t="n">
        <f aca="false">S1780+J1780</f>
        <v>0.13</v>
      </c>
      <c r="V1780" s="63" t="n">
        <f aca="false">IFERROR(S1780/F1780,0)</f>
        <v>0.619047619047619</v>
      </c>
      <c r="W1780" s="63" t="n">
        <f aca="false">IFERROR(R1780/F1780,0)</f>
        <v>0.380952380952381</v>
      </c>
      <c r="X1780" s="63" t="n">
        <f aca="false">IFERROR(T1780/F1780,0)</f>
        <v>0</v>
      </c>
      <c r="Y1780" s="63" t="n">
        <f aca="false">IFERROR(G1780/F1780,0)</f>
        <v>0</v>
      </c>
      <c r="Z1780" s="59" t="n">
        <f aca="false">IF(E1780&gt;0,F1780*1000000000/E1780,"")</f>
        <v>29.1450547989484</v>
      </c>
      <c r="AA1780" s="63" t="n">
        <f aca="false">IFERROR((R1780+S1780+J1780)/F1780,0)</f>
        <v>1</v>
      </c>
      <c r="AB1780" s="0" t="str">
        <f aca="false">A1780&amp;"|"&amp;D1780</f>
        <v>Sierra Leone|2016</v>
      </c>
    </row>
    <row r="1781" customFormat="false" ht="15" hidden="false" customHeight="false" outlineLevel="0" collapsed="false">
      <c r="A1781" s="0" t="s">
        <v>351</v>
      </c>
      <c r="B1781" s="0" t="s">
        <v>590</v>
      </c>
      <c r="C1781" s="0" t="s">
        <v>127</v>
      </c>
      <c r="D1781" s="0" t="n">
        <v>2017</v>
      </c>
      <c r="E1781" s="59" t="n">
        <v>7379300</v>
      </c>
      <c r="F1781" s="60" t="n">
        <v>0.23</v>
      </c>
      <c r="G1781" s="61" t="n">
        <v>0</v>
      </c>
      <c r="H1781" s="61" t="n">
        <v>0</v>
      </c>
      <c r="I1781" s="61" t="n">
        <v>0.09</v>
      </c>
      <c r="J1781" s="61" t="n">
        <v>0</v>
      </c>
      <c r="K1781" s="61" t="n">
        <v>0.13</v>
      </c>
      <c r="L1781" s="61" t="n">
        <v>0.01</v>
      </c>
      <c r="M1781" s="61" t="n">
        <v>0</v>
      </c>
      <c r="N1781" s="61" t="n">
        <v>0</v>
      </c>
      <c r="O1781" s="61" t="n">
        <v>0</v>
      </c>
      <c r="P1781" s="62" t="n">
        <v>260.9</v>
      </c>
      <c r="Q1781" s="0" t="n">
        <v>0</v>
      </c>
      <c r="R1781" s="60" t="n">
        <f aca="false">G1781+H1781+I1781</f>
        <v>0.09</v>
      </c>
      <c r="S1781" s="60" t="n">
        <f aca="false">K1781+L1781+M1781+N1781+O1781</f>
        <v>0.14</v>
      </c>
      <c r="T1781" s="60" t="n">
        <f aca="false">L1781+M1781</f>
        <v>0.01</v>
      </c>
      <c r="U1781" s="60" t="n">
        <f aca="false">S1781+J1781</f>
        <v>0.14</v>
      </c>
      <c r="V1781" s="63" t="n">
        <f aca="false">IFERROR(S1781/F1781,0)</f>
        <v>0.608695652173913</v>
      </c>
      <c r="W1781" s="63" t="n">
        <f aca="false">IFERROR(R1781/F1781,0)</f>
        <v>0.391304347826087</v>
      </c>
      <c r="X1781" s="63" t="n">
        <f aca="false">IFERROR(T1781/F1781,0)</f>
        <v>0.0434782608695652</v>
      </c>
      <c r="Y1781" s="63" t="n">
        <f aca="false">IFERROR(G1781/F1781,0)</f>
        <v>0</v>
      </c>
      <c r="Z1781" s="59" t="n">
        <f aca="false">IF(E1781&gt;0,F1781*1000000000/E1781,"")</f>
        <v>31.1682679928991</v>
      </c>
      <c r="AA1781" s="63" t="n">
        <f aca="false">IFERROR((R1781+S1781+J1781)/F1781,0)</f>
        <v>1</v>
      </c>
      <c r="AB1781" s="0" t="str">
        <f aca="false">A1781&amp;"|"&amp;D1781</f>
        <v>Sierra Leone|2017</v>
      </c>
    </row>
    <row r="1782" customFormat="false" ht="15" hidden="false" customHeight="false" outlineLevel="0" collapsed="false">
      <c r="A1782" s="0" t="s">
        <v>351</v>
      </c>
      <c r="B1782" s="0" t="s">
        <v>590</v>
      </c>
      <c r="C1782" s="0" t="s">
        <v>127</v>
      </c>
      <c r="D1782" s="0" t="n">
        <v>2018</v>
      </c>
      <c r="E1782" s="59" t="n">
        <v>7554568</v>
      </c>
      <c r="F1782" s="60" t="n">
        <v>0.27</v>
      </c>
      <c r="G1782" s="61" t="n">
        <v>0</v>
      </c>
      <c r="H1782" s="61" t="n">
        <v>0</v>
      </c>
      <c r="I1782" s="61" t="n">
        <v>0.09</v>
      </c>
      <c r="J1782" s="61" t="n">
        <v>0</v>
      </c>
      <c r="K1782" s="61" t="n">
        <v>0.17</v>
      </c>
      <c r="L1782" s="61" t="n">
        <v>0.01</v>
      </c>
      <c r="M1782" s="61" t="n">
        <v>0</v>
      </c>
      <c r="N1782" s="61" t="n">
        <v>0</v>
      </c>
      <c r="O1782" s="61" t="n">
        <v>0</v>
      </c>
      <c r="P1782" s="62" t="n">
        <v>222.2</v>
      </c>
      <c r="Q1782" s="0" t="n">
        <v>0</v>
      </c>
      <c r="R1782" s="60" t="n">
        <f aca="false">G1782+H1782+I1782</f>
        <v>0.09</v>
      </c>
      <c r="S1782" s="60" t="n">
        <f aca="false">K1782+L1782+M1782+N1782+O1782</f>
        <v>0.18</v>
      </c>
      <c r="T1782" s="60" t="n">
        <f aca="false">L1782+M1782</f>
        <v>0.01</v>
      </c>
      <c r="U1782" s="60" t="n">
        <f aca="false">S1782+J1782</f>
        <v>0.18</v>
      </c>
      <c r="V1782" s="63" t="n">
        <f aca="false">IFERROR(S1782/F1782,0)</f>
        <v>0.666666666666667</v>
      </c>
      <c r="W1782" s="63" t="n">
        <f aca="false">IFERROR(R1782/F1782,0)</f>
        <v>0.333333333333333</v>
      </c>
      <c r="X1782" s="63" t="n">
        <f aca="false">IFERROR(T1782/F1782,0)</f>
        <v>0.037037037037037</v>
      </c>
      <c r="Y1782" s="63" t="n">
        <f aca="false">IFERROR(G1782/F1782,0)</f>
        <v>0</v>
      </c>
      <c r="Z1782" s="59" t="n">
        <f aca="false">IF(E1782&gt;0,F1782*1000000000/E1782,"")</f>
        <v>35.7399655413784</v>
      </c>
      <c r="AA1782" s="63" t="n">
        <f aca="false">IFERROR((R1782+S1782+J1782)/F1782,0)</f>
        <v>1</v>
      </c>
      <c r="AB1782" s="0" t="str">
        <f aca="false">A1782&amp;"|"&amp;D1782</f>
        <v>Sierra Leone|2018</v>
      </c>
    </row>
    <row r="1783" customFormat="false" ht="15" hidden="false" customHeight="false" outlineLevel="0" collapsed="false">
      <c r="A1783" s="0" t="s">
        <v>351</v>
      </c>
      <c r="B1783" s="0" t="s">
        <v>590</v>
      </c>
      <c r="C1783" s="0" t="s">
        <v>127</v>
      </c>
      <c r="D1783" s="0" t="n">
        <v>2019</v>
      </c>
      <c r="E1783" s="59" t="n">
        <v>7731994</v>
      </c>
      <c r="F1783" s="60" t="n">
        <v>0.2</v>
      </c>
      <c r="G1783" s="61" t="n">
        <v>0</v>
      </c>
      <c r="H1783" s="61" t="n">
        <v>0</v>
      </c>
      <c r="I1783" s="61" t="n">
        <v>0.01</v>
      </c>
      <c r="J1783" s="61" t="n">
        <v>0</v>
      </c>
      <c r="K1783" s="61" t="n">
        <v>0.18</v>
      </c>
      <c r="L1783" s="61" t="n">
        <v>0.01</v>
      </c>
      <c r="M1783" s="61" t="n">
        <v>0</v>
      </c>
      <c r="N1783" s="61" t="n">
        <v>0</v>
      </c>
      <c r="O1783" s="61" t="n">
        <v>0</v>
      </c>
      <c r="P1783" s="62" t="n">
        <v>50</v>
      </c>
      <c r="Q1783" s="0" t="n">
        <v>0</v>
      </c>
      <c r="R1783" s="60" t="n">
        <f aca="false">G1783+H1783+I1783</f>
        <v>0.01</v>
      </c>
      <c r="S1783" s="60" t="n">
        <f aca="false">K1783+L1783+M1783+N1783+O1783</f>
        <v>0.19</v>
      </c>
      <c r="T1783" s="60" t="n">
        <f aca="false">L1783+M1783</f>
        <v>0.01</v>
      </c>
      <c r="U1783" s="60" t="n">
        <f aca="false">S1783+J1783</f>
        <v>0.19</v>
      </c>
      <c r="V1783" s="63" t="n">
        <f aca="false">IFERROR(S1783/F1783,0)</f>
        <v>0.95</v>
      </c>
      <c r="W1783" s="63" t="n">
        <f aca="false">IFERROR(R1783/F1783,0)</f>
        <v>0.05</v>
      </c>
      <c r="X1783" s="63" t="n">
        <f aca="false">IFERROR(T1783/F1783,0)</f>
        <v>0.05</v>
      </c>
      <c r="Y1783" s="63" t="n">
        <f aca="false">IFERROR(G1783/F1783,0)</f>
        <v>0</v>
      </c>
      <c r="Z1783" s="59" t="n">
        <f aca="false">IF(E1783&gt;0,F1783*1000000000/E1783,"")</f>
        <v>25.8665487841817</v>
      </c>
      <c r="AA1783" s="63" t="n">
        <f aca="false">IFERROR((R1783+S1783+J1783)/F1783,0)</f>
        <v>1</v>
      </c>
      <c r="AB1783" s="0" t="str">
        <f aca="false">A1783&amp;"|"&amp;D1783</f>
        <v>Sierra Leone|2019</v>
      </c>
    </row>
    <row r="1784" customFormat="false" ht="15" hidden="false" customHeight="false" outlineLevel="0" collapsed="false">
      <c r="A1784" s="0" t="s">
        <v>351</v>
      </c>
      <c r="B1784" s="0" t="s">
        <v>590</v>
      </c>
      <c r="C1784" s="0" t="s">
        <v>127</v>
      </c>
      <c r="D1784" s="0" t="n">
        <v>2020</v>
      </c>
      <c r="E1784" s="59" t="n">
        <v>7912557</v>
      </c>
      <c r="F1784" s="60" t="n">
        <v>0.2</v>
      </c>
      <c r="G1784" s="61" t="n">
        <v>0</v>
      </c>
      <c r="H1784" s="61" t="n">
        <v>0</v>
      </c>
      <c r="I1784" s="61" t="n">
        <v>0.01</v>
      </c>
      <c r="J1784" s="61" t="n">
        <v>0</v>
      </c>
      <c r="K1784" s="61" t="n">
        <v>0.18</v>
      </c>
      <c r="L1784" s="61" t="n">
        <v>0.01</v>
      </c>
      <c r="M1784" s="61" t="n">
        <v>0</v>
      </c>
      <c r="N1784" s="61" t="n">
        <v>0</v>
      </c>
      <c r="O1784" s="61" t="n">
        <v>0</v>
      </c>
      <c r="P1784" s="62" t="n">
        <v>50</v>
      </c>
      <c r="Q1784" s="0" t="n">
        <v>0</v>
      </c>
      <c r="R1784" s="60" t="n">
        <f aca="false">G1784+H1784+I1784</f>
        <v>0.01</v>
      </c>
      <c r="S1784" s="60" t="n">
        <f aca="false">K1784+L1784+M1784+N1784+O1784</f>
        <v>0.19</v>
      </c>
      <c r="T1784" s="60" t="n">
        <f aca="false">L1784+M1784</f>
        <v>0.01</v>
      </c>
      <c r="U1784" s="60" t="n">
        <f aca="false">S1784+J1784</f>
        <v>0.19</v>
      </c>
      <c r="V1784" s="63" t="n">
        <f aca="false">IFERROR(S1784/F1784,0)</f>
        <v>0.95</v>
      </c>
      <c r="W1784" s="63" t="n">
        <f aca="false">IFERROR(R1784/F1784,0)</f>
        <v>0.05</v>
      </c>
      <c r="X1784" s="63" t="n">
        <f aca="false">IFERROR(T1784/F1784,0)</f>
        <v>0.05</v>
      </c>
      <c r="Y1784" s="63" t="n">
        <f aca="false">IFERROR(G1784/F1784,0)</f>
        <v>0</v>
      </c>
      <c r="Z1784" s="59" t="n">
        <f aca="false">IF(E1784&gt;0,F1784*1000000000/E1784,"")</f>
        <v>25.2762792103741</v>
      </c>
      <c r="AA1784" s="63" t="n">
        <f aca="false">IFERROR((R1784+S1784+J1784)/F1784,0)</f>
        <v>1</v>
      </c>
      <c r="AB1784" s="0" t="str">
        <f aca="false">A1784&amp;"|"&amp;D1784</f>
        <v>Sierra Leone|2020</v>
      </c>
    </row>
    <row r="1785" customFormat="false" ht="15" hidden="false" customHeight="false" outlineLevel="0" collapsed="false">
      <c r="A1785" s="0" t="s">
        <v>351</v>
      </c>
      <c r="B1785" s="0" t="s">
        <v>590</v>
      </c>
      <c r="C1785" s="0" t="s">
        <v>127</v>
      </c>
      <c r="D1785" s="0" t="n">
        <v>2021</v>
      </c>
      <c r="E1785" s="59" t="n">
        <v>8094603</v>
      </c>
      <c r="F1785" s="60" t="n">
        <v>0.2</v>
      </c>
      <c r="G1785" s="61" t="n">
        <v>0</v>
      </c>
      <c r="H1785" s="61" t="n">
        <v>0</v>
      </c>
      <c r="I1785" s="61" t="n">
        <v>0.01</v>
      </c>
      <c r="J1785" s="61" t="n">
        <v>0</v>
      </c>
      <c r="K1785" s="61" t="n">
        <v>0.18</v>
      </c>
      <c r="L1785" s="61" t="n">
        <v>0.01</v>
      </c>
      <c r="M1785" s="61" t="n">
        <v>0</v>
      </c>
      <c r="N1785" s="61" t="n">
        <v>0</v>
      </c>
      <c r="O1785" s="61" t="n">
        <v>0</v>
      </c>
      <c r="P1785" s="62" t="n">
        <v>50</v>
      </c>
      <c r="Q1785" s="0" t="n">
        <v>0</v>
      </c>
      <c r="R1785" s="60" t="n">
        <f aca="false">G1785+H1785+I1785</f>
        <v>0.01</v>
      </c>
      <c r="S1785" s="60" t="n">
        <f aca="false">K1785+L1785+M1785+N1785+O1785</f>
        <v>0.19</v>
      </c>
      <c r="T1785" s="60" t="n">
        <f aca="false">L1785+M1785</f>
        <v>0.01</v>
      </c>
      <c r="U1785" s="60" t="n">
        <f aca="false">S1785+J1785</f>
        <v>0.19</v>
      </c>
      <c r="V1785" s="63" t="n">
        <f aca="false">IFERROR(S1785/F1785,0)</f>
        <v>0.95</v>
      </c>
      <c r="W1785" s="63" t="n">
        <f aca="false">IFERROR(R1785/F1785,0)</f>
        <v>0.05</v>
      </c>
      <c r="X1785" s="63" t="n">
        <f aca="false">IFERROR(T1785/F1785,0)</f>
        <v>0.05</v>
      </c>
      <c r="Y1785" s="63" t="n">
        <f aca="false">IFERROR(G1785/F1785,0)</f>
        <v>0</v>
      </c>
      <c r="Z1785" s="59" t="n">
        <f aca="false">IF(E1785&gt;0,F1785*1000000000/E1785,"")</f>
        <v>24.7078207541494</v>
      </c>
      <c r="AA1785" s="63" t="n">
        <f aca="false">IFERROR((R1785+S1785+J1785)/F1785,0)</f>
        <v>1</v>
      </c>
      <c r="AB1785" s="0" t="str">
        <f aca="false">A1785&amp;"|"&amp;D1785</f>
        <v>Sierra Leone|2021</v>
      </c>
    </row>
    <row r="1786" customFormat="false" ht="15" hidden="false" customHeight="false" outlineLevel="0" collapsed="false">
      <c r="A1786" s="0" t="s">
        <v>351</v>
      </c>
      <c r="B1786" s="0" t="s">
        <v>590</v>
      </c>
      <c r="C1786" s="0" t="s">
        <v>127</v>
      </c>
      <c r="D1786" s="0" t="n">
        <v>2022</v>
      </c>
      <c r="E1786" s="59" t="n">
        <v>8276809</v>
      </c>
      <c r="F1786" s="60" t="n">
        <v>0.2</v>
      </c>
      <c r="G1786" s="61" t="n">
        <v>0</v>
      </c>
      <c r="H1786" s="61" t="n">
        <v>0</v>
      </c>
      <c r="I1786" s="61" t="n">
        <v>0.01</v>
      </c>
      <c r="J1786" s="61" t="n">
        <v>0</v>
      </c>
      <c r="K1786" s="61" t="n">
        <v>0.18</v>
      </c>
      <c r="L1786" s="61" t="n">
        <v>0.01</v>
      </c>
      <c r="M1786" s="61" t="n">
        <v>0</v>
      </c>
      <c r="N1786" s="61" t="n">
        <v>0</v>
      </c>
      <c r="O1786" s="61" t="n">
        <v>0</v>
      </c>
      <c r="P1786" s="62" t="n">
        <v>50</v>
      </c>
      <c r="Q1786" s="0" t="n">
        <v>0</v>
      </c>
      <c r="R1786" s="60" t="n">
        <f aca="false">G1786+H1786+I1786</f>
        <v>0.01</v>
      </c>
      <c r="S1786" s="60" t="n">
        <f aca="false">K1786+L1786+M1786+N1786+O1786</f>
        <v>0.19</v>
      </c>
      <c r="T1786" s="60" t="n">
        <f aca="false">L1786+M1786</f>
        <v>0.01</v>
      </c>
      <c r="U1786" s="60" t="n">
        <f aca="false">S1786+J1786</f>
        <v>0.19</v>
      </c>
      <c r="V1786" s="63" t="n">
        <f aca="false">IFERROR(S1786/F1786,0)</f>
        <v>0.95</v>
      </c>
      <c r="W1786" s="63" t="n">
        <f aca="false">IFERROR(R1786/F1786,0)</f>
        <v>0.05</v>
      </c>
      <c r="X1786" s="63" t="n">
        <f aca="false">IFERROR(T1786/F1786,0)</f>
        <v>0.05</v>
      </c>
      <c r="Y1786" s="63" t="n">
        <f aca="false">IFERROR(G1786/F1786,0)</f>
        <v>0</v>
      </c>
      <c r="Z1786" s="59" t="n">
        <f aca="false">IF(E1786&gt;0,F1786*1000000000/E1786,"")</f>
        <v>24.1639018128847</v>
      </c>
      <c r="AA1786" s="63" t="n">
        <f aca="false">IFERROR((R1786+S1786+J1786)/F1786,0)</f>
        <v>1</v>
      </c>
      <c r="AB1786" s="0" t="str">
        <f aca="false">A1786&amp;"|"&amp;D1786</f>
        <v>Sierra Leone|2022</v>
      </c>
    </row>
    <row r="1787" customFormat="false" ht="15" hidden="false" customHeight="false" outlineLevel="0" collapsed="false">
      <c r="A1787" s="0" t="s">
        <v>351</v>
      </c>
      <c r="B1787" s="0" t="s">
        <v>590</v>
      </c>
      <c r="C1787" s="0" t="s">
        <v>127</v>
      </c>
      <c r="D1787" s="0" t="n">
        <v>2023</v>
      </c>
      <c r="E1787" s="59" t="n">
        <v>8460523</v>
      </c>
      <c r="F1787" s="60" t="n">
        <v>0.21</v>
      </c>
      <c r="G1787" s="61" t="n">
        <v>0</v>
      </c>
      <c r="H1787" s="61" t="n">
        <v>0</v>
      </c>
      <c r="I1787" s="61" t="n">
        <v>0.01</v>
      </c>
      <c r="J1787" s="61" t="n">
        <v>0</v>
      </c>
      <c r="K1787" s="61" t="n">
        <v>0.18</v>
      </c>
      <c r="L1787" s="61" t="n">
        <v>0.02</v>
      </c>
      <c r="M1787" s="61" t="n">
        <v>0</v>
      </c>
      <c r="N1787" s="61" t="n">
        <v>0</v>
      </c>
      <c r="O1787" s="61" t="n">
        <v>0</v>
      </c>
      <c r="P1787" s="62" t="n">
        <v>47.6</v>
      </c>
      <c r="Q1787" s="0" t="n">
        <v>0</v>
      </c>
      <c r="R1787" s="60" t="n">
        <f aca="false">G1787+H1787+I1787</f>
        <v>0.01</v>
      </c>
      <c r="S1787" s="60" t="n">
        <f aca="false">K1787+L1787+M1787+N1787+O1787</f>
        <v>0.2</v>
      </c>
      <c r="T1787" s="60" t="n">
        <f aca="false">L1787+M1787</f>
        <v>0.02</v>
      </c>
      <c r="U1787" s="60" t="n">
        <f aca="false">S1787+J1787</f>
        <v>0.2</v>
      </c>
      <c r="V1787" s="63" t="n">
        <f aca="false">IFERROR(S1787/F1787,0)</f>
        <v>0.952380952380952</v>
      </c>
      <c r="W1787" s="63" t="n">
        <f aca="false">IFERROR(R1787/F1787,0)</f>
        <v>0.0476190476190476</v>
      </c>
      <c r="X1787" s="63" t="n">
        <f aca="false">IFERROR(T1787/F1787,0)</f>
        <v>0.0952380952380953</v>
      </c>
      <c r="Y1787" s="63" t="n">
        <f aca="false">IFERROR(G1787/F1787,0)</f>
        <v>0</v>
      </c>
      <c r="Z1787" s="59" t="n">
        <f aca="false">IF(E1787&gt;0,F1787*1000000000/E1787,"")</f>
        <v>24.8211605830987</v>
      </c>
      <c r="AA1787" s="63" t="n">
        <f aca="false">IFERROR((R1787+S1787+J1787)/F1787,0)</f>
        <v>1</v>
      </c>
      <c r="AB1787" s="0" t="str">
        <f aca="false">A1787&amp;"|"&amp;D1787</f>
        <v>Sierra Leone|2023</v>
      </c>
    </row>
    <row r="1788" customFormat="false" ht="15" hidden="false" customHeight="false" outlineLevel="0" collapsed="false">
      <c r="A1788" s="0" t="s">
        <v>351</v>
      </c>
      <c r="B1788" s="0" t="s">
        <v>590</v>
      </c>
      <c r="C1788" s="0" t="s">
        <v>127</v>
      </c>
      <c r="D1788" s="0" t="n">
        <v>2024</v>
      </c>
      <c r="E1788" s="59" t="n">
        <v>8642029</v>
      </c>
      <c r="F1788" s="60" t="n">
        <v>0.21</v>
      </c>
      <c r="G1788" s="61" t="n">
        <v>0</v>
      </c>
      <c r="H1788" s="61" t="n">
        <v>0</v>
      </c>
      <c r="I1788" s="61" t="n">
        <v>0.01</v>
      </c>
      <c r="J1788" s="61" t="n">
        <v>0</v>
      </c>
      <c r="K1788" s="61" t="n">
        <v>0.18</v>
      </c>
      <c r="L1788" s="61" t="n">
        <v>0.02</v>
      </c>
      <c r="M1788" s="61" t="n">
        <v>0</v>
      </c>
      <c r="N1788" s="61" t="n">
        <v>0</v>
      </c>
      <c r="O1788" s="61" t="n">
        <v>0</v>
      </c>
      <c r="P1788" s="62" t="n">
        <v>47.6</v>
      </c>
      <c r="Q1788" s="0" t="n">
        <v>0</v>
      </c>
      <c r="R1788" s="60" t="n">
        <f aca="false">G1788+H1788+I1788</f>
        <v>0.01</v>
      </c>
      <c r="S1788" s="60" t="n">
        <f aca="false">K1788+L1788+M1788+N1788+O1788</f>
        <v>0.2</v>
      </c>
      <c r="T1788" s="60" t="n">
        <f aca="false">L1788+M1788</f>
        <v>0.02</v>
      </c>
      <c r="U1788" s="60" t="n">
        <f aca="false">S1788+J1788</f>
        <v>0.2</v>
      </c>
      <c r="V1788" s="63" t="n">
        <f aca="false">IFERROR(S1788/F1788,0)</f>
        <v>0.952380952380952</v>
      </c>
      <c r="W1788" s="63" t="n">
        <f aca="false">IFERROR(R1788/F1788,0)</f>
        <v>0.0476190476190476</v>
      </c>
      <c r="X1788" s="63" t="n">
        <f aca="false">IFERROR(T1788/F1788,0)</f>
        <v>0.0952380952380953</v>
      </c>
      <c r="Y1788" s="63" t="n">
        <f aca="false">IFERROR(G1788/F1788,0)</f>
        <v>0</v>
      </c>
      <c r="Z1788" s="59" t="n">
        <f aca="false">IF(E1788&gt;0,F1788*1000000000/E1788,"")</f>
        <v>24.2998490285094</v>
      </c>
      <c r="AA1788" s="63" t="n">
        <f aca="false">IFERROR((R1788+S1788+J1788)/F1788,0)</f>
        <v>1</v>
      </c>
      <c r="AB1788" s="0" t="str">
        <f aca="false">A1788&amp;"|"&amp;D1788</f>
        <v>Sierra Leone|2024</v>
      </c>
    </row>
    <row r="1789" customFormat="false" ht="15" hidden="false" customHeight="false" outlineLevel="0" collapsed="false">
      <c r="A1789" s="0" t="s">
        <v>352</v>
      </c>
      <c r="B1789" s="0" t="s">
        <v>591</v>
      </c>
      <c r="C1789" s="0" t="s">
        <v>127</v>
      </c>
      <c r="D1789" s="0" t="n">
        <v>2015</v>
      </c>
      <c r="E1789" s="59" t="n">
        <v>5525343</v>
      </c>
      <c r="F1789" s="60" t="n">
        <v>50.28</v>
      </c>
      <c r="G1789" s="61" t="n">
        <v>0.6</v>
      </c>
      <c r="H1789" s="61" t="n">
        <v>47.89</v>
      </c>
      <c r="I1789" s="61" t="n">
        <v>0.33</v>
      </c>
      <c r="J1789" s="61" t="n">
        <v>0</v>
      </c>
      <c r="K1789" s="61" t="n">
        <v>0</v>
      </c>
      <c r="L1789" s="61" t="n">
        <v>0</v>
      </c>
      <c r="M1789" s="61" t="n">
        <v>0</v>
      </c>
      <c r="N1789" s="61" t="n">
        <v>1.46</v>
      </c>
      <c r="O1789" s="61" t="n">
        <v>0</v>
      </c>
      <c r="P1789" s="62" t="n">
        <v>507</v>
      </c>
      <c r="Q1789" s="0" t="n">
        <v>3</v>
      </c>
      <c r="R1789" s="60" t="n">
        <f aca="false">G1789+H1789+I1789</f>
        <v>48.82</v>
      </c>
      <c r="S1789" s="60" t="n">
        <f aca="false">K1789+L1789+M1789+N1789+O1789</f>
        <v>1.46</v>
      </c>
      <c r="T1789" s="60" t="n">
        <f aca="false">L1789+M1789</f>
        <v>0</v>
      </c>
      <c r="U1789" s="60" t="n">
        <f aca="false">S1789+J1789</f>
        <v>1.46</v>
      </c>
      <c r="V1789" s="63" t="n">
        <f aca="false">IFERROR(S1789/F1789,0)</f>
        <v>0.0290373906125696</v>
      </c>
      <c r="W1789" s="63" t="n">
        <f aca="false">IFERROR(R1789/F1789,0)</f>
        <v>0.97096260938743</v>
      </c>
      <c r="X1789" s="63" t="n">
        <f aca="false">IFERROR(T1789/F1789,0)</f>
        <v>0</v>
      </c>
      <c r="Y1789" s="63" t="n">
        <f aca="false">IFERROR(G1789/F1789,0)</f>
        <v>0.0119331742243437</v>
      </c>
      <c r="Z1789" s="59" t="n">
        <f aca="false">IF(E1789&gt;0,F1789*1000000000/E1789,"")</f>
        <v>9099.88755449209</v>
      </c>
      <c r="AA1789" s="63" t="n">
        <f aca="false">IFERROR((R1789+S1789+J1789)/F1789,0)</f>
        <v>1</v>
      </c>
      <c r="AB1789" s="0" t="str">
        <f aca="false">A1789&amp;"|"&amp;D1789</f>
        <v>Singapore|2015</v>
      </c>
    </row>
    <row r="1790" customFormat="false" ht="15" hidden="false" customHeight="false" outlineLevel="0" collapsed="false">
      <c r="A1790" s="0" t="s">
        <v>352</v>
      </c>
      <c r="B1790" s="0" t="s">
        <v>591</v>
      </c>
      <c r="C1790" s="0" t="s">
        <v>127</v>
      </c>
      <c r="D1790" s="0" t="n">
        <v>2016</v>
      </c>
      <c r="E1790" s="59" t="n">
        <v>5577936</v>
      </c>
      <c r="F1790" s="60" t="n">
        <v>51.59</v>
      </c>
      <c r="G1790" s="61" t="n">
        <v>0.62</v>
      </c>
      <c r="H1790" s="61" t="n">
        <v>49.11</v>
      </c>
      <c r="I1790" s="61" t="n">
        <v>0.36</v>
      </c>
      <c r="J1790" s="61" t="n">
        <v>0</v>
      </c>
      <c r="K1790" s="61" t="n">
        <v>0</v>
      </c>
      <c r="L1790" s="61" t="n">
        <v>0.09</v>
      </c>
      <c r="M1790" s="61" t="n">
        <v>0</v>
      </c>
      <c r="N1790" s="61" t="n">
        <v>1.41</v>
      </c>
      <c r="O1790" s="61" t="n">
        <v>0</v>
      </c>
      <c r="P1790" s="62" t="n">
        <v>506.5</v>
      </c>
      <c r="Q1790" s="0" t="n">
        <v>3</v>
      </c>
      <c r="R1790" s="60" t="n">
        <f aca="false">G1790+H1790+I1790</f>
        <v>50.09</v>
      </c>
      <c r="S1790" s="60" t="n">
        <f aca="false">K1790+L1790+M1790+N1790+O1790</f>
        <v>1.5</v>
      </c>
      <c r="T1790" s="60" t="n">
        <f aca="false">L1790+M1790</f>
        <v>0.09</v>
      </c>
      <c r="U1790" s="60" t="n">
        <f aca="false">S1790+J1790</f>
        <v>1.5</v>
      </c>
      <c r="V1790" s="63" t="n">
        <f aca="false">IFERROR(S1790/F1790,0)</f>
        <v>0.0290754022097306</v>
      </c>
      <c r="W1790" s="63" t="n">
        <f aca="false">IFERROR(R1790/F1790,0)</f>
        <v>0.970924597790269</v>
      </c>
      <c r="X1790" s="63" t="n">
        <f aca="false">IFERROR(T1790/F1790,0)</f>
        <v>0.00174452413258383</v>
      </c>
      <c r="Y1790" s="63" t="n">
        <f aca="false">IFERROR(G1790/F1790,0)</f>
        <v>0.0120178329133553</v>
      </c>
      <c r="Z1790" s="59" t="n">
        <f aca="false">IF(E1790&gt;0,F1790*1000000000/E1790,"")</f>
        <v>9248.94082685782</v>
      </c>
      <c r="AA1790" s="63" t="n">
        <f aca="false">IFERROR((R1790+S1790+J1790)/F1790,0)</f>
        <v>1</v>
      </c>
      <c r="AB1790" s="0" t="str">
        <f aca="false">A1790&amp;"|"&amp;D1790</f>
        <v>Singapore|2016</v>
      </c>
    </row>
    <row r="1791" customFormat="false" ht="15" hidden="false" customHeight="false" outlineLevel="0" collapsed="false">
      <c r="A1791" s="0" t="s">
        <v>352</v>
      </c>
      <c r="B1791" s="0" t="s">
        <v>591</v>
      </c>
      <c r="C1791" s="0" t="s">
        <v>127</v>
      </c>
      <c r="D1791" s="0" t="n">
        <v>2017</v>
      </c>
      <c r="E1791" s="59" t="n">
        <v>5604087</v>
      </c>
      <c r="F1791" s="60" t="n">
        <v>52.28</v>
      </c>
      <c r="G1791" s="61" t="n">
        <v>0.68</v>
      </c>
      <c r="H1791" s="61" t="n">
        <v>49.72</v>
      </c>
      <c r="I1791" s="61" t="n">
        <v>0.37</v>
      </c>
      <c r="J1791" s="61" t="n">
        <v>0</v>
      </c>
      <c r="K1791" s="61" t="n">
        <v>0</v>
      </c>
      <c r="L1791" s="61" t="n">
        <v>0.12</v>
      </c>
      <c r="M1791" s="61" t="n">
        <v>0</v>
      </c>
      <c r="N1791" s="61" t="n">
        <v>1.39</v>
      </c>
      <c r="O1791" s="61" t="n">
        <v>0</v>
      </c>
      <c r="P1791" s="62" t="n">
        <v>507.3</v>
      </c>
      <c r="Q1791" s="0" t="n">
        <v>3</v>
      </c>
      <c r="R1791" s="60" t="n">
        <f aca="false">G1791+H1791+I1791</f>
        <v>50.77</v>
      </c>
      <c r="S1791" s="60" t="n">
        <f aca="false">K1791+L1791+M1791+N1791+O1791</f>
        <v>1.51</v>
      </c>
      <c r="T1791" s="60" t="n">
        <f aca="false">L1791+M1791</f>
        <v>0.12</v>
      </c>
      <c r="U1791" s="60" t="n">
        <f aca="false">S1791+J1791</f>
        <v>1.51</v>
      </c>
      <c r="V1791" s="63" t="n">
        <f aca="false">IFERROR(S1791/F1791,0)</f>
        <v>0.0288829380260138</v>
      </c>
      <c r="W1791" s="63" t="n">
        <f aca="false">IFERROR(R1791/F1791,0)</f>
        <v>0.971117061973986</v>
      </c>
      <c r="X1791" s="63" t="n">
        <f aca="false">IFERROR(T1791/F1791,0)</f>
        <v>0.00229533282325937</v>
      </c>
      <c r="Y1791" s="63" t="n">
        <f aca="false">IFERROR(G1791/F1791,0)</f>
        <v>0.0130068859984698</v>
      </c>
      <c r="Z1791" s="59" t="n">
        <f aca="false">IF(E1791&gt;0,F1791*1000000000/E1791,"")</f>
        <v>9328.9058503196</v>
      </c>
      <c r="AA1791" s="63" t="n">
        <f aca="false">IFERROR((R1791+S1791+J1791)/F1791,0)</f>
        <v>1</v>
      </c>
      <c r="AB1791" s="0" t="str">
        <f aca="false">A1791&amp;"|"&amp;D1791</f>
        <v>Singapore|2017</v>
      </c>
    </row>
    <row r="1792" customFormat="false" ht="15" hidden="false" customHeight="false" outlineLevel="0" collapsed="false">
      <c r="A1792" s="0" t="s">
        <v>352</v>
      </c>
      <c r="B1792" s="0" t="s">
        <v>591</v>
      </c>
      <c r="C1792" s="0" t="s">
        <v>127</v>
      </c>
      <c r="D1792" s="0" t="n">
        <v>2018</v>
      </c>
      <c r="E1792" s="59" t="n">
        <v>5634366</v>
      </c>
      <c r="F1792" s="60" t="n">
        <v>52.97</v>
      </c>
      <c r="G1792" s="61" t="n">
        <v>0.69</v>
      </c>
      <c r="H1792" s="61" t="n">
        <v>50.47</v>
      </c>
      <c r="I1792" s="61" t="n">
        <v>0.32</v>
      </c>
      <c r="J1792" s="61" t="n">
        <v>0</v>
      </c>
      <c r="K1792" s="61" t="n">
        <v>0</v>
      </c>
      <c r="L1792" s="61" t="n">
        <v>0.14</v>
      </c>
      <c r="M1792" s="61" t="n">
        <v>0</v>
      </c>
      <c r="N1792" s="61" t="n">
        <v>1.35</v>
      </c>
      <c r="O1792" s="61" t="n">
        <v>0</v>
      </c>
      <c r="P1792" s="62" t="n">
        <v>507.1</v>
      </c>
      <c r="Q1792" s="0" t="n">
        <v>3</v>
      </c>
      <c r="R1792" s="60" t="n">
        <f aca="false">G1792+H1792+I1792</f>
        <v>51.48</v>
      </c>
      <c r="S1792" s="60" t="n">
        <f aca="false">K1792+L1792+M1792+N1792+O1792</f>
        <v>1.49</v>
      </c>
      <c r="T1792" s="60" t="n">
        <f aca="false">L1792+M1792</f>
        <v>0.14</v>
      </c>
      <c r="U1792" s="60" t="n">
        <f aca="false">S1792+J1792</f>
        <v>1.49</v>
      </c>
      <c r="V1792" s="63" t="n">
        <f aca="false">IFERROR(S1792/F1792,0)</f>
        <v>0.0281291296960544</v>
      </c>
      <c r="W1792" s="63" t="n">
        <f aca="false">IFERROR(R1792/F1792,0)</f>
        <v>0.971870870303946</v>
      </c>
      <c r="X1792" s="63" t="n">
        <f aca="false">IFERROR(T1792/F1792,0)</f>
        <v>0.00264300547479706</v>
      </c>
      <c r="Y1792" s="63" t="n">
        <f aca="false">IFERROR(G1792/F1792,0)</f>
        <v>0.0130262412686426</v>
      </c>
      <c r="Z1792" s="59" t="n">
        <f aca="false">IF(E1792&gt;0,F1792*1000000000/E1792,"")</f>
        <v>9401.23520552268</v>
      </c>
      <c r="AA1792" s="63" t="n">
        <f aca="false">IFERROR((R1792+S1792+J1792)/F1792,0)</f>
        <v>1</v>
      </c>
      <c r="AB1792" s="0" t="str">
        <f aca="false">A1792&amp;"|"&amp;D1792</f>
        <v>Singapore|2018</v>
      </c>
    </row>
    <row r="1793" customFormat="false" ht="15" hidden="false" customHeight="false" outlineLevel="0" collapsed="false">
      <c r="A1793" s="0" t="s">
        <v>352</v>
      </c>
      <c r="B1793" s="0" t="s">
        <v>591</v>
      </c>
      <c r="C1793" s="0" t="s">
        <v>127</v>
      </c>
      <c r="D1793" s="0" t="n">
        <v>2019</v>
      </c>
      <c r="E1793" s="59" t="n">
        <v>5669562</v>
      </c>
      <c r="F1793" s="60" t="n">
        <v>54.14</v>
      </c>
      <c r="G1793" s="61" t="n">
        <v>0.65</v>
      </c>
      <c r="H1793" s="61" t="n">
        <v>51.76</v>
      </c>
      <c r="I1793" s="61" t="n">
        <v>0.22</v>
      </c>
      <c r="J1793" s="61" t="n">
        <v>0</v>
      </c>
      <c r="K1793" s="61" t="n">
        <v>0</v>
      </c>
      <c r="L1793" s="61" t="n">
        <v>0.19</v>
      </c>
      <c r="M1793" s="61" t="n">
        <v>0</v>
      </c>
      <c r="N1793" s="61" t="n">
        <v>1.32</v>
      </c>
      <c r="O1793" s="61" t="n">
        <v>0</v>
      </c>
      <c r="P1793" s="62" t="n">
        <v>506.1</v>
      </c>
      <c r="Q1793" s="0" t="n">
        <v>3</v>
      </c>
      <c r="R1793" s="60" t="n">
        <f aca="false">G1793+H1793+I1793</f>
        <v>52.63</v>
      </c>
      <c r="S1793" s="60" t="n">
        <f aca="false">K1793+L1793+M1793+N1793+O1793</f>
        <v>1.51</v>
      </c>
      <c r="T1793" s="60" t="n">
        <f aca="false">L1793+M1793</f>
        <v>0.19</v>
      </c>
      <c r="U1793" s="60" t="n">
        <f aca="false">S1793+J1793</f>
        <v>1.51</v>
      </c>
      <c r="V1793" s="63" t="n">
        <f aca="false">IFERROR(S1793/F1793,0)</f>
        <v>0.027890653860362</v>
      </c>
      <c r="W1793" s="63" t="n">
        <f aca="false">IFERROR(R1793/F1793,0)</f>
        <v>0.972109346139638</v>
      </c>
      <c r="X1793" s="63" t="n">
        <f aca="false">IFERROR(T1793/F1793,0)</f>
        <v>0.00350942002216476</v>
      </c>
      <c r="Y1793" s="63" t="n">
        <f aca="false">IFERROR(G1793/F1793,0)</f>
        <v>0.0120059106021426</v>
      </c>
      <c r="Z1793" s="59" t="n">
        <f aca="false">IF(E1793&gt;0,F1793*1000000000/E1793,"")</f>
        <v>9549.23854788077</v>
      </c>
      <c r="AA1793" s="63" t="n">
        <f aca="false">IFERROR((R1793+S1793+J1793)/F1793,0)</f>
        <v>1</v>
      </c>
      <c r="AB1793" s="0" t="str">
        <f aca="false">A1793&amp;"|"&amp;D1793</f>
        <v>Singapore|2019</v>
      </c>
    </row>
    <row r="1794" customFormat="false" ht="15" hidden="false" customHeight="false" outlineLevel="0" collapsed="false">
      <c r="A1794" s="0" t="s">
        <v>352</v>
      </c>
      <c r="B1794" s="0" t="s">
        <v>591</v>
      </c>
      <c r="C1794" s="0" t="s">
        <v>127</v>
      </c>
      <c r="D1794" s="0" t="n">
        <v>2020</v>
      </c>
      <c r="E1794" s="59" t="n">
        <v>5620151</v>
      </c>
      <c r="F1794" s="60" t="n">
        <v>53.07</v>
      </c>
      <c r="G1794" s="61" t="n">
        <v>0.53</v>
      </c>
      <c r="H1794" s="61" t="n">
        <v>50.84</v>
      </c>
      <c r="I1794" s="61" t="n">
        <v>0.21</v>
      </c>
      <c r="J1794" s="61" t="n">
        <v>0</v>
      </c>
      <c r="K1794" s="61" t="n">
        <v>0</v>
      </c>
      <c r="L1794" s="61" t="n">
        <v>0.3</v>
      </c>
      <c r="M1794" s="61" t="n">
        <v>0</v>
      </c>
      <c r="N1794" s="61" t="n">
        <v>1.19</v>
      </c>
      <c r="O1794" s="61" t="n">
        <v>0</v>
      </c>
      <c r="P1794" s="62" t="n">
        <v>504.6</v>
      </c>
      <c r="Q1794" s="0" t="n">
        <v>3</v>
      </c>
      <c r="R1794" s="60" t="n">
        <f aca="false">G1794+H1794+I1794</f>
        <v>51.58</v>
      </c>
      <c r="S1794" s="60" t="n">
        <f aca="false">K1794+L1794+M1794+N1794+O1794</f>
        <v>1.49</v>
      </c>
      <c r="T1794" s="60" t="n">
        <f aca="false">L1794+M1794</f>
        <v>0.3</v>
      </c>
      <c r="U1794" s="60" t="n">
        <f aca="false">S1794+J1794</f>
        <v>1.49</v>
      </c>
      <c r="V1794" s="63" t="n">
        <f aca="false">IFERROR(S1794/F1794,0)</f>
        <v>0.0280761258714905</v>
      </c>
      <c r="W1794" s="63" t="n">
        <f aca="false">IFERROR(R1794/F1794,0)</f>
        <v>0.97192387412851</v>
      </c>
      <c r="X1794" s="63" t="n">
        <f aca="false">IFERROR(T1794/F1794,0)</f>
        <v>0.00565291124929339</v>
      </c>
      <c r="Y1794" s="63" t="n">
        <f aca="false">IFERROR(G1794/F1794,0)</f>
        <v>0.00998680987375165</v>
      </c>
      <c r="Z1794" s="59" t="n">
        <f aca="false">IF(E1794&gt;0,F1794*1000000000/E1794,"")</f>
        <v>9442.80678579633</v>
      </c>
      <c r="AA1794" s="63" t="n">
        <f aca="false">IFERROR((R1794+S1794+J1794)/F1794,0)</f>
        <v>1</v>
      </c>
      <c r="AB1794" s="0" t="str">
        <f aca="false">A1794&amp;"|"&amp;D1794</f>
        <v>Singapore|2020</v>
      </c>
    </row>
    <row r="1795" customFormat="false" ht="15" hidden="false" customHeight="false" outlineLevel="0" collapsed="false">
      <c r="A1795" s="0" t="s">
        <v>352</v>
      </c>
      <c r="B1795" s="0" t="s">
        <v>591</v>
      </c>
      <c r="C1795" s="0" t="s">
        <v>127</v>
      </c>
      <c r="D1795" s="0" t="n">
        <v>2021</v>
      </c>
      <c r="E1795" s="59" t="n">
        <v>5546291</v>
      </c>
      <c r="F1795" s="60" t="n">
        <v>55.79</v>
      </c>
      <c r="G1795" s="61" t="n">
        <v>0.67</v>
      </c>
      <c r="H1795" s="61" t="n">
        <v>52.94</v>
      </c>
      <c r="I1795" s="61" t="n">
        <v>0.56</v>
      </c>
      <c r="J1795" s="61" t="n">
        <v>0</v>
      </c>
      <c r="K1795" s="61" t="n">
        <v>0</v>
      </c>
      <c r="L1795" s="61" t="n">
        <v>0.4</v>
      </c>
      <c r="M1795" s="61" t="n">
        <v>0</v>
      </c>
      <c r="N1795" s="61" t="n">
        <v>1.22</v>
      </c>
      <c r="O1795" s="61" t="n">
        <v>0</v>
      </c>
      <c r="P1795" s="62" t="n">
        <v>506.2</v>
      </c>
      <c r="Q1795" s="0" t="n">
        <v>3</v>
      </c>
      <c r="R1795" s="60" t="n">
        <f aca="false">G1795+H1795+I1795</f>
        <v>54.17</v>
      </c>
      <c r="S1795" s="60" t="n">
        <f aca="false">K1795+L1795+M1795+N1795+O1795</f>
        <v>1.62</v>
      </c>
      <c r="T1795" s="60" t="n">
        <f aca="false">L1795+M1795</f>
        <v>0.4</v>
      </c>
      <c r="U1795" s="60" t="n">
        <f aca="false">S1795+J1795</f>
        <v>1.62</v>
      </c>
      <c r="V1795" s="63" t="n">
        <f aca="false">IFERROR(S1795/F1795,0)</f>
        <v>0.0290374619107367</v>
      </c>
      <c r="W1795" s="63" t="n">
        <f aca="false">IFERROR(R1795/F1795,0)</f>
        <v>0.970962538089263</v>
      </c>
      <c r="X1795" s="63" t="n">
        <f aca="false">IFERROR(T1795/F1795,0)</f>
        <v>0.00716974368166338</v>
      </c>
      <c r="Y1795" s="63" t="n">
        <f aca="false">IFERROR(G1795/F1795,0)</f>
        <v>0.0120093206667862</v>
      </c>
      <c r="Z1795" s="59" t="n">
        <f aca="false">IF(E1795&gt;0,F1795*1000000000/E1795,"")</f>
        <v>10058.9745471343</v>
      </c>
      <c r="AA1795" s="63" t="n">
        <f aca="false">IFERROR((R1795+S1795+J1795)/F1795,0)</f>
        <v>1</v>
      </c>
      <c r="AB1795" s="0" t="str">
        <f aca="false">A1795&amp;"|"&amp;D1795</f>
        <v>Singapore|2021</v>
      </c>
    </row>
    <row r="1796" customFormat="false" ht="15" hidden="false" customHeight="false" outlineLevel="0" collapsed="false">
      <c r="A1796" s="0" t="s">
        <v>352</v>
      </c>
      <c r="B1796" s="0" t="s">
        <v>591</v>
      </c>
      <c r="C1796" s="0" t="s">
        <v>127</v>
      </c>
      <c r="D1796" s="0" t="n">
        <v>2022</v>
      </c>
      <c r="E1796" s="59" t="n">
        <v>5649888</v>
      </c>
      <c r="F1796" s="60" t="n">
        <v>56.92</v>
      </c>
      <c r="G1796" s="61" t="n">
        <v>0.57</v>
      </c>
      <c r="H1796" s="61" t="n">
        <v>52.54</v>
      </c>
      <c r="I1796" s="61" t="n">
        <v>1.48</v>
      </c>
      <c r="J1796" s="61" t="n">
        <v>0</v>
      </c>
      <c r="K1796" s="61" t="n">
        <v>0</v>
      </c>
      <c r="L1796" s="61" t="n">
        <v>0.67</v>
      </c>
      <c r="M1796" s="61" t="n">
        <v>0</v>
      </c>
      <c r="N1796" s="61" t="n">
        <v>1.66</v>
      </c>
      <c r="O1796" s="61" t="n">
        <v>0</v>
      </c>
      <c r="P1796" s="62" t="n">
        <v>504.2</v>
      </c>
      <c r="Q1796" s="0" t="n">
        <v>3</v>
      </c>
      <c r="R1796" s="60" t="n">
        <f aca="false">G1796+H1796+I1796</f>
        <v>54.59</v>
      </c>
      <c r="S1796" s="60" t="n">
        <f aca="false">K1796+L1796+M1796+N1796+O1796</f>
        <v>2.33</v>
      </c>
      <c r="T1796" s="60" t="n">
        <f aca="false">L1796+M1796</f>
        <v>0.67</v>
      </c>
      <c r="U1796" s="60" t="n">
        <f aca="false">S1796+J1796</f>
        <v>2.33</v>
      </c>
      <c r="V1796" s="63" t="n">
        <f aca="false">IFERROR(S1796/F1796,0)</f>
        <v>0.0409346451159522</v>
      </c>
      <c r="W1796" s="63" t="n">
        <f aca="false">IFERROR(R1796/F1796,0)</f>
        <v>0.959065354884048</v>
      </c>
      <c r="X1796" s="63" t="n">
        <f aca="false">IFERROR(T1796/F1796,0)</f>
        <v>0.0117709065354884</v>
      </c>
      <c r="Y1796" s="63" t="n">
        <f aca="false">IFERROR(G1796/F1796,0)</f>
        <v>0.0100140548137737</v>
      </c>
      <c r="Z1796" s="59" t="n">
        <f aca="false">IF(E1796&gt;0,F1796*1000000000/E1796,"")</f>
        <v>10074.5359908019</v>
      </c>
      <c r="AA1796" s="63" t="n">
        <f aca="false">IFERROR((R1796+S1796+J1796)/F1796,0)</f>
        <v>1</v>
      </c>
      <c r="AB1796" s="0" t="str">
        <f aca="false">A1796&amp;"|"&amp;D1796</f>
        <v>Singapore|2022</v>
      </c>
    </row>
    <row r="1797" customFormat="false" ht="15" hidden="false" customHeight="false" outlineLevel="0" collapsed="false">
      <c r="A1797" s="0" t="s">
        <v>352</v>
      </c>
      <c r="B1797" s="0" t="s">
        <v>591</v>
      </c>
      <c r="C1797" s="0" t="s">
        <v>127</v>
      </c>
      <c r="D1797" s="0" t="n">
        <v>2023</v>
      </c>
      <c r="E1797" s="59" t="n">
        <v>5789092</v>
      </c>
      <c r="F1797" s="60" t="n">
        <v>57.32</v>
      </c>
      <c r="G1797" s="61" t="n">
        <v>0.57</v>
      </c>
      <c r="H1797" s="61" t="n">
        <v>53.06</v>
      </c>
      <c r="I1797" s="61" t="n">
        <v>1.09</v>
      </c>
      <c r="J1797" s="61" t="n">
        <v>0</v>
      </c>
      <c r="K1797" s="61" t="n">
        <v>0</v>
      </c>
      <c r="L1797" s="61" t="n">
        <v>0.94</v>
      </c>
      <c r="M1797" s="61" t="n">
        <v>0</v>
      </c>
      <c r="N1797" s="61" t="n">
        <v>1.66</v>
      </c>
      <c r="O1797" s="61" t="n">
        <v>0</v>
      </c>
      <c r="P1797" s="62" t="n">
        <v>500.9</v>
      </c>
      <c r="Q1797" s="0" t="n">
        <v>3</v>
      </c>
      <c r="R1797" s="60" t="n">
        <f aca="false">G1797+H1797+I1797</f>
        <v>54.72</v>
      </c>
      <c r="S1797" s="60" t="n">
        <f aca="false">K1797+L1797+M1797+N1797+O1797</f>
        <v>2.6</v>
      </c>
      <c r="T1797" s="60" t="n">
        <f aca="false">L1797+M1797</f>
        <v>0.94</v>
      </c>
      <c r="U1797" s="60" t="n">
        <f aca="false">S1797+J1797</f>
        <v>2.6</v>
      </c>
      <c r="V1797" s="63" t="n">
        <f aca="false">IFERROR(S1797/F1797,0)</f>
        <v>0.0453593859036985</v>
      </c>
      <c r="W1797" s="63" t="n">
        <f aca="false">IFERROR(R1797/F1797,0)</f>
        <v>0.954640614096302</v>
      </c>
      <c r="X1797" s="63" t="n">
        <f aca="false">IFERROR(T1797/F1797,0)</f>
        <v>0.0163991625959525</v>
      </c>
      <c r="Y1797" s="63" t="n">
        <f aca="false">IFERROR(G1797/F1797,0)</f>
        <v>0.00994417306350314</v>
      </c>
      <c r="Z1797" s="59" t="n">
        <f aca="false">IF(E1797&gt;0,F1797*1000000000/E1797,"")</f>
        <v>9901.38004370979</v>
      </c>
      <c r="AA1797" s="63" t="n">
        <f aca="false">IFERROR((R1797+S1797+J1797)/F1797,0)</f>
        <v>1</v>
      </c>
      <c r="AB1797" s="0" t="str">
        <f aca="false">A1797&amp;"|"&amp;D1797</f>
        <v>Singapore|2023</v>
      </c>
    </row>
    <row r="1798" customFormat="false" ht="15" hidden="false" customHeight="false" outlineLevel="0" collapsed="false">
      <c r="A1798" s="0" t="s">
        <v>352</v>
      </c>
      <c r="B1798" s="0" t="s">
        <v>591</v>
      </c>
      <c r="C1798" s="0" t="s">
        <v>127</v>
      </c>
      <c r="D1798" s="0" t="n">
        <v>2024</v>
      </c>
      <c r="E1798" s="59" t="n">
        <v>5832387</v>
      </c>
      <c r="F1798" s="60" t="n">
        <v>59.61</v>
      </c>
      <c r="G1798" s="61" t="n">
        <v>0.57</v>
      </c>
      <c r="H1798" s="61" t="n">
        <v>54.93</v>
      </c>
      <c r="I1798" s="61" t="n">
        <v>1.17</v>
      </c>
      <c r="J1798" s="61" t="n">
        <v>0</v>
      </c>
      <c r="K1798" s="61" t="n">
        <v>0</v>
      </c>
      <c r="L1798" s="61" t="n">
        <v>1.28</v>
      </c>
      <c r="M1798" s="61" t="n">
        <v>0</v>
      </c>
      <c r="N1798" s="61" t="n">
        <v>1.66</v>
      </c>
      <c r="O1798" s="61" t="n">
        <v>0</v>
      </c>
      <c r="P1798" s="62" t="n">
        <v>498.7</v>
      </c>
      <c r="Q1798" s="0" t="n">
        <v>3</v>
      </c>
      <c r="R1798" s="60" t="n">
        <f aca="false">G1798+H1798+I1798</f>
        <v>56.67</v>
      </c>
      <c r="S1798" s="60" t="n">
        <f aca="false">K1798+L1798+M1798+N1798+O1798</f>
        <v>2.94</v>
      </c>
      <c r="T1798" s="60" t="n">
        <f aca="false">L1798+M1798</f>
        <v>1.28</v>
      </c>
      <c r="U1798" s="60" t="n">
        <f aca="false">S1798+J1798</f>
        <v>2.94</v>
      </c>
      <c r="V1798" s="63" t="n">
        <f aca="false">IFERROR(S1798/F1798,0)</f>
        <v>0.0493205837946653</v>
      </c>
      <c r="W1798" s="63" t="n">
        <f aca="false">IFERROR(R1798/F1798,0)</f>
        <v>0.950679416205335</v>
      </c>
      <c r="X1798" s="63" t="n">
        <f aca="false">IFERROR(T1798/F1798,0)</f>
        <v>0.0214729072303305</v>
      </c>
      <c r="Y1798" s="63" t="n">
        <f aca="false">IFERROR(G1798/F1798,0)</f>
        <v>0.00956215400100654</v>
      </c>
      <c r="Z1798" s="59" t="n">
        <f aca="false">IF(E1798&gt;0,F1798*1000000000/E1798,"")</f>
        <v>10220.5152024377</v>
      </c>
      <c r="AA1798" s="63" t="n">
        <f aca="false">IFERROR((R1798+S1798+J1798)/F1798,0)</f>
        <v>1</v>
      </c>
      <c r="AB1798" s="0" t="str">
        <f aca="false">A1798&amp;"|"&amp;D1798</f>
        <v>Singapore|2024</v>
      </c>
    </row>
    <row r="1799" customFormat="false" ht="15" hidden="false" customHeight="false" outlineLevel="0" collapsed="false">
      <c r="A1799" s="0" t="s">
        <v>352</v>
      </c>
      <c r="B1799" s="0" t="s">
        <v>591</v>
      </c>
      <c r="C1799" s="0" t="s">
        <v>127</v>
      </c>
      <c r="D1799" s="0" t="n">
        <v>2025</v>
      </c>
      <c r="E1799" s="59" t="n">
        <v>5870749</v>
      </c>
      <c r="F1799" s="60" t="n">
        <v>60.15</v>
      </c>
      <c r="G1799" s="61" t="n">
        <v>0.57</v>
      </c>
      <c r="H1799" s="61" t="n">
        <v>54.81</v>
      </c>
      <c r="I1799" s="61" t="n">
        <v>1.47</v>
      </c>
      <c r="J1799" s="61" t="n">
        <v>0</v>
      </c>
      <c r="K1799" s="61" t="n">
        <v>0</v>
      </c>
      <c r="L1799" s="61" t="n">
        <v>1.64</v>
      </c>
      <c r="M1799" s="61" t="n">
        <v>0</v>
      </c>
      <c r="N1799" s="61" t="n">
        <v>1.66</v>
      </c>
      <c r="O1799" s="61" t="n">
        <v>0</v>
      </c>
      <c r="P1799" s="62" t="n">
        <v>497.1</v>
      </c>
      <c r="Q1799" s="0" t="n">
        <v>4</v>
      </c>
      <c r="R1799" s="60" t="n">
        <f aca="false">G1799+H1799+I1799</f>
        <v>56.85</v>
      </c>
      <c r="S1799" s="60" t="n">
        <f aca="false">K1799+L1799+M1799+N1799+O1799</f>
        <v>3.3</v>
      </c>
      <c r="T1799" s="60" t="n">
        <f aca="false">L1799+M1799</f>
        <v>1.64</v>
      </c>
      <c r="U1799" s="60" t="n">
        <f aca="false">S1799+J1799</f>
        <v>3.3</v>
      </c>
      <c r="V1799" s="63" t="n">
        <f aca="false">IFERROR(S1799/F1799,0)</f>
        <v>0.0548628428927681</v>
      </c>
      <c r="W1799" s="63" t="n">
        <f aca="false">IFERROR(R1799/F1799,0)</f>
        <v>0.945137157107232</v>
      </c>
      <c r="X1799" s="63" t="n">
        <f aca="false">IFERROR(T1799/F1799,0)</f>
        <v>0.027265170407315</v>
      </c>
      <c r="Y1799" s="63" t="n">
        <f aca="false">IFERROR(G1799/F1799,0)</f>
        <v>0.00947630922693267</v>
      </c>
      <c r="Z1799" s="59" t="n">
        <f aca="false">IF(E1799&gt;0,F1799*1000000000/E1799,"")</f>
        <v>10245.7114075223</v>
      </c>
      <c r="AA1799" s="63" t="n">
        <f aca="false">IFERROR((R1799+S1799+J1799)/F1799,0)</f>
        <v>1</v>
      </c>
      <c r="AB1799" s="0" t="str">
        <f aca="false">A1799&amp;"|"&amp;D1799</f>
        <v>Singapore|2025</v>
      </c>
    </row>
    <row r="1800" customFormat="false" ht="15" hidden="false" customHeight="false" outlineLevel="0" collapsed="false">
      <c r="A1800" s="0" t="s">
        <v>353</v>
      </c>
      <c r="B1800" s="0" t="s">
        <v>592</v>
      </c>
      <c r="C1800" s="0" t="s">
        <v>127</v>
      </c>
      <c r="D1800" s="0" t="n">
        <v>2015</v>
      </c>
      <c r="E1800" s="59" t="n">
        <v>5420278</v>
      </c>
      <c r="F1800" s="60" t="n">
        <v>26.62</v>
      </c>
      <c r="G1800" s="61" t="n">
        <v>2.83</v>
      </c>
      <c r="H1800" s="61" t="n">
        <v>1.6</v>
      </c>
      <c r="I1800" s="61" t="n">
        <v>0.99</v>
      </c>
      <c r="J1800" s="61" t="n">
        <v>15.15</v>
      </c>
      <c r="K1800" s="61" t="n">
        <v>3.87</v>
      </c>
      <c r="L1800" s="61" t="n">
        <v>0.51</v>
      </c>
      <c r="M1800" s="61" t="n">
        <v>0.01</v>
      </c>
      <c r="N1800" s="61" t="n">
        <v>1.66</v>
      </c>
      <c r="O1800" s="61" t="n">
        <v>0</v>
      </c>
      <c r="P1800" s="62" t="n">
        <v>177.3</v>
      </c>
      <c r="Q1800" s="0" t="n">
        <v>0</v>
      </c>
      <c r="R1800" s="60" t="n">
        <f aca="false">G1800+H1800+I1800</f>
        <v>5.42</v>
      </c>
      <c r="S1800" s="60" t="n">
        <f aca="false">K1800+L1800+M1800+N1800+O1800</f>
        <v>6.05</v>
      </c>
      <c r="T1800" s="60" t="n">
        <f aca="false">L1800+M1800</f>
        <v>0.52</v>
      </c>
      <c r="U1800" s="60" t="n">
        <f aca="false">S1800+J1800</f>
        <v>21.2</v>
      </c>
      <c r="V1800" s="63" t="n">
        <f aca="false">IFERROR(S1800/F1800,0)</f>
        <v>0.227272727272727</v>
      </c>
      <c r="W1800" s="63" t="n">
        <f aca="false">IFERROR(R1800/F1800,0)</f>
        <v>0.203606311044328</v>
      </c>
      <c r="X1800" s="63" t="n">
        <f aca="false">IFERROR(T1800/F1800,0)</f>
        <v>0.019534184823441</v>
      </c>
      <c r="Y1800" s="63" t="n">
        <f aca="false">IFERROR(G1800/F1800,0)</f>
        <v>0.106311044327573</v>
      </c>
      <c r="Z1800" s="59" t="n">
        <f aca="false">IF(E1800&gt;0,F1800*1000000000/E1800,"")</f>
        <v>4911.18721216882</v>
      </c>
      <c r="AA1800" s="63" t="n">
        <f aca="false">IFERROR((R1800+S1800+J1800)/F1800,0)</f>
        <v>1</v>
      </c>
      <c r="AB1800" s="0" t="str">
        <f aca="false">A1800&amp;"|"&amp;D1800</f>
        <v>Slovakia|2015</v>
      </c>
    </row>
    <row r="1801" customFormat="false" ht="15" hidden="false" customHeight="false" outlineLevel="0" collapsed="false">
      <c r="A1801" s="0" t="s">
        <v>353</v>
      </c>
      <c r="B1801" s="0" t="s">
        <v>592</v>
      </c>
      <c r="C1801" s="0" t="s">
        <v>127</v>
      </c>
      <c r="D1801" s="0" t="n">
        <v>2016</v>
      </c>
      <c r="E1801" s="59" t="n">
        <v>5427262</v>
      </c>
      <c r="F1801" s="60" t="n">
        <v>26.8</v>
      </c>
      <c r="G1801" s="61" t="n">
        <v>2.8</v>
      </c>
      <c r="H1801" s="61" t="n">
        <v>1.52</v>
      </c>
      <c r="I1801" s="61" t="n">
        <v>1.08</v>
      </c>
      <c r="J1801" s="61" t="n">
        <v>14.77</v>
      </c>
      <c r="K1801" s="61" t="n">
        <v>4.36</v>
      </c>
      <c r="L1801" s="61" t="n">
        <v>0.53</v>
      </c>
      <c r="M1801" s="61" t="n">
        <v>0.01</v>
      </c>
      <c r="N1801" s="61" t="n">
        <v>1.73</v>
      </c>
      <c r="O1801" s="61" t="n">
        <v>0</v>
      </c>
      <c r="P1801" s="62" t="n">
        <v>177.2</v>
      </c>
      <c r="Q1801" s="0" t="n">
        <v>0</v>
      </c>
      <c r="R1801" s="60" t="n">
        <f aca="false">G1801+H1801+I1801</f>
        <v>5.4</v>
      </c>
      <c r="S1801" s="60" t="n">
        <f aca="false">K1801+L1801+M1801+N1801+O1801</f>
        <v>6.63</v>
      </c>
      <c r="T1801" s="60" t="n">
        <f aca="false">L1801+M1801</f>
        <v>0.54</v>
      </c>
      <c r="U1801" s="60" t="n">
        <f aca="false">S1801+J1801</f>
        <v>21.4</v>
      </c>
      <c r="V1801" s="63" t="n">
        <f aca="false">IFERROR(S1801/F1801,0)</f>
        <v>0.247388059701493</v>
      </c>
      <c r="W1801" s="63" t="n">
        <f aca="false">IFERROR(R1801/F1801,0)</f>
        <v>0.201492537313433</v>
      </c>
      <c r="X1801" s="63" t="n">
        <f aca="false">IFERROR(T1801/F1801,0)</f>
        <v>0.0201492537313433</v>
      </c>
      <c r="Y1801" s="63" t="n">
        <f aca="false">IFERROR(G1801/F1801,0)</f>
        <v>0.104477611940299</v>
      </c>
      <c r="Z1801" s="59" t="n">
        <f aca="false">IF(E1801&gt;0,F1801*1000000000/E1801,"")</f>
        <v>4938.03321085291</v>
      </c>
      <c r="AA1801" s="63" t="n">
        <f aca="false">IFERROR((R1801+S1801+J1801)/F1801,0)</f>
        <v>1</v>
      </c>
      <c r="AB1801" s="0" t="str">
        <f aca="false">A1801&amp;"|"&amp;D1801</f>
        <v>Slovakia|2016</v>
      </c>
    </row>
    <row r="1802" customFormat="false" ht="15" hidden="false" customHeight="false" outlineLevel="0" collapsed="false">
      <c r="A1802" s="0" t="s">
        <v>353</v>
      </c>
      <c r="B1802" s="0" t="s">
        <v>592</v>
      </c>
      <c r="C1802" s="0" t="s">
        <v>127</v>
      </c>
      <c r="D1802" s="0" t="n">
        <v>2017</v>
      </c>
      <c r="E1802" s="59" t="n">
        <v>5435702</v>
      </c>
      <c r="F1802" s="60" t="n">
        <v>27.42</v>
      </c>
      <c r="G1802" s="61" t="n">
        <v>2.99</v>
      </c>
      <c r="H1802" s="61" t="n">
        <v>1.67</v>
      </c>
      <c r="I1802" s="61" t="n">
        <v>1.14</v>
      </c>
      <c r="J1802" s="61" t="n">
        <v>15.08</v>
      </c>
      <c r="K1802" s="61" t="n">
        <v>4.32</v>
      </c>
      <c r="L1802" s="61" t="n">
        <v>0.51</v>
      </c>
      <c r="M1802" s="61" t="n">
        <v>0.01</v>
      </c>
      <c r="N1802" s="61" t="n">
        <v>1.7</v>
      </c>
      <c r="O1802" s="61" t="n">
        <v>0</v>
      </c>
      <c r="P1802" s="62" t="n">
        <v>183.1</v>
      </c>
      <c r="Q1802" s="0" t="n">
        <v>0</v>
      </c>
      <c r="R1802" s="60" t="n">
        <f aca="false">G1802+H1802+I1802</f>
        <v>5.8</v>
      </c>
      <c r="S1802" s="60" t="n">
        <f aca="false">K1802+L1802+M1802+N1802+O1802</f>
        <v>6.54</v>
      </c>
      <c r="T1802" s="60" t="n">
        <f aca="false">L1802+M1802</f>
        <v>0.52</v>
      </c>
      <c r="U1802" s="60" t="n">
        <f aca="false">S1802+J1802</f>
        <v>21.62</v>
      </c>
      <c r="V1802" s="63" t="n">
        <f aca="false">IFERROR(S1802/F1802,0)</f>
        <v>0.238512035010941</v>
      </c>
      <c r="W1802" s="63" t="n">
        <f aca="false">IFERROR(R1802/F1802,0)</f>
        <v>0.211524434719183</v>
      </c>
      <c r="X1802" s="63" t="n">
        <f aca="false">IFERROR(T1802/F1802,0)</f>
        <v>0.0189642596644785</v>
      </c>
      <c r="Y1802" s="63" t="n">
        <f aca="false">IFERROR(G1802/F1802,0)</f>
        <v>0.109044493070751</v>
      </c>
      <c r="Z1802" s="59" t="n">
        <f aca="false">IF(E1802&gt;0,F1802*1000000000/E1802,"")</f>
        <v>5044.42664443341</v>
      </c>
      <c r="AA1802" s="63" t="n">
        <f aca="false">IFERROR((R1802+S1802+J1802)/F1802,0)</f>
        <v>1</v>
      </c>
      <c r="AB1802" s="0" t="str">
        <f aca="false">A1802&amp;"|"&amp;D1802</f>
        <v>Slovakia|2017</v>
      </c>
    </row>
    <row r="1803" customFormat="false" ht="15" hidden="false" customHeight="false" outlineLevel="0" collapsed="false">
      <c r="A1803" s="0" t="s">
        <v>353</v>
      </c>
      <c r="B1803" s="0" t="s">
        <v>592</v>
      </c>
      <c r="C1803" s="0" t="s">
        <v>127</v>
      </c>
      <c r="D1803" s="0" t="n">
        <v>2018</v>
      </c>
      <c r="E1803" s="59" t="n">
        <v>5443229</v>
      </c>
      <c r="F1803" s="60" t="n">
        <v>26.66</v>
      </c>
      <c r="G1803" s="61" t="n">
        <v>3.01</v>
      </c>
      <c r="H1803" s="61" t="n">
        <v>1.86</v>
      </c>
      <c r="I1803" s="61" t="n">
        <v>1.14</v>
      </c>
      <c r="J1803" s="61" t="n">
        <v>14.84</v>
      </c>
      <c r="K1803" s="61" t="n">
        <v>3.59</v>
      </c>
      <c r="L1803" s="61" t="n">
        <v>0.58</v>
      </c>
      <c r="M1803" s="61" t="n">
        <v>0.01</v>
      </c>
      <c r="N1803" s="61" t="n">
        <v>1.63</v>
      </c>
      <c r="O1803" s="61" t="n">
        <v>0</v>
      </c>
      <c r="P1803" s="62" t="n">
        <v>191.7</v>
      </c>
      <c r="Q1803" s="0" t="n">
        <v>0</v>
      </c>
      <c r="R1803" s="60" t="n">
        <f aca="false">G1803+H1803+I1803</f>
        <v>6.01</v>
      </c>
      <c r="S1803" s="60" t="n">
        <f aca="false">K1803+L1803+M1803+N1803+O1803</f>
        <v>5.81</v>
      </c>
      <c r="T1803" s="60" t="n">
        <f aca="false">L1803+M1803</f>
        <v>0.59</v>
      </c>
      <c r="U1803" s="60" t="n">
        <f aca="false">S1803+J1803</f>
        <v>20.65</v>
      </c>
      <c r="V1803" s="63" t="n">
        <f aca="false">IFERROR(S1803/F1803,0)</f>
        <v>0.217929482370593</v>
      </c>
      <c r="W1803" s="63" t="n">
        <f aca="false">IFERROR(R1803/F1803,0)</f>
        <v>0.22543135783946</v>
      </c>
      <c r="X1803" s="63" t="n">
        <f aca="false">IFERROR(T1803/F1803,0)</f>
        <v>0.0221305326331583</v>
      </c>
      <c r="Y1803" s="63" t="n">
        <f aca="false">IFERROR(G1803/F1803,0)</f>
        <v>0.112903225806452</v>
      </c>
      <c r="Z1803" s="59" t="n">
        <f aca="false">IF(E1803&gt;0,F1803*1000000000/E1803,"")</f>
        <v>4897.82810901397</v>
      </c>
      <c r="AA1803" s="63" t="n">
        <f aca="false">IFERROR((R1803+S1803+J1803)/F1803,0)</f>
        <v>1</v>
      </c>
      <c r="AB1803" s="0" t="str">
        <f aca="false">A1803&amp;"|"&amp;D1803</f>
        <v>Slovakia|2018</v>
      </c>
    </row>
    <row r="1804" customFormat="false" ht="15" hidden="false" customHeight="false" outlineLevel="0" collapsed="false">
      <c r="A1804" s="0" t="s">
        <v>353</v>
      </c>
      <c r="B1804" s="0" t="s">
        <v>592</v>
      </c>
      <c r="C1804" s="0" t="s">
        <v>127</v>
      </c>
      <c r="D1804" s="0" t="n">
        <v>2019</v>
      </c>
      <c r="E1804" s="59" t="n">
        <v>5450627</v>
      </c>
      <c r="F1804" s="60" t="n">
        <v>28.21</v>
      </c>
      <c r="G1804" s="61" t="n">
        <v>2.34</v>
      </c>
      <c r="H1804" s="61" t="n">
        <v>3.07</v>
      </c>
      <c r="I1804" s="61" t="n">
        <v>0.87</v>
      </c>
      <c r="J1804" s="61" t="n">
        <v>15.28</v>
      </c>
      <c r="K1804" s="61" t="n">
        <v>4.36</v>
      </c>
      <c r="L1804" s="61" t="n">
        <v>0.59</v>
      </c>
      <c r="M1804" s="61" t="n">
        <v>0.01</v>
      </c>
      <c r="N1804" s="61" t="n">
        <v>1.69</v>
      </c>
      <c r="O1804" s="61" t="n">
        <v>0</v>
      </c>
      <c r="P1804" s="62" t="n">
        <v>171.2</v>
      </c>
      <c r="Q1804" s="0" t="n">
        <v>0</v>
      </c>
      <c r="R1804" s="60" t="n">
        <f aca="false">G1804+H1804+I1804</f>
        <v>6.28</v>
      </c>
      <c r="S1804" s="60" t="n">
        <f aca="false">K1804+L1804+M1804+N1804+O1804</f>
        <v>6.65</v>
      </c>
      <c r="T1804" s="60" t="n">
        <f aca="false">L1804+M1804</f>
        <v>0.6</v>
      </c>
      <c r="U1804" s="60" t="n">
        <f aca="false">S1804+J1804</f>
        <v>21.93</v>
      </c>
      <c r="V1804" s="63" t="n">
        <f aca="false">IFERROR(S1804/F1804,0)</f>
        <v>0.235732009925558</v>
      </c>
      <c r="W1804" s="63" t="n">
        <f aca="false">IFERROR(R1804/F1804,0)</f>
        <v>0.222616093583836</v>
      </c>
      <c r="X1804" s="63" t="n">
        <f aca="false">IFERROR(T1804/F1804,0)</f>
        <v>0.021269053527118</v>
      </c>
      <c r="Y1804" s="63" t="n">
        <f aca="false">IFERROR(G1804/F1804,0)</f>
        <v>0.0829493087557604</v>
      </c>
      <c r="Z1804" s="59" t="n">
        <f aca="false">IF(E1804&gt;0,F1804*1000000000/E1804,"")</f>
        <v>5175.55136317345</v>
      </c>
      <c r="AA1804" s="63" t="n">
        <f aca="false">IFERROR((R1804+S1804+J1804)/F1804,0)</f>
        <v>1</v>
      </c>
      <c r="AB1804" s="0" t="str">
        <f aca="false">A1804&amp;"|"&amp;D1804</f>
        <v>Slovakia|2019</v>
      </c>
    </row>
    <row r="1805" customFormat="false" ht="15" hidden="false" customHeight="false" outlineLevel="0" collapsed="false">
      <c r="A1805" s="0" t="s">
        <v>353</v>
      </c>
      <c r="B1805" s="0" t="s">
        <v>592</v>
      </c>
      <c r="C1805" s="0" t="s">
        <v>127</v>
      </c>
      <c r="D1805" s="0" t="n">
        <v>2020</v>
      </c>
      <c r="E1805" s="59" t="n">
        <v>5455028</v>
      </c>
      <c r="F1805" s="60" t="n">
        <v>28.51</v>
      </c>
      <c r="G1805" s="61" t="n">
        <v>1.86</v>
      </c>
      <c r="H1805" s="61" t="n">
        <v>3.57</v>
      </c>
      <c r="I1805" s="61" t="n">
        <v>0.79</v>
      </c>
      <c r="J1805" s="61" t="n">
        <v>15.44</v>
      </c>
      <c r="K1805" s="61" t="n">
        <v>4.52</v>
      </c>
      <c r="L1805" s="61" t="n">
        <v>0.66</v>
      </c>
      <c r="M1805" s="61" t="n">
        <v>0</v>
      </c>
      <c r="N1805" s="61" t="n">
        <v>1.67</v>
      </c>
      <c r="O1805" s="61" t="n">
        <v>0</v>
      </c>
      <c r="P1805" s="62" t="n">
        <v>158.5</v>
      </c>
      <c r="Q1805" s="0" t="n">
        <v>0</v>
      </c>
      <c r="R1805" s="60" t="n">
        <f aca="false">G1805+H1805+I1805</f>
        <v>6.22</v>
      </c>
      <c r="S1805" s="60" t="n">
        <f aca="false">K1805+L1805+M1805+N1805+O1805</f>
        <v>6.85</v>
      </c>
      <c r="T1805" s="60" t="n">
        <f aca="false">L1805+M1805</f>
        <v>0.66</v>
      </c>
      <c r="U1805" s="60" t="n">
        <f aca="false">S1805+J1805</f>
        <v>22.29</v>
      </c>
      <c r="V1805" s="63" t="n">
        <f aca="false">IFERROR(S1805/F1805,0)</f>
        <v>0.240266573132234</v>
      </c>
      <c r="W1805" s="63" t="n">
        <f aca="false">IFERROR(R1805/F1805,0)</f>
        <v>0.218169063486496</v>
      </c>
      <c r="X1805" s="63" t="n">
        <f aca="false">IFERROR(T1805/F1805,0)</f>
        <v>0.0231497720098211</v>
      </c>
      <c r="Y1805" s="63" t="n">
        <f aca="false">IFERROR(G1805/F1805,0)</f>
        <v>0.0652402665731322</v>
      </c>
      <c r="Z1805" s="59" t="n">
        <f aca="false">IF(E1805&gt;0,F1805*1000000000/E1805,"")</f>
        <v>5226.37097371453</v>
      </c>
      <c r="AA1805" s="63" t="n">
        <f aca="false">IFERROR((R1805+S1805+J1805)/F1805,0)</f>
        <v>1</v>
      </c>
      <c r="AB1805" s="0" t="str">
        <f aca="false">A1805&amp;"|"&amp;D1805</f>
        <v>Slovakia|2020</v>
      </c>
    </row>
    <row r="1806" customFormat="false" ht="15" hidden="false" customHeight="false" outlineLevel="0" collapsed="false">
      <c r="A1806" s="0" t="s">
        <v>353</v>
      </c>
      <c r="B1806" s="0" t="s">
        <v>592</v>
      </c>
      <c r="C1806" s="0" t="s">
        <v>127</v>
      </c>
      <c r="D1806" s="0" t="n">
        <v>2021</v>
      </c>
      <c r="E1806" s="59" t="n">
        <v>5442766</v>
      </c>
      <c r="F1806" s="60" t="n">
        <v>29.7</v>
      </c>
      <c r="G1806" s="61" t="n">
        <v>1.7</v>
      </c>
      <c r="H1806" s="61" t="n">
        <v>4.37</v>
      </c>
      <c r="I1806" s="61" t="n">
        <v>1.13</v>
      </c>
      <c r="J1806" s="61" t="n">
        <v>15.73</v>
      </c>
      <c r="K1806" s="61" t="n">
        <v>4.26</v>
      </c>
      <c r="L1806" s="61" t="n">
        <v>0.67</v>
      </c>
      <c r="M1806" s="61" t="n">
        <v>0</v>
      </c>
      <c r="N1806" s="61" t="n">
        <v>1.84</v>
      </c>
      <c r="O1806" s="61" t="n">
        <v>0</v>
      </c>
      <c r="P1806" s="62" t="n">
        <v>167.3</v>
      </c>
      <c r="Q1806" s="0" t="n">
        <v>0</v>
      </c>
      <c r="R1806" s="60" t="n">
        <f aca="false">G1806+H1806+I1806</f>
        <v>7.2</v>
      </c>
      <c r="S1806" s="60" t="n">
        <f aca="false">K1806+L1806+M1806+N1806+O1806</f>
        <v>6.77</v>
      </c>
      <c r="T1806" s="60" t="n">
        <f aca="false">L1806+M1806</f>
        <v>0.67</v>
      </c>
      <c r="U1806" s="60" t="n">
        <f aca="false">S1806+J1806</f>
        <v>22.5</v>
      </c>
      <c r="V1806" s="63" t="n">
        <f aca="false">IFERROR(S1806/F1806,0)</f>
        <v>0.227946127946128</v>
      </c>
      <c r="W1806" s="63" t="n">
        <f aca="false">IFERROR(R1806/F1806,0)</f>
        <v>0.242424242424242</v>
      </c>
      <c r="X1806" s="63" t="n">
        <f aca="false">IFERROR(T1806/F1806,0)</f>
        <v>0.0225589225589226</v>
      </c>
      <c r="Y1806" s="63" t="n">
        <f aca="false">IFERROR(G1806/F1806,0)</f>
        <v>0.0572390572390572</v>
      </c>
      <c r="Z1806" s="59" t="n">
        <f aca="false">IF(E1806&gt;0,F1806*1000000000/E1806,"")</f>
        <v>5456.78428945871</v>
      </c>
      <c r="AA1806" s="63" t="n">
        <f aca="false">IFERROR((R1806+S1806+J1806)/F1806,0)</f>
        <v>1</v>
      </c>
      <c r="AB1806" s="0" t="str">
        <f aca="false">A1806&amp;"|"&amp;D1806</f>
        <v>Slovakia|2021</v>
      </c>
    </row>
    <row r="1807" customFormat="false" ht="15" hidden="false" customHeight="false" outlineLevel="0" collapsed="false">
      <c r="A1807" s="0" t="s">
        <v>353</v>
      </c>
      <c r="B1807" s="0" t="s">
        <v>592</v>
      </c>
      <c r="C1807" s="0" t="s">
        <v>127</v>
      </c>
      <c r="D1807" s="0" t="n">
        <v>2022</v>
      </c>
      <c r="E1807" s="59" t="n">
        <v>5473195</v>
      </c>
      <c r="F1807" s="60" t="n">
        <v>26.54</v>
      </c>
      <c r="G1807" s="61" t="n">
        <v>1.62</v>
      </c>
      <c r="H1807" s="61" t="n">
        <v>2.1</v>
      </c>
      <c r="I1807" s="61" t="n">
        <v>1.08</v>
      </c>
      <c r="J1807" s="61" t="n">
        <v>15.92</v>
      </c>
      <c r="K1807" s="61" t="n">
        <v>3.68</v>
      </c>
      <c r="L1807" s="61" t="n">
        <v>0.65</v>
      </c>
      <c r="M1807" s="61" t="n">
        <v>0</v>
      </c>
      <c r="N1807" s="61" t="n">
        <v>1.49</v>
      </c>
      <c r="O1807" s="61" t="n">
        <v>0</v>
      </c>
      <c r="P1807" s="62" t="n">
        <v>142.1</v>
      </c>
      <c r="Q1807" s="0" t="n">
        <v>0</v>
      </c>
      <c r="R1807" s="60" t="n">
        <f aca="false">G1807+H1807+I1807</f>
        <v>4.8</v>
      </c>
      <c r="S1807" s="60" t="n">
        <f aca="false">K1807+L1807+M1807+N1807+O1807</f>
        <v>5.82</v>
      </c>
      <c r="T1807" s="60" t="n">
        <f aca="false">L1807+M1807</f>
        <v>0.65</v>
      </c>
      <c r="U1807" s="60" t="n">
        <f aca="false">S1807+J1807</f>
        <v>21.74</v>
      </c>
      <c r="V1807" s="63" t="n">
        <f aca="false">IFERROR(S1807/F1807,0)</f>
        <v>0.219291635267521</v>
      </c>
      <c r="W1807" s="63" t="n">
        <f aca="false">IFERROR(R1807/F1807,0)</f>
        <v>0.180859080633007</v>
      </c>
      <c r="X1807" s="63" t="n">
        <f aca="false">IFERROR(T1807/F1807,0)</f>
        <v>0.0244913338357197</v>
      </c>
      <c r="Y1807" s="63" t="n">
        <f aca="false">IFERROR(G1807/F1807,0)</f>
        <v>0.0610399397136398</v>
      </c>
      <c r="Z1807" s="59" t="n">
        <f aca="false">IF(E1807&gt;0,F1807*1000000000/E1807,"")</f>
        <v>4849.08723332533</v>
      </c>
      <c r="AA1807" s="63" t="n">
        <f aca="false">IFERROR((R1807+S1807+J1807)/F1807,0)</f>
        <v>1</v>
      </c>
      <c r="AB1807" s="0" t="str">
        <f aca="false">A1807&amp;"|"&amp;D1807</f>
        <v>Slovakia|2022</v>
      </c>
    </row>
    <row r="1808" customFormat="false" ht="15" hidden="false" customHeight="false" outlineLevel="0" collapsed="false">
      <c r="A1808" s="0" t="s">
        <v>353</v>
      </c>
      <c r="B1808" s="0" t="s">
        <v>592</v>
      </c>
      <c r="C1808" s="0" t="s">
        <v>127</v>
      </c>
      <c r="D1808" s="0" t="n">
        <v>2023</v>
      </c>
      <c r="E1808" s="59" t="n">
        <v>5518057</v>
      </c>
      <c r="F1808" s="60" t="n">
        <v>29.53</v>
      </c>
      <c r="G1808" s="61" t="n">
        <v>1.22</v>
      </c>
      <c r="H1808" s="61" t="n">
        <v>2.28</v>
      </c>
      <c r="I1808" s="61" t="n">
        <v>0.99</v>
      </c>
      <c r="J1808" s="61" t="n">
        <v>18.33</v>
      </c>
      <c r="K1808" s="61" t="n">
        <v>4.69</v>
      </c>
      <c r="L1808" s="61" t="n">
        <v>0.61</v>
      </c>
      <c r="M1808" s="61" t="n">
        <v>0</v>
      </c>
      <c r="N1808" s="61" t="n">
        <v>1.41</v>
      </c>
      <c r="O1808" s="61" t="n">
        <v>0</v>
      </c>
      <c r="P1808" s="62" t="n">
        <v>115.1</v>
      </c>
      <c r="Q1808" s="0" t="n">
        <v>0</v>
      </c>
      <c r="R1808" s="60" t="n">
        <f aca="false">G1808+H1808+I1808</f>
        <v>4.49</v>
      </c>
      <c r="S1808" s="60" t="n">
        <f aca="false">K1808+L1808+M1808+N1808+O1808</f>
        <v>6.71</v>
      </c>
      <c r="T1808" s="60" t="n">
        <f aca="false">L1808+M1808</f>
        <v>0.61</v>
      </c>
      <c r="U1808" s="60" t="n">
        <f aca="false">S1808+J1808</f>
        <v>25.04</v>
      </c>
      <c r="V1808" s="63" t="n">
        <f aca="false">IFERROR(S1808/F1808,0)</f>
        <v>0.227226549271927</v>
      </c>
      <c r="W1808" s="63" t="n">
        <f aca="false">IFERROR(R1808/F1808,0)</f>
        <v>0.152048763968845</v>
      </c>
      <c r="X1808" s="63" t="n">
        <f aca="false">IFERROR(T1808/F1808,0)</f>
        <v>0.0206569590247206</v>
      </c>
      <c r="Y1808" s="63" t="n">
        <f aca="false">IFERROR(G1808/F1808,0)</f>
        <v>0.0413139180494412</v>
      </c>
      <c r="Z1808" s="59" t="n">
        <f aca="false">IF(E1808&gt;0,F1808*1000000000/E1808,"")</f>
        <v>5351.5213779053</v>
      </c>
      <c r="AA1808" s="63" t="n">
        <f aca="false">IFERROR((R1808+S1808+J1808)/F1808,0)</f>
        <v>1</v>
      </c>
      <c r="AB1808" s="0" t="str">
        <f aca="false">A1808&amp;"|"&amp;D1808</f>
        <v>Slovakia|2023</v>
      </c>
    </row>
    <row r="1809" customFormat="false" ht="15" hidden="false" customHeight="false" outlineLevel="0" collapsed="false">
      <c r="A1809" s="0" t="s">
        <v>353</v>
      </c>
      <c r="B1809" s="0" t="s">
        <v>592</v>
      </c>
      <c r="C1809" s="0" t="s">
        <v>127</v>
      </c>
      <c r="D1809" s="0" t="n">
        <v>2024</v>
      </c>
      <c r="E1809" s="59" t="n">
        <v>5506759</v>
      </c>
      <c r="F1809" s="60" t="n">
        <v>29.52</v>
      </c>
      <c r="G1809" s="61" t="n">
        <v>0.52</v>
      </c>
      <c r="H1809" s="61" t="n">
        <v>2.88</v>
      </c>
      <c r="I1809" s="61" t="n">
        <v>0.79</v>
      </c>
      <c r="J1809" s="61" t="n">
        <v>18.23</v>
      </c>
      <c r="K1809" s="61" t="n">
        <v>4.83</v>
      </c>
      <c r="L1809" s="61" t="n">
        <v>0.69</v>
      </c>
      <c r="M1809" s="61" t="n">
        <v>0</v>
      </c>
      <c r="N1809" s="61" t="n">
        <v>1.58</v>
      </c>
      <c r="O1809" s="61" t="n">
        <v>0</v>
      </c>
      <c r="P1809" s="62" t="n">
        <v>96.5</v>
      </c>
      <c r="Q1809" s="0" t="n">
        <v>0</v>
      </c>
      <c r="R1809" s="60" t="n">
        <f aca="false">G1809+H1809+I1809</f>
        <v>4.19</v>
      </c>
      <c r="S1809" s="60" t="n">
        <f aca="false">K1809+L1809+M1809+N1809+O1809</f>
        <v>7.1</v>
      </c>
      <c r="T1809" s="60" t="n">
        <f aca="false">L1809+M1809</f>
        <v>0.69</v>
      </c>
      <c r="U1809" s="60" t="n">
        <f aca="false">S1809+J1809</f>
        <v>25.33</v>
      </c>
      <c r="V1809" s="63" t="n">
        <f aca="false">IFERROR(S1809/F1809,0)</f>
        <v>0.240514905149052</v>
      </c>
      <c r="W1809" s="63" t="n">
        <f aca="false">IFERROR(R1809/F1809,0)</f>
        <v>0.141937669376694</v>
      </c>
      <c r="X1809" s="63" t="n">
        <f aca="false">IFERROR(T1809/F1809,0)</f>
        <v>0.0233739837398374</v>
      </c>
      <c r="Y1809" s="63" t="n">
        <f aca="false">IFERROR(G1809/F1809,0)</f>
        <v>0.0176151761517615</v>
      </c>
      <c r="Z1809" s="59" t="n">
        <f aca="false">IF(E1809&gt;0,F1809*1000000000/E1809,"")</f>
        <v>5360.68493282528</v>
      </c>
      <c r="AA1809" s="63" t="n">
        <f aca="false">IFERROR((R1809+S1809+J1809)/F1809,0)</f>
        <v>1</v>
      </c>
      <c r="AB1809" s="0" t="str">
        <f aca="false">A1809&amp;"|"&amp;D1809</f>
        <v>Slovakia|2024</v>
      </c>
    </row>
    <row r="1810" customFormat="false" ht="15" hidden="false" customHeight="false" outlineLevel="0" collapsed="false">
      <c r="A1810" s="0" t="s">
        <v>353</v>
      </c>
      <c r="B1810" s="0" t="s">
        <v>592</v>
      </c>
      <c r="C1810" s="0" t="s">
        <v>127</v>
      </c>
      <c r="D1810" s="0" t="n">
        <v>2025</v>
      </c>
      <c r="E1810" s="59" t="n">
        <v>5474874</v>
      </c>
      <c r="F1810" s="60" t="n">
        <v>29.1</v>
      </c>
      <c r="G1810" s="61" t="n">
        <v>0.31</v>
      </c>
      <c r="H1810" s="61" t="n">
        <v>3.28</v>
      </c>
      <c r="I1810" s="61" t="n">
        <v>0.73</v>
      </c>
      <c r="J1810" s="61" t="n">
        <v>19.33</v>
      </c>
      <c r="K1810" s="61" t="n">
        <v>3.16</v>
      </c>
      <c r="L1810" s="61" t="n">
        <v>0.7</v>
      </c>
      <c r="M1810" s="61" t="n">
        <v>0</v>
      </c>
      <c r="N1810" s="61" t="n">
        <v>1.58</v>
      </c>
      <c r="O1810" s="61" t="n">
        <v>0.01</v>
      </c>
      <c r="P1810" s="62" t="n">
        <v>94.8</v>
      </c>
      <c r="Q1810" s="0" t="n">
        <v>0</v>
      </c>
      <c r="R1810" s="60" t="n">
        <f aca="false">G1810+H1810+I1810</f>
        <v>4.32</v>
      </c>
      <c r="S1810" s="60" t="n">
        <f aca="false">K1810+L1810+M1810+N1810+O1810</f>
        <v>5.45</v>
      </c>
      <c r="T1810" s="60" t="n">
        <f aca="false">L1810+M1810</f>
        <v>0.7</v>
      </c>
      <c r="U1810" s="60" t="n">
        <f aca="false">S1810+J1810</f>
        <v>24.78</v>
      </c>
      <c r="V1810" s="63" t="n">
        <f aca="false">IFERROR(S1810/F1810,0)</f>
        <v>0.187285223367698</v>
      </c>
      <c r="W1810" s="63" t="n">
        <f aca="false">IFERROR(R1810/F1810,0)</f>
        <v>0.148453608247423</v>
      </c>
      <c r="X1810" s="63" t="n">
        <f aca="false">IFERROR(T1810/F1810,0)</f>
        <v>0.0240549828178694</v>
      </c>
      <c r="Y1810" s="63" t="n">
        <f aca="false">IFERROR(G1810/F1810,0)</f>
        <v>0.0106529209621993</v>
      </c>
      <c r="Z1810" s="59" t="n">
        <f aca="false">IF(E1810&gt;0,F1810*1000000000/E1810,"")</f>
        <v>5315.19081535027</v>
      </c>
      <c r="AA1810" s="63" t="n">
        <f aca="false">IFERROR((R1810+S1810+J1810)/F1810,0)</f>
        <v>1</v>
      </c>
      <c r="AB1810" s="0" t="str">
        <f aca="false">A1810&amp;"|"&amp;D1810</f>
        <v>Slovakia|2025</v>
      </c>
    </row>
    <row r="1811" customFormat="false" ht="15" hidden="false" customHeight="false" outlineLevel="0" collapsed="false">
      <c r="A1811" s="0" t="s">
        <v>354</v>
      </c>
      <c r="B1811" s="0" t="s">
        <v>593</v>
      </c>
      <c r="C1811" s="0" t="s">
        <v>127</v>
      </c>
      <c r="D1811" s="0" t="n">
        <v>2015</v>
      </c>
      <c r="E1811" s="59" t="n">
        <v>2059946</v>
      </c>
      <c r="F1811" s="60" t="n">
        <v>14.8</v>
      </c>
      <c r="G1811" s="61" t="n">
        <v>4.38</v>
      </c>
      <c r="H1811" s="61" t="n">
        <v>0.4</v>
      </c>
      <c r="I1811" s="61" t="n">
        <v>0.02</v>
      </c>
      <c r="J1811" s="61" t="n">
        <v>5.65</v>
      </c>
      <c r="K1811" s="61" t="n">
        <v>3.81</v>
      </c>
      <c r="L1811" s="61" t="n">
        <v>0.27</v>
      </c>
      <c r="M1811" s="61" t="n">
        <v>0.01</v>
      </c>
      <c r="N1811" s="61" t="n">
        <v>0.26</v>
      </c>
      <c r="O1811" s="61" t="n">
        <v>0</v>
      </c>
      <c r="P1811" s="62" t="n">
        <v>316.9</v>
      </c>
      <c r="Q1811" s="0" t="n">
        <v>0</v>
      </c>
      <c r="R1811" s="60" t="n">
        <f aca="false">G1811+H1811+I1811</f>
        <v>4.8</v>
      </c>
      <c r="S1811" s="60" t="n">
        <f aca="false">K1811+L1811+M1811+N1811+O1811</f>
        <v>4.35</v>
      </c>
      <c r="T1811" s="60" t="n">
        <f aca="false">L1811+M1811</f>
        <v>0.28</v>
      </c>
      <c r="U1811" s="60" t="n">
        <f aca="false">S1811+J1811</f>
        <v>10</v>
      </c>
      <c r="V1811" s="63" t="n">
        <f aca="false">IFERROR(S1811/F1811,0)</f>
        <v>0.293918918918919</v>
      </c>
      <c r="W1811" s="63" t="n">
        <f aca="false">IFERROR(R1811/F1811,0)</f>
        <v>0.324324324324324</v>
      </c>
      <c r="X1811" s="63" t="n">
        <f aca="false">IFERROR(T1811/F1811,0)</f>
        <v>0.0189189189189189</v>
      </c>
      <c r="Y1811" s="63" t="n">
        <f aca="false">IFERROR(G1811/F1811,0)</f>
        <v>0.295945945945946</v>
      </c>
      <c r="Z1811" s="59" t="n">
        <f aca="false">IF(E1811&gt;0,F1811*1000000000/E1811,"")</f>
        <v>7184.65435501707</v>
      </c>
      <c r="AA1811" s="63" t="n">
        <f aca="false">IFERROR((R1811+S1811+J1811)/F1811,0)</f>
        <v>1</v>
      </c>
      <c r="AB1811" s="0" t="str">
        <f aca="false">A1811&amp;"|"&amp;D1811</f>
        <v>Slovenia|2015</v>
      </c>
    </row>
    <row r="1812" customFormat="false" ht="15" hidden="false" customHeight="false" outlineLevel="0" collapsed="false">
      <c r="A1812" s="0" t="s">
        <v>354</v>
      </c>
      <c r="B1812" s="0" t="s">
        <v>593</v>
      </c>
      <c r="C1812" s="0" t="s">
        <v>127</v>
      </c>
      <c r="D1812" s="0" t="n">
        <v>2016</v>
      </c>
      <c r="E1812" s="59" t="n">
        <v>2061379</v>
      </c>
      <c r="F1812" s="60" t="n">
        <v>16.23</v>
      </c>
      <c r="G1812" s="61" t="n">
        <v>5.01</v>
      </c>
      <c r="H1812" s="61" t="n">
        <v>0.42</v>
      </c>
      <c r="I1812" s="61" t="n">
        <v>0.02</v>
      </c>
      <c r="J1812" s="61" t="n">
        <v>5.72</v>
      </c>
      <c r="K1812" s="61" t="n">
        <v>4.5</v>
      </c>
      <c r="L1812" s="61" t="n">
        <v>0.27</v>
      </c>
      <c r="M1812" s="61" t="n">
        <v>0.01</v>
      </c>
      <c r="N1812" s="61" t="n">
        <v>0.28</v>
      </c>
      <c r="O1812" s="61" t="n">
        <v>0</v>
      </c>
      <c r="P1812" s="62" t="n">
        <v>325.9</v>
      </c>
      <c r="Q1812" s="0" t="n">
        <v>0</v>
      </c>
      <c r="R1812" s="60" t="n">
        <f aca="false">G1812+H1812+I1812</f>
        <v>5.45</v>
      </c>
      <c r="S1812" s="60" t="n">
        <f aca="false">K1812+L1812+M1812+N1812+O1812</f>
        <v>5.06</v>
      </c>
      <c r="T1812" s="60" t="n">
        <f aca="false">L1812+M1812</f>
        <v>0.28</v>
      </c>
      <c r="U1812" s="60" t="n">
        <f aca="false">S1812+J1812</f>
        <v>10.78</v>
      </c>
      <c r="V1812" s="63" t="n">
        <f aca="false">IFERROR(S1812/F1812,0)</f>
        <v>0.311768330252619</v>
      </c>
      <c r="W1812" s="63" t="n">
        <f aca="false">IFERROR(R1812/F1812,0)</f>
        <v>0.335797905113986</v>
      </c>
      <c r="X1812" s="63" t="n">
        <f aca="false">IFERROR(T1812/F1812,0)</f>
        <v>0.0172520024645718</v>
      </c>
      <c r="Y1812" s="63" t="n">
        <f aca="false">IFERROR(G1812/F1812,0)</f>
        <v>0.308687615526802</v>
      </c>
      <c r="Z1812" s="59" t="n">
        <f aca="false">IF(E1812&gt;0,F1812*1000000000/E1812,"")</f>
        <v>7873.37020509086</v>
      </c>
      <c r="AA1812" s="63" t="n">
        <f aca="false">IFERROR((R1812+S1812+J1812)/F1812,0)</f>
        <v>1</v>
      </c>
      <c r="AB1812" s="0" t="str">
        <f aca="false">A1812&amp;"|"&amp;D1812</f>
        <v>Slovenia|2016</v>
      </c>
    </row>
    <row r="1813" customFormat="false" ht="15" hidden="false" customHeight="false" outlineLevel="0" collapsed="false">
      <c r="A1813" s="0" t="s">
        <v>354</v>
      </c>
      <c r="B1813" s="0" t="s">
        <v>593</v>
      </c>
      <c r="C1813" s="0" t="s">
        <v>127</v>
      </c>
      <c r="D1813" s="0" t="n">
        <v>2017</v>
      </c>
      <c r="E1813" s="59" t="n">
        <v>2062410</v>
      </c>
      <c r="F1813" s="60" t="n">
        <v>16.05</v>
      </c>
      <c r="G1813" s="61" t="n">
        <v>4.82</v>
      </c>
      <c r="H1813" s="61" t="n">
        <v>0.48</v>
      </c>
      <c r="I1813" s="61" t="n">
        <v>0.02</v>
      </c>
      <c r="J1813" s="61" t="n">
        <v>6.29</v>
      </c>
      <c r="K1813" s="61" t="n">
        <v>3.87</v>
      </c>
      <c r="L1813" s="61" t="n">
        <v>0.28</v>
      </c>
      <c r="M1813" s="61" t="n">
        <v>0.01</v>
      </c>
      <c r="N1813" s="61" t="n">
        <v>0.28</v>
      </c>
      <c r="O1813" s="61" t="n">
        <v>0</v>
      </c>
      <c r="P1813" s="62" t="n">
        <v>318.4</v>
      </c>
      <c r="Q1813" s="0" t="n">
        <v>0</v>
      </c>
      <c r="R1813" s="60" t="n">
        <f aca="false">G1813+H1813+I1813</f>
        <v>5.32</v>
      </c>
      <c r="S1813" s="60" t="n">
        <f aca="false">K1813+L1813+M1813+N1813+O1813</f>
        <v>4.44</v>
      </c>
      <c r="T1813" s="60" t="n">
        <f aca="false">L1813+M1813</f>
        <v>0.29</v>
      </c>
      <c r="U1813" s="60" t="n">
        <f aca="false">S1813+J1813</f>
        <v>10.73</v>
      </c>
      <c r="V1813" s="63" t="n">
        <f aca="false">IFERROR(S1813/F1813,0)</f>
        <v>0.276635514018692</v>
      </c>
      <c r="W1813" s="63" t="n">
        <f aca="false">IFERROR(R1813/F1813,0)</f>
        <v>0.331464174454829</v>
      </c>
      <c r="X1813" s="63" t="n">
        <f aca="false">IFERROR(T1813/F1813,0)</f>
        <v>0.0180685358255452</v>
      </c>
      <c r="Y1813" s="63" t="n">
        <f aca="false">IFERROR(G1813/F1813,0)</f>
        <v>0.300311526479751</v>
      </c>
      <c r="Z1813" s="59" t="n">
        <f aca="false">IF(E1813&gt;0,F1813*1000000000/E1813,"")</f>
        <v>7782.15776688437</v>
      </c>
      <c r="AA1813" s="63" t="n">
        <f aca="false">IFERROR((R1813+S1813+J1813)/F1813,0)</f>
        <v>1</v>
      </c>
      <c r="AB1813" s="0" t="str">
        <f aca="false">A1813&amp;"|"&amp;D1813</f>
        <v>Slovenia|2017</v>
      </c>
    </row>
    <row r="1814" customFormat="false" ht="15" hidden="false" customHeight="false" outlineLevel="0" collapsed="false">
      <c r="A1814" s="0" t="s">
        <v>354</v>
      </c>
      <c r="B1814" s="0" t="s">
        <v>593</v>
      </c>
      <c r="C1814" s="0" t="s">
        <v>127</v>
      </c>
      <c r="D1814" s="0" t="n">
        <v>2018</v>
      </c>
      <c r="E1814" s="59" t="n">
        <v>2069484</v>
      </c>
      <c r="F1814" s="60" t="n">
        <v>16.12</v>
      </c>
      <c r="G1814" s="61" t="n">
        <v>4.62</v>
      </c>
      <c r="H1814" s="61" t="n">
        <v>0.48</v>
      </c>
      <c r="I1814" s="61" t="n">
        <v>0.02</v>
      </c>
      <c r="J1814" s="61" t="n">
        <v>5.78</v>
      </c>
      <c r="K1814" s="61" t="n">
        <v>4.7</v>
      </c>
      <c r="L1814" s="61" t="n">
        <v>0.25</v>
      </c>
      <c r="M1814" s="61" t="n">
        <v>0.01</v>
      </c>
      <c r="N1814" s="61" t="n">
        <v>0.26</v>
      </c>
      <c r="O1814" s="61" t="n">
        <v>0</v>
      </c>
      <c r="P1814" s="62" t="n">
        <v>304.6</v>
      </c>
      <c r="Q1814" s="0" t="n">
        <v>0</v>
      </c>
      <c r="R1814" s="60" t="n">
        <f aca="false">G1814+H1814+I1814</f>
        <v>5.12</v>
      </c>
      <c r="S1814" s="60" t="n">
        <f aca="false">K1814+L1814+M1814+N1814+O1814</f>
        <v>5.22</v>
      </c>
      <c r="T1814" s="60" t="n">
        <f aca="false">L1814+M1814</f>
        <v>0.26</v>
      </c>
      <c r="U1814" s="60" t="n">
        <f aca="false">S1814+J1814</f>
        <v>11</v>
      </c>
      <c r="V1814" s="63" t="n">
        <f aca="false">IFERROR(S1814/F1814,0)</f>
        <v>0.323821339950372</v>
      </c>
      <c r="W1814" s="63" t="n">
        <f aca="false">IFERROR(R1814/F1814,0)</f>
        <v>0.317617866004963</v>
      </c>
      <c r="X1814" s="63" t="n">
        <f aca="false">IFERROR(T1814/F1814,0)</f>
        <v>0.0161290322580645</v>
      </c>
      <c r="Y1814" s="63" t="n">
        <f aca="false">IFERROR(G1814/F1814,0)</f>
        <v>0.286600496277916</v>
      </c>
      <c r="Z1814" s="59" t="n">
        <f aca="false">IF(E1814&gt;0,F1814*1000000000/E1814,"")</f>
        <v>7789.38131437595</v>
      </c>
      <c r="AA1814" s="63" t="n">
        <f aca="false">IFERROR((R1814+S1814+J1814)/F1814,0)</f>
        <v>1</v>
      </c>
      <c r="AB1814" s="0" t="str">
        <f aca="false">A1814&amp;"|"&amp;D1814</f>
        <v>Slovenia|2018</v>
      </c>
    </row>
    <row r="1815" customFormat="false" ht="15" hidden="false" customHeight="false" outlineLevel="0" collapsed="false">
      <c r="A1815" s="0" t="s">
        <v>354</v>
      </c>
      <c r="B1815" s="0" t="s">
        <v>593</v>
      </c>
      <c r="C1815" s="0" t="s">
        <v>127</v>
      </c>
      <c r="D1815" s="0" t="n">
        <v>2019</v>
      </c>
      <c r="E1815" s="59" t="n">
        <v>2083438</v>
      </c>
      <c r="F1815" s="60" t="n">
        <v>15.89</v>
      </c>
      <c r="G1815" s="61" t="n">
        <v>4.48</v>
      </c>
      <c r="H1815" s="61" t="n">
        <v>0.54</v>
      </c>
      <c r="I1815" s="61" t="n">
        <v>0.01</v>
      </c>
      <c r="J1815" s="61" t="n">
        <v>5.82</v>
      </c>
      <c r="K1815" s="61" t="n">
        <v>4.48</v>
      </c>
      <c r="L1815" s="61" t="n">
        <v>0.3</v>
      </c>
      <c r="M1815" s="61" t="n">
        <v>0.01</v>
      </c>
      <c r="N1815" s="61" t="n">
        <v>0.25</v>
      </c>
      <c r="O1815" s="61" t="n">
        <v>0</v>
      </c>
      <c r="P1815" s="62" t="n">
        <v>298.9</v>
      </c>
      <c r="Q1815" s="0" t="n">
        <v>0</v>
      </c>
      <c r="R1815" s="60" t="n">
        <f aca="false">G1815+H1815+I1815</f>
        <v>5.03</v>
      </c>
      <c r="S1815" s="60" t="n">
        <f aca="false">K1815+L1815+M1815+N1815+O1815</f>
        <v>5.04</v>
      </c>
      <c r="T1815" s="60" t="n">
        <f aca="false">L1815+M1815</f>
        <v>0.31</v>
      </c>
      <c r="U1815" s="60" t="n">
        <f aca="false">S1815+J1815</f>
        <v>10.86</v>
      </c>
      <c r="V1815" s="63" t="n">
        <f aca="false">IFERROR(S1815/F1815,0)</f>
        <v>0.317180616740088</v>
      </c>
      <c r="W1815" s="63" t="n">
        <f aca="false">IFERROR(R1815/F1815,0)</f>
        <v>0.316551290119572</v>
      </c>
      <c r="X1815" s="63" t="n">
        <f aca="false">IFERROR(T1815/F1815,0)</f>
        <v>0.0195091252359975</v>
      </c>
      <c r="Y1815" s="63" t="n">
        <f aca="false">IFERROR(G1815/F1815,0)</f>
        <v>0.281938325991189</v>
      </c>
      <c r="Z1815" s="59" t="n">
        <f aca="false">IF(E1815&gt;0,F1815*1000000000/E1815,"")</f>
        <v>7626.81682872253</v>
      </c>
      <c r="AA1815" s="63" t="n">
        <f aca="false">IFERROR((R1815+S1815+J1815)/F1815,0)</f>
        <v>1</v>
      </c>
      <c r="AB1815" s="0" t="str">
        <f aca="false">A1815&amp;"|"&amp;D1815</f>
        <v>Slovenia|2019</v>
      </c>
    </row>
    <row r="1816" customFormat="false" ht="15" hidden="false" customHeight="false" outlineLevel="0" collapsed="false">
      <c r="A1816" s="0" t="s">
        <v>354</v>
      </c>
      <c r="B1816" s="0" t="s">
        <v>593</v>
      </c>
      <c r="C1816" s="0" t="s">
        <v>127</v>
      </c>
      <c r="D1816" s="0" t="n">
        <v>2020</v>
      </c>
      <c r="E1816" s="59" t="n">
        <v>2102421</v>
      </c>
      <c r="F1816" s="60" t="n">
        <v>16.89</v>
      </c>
      <c r="G1816" s="61" t="n">
        <v>4.36</v>
      </c>
      <c r="H1816" s="61" t="n">
        <v>0.58</v>
      </c>
      <c r="I1816" s="61" t="n">
        <v>0.02</v>
      </c>
      <c r="J1816" s="61" t="n">
        <v>6.35</v>
      </c>
      <c r="K1816" s="61" t="n">
        <v>4.93</v>
      </c>
      <c r="L1816" s="61" t="n">
        <v>0.37</v>
      </c>
      <c r="M1816" s="61" t="n">
        <v>0.01</v>
      </c>
      <c r="N1816" s="61" t="n">
        <v>0.27</v>
      </c>
      <c r="O1816" s="61" t="n">
        <v>0</v>
      </c>
      <c r="P1816" s="62" t="n">
        <v>277.1</v>
      </c>
      <c r="Q1816" s="0" t="n">
        <v>0</v>
      </c>
      <c r="R1816" s="60" t="n">
        <f aca="false">G1816+H1816+I1816</f>
        <v>4.96</v>
      </c>
      <c r="S1816" s="60" t="n">
        <f aca="false">K1816+L1816+M1816+N1816+O1816</f>
        <v>5.58</v>
      </c>
      <c r="T1816" s="60" t="n">
        <f aca="false">L1816+M1816</f>
        <v>0.38</v>
      </c>
      <c r="U1816" s="60" t="n">
        <f aca="false">S1816+J1816</f>
        <v>11.93</v>
      </c>
      <c r="V1816" s="63" t="n">
        <f aca="false">IFERROR(S1816/F1816,0)</f>
        <v>0.330373001776199</v>
      </c>
      <c r="W1816" s="63" t="n">
        <f aca="false">IFERROR(R1816/F1816,0)</f>
        <v>0.293664890467732</v>
      </c>
      <c r="X1816" s="63" t="n">
        <f aca="false">IFERROR(T1816/F1816,0)</f>
        <v>0.0224985198342214</v>
      </c>
      <c r="Y1816" s="63" t="n">
        <f aca="false">IFERROR(G1816/F1816,0)</f>
        <v>0.25814091178212</v>
      </c>
      <c r="Z1816" s="59" t="n">
        <f aca="false">IF(E1816&gt;0,F1816*1000000000/E1816,"")</f>
        <v>8033.59555483892</v>
      </c>
      <c r="AA1816" s="63" t="n">
        <f aca="false">IFERROR((R1816+S1816+J1816)/F1816,0)</f>
        <v>1</v>
      </c>
      <c r="AB1816" s="0" t="str">
        <f aca="false">A1816&amp;"|"&amp;D1816</f>
        <v>Slovenia|2020</v>
      </c>
    </row>
    <row r="1817" customFormat="false" ht="15" hidden="false" customHeight="false" outlineLevel="0" collapsed="false">
      <c r="A1817" s="0" t="s">
        <v>354</v>
      </c>
      <c r="B1817" s="0" t="s">
        <v>593</v>
      </c>
      <c r="C1817" s="0" t="s">
        <v>127</v>
      </c>
      <c r="D1817" s="0" t="n">
        <v>2021</v>
      </c>
      <c r="E1817" s="59" t="n">
        <v>2113495</v>
      </c>
      <c r="F1817" s="60" t="n">
        <v>15.59</v>
      </c>
      <c r="G1817" s="61" t="n">
        <v>3.85</v>
      </c>
      <c r="H1817" s="61" t="n">
        <v>0.52</v>
      </c>
      <c r="I1817" s="61" t="n">
        <v>0.07</v>
      </c>
      <c r="J1817" s="61" t="n">
        <v>5.71</v>
      </c>
      <c r="K1817" s="61" t="n">
        <v>4.71</v>
      </c>
      <c r="L1817" s="61" t="n">
        <v>0.45</v>
      </c>
      <c r="M1817" s="61" t="n">
        <v>0.01</v>
      </c>
      <c r="N1817" s="61" t="n">
        <v>0.27</v>
      </c>
      <c r="O1817" s="61" t="n">
        <v>0</v>
      </c>
      <c r="P1817" s="62" t="n">
        <v>269.4</v>
      </c>
      <c r="Q1817" s="0" t="n">
        <v>0</v>
      </c>
      <c r="R1817" s="60" t="n">
        <f aca="false">G1817+H1817+I1817</f>
        <v>4.44</v>
      </c>
      <c r="S1817" s="60" t="n">
        <f aca="false">K1817+L1817+M1817+N1817+O1817</f>
        <v>5.44</v>
      </c>
      <c r="T1817" s="60" t="n">
        <f aca="false">L1817+M1817</f>
        <v>0.46</v>
      </c>
      <c r="U1817" s="60" t="n">
        <f aca="false">S1817+J1817</f>
        <v>11.15</v>
      </c>
      <c r="V1817" s="63" t="n">
        <f aca="false">IFERROR(S1817/F1817,0)</f>
        <v>0.348941629249519</v>
      </c>
      <c r="W1817" s="63" t="n">
        <f aca="false">IFERROR(R1817/F1817,0)</f>
        <v>0.284797947402181</v>
      </c>
      <c r="X1817" s="63" t="n">
        <f aca="false">IFERROR(T1817/F1817,0)</f>
        <v>0.0295060936497755</v>
      </c>
      <c r="Y1817" s="63" t="n">
        <f aca="false">IFERROR(G1817/F1817,0)</f>
        <v>0.246953175112251</v>
      </c>
      <c r="Z1817" s="59" t="n">
        <f aca="false">IF(E1817&gt;0,F1817*1000000000/E1817,"")</f>
        <v>7376.40732530713</v>
      </c>
      <c r="AA1817" s="63" t="n">
        <f aca="false">IFERROR((R1817+S1817+J1817)/F1817,0)</f>
        <v>1</v>
      </c>
      <c r="AB1817" s="0" t="str">
        <f aca="false">A1817&amp;"|"&amp;D1817</f>
        <v>Slovenia|2021</v>
      </c>
    </row>
    <row r="1818" customFormat="false" ht="15" hidden="false" customHeight="false" outlineLevel="0" collapsed="false">
      <c r="A1818" s="0" t="s">
        <v>354</v>
      </c>
      <c r="B1818" s="0" t="s">
        <v>593</v>
      </c>
      <c r="C1818" s="0" t="s">
        <v>127</v>
      </c>
      <c r="D1818" s="0" t="n">
        <v>2022</v>
      </c>
      <c r="E1818" s="59" t="n">
        <v>2115231</v>
      </c>
      <c r="F1818" s="60" t="n">
        <v>13.36</v>
      </c>
      <c r="G1818" s="61" t="n">
        <v>3.13</v>
      </c>
      <c r="H1818" s="61" t="n">
        <v>0.49</v>
      </c>
      <c r="I1818" s="61" t="n">
        <v>0.06</v>
      </c>
      <c r="J1818" s="61" t="n">
        <v>5.61</v>
      </c>
      <c r="K1818" s="61" t="n">
        <v>3.15</v>
      </c>
      <c r="L1818" s="61" t="n">
        <v>0.65</v>
      </c>
      <c r="M1818" s="61" t="n">
        <v>0.01</v>
      </c>
      <c r="N1818" s="61" t="n">
        <v>0.26</v>
      </c>
      <c r="O1818" s="61" t="n">
        <v>0</v>
      </c>
      <c r="P1818" s="62" t="n">
        <v>257.5</v>
      </c>
      <c r="Q1818" s="0" t="n">
        <v>0</v>
      </c>
      <c r="R1818" s="60" t="n">
        <f aca="false">G1818+H1818+I1818</f>
        <v>3.68</v>
      </c>
      <c r="S1818" s="60" t="n">
        <f aca="false">K1818+L1818+M1818+N1818+O1818</f>
        <v>4.07</v>
      </c>
      <c r="T1818" s="60" t="n">
        <f aca="false">L1818+M1818</f>
        <v>0.66</v>
      </c>
      <c r="U1818" s="60" t="n">
        <f aca="false">S1818+J1818</f>
        <v>9.68</v>
      </c>
      <c r="V1818" s="63" t="n">
        <f aca="false">IFERROR(S1818/F1818,0)</f>
        <v>0.304640718562874</v>
      </c>
      <c r="W1818" s="63" t="n">
        <f aca="false">IFERROR(R1818/F1818,0)</f>
        <v>0.275449101796407</v>
      </c>
      <c r="X1818" s="63" t="n">
        <f aca="false">IFERROR(T1818/F1818,0)</f>
        <v>0.0494011976047904</v>
      </c>
      <c r="Y1818" s="63" t="n">
        <f aca="false">IFERROR(G1818/F1818,0)</f>
        <v>0.234281437125749</v>
      </c>
      <c r="Z1818" s="59" t="n">
        <f aca="false">IF(E1818&gt;0,F1818*1000000000/E1818,"")</f>
        <v>6316.09502697341</v>
      </c>
      <c r="AA1818" s="63" t="n">
        <f aca="false">IFERROR((R1818+S1818+J1818)/F1818,0)</f>
        <v>1</v>
      </c>
      <c r="AB1818" s="0" t="str">
        <f aca="false">A1818&amp;"|"&amp;D1818</f>
        <v>Slovenia|2022</v>
      </c>
    </row>
    <row r="1819" customFormat="false" ht="15" hidden="false" customHeight="false" outlineLevel="0" collapsed="false">
      <c r="A1819" s="0" t="s">
        <v>354</v>
      </c>
      <c r="B1819" s="0" t="s">
        <v>593</v>
      </c>
      <c r="C1819" s="0" t="s">
        <v>127</v>
      </c>
      <c r="D1819" s="0" t="n">
        <v>2023</v>
      </c>
      <c r="E1819" s="59" t="n">
        <v>2118394</v>
      </c>
      <c r="F1819" s="60" t="n">
        <v>15.55</v>
      </c>
      <c r="G1819" s="61" t="n">
        <v>3.14</v>
      </c>
      <c r="H1819" s="61" t="n">
        <v>0.5</v>
      </c>
      <c r="I1819" s="61" t="n">
        <v>0.01</v>
      </c>
      <c r="J1819" s="61" t="n">
        <v>5.6</v>
      </c>
      <c r="K1819" s="61" t="n">
        <v>5.02</v>
      </c>
      <c r="L1819" s="61" t="n">
        <v>0.98</v>
      </c>
      <c r="M1819" s="61" t="n">
        <v>0.01</v>
      </c>
      <c r="N1819" s="61" t="n">
        <v>0.29</v>
      </c>
      <c r="O1819" s="61" t="n">
        <v>0</v>
      </c>
      <c r="P1819" s="62" t="n">
        <v>225.1</v>
      </c>
      <c r="Q1819" s="0" t="n">
        <v>0</v>
      </c>
      <c r="R1819" s="60" t="n">
        <f aca="false">G1819+H1819+I1819</f>
        <v>3.65</v>
      </c>
      <c r="S1819" s="60" t="n">
        <f aca="false">K1819+L1819+M1819+N1819+O1819</f>
        <v>6.3</v>
      </c>
      <c r="T1819" s="60" t="n">
        <f aca="false">L1819+M1819</f>
        <v>0.99</v>
      </c>
      <c r="U1819" s="60" t="n">
        <f aca="false">S1819+J1819</f>
        <v>11.9</v>
      </c>
      <c r="V1819" s="63" t="n">
        <f aca="false">IFERROR(S1819/F1819,0)</f>
        <v>0.405144694533762</v>
      </c>
      <c r="W1819" s="63" t="n">
        <f aca="false">IFERROR(R1819/F1819,0)</f>
        <v>0.234726688102894</v>
      </c>
      <c r="X1819" s="63" t="n">
        <f aca="false">IFERROR(T1819/F1819,0)</f>
        <v>0.0636655948553055</v>
      </c>
      <c r="Y1819" s="63" t="n">
        <f aca="false">IFERROR(G1819/F1819,0)</f>
        <v>0.201929260450161</v>
      </c>
      <c r="Z1819" s="59" t="n">
        <f aca="false">IF(E1819&gt;0,F1819*1000000000/E1819,"")</f>
        <v>7340.4664099313</v>
      </c>
      <c r="AA1819" s="63" t="n">
        <f aca="false">IFERROR((R1819+S1819+J1819)/F1819,0)</f>
        <v>1</v>
      </c>
      <c r="AB1819" s="0" t="str">
        <f aca="false">A1819&amp;"|"&amp;D1819</f>
        <v>Slovenia|2023</v>
      </c>
    </row>
    <row r="1820" customFormat="false" ht="15" hidden="false" customHeight="false" outlineLevel="0" collapsed="false">
      <c r="A1820" s="0" t="s">
        <v>354</v>
      </c>
      <c r="B1820" s="0" t="s">
        <v>593</v>
      </c>
      <c r="C1820" s="0" t="s">
        <v>127</v>
      </c>
      <c r="D1820" s="0" t="n">
        <v>2024</v>
      </c>
      <c r="E1820" s="59" t="n">
        <v>2118692</v>
      </c>
      <c r="F1820" s="60" t="n">
        <v>16.71</v>
      </c>
      <c r="G1820" s="61" t="n">
        <v>3.5</v>
      </c>
      <c r="H1820" s="61" t="n">
        <v>0.48</v>
      </c>
      <c r="I1820" s="61" t="n">
        <v>0.02</v>
      </c>
      <c r="J1820" s="61" t="n">
        <v>5.84</v>
      </c>
      <c r="K1820" s="61" t="n">
        <v>5.34</v>
      </c>
      <c r="L1820" s="61" t="n">
        <v>1.27</v>
      </c>
      <c r="M1820" s="61" t="n">
        <v>0.01</v>
      </c>
      <c r="N1820" s="61" t="n">
        <v>0.25</v>
      </c>
      <c r="O1820" s="61" t="n">
        <v>0</v>
      </c>
      <c r="P1820" s="62" t="n">
        <v>230.4</v>
      </c>
      <c r="Q1820" s="0" t="n">
        <v>0</v>
      </c>
      <c r="R1820" s="60" t="n">
        <f aca="false">G1820+H1820+I1820</f>
        <v>4</v>
      </c>
      <c r="S1820" s="60" t="n">
        <f aca="false">K1820+L1820+M1820+N1820+O1820</f>
        <v>6.87</v>
      </c>
      <c r="T1820" s="60" t="n">
        <f aca="false">L1820+M1820</f>
        <v>1.28</v>
      </c>
      <c r="U1820" s="60" t="n">
        <f aca="false">S1820+J1820</f>
        <v>12.71</v>
      </c>
      <c r="V1820" s="63" t="n">
        <f aca="false">IFERROR(S1820/F1820,0)</f>
        <v>0.41113105924596</v>
      </c>
      <c r="W1820" s="63" t="n">
        <f aca="false">IFERROR(R1820/F1820,0)</f>
        <v>0.239377618192699</v>
      </c>
      <c r="X1820" s="63" t="n">
        <f aca="false">IFERROR(T1820/F1820,0)</f>
        <v>0.0766008378216637</v>
      </c>
      <c r="Y1820" s="63" t="n">
        <f aca="false">IFERROR(G1820/F1820,0)</f>
        <v>0.209455415918612</v>
      </c>
      <c r="Z1820" s="59" t="n">
        <f aca="false">IF(E1820&gt;0,F1820*1000000000/E1820,"")</f>
        <v>7886.94156583402</v>
      </c>
      <c r="AA1820" s="63" t="n">
        <f aca="false">IFERROR((R1820+S1820+J1820)/F1820,0)</f>
        <v>1</v>
      </c>
      <c r="AB1820" s="0" t="str">
        <f aca="false">A1820&amp;"|"&amp;D1820</f>
        <v>Slovenia|2024</v>
      </c>
    </row>
    <row r="1821" customFormat="false" ht="15" hidden="false" customHeight="false" outlineLevel="0" collapsed="false">
      <c r="A1821" s="0" t="s">
        <v>354</v>
      </c>
      <c r="B1821" s="0" t="s">
        <v>593</v>
      </c>
      <c r="C1821" s="0" t="s">
        <v>127</v>
      </c>
      <c r="D1821" s="0" t="n">
        <v>2025</v>
      </c>
      <c r="E1821" s="59" t="n">
        <v>2117070</v>
      </c>
      <c r="F1821" s="60" t="n">
        <v>14.84</v>
      </c>
      <c r="G1821" s="61" t="n">
        <v>2.18</v>
      </c>
      <c r="H1821" s="61" t="n">
        <v>0.95</v>
      </c>
      <c r="I1821" s="61" t="n">
        <v>0</v>
      </c>
      <c r="J1821" s="61" t="n">
        <v>5.83</v>
      </c>
      <c r="K1821" s="61" t="n">
        <v>4.04</v>
      </c>
      <c r="L1821" s="61" t="n">
        <v>1.54</v>
      </c>
      <c r="M1821" s="61" t="n">
        <v>0.01</v>
      </c>
      <c r="N1821" s="61" t="n">
        <v>0.29</v>
      </c>
      <c r="O1821" s="61" t="n">
        <v>0</v>
      </c>
      <c r="P1821" s="62" t="n">
        <v>183.3</v>
      </c>
      <c r="Q1821" s="0" t="n">
        <v>0</v>
      </c>
      <c r="R1821" s="60" t="n">
        <f aca="false">G1821+H1821+I1821</f>
        <v>3.13</v>
      </c>
      <c r="S1821" s="60" t="n">
        <f aca="false">K1821+L1821+M1821+N1821+O1821</f>
        <v>5.88</v>
      </c>
      <c r="T1821" s="60" t="n">
        <f aca="false">L1821+M1821</f>
        <v>1.55</v>
      </c>
      <c r="U1821" s="60" t="n">
        <f aca="false">S1821+J1821</f>
        <v>11.71</v>
      </c>
      <c r="V1821" s="63" t="n">
        <f aca="false">IFERROR(S1821/F1821,0)</f>
        <v>0.39622641509434</v>
      </c>
      <c r="W1821" s="63" t="n">
        <f aca="false">IFERROR(R1821/F1821,0)</f>
        <v>0.210916442048518</v>
      </c>
      <c r="X1821" s="63" t="n">
        <f aca="false">IFERROR(T1821/F1821,0)</f>
        <v>0.1044474393531</v>
      </c>
      <c r="Y1821" s="63" t="n">
        <f aca="false">IFERROR(G1821/F1821,0)</f>
        <v>0.146900269541779</v>
      </c>
      <c r="Z1821" s="59" t="n">
        <f aca="false">IF(E1821&gt;0,F1821*1000000000/E1821,"")</f>
        <v>7009.68791773536</v>
      </c>
      <c r="AA1821" s="63" t="n">
        <f aca="false">IFERROR((R1821+S1821+J1821)/F1821,0)</f>
        <v>1</v>
      </c>
      <c r="AB1821" s="0" t="str">
        <f aca="false">A1821&amp;"|"&amp;D1821</f>
        <v>Slovenia|2025</v>
      </c>
    </row>
    <row r="1822" customFormat="false" ht="15" hidden="false" customHeight="false" outlineLevel="0" collapsed="false">
      <c r="A1822" s="0" t="s">
        <v>355</v>
      </c>
      <c r="B1822" s="0" t="s">
        <v>594</v>
      </c>
      <c r="C1822" s="0" t="s">
        <v>127</v>
      </c>
      <c r="D1822" s="0" t="n">
        <v>2015</v>
      </c>
      <c r="E1822" s="59" t="n">
        <v>639423</v>
      </c>
      <c r="F1822" s="60" t="n">
        <v>0.09</v>
      </c>
      <c r="G1822" s="61" t="n">
        <v>0</v>
      </c>
      <c r="H1822" s="61" t="n">
        <v>0</v>
      </c>
      <c r="I1822" s="61" t="n">
        <v>0.09</v>
      </c>
      <c r="J1822" s="61" t="n">
        <v>0</v>
      </c>
      <c r="K1822" s="61" t="n">
        <v>0</v>
      </c>
      <c r="L1822" s="61" t="n">
        <v>0</v>
      </c>
      <c r="M1822" s="61" t="n">
        <v>0</v>
      </c>
      <c r="N1822" s="61" t="n">
        <v>0</v>
      </c>
      <c r="O1822" s="61" t="n">
        <v>0</v>
      </c>
      <c r="P1822" s="62" t="n">
        <v>666.7</v>
      </c>
      <c r="Q1822" s="0" t="n">
        <v>0</v>
      </c>
      <c r="R1822" s="60" t="n">
        <f aca="false">G1822+H1822+I1822</f>
        <v>0.09</v>
      </c>
      <c r="S1822" s="60" t="n">
        <f aca="false">K1822+L1822+M1822+N1822+O1822</f>
        <v>0</v>
      </c>
      <c r="T1822" s="60" t="n">
        <f aca="false">L1822+M1822</f>
        <v>0</v>
      </c>
      <c r="U1822" s="60" t="n">
        <f aca="false">S1822+J1822</f>
        <v>0</v>
      </c>
      <c r="V1822" s="63" t="n">
        <f aca="false">IFERROR(S1822/F1822,0)</f>
        <v>0</v>
      </c>
      <c r="W1822" s="63" t="n">
        <f aca="false">IFERROR(R1822/F1822,0)</f>
        <v>1</v>
      </c>
      <c r="X1822" s="63" t="n">
        <f aca="false">IFERROR(T1822/F1822,0)</f>
        <v>0</v>
      </c>
      <c r="Y1822" s="63" t="n">
        <f aca="false">IFERROR(G1822/F1822,0)</f>
        <v>0</v>
      </c>
      <c r="Z1822" s="59" t="n">
        <f aca="false">IF(E1822&gt;0,F1822*1000000000/E1822,"")</f>
        <v>140.751896631807</v>
      </c>
      <c r="AA1822" s="63" t="n">
        <f aca="false">IFERROR((R1822+S1822+J1822)/F1822,0)</f>
        <v>1</v>
      </c>
      <c r="AB1822" s="0" t="str">
        <f aca="false">A1822&amp;"|"&amp;D1822</f>
        <v>Solomon Islands|2015</v>
      </c>
    </row>
    <row r="1823" customFormat="false" ht="15" hidden="false" customHeight="false" outlineLevel="0" collapsed="false">
      <c r="A1823" s="0" t="s">
        <v>355</v>
      </c>
      <c r="B1823" s="0" t="s">
        <v>594</v>
      </c>
      <c r="C1823" s="0" t="s">
        <v>127</v>
      </c>
      <c r="D1823" s="0" t="n">
        <v>2016</v>
      </c>
      <c r="E1823" s="59" t="n">
        <v>662387</v>
      </c>
      <c r="F1823" s="60" t="n">
        <v>0.1</v>
      </c>
      <c r="G1823" s="61" t="n">
        <v>0</v>
      </c>
      <c r="H1823" s="61" t="n">
        <v>0</v>
      </c>
      <c r="I1823" s="61" t="n">
        <v>0.1</v>
      </c>
      <c r="J1823" s="61" t="n">
        <v>0</v>
      </c>
      <c r="K1823" s="61" t="n">
        <v>0</v>
      </c>
      <c r="L1823" s="61" t="n">
        <v>0</v>
      </c>
      <c r="M1823" s="61" t="n">
        <v>0</v>
      </c>
      <c r="N1823" s="61" t="n">
        <v>0</v>
      </c>
      <c r="O1823" s="61" t="n">
        <v>0</v>
      </c>
      <c r="P1823" s="62" t="n">
        <v>700</v>
      </c>
      <c r="Q1823" s="0" t="n">
        <v>0</v>
      </c>
      <c r="R1823" s="60" t="n">
        <f aca="false">G1823+H1823+I1823</f>
        <v>0.1</v>
      </c>
      <c r="S1823" s="60" t="n">
        <f aca="false">K1823+L1823+M1823+N1823+O1823</f>
        <v>0</v>
      </c>
      <c r="T1823" s="60" t="n">
        <f aca="false">L1823+M1823</f>
        <v>0</v>
      </c>
      <c r="U1823" s="60" t="n">
        <f aca="false">S1823+J1823</f>
        <v>0</v>
      </c>
      <c r="V1823" s="63" t="n">
        <f aca="false">IFERROR(S1823/F1823,0)</f>
        <v>0</v>
      </c>
      <c r="W1823" s="63" t="n">
        <f aca="false">IFERROR(R1823/F1823,0)</f>
        <v>1</v>
      </c>
      <c r="X1823" s="63" t="n">
        <f aca="false">IFERROR(T1823/F1823,0)</f>
        <v>0</v>
      </c>
      <c r="Y1823" s="63" t="n">
        <f aca="false">IFERROR(G1823/F1823,0)</f>
        <v>0</v>
      </c>
      <c r="Z1823" s="59" t="n">
        <f aca="false">IF(E1823&gt;0,F1823*1000000000/E1823,"")</f>
        <v>150.969146435543</v>
      </c>
      <c r="AA1823" s="63" t="n">
        <f aca="false">IFERROR((R1823+S1823+J1823)/F1823,0)</f>
        <v>1</v>
      </c>
      <c r="AB1823" s="0" t="str">
        <f aca="false">A1823&amp;"|"&amp;D1823</f>
        <v>Solomon Islands|2016</v>
      </c>
    </row>
    <row r="1824" customFormat="false" ht="15" hidden="false" customHeight="false" outlineLevel="0" collapsed="false">
      <c r="A1824" s="0" t="s">
        <v>355</v>
      </c>
      <c r="B1824" s="0" t="s">
        <v>594</v>
      </c>
      <c r="C1824" s="0" t="s">
        <v>127</v>
      </c>
      <c r="D1824" s="0" t="n">
        <v>2017</v>
      </c>
      <c r="E1824" s="59" t="n">
        <v>685677</v>
      </c>
      <c r="F1824" s="60" t="n">
        <v>0.1</v>
      </c>
      <c r="G1824" s="61" t="n">
        <v>0</v>
      </c>
      <c r="H1824" s="61" t="n">
        <v>0</v>
      </c>
      <c r="I1824" s="61" t="n">
        <v>0.1</v>
      </c>
      <c r="J1824" s="61" t="n">
        <v>0</v>
      </c>
      <c r="K1824" s="61" t="n">
        <v>0</v>
      </c>
      <c r="L1824" s="61" t="n">
        <v>0</v>
      </c>
      <c r="M1824" s="61" t="n">
        <v>0</v>
      </c>
      <c r="N1824" s="61" t="n">
        <v>0</v>
      </c>
      <c r="O1824" s="61" t="n">
        <v>0</v>
      </c>
      <c r="P1824" s="62" t="n">
        <v>700</v>
      </c>
      <c r="Q1824" s="0" t="n">
        <v>0</v>
      </c>
      <c r="R1824" s="60" t="n">
        <f aca="false">G1824+H1824+I1824</f>
        <v>0.1</v>
      </c>
      <c r="S1824" s="60" t="n">
        <f aca="false">K1824+L1824+M1824+N1824+O1824</f>
        <v>0</v>
      </c>
      <c r="T1824" s="60" t="n">
        <f aca="false">L1824+M1824</f>
        <v>0</v>
      </c>
      <c r="U1824" s="60" t="n">
        <f aca="false">S1824+J1824</f>
        <v>0</v>
      </c>
      <c r="V1824" s="63" t="n">
        <f aca="false">IFERROR(S1824/F1824,0)</f>
        <v>0</v>
      </c>
      <c r="W1824" s="63" t="n">
        <f aca="false">IFERROR(R1824/F1824,0)</f>
        <v>1</v>
      </c>
      <c r="X1824" s="63" t="n">
        <f aca="false">IFERROR(T1824/F1824,0)</f>
        <v>0</v>
      </c>
      <c r="Y1824" s="63" t="n">
        <f aca="false">IFERROR(G1824/F1824,0)</f>
        <v>0</v>
      </c>
      <c r="Z1824" s="59" t="n">
        <f aca="false">IF(E1824&gt;0,F1824*1000000000/E1824,"")</f>
        <v>145.841263452034</v>
      </c>
      <c r="AA1824" s="63" t="n">
        <f aca="false">IFERROR((R1824+S1824+J1824)/F1824,0)</f>
        <v>1</v>
      </c>
      <c r="AB1824" s="0" t="str">
        <f aca="false">A1824&amp;"|"&amp;D1824</f>
        <v>Solomon Islands|2017</v>
      </c>
    </row>
    <row r="1825" customFormat="false" ht="15" hidden="false" customHeight="false" outlineLevel="0" collapsed="false">
      <c r="A1825" s="0" t="s">
        <v>355</v>
      </c>
      <c r="B1825" s="0" t="s">
        <v>594</v>
      </c>
      <c r="C1825" s="0" t="s">
        <v>127</v>
      </c>
      <c r="D1825" s="0" t="n">
        <v>2018</v>
      </c>
      <c r="E1825" s="59" t="n">
        <v>709109</v>
      </c>
      <c r="F1825" s="60" t="n">
        <v>0.1</v>
      </c>
      <c r="G1825" s="61" t="n">
        <v>0</v>
      </c>
      <c r="H1825" s="61" t="n">
        <v>0</v>
      </c>
      <c r="I1825" s="61" t="n">
        <v>0.1</v>
      </c>
      <c r="J1825" s="61" t="n">
        <v>0</v>
      </c>
      <c r="K1825" s="61" t="n">
        <v>0</v>
      </c>
      <c r="L1825" s="61" t="n">
        <v>0</v>
      </c>
      <c r="M1825" s="61" t="n">
        <v>0</v>
      </c>
      <c r="N1825" s="61" t="n">
        <v>0</v>
      </c>
      <c r="O1825" s="61" t="n">
        <v>0</v>
      </c>
      <c r="P1825" s="62" t="n">
        <v>700</v>
      </c>
      <c r="Q1825" s="0" t="n">
        <v>0</v>
      </c>
      <c r="R1825" s="60" t="n">
        <f aca="false">G1825+H1825+I1825</f>
        <v>0.1</v>
      </c>
      <c r="S1825" s="60" t="n">
        <f aca="false">K1825+L1825+M1825+N1825+O1825</f>
        <v>0</v>
      </c>
      <c r="T1825" s="60" t="n">
        <f aca="false">L1825+M1825</f>
        <v>0</v>
      </c>
      <c r="U1825" s="60" t="n">
        <f aca="false">S1825+J1825</f>
        <v>0</v>
      </c>
      <c r="V1825" s="63" t="n">
        <f aca="false">IFERROR(S1825/F1825,0)</f>
        <v>0</v>
      </c>
      <c r="W1825" s="63" t="n">
        <f aca="false">IFERROR(R1825/F1825,0)</f>
        <v>1</v>
      </c>
      <c r="X1825" s="63" t="n">
        <f aca="false">IFERROR(T1825/F1825,0)</f>
        <v>0</v>
      </c>
      <c r="Y1825" s="63" t="n">
        <f aca="false">IFERROR(G1825/F1825,0)</f>
        <v>0</v>
      </c>
      <c r="Z1825" s="59" t="n">
        <f aca="false">IF(E1825&gt;0,F1825*1000000000/E1825,"")</f>
        <v>141.022043155566</v>
      </c>
      <c r="AA1825" s="63" t="n">
        <f aca="false">IFERROR((R1825+S1825+J1825)/F1825,0)</f>
        <v>1</v>
      </c>
      <c r="AB1825" s="0" t="str">
        <f aca="false">A1825&amp;"|"&amp;D1825</f>
        <v>Solomon Islands|2018</v>
      </c>
    </row>
    <row r="1826" customFormat="false" ht="15" hidden="false" customHeight="false" outlineLevel="0" collapsed="false">
      <c r="A1826" s="0" t="s">
        <v>355</v>
      </c>
      <c r="B1826" s="0" t="s">
        <v>594</v>
      </c>
      <c r="C1826" s="0" t="s">
        <v>127</v>
      </c>
      <c r="D1826" s="0" t="n">
        <v>2019</v>
      </c>
      <c r="E1826" s="59" t="n">
        <v>728156</v>
      </c>
      <c r="F1826" s="60" t="n">
        <v>0.1</v>
      </c>
      <c r="G1826" s="61" t="n">
        <v>0</v>
      </c>
      <c r="H1826" s="61" t="n">
        <v>0</v>
      </c>
      <c r="I1826" s="61" t="n">
        <v>0.1</v>
      </c>
      <c r="J1826" s="61" t="n">
        <v>0</v>
      </c>
      <c r="K1826" s="61" t="n">
        <v>0</v>
      </c>
      <c r="L1826" s="61" t="n">
        <v>0</v>
      </c>
      <c r="M1826" s="61" t="n">
        <v>0</v>
      </c>
      <c r="N1826" s="61" t="n">
        <v>0</v>
      </c>
      <c r="O1826" s="61" t="n">
        <v>0</v>
      </c>
      <c r="P1826" s="62" t="n">
        <v>700</v>
      </c>
      <c r="Q1826" s="0" t="n">
        <v>0</v>
      </c>
      <c r="R1826" s="60" t="n">
        <f aca="false">G1826+H1826+I1826</f>
        <v>0.1</v>
      </c>
      <c r="S1826" s="60" t="n">
        <f aca="false">K1826+L1826+M1826+N1826+O1826</f>
        <v>0</v>
      </c>
      <c r="T1826" s="60" t="n">
        <f aca="false">L1826+M1826</f>
        <v>0</v>
      </c>
      <c r="U1826" s="60" t="n">
        <f aca="false">S1826+J1826</f>
        <v>0</v>
      </c>
      <c r="V1826" s="63" t="n">
        <f aca="false">IFERROR(S1826/F1826,0)</f>
        <v>0</v>
      </c>
      <c r="W1826" s="63" t="n">
        <f aca="false">IFERROR(R1826/F1826,0)</f>
        <v>1</v>
      </c>
      <c r="X1826" s="63" t="n">
        <f aca="false">IFERROR(T1826/F1826,0)</f>
        <v>0</v>
      </c>
      <c r="Y1826" s="63" t="n">
        <f aca="false">IFERROR(G1826/F1826,0)</f>
        <v>0</v>
      </c>
      <c r="Z1826" s="59" t="n">
        <f aca="false">IF(E1826&gt;0,F1826*1000000000/E1826,"")</f>
        <v>137.333208817891</v>
      </c>
      <c r="AA1826" s="63" t="n">
        <f aca="false">IFERROR((R1826+S1826+J1826)/F1826,0)</f>
        <v>1</v>
      </c>
      <c r="AB1826" s="0" t="str">
        <f aca="false">A1826&amp;"|"&amp;D1826</f>
        <v>Solomon Islands|2019</v>
      </c>
    </row>
    <row r="1827" customFormat="false" ht="15" hidden="false" customHeight="false" outlineLevel="0" collapsed="false">
      <c r="A1827" s="0" t="s">
        <v>355</v>
      </c>
      <c r="B1827" s="0" t="s">
        <v>594</v>
      </c>
      <c r="C1827" s="0" t="s">
        <v>127</v>
      </c>
      <c r="D1827" s="0" t="n">
        <v>2020</v>
      </c>
      <c r="E1827" s="59" t="n">
        <v>744505</v>
      </c>
      <c r="F1827" s="60" t="n">
        <v>0.1</v>
      </c>
      <c r="G1827" s="61" t="n">
        <v>0</v>
      </c>
      <c r="H1827" s="61" t="n">
        <v>0</v>
      </c>
      <c r="I1827" s="61" t="n">
        <v>0.1</v>
      </c>
      <c r="J1827" s="61" t="n">
        <v>0</v>
      </c>
      <c r="K1827" s="61" t="n">
        <v>0</v>
      </c>
      <c r="L1827" s="61" t="n">
        <v>0</v>
      </c>
      <c r="M1827" s="61" t="n">
        <v>0</v>
      </c>
      <c r="N1827" s="61" t="n">
        <v>0</v>
      </c>
      <c r="O1827" s="61" t="n">
        <v>0</v>
      </c>
      <c r="P1827" s="62" t="n">
        <v>700</v>
      </c>
      <c r="Q1827" s="0" t="n">
        <v>0</v>
      </c>
      <c r="R1827" s="60" t="n">
        <f aca="false">G1827+H1827+I1827</f>
        <v>0.1</v>
      </c>
      <c r="S1827" s="60" t="n">
        <f aca="false">K1827+L1827+M1827+N1827+O1827</f>
        <v>0</v>
      </c>
      <c r="T1827" s="60" t="n">
        <f aca="false">L1827+M1827</f>
        <v>0</v>
      </c>
      <c r="U1827" s="60" t="n">
        <f aca="false">S1827+J1827</f>
        <v>0</v>
      </c>
      <c r="V1827" s="63" t="n">
        <f aca="false">IFERROR(S1827/F1827,0)</f>
        <v>0</v>
      </c>
      <c r="W1827" s="63" t="n">
        <f aca="false">IFERROR(R1827/F1827,0)</f>
        <v>1</v>
      </c>
      <c r="X1827" s="63" t="n">
        <f aca="false">IFERROR(T1827/F1827,0)</f>
        <v>0</v>
      </c>
      <c r="Y1827" s="63" t="n">
        <f aca="false">IFERROR(G1827/F1827,0)</f>
        <v>0</v>
      </c>
      <c r="Z1827" s="59" t="n">
        <f aca="false">IF(E1827&gt;0,F1827*1000000000/E1827,"")</f>
        <v>134.317432387962</v>
      </c>
      <c r="AA1827" s="63" t="n">
        <f aca="false">IFERROR((R1827+S1827+J1827)/F1827,0)</f>
        <v>1</v>
      </c>
      <c r="AB1827" s="0" t="str">
        <f aca="false">A1827&amp;"|"&amp;D1827</f>
        <v>Solomon Islands|2020</v>
      </c>
    </row>
    <row r="1828" customFormat="false" ht="15" hidden="false" customHeight="false" outlineLevel="0" collapsed="false">
      <c r="A1828" s="0" t="s">
        <v>355</v>
      </c>
      <c r="B1828" s="0" t="s">
        <v>594</v>
      </c>
      <c r="C1828" s="0" t="s">
        <v>127</v>
      </c>
      <c r="D1828" s="0" t="n">
        <v>2021</v>
      </c>
      <c r="E1828" s="59" t="n">
        <v>762594</v>
      </c>
      <c r="F1828" s="60" t="n">
        <v>0.1</v>
      </c>
      <c r="G1828" s="61" t="n">
        <v>0</v>
      </c>
      <c r="H1828" s="61" t="n">
        <v>0</v>
      </c>
      <c r="I1828" s="61" t="n">
        <v>0.1</v>
      </c>
      <c r="J1828" s="61" t="n">
        <v>0</v>
      </c>
      <c r="K1828" s="61" t="n">
        <v>0</v>
      </c>
      <c r="L1828" s="61" t="n">
        <v>0</v>
      </c>
      <c r="M1828" s="61" t="n">
        <v>0</v>
      </c>
      <c r="N1828" s="61" t="n">
        <v>0</v>
      </c>
      <c r="O1828" s="61" t="n">
        <v>0</v>
      </c>
      <c r="P1828" s="62" t="n">
        <v>700</v>
      </c>
      <c r="Q1828" s="0" t="n">
        <v>0</v>
      </c>
      <c r="R1828" s="60" t="n">
        <f aca="false">G1828+H1828+I1828</f>
        <v>0.1</v>
      </c>
      <c r="S1828" s="60" t="n">
        <f aca="false">K1828+L1828+M1828+N1828+O1828</f>
        <v>0</v>
      </c>
      <c r="T1828" s="60" t="n">
        <f aca="false">L1828+M1828</f>
        <v>0</v>
      </c>
      <c r="U1828" s="60" t="n">
        <f aca="false">S1828+J1828</f>
        <v>0</v>
      </c>
      <c r="V1828" s="63" t="n">
        <f aca="false">IFERROR(S1828/F1828,0)</f>
        <v>0</v>
      </c>
      <c r="W1828" s="63" t="n">
        <f aca="false">IFERROR(R1828/F1828,0)</f>
        <v>1</v>
      </c>
      <c r="X1828" s="63" t="n">
        <f aca="false">IFERROR(T1828/F1828,0)</f>
        <v>0</v>
      </c>
      <c r="Y1828" s="63" t="n">
        <f aca="false">IFERROR(G1828/F1828,0)</f>
        <v>0</v>
      </c>
      <c r="Z1828" s="59" t="n">
        <f aca="false">IF(E1828&gt;0,F1828*1000000000/E1828,"")</f>
        <v>131.131375279638</v>
      </c>
      <c r="AA1828" s="63" t="n">
        <f aca="false">IFERROR((R1828+S1828+J1828)/F1828,0)</f>
        <v>1</v>
      </c>
      <c r="AB1828" s="0" t="str">
        <f aca="false">A1828&amp;"|"&amp;D1828</f>
        <v>Solomon Islands|2021</v>
      </c>
    </row>
    <row r="1829" customFormat="false" ht="15" hidden="false" customHeight="false" outlineLevel="0" collapsed="false">
      <c r="A1829" s="0" t="s">
        <v>355</v>
      </c>
      <c r="B1829" s="0" t="s">
        <v>594</v>
      </c>
      <c r="C1829" s="0" t="s">
        <v>127</v>
      </c>
      <c r="D1829" s="0" t="n">
        <v>2022</v>
      </c>
      <c r="E1829" s="59" t="n">
        <v>781075</v>
      </c>
      <c r="F1829" s="60" t="n">
        <v>0.11</v>
      </c>
      <c r="G1829" s="61" t="n">
        <v>0</v>
      </c>
      <c r="H1829" s="61" t="n">
        <v>0</v>
      </c>
      <c r="I1829" s="61" t="n">
        <v>0.1</v>
      </c>
      <c r="J1829" s="61" t="n">
        <v>0</v>
      </c>
      <c r="K1829" s="61" t="n">
        <v>0</v>
      </c>
      <c r="L1829" s="61" t="n">
        <v>0.01</v>
      </c>
      <c r="M1829" s="61" t="n">
        <v>0</v>
      </c>
      <c r="N1829" s="61" t="n">
        <v>0</v>
      </c>
      <c r="O1829" s="61" t="n">
        <v>0</v>
      </c>
      <c r="P1829" s="62" t="n">
        <v>636.4</v>
      </c>
      <c r="Q1829" s="0" t="n">
        <v>0</v>
      </c>
      <c r="R1829" s="60" t="n">
        <f aca="false">G1829+H1829+I1829</f>
        <v>0.1</v>
      </c>
      <c r="S1829" s="60" t="n">
        <f aca="false">K1829+L1829+M1829+N1829+O1829</f>
        <v>0.01</v>
      </c>
      <c r="T1829" s="60" t="n">
        <f aca="false">L1829+M1829</f>
        <v>0.01</v>
      </c>
      <c r="U1829" s="60" t="n">
        <f aca="false">S1829+J1829</f>
        <v>0.01</v>
      </c>
      <c r="V1829" s="63" t="n">
        <f aca="false">IFERROR(S1829/F1829,0)</f>
        <v>0.0909090909090909</v>
      </c>
      <c r="W1829" s="63" t="n">
        <f aca="false">IFERROR(R1829/F1829,0)</f>
        <v>0.909090909090909</v>
      </c>
      <c r="X1829" s="63" t="n">
        <f aca="false">IFERROR(T1829/F1829,0)</f>
        <v>0.0909090909090909</v>
      </c>
      <c r="Y1829" s="63" t="n">
        <f aca="false">IFERROR(G1829/F1829,0)</f>
        <v>0</v>
      </c>
      <c r="Z1829" s="59" t="n">
        <f aca="false">IF(E1829&gt;0,F1829*1000000000/E1829,"")</f>
        <v>140.831546266364</v>
      </c>
      <c r="AA1829" s="63" t="n">
        <f aca="false">IFERROR((R1829+S1829+J1829)/F1829,0)</f>
        <v>1</v>
      </c>
      <c r="AB1829" s="0" t="str">
        <f aca="false">A1829&amp;"|"&amp;D1829</f>
        <v>Solomon Islands|2022</v>
      </c>
    </row>
    <row r="1830" customFormat="false" ht="15" hidden="false" customHeight="false" outlineLevel="0" collapsed="false">
      <c r="A1830" s="0" t="s">
        <v>355</v>
      </c>
      <c r="B1830" s="0" t="s">
        <v>594</v>
      </c>
      <c r="C1830" s="0" t="s">
        <v>127</v>
      </c>
      <c r="D1830" s="0" t="n">
        <v>2023</v>
      </c>
      <c r="E1830" s="59" t="n">
        <v>800014</v>
      </c>
      <c r="F1830" s="60" t="n">
        <v>0.11</v>
      </c>
      <c r="G1830" s="61" t="n">
        <v>0</v>
      </c>
      <c r="H1830" s="61" t="n">
        <v>0</v>
      </c>
      <c r="I1830" s="61" t="n">
        <v>0.1</v>
      </c>
      <c r="J1830" s="61" t="n">
        <v>0</v>
      </c>
      <c r="K1830" s="61" t="n">
        <v>0</v>
      </c>
      <c r="L1830" s="61" t="n">
        <v>0.01</v>
      </c>
      <c r="M1830" s="61" t="n">
        <v>0</v>
      </c>
      <c r="N1830" s="61" t="n">
        <v>0</v>
      </c>
      <c r="O1830" s="61" t="n">
        <v>0</v>
      </c>
      <c r="P1830" s="62" t="n">
        <v>636.4</v>
      </c>
      <c r="Q1830" s="0" t="n">
        <v>0</v>
      </c>
      <c r="R1830" s="60" t="n">
        <f aca="false">G1830+H1830+I1830</f>
        <v>0.1</v>
      </c>
      <c r="S1830" s="60" t="n">
        <f aca="false">K1830+L1830+M1830+N1830+O1830</f>
        <v>0.01</v>
      </c>
      <c r="T1830" s="60" t="n">
        <f aca="false">L1830+M1830</f>
        <v>0.01</v>
      </c>
      <c r="U1830" s="60" t="n">
        <f aca="false">S1830+J1830</f>
        <v>0.01</v>
      </c>
      <c r="V1830" s="63" t="n">
        <f aca="false">IFERROR(S1830/F1830,0)</f>
        <v>0.0909090909090909</v>
      </c>
      <c r="W1830" s="63" t="n">
        <f aca="false">IFERROR(R1830/F1830,0)</f>
        <v>0.909090909090909</v>
      </c>
      <c r="X1830" s="63" t="n">
        <f aca="false">IFERROR(T1830/F1830,0)</f>
        <v>0.0909090909090909</v>
      </c>
      <c r="Y1830" s="63" t="n">
        <f aca="false">IFERROR(G1830/F1830,0)</f>
        <v>0</v>
      </c>
      <c r="Z1830" s="59" t="n">
        <f aca="false">IF(E1830&gt;0,F1830*1000000000/E1830,"")</f>
        <v>137.497593792109</v>
      </c>
      <c r="AA1830" s="63" t="n">
        <f aca="false">IFERROR((R1830+S1830+J1830)/F1830,0)</f>
        <v>1</v>
      </c>
      <c r="AB1830" s="0" t="str">
        <f aca="false">A1830&amp;"|"&amp;D1830</f>
        <v>Solomon Islands|2023</v>
      </c>
    </row>
    <row r="1831" customFormat="false" ht="15" hidden="false" customHeight="false" outlineLevel="0" collapsed="false">
      <c r="A1831" s="0" t="s">
        <v>355</v>
      </c>
      <c r="B1831" s="0" t="s">
        <v>594</v>
      </c>
      <c r="C1831" s="0" t="s">
        <v>127</v>
      </c>
      <c r="D1831" s="0" t="n">
        <v>2024</v>
      </c>
      <c r="E1831" s="59" t="n">
        <v>819206</v>
      </c>
      <c r="F1831" s="60" t="n">
        <v>0.11</v>
      </c>
      <c r="G1831" s="61" t="n">
        <v>0</v>
      </c>
      <c r="H1831" s="61" t="n">
        <v>0</v>
      </c>
      <c r="I1831" s="61" t="n">
        <v>0.1</v>
      </c>
      <c r="J1831" s="61" t="n">
        <v>0</v>
      </c>
      <c r="K1831" s="61" t="n">
        <v>0</v>
      </c>
      <c r="L1831" s="61" t="n">
        <v>0.01</v>
      </c>
      <c r="M1831" s="61" t="n">
        <v>0</v>
      </c>
      <c r="N1831" s="61" t="n">
        <v>0</v>
      </c>
      <c r="O1831" s="61" t="n">
        <v>0</v>
      </c>
      <c r="P1831" s="62" t="n">
        <v>636.4</v>
      </c>
      <c r="Q1831" s="0" t="n">
        <v>0</v>
      </c>
      <c r="R1831" s="60" t="n">
        <f aca="false">G1831+H1831+I1831</f>
        <v>0.1</v>
      </c>
      <c r="S1831" s="60" t="n">
        <f aca="false">K1831+L1831+M1831+N1831+O1831</f>
        <v>0.01</v>
      </c>
      <c r="T1831" s="60" t="n">
        <f aca="false">L1831+M1831</f>
        <v>0.01</v>
      </c>
      <c r="U1831" s="60" t="n">
        <f aca="false">S1831+J1831</f>
        <v>0.01</v>
      </c>
      <c r="V1831" s="63" t="n">
        <f aca="false">IFERROR(S1831/F1831,0)</f>
        <v>0.0909090909090909</v>
      </c>
      <c r="W1831" s="63" t="n">
        <f aca="false">IFERROR(R1831/F1831,0)</f>
        <v>0.909090909090909</v>
      </c>
      <c r="X1831" s="63" t="n">
        <f aca="false">IFERROR(T1831/F1831,0)</f>
        <v>0.0909090909090909</v>
      </c>
      <c r="Y1831" s="63" t="n">
        <f aca="false">IFERROR(G1831/F1831,0)</f>
        <v>0</v>
      </c>
      <c r="Z1831" s="59" t="n">
        <f aca="false">IF(E1831&gt;0,F1831*1000000000/E1831,"")</f>
        <v>134.276360280564</v>
      </c>
      <c r="AA1831" s="63" t="n">
        <f aca="false">IFERROR((R1831+S1831+J1831)/F1831,0)</f>
        <v>1</v>
      </c>
      <c r="AB1831" s="0" t="str">
        <f aca="false">A1831&amp;"|"&amp;D1831</f>
        <v>Solomon Islands|2024</v>
      </c>
    </row>
    <row r="1832" customFormat="false" ht="15" hidden="false" customHeight="false" outlineLevel="0" collapsed="false">
      <c r="A1832" s="0" t="s">
        <v>356</v>
      </c>
      <c r="B1832" s="0" t="s">
        <v>595</v>
      </c>
      <c r="C1832" s="0" t="s">
        <v>127</v>
      </c>
      <c r="D1832" s="0" t="n">
        <v>2015</v>
      </c>
      <c r="E1832" s="59" t="n">
        <v>13806969</v>
      </c>
      <c r="F1832" s="60" t="n">
        <v>0.35</v>
      </c>
      <c r="G1832" s="61" t="n">
        <v>0</v>
      </c>
      <c r="H1832" s="61" t="n">
        <v>0</v>
      </c>
      <c r="I1832" s="61" t="n">
        <v>0.35</v>
      </c>
      <c r="J1832" s="61" t="n">
        <v>0</v>
      </c>
      <c r="K1832" s="61" t="n">
        <v>0</v>
      </c>
      <c r="L1832" s="61" t="n">
        <v>0</v>
      </c>
      <c r="M1832" s="61" t="n">
        <v>0</v>
      </c>
      <c r="N1832" s="61" t="n">
        <v>0</v>
      </c>
      <c r="O1832" s="61" t="n">
        <v>0</v>
      </c>
      <c r="P1832" s="62" t="n">
        <v>657.1</v>
      </c>
      <c r="Q1832" s="0" t="n">
        <v>0</v>
      </c>
      <c r="R1832" s="60" t="n">
        <f aca="false">G1832+H1832+I1832</f>
        <v>0.35</v>
      </c>
      <c r="S1832" s="60" t="n">
        <f aca="false">K1832+L1832+M1832+N1832+O1832</f>
        <v>0</v>
      </c>
      <c r="T1832" s="60" t="n">
        <f aca="false">L1832+M1832</f>
        <v>0</v>
      </c>
      <c r="U1832" s="60" t="n">
        <f aca="false">S1832+J1832</f>
        <v>0</v>
      </c>
      <c r="V1832" s="63" t="n">
        <f aca="false">IFERROR(S1832/F1832,0)</f>
        <v>0</v>
      </c>
      <c r="W1832" s="63" t="n">
        <f aca="false">IFERROR(R1832/F1832,0)</f>
        <v>1</v>
      </c>
      <c r="X1832" s="63" t="n">
        <f aca="false">IFERROR(T1832/F1832,0)</f>
        <v>0</v>
      </c>
      <c r="Y1832" s="63" t="n">
        <f aca="false">IFERROR(G1832/F1832,0)</f>
        <v>0</v>
      </c>
      <c r="Z1832" s="59" t="n">
        <f aca="false">IF(E1832&gt;0,F1832*1000000000/E1832,"")</f>
        <v>25.3495173343259</v>
      </c>
      <c r="AA1832" s="63" t="n">
        <f aca="false">IFERROR((R1832+S1832+J1832)/F1832,0)</f>
        <v>1</v>
      </c>
      <c r="AB1832" s="0" t="str">
        <f aca="false">A1832&amp;"|"&amp;D1832</f>
        <v>Somalia|2015</v>
      </c>
    </row>
    <row r="1833" customFormat="false" ht="15" hidden="false" customHeight="false" outlineLevel="0" collapsed="false">
      <c r="A1833" s="0" t="s">
        <v>356</v>
      </c>
      <c r="B1833" s="0" t="s">
        <v>595</v>
      </c>
      <c r="C1833" s="0" t="s">
        <v>127</v>
      </c>
      <c r="D1833" s="0" t="n">
        <v>2016</v>
      </c>
      <c r="E1833" s="59" t="n">
        <v>14348741</v>
      </c>
      <c r="F1833" s="60" t="n">
        <v>0.36</v>
      </c>
      <c r="G1833" s="61" t="n">
        <v>0</v>
      </c>
      <c r="H1833" s="61" t="n">
        <v>0</v>
      </c>
      <c r="I1833" s="61" t="n">
        <v>0.35</v>
      </c>
      <c r="J1833" s="61" t="n">
        <v>0</v>
      </c>
      <c r="K1833" s="61" t="n">
        <v>0</v>
      </c>
      <c r="L1833" s="61" t="n">
        <v>0.01</v>
      </c>
      <c r="M1833" s="61" t="n">
        <v>0</v>
      </c>
      <c r="N1833" s="61" t="n">
        <v>0</v>
      </c>
      <c r="O1833" s="61" t="n">
        <v>0</v>
      </c>
      <c r="P1833" s="62" t="n">
        <v>638.9</v>
      </c>
      <c r="Q1833" s="0" t="n">
        <v>0</v>
      </c>
      <c r="R1833" s="60" t="n">
        <f aca="false">G1833+H1833+I1833</f>
        <v>0.35</v>
      </c>
      <c r="S1833" s="60" t="n">
        <f aca="false">K1833+L1833+M1833+N1833+O1833</f>
        <v>0.01</v>
      </c>
      <c r="T1833" s="60" t="n">
        <f aca="false">L1833+M1833</f>
        <v>0.01</v>
      </c>
      <c r="U1833" s="60" t="n">
        <f aca="false">S1833+J1833</f>
        <v>0.01</v>
      </c>
      <c r="V1833" s="63" t="n">
        <f aca="false">IFERROR(S1833/F1833,0)</f>
        <v>0.0277777777777778</v>
      </c>
      <c r="W1833" s="63" t="n">
        <f aca="false">IFERROR(R1833/F1833,0)</f>
        <v>0.972222222222222</v>
      </c>
      <c r="X1833" s="63" t="n">
        <f aca="false">IFERROR(T1833/F1833,0)</f>
        <v>0.0277777777777778</v>
      </c>
      <c r="Y1833" s="63" t="n">
        <f aca="false">IFERROR(G1833/F1833,0)</f>
        <v>0</v>
      </c>
      <c r="Z1833" s="59" t="n">
        <f aca="false">IF(E1833&gt;0,F1833*1000000000/E1833,"")</f>
        <v>25.0893092292906</v>
      </c>
      <c r="AA1833" s="63" t="n">
        <f aca="false">IFERROR((R1833+S1833+J1833)/F1833,0)</f>
        <v>1</v>
      </c>
      <c r="AB1833" s="0" t="str">
        <f aca="false">A1833&amp;"|"&amp;D1833</f>
        <v>Somalia|2016</v>
      </c>
    </row>
    <row r="1834" customFormat="false" ht="15" hidden="false" customHeight="false" outlineLevel="0" collapsed="false">
      <c r="A1834" s="0" t="s">
        <v>356</v>
      </c>
      <c r="B1834" s="0" t="s">
        <v>595</v>
      </c>
      <c r="C1834" s="0" t="s">
        <v>127</v>
      </c>
      <c r="D1834" s="0" t="n">
        <v>2017</v>
      </c>
      <c r="E1834" s="59" t="n">
        <v>14916630</v>
      </c>
      <c r="F1834" s="60" t="n">
        <v>0.37</v>
      </c>
      <c r="G1834" s="61" t="n">
        <v>0</v>
      </c>
      <c r="H1834" s="61" t="n">
        <v>0</v>
      </c>
      <c r="I1834" s="61" t="n">
        <v>0.35</v>
      </c>
      <c r="J1834" s="61" t="n">
        <v>0</v>
      </c>
      <c r="K1834" s="61" t="n">
        <v>0</v>
      </c>
      <c r="L1834" s="61" t="n">
        <v>0.01</v>
      </c>
      <c r="M1834" s="61" t="n">
        <v>0.01</v>
      </c>
      <c r="N1834" s="61" t="n">
        <v>0</v>
      </c>
      <c r="O1834" s="61" t="n">
        <v>0</v>
      </c>
      <c r="P1834" s="62" t="n">
        <v>621.6</v>
      </c>
      <c r="Q1834" s="0" t="n">
        <v>0</v>
      </c>
      <c r="R1834" s="60" t="n">
        <f aca="false">G1834+H1834+I1834</f>
        <v>0.35</v>
      </c>
      <c r="S1834" s="60" t="n">
        <f aca="false">K1834+L1834+M1834+N1834+O1834</f>
        <v>0.02</v>
      </c>
      <c r="T1834" s="60" t="n">
        <f aca="false">L1834+M1834</f>
        <v>0.02</v>
      </c>
      <c r="U1834" s="60" t="n">
        <f aca="false">S1834+J1834</f>
        <v>0.02</v>
      </c>
      <c r="V1834" s="63" t="n">
        <f aca="false">IFERROR(S1834/F1834,0)</f>
        <v>0.0540540540540541</v>
      </c>
      <c r="W1834" s="63" t="n">
        <f aca="false">IFERROR(R1834/F1834,0)</f>
        <v>0.945945945945946</v>
      </c>
      <c r="X1834" s="63" t="n">
        <f aca="false">IFERROR(T1834/F1834,0)</f>
        <v>0.0540540540540541</v>
      </c>
      <c r="Y1834" s="63" t="n">
        <f aca="false">IFERROR(G1834/F1834,0)</f>
        <v>0</v>
      </c>
      <c r="Z1834" s="59" t="n">
        <f aca="false">IF(E1834&gt;0,F1834*1000000000/E1834,"")</f>
        <v>24.8045302457727</v>
      </c>
      <c r="AA1834" s="63" t="n">
        <f aca="false">IFERROR((R1834+S1834+J1834)/F1834,0)</f>
        <v>1</v>
      </c>
      <c r="AB1834" s="0" t="str">
        <f aca="false">A1834&amp;"|"&amp;D1834</f>
        <v>Somalia|2017</v>
      </c>
    </row>
    <row r="1835" customFormat="false" ht="15" hidden="false" customHeight="false" outlineLevel="0" collapsed="false">
      <c r="A1835" s="0" t="s">
        <v>356</v>
      </c>
      <c r="B1835" s="0" t="s">
        <v>595</v>
      </c>
      <c r="C1835" s="0" t="s">
        <v>127</v>
      </c>
      <c r="D1835" s="0" t="n">
        <v>2018</v>
      </c>
      <c r="E1835" s="59" t="n">
        <v>15452489</v>
      </c>
      <c r="F1835" s="60" t="n">
        <v>0.37</v>
      </c>
      <c r="G1835" s="61" t="n">
        <v>0</v>
      </c>
      <c r="H1835" s="61" t="n">
        <v>0</v>
      </c>
      <c r="I1835" s="61" t="n">
        <v>0.35</v>
      </c>
      <c r="J1835" s="61" t="n">
        <v>0</v>
      </c>
      <c r="K1835" s="61" t="n">
        <v>0</v>
      </c>
      <c r="L1835" s="61" t="n">
        <v>0.01</v>
      </c>
      <c r="M1835" s="61" t="n">
        <v>0.01</v>
      </c>
      <c r="N1835" s="61" t="n">
        <v>0</v>
      </c>
      <c r="O1835" s="61" t="n">
        <v>0</v>
      </c>
      <c r="P1835" s="62" t="n">
        <v>621.6</v>
      </c>
      <c r="Q1835" s="0" t="n">
        <v>0</v>
      </c>
      <c r="R1835" s="60" t="n">
        <f aca="false">G1835+H1835+I1835</f>
        <v>0.35</v>
      </c>
      <c r="S1835" s="60" t="n">
        <f aca="false">K1835+L1835+M1835+N1835+O1835</f>
        <v>0.02</v>
      </c>
      <c r="T1835" s="60" t="n">
        <f aca="false">L1835+M1835</f>
        <v>0.02</v>
      </c>
      <c r="U1835" s="60" t="n">
        <f aca="false">S1835+J1835</f>
        <v>0.02</v>
      </c>
      <c r="V1835" s="63" t="n">
        <f aca="false">IFERROR(S1835/F1835,0)</f>
        <v>0.0540540540540541</v>
      </c>
      <c r="W1835" s="63" t="n">
        <f aca="false">IFERROR(R1835/F1835,0)</f>
        <v>0.945945945945946</v>
      </c>
      <c r="X1835" s="63" t="n">
        <f aca="false">IFERROR(T1835/F1835,0)</f>
        <v>0.0540540540540541</v>
      </c>
      <c r="Y1835" s="63" t="n">
        <f aca="false">IFERROR(G1835/F1835,0)</f>
        <v>0</v>
      </c>
      <c r="Z1835" s="59" t="n">
        <f aca="false">IF(E1835&gt;0,F1835*1000000000/E1835,"")</f>
        <v>23.9443626201578</v>
      </c>
      <c r="AA1835" s="63" t="n">
        <f aca="false">IFERROR((R1835+S1835+J1835)/F1835,0)</f>
        <v>1</v>
      </c>
      <c r="AB1835" s="0" t="str">
        <f aca="false">A1835&amp;"|"&amp;D1835</f>
        <v>Somalia|2018</v>
      </c>
    </row>
    <row r="1836" customFormat="false" ht="15" hidden="false" customHeight="false" outlineLevel="0" collapsed="false">
      <c r="A1836" s="0" t="s">
        <v>356</v>
      </c>
      <c r="B1836" s="0" t="s">
        <v>595</v>
      </c>
      <c r="C1836" s="0" t="s">
        <v>127</v>
      </c>
      <c r="D1836" s="0" t="n">
        <v>2019</v>
      </c>
      <c r="E1836" s="59" t="n">
        <v>16030969</v>
      </c>
      <c r="F1836" s="60" t="n">
        <v>0.37</v>
      </c>
      <c r="G1836" s="61" t="n">
        <v>0</v>
      </c>
      <c r="H1836" s="61" t="n">
        <v>0</v>
      </c>
      <c r="I1836" s="61" t="n">
        <v>0.35</v>
      </c>
      <c r="J1836" s="61" t="n">
        <v>0</v>
      </c>
      <c r="K1836" s="61" t="n">
        <v>0</v>
      </c>
      <c r="L1836" s="61" t="n">
        <v>0.01</v>
      </c>
      <c r="M1836" s="61" t="n">
        <v>0.01</v>
      </c>
      <c r="N1836" s="61" t="n">
        <v>0</v>
      </c>
      <c r="O1836" s="61" t="n">
        <v>0</v>
      </c>
      <c r="P1836" s="62" t="n">
        <v>621.6</v>
      </c>
      <c r="Q1836" s="0" t="n">
        <v>0</v>
      </c>
      <c r="R1836" s="60" t="n">
        <f aca="false">G1836+H1836+I1836</f>
        <v>0.35</v>
      </c>
      <c r="S1836" s="60" t="n">
        <f aca="false">K1836+L1836+M1836+N1836+O1836</f>
        <v>0.02</v>
      </c>
      <c r="T1836" s="60" t="n">
        <f aca="false">L1836+M1836</f>
        <v>0.02</v>
      </c>
      <c r="U1836" s="60" t="n">
        <f aca="false">S1836+J1836</f>
        <v>0.02</v>
      </c>
      <c r="V1836" s="63" t="n">
        <f aca="false">IFERROR(S1836/F1836,0)</f>
        <v>0.0540540540540541</v>
      </c>
      <c r="W1836" s="63" t="n">
        <f aca="false">IFERROR(R1836/F1836,0)</f>
        <v>0.945945945945946</v>
      </c>
      <c r="X1836" s="63" t="n">
        <f aca="false">IFERROR(T1836/F1836,0)</f>
        <v>0.0540540540540541</v>
      </c>
      <c r="Y1836" s="63" t="n">
        <f aca="false">IFERROR(G1836/F1836,0)</f>
        <v>0</v>
      </c>
      <c r="Z1836" s="59" t="n">
        <f aca="false">IF(E1836&gt;0,F1836*1000000000/E1836,"")</f>
        <v>23.0803265853736</v>
      </c>
      <c r="AA1836" s="63" t="n">
        <f aca="false">IFERROR((R1836+S1836+J1836)/F1836,0)</f>
        <v>1</v>
      </c>
      <c r="AB1836" s="0" t="str">
        <f aca="false">A1836&amp;"|"&amp;D1836</f>
        <v>Somalia|2019</v>
      </c>
    </row>
    <row r="1837" customFormat="false" ht="15" hidden="false" customHeight="false" outlineLevel="0" collapsed="false">
      <c r="A1837" s="0" t="s">
        <v>356</v>
      </c>
      <c r="B1837" s="0" t="s">
        <v>595</v>
      </c>
      <c r="C1837" s="0" t="s">
        <v>127</v>
      </c>
      <c r="D1837" s="0" t="n">
        <v>2020</v>
      </c>
      <c r="E1837" s="59" t="n">
        <v>16651200</v>
      </c>
      <c r="F1837" s="60" t="n">
        <v>0.37</v>
      </c>
      <c r="G1837" s="61" t="n">
        <v>0</v>
      </c>
      <c r="H1837" s="61" t="n">
        <v>0</v>
      </c>
      <c r="I1837" s="61" t="n">
        <v>0.34</v>
      </c>
      <c r="J1837" s="61" t="n">
        <v>0</v>
      </c>
      <c r="K1837" s="61" t="n">
        <v>0</v>
      </c>
      <c r="L1837" s="61" t="n">
        <v>0.02</v>
      </c>
      <c r="M1837" s="61" t="n">
        <v>0.01</v>
      </c>
      <c r="N1837" s="61" t="n">
        <v>0</v>
      </c>
      <c r="O1837" s="61" t="n">
        <v>0</v>
      </c>
      <c r="P1837" s="62" t="n">
        <v>594.6</v>
      </c>
      <c r="Q1837" s="0" t="n">
        <v>0</v>
      </c>
      <c r="R1837" s="60" t="n">
        <f aca="false">G1837+H1837+I1837</f>
        <v>0.34</v>
      </c>
      <c r="S1837" s="60" t="n">
        <f aca="false">K1837+L1837+M1837+N1837+O1837</f>
        <v>0.03</v>
      </c>
      <c r="T1837" s="60" t="n">
        <f aca="false">L1837+M1837</f>
        <v>0.03</v>
      </c>
      <c r="U1837" s="60" t="n">
        <f aca="false">S1837+J1837</f>
        <v>0.03</v>
      </c>
      <c r="V1837" s="63" t="n">
        <f aca="false">IFERROR(S1837/F1837,0)</f>
        <v>0.0810810810810811</v>
      </c>
      <c r="W1837" s="63" t="n">
        <f aca="false">IFERROR(R1837/F1837,0)</f>
        <v>0.918918918918919</v>
      </c>
      <c r="X1837" s="63" t="n">
        <f aca="false">IFERROR(T1837/F1837,0)</f>
        <v>0.0810810810810811</v>
      </c>
      <c r="Y1837" s="63" t="n">
        <f aca="false">IFERROR(G1837/F1837,0)</f>
        <v>0</v>
      </c>
      <c r="Z1837" s="59" t="n">
        <f aca="false">IF(E1837&gt;0,F1837*1000000000/E1837,"")</f>
        <v>22.2206207360431</v>
      </c>
      <c r="AA1837" s="63" t="n">
        <f aca="false">IFERROR((R1837+S1837+J1837)/F1837,0)</f>
        <v>1</v>
      </c>
      <c r="AB1837" s="0" t="str">
        <f aca="false">A1837&amp;"|"&amp;D1837</f>
        <v>Somalia|2020</v>
      </c>
    </row>
    <row r="1838" customFormat="false" ht="15" hidden="false" customHeight="false" outlineLevel="0" collapsed="false">
      <c r="A1838" s="0" t="s">
        <v>356</v>
      </c>
      <c r="B1838" s="0" t="s">
        <v>595</v>
      </c>
      <c r="C1838" s="0" t="s">
        <v>127</v>
      </c>
      <c r="D1838" s="0" t="n">
        <v>2021</v>
      </c>
      <c r="E1838" s="59" t="n">
        <v>17271435</v>
      </c>
      <c r="F1838" s="60" t="n">
        <v>0.38</v>
      </c>
      <c r="G1838" s="61" t="n">
        <v>0</v>
      </c>
      <c r="H1838" s="61" t="n">
        <v>0</v>
      </c>
      <c r="I1838" s="61" t="n">
        <v>0.34</v>
      </c>
      <c r="J1838" s="61" t="n">
        <v>0</v>
      </c>
      <c r="K1838" s="61" t="n">
        <v>0</v>
      </c>
      <c r="L1838" s="61" t="n">
        <v>0.03</v>
      </c>
      <c r="M1838" s="61" t="n">
        <v>0.01</v>
      </c>
      <c r="N1838" s="61" t="n">
        <v>0</v>
      </c>
      <c r="O1838" s="61" t="n">
        <v>0</v>
      </c>
      <c r="P1838" s="62" t="n">
        <v>579</v>
      </c>
      <c r="Q1838" s="0" t="n">
        <v>0</v>
      </c>
      <c r="R1838" s="60" t="n">
        <f aca="false">G1838+H1838+I1838</f>
        <v>0.34</v>
      </c>
      <c r="S1838" s="60" t="n">
        <f aca="false">K1838+L1838+M1838+N1838+O1838</f>
        <v>0.04</v>
      </c>
      <c r="T1838" s="60" t="n">
        <f aca="false">L1838+M1838</f>
        <v>0.04</v>
      </c>
      <c r="U1838" s="60" t="n">
        <f aca="false">S1838+J1838</f>
        <v>0.04</v>
      </c>
      <c r="V1838" s="63" t="n">
        <f aca="false">IFERROR(S1838/F1838,0)</f>
        <v>0.105263157894737</v>
      </c>
      <c r="W1838" s="63" t="n">
        <f aca="false">IFERROR(R1838/F1838,0)</f>
        <v>0.894736842105263</v>
      </c>
      <c r="X1838" s="63" t="n">
        <f aca="false">IFERROR(T1838/F1838,0)</f>
        <v>0.105263157894737</v>
      </c>
      <c r="Y1838" s="63" t="n">
        <f aca="false">IFERROR(G1838/F1838,0)</f>
        <v>0</v>
      </c>
      <c r="Z1838" s="59" t="n">
        <f aca="false">IF(E1838&gt;0,F1838*1000000000/E1838,"")</f>
        <v>22.0016460705205</v>
      </c>
      <c r="AA1838" s="63" t="n">
        <f aca="false">IFERROR((R1838+S1838+J1838)/F1838,0)</f>
        <v>1</v>
      </c>
      <c r="AB1838" s="0" t="str">
        <f aca="false">A1838&amp;"|"&amp;D1838</f>
        <v>Somalia|2021</v>
      </c>
    </row>
    <row r="1839" customFormat="false" ht="15" hidden="false" customHeight="false" outlineLevel="0" collapsed="false">
      <c r="A1839" s="0" t="s">
        <v>356</v>
      </c>
      <c r="B1839" s="0" t="s">
        <v>595</v>
      </c>
      <c r="C1839" s="0" t="s">
        <v>127</v>
      </c>
      <c r="D1839" s="0" t="n">
        <v>2022</v>
      </c>
      <c r="E1839" s="59" t="n">
        <v>17801895</v>
      </c>
      <c r="F1839" s="60" t="n">
        <v>0.42</v>
      </c>
      <c r="G1839" s="61" t="n">
        <v>0</v>
      </c>
      <c r="H1839" s="61" t="n">
        <v>0</v>
      </c>
      <c r="I1839" s="61" t="n">
        <v>0.34</v>
      </c>
      <c r="J1839" s="61" t="n">
        <v>0</v>
      </c>
      <c r="K1839" s="61" t="n">
        <v>0</v>
      </c>
      <c r="L1839" s="61" t="n">
        <v>0.07</v>
      </c>
      <c r="M1839" s="61" t="n">
        <v>0.01</v>
      </c>
      <c r="N1839" s="61" t="n">
        <v>0</v>
      </c>
      <c r="O1839" s="61" t="n">
        <v>0</v>
      </c>
      <c r="P1839" s="62" t="n">
        <v>523.8</v>
      </c>
      <c r="Q1839" s="0" t="n">
        <v>0</v>
      </c>
      <c r="R1839" s="60" t="n">
        <f aca="false">G1839+H1839+I1839</f>
        <v>0.34</v>
      </c>
      <c r="S1839" s="60" t="n">
        <f aca="false">K1839+L1839+M1839+N1839+O1839</f>
        <v>0.08</v>
      </c>
      <c r="T1839" s="60" t="n">
        <f aca="false">L1839+M1839</f>
        <v>0.08</v>
      </c>
      <c r="U1839" s="60" t="n">
        <f aca="false">S1839+J1839</f>
        <v>0.08</v>
      </c>
      <c r="V1839" s="63" t="n">
        <f aca="false">IFERROR(S1839/F1839,0)</f>
        <v>0.190476190476191</v>
      </c>
      <c r="W1839" s="63" t="n">
        <f aca="false">IFERROR(R1839/F1839,0)</f>
        <v>0.80952380952381</v>
      </c>
      <c r="X1839" s="63" t="n">
        <f aca="false">IFERROR(T1839/F1839,0)</f>
        <v>0.190476190476191</v>
      </c>
      <c r="Y1839" s="63" t="n">
        <f aca="false">IFERROR(G1839/F1839,0)</f>
        <v>0</v>
      </c>
      <c r="Z1839" s="59" t="n">
        <f aca="false">IF(E1839&gt;0,F1839*1000000000/E1839,"")</f>
        <v>23.5929938919424</v>
      </c>
      <c r="AA1839" s="63" t="n">
        <f aca="false">IFERROR((R1839+S1839+J1839)/F1839,0)</f>
        <v>1</v>
      </c>
      <c r="AB1839" s="0" t="str">
        <f aca="false">A1839&amp;"|"&amp;D1839</f>
        <v>Somalia|2022</v>
      </c>
    </row>
    <row r="1840" customFormat="false" ht="15" hidden="false" customHeight="false" outlineLevel="0" collapsed="false">
      <c r="A1840" s="0" t="s">
        <v>356</v>
      </c>
      <c r="B1840" s="0" t="s">
        <v>595</v>
      </c>
      <c r="C1840" s="0" t="s">
        <v>127</v>
      </c>
      <c r="D1840" s="0" t="n">
        <v>2023</v>
      </c>
      <c r="E1840" s="59" t="n">
        <v>18358622</v>
      </c>
      <c r="F1840" s="60" t="n">
        <v>0.42</v>
      </c>
      <c r="G1840" s="61" t="n">
        <v>0</v>
      </c>
      <c r="H1840" s="61" t="n">
        <v>0</v>
      </c>
      <c r="I1840" s="61" t="n">
        <v>0.34</v>
      </c>
      <c r="J1840" s="61" t="n">
        <v>0</v>
      </c>
      <c r="K1840" s="61" t="n">
        <v>0</v>
      </c>
      <c r="L1840" s="61" t="n">
        <v>0.07</v>
      </c>
      <c r="M1840" s="61" t="n">
        <v>0.01</v>
      </c>
      <c r="N1840" s="61" t="n">
        <v>0</v>
      </c>
      <c r="O1840" s="61" t="n">
        <v>0</v>
      </c>
      <c r="P1840" s="62" t="n">
        <v>523.8</v>
      </c>
      <c r="Q1840" s="0" t="n">
        <v>0</v>
      </c>
      <c r="R1840" s="60" t="n">
        <f aca="false">G1840+H1840+I1840</f>
        <v>0.34</v>
      </c>
      <c r="S1840" s="60" t="n">
        <f aca="false">K1840+L1840+M1840+N1840+O1840</f>
        <v>0.08</v>
      </c>
      <c r="T1840" s="60" t="n">
        <f aca="false">L1840+M1840</f>
        <v>0.08</v>
      </c>
      <c r="U1840" s="60" t="n">
        <f aca="false">S1840+J1840</f>
        <v>0.08</v>
      </c>
      <c r="V1840" s="63" t="n">
        <f aca="false">IFERROR(S1840/F1840,0)</f>
        <v>0.190476190476191</v>
      </c>
      <c r="W1840" s="63" t="n">
        <f aca="false">IFERROR(R1840/F1840,0)</f>
        <v>0.80952380952381</v>
      </c>
      <c r="X1840" s="63" t="n">
        <f aca="false">IFERROR(T1840/F1840,0)</f>
        <v>0.190476190476191</v>
      </c>
      <c r="Y1840" s="63" t="n">
        <f aca="false">IFERROR(G1840/F1840,0)</f>
        <v>0</v>
      </c>
      <c r="Z1840" s="59" t="n">
        <f aca="false">IF(E1840&gt;0,F1840*1000000000/E1840,"")</f>
        <v>22.8775340545712</v>
      </c>
      <c r="AA1840" s="63" t="n">
        <f aca="false">IFERROR((R1840+S1840+J1840)/F1840,0)</f>
        <v>1</v>
      </c>
      <c r="AB1840" s="0" t="str">
        <f aca="false">A1840&amp;"|"&amp;D1840</f>
        <v>Somalia|2023</v>
      </c>
    </row>
    <row r="1841" customFormat="false" ht="15" hidden="false" customHeight="false" outlineLevel="0" collapsed="false">
      <c r="A1841" s="0" t="s">
        <v>356</v>
      </c>
      <c r="B1841" s="0" t="s">
        <v>595</v>
      </c>
      <c r="C1841" s="0" t="s">
        <v>127</v>
      </c>
      <c r="D1841" s="0" t="n">
        <v>2024</v>
      </c>
      <c r="E1841" s="59" t="n">
        <v>19009155</v>
      </c>
      <c r="F1841" s="60" t="n">
        <v>0.43</v>
      </c>
      <c r="G1841" s="61" t="n">
        <v>0</v>
      </c>
      <c r="H1841" s="61" t="n">
        <v>0</v>
      </c>
      <c r="I1841" s="61" t="n">
        <v>0.34</v>
      </c>
      <c r="J1841" s="61" t="n">
        <v>0</v>
      </c>
      <c r="K1841" s="61" t="n">
        <v>0</v>
      </c>
      <c r="L1841" s="61" t="n">
        <v>0.08</v>
      </c>
      <c r="M1841" s="61" t="n">
        <v>0.01</v>
      </c>
      <c r="N1841" s="61" t="n">
        <v>0</v>
      </c>
      <c r="O1841" s="61" t="n">
        <v>0</v>
      </c>
      <c r="P1841" s="62" t="n">
        <v>511.6</v>
      </c>
      <c r="Q1841" s="0" t="n">
        <v>0</v>
      </c>
      <c r="R1841" s="60" t="n">
        <f aca="false">G1841+H1841+I1841</f>
        <v>0.34</v>
      </c>
      <c r="S1841" s="60" t="n">
        <f aca="false">K1841+L1841+M1841+N1841+O1841</f>
        <v>0.09</v>
      </c>
      <c r="T1841" s="60" t="n">
        <f aca="false">L1841+M1841</f>
        <v>0.09</v>
      </c>
      <c r="U1841" s="60" t="n">
        <f aca="false">S1841+J1841</f>
        <v>0.09</v>
      </c>
      <c r="V1841" s="63" t="n">
        <f aca="false">IFERROR(S1841/F1841,0)</f>
        <v>0.209302325581395</v>
      </c>
      <c r="W1841" s="63" t="n">
        <f aca="false">IFERROR(R1841/F1841,0)</f>
        <v>0.790697674418605</v>
      </c>
      <c r="X1841" s="63" t="n">
        <f aca="false">IFERROR(T1841/F1841,0)</f>
        <v>0.209302325581395</v>
      </c>
      <c r="Y1841" s="63" t="n">
        <f aca="false">IFERROR(G1841/F1841,0)</f>
        <v>0</v>
      </c>
      <c r="Z1841" s="59" t="n">
        <f aca="false">IF(E1841&gt;0,F1841*1000000000/E1841,"")</f>
        <v>22.6206793516072</v>
      </c>
      <c r="AA1841" s="63" t="n">
        <f aca="false">IFERROR((R1841+S1841+J1841)/F1841,0)</f>
        <v>1</v>
      </c>
      <c r="AB1841" s="0" t="str">
        <f aca="false">A1841&amp;"|"&amp;D1841</f>
        <v>Somalia|2024</v>
      </c>
    </row>
    <row r="1842" customFormat="false" ht="15" hidden="false" customHeight="false" outlineLevel="0" collapsed="false">
      <c r="A1842" s="0" t="s">
        <v>357</v>
      </c>
      <c r="B1842" s="0" t="s">
        <v>596</v>
      </c>
      <c r="C1842" s="0" t="s">
        <v>127</v>
      </c>
      <c r="D1842" s="0" t="n">
        <v>2015</v>
      </c>
      <c r="E1842" s="59" t="n">
        <v>56723536</v>
      </c>
      <c r="F1842" s="60" t="n">
        <v>250.05</v>
      </c>
      <c r="G1842" s="61" t="n">
        <v>227.3</v>
      </c>
      <c r="H1842" s="61" t="n">
        <v>0</v>
      </c>
      <c r="I1842" s="61" t="n">
        <v>3.99</v>
      </c>
      <c r="J1842" s="61" t="n">
        <v>12.24</v>
      </c>
      <c r="K1842" s="61" t="n">
        <v>0.73</v>
      </c>
      <c r="L1842" s="61" t="n">
        <v>2.4</v>
      </c>
      <c r="M1842" s="61" t="n">
        <v>3.07</v>
      </c>
      <c r="N1842" s="61" t="n">
        <v>0.32</v>
      </c>
      <c r="O1842" s="61" t="n">
        <v>0</v>
      </c>
      <c r="P1842" s="62" t="n">
        <v>791</v>
      </c>
      <c r="Q1842" s="0" t="n">
        <v>1</v>
      </c>
      <c r="R1842" s="60" t="n">
        <f aca="false">G1842+H1842+I1842</f>
        <v>231.29</v>
      </c>
      <c r="S1842" s="60" t="n">
        <f aca="false">K1842+L1842+M1842+N1842+O1842</f>
        <v>6.52</v>
      </c>
      <c r="T1842" s="60" t="n">
        <f aca="false">L1842+M1842</f>
        <v>5.47</v>
      </c>
      <c r="U1842" s="60" t="n">
        <f aca="false">S1842+J1842</f>
        <v>18.76</v>
      </c>
      <c r="V1842" s="63" t="n">
        <f aca="false">IFERROR(S1842/F1842,0)</f>
        <v>0.0260747850429914</v>
      </c>
      <c r="W1842" s="63" t="n">
        <f aca="false">IFERROR(R1842/F1842,0)</f>
        <v>0.924975004999</v>
      </c>
      <c r="X1842" s="63" t="n">
        <f aca="false">IFERROR(T1842/F1842,0)</f>
        <v>0.021875624875025</v>
      </c>
      <c r="Y1842" s="63" t="n">
        <f aca="false">IFERROR(G1842/F1842,0)</f>
        <v>0.909018196360728</v>
      </c>
      <c r="Z1842" s="59" t="n">
        <f aca="false">IF(E1842&gt;0,F1842*1000000000/E1842,"")</f>
        <v>4408.2230698735</v>
      </c>
      <c r="AA1842" s="63" t="n">
        <f aca="false">IFERROR((R1842+S1842+J1842)/F1842,0)</f>
        <v>1</v>
      </c>
      <c r="AB1842" s="0" t="str">
        <f aca="false">A1842&amp;"|"&amp;D1842</f>
        <v>South Africa|2015</v>
      </c>
    </row>
    <row r="1843" customFormat="false" ht="15" hidden="false" customHeight="false" outlineLevel="0" collapsed="false">
      <c r="A1843" s="0" t="s">
        <v>357</v>
      </c>
      <c r="B1843" s="0" t="s">
        <v>596</v>
      </c>
      <c r="C1843" s="0" t="s">
        <v>127</v>
      </c>
      <c r="D1843" s="0" t="n">
        <v>2016</v>
      </c>
      <c r="E1843" s="59" t="n">
        <v>57259550</v>
      </c>
      <c r="F1843" s="60" t="n">
        <v>252.81</v>
      </c>
      <c r="G1843" s="61" t="n">
        <v>229.58</v>
      </c>
      <c r="H1843" s="61" t="n">
        <v>0</v>
      </c>
      <c r="I1843" s="61" t="n">
        <v>0.03</v>
      </c>
      <c r="J1843" s="61" t="n">
        <v>15.03</v>
      </c>
      <c r="K1843" s="61" t="n">
        <v>0.62</v>
      </c>
      <c r="L1843" s="61" t="n">
        <v>3.01</v>
      </c>
      <c r="M1843" s="61" t="n">
        <v>4.21</v>
      </c>
      <c r="N1843" s="61" t="n">
        <v>0.33</v>
      </c>
      <c r="O1843" s="61" t="n">
        <v>0</v>
      </c>
      <c r="P1843" s="62" t="n">
        <v>779.4</v>
      </c>
      <c r="Q1843" s="0" t="n">
        <v>1</v>
      </c>
      <c r="R1843" s="60" t="n">
        <f aca="false">G1843+H1843+I1843</f>
        <v>229.61</v>
      </c>
      <c r="S1843" s="60" t="n">
        <f aca="false">K1843+L1843+M1843+N1843+O1843</f>
        <v>8.17</v>
      </c>
      <c r="T1843" s="60" t="n">
        <f aca="false">L1843+M1843</f>
        <v>7.22</v>
      </c>
      <c r="U1843" s="60" t="n">
        <f aca="false">S1843+J1843</f>
        <v>23.2</v>
      </c>
      <c r="V1843" s="63" t="n">
        <f aca="false">IFERROR(S1843/F1843,0)</f>
        <v>0.0323167596218504</v>
      </c>
      <c r="W1843" s="63" t="n">
        <f aca="false">IFERROR(R1843/F1843,0)</f>
        <v>0.908231478185198</v>
      </c>
      <c r="X1843" s="63" t="n">
        <f aca="false">IFERROR(T1843/F1843,0)</f>
        <v>0.0285589968751236</v>
      </c>
      <c r="Y1843" s="63" t="n">
        <f aca="false">IFERROR(G1843/F1843,0)</f>
        <v>0.908112811993197</v>
      </c>
      <c r="Z1843" s="59" t="n">
        <f aca="false">IF(E1843&gt;0,F1843*1000000000/E1843,"")</f>
        <v>4415.15869405191</v>
      </c>
      <c r="AA1843" s="63" t="n">
        <f aca="false">IFERROR((R1843+S1843+J1843)/F1843,0)</f>
        <v>1</v>
      </c>
      <c r="AB1843" s="0" t="str">
        <f aca="false">A1843&amp;"|"&amp;D1843</f>
        <v>South Africa|2016</v>
      </c>
    </row>
    <row r="1844" customFormat="false" ht="15" hidden="false" customHeight="false" outlineLevel="0" collapsed="false">
      <c r="A1844" s="0" t="s">
        <v>357</v>
      </c>
      <c r="B1844" s="0" t="s">
        <v>596</v>
      </c>
      <c r="C1844" s="0" t="s">
        <v>127</v>
      </c>
      <c r="D1844" s="0" t="n">
        <v>2017</v>
      </c>
      <c r="E1844" s="59" t="n">
        <v>57635158</v>
      </c>
      <c r="F1844" s="60" t="n">
        <v>255.14</v>
      </c>
      <c r="G1844" s="61" t="n">
        <v>228.7</v>
      </c>
      <c r="H1844" s="61" t="n">
        <v>0</v>
      </c>
      <c r="I1844" s="61" t="n">
        <v>0.12</v>
      </c>
      <c r="J1844" s="61" t="n">
        <v>14.19</v>
      </c>
      <c r="K1844" s="61" t="n">
        <v>0.78</v>
      </c>
      <c r="L1844" s="61" t="n">
        <v>3.94</v>
      </c>
      <c r="M1844" s="61" t="n">
        <v>7.02</v>
      </c>
      <c r="N1844" s="61" t="n">
        <v>0.39</v>
      </c>
      <c r="O1844" s="61" t="n">
        <v>0</v>
      </c>
      <c r="P1844" s="62" t="n">
        <v>768.9</v>
      </c>
      <c r="Q1844" s="0" t="n">
        <v>1</v>
      </c>
      <c r="R1844" s="60" t="n">
        <f aca="false">G1844+H1844+I1844</f>
        <v>228.82</v>
      </c>
      <c r="S1844" s="60" t="n">
        <f aca="false">K1844+L1844+M1844+N1844+O1844</f>
        <v>12.13</v>
      </c>
      <c r="T1844" s="60" t="n">
        <f aca="false">L1844+M1844</f>
        <v>10.96</v>
      </c>
      <c r="U1844" s="60" t="n">
        <f aca="false">S1844+J1844</f>
        <v>26.32</v>
      </c>
      <c r="V1844" s="63" t="n">
        <f aca="false">IFERROR(S1844/F1844,0)</f>
        <v>0.04754252567218</v>
      </c>
      <c r="W1844" s="63" t="n">
        <f aca="false">IFERROR(R1844/F1844,0)</f>
        <v>0.89684095006663</v>
      </c>
      <c r="X1844" s="63" t="n">
        <f aca="false">IFERROR(T1844/F1844,0)</f>
        <v>0.0429568080269656</v>
      </c>
      <c r="Y1844" s="63" t="n">
        <f aca="false">IFERROR(G1844/F1844,0)</f>
        <v>0.896370620051736</v>
      </c>
      <c r="Z1844" s="59" t="n">
        <f aca="false">IF(E1844&gt;0,F1844*1000000000/E1844,"")</f>
        <v>4426.81184286855</v>
      </c>
      <c r="AA1844" s="63" t="n">
        <f aca="false">IFERROR((R1844+S1844+J1844)/F1844,0)</f>
        <v>1</v>
      </c>
      <c r="AB1844" s="0" t="str">
        <f aca="false">A1844&amp;"|"&amp;D1844</f>
        <v>South Africa|2017</v>
      </c>
    </row>
    <row r="1845" customFormat="false" ht="15" hidden="false" customHeight="false" outlineLevel="0" collapsed="false">
      <c r="A1845" s="0" t="s">
        <v>357</v>
      </c>
      <c r="B1845" s="0" t="s">
        <v>596</v>
      </c>
      <c r="C1845" s="0" t="s">
        <v>127</v>
      </c>
      <c r="D1845" s="0" t="n">
        <v>2018</v>
      </c>
      <c r="E1845" s="59" t="n">
        <v>58613001</v>
      </c>
      <c r="F1845" s="60" t="n">
        <v>256.3</v>
      </c>
      <c r="G1845" s="61" t="n">
        <v>231.01</v>
      </c>
      <c r="H1845" s="61" t="n">
        <v>0</v>
      </c>
      <c r="I1845" s="61" t="n">
        <v>1.23</v>
      </c>
      <c r="J1845" s="61" t="n">
        <v>11.58</v>
      </c>
      <c r="K1845" s="61" t="n">
        <v>1.1</v>
      </c>
      <c r="L1845" s="61" t="n">
        <v>4.54</v>
      </c>
      <c r="M1845" s="61" t="n">
        <v>6.41</v>
      </c>
      <c r="N1845" s="61" t="n">
        <v>0.43</v>
      </c>
      <c r="O1845" s="61" t="n">
        <v>0</v>
      </c>
      <c r="P1845" s="62" t="n">
        <v>774.7</v>
      </c>
      <c r="Q1845" s="0" t="n">
        <v>1</v>
      </c>
      <c r="R1845" s="60" t="n">
        <f aca="false">G1845+H1845+I1845</f>
        <v>232.24</v>
      </c>
      <c r="S1845" s="60" t="n">
        <f aca="false">K1845+L1845+M1845+N1845+O1845</f>
        <v>12.48</v>
      </c>
      <c r="T1845" s="60" t="n">
        <f aca="false">L1845+M1845</f>
        <v>10.95</v>
      </c>
      <c r="U1845" s="60" t="n">
        <f aca="false">S1845+J1845</f>
        <v>24.06</v>
      </c>
      <c r="V1845" s="63" t="n">
        <f aca="false">IFERROR(S1845/F1845,0)</f>
        <v>0.0486929379633242</v>
      </c>
      <c r="W1845" s="63" t="n">
        <f aca="false">IFERROR(R1845/F1845,0)</f>
        <v>0.90612563402263</v>
      </c>
      <c r="X1845" s="63" t="n">
        <f aca="false">IFERROR(T1845/F1845,0)</f>
        <v>0.0427233710495513</v>
      </c>
      <c r="Y1845" s="63" t="n">
        <f aca="false">IFERROR(G1845/F1845,0)</f>
        <v>0.901326570425283</v>
      </c>
      <c r="Z1845" s="59" t="n">
        <f aca="false">IF(E1845&gt;0,F1845*1000000000/E1845,"")</f>
        <v>4372.74999790576</v>
      </c>
      <c r="AA1845" s="63" t="n">
        <f aca="false">IFERROR((R1845+S1845+J1845)/F1845,0)</f>
        <v>1</v>
      </c>
      <c r="AB1845" s="0" t="str">
        <f aca="false">A1845&amp;"|"&amp;D1845</f>
        <v>South Africa|2018</v>
      </c>
    </row>
    <row r="1846" customFormat="false" ht="15" hidden="false" customHeight="false" outlineLevel="0" collapsed="false">
      <c r="A1846" s="0" t="s">
        <v>357</v>
      </c>
      <c r="B1846" s="0" t="s">
        <v>596</v>
      </c>
      <c r="C1846" s="0" t="s">
        <v>127</v>
      </c>
      <c r="D1846" s="0" t="n">
        <v>2019</v>
      </c>
      <c r="E1846" s="59" t="n">
        <v>59587880</v>
      </c>
      <c r="F1846" s="60" t="n">
        <v>253.07</v>
      </c>
      <c r="G1846" s="61" t="n">
        <v>225.26</v>
      </c>
      <c r="H1846" s="61" t="n">
        <v>0</v>
      </c>
      <c r="I1846" s="61" t="n">
        <v>1.36</v>
      </c>
      <c r="J1846" s="61" t="n">
        <v>13.25</v>
      </c>
      <c r="K1846" s="61" t="n">
        <v>0.74</v>
      </c>
      <c r="L1846" s="61" t="n">
        <v>5.4</v>
      </c>
      <c r="M1846" s="61" t="n">
        <v>6.63</v>
      </c>
      <c r="N1846" s="61" t="n">
        <v>0.43</v>
      </c>
      <c r="O1846" s="61" t="n">
        <v>0</v>
      </c>
      <c r="P1846" s="62" t="n">
        <v>764.3</v>
      </c>
      <c r="Q1846" s="0" t="n">
        <v>1</v>
      </c>
      <c r="R1846" s="60" t="n">
        <f aca="false">G1846+H1846+I1846</f>
        <v>226.62</v>
      </c>
      <c r="S1846" s="60" t="n">
        <f aca="false">K1846+L1846+M1846+N1846+O1846</f>
        <v>13.2</v>
      </c>
      <c r="T1846" s="60" t="n">
        <f aca="false">L1846+M1846</f>
        <v>12.03</v>
      </c>
      <c r="U1846" s="60" t="n">
        <f aca="false">S1846+J1846</f>
        <v>26.45</v>
      </c>
      <c r="V1846" s="63" t="n">
        <f aca="false">IFERROR(S1846/F1846,0)</f>
        <v>0.052159481566365</v>
      </c>
      <c r="W1846" s="63" t="n">
        <f aca="false">IFERROR(R1846/F1846,0)</f>
        <v>0.895483463073458</v>
      </c>
      <c r="X1846" s="63" t="n">
        <f aca="false">IFERROR(T1846/F1846,0)</f>
        <v>0.0475362547911645</v>
      </c>
      <c r="Y1846" s="63" t="n">
        <f aca="false">IFERROR(G1846/F1846,0)</f>
        <v>0.890109455881772</v>
      </c>
      <c r="Z1846" s="59" t="n">
        <f aca="false">IF(E1846&gt;0,F1846*1000000000/E1846,"")</f>
        <v>4247.00459220902</v>
      </c>
      <c r="AA1846" s="63" t="n">
        <f aca="false">IFERROR((R1846+S1846+J1846)/F1846,0)</f>
        <v>1</v>
      </c>
      <c r="AB1846" s="0" t="str">
        <f aca="false">A1846&amp;"|"&amp;D1846</f>
        <v>South Africa|2019</v>
      </c>
    </row>
    <row r="1847" customFormat="false" ht="15" hidden="false" customHeight="false" outlineLevel="0" collapsed="false">
      <c r="A1847" s="0" t="s">
        <v>357</v>
      </c>
      <c r="B1847" s="0" t="s">
        <v>596</v>
      </c>
      <c r="C1847" s="0" t="s">
        <v>127</v>
      </c>
      <c r="D1847" s="0" t="n">
        <v>2020</v>
      </c>
      <c r="E1847" s="59" t="n">
        <v>60562374</v>
      </c>
      <c r="F1847" s="60" t="n">
        <v>240.74</v>
      </c>
      <c r="G1847" s="61" t="n">
        <v>214.08</v>
      </c>
      <c r="H1847" s="61" t="n">
        <v>0</v>
      </c>
      <c r="I1847" s="61" t="n">
        <v>1.49</v>
      </c>
      <c r="J1847" s="61" t="n">
        <v>9.9</v>
      </c>
      <c r="K1847" s="61" t="n">
        <v>1.47</v>
      </c>
      <c r="L1847" s="61" t="n">
        <v>6.98</v>
      </c>
      <c r="M1847" s="61" t="n">
        <v>6.41</v>
      </c>
      <c r="N1847" s="61" t="n">
        <v>0.41</v>
      </c>
      <c r="O1847" s="61" t="n">
        <v>0</v>
      </c>
      <c r="P1847" s="62" t="n">
        <v>763.1</v>
      </c>
      <c r="Q1847" s="0" t="n">
        <v>1</v>
      </c>
      <c r="R1847" s="60" t="n">
        <f aca="false">G1847+H1847+I1847</f>
        <v>215.57</v>
      </c>
      <c r="S1847" s="60" t="n">
        <f aca="false">K1847+L1847+M1847+N1847+O1847</f>
        <v>15.27</v>
      </c>
      <c r="T1847" s="60" t="n">
        <f aca="false">L1847+M1847</f>
        <v>13.39</v>
      </c>
      <c r="U1847" s="60" t="n">
        <f aca="false">S1847+J1847</f>
        <v>25.17</v>
      </c>
      <c r="V1847" s="63" t="n">
        <f aca="false">IFERROR(S1847/F1847,0)</f>
        <v>0.0634294259366952</v>
      </c>
      <c r="W1847" s="63" t="n">
        <f aca="false">IFERROR(R1847/F1847,0)</f>
        <v>0.895447370607294</v>
      </c>
      <c r="X1847" s="63" t="n">
        <f aca="false">IFERROR(T1847/F1847,0)</f>
        <v>0.0556201711389881</v>
      </c>
      <c r="Y1847" s="63" t="n">
        <f aca="false">IFERROR(G1847/F1847,0)</f>
        <v>0.889258120794218</v>
      </c>
      <c r="Z1847" s="59" t="n">
        <f aca="false">IF(E1847&gt;0,F1847*1000000000/E1847,"")</f>
        <v>3975.07534958917</v>
      </c>
      <c r="AA1847" s="63" t="n">
        <f aca="false">IFERROR((R1847+S1847+J1847)/F1847,0)</f>
        <v>1</v>
      </c>
      <c r="AB1847" s="0" t="str">
        <f aca="false">A1847&amp;"|"&amp;D1847</f>
        <v>South Africa|2020</v>
      </c>
    </row>
    <row r="1848" customFormat="false" ht="15" hidden="false" customHeight="false" outlineLevel="0" collapsed="false">
      <c r="A1848" s="0" t="s">
        <v>357</v>
      </c>
      <c r="B1848" s="0" t="s">
        <v>596</v>
      </c>
      <c r="C1848" s="0" t="s">
        <v>127</v>
      </c>
      <c r="D1848" s="0" t="n">
        <v>2021</v>
      </c>
      <c r="E1848" s="59" t="n">
        <v>61502602</v>
      </c>
      <c r="F1848" s="60" t="n">
        <v>245.46</v>
      </c>
      <c r="G1848" s="61" t="n">
        <v>210.92</v>
      </c>
      <c r="H1848" s="61" t="n">
        <v>0</v>
      </c>
      <c r="I1848" s="61" t="n">
        <v>3.27</v>
      </c>
      <c r="J1848" s="61" t="n">
        <v>12.35</v>
      </c>
      <c r="K1848" s="61" t="n">
        <v>2.02</v>
      </c>
      <c r="L1848" s="61" t="n">
        <v>7.84</v>
      </c>
      <c r="M1848" s="61" t="n">
        <v>8.65</v>
      </c>
      <c r="N1848" s="61" t="n">
        <v>0.41</v>
      </c>
      <c r="O1848" s="61" t="n">
        <v>0</v>
      </c>
      <c r="P1848" s="62" t="n">
        <v>741.5</v>
      </c>
      <c r="Q1848" s="0" t="n">
        <v>1</v>
      </c>
      <c r="R1848" s="60" t="n">
        <f aca="false">G1848+H1848+I1848</f>
        <v>214.19</v>
      </c>
      <c r="S1848" s="60" t="n">
        <f aca="false">K1848+L1848+M1848+N1848+O1848</f>
        <v>18.92</v>
      </c>
      <c r="T1848" s="60" t="n">
        <f aca="false">L1848+M1848</f>
        <v>16.49</v>
      </c>
      <c r="U1848" s="60" t="n">
        <f aca="false">S1848+J1848</f>
        <v>31.27</v>
      </c>
      <c r="V1848" s="63" t="n">
        <f aca="false">IFERROR(S1848/F1848,0)</f>
        <v>0.0770797685977349</v>
      </c>
      <c r="W1848" s="63" t="n">
        <f aca="false">IFERROR(R1848/F1848,0)</f>
        <v>0.8726065346696</v>
      </c>
      <c r="X1848" s="63" t="n">
        <f aca="false">IFERROR(T1848/F1848,0)</f>
        <v>0.0671799885928461</v>
      </c>
      <c r="Y1848" s="63" t="n">
        <f aca="false">IFERROR(G1848/F1848,0)</f>
        <v>0.859284608490182</v>
      </c>
      <c r="Z1848" s="59" t="n">
        <f aca="false">IF(E1848&gt;0,F1848*1000000000/E1848,"")</f>
        <v>3991.05065506009</v>
      </c>
      <c r="AA1848" s="63" t="n">
        <f aca="false">IFERROR((R1848+S1848+J1848)/F1848,0)</f>
        <v>1</v>
      </c>
      <c r="AB1848" s="0" t="str">
        <f aca="false">A1848&amp;"|"&amp;D1848</f>
        <v>South Africa|2021</v>
      </c>
    </row>
    <row r="1849" customFormat="false" ht="15" hidden="false" customHeight="false" outlineLevel="0" collapsed="false">
      <c r="A1849" s="0" t="s">
        <v>357</v>
      </c>
      <c r="B1849" s="0" t="s">
        <v>596</v>
      </c>
      <c r="C1849" s="0" t="s">
        <v>127</v>
      </c>
      <c r="D1849" s="0" t="n">
        <v>2022</v>
      </c>
      <c r="E1849" s="59" t="n">
        <v>62378417</v>
      </c>
      <c r="F1849" s="60" t="n">
        <v>239.17</v>
      </c>
      <c r="G1849" s="61" t="n">
        <v>201.77</v>
      </c>
      <c r="H1849" s="61" t="n">
        <v>0</v>
      </c>
      <c r="I1849" s="61" t="n">
        <v>3.68</v>
      </c>
      <c r="J1849" s="61" t="n">
        <v>10.1</v>
      </c>
      <c r="K1849" s="61" t="n">
        <v>3.1</v>
      </c>
      <c r="L1849" s="61" t="n">
        <v>10.46</v>
      </c>
      <c r="M1849" s="61" t="n">
        <v>9.7</v>
      </c>
      <c r="N1849" s="61" t="n">
        <v>0.36</v>
      </c>
      <c r="O1849" s="61" t="n">
        <v>0</v>
      </c>
      <c r="P1849" s="62" t="n">
        <v>729</v>
      </c>
      <c r="Q1849" s="0" t="n">
        <v>1</v>
      </c>
      <c r="R1849" s="60" t="n">
        <f aca="false">G1849+H1849+I1849</f>
        <v>205.45</v>
      </c>
      <c r="S1849" s="60" t="n">
        <f aca="false">K1849+L1849+M1849+N1849+O1849</f>
        <v>23.62</v>
      </c>
      <c r="T1849" s="60" t="n">
        <f aca="false">L1849+M1849</f>
        <v>20.16</v>
      </c>
      <c r="U1849" s="60" t="n">
        <f aca="false">S1849+J1849</f>
        <v>33.72</v>
      </c>
      <c r="V1849" s="63" t="n">
        <f aca="false">IFERROR(S1849/F1849,0)</f>
        <v>0.0987582054605511</v>
      </c>
      <c r="W1849" s="63" t="n">
        <f aca="false">IFERROR(R1849/F1849,0)</f>
        <v>0.859012417945395</v>
      </c>
      <c r="X1849" s="63" t="n">
        <f aca="false">IFERROR(T1849/F1849,0)</f>
        <v>0.0842915081322909</v>
      </c>
      <c r="Y1849" s="63" t="n">
        <f aca="false">IFERROR(G1849/F1849,0)</f>
        <v>0.843625872810135</v>
      </c>
      <c r="Z1849" s="59" t="n">
        <f aca="false">IF(E1849&gt;0,F1849*1000000000/E1849,"")</f>
        <v>3834.17873525069</v>
      </c>
      <c r="AA1849" s="63" t="n">
        <f aca="false">IFERROR((R1849+S1849+J1849)/F1849,0)</f>
        <v>1</v>
      </c>
      <c r="AB1849" s="0" t="str">
        <f aca="false">A1849&amp;"|"&amp;D1849</f>
        <v>South Africa|2022</v>
      </c>
    </row>
    <row r="1850" customFormat="false" ht="15" hidden="false" customHeight="false" outlineLevel="0" collapsed="false">
      <c r="A1850" s="0" t="s">
        <v>357</v>
      </c>
      <c r="B1850" s="0" t="s">
        <v>596</v>
      </c>
      <c r="C1850" s="0" t="s">
        <v>127</v>
      </c>
      <c r="D1850" s="0" t="n">
        <v>2023</v>
      </c>
      <c r="E1850" s="59" t="n">
        <v>63212386</v>
      </c>
      <c r="F1850" s="60" t="n">
        <v>232.95</v>
      </c>
      <c r="G1850" s="61" t="n">
        <v>192.29</v>
      </c>
      <c r="H1850" s="61" t="n">
        <v>0</v>
      </c>
      <c r="I1850" s="61" t="n">
        <v>3.68</v>
      </c>
      <c r="J1850" s="61" t="n">
        <v>8.1</v>
      </c>
      <c r="K1850" s="61" t="n">
        <v>2</v>
      </c>
      <c r="L1850" s="61" t="n">
        <v>14.81</v>
      </c>
      <c r="M1850" s="61" t="n">
        <v>11.6</v>
      </c>
      <c r="N1850" s="61" t="n">
        <v>0.47</v>
      </c>
      <c r="O1850" s="61" t="n">
        <v>0</v>
      </c>
      <c r="P1850" s="62" t="n">
        <v>714.4</v>
      </c>
      <c r="Q1850" s="0" t="n">
        <v>1</v>
      </c>
      <c r="R1850" s="60" t="n">
        <f aca="false">G1850+H1850+I1850</f>
        <v>195.97</v>
      </c>
      <c r="S1850" s="60" t="n">
        <f aca="false">K1850+L1850+M1850+N1850+O1850</f>
        <v>28.88</v>
      </c>
      <c r="T1850" s="60" t="n">
        <f aca="false">L1850+M1850</f>
        <v>26.41</v>
      </c>
      <c r="U1850" s="60" t="n">
        <f aca="false">S1850+J1850</f>
        <v>36.98</v>
      </c>
      <c r="V1850" s="63" t="n">
        <f aca="false">IFERROR(S1850/F1850,0)</f>
        <v>0.123975101953209</v>
      </c>
      <c r="W1850" s="63" t="n">
        <f aca="false">IFERROR(R1850/F1850,0)</f>
        <v>0.841253487872934</v>
      </c>
      <c r="X1850" s="63" t="n">
        <f aca="false">IFERROR(T1850/F1850,0)</f>
        <v>0.113371968233527</v>
      </c>
      <c r="Y1850" s="63" t="n">
        <f aca="false">IFERROR(G1850/F1850,0)</f>
        <v>0.825456106460614</v>
      </c>
      <c r="Z1850" s="59" t="n">
        <f aca="false">IF(E1850&gt;0,F1850*1000000000/E1850,"")</f>
        <v>3685.19549317439</v>
      </c>
      <c r="AA1850" s="63" t="n">
        <f aca="false">IFERROR((R1850+S1850+J1850)/F1850,0)</f>
        <v>1</v>
      </c>
      <c r="AB1850" s="0" t="str">
        <f aca="false">A1850&amp;"|"&amp;D1850</f>
        <v>South Africa|2023</v>
      </c>
    </row>
    <row r="1851" customFormat="false" ht="15" hidden="false" customHeight="false" outlineLevel="0" collapsed="false">
      <c r="A1851" s="0" t="s">
        <v>357</v>
      </c>
      <c r="B1851" s="0" t="s">
        <v>596</v>
      </c>
      <c r="C1851" s="0" t="s">
        <v>127</v>
      </c>
      <c r="D1851" s="0" t="n">
        <v>2024</v>
      </c>
      <c r="E1851" s="59" t="n">
        <v>64007187</v>
      </c>
      <c r="F1851" s="60" t="n">
        <v>247.52</v>
      </c>
      <c r="G1851" s="61" t="n">
        <v>206.81</v>
      </c>
      <c r="H1851" s="61" t="n">
        <v>0</v>
      </c>
      <c r="I1851" s="61" t="n">
        <v>1.94</v>
      </c>
      <c r="J1851" s="61" t="n">
        <v>7.8</v>
      </c>
      <c r="K1851" s="61" t="n">
        <v>1.1</v>
      </c>
      <c r="L1851" s="61" t="n">
        <v>18.3</v>
      </c>
      <c r="M1851" s="61" t="n">
        <v>11.1</v>
      </c>
      <c r="N1851" s="61" t="n">
        <v>0.47</v>
      </c>
      <c r="O1851" s="61" t="n">
        <v>0</v>
      </c>
      <c r="P1851" s="62" t="n">
        <v>717.4</v>
      </c>
      <c r="Q1851" s="0" t="n">
        <v>1</v>
      </c>
      <c r="R1851" s="60" t="n">
        <f aca="false">G1851+H1851+I1851</f>
        <v>208.75</v>
      </c>
      <c r="S1851" s="60" t="n">
        <f aca="false">K1851+L1851+M1851+N1851+O1851</f>
        <v>30.97</v>
      </c>
      <c r="T1851" s="60" t="n">
        <f aca="false">L1851+M1851</f>
        <v>29.4</v>
      </c>
      <c r="U1851" s="60" t="n">
        <f aca="false">S1851+J1851</f>
        <v>38.77</v>
      </c>
      <c r="V1851" s="63" t="n">
        <f aca="false">IFERROR(S1851/F1851,0)</f>
        <v>0.125121202327085</v>
      </c>
      <c r="W1851" s="63" t="n">
        <f aca="false">IFERROR(R1851/F1851,0)</f>
        <v>0.843366192630899</v>
      </c>
      <c r="X1851" s="63" t="n">
        <f aca="false">IFERROR(T1851/F1851,0)</f>
        <v>0.118778280542986</v>
      </c>
      <c r="Y1851" s="63" t="n">
        <f aca="false">IFERROR(G1851/F1851,0)</f>
        <v>0.835528442146089</v>
      </c>
      <c r="Z1851" s="59" t="n">
        <f aca="false">IF(E1851&gt;0,F1851*1000000000/E1851,"")</f>
        <v>3867.06574060191</v>
      </c>
      <c r="AA1851" s="63" t="n">
        <f aca="false">IFERROR((R1851+S1851+J1851)/F1851,0)</f>
        <v>1</v>
      </c>
      <c r="AB1851" s="0" t="str">
        <f aca="false">A1851&amp;"|"&amp;D1851</f>
        <v>South Africa|2024</v>
      </c>
    </row>
    <row r="1852" customFormat="false" ht="15" hidden="false" customHeight="false" outlineLevel="0" collapsed="false">
      <c r="A1852" s="0" t="s">
        <v>357</v>
      </c>
      <c r="B1852" s="0" t="s">
        <v>596</v>
      </c>
      <c r="C1852" s="0" t="s">
        <v>127</v>
      </c>
      <c r="D1852" s="0" t="n">
        <v>2025</v>
      </c>
      <c r="E1852" s="59" t="n">
        <v>64747319</v>
      </c>
      <c r="F1852" s="60" t="n">
        <v>242.76</v>
      </c>
      <c r="G1852" s="61" t="n">
        <v>197.5</v>
      </c>
      <c r="H1852" s="61" t="n">
        <v>0</v>
      </c>
      <c r="I1852" s="61" t="n">
        <v>1.95</v>
      </c>
      <c r="J1852" s="61" t="n">
        <v>10.21</v>
      </c>
      <c r="K1852" s="61" t="n">
        <v>1.83</v>
      </c>
      <c r="L1852" s="61" t="n">
        <v>19.48</v>
      </c>
      <c r="M1852" s="61" t="n">
        <v>11.32</v>
      </c>
      <c r="N1852" s="61" t="n">
        <v>0.47</v>
      </c>
      <c r="O1852" s="61" t="n">
        <v>0</v>
      </c>
      <c r="P1852" s="62" t="n">
        <v>699.3</v>
      </c>
      <c r="Q1852" s="0" t="n">
        <v>1</v>
      </c>
      <c r="R1852" s="60" t="n">
        <f aca="false">G1852+H1852+I1852</f>
        <v>199.45</v>
      </c>
      <c r="S1852" s="60" t="n">
        <f aca="false">K1852+L1852+M1852+N1852+O1852</f>
        <v>33.1</v>
      </c>
      <c r="T1852" s="60" t="n">
        <f aca="false">L1852+M1852</f>
        <v>30.8</v>
      </c>
      <c r="U1852" s="60" t="n">
        <f aca="false">S1852+J1852</f>
        <v>43.31</v>
      </c>
      <c r="V1852" s="63" t="n">
        <f aca="false">IFERROR(S1852/F1852,0)</f>
        <v>0.136348657109903</v>
      </c>
      <c r="W1852" s="63" t="n">
        <f aca="false">IFERROR(R1852/F1852,0)</f>
        <v>0.821593343219641</v>
      </c>
      <c r="X1852" s="63" t="n">
        <f aca="false">IFERROR(T1852/F1852,0)</f>
        <v>0.126874279123414</v>
      </c>
      <c r="Y1852" s="63" t="n">
        <f aca="false">IFERROR(G1852/F1852,0)</f>
        <v>0.813560718405009</v>
      </c>
      <c r="Z1852" s="59" t="n">
        <f aca="false">IF(E1852&gt;0,F1852*1000000000/E1852,"")</f>
        <v>3749.34443231541</v>
      </c>
      <c r="AA1852" s="63" t="n">
        <f aca="false">IFERROR((R1852+S1852+J1852)/F1852,0)</f>
        <v>1</v>
      </c>
      <c r="AB1852" s="0" t="str">
        <f aca="false">A1852&amp;"|"&amp;D1852</f>
        <v>South Africa|2025</v>
      </c>
    </row>
    <row r="1853" customFormat="false" ht="15" hidden="false" customHeight="false" outlineLevel="0" collapsed="false">
      <c r="A1853" s="0" t="s">
        <v>358</v>
      </c>
      <c r="B1853" s="0" t="s">
        <v>597</v>
      </c>
      <c r="C1853" s="0" t="s">
        <v>127</v>
      </c>
      <c r="D1853" s="0" t="n">
        <v>2015</v>
      </c>
      <c r="E1853" s="59" t="n">
        <v>50983909</v>
      </c>
      <c r="F1853" s="60" t="n">
        <v>547.8</v>
      </c>
      <c r="G1853" s="61" t="n">
        <v>232.68</v>
      </c>
      <c r="H1853" s="61" t="n">
        <v>122.03</v>
      </c>
      <c r="I1853" s="61" t="n">
        <v>13.13</v>
      </c>
      <c r="J1853" s="61" t="n">
        <v>164.76</v>
      </c>
      <c r="K1853" s="61" t="n">
        <v>2.15</v>
      </c>
      <c r="L1853" s="61" t="n">
        <v>4.23</v>
      </c>
      <c r="M1853" s="61" t="n">
        <v>1.34</v>
      </c>
      <c r="N1853" s="61" t="n">
        <v>7.48</v>
      </c>
      <c r="O1853" s="61" t="n">
        <v>0</v>
      </c>
      <c r="P1853" s="62" t="n">
        <v>487.6</v>
      </c>
      <c r="Q1853" s="0" t="n">
        <v>1</v>
      </c>
      <c r="R1853" s="60" t="n">
        <f aca="false">G1853+H1853+I1853</f>
        <v>367.84</v>
      </c>
      <c r="S1853" s="60" t="n">
        <f aca="false">K1853+L1853+M1853+N1853+O1853</f>
        <v>15.2</v>
      </c>
      <c r="T1853" s="60" t="n">
        <f aca="false">L1853+M1853</f>
        <v>5.57</v>
      </c>
      <c r="U1853" s="60" t="n">
        <f aca="false">S1853+J1853</f>
        <v>179.96</v>
      </c>
      <c r="V1853" s="63" t="n">
        <f aca="false">IFERROR(S1853/F1853,0)</f>
        <v>0.0277473530485579</v>
      </c>
      <c r="W1853" s="63" t="n">
        <f aca="false">IFERROR(R1853/F1853,0)</f>
        <v>0.671485943775101</v>
      </c>
      <c r="X1853" s="63" t="n">
        <f aca="false">IFERROR(T1853/F1853,0)</f>
        <v>0.0101679445052939</v>
      </c>
      <c r="Y1853" s="63" t="n">
        <f aca="false">IFERROR(G1853/F1853,0)</f>
        <v>0.424753559693319</v>
      </c>
      <c r="Z1853" s="59" t="n">
        <f aca="false">IF(E1853&gt;0,F1853*1000000000/E1853,"")</f>
        <v>10744.5664866537</v>
      </c>
      <c r="AA1853" s="63" t="n">
        <f aca="false">IFERROR((R1853+S1853+J1853)/F1853,0)</f>
        <v>1</v>
      </c>
      <c r="AB1853" s="0" t="str">
        <f aca="false">A1853&amp;"|"&amp;D1853</f>
        <v>South Korea|2015</v>
      </c>
    </row>
    <row r="1854" customFormat="false" ht="15" hidden="false" customHeight="false" outlineLevel="0" collapsed="false">
      <c r="A1854" s="0" t="s">
        <v>358</v>
      </c>
      <c r="B1854" s="0" t="s">
        <v>597</v>
      </c>
      <c r="C1854" s="0" t="s">
        <v>127</v>
      </c>
      <c r="D1854" s="0" t="n">
        <v>2016</v>
      </c>
      <c r="E1854" s="59" t="n">
        <v>51297836</v>
      </c>
      <c r="F1854" s="60" t="n">
        <v>560.98</v>
      </c>
      <c r="G1854" s="61" t="n">
        <v>232.91</v>
      </c>
      <c r="H1854" s="61" t="n">
        <v>130.52</v>
      </c>
      <c r="I1854" s="61" t="n">
        <v>17.43</v>
      </c>
      <c r="J1854" s="61" t="n">
        <v>161.99</v>
      </c>
      <c r="K1854" s="61" t="n">
        <v>2.85</v>
      </c>
      <c r="L1854" s="61" t="n">
        <v>5.52</v>
      </c>
      <c r="M1854" s="61" t="n">
        <v>1.68</v>
      </c>
      <c r="N1854" s="61" t="n">
        <v>8.08</v>
      </c>
      <c r="O1854" s="61" t="n">
        <v>0</v>
      </c>
      <c r="P1854" s="62" t="n">
        <v>489.4</v>
      </c>
      <c r="Q1854" s="0" t="n">
        <v>1</v>
      </c>
      <c r="R1854" s="60" t="n">
        <f aca="false">G1854+H1854+I1854</f>
        <v>380.86</v>
      </c>
      <c r="S1854" s="60" t="n">
        <f aca="false">K1854+L1854+M1854+N1854+O1854</f>
        <v>18.13</v>
      </c>
      <c r="T1854" s="60" t="n">
        <f aca="false">L1854+M1854</f>
        <v>7.2</v>
      </c>
      <c r="U1854" s="60" t="n">
        <f aca="false">S1854+J1854</f>
        <v>180.12</v>
      </c>
      <c r="V1854" s="63" t="n">
        <f aca="false">IFERROR(S1854/F1854,0)</f>
        <v>0.0323184427252308</v>
      </c>
      <c r="W1854" s="63" t="n">
        <f aca="false">IFERROR(R1854/F1854,0)</f>
        <v>0.678919034546686</v>
      </c>
      <c r="X1854" s="63" t="n">
        <f aca="false">IFERROR(T1854/F1854,0)</f>
        <v>0.012834682163357</v>
      </c>
      <c r="Y1854" s="63" t="n">
        <f aca="false">IFERROR(G1854/F1854,0)</f>
        <v>0.415184142037149</v>
      </c>
      <c r="Z1854" s="59" t="n">
        <f aca="false">IF(E1854&gt;0,F1854*1000000000/E1854,"")</f>
        <v>10935.7439561388</v>
      </c>
      <c r="AA1854" s="63" t="n">
        <f aca="false">IFERROR((R1854+S1854+J1854)/F1854,0)</f>
        <v>1</v>
      </c>
      <c r="AB1854" s="0" t="str">
        <f aca="false">A1854&amp;"|"&amp;D1854</f>
        <v>South Korea|2016</v>
      </c>
    </row>
    <row r="1855" customFormat="false" ht="15" hidden="false" customHeight="false" outlineLevel="0" collapsed="false">
      <c r="A1855" s="0" t="s">
        <v>358</v>
      </c>
      <c r="B1855" s="0" t="s">
        <v>597</v>
      </c>
      <c r="C1855" s="0" t="s">
        <v>127</v>
      </c>
      <c r="D1855" s="0" t="n">
        <v>2017</v>
      </c>
      <c r="E1855" s="59" t="n">
        <v>51486268</v>
      </c>
      <c r="F1855" s="60" t="n">
        <v>576.41</v>
      </c>
      <c r="G1855" s="61" t="n">
        <v>260.79</v>
      </c>
      <c r="H1855" s="61" t="n">
        <v>135.16</v>
      </c>
      <c r="I1855" s="61" t="n">
        <v>9.7</v>
      </c>
      <c r="J1855" s="61" t="n">
        <v>148.43</v>
      </c>
      <c r="K1855" s="61" t="n">
        <v>2.81</v>
      </c>
      <c r="L1855" s="61" t="n">
        <v>7.74</v>
      </c>
      <c r="M1855" s="61" t="n">
        <v>2.17</v>
      </c>
      <c r="N1855" s="61" t="n">
        <v>9.61</v>
      </c>
      <c r="O1855" s="61" t="n">
        <v>0</v>
      </c>
      <c r="P1855" s="62" t="n">
        <v>511.5</v>
      </c>
      <c r="Q1855" s="0" t="n">
        <v>1</v>
      </c>
      <c r="R1855" s="60" t="n">
        <f aca="false">G1855+H1855+I1855</f>
        <v>405.65</v>
      </c>
      <c r="S1855" s="60" t="n">
        <f aca="false">K1855+L1855+M1855+N1855+O1855</f>
        <v>22.33</v>
      </c>
      <c r="T1855" s="60" t="n">
        <f aca="false">L1855+M1855</f>
        <v>9.91</v>
      </c>
      <c r="U1855" s="60" t="n">
        <f aca="false">S1855+J1855</f>
        <v>170.76</v>
      </c>
      <c r="V1855" s="63" t="n">
        <f aca="false">IFERROR(S1855/F1855,0)</f>
        <v>0.0387397859162749</v>
      </c>
      <c r="W1855" s="63" t="n">
        <f aca="false">IFERROR(R1855/F1855,0)</f>
        <v>0.703752537256467</v>
      </c>
      <c r="X1855" s="63" t="n">
        <f aca="false">IFERROR(T1855/F1855,0)</f>
        <v>0.0171926233063271</v>
      </c>
      <c r="Y1855" s="63" t="n">
        <f aca="false">IFERROR(G1855/F1855,0)</f>
        <v>0.452438368522406</v>
      </c>
      <c r="Z1855" s="59" t="n">
        <f aca="false">IF(E1855&gt;0,F1855*1000000000/E1855,"")</f>
        <v>11195.4123379073</v>
      </c>
      <c r="AA1855" s="63" t="n">
        <f aca="false">IFERROR((R1855+S1855+J1855)/F1855,0)</f>
        <v>1</v>
      </c>
      <c r="AB1855" s="0" t="str">
        <f aca="false">A1855&amp;"|"&amp;D1855</f>
        <v>South Korea|2017</v>
      </c>
    </row>
    <row r="1856" customFormat="false" ht="15" hidden="false" customHeight="false" outlineLevel="0" collapsed="false">
      <c r="A1856" s="0" t="s">
        <v>358</v>
      </c>
      <c r="B1856" s="0" t="s">
        <v>597</v>
      </c>
      <c r="C1856" s="0" t="s">
        <v>127</v>
      </c>
      <c r="D1856" s="0" t="n">
        <v>2018</v>
      </c>
      <c r="E1856" s="59" t="n">
        <v>51640894</v>
      </c>
      <c r="F1856" s="60" t="n">
        <v>592.91</v>
      </c>
      <c r="G1856" s="61" t="n">
        <v>257.67</v>
      </c>
      <c r="H1856" s="61" t="n">
        <v>163.28</v>
      </c>
      <c r="I1856" s="61" t="n">
        <v>10.65</v>
      </c>
      <c r="J1856" s="61" t="n">
        <v>133.51</v>
      </c>
      <c r="K1856" s="61" t="n">
        <v>3.36</v>
      </c>
      <c r="L1856" s="61" t="n">
        <v>10.17</v>
      </c>
      <c r="M1856" s="61" t="n">
        <v>2.46</v>
      </c>
      <c r="N1856" s="61" t="n">
        <v>11.81</v>
      </c>
      <c r="O1856" s="61" t="n">
        <v>0</v>
      </c>
      <c r="P1856" s="62" t="n">
        <v>518.8</v>
      </c>
      <c r="Q1856" s="0" t="n">
        <v>1</v>
      </c>
      <c r="R1856" s="60" t="n">
        <f aca="false">G1856+H1856+I1856</f>
        <v>431.6</v>
      </c>
      <c r="S1856" s="60" t="n">
        <f aca="false">K1856+L1856+M1856+N1856+O1856</f>
        <v>27.8</v>
      </c>
      <c r="T1856" s="60" t="n">
        <f aca="false">L1856+M1856</f>
        <v>12.63</v>
      </c>
      <c r="U1856" s="60" t="n">
        <f aca="false">S1856+J1856</f>
        <v>161.31</v>
      </c>
      <c r="V1856" s="63" t="n">
        <f aca="false">IFERROR(S1856/F1856,0)</f>
        <v>0.0468873859439038</v>
      </c>
      <c r="W1856" s="63" t="n">
        <f aca="false">IFERROR(R1856/F1856,0)</f>
        <v>0.72793509976219</v>
      </c>
      <c r="X1856" s="63" t="n">
        <f aca="false">IFERROR(T1856/F1856,0)</f>
        <v>0.0213017152687592</v>
      </c>
      <c r="Y1856" s="63" t="n">
        <f aca="false">IFERROR(G1856/F1856,0)</f>
        <v>0.434585350221788</v>
      </c>
      <c r="Z1856" s="59" t="n">
        <f aca="false">IF(E1856&gt;0,F1856*1000000000/E1856,"")</f>
        <v>11481.4046402837</v>
      </c>
      <c r="AA1856" s="63" t="n">
        <f aca="false">IFERROR((R1856+S1856+J1856)/F1856,0)</f>
        <v>1</v>
      </c>
      <c r="AB1856" s="0" t="str">
        <f aca="false">A1856&amp;"|"&amp;D1856</f>
        <v>South Korea|2018</v>
      </c>
    </row>
    <row r="1857" customFormat="false" ht="15" hidden="false" customHeight="false" outlineLevel="0" collapsed="false">
      <c r="A1857" s="0" t="s">
        <v>358</v>
      </c>
      <c r="B1857" s="0" t="s">
        <v>597</v>
      </c>
      <c r="C1857" s="0" t="s">
        <v>127</v>
      </c>
      <c r="D1857" s="0" t="n">
        <v>2019</v>
      </c>
      <c r="E1857" s="59" t="n">
        <v>51767844</v>
      </c>
      <c r="F1857" s="60" t="n">
        <v>586.8</v>
      </c>
      <c r="G1857" s="61" t="n">
        <v>245.04</v>
      </c>
      <c r="H1857" s="61" t="n">
        <v>155.41</v>
      </c>
      <c r="I1857" s="61" t="n">
        <v>7.43</v>
      </c>
      <c r="J1857" s="61" t="n">
        <v>145.91</v>
      </c>
      <c r="K1857" s="61" t="n">
        <v>2.79</v>
      </c>
      <c r="L1857" s="61" t="n">
        <v>14.19</v>
      </c>
      <c r="M1857" s="61" t="n">
        <v>2.68</v>
      </c>
      <c r="N1857" s="61" t="n">
        <v>13.35</v>
      </c>
      <c r="O1857" s="61" t="n">
        <v>0</v>
      </c>
      <c r="P1857" s="62" t="n">
        <v>497</v>
      </c>
      <c r="Q1857" s="0" t="n">
        <v>1</v>
      </c>
      <c r="R1857" s="60" t="n">
        <f aca="false">G1857+H1857+I1857</f>
        <v>407.88</v>
      </c>
      <c r="S1857" s="60" t="n">
        <f aca="false">K1857+L1857+M1857+N1857+O1857</f>
        <v>33.01</v>
      </c>
      <c r="T1857" s="60" t="n">
        <f aca="false">L1857+M1857</f>
        <v>16.87</v>
      </c>
      <c r="U1857" s="60" t="n">
        <f aca="false">S1857+J1857</f>
        <v>178.92</v>
      </c>
      <c r="V1857" s="63" t="n">
        <f aca="false">IFERROR(S1857/F1857,0)</f>
        <v>0.0562542603953647</v>
      </c>
      <c r="W1857" s="63" t="n">
        <f aca="false">IFERROR(R1857/F1857,0)</f>
        <v>0.695092024539877</v>
      </c>
      <c r="X1857" s="63" t="n">
        <f aca="false">IFERROR(T1857/F1857,0)</f>
        <v>0.0287491479209271</v>
      </c>
      <c r="Y1857" s="63" t="n">
        <f aca="false">IFERROR(G1857/F1857,0)</f>
        <v>0.41758691206544</v>
      </c>
      <c r="Z1857" s="59" t="n">
        <f aca="false">IF(E1857&gt;0,F1857*1000000000/E1857,"")</f>
        <v>11335.2219188421</v>
      </c>
      <c r="AA1857" s="63" t="n">
        <f aca="false">IFERROR((R1857+S1857+J1857)/F1857,0)</f>
        <v>1</v>
      </c>
      <c r="AB1857" s="0" t="str">
        <f aca="false">A1857&amp;"|"&amp;D1857</f>
        <v>South Korea|2019</v>
      </c>
    </row>
    <row r="1858" customFormat="false" ht="15" hidden="false" customHeight="false" outlineLevel="0" collapsed="false">
      <c r="A1858" s="0" t="s">
        <v>358</v>
      </c>
      <c r="B1858" s="0" t="s">
        <v>597</v>
      </c>
      <c r="C1858" s="0" t="s">
        <v>127</v>
      </c>
      <c r="D1858" s="0" t="n">
        <v>2020</v>
      </c>
      <c r="E1858" s="59" t="n">
        <v>51858481</v>
      </c>
      <c r="F1858" s="60" t="n">
        <v>577.11</v>
      </c>
      <c r="G1858" s="61" t="n">
        <v>207.97</v>
      </c>
      <c r="H1858" s="61" t="n">
        <v>162.54</v>
      </c>
      <c r="I1858" s="61" t="n">
        <v>6.02</v>
      </c>
      <c r="J1858" s="61" t="n">
        <v>160.18</v>
      </c>
      <c r="K1858" s="61" t="n">
        <v>3.88</v>
      </c>
      <c r="L1858" s="61" t="n">
        <v>19.34</v>
      </c>
      <c r="M1858" s="61" t="n">
        <v>3.15</v>
      </c>
      <c r="N1858" s="61" t="n">
        <v>14.03</v>
      </c>
      <c r="O1858" s="61" t="n">
        <v>0</v>
      </c>
      <c r="P1858" s="62" t="n">
        <v>457.6</v>
      </c>
      <c r="Q1858" s="0" t="n">
        <v>1</v>
      </c>
      <c r="R1858" s="60" t="n">
        <f aca="false">G1858+H1858+I1858</f>
        <v>376.53</v>
      </c>
      <c r="S1858" s="60" t="n">
        <f aca="false">K1858+L1858+M1858+N1858+O1858</f>
        <v>40.4</v>
      </c>
      <c r="T1858" s="60" t="n">
        <f aca="false">L1858+M1858</f>
        <v>22.49</v>
      </c>
      <c r="U1858" s="60" t="n">
        <f aca="false">S1858+J1858</f>
        <v>200.58</v>
      </c>
      <c r="V1858" s="63" t="n">
        <f aca="false">IFERROR(S1858/F1858,0)</f>
        <v>0.070003985375405</v>
      </c>
      <c r="W1858" s="63" t="n">
        <f aca="false">IFERROR(R1858/F1858,0)</f>
        <v>0.652440609242605</v>
      </c>
      <c r="X1858" s="63" t="n">
        <f aca="false">IFERROR(T1858/F1858,0)</f>
        <v>0.0389700403735856</v>
      </c>
      <c r="Y1858" s="63" t="n">
        <f aca="false">IFERROR(G1858/F1858,0)</f>
        <v>0.360364575210965</v>
      </c>
      <c r="Z1858" s="59" t="n">
        <f aca="false">IF(E1858&gt;0,F1858*1000000000/E1858,"")</f>
        <v>11128.5558094152</v>
      </c>
      <c r="AA1858" s="63" t="n">
        <f aca="false">IFERROR((R1858+S1858+J1858)/F1858,0)</f>
        <v>1</v>
      </c>
      <c r="AB1858" s="0" t="str">
        <f aca="false">A1858&amp;"|"&amp;D1858</f>
        <v>South Korea|2020</v>
      </c>
    </row>
    <row r="1859" customFormat="false" ht="15" hidden="false" customHeight="false" outlineLevel="0" collapsed="false">
      <c r="A1859" s="0" t="s">
        <v>358</v>
      </c>
      <c r="B1859" s="0" t="s">
        <v>597</v>
      </c>
      <c r="C1859" s="0" t="s">
        <v>127</v>
      </c>
      <c r="D1859" s="0" t="n">
        <v>2021</v>
      </c>
      <c r="E1859" s="59" t="n">
        <v>51848401</v>
      </c>
      <c r="F1859" s="60" t="n">
        <v>607.76</v>
      </c>
      <c r="G1859" s="61" t="n">
        <v>213.32</v>
      </c>
      <c r="H1859" s="61" t="n">
        <v>181.23</v>
      </c>
      <c r="I1859" s="61" t="n">
        <v>7.1</v>
      </c>
      <c r="J1859" s="61" t="n">
        <v>158.01</v>
      </c>
      <c r="K1859" s="61" t="n">
        <v>3.05</v>
      </c>
      <c r="L1859" s="61" t="n">
        <v>24.72</v>
      </c>
      <c r="M1859" s="61" t="n">
        <v>3.18</v>
      </c>
      <c r="N1859" s="61" t="n">
        <v>17.15</v>
      </c>
      <c r="O1859" s="61" t="n">
        <v>0</v>
      </c>
      <c r="P1859" s="62" t="n">
        <v>459.5</v>
      </c>
      <c r="Q1859" s="0" t="n">
        <v>1</v>
      </c>
      <c r="R1859" s="60" t="n">
        <f aca="false">G1859+H1859+I1859</f>
        <v>401.65</v>
      </c>
      <c r="S1859" s="60" t="n">
        <f aca="false">K1859+L1859+M1859+N1859+O1859</f>
        <v>48.1</v>
      </c>
      <c r="T1859" s="60" t="n">
        <f aca="false">L1859+M1859</f>
        <v>27.9</v>
      </c>
      <c r="U1859" s="60" t="n">
        <f aca="false">S1859+J1859</f>
        <v>206.11</v>
      </c>
      <c r="V1859" s="63" t="n">
        <f aca="false">IFERROR(S1859/F1859,0)</f>
        <v>0.0791430827958405</v>
      </c>
      <c r="W1859" s="63" t="n">
        <f aca="false">IFERROR(R1859/F1859,0)</f>
        <v>0.660869422140319</v>
      </c>
      <c r="X1859" s="63" t="n">
        <f aca="false">IFERROR(T1859/F1859,0)</f>
        <v>0.0459062787942609</v>
      </c>
      <c r="Y1859" s="63" t="n">
        <f aca="false">IFERROR(G1859/F1859,0)</f>
        <v>0.350993813347374</v>
      </c>
      <c r="Z1859" s="59" t="n">
        <f aca="false">IF(E1859&gt;0,F1859*1000000000/E1859,"")</f>
        <v>11721.865829575</v>
      </c>
      <c r="AA1859" s="63" t="n">
        <f aca="false">IFERROR((R1859+S1859+J1859)/F1859,0)</f>
        <v>1</v>
      </c>
      <c r="AB1859" s="0" t="str">
        <f aca="false">A1859&amp;"|"&amp;D1859</f>
        <v>South Korea|2021</v>
      </c>
    </row>
    <row r="1860" customFormat="false" ht="15" hidden="false" customHeight="false" outlineLevel="0" collapsed="false">
      <c r="A1860" s="0" t="s">
        <v>358</v>
      </c>
      <c r="B1860" s="0" t="s">
        <v>597</v>
      </c>
      <c r="C1860" s="0" t="s">
        <v>127</v>
      </c>
      <c r="D1860" s="0" t="n">
        <v>2022</v>
      </c>
      <c r="E1860" s="59" t="n">
        <v>51782515</v>
      </c>
      <c r="F1860" s="60" t="n">
        <v>622.59</v>
      </c>
      <c r="G1860" s="61" t="n">
        <v>209.22</v>
      </c>
      <c r="H1860" s="61" t="n">
        <v>174.71</v>
      </c>
      <c r="I1860" s="61" t="n">
        <v>7.12</v>
      </c>
      <c r="J1860" s="61" t="n">
        <v>176.05</v>
      </c>
      <c r="K1860" s="61" t="n">
        <v>3.54</v>
      </c>
      <c r="L1860" s="61" t="n">
        <v>30.73</v>
      </c>
      <c r="M1860" s="61" t="n">
        <v>3.37</v>
      </c>
      <c r="N1860" s="61" t="n">
        <v>17.85</v>
      </c>
      <c r="O1860" s="61" t="n">
        <v>0</v>
      </c>
      <c r="P1860" s="62" t="n">
        <v>438.1</v>
      </c>
      <c r="Q1860" s="0" t="n">
        <v>1</v>
      </c>
      <c r="R1860" s="60" t="n">
        <f aca="false">G1860+H1860+I1860</f>
        <v>391.05</v>
      </c>
      <c r="S1860" s="60" t="n">
        <f aca="false">K1860+L1860+M1860+N1860+O1860</f>
        <v>55.49</v>
      </c>
      <c r="T1860" s="60" t="n">
        <f aca="false">L1860+M1860</f>
        <v>34.1</v>
      </c>
      <c r="U1860" s="60" t="n">
        <f aca="false">S1860+J1860</f>
        <v>231.54</v>
      </c>
      <c r="V1860" s="63" t="n">
        <f aca="false">IFERROR(S1860/F1860,0)</f>
        <v>0.0891276763198895</v>
      </c>
      <c r="W1860" s="63" t="n">
        <f aca="false">IFERROR(R1860/F1860,0)</f>
        <v>0.628101961162242</v>
      </c>
      <c r="X1860" s="63" t="n">
        <f aca="false">IFERROR(T1860/F1860,0)</f>
        <v>0.0547711977384796</v>
      </c>
      <c r="Y1860" s="63" t="n">
        <f aca="false">IFERROR(G1860/F1860,0)</f>
        <v>0.336047800318026</v>
      </c>
      <c r="Z1860" s="59" t="n">
        <f aca="false">IF(E1860&gt;0,F1860*1000000000/E1860,"")</f>
        <v>12023.1703693805</v>
      </c>
      <c r="AA1860" s="63" t="n">
        <f aca="false">IFERROR((R1860+S1860+J1860)/F1860,0)</f>
        <v>1</v>
      </c>
      <c r="AB1860" s="0" t="str">
        <f aca="false">A1860&amp;"|"&amp;D1860</f>
        <v>South Korea|2022</v>
      </c>
    </row>
    <row r="1861" customFormat="false" ht="15" hidden="false" customHeight="false" outlineLevel="0" collapsed="false">
      <c r="A1861" s="0" t="s">
        <v>358</v>
      </c>
      <c r="B1861" s="0" t="s">
        <v>597</v>
      </c>
      <c r="C1861" s="0" t="s">
        <v>127</v>
      </c>
      <c r="D1861" s="0" t="n">
        <v>2023</v>
      </c>
      <c r="E1861" s="59" t="n">
        <v>51748744</v>
      </c>
      <c r="F1861" s="60" t="n">
        <v>617.49</v>
      </c>
      <c r="G1861" s="61" t="n">
        <v>201.34</v>
      </c>
      <c r="H1861" s="61" t="n">
        <v>169.61</v>
      </c>
      <c r="I1861" s="61" t="n">
        <v>6.98</v>
      </c>
      <c r="J1861" s="61" t="n">
        <v>180.49</v>
      </c>
      <c r="K1861" s="61" t="n">
        <v>3.72</v>
      </c>
      <c r="L1861" s="61" t="n">
        <v>33.24</v>
      </c>
      <c r="M1861" s="61" t="n">
        <v>3.39</v>
      </c>
      <c r="N1861" s="61" t="n">
        <v>18.72</v>
      </c>
      <c r="O1861" s="61" t="n">
        <v>0</v>
      </c>
      <c r="P1861" s="62" t="n">
        <v>427.3</v>
      </c>
      <c r="Q1861" s="0" t="n">
        <v>1</v>
      </c>
      <c r="R1861" s="60" t="n">
        <f aca="false">G1861+H1861+I1861</f>
        <v>377.93</v>
      </c>
      <c r="S1861" s="60" t="n">
        <f aca="false">K1861+L1861+M1861+N1861+O1861</f>
        <v>59.07</v>
      </c>
      <c r="T1861" s="60" t="n">
        <f aca="false">L1861+M1861</f>
        <v>36.63</v>
      </c>
      <c r="U1861" s="60" t="n">
        <f aca="false">S1861+J1861</f>
        <v>239.56</v>
      </c>
      <c r="V1861" s="63" t="n">
        <f aca="false">IFERROR(S1861/F1861,0)</f>
        <v>0.0956614682019142</v>
      </c>
      <c r="W1861" s="63" t="n">
        <f aca="false">IFERROR(R1861/F1861,0)</f>
        <v>0.612042300280167</v>
      </c>
      <c r="X1861" s="63" t="n">
        <f aca="false">IFERROR(T1861/F1861,0)</f>
        <v>0.0593207987173881</v>
      </c>
      <c r="Y1861" s="63" t="n">
        <f aca="false">IFERROR(G1861/F1861,0)</f>
        <v>0.326061960517579</v>
      </c>
      <c r="Z1861" s="59" t="n">
        <f aca="false">IF(E1861&gt;0,F1861*1000000000/E1861,"")</f>
        <v>11932.463520274</v>
      </c>
      <c r="AA1861" s="63" t="n">
        <f aca="false">IFERROR((R1861+S1861+J1861)/F1861,0)</f>
        <v>1</v>
      </c>
      <c r="AB1861" s="0" t="str">
        <f aca="false">A1861&amp;"|"&amp;D1861</f>
        <v>South Korea|2023</v>
      </c>
    </row>
    <row r="1862" customFormat="false" ht="15" hidden="false" customHeight="false" outlineLevel="0" collapsed="false">
      <c r="A1862" s="0" t="s">
        <v>358</v>
      </c>
      <c r="B1862" s="0" t="s">
        <v>597</v>
      </c>
      <c r="C1862" s="0" t="s">
        <v>127</v>
      </c>
      <c r="D1862" s="0" t="n">
        <v>2024</v>
      </c>
      <c r="E1862" s="59" t="n">
        <v>51717587</v>
      </c>
      <c r="F1862" s="60" t="n">
        <v>625.38</v>
      </c>
      <c r="G1862" s="61" t="n">
        <v>190.78</v>
      </c>
      <c r="H1862" s="61" t="n">
        <v>178.35</v>
      </c>
      <c r="I1862" s="61" t="n">
        <v>6.78</v>
      </c>
      <c r="J1862" s="61" t="n">
        <v>188.75</v>
      </c>
      <c r="K1862" s="61" t="n">
        <v>4.3</v>
      </c>
      <c r="L1862" s="61" t="n">
        <v>32.72</v>
      </c>
      <c r="M1862" s="61" t="n">
        <v>3.36</v>
      </c>
      <c r="N1862" s="61" t="n">
        <v>20.34</v>
      </c>
      <c r="O1862" s="61" t="n">
        <v>0</v>
      </c>
      <c r="P1862" s="62" t="n">
        <v>415.5</v>
      </c>
      <c r="Q1862" s="0" t="n">
        <v>1</v>
      </c>
      <c r="R1862" s="60" t="n">
        <f aca="false">G1862+H1862+I1862</f>
        <v>375.91</v>
      </c>
      <c r="S1862" s="60" t="n">
        <f aca="false">K1862+L1862+M1862+N1862+O1862</f>
        <v>60.72</v>
      </c>
      <c r="T1862" s="60" t="n">
        <f aca="false">L1862+M1862</f>
        <v>36.08</v>
      </c>
      <c r="U1862" s="60" t="n">
        <f aca="false">S1862+J1862</f>
        <v>249.47</v>
      </c>
      <c r="V1862" s="63" t="n">
        <f aca="false">IFERROR(S1862/F1862,0)</f>
        <v>0.0970929674757747</v>
      </c>
      <c r="W1862" s="63" t="n">
        <f aca="false">IFERROR(R1862/F1862,0)</f>
        <v>0.601090536953532</v>
      </c>
      <c r="X1862" s="63" t="n">
        <f aca="false">IFERROR(T1862/F1862,0)</f>
        <v>0.0576929227029966</v>
      </c>
      <c r="Y1862" s="63" t="n">
        <f aca="false">IFERROR(G1862/F1862,0)</f>
        <v>0.305062521986632</v>
      </c>
      <c r="Z1862" s="59" t="n">
        <f aca="false">IF(E1862&gt;0,F1862*1000000000/E1862,"")</f>
        <v>12092.2114947088</v>
      </c>
      <c r="AA1862" s="63" t="n">
        <f aca="false">IFERROR((R1862+S1862+J1862)/F1862,0)</f>
        <v>1</v>
      </c>
      <c r="AB1862" s="0" t="str">
        <f aca="false">A1862&amp;"|"&amp;D1862</f>
        <v>South Korea|2024</v>
      </c>
    </row>
    <row r="1863" customFormat="false" ht="15" hidden="false" customHeight="false" outlineLevel="0" collapsed="false">
      <c r="A1863" s="0" t="s">
        <v>358</v>
      </c>
      <c r="B1863" s="0" t="s">
        <v>597</v>
      </c>
      <c r="C1863" s="0" t="s">
        <v>127</v>
      </c>
      <c r="D1863" s="0" t="n">
        <v>2025</v>
      </c>
      <c r="E1863" s="59" t="n">
        <v>51667035</v>
      </c>
      <c r="F1863" s="60" t="n">
        <v>624.66</v>
      </c>
      <c r="G1863" s="61" t="n">
        <v>194.53</v>
      </c>
      <c r="H1863" s="61" t="n">
        <v>174.58</v>
      </c>
      <c r="I1863" s="61" t="n">
        <v>5.95</v>
      </c>
      <c r="J1863" s="61" t="n">
        <v>184.67</v>
      </c>
      <c r="K1863" s="61" t="n">
        <v>3.8</v>
      </c>
      <c r="L1863" s="61" t="n">
        <v>37.8</v>
      </c>
      <c r="M1863" s="61" t="n">
        <v>3.64</v>
      </c>
      <c r="N1863" s="61" t="n">
        <v>19.69</v>
      </c>
      <c r="O1863" s="61" t="n">
        <v>0</v>
      </c>
      <c r="P1863" s="62" t="n">
        <v>417.1</v>
      </c>
      <c r="Q1863" s="0" t="n">
        <v>1</v>
      </c>
      <c r="R1863" s="60" t="n">
        <f aca="false">G1863+H1863+I1863</f>
        <v>375.06</v>
      </c>
      <c r="S1863" s="60" t="n">
        <f aca="false">K1863+L1863+M1863+N1863+O1863</f>
        <v>64.93</v>
      </c>
      <c r="T1863" s="60" t="n">
        <f aca="false">L1863+M1863</f>
        <v>41.44</v>
      </c>
      <c r="U1863" s="60" t="n">
        <f aca="false">S1863+J1863</f>
        <v>249.6</v>
      </c>
      <c r="V1863" s="63" t="n">
        <f aca="false">IFERROR(S1863/F1863,0)</f>
        <v>0.103944545832933</v>
      </c>
      <c r="W1863" s="63" t="n">
        <f aca="false">IFERROR(R1863/F1863,0)</f>
        <v>0.600422629910671</v>
      </c>
      <c r="X1863" s="63" t="n">
        <f aca="false">IFERROR(T1863/F1863,0)</f>
        <v>0.0663400890084206</v>
      </c>
      <c r="Y1863" s="63" t="n">
        <f aca="false">IFERROR(G1863/F1863,0)</f>
        <v>0.311417411071623</v>
      </c>
      <c r="Z1863" s="59" t="n">
        <f aca="false">IF(E1863&gt;0,F1863*1000000000/E1863,"")</f>
        <v>12090.1073576217</v>
      </c>
      <c r="AA1863" s="63" t="n">
        <f aca="false">IFERROR((R1863+S1863+J1863)/F1863,0)</f>
        <v>1</v>
      </c>
      <c r="AB1863" s="0" t="str">
        <f aca="false">A1863&amp;"|"&amp;D1863</f>
        <v>South Korea|2025</v>
      </c>
    </row>
    <row r="1864" customFormat="false" ht="15" hidden="false" customHeight="false" outlineLevel="0" collapsed="false">
      <c r="A1864" s="0" t="s">
        <v>359</v>
      </c>
      <c r="B1864" s="0" t="s">
        <v>598</v>
      </c>
      <c r="C1864" s="0" t="s">
        <v>127</v>
      </c>
      <c r="D1864" s="0" t="n">
        <v>2015</v>
      </c>
      <c r="E1864" s="59" t="n">
        <v>11107569</v>
      </c>
      <c r="F1864" s="60" t="n">
        <v>0.58</v>
      </c>
      <c r="G1864" s="61" t="n">
        <v>0</v>
      </c>
      <c r="H1864" s="61" t="n">
        <v>0</v>
      </c>
      <c r="I1864" s="61" t="n">
        <v>0.58</v>
      </c>
      <c r="J1864" s="61" t="n">
        <v>0</v>
      </c>
      <c r="K1864" s="61" t="n">
        <v>0</v>
      </c>
      <c r="L1864" s="61" t="n">
        <v>0</v>
      </c>
      <c r="M1864" s="61" t="n">
        <v>0</v>
      </c>
      <c r="N1864" s="61" t="n">
        <v>0</v>
      </c>
      <c r="O1864" s="61" t="n">
        <v>0</v>
      </c>
      <c r="P1864" s="62" t="n">
        <v>655.2</v>
      </c>
      <c r="Q1864" s="0" t="n">
        <v>0</v>
      </c>
      <c r="R1864" s="60" t="n">
        <f aca="false">G1864+H1864+I1864</f>
        <v>0.58</v>
      </c>
      <c r="S1864" s="60" t="n">
        <f aca="false">K1864+L1864+M1864+N1864+O1864</f>
        <v>0</v>
      </c>
      <c r="T1864" s="60" t="n">
        <f aca="false">L1864+M1864</f>
        <v>0</v>
      </c>
      <c r="U1864" s="60" t="n">
        <f aca="false">S1864+J1864</f>
        <v>0</v>
      </c>
      <c r="V1864" s="63" t="n">
        <f aca="false">IFERROR(S1864/F1864,0)</f>
        <v>0</v>
      </c>
      <c r="W1864" s="63" t="n">
        <f aca="false">IFERROR(R1864/F1864,0)</f>
        <v>1</v>
      </c>
      <c r="X1864" s="63" t="n">
        <f aca="false">IFERROR(T1864/F1864,0)</f>
        <v>0</v>
      </c>
      <c r="Y1864" s="63" t="n">
        <f aca="false">IFERROR(G1864/F1864,0)</f>
        <v>0</v>
      </c>
      <c r="Z1864" s="59" t="n">
        <f aca="false">IF(E1864&gt;0,F1864*1000000000/E1864,"")</f>
        <v>52.2166461446245</v>
      </c>
      <c r="AA1864" s="63" t="n">
        <f aca="false">IFERROR((R1864+S1864+J1864)/F1864,0)</f>
        <v>1</v>
      </c>
      <c r="AB1864" s="0" t="str">
        <f aca="false">A1864&amp;"|"&amp;D1864</f>
        <v>South Sudan|2015</v>
      </c>
    </row>
    <row r="1865" customFormat="false" ht="15" hidden="false" customHeight="false" outlineLevel="0" collapsed="false">
      <c r="A1865" s="0" t="s">
        <v>359</v>
      </c>
      <c r="B1865" s="0" t="s">
        <v>598</v>
      </c>
      <c r="C1865" s="0" t="s">
        <v>127</v>
      </c>
      <c r="D1865" s="0" t="n">
        <v>2016</v>
      </c>
      <c r="E1865" s="59" t="n">
        <v>10830108</v>
      </c>
      <c r="F1865" s="60" t="n">
        <v>0.52</v>
      </c>
      <c r="G1865" s="61" t="n">
        <v>0</v>
      </c>
      <c r="H1865" s="61" t="n">
        <v>0</v>
      </c>
      <c r="I1865" s="61" t="n">
        <v>0.52</v>
      </c>
      <c r="J1865" s="61" t="n">
        <v>0</v>
      </c>
      <c r="K1865" s="61" t="n">
        <v>0</v>
      </c>
      <c r="L1865" s="61" t="n">
        <v>0</v>
      </c>
      <c r="M1865" s="61" t="n">
        <v>0</v>
      </c>
      <c r="N1865" s="61" t="n">
        <v>0</v>
      </c>
      <c r="O1865" s="61" t="n">
        <v>0</v>
      </c>
      <c r="P1865" s="62" t="n">
        <v>653.9</v>
      </c>
      <c r="Q1865" s="0" t="n">
        <v>0</v>
      </c>
      <c r="R1865" s="60" t="n">
        <f aca="false">G1865+H1865+I1865</f>
        <v>0.52</v>
      </c>
      <c r="S1865" s="60" t="n">
        <f aca="false">K1865+L1865+M1865+N1865+O1865</f>
        <v>0</v>
      </c>
      <c r="T1865" s="60" t="n">
        <f aca="false">L1865+M1865</f>
        <v>0</v>
      </c>
      <c r="U1865" s="60" t="n">
        <f aca="false">S1865+J1865</f>
        <v>0</v>
      </c>
      <c r="V1865" s="63" t="n">
        <f aca="false">IFERROR(S1865/F1865,0)</f>
        <v>0</v>
      </c>
      <c r="W1865" s="63" t="n">
        <f aca="false">IFERROR(R1865/F1865,0)</f>
        <v>1</v>
      </c>
      <c r="X1865" s="63" t="n">
        <f aca="false">IFERROR(T1865/F1865,0)</f>
        <v>0</v>
      </c>
      <c r="Y1865" s="63" t="n">
        <f aca="false">IFERROR(G1865/F1865,0)</f>
        <v>0</v>
      </c>
      <c r="Z1865" s="59" t="n">
        <f aca="false">IF(E1865&gt;0,F1865*1000000000/E1865,"")</f>
        <v>48.0142949636329</v>
      </c>
      <c r="AA1865" s="63" t="n">
        <f aca="false">IFERROR((R1865+S1865+J1865)/F1865,0)</f>
        <v>1</v>
      </c>
      <c r="AB1865" s="0" t="str">
        <f aca="false">A1865&amp;"|"&amp;D1865</f>
        <v>South Sudan|2016</v>
      </c>
    </row>
    <row r="1866" customFormat="false" ht="15" hidden="false" customHeight="false" outlineLevel="0" collapsed="false">
      <c r="A1866" s="0" t="s">
        <v>359</v>
      </c>
      <c r="B1866" s="0" t="s">
        <v>598</v>
      </c>
      <c r="C1866" s="0" t="s">
        <v>127</v>
      </c>
      <c r="D1866" s="0" t="n">
        <v>2017</v>
      </c>
      <c r="E1866" s="59" t="n">
        <v>10259150</v>
      </c>
      <c r="F1866" s="60" t="n">
        <v>0.54</v>
      </c>
      <c r="G1866" s="61" t="n">
        <v>0</v>
      </c>
      <c r="H1866" s="61" t="n">
        <v>0</v>
      </c>
      <c r="I1866" s="61" t="n">
        <v>0.54</v>
      </c>
      <c r="J1866" s="61" t="n">
        <v>0</v>
      </c>
      <c r="K1866" s="61" t="n">
        <v>0</v>
      </c>
      <c r="L1866" s="61" t="n">
        <v>0</v>
      </c>
      <c r="M1866" s="61" t="n">
        <v>0</v>
      </c>
      <c r="N1866" s="61" t="n">
        <v>0</v>
      </c>
      <c r="O1866" s="61" t="n">
        <v>0</v>
      </c>
      <c r="P1866" s="62" t="n">
        <v>666.7</v>
      </c>
      <c r="Q1866" s="0" t="n">
        <v>0</v>
      </c>
      <c r="R1866" s="60" t="n">
        <f aca="false">G1866+H1866+I1866</f>
        <v>0.54</v>
      </c>
      <c r="S1866" s="60" t="n">
        <f aca="false">K1866+L1866+M1866+N1866+O1866</f>
        <v>0</v>
      </c>
      <c r="T1866" s="60" t="n">
        <f aca="false">L1866+M1866</f>
        <v>0</v>
      </c>
      <c r="U1866" s="60" t="n">
        <f aca="false">S1866+J1866</f>
        <v>0</v>
      </c>
      <c r="V1866" s="63" t="n">
        <f aca="false">IFERROR(S1866/F1866,0)</f>
        <v>0</v>
      </c>
      <c r="W1866" s="63" t="n">
        <f aca="false">IFERROR(R1866/F1866,0)</f>
        <v>1</v>
      </c>
      <c r="X1866" s="63" t="n">
        <f aca="false">IFERROR(T1866/F1866,0)</f>
        <v>0</v>
      </c>
      <c r="Y1866" s="63" t="n">
        <f aca="false">IFERROR(G1866/F1866,0)</f>
        <v>0</v>
      </c>
      <c r="Z1866" s="59" t="n">
        <f aca="false">IF(E1866&gt;0,F1866*1000000000/E1866,"")</f>
        <v>52.6359396246278</v>
      </c>
      <c r="AA1866" s="63" t="n">
        <f aca="false">IFERROR((R1866+S1866+J1866)/F1866,0)</f>
        <v>1</v>
      </c>
      <c r="AB1866" s="0" t="str">
        <f aca="false">A1866&amp;"|"&amp;D1866</f>
        <v>South Sudan|2017</v>
      </c>
    </row>
    <row r="1867" customFormat="false" ht="15" hidden="false" customHeight="false" outlineLevel="0" collapsed="false">
      <c r="A1867" s="0" t="s">
        <v>359</v>
      </c>
      <c r="B1867" s="0" t="s">
        <v>598</v>
      </c>
      <c r="C1867" s="0" t="s">
        <v>127</v>
      </c>
      <c r="D1867" s="0" t="n">
        <v>2018</v>
      </c>
      <c r="E1867" s="59" t="n">
        <v>10122983</v>
      </c>
      <c r="F1867" s="60" t="n">
        <v>0.54</v>
      </c>
      <c r="G1867" s="61" t="n">
        <v>0</v>
      </c>
      <c r="H1867" s="61" t="n">
        <v>0</v>
      </c>
      <c r="I1867" s="61" t="n">
        <v>0.54</v>
      </c>
      <c r="J1867" s="61" t="n">
        <v>0</v>
      </c>
      <c r="K1867" s="61" t="n">
        <v>0</v>
      </c>
      <c r="L1867" s="61" t="n">
        <v>0</v>
      </c>
      <c r="M1867" s="61" t="n">
        <v>0</v>
      </c>
      <c r="N1867" s="61" t="n">
        <v>0</v>
      </c>
      <c r="O1867" s="61" t="n">
        <v>0</v>
      </c>
      <c r="P1867" s="62" t="n">
        <v>666.7</v>
      </c>
      <c r="Q1867" s="0" t="n">
        <v>0</v>
      </c>
      <c r="R1867" s="60" t="n">
        <f aca="false">G1867+H1867+I1867</f>
        <v>0.54</v>
      </c>
      <c r="S1867" s="60" t="n">
        <f aca="false">K1867+L1867+M1867+N1867+O1867</f>
        <v>0</v>
      </c>
      <c r="T1867" s="60" t="n">
        <f aca="false">L1867+M1867</f>
        <v>0</v>
      </c>
      <c r="U1867" s="60" t="n">
        <f aca="false">S1867+J1867</f>
        <v>0</v>
      </c>
      <c r="V1867" s="63" t="n">
        <f aca="false">IFERROR(S1867/F1867,0)</f>
        <v>0</v>
      </c>
      <c r="W1867" s="63" t="n">
        <f aca="false">IFERROR(R1867/F1867,0)</f>
        <v>1</v>
      </c>
      <c r="X1867" s="63" t="n">
        <f aca="false">IFERROR(T1867/F1867,0)</f>
        <v>0</v>
      </c>
      <c r="Y1867" s="63" t="n">
        <f aca="false">IFERROR(G1867/F1867,0)</f>
        <v>0</v>
      </c>
      <c r="Z1867" s="59" t="n">
        <f aca="false">IF(E1867&gt;0,F1867*1000000000/E1867,"")</f>
        <v>53.3439599770147</v>
      </c>
      <c r="AA1867" s="63" t="n">
        <f aca="false">IFERROR((R1867+S1867+J1867)/F1867,0)</f>
        <v>1</v>
      </c>
      <c r="AB1867" s="0" t="str">
        <f aca="false">A1867&amp;"|"&amp;D1867</f>
        <v>South Sudan|2018</v>
      </c>
    </row>
    <row r="1868" customFormat="false" ht="15" hidden="false" customHeight="false" outlineLevel="0" collapsed="false">
      <c r="A1868" s="0" t="s">
        <v>359</v>
      </c>
      <c r="B1868" s="0" t="s">
        <v>598</v>
      </c>
      <c r="C1868" s="0" t="s">
        <v>127</v>
      </c>
      <c r="D1868" s="0" t="n">
        <v>2019</v>
      </c>
      <c r="E1868" s="59" t="n">
        <v>10423382</v>
      </c>
      <c r="F1868" s="60" t="n">
        <v>0.55</v>
      </c>
      <c r="G1868" s="61" t="n">
        <v>0</v>
      </c>
      <c r="H1868" s="61" t="n">
        <v>0</v>
      </c>
      <c r="I1868" s="61" t="n">
        <v>0.55</v>
      </c>
      <c r="J1868" s="61" t="n">
        <v>0</v>
      </c>
      <c r="K1868" s="61" t="n">
        <v>0</v>
      </c>
      <c r="L1868" s="61" t="n">
        <v>0</v>
      </c>
      <c r="M1868" s="61" t="n">
        <v>0</v>
      </c>
      <c r="N1868" s="61" t="n">
        <v>0</v>
      </c>
      <c r="O1868" s="61" t="n">
        <v>0</v>
      </c>
      <c r="P1868" s="62" t="n">
        <v>654.5</v>
      </c>
      <c r="Q1868" s="0" t="n">
        <v>0</v>
      </c>
      <c r="R1868" s="60" t="n">
        <f aca="false">G1868+H1868+I1868</f>
        <v>0.55</v>
      </c>
      <c r="S1868" s="60" t="n">
        <f aca="false">K1868+L1868+M1868+N1868+O1868</f>
        <v>0</v>
      </c>
      <c r="T1868" s="60" t="n">
        <f aca="false">L1868+M1868</f>
        <v>0</v>
      </c>
      <c r="U1868" s="60" t="n">
        <f aca="false">S1868+J1868</f>
        <v>0</v>
      </c>
      <c r="V1868" s="63" t="n">
        <f aca="false">IFERROR(S1868/F1868,0)</f>
        <v>0</v>
      </c>
      <c r="W1868" s="63" t="n">
        <f aca="false">IFERROR(R1868/F1868,0)</f>
        <v>1</v>
      </c>
      <c r="X1868" s="63" t="n">
        <f aca="false">IFERROR(T1868/F1868,0)</f>
        <v>0</v>
      </c>
      <c r="Y1868" s="63" t="n">
        <f aca="false">IFERROR(G1868/F1868,0)</f>
        <v>0</v>
      </c>
      <c r="Z1868" s="59" t="n">
        <f aca="false">IF(E1868&gt;0,F1868*1000000000/E1868,"")</f>
        <v>52.7659832480475</v>
      </c>
      <c r="AA1868" s="63" t="n">
        <f aca="false">IFERROR((R1868+S1868+J1868)/F1868,0)</f>
        <v>1</v>
      </c>
      <c r="AB1868" s="0" t="str">
        <f aca="false">A1868&amp;"|"&amp;D1868</f>
        <v>South Sudan|2019</v>
      </c>
    </row>
    <row r="1869" customFormat="false" ht="15" hidden="false" customHeight="false" outlineLevel="0" collapsed="false">
      <c r="A1869" s="0" t="s">
        <v>359</v>
      </c>
      <c r="B1869" s="0" t="s">
        <v>598</v>
      </c>
      <c r="C1869" s="0" t="s">
        <v>127</v>
      </c>
      <c r="D1869" s="0" t="n">
        <v>2020</v>
      </c>
      <c r="E1869" s="59" t="n">
        <v>10698471</v>
      </c>
      <c r="F1869" s="60" t="n">
        <v>0.56</v>
      </c>
      <c r="G1869" s="61" t="n">
        <v>0</v>
      </c>
      <c r="H1869" s="61" t="n">
        <v>0</v>
      </c>
      <c r="I1869" s="61" t="n">
        <v>0.55</v>
      </c>
      <c r="J1869" s="61" t="n">
        <v>0</v>
      </c>
      <c r="K1869" s="61" t="n">
        <v>0</v>
      </c>
      <c r="L1869" s="61" t="n">
        <v>0.01</v>
      </c>
      <c r="M1869" s="61" t="n">
        <v>0</v>
      </c>
      <c r="N1869" s="61" t="n">
        <v>0</v>
      </c>
      <c r="O1869" s="61" t="n">
        <v>0</v>
      </c>
      <c r="P1869" s="62" t="n">
        <v>642.9</v>
      </c>
      <c r="Q1869" s="0" t="n">
        <v>0</v>
      </c>
      <c r="R1869" s="60" t="n">
        <f aca="false">G1869+H1869+I1869</f>
        <v>0.55</v>
      </c>
      <c r="S1869" s="60" t="n">
        <f aca="false">K1869+L1869+M1869+N1869+O1869</f>
        <v>0.01</v>
      </c>
      <c r="T1869" s="60" t="n">
        <f aca="false">L1869+M1869</f>
        <v>0.01</v>
      </c>
      <c r="U1869" s="60" t="n">
        <f aca="false">S1869+J1869</f>
        <v>0.01</v>
      </c>
      <c r="V1869" s="63" t="n">
        <f aca="false">IFERROR(S1869/F1869,0)</f>
        <v>0.0178571428571429</v>
      </c>
      <c r="W1869" s="63" t="n">
        <f aca="false">IFERROR(R1869/F1869,0)</f>
        <v>0.982142857142857</v>
      </c>
      <c r="X1869" s="63" t="n">
        <f aca="false">IFERROR(T1869/F1869,0)</f>
        <v>0.0178571428571429</v>
      </c>
      <c r="Y1869" s="63" t="n">
        <f aca="false">IFERROR(G1869/F1869,0)</f>
        <v>0</v>
      </c>
      <c r="Z1869" s="59" t="n">
        <f aca="false">IF(E1869&gt;0,F1869*1000000000/E1869,"")</f>
        <v>52.3439283987403</v>
      </c>
      <c r="AA1869" s="63" t="n">
        <f aca="false">IFERROR((R1869+S1869+J1869)/F1869,0)</f>
        <v>1</v>
      </c>
      <c r="AB1869" s="0" t="str">
        <f aca="false">A1869&amp;"|"&amp;D1869</f>
        <v>South Sudan|2020</v>
      </c>
    </row>
    <row r="1870" customFormat="false" ht="15" hidden="false" customHeight="false" outlineLevel="0" collapsed="false">
      <c r="A1870" s="0" t="s">
        <v>359</v>
      </c>
      <c r="B1870" s="0" t="s">
        <v>598</v>
      </c>
      <c r="C1870" s="0" t="s">
        <v>127</v>
      </c>
      <c r="D1870" s="0" t="n">
        <v>2021</v>
      </c>
      <c r="E1870" s="59" t="n">
        <v>10865786</v>
      </c>
      <c r="F1870" s="60" t="n">
        <v>0.57</v>
      </c>
      <c r="G1870" s="61" t="n">
        <v>0</v>
      </c>
      <c r="H1870" s="61" t="n">
        <v>0</v>
      </c>
      <c r="I1870" s="61" t="n">
        <v>0.56</v>
      </c>
      <c r="J1870" s="61" t="n">
        <v>0</v>
      </c>
      <c r="K1870" s="61" t="n">
        <v>0</v>
      </c>
      <c r="L1870" s="61" t="n">
        <v>0.01</v>
      </c>
      <c r="M1870" s="61" t="n">
        <v>0</v>
      </c>
      <c r="N1870" s="61" t="n">
        <v>0</v>
      </c>
      <c r="O1870" s="61" t="n">
        <v>0</v>
      </c>
      <c r="P1870" s="62" t="n">
        <v>649.1</v>
      </c>
      <c r="Q1870" s="0" t="n">
        <v>0</v>
      </c>
      <c r="R1870" s="60" t="n">
        <f aca="false">G1870+H1870+I1870</f>
        <v>0.56</v>
      </c>
      <c r="S1870" s="60" t="n">
        <f aca="false">K1870+L1870+M1870+N1870+O1870</f>
        <v>0.01</v>
      </c>
      <c r="T1870" s="60" t="n">
        <f aca="false">L1870+M1870</f>
        <v>0.01</v>
      </c>
      <c r="U1870" s="60" t="n">
        <f aca="false">S1870+J1870</f>
        <v>0.01</v>
      </c>
      <c r="V1870" s="63" t="n">
        <f aca="false">IFERROR(S1870/F1870,0)</f>
        <v>0.0175438596491228</v>
      </c>
      <c r="W1870" s="63" t="n">
        <f aca="false">IFERROR(R1870/F1870,0)</f>
        <v>0.982456140350877</v>
      </c>
      <c r="X1870" s="63" t="n">
        <f aca="false">IFERROR(T1870/F1870,0)</f>
        <v>0.0175438596491228</v>
      </c>
      <c r="Y1870" s="63" t="n">
        <f aca="false">IFERROR(G1870/F1870,0)</f>
        <v>0</v>
      </c>
      <c r="Z1870" s="59" t="n">
        <f aca="false">IF(E1870&gt;0,F1870*1000000000/E1870,"")</f>
        <v>52.4582391002363</v>
      </c>
      <c r="AA1870" s="63" t="n">
        <f aca="false">IFERROR((R1870+S1870+J1870)/F1870,0)</f>
        <v>1</v>
      </c>
      <c r="AB1870" s="0" t="str">
        <f aca="false">A1870&amp;"|"&amp;D1870</f>
        <v>South Sudan|2021</v>
      </c>
    </row>
    <row r="1871" customFormat="false" ht="15" hidden="false" customHeight="false" outlineLevel="0" collapsed="false">
      <c r="A1871" s="0" t="s">
        <v>359</v>
      </c>
      <c r="B1871" s="0" t="s">
        <v>598</v>
      </c>
      <c r="C1871" s="0" t="s">
        <v>127</v>
      </c>
      <c r="D1871" s="0" t="n">
        <v>2022</v>
      </c>
      <c r="E1871" s="59" t="n">
        <v>11021175</v>
      </c>
      <c r="F1871" s="60" t="n">
        <v>0.51</v>
      </c>
      <c r="G1871" s="61" t="n">
        <v>0</v>
      </c>
      <c r="H1871" s="61" t="n">
        <v>0</v>
      </c>
      <c r="I1871" s="61" t="n">
        <v>0.5</v>
      </c>
      <c r="J1871" s="61" t="n">
        <v>0</v>
      </c>
      <c r="K1871" s="61" t="n">
        <v>0</v>
      </c>
      <c r="L1871" s="61" t="n">
        <v>0.01</v>
      </c>
      <c r="M1871" s="61" t="n">
        <v>0</v>
      </c>
      <c r="N1871" s="61" t="n">
        <v>0</v>
      </c>
      <c r="O1871" s="61" t="n">
        <v>0</v>
      </c>
      <c r="P1871" s="62" t="n">
        <v>647.1</v>
      </c>
      <c r="Q1871" s="0" t="n">
        <v>0</v>
      </c>
      <c r="R1871" s="60" t="n">
        <f aca="false">G1871+H1871+I1871</f>
        <v>0.5</v>
      </c>
      <c r="S1871" s="60" t="n">
        <f aca="false">K1871+L1871+M1871+N1871+O1871</f>
        <v>0.01</v>
      </c>
      <c r="T1871" s="60" t="n">
        <f aca="false">L1871+M1871</f>
        <v>0.01</v>
      </c>
      <c r="U1871" s="60" t="n">
        <f aca="false">S1871+J1871</f>
        <v>0.01</v>
      </c>
      <c r="V1871" s="63" t="n">
        <f aca="false">IFERROR(S1871/F1871,0)</f>
        <v>0.0196078431372549</v>
      </c>
      <c r="W1871" s="63" t="n">
        <f aca="false">IFERROR(R1871/F1871,0)</f>
        <v>0.980392156862745</v>
      </c>
      <c r="X1871" s="63" t="n">
        <f aca="false">IFERROR(T1871/F1871,0)</f>
        <v>0.0196078431372549</v>
      </c>
      <c r="Y1871" s="63" t="n">
        <f aca="false">IFERROR(G1871/F1871,0)</f>
        <v>0</v>
      </c>
      <c r="Z1871" s="59" t="n">
        <f aca="false">IF(E1871&gt;0,F1871*1000000000/E1871,"")</f>
        <v>46.2745578397948</v>
      </c>
      <c r="AA1871" s="63" t="n">
        <f aca="false">IFERROR((R1871+S1871+J1871)/F1871,0)</f>
        <v>1</v>
      </c>
      <c r="AB1871" s="0" t="str">
        <f aca="false">A1871&amp;"|"&amp;D1871</f>
        <v>South Sudan|2022</v>
      </c>
    </row>
    <row r="1872" customFormat="false" ht="15" hidden="false" customHeight="false" outlineLevel="0" collapsed="false">
      <c r="A1872" s="0" t="s">
        <v>359</v>
      </c>
      <c r="B1872" s="0" t="s">
        <v>598</v>
      </c>
      <c r="C1872" s="0" t="s">
        <v>127</v>
      </c>
      <c r="D1872" s="0" t="n">
        <v>2023</v>
      </c>
      <c r="E1872" s="59" t="n">
        <v>11483370</v>
      </c>
      <c r="F1872" s="60" t="n">
        <v>0.56</v>
      </c>
      <c r="G1872" s="61" t="n">
        <v>0</v>
      </c>
      <c r="H1872" s="61" t="n">
        <v>0</v>
      </c>
      <c r="I1872" s="61" t="n">
        <v>0.55</v>
      </c>
      <c r="J1872" s="61" t="n">
        <v>0</v>
      </c>
      <c r="K1872" s="61" t="n">
        <v>0</v>
      </c>
      <c r="L1872" s="61" t="n">
        <v>0.01</v>
      </c>
      <c r="M1872" s="61" t="n">
        <v>0</v>
      </c>
      <c r="N1872" s="61" t="n">
        <v>0</v>
      </c>
      <c r="O1872" s="61" t="n">
        <v>0</v>
      </c>
      <c r="P1872" s="62" t="n">
        <v>642.9</v>
      </c>
      <c r="Q1872" s="0" t="n">
        <v>0</v>
      </c>
      <c r="R1872" s="60" t="n">
        <f aca="false">G1872+H1872+I1872</f>
        <v>0.55</v>
      </c>
      <c r="S1872" s="60" t="n">
        <f aca="false">K1872+L1872+M1872+N1872+O1872</f>
        <v>0.01</v>
      </c>
      <c r="T1872" s="60" t="n">
        <f aca="false">L1872+M1872</f>
        <v>0.01</v>
      </c>
      <c r="U1872" s="60" t="n">
        <f aca="false">S1872+J1872</f>
        <v>0.01</v>
      </c>
      <c r="V1872" s="63" t="n">
        <f aca="false">IFERROR(S1872/F1872,0)</f>
        <v>0.0178571428571429</v>
      </c>
      <c r="W1872" s="63" t="n">
        <f aca="false">IFERROR(R1872/F1872,0)</f>
        <v>0.982142857142857</v>
      </c>
      <c r="X1872" s="63" t="n">
        <f aca="false">IFERROR(T1872/F1872,0)</f>
        <v>0.0178571428571429</v>
      </c>
      <c r="Y1872" s="63" t="n">
        <f aca="false">IFERROR(G1872/F1872,0)</f>
        <v>0</v>
      </c>
      <c r="Z1872" s="59" t="n">
        <f aca="false">IF(E1872&gt;0,F1872*1000000000/E1872,"")</f>
        <v>48.766172299595</v>
      </c>
      <c r="AA1872" s="63" t="n">
        <f aca="false">IFERROR((R1872+S1872+J1872)/F1872,0)</f>
        <v>1</v>
      </c>
      <c r="AB1872" s="0" t="str">
        <f aca="false">A1872&amp;"|"&amp;D1872</f>
        <v>South Sudan|2023</v>
      </c>
    </row>
    <row r="1873" customFormat="false" ht="15" hidden="false" customHeight="false" outlineLevel="0" collapsed="false">
      <c r="A1873" s="0" t="s">
        <v>359</v>
      </c>
      <c r="B1873" s="0" t="s">
        <v>598</v>
      </c>
      <c r="C1873" s="0" t="s">
        <v>127</v>
      </c>
      <c r="D1873" s="0" t="n">
        <v>2024</v>
      </c>
      <c r="E1873" s="59" t="n">
        <v>11943410</v>
      </c>
      <c r="F1873" s="60" t="n">
        <v>0.56</v>
      </c>
      <c r="G1873" s="61" t="n">
        <v>0</v>
      </c>
      <c r="H1873" s="61" t="n">
        <v>0</v>
      </c>
      <c r="I1873" s="61" t="n">
        <v>0.55</v>
      </c>
      <c r="J1873" s="61" t="n">
        <v>0</v>
      </c>
      <c r="K1873" s="61" t="n">
        <v>0</v>
      </c>
      <c r="L1873" s="61" t="n">
        <v>0.01</v>
      </c>
      <c r="M1873" s="61" t="n">
        <v>0</v>
      </c>
      <c r="N1873" s="61" t="n">
        <v>0</v>
      </c>
      <c r="O1873" s="61" t="n">
        <v>0</v>
      </c>
      <c r="P1873" s="62" t="n">
        <v>642.9</v>
      </c>
      <c r="Q1873" s="0" t="n">
        <v>0</v>
      </c>
      <c r="R1873" s="60" t="n">
        <f aca="false">G1873+H1873+I1873</f>
        <v>0.55</v>
      </c>
      <c r="S1873" s="60" t="n">
        <f aca="false">K1873+L1873+M1873+N1873+O1873</f>
        <v>0.01</v>
      </c>
      <c r="T1873" s="60" t="n">
        <f aca="false">L1873+M1873</f>
        <v>0.01</v>
      </c>
      <c r="U1873" s="60" t="n">
        <f aca="false">S1873+J1873</f>
        <v>0.01</v>
      </c>
      <c r="V1873" s="63" t="n">
        <f aca="false">IFERROR(S1873/F1873,0)</f>
        <v>0.0178571428571429</v>
      </c>
      <c r="W1873" s="63" t="n">
        <f aca="false">IFERROR(R1873/F1873,0)</f>
        <v>0.982142857142857</v>
      </c>
      <c r="X1873" s="63" t="n">
        <f aca="false">IFERROR(T1873/F1873,0)</f>
        <v>0.0178571428571429</v>
      </c>
      <c r="Y1873" s="63" t="n">
        <f aca="false">IFERROR(G1873/F1873,0)</f>
        <v>0</v>
      </c>
      <c r="Z1873" s="59" t="n">
        <f aca="false">IF(E1873&gt;0,F1873*1000000000/E1873,"")</f>
        <v>46.8877816302044</v>
      </c>
      <c r="AA1873" s="63" t="n">
        <f aca="false">IFERROR((R1873+S1873+J1873)/F1873,0)</f>
        <v>1</v>
      </c>
      <c r="AB1873" s="0" t="str">
        <f aca="false">A1873&amp;"|"&amp;D1873</f>
        <v>South Sudan|2024</v>
      </c>
    </row>
    <row r="1874" customFormat="false" ht="15" hidden="false" customHeight="false" outlineLevel="0" collapsed="false">
      <c r="A1874" s="0" t="s">
        <v>360</v>
      </c>
      <c r="B1874" s="0" t="s">
        <v>599</v>
      </c>
      <c r="C1874" s="0" t="s">
        <v>127</v>
      </c>
      <c r="D1874" s="0" t="n">
        <v>2015</v>
      </c>
      <c r="E1874" s="59" t="n">
        <v>46683683</v>
      </c>
      <c r="F1874" s="60" t="n">
        <v>277.17</v>
      </c>
      <c r="G1874" s="61" t="n">
        <v>51.37</v>
      </c>
      <c r="H1874" s="61" t="n">
        <v>52.5</v>
      </c>
      <c r="I1874" s="61" t="n">
        <v>19.02</v>
      </c>
      <c r="J1874" s="61" t="n">
        <v>57.2</v>
      </c>
      <c r="K1874" s="61" t="n">
        <v>28.14</v>
      </c>
      <c r="L1874" s="61" t="n">
        <v>13.86</v>
      </c>
      <c r="M1874" s="61" t="n">
        <v>49.32</v>
      </c>
      <c r="N1874" s="61" t="n">
        <v>5.76</v>
      </c>
      <c r="O1874" s="61" t="n">
        <v>0</v>
      </c>
      <c r="P1874" s="62" t="n">
        <v>328.5</v>
      </c>
      <c r="Q1874" s="0" t="n">
        <v>0</v>
      </c>
      <c r="R1874" s="60" t="n">
        <f aca="false">G1874+H1874+I1874</f>
        <v>122.89</v>
      </c>
      <c r="S1874" s="60" t="n">
        <f aca="false">K1874+L1874+M1874+N1874+O1874</f>
        <v>97.08</v>
      </c>
      <c r="T1874" s="60" t="n">
        <f aca="false">L1874+M1874</f>
        <v>63.18</v>
      </c>
      <c r="U1874" s="60" t="n">
        <f aca="false">S1874+J1874</f>
        <v>154.28</v>
      </c>
      <c r="V1874" s="63" t="n">
        <f aca="false">IFERROR(S1874/F1874,0)</f>
        <v>0.350254356532092</v>
      </c>
      <c r="W1874" s="63" t="n">
        <f aca="false">IFERROR(R1874/F1874,0)</f>
        <v>0.44337410253635</v>
      </c>
      <c r="X1874" s="63" t="n">
        <f aca="false">IFERROR(T1874/F1874,0)</f>
        <v>0.227946747483494</v>
      </c>
      <c r="Y1874" s="63" t="n">
        <f aca="false">IFERROR(G1874/F1874,0)</f>
        <v>0.185337518490457</v>
      </c>
      <c r="Z1874" s="59" t="n">
        <f aca="false">IF(E1874&gt;0,F1874*1000000000/E1874,"")</f>
        <v>5937.19223052731</v>
      </c>
      <c r="AA1874" s="63" t="n">
        <f aca="false">IFERROR((R1874+S1874+J1874)/F1874,0)</f>
        <v>1</v>
      </c>
      <c r="AB1874" s="0" t="str">
        <f aca="false">A1874&amp;"|"&amp;D1874</f>
        <v>Spain|2015</v>
      </c>
    </row>
    <row r="1875" customFormat="false" ht="15" hidden="false" customHeight="false" outlineLevel="0" collapsed="false">
      <c r="A1875" s="0" t="s">
        <v>360</v>
      </c>
      <c r="B1875" s="0" t="s">
        <v>599</v>
      </c>
      <c r="C1875" s="0" t="s">
        <v>127</v>
      </c>
      <c r="D1875" s="0" t="n">
        <v>2016</v>
      </c>
      <c r="E1875" s="59" t="n">
        <v>46732768</v>
      </c>
      <c r="F1875" s="60" t="n">
        <v>270.7</v>
      </c>
      <c r="G1875" s="61" t="n">
        <v>36.43</v>
      </c>
      <c r="H1875" s="61" t="n">
        <v>52.83</v>
      </c>
      <c r="I1875" s="61" t="n">
        <v>18.18</v>
      </c>
      <c r="J1875" s="61" t="n">
        <v>58.63</v>
      </c>
      <c r="K1875" s="61" t="n">
        <v>36.4</v>
      </c>
      <c r="L1875" s="61" t="n">
        <v>13.64</v>
      </c>
      <c r="M1875" s="61" t="n">
        <v>48.9</v>
      </c>
      <c r="N1875" s="61" t="n">
        <v>5.69</v>
      </c>
      <c r="O1875" s="61" t="n">
        <v>0</v>
      </c>
      <c r="P1875" s="62" t="n">
        <v>282.9</v>
      </c>
      <c r="Q1875" s="0" t="n">
        <v>0</v>
      </c>
      <c r="R1875" s="60" t="n">
        <f aca="false">G1875+H1875+I1875</f>
        <v>107.44</v>
      </c>
      <c r="S1875" s="60" t="n">
        <f aca="false">K1875+L1875+M1875+N1875+O1875</f>
        <v>104.63</v>
      </c>
      <c r="T1875" s="60" t="n">
        <f aca="false">L1875+M1875</f>
        <v>62.54</v>
      </c>
      <c r="U1875" s="60" t="n">
        <f aca="false">S1875+J1875</f>
        <v>163.26</v>
      </c>
      <c r="V1875" s="63" t="n">
        <f aca="false">IFERROR(S1875/F1875,0)</f>
        <v>0.386516438862209</v>
      </c>
      <c r="W1875" s="63" t="n">
        <f aca="false">IFERROR(R1875/F1875,0)</f>
        <v>0.396896933875139</v>
      </c>
      <c r="X1875" s="63" t="n">
        <f aca="false">IFERROR(T1875/F1875,0)</f>
        <v>0.231030661248615</v>
      </c>
      <c r="Y1875" s="63" t="n">
        <f aca="false">IFERROR(G1875/F1875,0)</f>
        <v>0.134577022534171</v>
      </c>
      <c r="Z1875" s="59" t="n">
        <f aca="false">IF(E1875&gt;0,F1875*1000000000/E1875,"")</f>
        <v>5792.50944433679</v>
      </c>
      <c r="AA1875" s="63" t="n">
        <f aca="false">IFERROR((R1875+S1875+J1875)/F1875,0)</f>
        <v>1</v>
      </c>
      <c r="AB1875" s="0" t="str">
        <f aca="false">A1875&amp;"|"&amp;D1875</f>
        <v>Spain|2016</v>
      </c>
    </row>
    <row r="1876" customFormat="false" ht="15" hidden="false" customHeight="false" outlineLevel="0" collapsed="false">
      <c r="A1876" s="0" t="s">
        <v>360</v>
      </c>
      <c r="B1876" s="0" t="s">
        <v>599</v>
      </c>
      <c r="C1876" s="0" t="s">
        <v>127</v>
      </c>
      <c r="D1876" s="0" t="n">
        <v>2017</v>
      </c>
      <c r="E1876" s="59" t="n">
        <v>46868594</v>
      </c>
      <c r="F1876" s="60" t="n">
        <v>272.38</v>
      </c>
      <c r="G1876" s="61" t="n">
        <v>45.13</v>
      </c>
      <c r="H1876" s="61" t="n">
        <v>64.04</v>
      </c>
      <c r="I1876" s="61" t="n">
        <v>17.24</v>
      </c>
      <c r="J1876" s="61" t="n">
        <v>58.04</v>
      </c>
      <c r="K1876" s="61" t="n">
        <v>18.32</v>
      </c>
      <c r="L1876" s="61" t="n">
        <v>14.4</v>
      </c>
      <c r="M1876" s="61" t="n">
        <v>49.13</v>
      </c>
      <c r="N1876" s="61" t="n">
        <v>6.08</v>
      </c>
      <c r="O1876" s="61" t="n">
        <v>0</v>
      </c>
      <c r="P1876" s="62" t="n">
        <v>329.2</v>
      </c>
      <c r="Q1876" s="0" t="n">
        <v>0</v>
      </c>
      <c r="R1876" s="60" t="n">
        <f aca="false">G1876+H1876+I1876</f>
        <v>126.41</v>
      </c>
      <c r="S1876" s="60" t="n">
        <f aca="false">K1876+L1876+M1876+N1876+O1876</f>
        <v>87.93</v>
      </c>
      <c r="T1876" s="60" t="n">
        <f aca="false">L1876+M1876</f>
        <v>63.53</v>
      </c>
      <c r="U1876" s="60" t="n">
        <f aca="false">S1876+J1876</f>
        <v>145.97</v>
      </c>
      <c r="V1876" s="63" t="n">
        <f aca="false">IFERROR(S1876/F1876,0)</f>
        <v>0.322821058814891</v>
      </c>
      <c r="W1876" s="63" t="n">
        <f aca="false">IFERROR(R1876/F1876,0)</f>
        <v>0.46409428004993</v>
      </c>
      <c r="X1876" s="63" t="n">
        <f aca="false">IFERROR(T1876/F1876,0)</f>
        <v>0.233240326015126</v>
      </c>
      <c r="Y1876" s="63" t="n">
        <f aca="false">IFERROR(G1876/F1876,0)</f>
        <v>0.165687642264483</v>
      </c>
      <c r="Z1876" s="59" t="n">
        <f aca="false">IF(E1876&gt;0,F1876*1000000000/E1876,"")</f>
        <v>5811.56754990346</v>
      </c>
      <c r="AA1876" s="63" t="n">
        <f aca="false">IFERROR((R1876+S1876+J1876)/F1876,0)</f>
        <v>1</v>
      </c>
      <c r="AB1876" s="0" t="str">
        <f aca="false">A1876&amp;"|"&amp;D1876</f>
        <v>Spain|2017</v>
      </c>
    </row>
    <row r="1877" customFormat="false" ht="15" hidden="false" customHeight="false" outlineLevel="0" collapsed="false">
      <c r="A1877" s="0" t="s">
        <v>360</v>
      </c>
      <c r="B1877" s="0" t="s">
        <v>599</v>
      </c>
      <c r="C1877" s="0" t="s">
        <v>127</v>
      </c>
      <c r="D1877" s="0" t="n">
        <v>2018</v>
      </c>
      <c r="E1877" s="59" t="n">
        <v>47092817</v>
      </c>
      <c r="F1877" s="60" t="n">
        <v>271.4</v>
      </c>
      <c r="G1877" s="61" t="n">
        <v>37.34</v>
      </c>
      <c r="H1877" s="61" t="n">
        <v>58</v>
      </c>
      <c r="I1877" s="61" t="n">
        <v>16.42</v>
      </c>
      <c r="J1877" s="61" t="n">
        <v>55.77</v>
      </c>
      <c r="K1877" s="61" t="n">
        <v>34.33</v>
      </c>
      <c r="L1877" s="61" t="n">
        <v>12.74</v>
      </c>
      <c r="M1877" s="61" t="n">
        <v>50.89</v>
      </c>
      <c r="N1877" s="61" t="n">
        <v>5.91</v>
      </c>
      <c r="O1877" s="61" t="n">
        <v>0</v>
      </c>
      <c r="P1877" s="62" t="n">
        <v>290.9</v>
      </c>
      <c r="Q1877" s="0" t="n">
        <v>0</v>
      </c>
      <c r="R1877" s="60" t="n">
        <f aca="false">G1877+H1877+I1877</f>
        <v>111.76</v>
      </c>
      <c r="S1877" s="60" t="n">
        <f aca="false">K1877+L1877+M1877+N1877+O1877</f>
        <v>103.87</v>
      </c>
      <c r="T1877" s="60" t="n">
        <f aca="false">L1877+M1877</f>
        <v>63.63</v>
      </c>
      <c r="U1877" s="60" t="n">
        <f aca="false">S1877+J1877</f>
        <v>159.64</v>
      </c>
      <c r="V1877" s="63" t="n">
        <f aca="false">IFERROR(S1877/F1877,0)</f>
        <v>0.382719233603537</v>
      </c>
      <c r="W1877" s="63" t="n">
        <f aca="false">IFERROR(R1877/F1877,0)</f>
        <v>0.411790714812086</v>
      </c>
      <c r="X1877" s="63" t="n">
        <f aca="false">IFERROR(T1877/F1877,0)</f>
        <v>0.234450994841562</v>
      </c>
      <c r="Y1877" s="63" t="n">
        <f aca="false">IFERROR(G1877/F1877,0)</f>
        <v>0.137582903463523</v>
      </c>
      <c r="Z1877" s="59" t="n">
        <f aca="false">IF(E1877&gt;0,F1877*1000000000/E1877,"")</f>
        <v>5763.086969293</v>
      </c>
      <c r="AA1877" s="63" t="n">
        <f aca="false">IFERROR((R1877+S1877+J1877)/F1877,0)</f>
        <v>1</v>
      </c>
      <c r="AB1877" s="0" t="str">
        <f aca="false">A1877&amp;"|"&amp;D1877</f>
        <v>Spain|2018</v>
      </c>
    </row>
    <row r="1878" customFormat="false" ht="15" hidden="false" customHeight="false" outlineLevel="0" collapsed="false">
      <c r="A1878" s="0" t="s">
        <v>360</v>
      </c>
      <c r="B1878" s="0" t="s">
        <v>599</v>
      </c>
      <c r="C1878" s="0" t="s">
        <v>127</v>
      </c>
      <c r="D1878" s="0" t="n">
        <v>2019</v>
      </c>
      <c r="E1878" s="59" t="n">
        <v>47435121</v>
      </c>
      <c r="F1878" s="60" t="n">
        <v>270.52</v>
      </c>
      <c r="G1878" s="61" t="n">
        <v>12.86</v>
      </c>
      <c r="H1878" s="61" t="n">
        <v>83.71</v>
      </c>
      <c r="I1878" s="61" t="n">
        <v>14.61</v>
      </c>
      <c r="J1878" s="61" t="n">
        <v>58.35</v>
      </c>
      <c r="K1878" s="61" t="n">
        <v>24.65</v>
      </c>
      <c r="L1878" s="61" t="n">
        <v>15.1</v>
      </c>
      <c r="M1878" s="61" t="n">
        <v>55.65</v>
      </c>
      <c r="N1878" s="61" t="n">
        <v>5.57</v>
      </c>
      <c r="O1878" s="61" t="n">
        <v>0.02</v>
      </c>
      <c r="P1878" s="62" t="n">
        <v>246.7</v>
      </c>
      <c r="Q1878" s="0" t="n">
        <v>0</v>
      </c>
      <c r="R1878" s="60" t="n">
        <f aca="false">G1878+H1878+I1878</f>
        <v>111.18</v>
      </c>
      <c r="S1878" s="60" t="n">
        <f aca="false">K1878+L1878+M1878+N1878+O1878</f>
        <v>100.99</v>
      </c>
      <c r="T1878" s="60" t="n">
        <f aca="false">L1878+M1878</f>
        <v>70.75</v>
      </c>
      <c r="U1878" s="60" t="n">
        <f aca="false">S1878+J1878</f>
        <v>159.34</v>
      </c>
      <c r="V1878" s="63" t="n">
        <f aca="false">IFERROR(S1878/F1878,0)</f>
        <v>0.373318054117995</v>
      </c>
      <c r="W1878" s="63" t="n">
        <f aca="false">IFERROR(R1878/F1878,0)</f>
        <v>0.410986248706196</v>
      </c>
      <c r="X1878" s="63" t="n">
        <f aca="false">IFERROR(T1878/F1878,0)</f>
        <v>0.261533343190892</v>
      </c>
      <c r="Y1878" s="63" t="n">
        <f aca="false">IFERROR(G1878/F1878,0)</f>
        <v>0.0475380748188674</v>
      </c>
      <c r="Z1878" s="59" t="n">
        <f aca="false">IF(E1878&gt;0,F1878*1000000000/E1878,"")</f>
        <v>5702.94740051364</v>
      </c>
      <c r="AA1878" s="63" t="n">
        <f aca="false">IFERROR((R1878+S1878+J1878)/F1878,0)</f>
        <v>1</v>
      </c>
      <c r="AB1878" s="0" t="str">
        <f aca="false">A1878&amp;"|"&amp;D1878</f>
        <v>Spain|2019</v>
      </c>
    </row>
    <row r="1879" customFormat="false" ht="15" hidden="false" customHeight="false" outlineLevel="0" collapsed="false">
      <c r="A1879" s="0" t="s">
        <v>360</v>
      </c>
      <c r="B1879" s="0" t="s">
        <v>599</v>
      </c>
      <c r="C1879" s="0" t="s">
        <v>127</v>
      </c>
      <c r="D1879" s="0" t="n">
        <v>2020</v>
      </c>
      <c r="E1879" s="59" t="n">
        <v>47679482</v>
      </c>
      <c r="F1879" s="60" t="n">
        <v>259.47</v>
      </c>
      <c r="G1879" s="61" t="n">
        <v>5.52</v>
      </c>
      <c r="H1879" s="61" t="n">
        <v>69.74</v>
      </c>
      <c r="I1879" s="61" t="n">
        <v>12.12</v>
      </c>
      <c r="J1879" s="61" t="n">
        <v>58.3</v>
      </c>
      <c r="K1879" s="61" t="n">
        <v>30.51</v>
      </c>
      <c r="L1879" s="61" t="n">
        <v>20.67</v>
      </c>
      <c r="M1879" s="61" t="n">
        <v>56.44</v>
      </c>
      <c r="N1879" s="61" t="n">
        <v>6.14</v>
      </c>
      <c r="O1879" s="61" t="n">
        <v>0.03</v>
      </c>
      <c r="P1879" s="62" t="n">
        <v>199.1</v>
      </c>
      <c r="Q1879" s="0" t="n">
        <v>0</v>
      </c>
      <c r="R1879" s="60" t="n">
        <f aca="false">G1879+H1879+I1879</f>
        <v>87.38</v>
      </c>
      <c r="S1879" s="60" t="n">
        <f aca="false">K1879+L1879+M1879+N1879+O1879</f>
        <v>113.79</v>
      </c>
      <c r="T1879" s="60" t="n">
        <f aca="false">L1879+M1879</f>
        <v>77.11</v>
      </c>
      <c r="U1879" s="60" t="n">
        <f aca="false">S1879+J1879</f>
        <v>172.09</v>
      </c>
      <c r="V1879" s="63" t="n">
        <f aca="false">IFERROR(S1879/F1879,0)</f>
        <v>0.43854780899526</v>
      </c>
      <c r="W1879" s="63" t="n">
        <f aca="false">IFERROR(R1879/F1879,0)</f>
        <v>0.336763402320114</v>
      </c>
      <c r="X1879" s="63" t="n">
        <f aca="false">IFERROR(T1879/F1879,0)</f>
        <v>0.297182718618723</v>
      </c>
      <c r="Y1879" s="63" t="n">
        <f aca="false">IFERROR(G1879/F1879,0)</f>
        <v>0.0212741357382356</v>
      </c>
      <c r="Z1879" s="59" t="n">
        <f aca="false">IF(E1879&gt;0,F1879*1000000000/E1879,"")</f>
        <v>5441.96348441873</v>
      </c>
      <c r="AA1879" s="63" t="n">
        <f aca="false">IFERROR((R1879+S1879+J1879)/F1879,0)</f>
        <v>1</v>
      </c>
      <c r="AB1879" s="0" t="str">
        <f aca="false">A1879&amp;"|"&amp;D1879</f>
        <v>Spain|2020</v>
      </c>
    </row>
    <row r="1880" customFormat="false" ht="15" hidden="false" customHeight="false" outlineLevel="0" collapsed="false">
      <c r="A1880" s="0" t="s">
        <v>360</v>
      </c>
      <c r="B1880" s="0" t="s">
        <v>599</v>
      </c>
      <c r="C1880" s="0" t="s">
        <v>127</v>
      </c>
      <c r="D1880" s="0" t="n">
        <v>2021</v>
      </c>
      <c r="E1880" s="59" t="n">
        <v>47735670</v>
      </c>
      <c r="F1880" s="60" t="n">
        <v>270.75</v>
      </c>
      <c r="G1880" s="61" t="n">
        <v>4.86</v>
      </c>
      <c r="H1880" s="61" t="n">
        <v>71.5</v>
      </c>
      <c r="I1880" s="61" t="n">
        <v>12.08</v>
      </c>
      <c r="J1880" s="61" t="n">
        <v>56.56</v>
      </c>
      <c r="K1880" s="61" t="n">
        <v>29.63</v>
      </c>
      <c r="L1880" s="61" t="n">
        <v>27.1</v>
      </c>
      <c r="M1880" s="61" t="n">
        <v>62.06</v>
      </c>
      <c r="N1880" s="61" t="n">
        <v>6.94</v>
      </c>
      <c r="O1880" s="61" t="n">
        <v>0.02</v>
      </c>
      <c r="P1880" s="62" t="n">
        <v>193.5</v>
      </c>
      <c r="Q1880" s="0" t="n">
        <v>0</v>
      </c>
      <c r="R1880" s="60" t="n">
        <f aca="false">G1880+H1880+I1880</f>
        <v>88.44</v>
      </c>
      <c r="S1880" s="60" t="n">
        <f aca="false">K1880+L1880+M1880+N1880+O1880</f>
        <v>125.75</v>
      </c>
      <c r="T1880" s="60" t="n">
        <f aca="false">L1880+M1880</f>
        <v>89.16</v>
      </c>
      <c r="U1880" s="60" t="n">
        <f aca="false">S1880+J1880</f>
        <v>182.31</v>
      </c>
      <c r="V1880" s="63" t="n">
        <f aca="false">IFERROR(S1880/F1880,0)</f>
        <v>0.464450600184672</v>
      </c>
      <c r="W1880" s="63" t="n">
        <f aca="false">IFERROR(R1880/F1880,0)</f>
        <v>0.326648199445983</v>
      </c>
      <c r="X1880" s="63" t="n">
        <f aca="false">IFERROR(T1880/F1880,0)</f>
        <v>0.329307479224377</v>
      </c>
      <c r="Y1880" s="63" t="n">
        <f aca="false">IFERROR(G1880/F1880,0)</f>
        <v>0.0179501385041551</v>
      </c>
      <c r="Z1880" s="59" t="n">
        <f aca="false">IF(E1880&gt;0,F1880*1000000000/E1880,"")</f>
        <v>5671.85921974071</v>
      </c>
      <c r="AA1880" s="63" t="n">
        <f aca="false">IFERROR((R1880+S1880+J1880)/F1880,0)</f>
        <v>1</v>
      </c>
      <c r="AB1880" s="0" t="str">
        <f aca="false">A1880&amp;"|"&amp;D1880</f>
        <v>Spain|2021</v>
      </c>
    </row>
    <row r="1881" customFormat="false" ht="15" hidden="false" customHeight="false" outlineLevel="0" collapsed="false">
      <c r="A1881" s="0" t="s">
        <v>360</v>
      </c>
      <c r="B1881" s="0" t="s">
        <v>599</v>
      </c>
      <c r="C1881" s="0" t="s">
        <v>127</v>
      </c>
      <c r="D1881" s="0" t="n">
        <v>2022</v>
      </c>
      <c r="E1881" s="59" t="n">
        <v>47828386</v>
      </c>
      <c r="F1881" s="60" t="n">
        <v>287.15</v>
      </c>
      <c r="G1881" s="61" t="n">
        <v>7.86</v>
      </c>
      <c r="H1881" s="61" t="n">
        <v>86.1</v>
      </c>
      <c r="I1881" s="61" t="n">
        <v>11.69</v>
      </c>
      <c r="J1881" s="61" t="n">
        <v>58.59</v>
      </c>
      <c r="K1881" s="61" t="n">
        <v>17.59</v>
      </c>
      <c r="L1881" s="61" t="n">
        <v>35.72</v>
      </c>
      <c r="M1881" s="61" t="n">
        <v>62.78</v>
      </c>
      <c r="N1881" s="61" t="n">
        <v>6.8</v>
      </c>
      <c r="O1881" s="61" t="n">
        <v>0.02</v>
      </c>
      <c r="P1881" s="62" t="n">
        <v>217.1</v>
      </c>
      <c r="Q1881" s="0" t="n">
        <v>0</v>
      </c>
      <c r="R1881" s="60" t="n">
        <f aca="false">G1881+H1881+I1881</f>
        <v>105.65</v>
      </c>
      <c r="S1881" s="60" t="n">
        <f aca="false">K1881+L1881+M1881+N1881+O1881</f>
        <v>122.91</v>
      </c>
      <c r="T1881" s="60" t="n">
        <f aca="false">L1881+M1881</f>
        <v>98.5</v>
      </c>
      <c r="U1881" s="60" t="n">
        <f aca="false">S1881+J1881</f>
        <v>181.5</v>
      </c>
      <c r="V1881" s="63" t="n">
        <f aca="false">IFERROR(S1881/F1881,0)</f>
        <v>0.428034128504266</v>
      </c>
      <c r="W1881" s="63" t="n">
        <f aca="false">IFERROR(R1881/F1881,0)</f>
        <v>0.367926170990771</v>
      </c>
      <c r="X1881" s="63" t="n">
        <f aca="false">IFERROR(T1881/F1881,0)</f>
        <v>0.343026292878287</v>
      </c>
      <c r="Y1881" s="63" t="n">
        <f aca="false">IFERROR(G1881/F1881,0)</f>
        <v>0.0273724534215567</v>
      </c>
      <c r="Z1881" s="59" t="n">
        <f aca="false">IF(E1881&gt;0,F1881*1000000000/E1881,"")</f>
        <v>6003.75684849579</v>
      </c>
      <c r="AA1881" s="63" t="n">
        <f aca="false">IFERROR((R1881+S1881+J1881)/F1881,0)</f>
        <v>1</v>
      </c>
      <c r="AB1881" s="0" t="str">
        <f aca="false">A1881&amp;"|"&amp;D1881</f>
        <v>Spain|2022</v>
      </c>
    </row>
    <row r="1882" customFormat="false" ht="15" hidden="false" customHeight="false" outlineLevel="0" collapsed="false">
      <c r="A1882" s="0" t="s">
        <v>360</v>
      </c>
      <c r="B1882" s="0" t="s">
        <v>599</v>
      </c>
      <c r="C1882" s="0" t="s">
        <v>127</v>
      </c>
      <c r="D1882" s="0" t="n">
        <v>2023</v>
      </c>
      <c r="E1882" s="59" t="n">
        <v>47911583</v>
      </c>
      <c r="F1882" s="60" t="n">
        <v>279.11</v>
      </c>
      <c r="G1882" s="61" t="n">
        <v>3.62</v>
      </c>
      <c r="H1882" s="61" t="n">
        <v>64.36</v>
      </c>
      <c r="I1882" s="61" t="n">
        <v>10.48</v>
      </c>
      <c r="J1882" s="61" t="n">
        <v>56.87</v>
      </c>
      <c r="K1882" s="61" t="n">
        <v>25</v>
      </c>
      <c r="L1882" s="61" t="n">
        <v>48.59</v>
      </c>
      <c r="M1882" s="61" t="n">
        <v>64.28</v>
      </c>
      <c r="N1882" s="61" t="n">
        <v>5.9</v>
      </c>
      <c r="O1882" s="61" t="n">
        <v>0.01</v>
      </c>
      <c r="P1882" s="62" t="n">
        <v>169.7</v>
      </c>
      <c r="Q1882" s="0" t="n">
        <v>0</v>
      </c>
      <c r="R1882" s="60" t="n">
        <f aca="false">G1882+H1882+I1882</f>
        <v>78.46</v>
      </c>
      <c r="S1882" s="60" t="n">
        <f aca="false">K1882+L1882+M1882+N1882+O1882</f>
        <v>143.78</v>
      </c>
      <c r="T1882" s="60" t="n">
        <f aca="false">L1882+M1882</f>
        <v>112.87</v>
      </c>
      <c r="U1882" s="60" t="n">
        <f aca="false">S1882+J1882</f>
        <v>200.65</v>
      </c>
      <c r="V1882" s="63" t="n">
        <f aca="false">IFERROR(S1882/F1882,0)</f>
        <v>0.515137401024686</v>
      </c>
      <c r="W1882" s="63" t="n">
        <f aca="false">IFERROR(R1882/F1882,0)</f>
        <v>0.28110780695783</v>
      </c>
      <c r="X1882" s="63" t="n">
        <f aca="false">IFERROR(T1882/F1882,0)</f>
        <v>0.404392533409767</v>
      </c>
      <c r="Y1882" s="63" t="n">
        <f aca="false">IFERROR(G1882/F1882,0)</f>
        <v>0.0129697968542868</v>
      </c>
      <c r="Z1882" s="59" t="n">
        <f aca="false">IF(E1882&gt;0,F1882*1000000000/E1882,"")</f>
        <v>5825.52240029306</v>
      </c>
      <c r="AA1882" s="63" t="n">
        <f aca="false">IFERROR((R1882+S1882+J1882)/F1882,0)</f>
        <v>1</v>
      </c>
      <c r="AB1882" s="0" t="str">
        <f aca="false">A1882&amp;"|"&amp;D1882</f>
        <v>Spain|2023</v>
      </c>
    </row>
    <row r="1883" customFormat="false" ht="15" hidden="false" customHeight="false" outlineLevel="0" collapsed="false">
      <c r="A1883" s="0" t="s">
        <v>360</v>
      </c>
      <c r="B1883" s="0" t="s">
        <v>599</v>
      </c>
      <c r="C1883" s="0" t="s">
        <v>127</v>
      </c>
      <c r="D1883" s="0" t="n">
        <v>2024</v>
      </c>
      <c r="E1883" s="59" t="n">
        <v>47910533</v>
      </c>
      <c r="F1883" s="60" t="n">
        <v>280.94</v>
      </c>
      <c r="G1883" s="61" t="n">
        <v>2.58</v>
      </c>
      <c r="H1883" s="61" t="n">
        <v>52.34</v>
      </c>
      <c r="I1883" s="61" t="n">
        <v>10.41</v>
      </c>
      <c r="J1883" s="61" t="n">
        <v>54.53</v>
      </c>
      <c r="K1883" s="61" t="n">
        <v>34.41</v>
      </c>
      <c r="L1883" s="61" t="n">
        <v>58.29</v>
      </c>
      <c r="M1883" s="61" t="n">
        <v>62.2</v>
      </c>
      <c r="N1883" s="61" t="n">
        <v>6.17</v>
      </c>
      <c r="O1883" s="61" t="n">
        <v>0.01</v>
      </c>
      <c r="P1883" s="62" t="n">
        <v>146.2</v>
      </c>
      <c r="Q1883" s="0" t="n">
        <v>0</v>
      </c>
      <c r="R1883" s="60" t="n">
        <f aca="false">G1883+H1883+I1883</f>
        <v>65.33</v>
      </c>
      <c r="S1883" s="60" t="n">
        <f aca="false">K1883+L1883+M1883+N1883+O1883</f>
        <v>161.08</v>
      </c>
      <c r="T1883" s="60" t="n">
        <f aca="false">L1883+M1883</f>
        <v>120.49</v>
      </c>
      <c r="U1883" s="60" t="n">
        <f aca="false">S1883+J1883</f>
        <v>215.61</v>
      </c>
      <c r="V1883" s="63" t="n">
        <f aca="false">IFERROR(S1883/F1883,0)</f>
        <v>0.5733608599701</v>
      </c>
      <c r="W1883" s="63" t="n">
        <f aca="false">IFERROR(R1883/F1883,0)</f>
        <v>0.232540756033317</v>
      </c>
      <c r="X1883" s="63" t="n">
        <f aca="false">IFERROR(T1883/F1883,0)</f>
        <v>0.428881611732043</v>
      </c>
      <c r="Y1883" s="63" t="n">
        <f aca="false">IFERROR(G1883/F1883,0)</f>
        <v>0.00918345554210864</v>
      </c>
      <c r="Z1883" s="59" t="n">
        <f aca="false">IF(E1883&gt;0,F1883*1000000000/E1883,"")</f>
        <v>5863.84626528784</v>
      </c>
      <c r="AA1883" s="63" t="n">
        <f aca="false">IFERROR((R1883+S1883+J1883)/F1883,0)</f>
        <v>1</v>
      </c>
      <c r="AB1883" s="0" t="str">
        <f aca="false">A1883&amp;"|"&amp;D1883</f>
        <v>Spain|2024</v>
      </c>
    </row>
    <row r="1884" customFormat="false" ht="15" hidden="false" customHeight="false" outlineLevel="0" collapsed="false">
      <c r="A1884" s="0" t="s">
        <v>360</v>
      </c>
      <c r="B1884" s="0" t="s">
        <v>599</v>
      </c>
      <c r="C1884" s="0" t="s">
        <v>127</v>
      </c>
      <c r="D1884" s="0" t="n">
        <v>2025</v>
      </c>
      <c r="E1884" s="59" t="n">
        <v>47889960</v>
      </c>
      <c r="F1884" s="60" t="n">
        <v>287.89</v>
      </c>
      <c r="G1884" s="61" t="n">
        <v>0.92</v>
      </c>
      <c r="H1884" s="61" t="n">
        <v>62.06</v>
      </c>
      <c r="I1884" s="61" t="n">
        <v>10.03</v>
      </c>
      <c r="J1884" s="61" t="n">
        <v>54.07</v>
      </c>
      <c r="K1884" s="61" t="n">
        <v>32.74</v>
      </c>
      <c r="L1884" s="61" t="n">
        <v>62.9</v>
      </c>
      <c r="M1884" s="61" t="n">
        <v>58.76</v>
      </c>
      <c r="N1884" s="61" t="n">
        <v>6.41</v>
      </c>
      <c r="O1884" s="61" t="n">
        <v>0</v>
      </c>
      <c r="P1884" s="62" t="n">
        <v>153.6</v>
      </c>
      <c r="Q1884" s="0" t="n">
        <v>0</v>
      </c>
      <c r="R1884" s="60" t="n">
        <f aca="false">G1884+H1884+I1884</f>
        <v>73.01</v>
      </c>
      <c r="S1884" s="60" t="n">
        <f aca="false">K1884+L1884+M1884+N1884+O1884</f>
        <v>160.81</v>
      </c>
      <c r="T1884" s="60" t="n">
        <f aca="false">L1884+M1884</f>
        <v>121.66</v>
      </c>
      <c r="U1884" s="60" t="n">
        <f aca="false">S1884+J1884</f>
        <v>214.88</v>
      </c>
      <c r="V1884" s="63" t="n">
        <f aca="false">IFERROR(S1884/F1884,0)</f>
        <v>0.558581402619056</v>
      </c>
      <c r="W1884" s="63" t="n">
        <f aca="false">IFERROR(R1884/F1884,0)</f>
        <v>0.253603807009622</v>
      </c>
      <c r="X1884" s="63" t="n">
        <f aca="false">IFERROR(T1884/F1884,0)</f>
        <v>0.422591962207788</v>
      </c>
      <c r="Y1884" s="63" t="n">
        <f aca="false">IFERROR(G1884/F1884,0)</f>
        <v>0.00319566501094168</v>
      </c>
      <c r="Z1884" s="59" t="n">
        <f aca="false">IF(E1884&gt;0,F1884*1000000000/E1884,"")</f>
        <v>6011.48967340963</v>
      </c>
      <c r="AA1884" s="63" t="n">
        <f aca="false">IFERROR((R1884+S1884+J1884)/F1884,0)</f>
        <v>1</v>
      </c>
      <c r="AB1884" s="0" t="str">
        <f aca="false">A1884&amp;"|"&amp;D1884</f>
        <v>Spain|2025</v>
      </c>
    </row>
    <row r="1885" customFormat="false" ht="15" hidden="false" customHeight="false" outlineLevel="0" collapsed="false">
      <c r="A1885" s="0" t="s">
        <v>361</v>
      </c>
      <c r="B1885" s="0" t="s">
        <v>600</v>
      </c>
      <c r="C1885" s="0" t="s">
        <v>127</v>
      </c>
      <c r="D1885" s="0" t="n">
        <v>2015</v>
      </c>
      <c r="E1885" s="59" t="n">
        <v>21729975</v>
      </c>
      <c r="F1885" s="60" t="n">
        <v>13.21</v>
      </c>
      <c r="G1885" s="61" t="n">
        <v>4.46</v>
      </c>
      <c r="H1885" s="61" t="n">
        <v>0</v>
      </c>
      <c r="I1885" s="61" t="n">
        <v>2.31</v>
      </c>
      <c r="J1885" s="61" t="n">
        <v>0</v>
      </c>
      <c r="K1885" s="61" t="n">
        <v>6</v>
      </c>
      <c r="L1885" s="61" t="n">
        <v>0.04</v>
      </c>
      <c r="M1885" s="61" t="n">
        <v>0.34</v>
      </c>
      <c r="N1885" s="61" t="n">
        <v>0.06</v>
      </c>
      <c r="O1885" s="61" t="n">
        <v>0</v>
      </c>
      <c r="P1885" s="62" t="n">
        <v>417.9</v>
      </c>
      <c r="Q1885" s="0" t="n">
        <v>2</v>
      </c>
      <c r="R1885" s="60" t="n">
        <f aca="false">G1885+H1885+I1885</f>
        <v>6.77</v>
      </c>
      <c r="S1885" s="60" t="n">
        <f aca="false">K1885+L1885+M1885+N1885+O1885</f>
        <v>6.44</v>
      </c>
      <c r="T1885" s="60" t="n">
        <f aca="false">L1885+M1885</f>
        <v>0.38</v>
      </c>
      <c r="U1885" s="60" t="n">
        <f aca="false">S1885+J1885</f>
        <v>6.44</v>
      </c>
      <c r="V1885" s="63" t="n">
        <f aca="false">IFERROR(S1885/F1885,0)</f>
        <v>0.487509462528388</v>
      </c>
      <c r="W1885" s="63" t="n">
        <f aca="false">IFERROR(R1885/F1885,0)</f>
        <v>0.512490537471612</v>
      </c>
      <c r="X1885" s="63" t="n">
        <f aca="false">IFERROR(T1885/F1885,0)</f>
        <v>0.0287660862982589</v>
      </c>
      <c r="Y1885" s="63" t="n">
        <f aca="false">IFERROR(G1885/F1885,0)</f>
        <v>0.337623012869039</v>
      </c>
      <c r="Z1885" s="59" t="n">
        <f aca="false">IF(E1885&gt;0,F1885*1000000000/E1885,"")</f>
        <v>607.916023833437</v>
      </c>
      <c r="AA1885" s="63" t="n">
        <f aca="false">IFERROR((R1885+S1885+J1885)/F1885,0)</f>
        <v>1</v>
      </c>
      <c r="AB1885" s="0" t="str">
        <f aca="false">A1885&amp;"|"&amp;D1885</f>
        <v>Sri Lanka|2015</v>
      </c>
    </row>
    <row r="1886" customFormat="false" ht="15" hidden="false" customHeight="false" outlineLevel="0" collapsed="false">
      <c r="A1886" s="0" t="s">
        <v>361</v>
      </c>
      <c r="B1886" s="0" t="s">
        <v>600</v>
      </c>
      <c r="C1886" s="0" t="s">
        <v>127</v>
      </c>
      <c r="D1886" s="0" t="n">
        <v>2016</v>
      </c>
      <c r="E1886" s="59" t="n">
        <v>21910763</v>
      </c>
      <c r="F1886" s="60" t="n">
        <v>14.31</v>
      </c>
      <c r="G1886" s="61" t="n">
        <v>5.07</v>
      </c>
      <c r="H1886" s="61" t="n">
        <v>0</v>
      </c>
      <c r="I1886" s="61" t="n">
        <v>4.52</v>
      </c>
      <c r="J1886" s="61" t="n">
        <v>0</v>
      </c>
      <c r="K1886" s="61" t="n">
        <v>4.25</v>
      </c>
      <c r="L1886" s="61" t="n">
        <v>0.05</v>
      </c>
      <c r="M1886" s="61" t="n">
        <v>0.35</v>
      </c>
      <c r="N1886" s="61" t="n">
        <v>0.07</v>
      </c>
      <c r="O1886" s="61" t="n">
        <v>0</v>
      </c>
      <c r="P1886" s="62" t="n">
        <v>522</v>
      </c>
      <c r="Q1886" s="0" t="n">
        <v>2</v>
      </c>
      <c r="R1886" s="60" t="n">
        <f aca="false">G1886+H1886+I1886</f>
        <v>9.59</v>
      </c>
      <c r="S1886" s="60" t="n">
        <f aca="false">K1886+L1886+M1886+N1886+O1886</f>
        <v>4.72</v>
      </c>
      <c r="T1886" s="60" t="n">
        <f aca="false">L1886+M1886</f>
        <v>0.4</v>
      </c>
      <c r="U1886" s="60" t="n">
        <f aca="false">S1886+J1886</f>
        <v>4.72</v>
      </c>
      <c r="V1886" s="63" t="n">
        <f aca="false">IFERROR(S1886/F1886,0)</f>
        <v>0.3298392732355</v>
      </c>
      <c r="W1886" s="63" t="n">
        <f aca="false">IFERROR(R1886/F1886,0)</f>
        <v>0.6701607267645</v>
      </c>
      <c r="X1886" s="63" t="n">
        <f aca="false">IFERROR(T1886/F1886,0)</f>
        <v>0.0279524807826695</v>
      </c>
      <c r="Y1886" s="63" t="n">
        <f aca="false">IFERROR(G1886/F1886,0)</f>
        <v>0.354297693920335</v>
      </c>
      <c r="Z1886" s="59" t="n">
        <f aca="false">IF(E1886&gt;0,F1886*1000000000/E1886,"")</f>
        <v>653.103682423109</v>
      </c>
      <c r="AA1886" s="63" t="n">
        <f aca="false">IFERROR((R1886+S1886+J1886)/F1886,0)</f>
        <v>1</v>
      </c>
      <c r="AB1886" s="0" t="str">
        <f aca="false">A1886&amp;"|"&amp;D1886</f>
        <v>Sri Lanka|2016</v>
      </c>
    </row>
    <row r="1887" customFormat="false" ht="15" hidden="false" customHeight="false" outlineLevel="0" collapsed="false">
      <c r="A1887" s="0" t="s">
        <v>361</v>
      </c>
      <c r="B1887" s="0" t="s">
        <v>600</v>
      </c>
      <c r="C1887" s="0" t="s">
        <v>127</v>
      </c>
      <c r="D1887" s="0" t="n">
        <v>2017</v>
      </c>
      <c r="E1887" s="59" t="n">
        <v>22087525</v>
      </c>
      <c r="F1887" s="60" t="n">
        <v>14.89</v>
      </c>
      <c r="G1887" s="61" t="n">
        <v>5.12</v>
      </c>
      <c r="H1887" s="61" t="n">
        <v>0</v>
      </c>
      <c r="I1887" s="61" t="n">
        <v>5.15</v>
      </c>
      <c r="J1887" s="61" t="n">
        <v>0</v>
      </c>
      <c r="K1887" s="61" t="n">
        <v>4.03</v>
      </c>
      <c r="L1887" s="61" t="n">
        <v>0.15</v>
      </c>
      <c r="M1887" s="61" t="n">
        <v>0.37</v>
      </c>
      <c r="N1887" s="61" t="n">
        <v>0.07</v>
      </c>
      <c r="O1887" s="61" t="n">
        <v>0</v>
      </c>
      <c r="P1887" s="62" t="n">
        <v>533.2</v>
      </c>
      <c r="Q1887" s="0" t="n">
        <v>2</v>
      </c>
      <c r="R1887" s="60" t="n">
        <f aca="false">G1887+H1887+I1887</f>
        <v>10.27</v>
      </c>
      <c r="S1887" s="60" t="n">
        <f aca="false">K1887+L1887+M1887+N1887+O1887</f>
        <v>4.62</v>
      </c>
      <c r="T1887" s="60" t="n">
        <f aca="false">L1887+M1887</f>
        <v>0.52</v>
      </c>
      <c r="U1887" s="60" t="n">
        <f aca="false">S1887+J1887</f>
        <v>4.62</v>
      </c>
      <c r="V1887" s="63" t="n">
        <f aca="false">IFERROR(S1887/F1887,0)</f>
        <v>0.310275352585628</v>
      </c>
      <c r="W1887" s="63" t="n">
        <f aca="false">IFERROR(R1887/F1887,0)</f>
        <v>0.689724647414372</v>
      </c>
      <c r="X1887" s="63" t="n">
        <f aca="false">IFERROR(T1887/F1887,0)</f>
        <v>0.0349227669576897</v>
      </c>
      <c r="Y1887" s="63" t="n">
        <f aca="false">IFERROR(G1887/F1887,0)</f>
        <v>0.343854936198791</v>
      </c>
      <c r="Z1887" s="59" t="n">
        <f aca="false">IF(E1887&gt;0,F1887*1000000000/E1887,"")</f>
        <v>674.136192262374</v>
      </c>
      <c r="AA1887" s="63" t="n">
        <f aca="false">IFERROR((R1887+S1887+J1887)/F1887,0)</f>
        <v>1</v>
      </c>
      <c r="AB1887" s="0" t="str">
        <f aca="false">A1887&amp;"|"&amp;D1887</f>
        <v>Sri Lanka|2017</v>
      </c>
    </row>
    <row r="1888" customFormat="false" ht="15" hidden="false" customHeight="false" outlineLevel="0" collapsed="false">
      <c r="A1888" s="0" t="s">
        <v>361</v>
      </c>
      <c r="B1888" s="0" t="s">
        <v>600</v>
      </c>
      <c r="C1888" s="0" t="s">
        <v>127</v>
      </c>
      <c r="D1888" s="0" t="n">
        <v>2018</v>
      </c>
      <c r="E1888" s="59" t="n">
        <v>22253116</v>
      </c>
      <c r="F1888" s="60" t="n">
        <v>16.07</v>
      </c>
      <c r="G1888" s="61" t="n">
        <v>5.3</v>
      </c>
      <c r="H1888" s="61" t="n">
        <v>0</v>
      </c>
      <c r="I1888" s="61" t="n">
        <v>3.72</v>
      </c>
      <c r="J1888" s="61" t="n">
        <v>0</v>
      </c>
      <c r="K1888" s="61" t="n">
        <v>6.41</v>
      </c>
      <c r="L1888" s="61" t="n">
        <v>0.22</v>
      </c>
      <c r="M1888" s="61" t="n">
        <v>0.33</v>
      </c>
      <c r="N1888" s="61" t="n">
        <v>0.09</v>
      </c>
      <c r="O1888" s="61" t="n">
        <v>0</v>
      </c>
      <c r="P1888" s="62" t="n">
        <v>448.7</v>
      </c>
      <c r="Q1888" s="0" t="n">
        <v>2</v>
      </c>
      <c r="R1888" s="60" t="n">
        <f aca="false">G1888+H1888+I1888</f>
        <v>9.02</v>
      </c>
      <c r="S1888" s="60" t="n">
        <f aca="false">K1888+L1888+M1888+N1888+O1888</f>
        <v>7.05</v>
      </c>
      <c r="T1888" s="60" t="n">
        <f aca="false">L1888+M1888</f>
        <v>0.55</v>
      </c>
      <c r="U1888" s="60" t="n">
        <f aca="false">S1888+J1888</f>
        <v>7.05</v>
      </c>
      <c r="V1888" s="63" t="n">
        <f aca="false">IFERROR(S1888/F1888,0)</f>
        <v>0.438705662725576</v>
      </c>
      <c r="W1888" s="63" t="n">
        <f aca="false">IFERROR(R1888/F1888,0)</f>
        <v>0.561294337274424</v>
      </c>
      <c r="X1888" s="63" t="n">
        <f aca="false">IFERROR(T1888/F1888,0)</f>
        <v>0.0342252644679527</v>
      </c>
      <c r="Y1888" s="63" t="n">
        <f aca="false">IFERROR(G1888/F1888,0)</f>
        <v>0.329807093963908</v>
      </c>
      <c r="Z1888" s="59" t="n">
        <f aca="false">IF(E1888&gt;0,F1888*1000000000/E1888,"")</f>
        <v>722.146058107098</v>
      </c>
      <c r="AA1888" s="63" t="n">
        <f aca="false">IFERROR((R1888+S1888+J1888)/F1888,0)</f>
        <v>1</v>
      </c>
      <c r="AB1888" s="0" t="str">
        <f aca="false">A1888&amp;"|"&amp;D1888</f>
        <v>Sri Lanka|2018</v>
      </c>
    </row>
    <row r="1889" customFormat="false" ht="15" hidden="false" customHeight="false" outlineLevel="0" collapsed="false">
      <c r="A1889" s="0" t="s">
        <v>361</v>
      </c>
      <c r="B1889" s="0" t="s">
        <v>600</v>
      </c>
      <c r="C1889" s="0" t="s">
        <v>127</v>
      </c>
      <c r="D1889" s="0" t="n">
        <v>2019</v>
      </c>
      <c r="E1889" s="59" t="n">
        <v>22410552</v>
      </c>
      <c r="F1889" s="60" t="n">
        <v>16.67</v>
      </c>
      <c r="G1889" s="61" t="n">
        <v>5.92</v>
      </c>
      <c r="H1889" s="61" t="n">
        <v>0</v>
      </c>
      <c r="I1889" s="61" t="n">
        <v>5.12</v>
      </c>
      <c r="J1889" s="61" t="n">
        <v>0</v>
      </c>
      <c r="K1889" s="61" t="n">
        <v>4.82</v>
      </c>
      <c r="L1889" s="61" t="n">
        <v>0.34</v>
      </c>
      <c r="M1889" s="61" t="n">
        <v>0.35</v>
      </c>
      <c r="N1889" s="61" t="n">
        <v>0.12</v>
      </c>
      <c r="O1889" s="61" t="n">
        <v>0</v>
      </c>
      <c r="P1889" s="62" t="n">
        <v>518.3</v>
      </c>
      <c r="Q1889" s="0" t="n">
        <v>2</v>
      </c>
      <c r="R1889" s="60" t="n">
        <f aca="false">G1889+H1889+I1889</f>
        <v>11.04</v>
      </c>
      <c r="S1889" s="60" t="n">
        <f aca="false">K1889+L1889+M1889+N1889+O1889</f>
        <v>5.63</v>
      </c>
      <c r="T1889" s="60" t="n">
        <f aca="false">L1889+M1889</f>
        <v>0.69</v>
      </c>
      <c r="U1889" s="60" t="n">
        <f aca="false">S1889+J1889</f>
        <v>5.63</v>
      </c>
      <c r="V1889" s="63" t="n">
        <f aca="false">IFERROR(S1889/F1889,0)</f>
        <v>0.337732453509298</v>
      </c>
      <c r="W1889" s="63" t="n">
        <f aca="false">IFERROR(R1889/F1889,0)</f>
        <v>0.662267546490702</v>
      </c>
      <c r="X1889" s="63" t="n">
        <f aca="false">IFERROR(T1889/F1889,0)</f>
        <v>0.0413917216556689</v>
      </c>
      <c r="Y1889" s="63" t="n">
        <f aca="false">IFERROR(G1889/F1889,0)</f>
        <v>0.355128974205159</v>
      </c>
      <c r="Z1889" s="59" t="n">
        <f aca="false">IF(E1889&gt;0,F1889*1000000000/E1889,"")</f>
        <v>743.846023962284</v>
      </c>
      <c r="AA1889" s="63" t="n">
        <f aca="false">IFERROR((R1889+S1889+J1889)/F1889,0)</f>
        <v>1</v>
      </c>
      <c r="AB1889" s="0" t="str">
        <f aca="false">A1889&amp;"|"&amp;D1889</f>
        <v>Sri Lanka|2019</v>
      </c>
    </row>
    <row r="1890" customFormat="false" ht="15" hidden="false" customHeight="false" outlineLevel="0" collapsed="false">
      <c r="A1890" s="0" t="s">
        <v>361</v>
      </c>
      <c r="B1890" s="0" t="s">
        <v>600</v>
      </c>
      <c r="C1890" s="0" t="s">
        <v>127</v>
      </c>
      <c r="D1890" s="0" t="n">
        <v>2020</v>
      </c>
      <c r="E1890" s="59" t="n">
        <v>22561808</v>
      </c>
      <c r="F1890" s="60" t="n">
        <v>16.5</v>
      </c>
      <c r="G1890" s="61" t="n">
        <v>6.36</v>
      </c>
      <c r="H1890" s="61" t="n">
        <v>0</v>
      </c>
      <c r="I1890" s="61" t="n">
        <v>4.27</v>
      </c>
      <c r="J1890" s="61" t="n">
        <v>0</v>
      </c>
      <c r="K1890" s="61" t="n">
        <v>4.98</v>
      </c>
      <c r="L1890" s="61" t="n">
        <v>0.46</v>
      </c>
      <c r="M1890" s="61" t="n">
        <v>0.33</v>
      </c>
      <c r="N1890" s="61" t="n">
        <v>0.1</v>
      </c>
      <c r="O1890" s="61" t="n">
        <v>0</v>
      </c>
      <c r="P1890" s="62" t="n">
        <v>512.7</v>
      </c>
      <c r="Q1890" s="0" t="n">
        <v>1</v>
      </c>
      <c r="R1890" s="60" t="n">
        <f aca="false">G1890+H1890+I1890</f>
        <v>10.63</v>
      </c>
      <c r="S1890" s="60" t="n">
        <f aca="false">K1890+L1890+M1890+N1890+O1890</f>
        <v>5.87</v>
      </c>
      <c r="T1890" s="60" t="n">
        <f aca="false">L1890+M1890</f>
        <v>0.79</v>
      </c>
      <c r="U1890" s="60" t="n">
        <f aca="false">S1890+J1890</f>
        <v>5.87</v>
      </c>
      <c r="V1890" s="63" t="n">
        <f aca="false">IFERROR(S1890/F1890,0)</f>
        <v>0.355757575757576</v>
      </c>
      <c r="W1890" s="63" t="n">
        <f aca="false">IFERROR(R1890/F1890,0)</f>
        <v>0.644242424242424</v>
      </c>
      <c r="X1890" s="63" t="n">
        <f aca="false">IFERROR(T1890/F1890,0)</f>
        <v>0.0478787878787879</v>
      </c>
      <c r="Y1890" s="63" t="n">
        <f aca="false">IFERROR(G1890/F1890,0)</f>
        <v>0.385454545454546</v>
      </c>
      <c r="Z1890" s="59" t="n">
        <f aca="false">IF(E1890&gt;0,F1890*1000000000/E1890,"")</f>
        <v>731.324369039928</v>
      </c>
      <c r="AA1890" s="63" t="n">
        <f aca="false">IFERROR((R1890+S1890+J1890)/F1890,0)</f>
        <v>1</v>
      </c>
      <c r="AB1890" s="0" t="str">
        <f aca="false">A1890&amp;"|"&amp;D1890</f>
        <v>Sri Lanka|2020</v>
      </c>
    </row>
    <row r="1891" customFormat="false" ht="15" hidden="false" customHeight="false" outlineLevel="0" collapsed="false">
      <c r="A1891" s="0" t="s">
        <v>361</v>
      </c>
      <c r="B1891" s="0" t="s">
        <v>600</v>
      </c>
      <c r="C1891" s="0" t="s">
        <v>127</v>
      </c>
      <c r="D1891" s="0" t="n">
        <v>2021</v>
      </c>
      <c r="E1891" s="59" t="n">
        <v>22700377</v>
      </c>
      <c r="F1891" s="60" t="n">
        <v>17.51</v>
      </c>
      <c r="G1891" s="61" t="n">
        <v>6.11</v>
      </c>
      <c r="H1891" s="61" t="n">
        <v>0</v>
      </c>
      <c r="I1891" s="61" t="n">
        <v>2.75</v>
      </c>
      <c r="J1891" s="61" t="n">
        <v>0</v>
      </c>
      <c r="K1891" s="61" t="n">
        <v>7.23</v>
      </c>
      <c r="L1891" s="61" t="n">
        <v>0.64</v>
      </c>
      <c r="M1891" s="61" t="n">
        <v>0.65</v>
      </c>
      <c r="N1891" s="61" t="n">
        <v>0.09</v>
      </c>
      <c r="O1891" s="61" t="n">
        <v>0.04</v>
      </c>
      <c r="P1891" s="62" t="n">
        <v>418.1</v>
      </c>
      <c r="Q1891" s="0" t="n">
        <v>1</v>
      </c>
      <c r="R1891" s="60" t="n">
        <f aca="false">G1891+H1891+I1891</f>
        <v>8.86</v>
      </c>
      <c r="S1891" s="60" t="n">
        <f aca="false">K1891+L1891+M1891+N1891+O1891</f>
        <v>8.65</v>
      </c>
      <c r="T1891" s="60" t="n">
        <f aca="false">L1891+M1891</f>
        <v>1.29</v>
      </c>
      <c r="U1891" s="60" t="n">
        <f aca="false">S1891+J1891</f>
        <v>8.65</v>
      </c>
      <c r="V1891" s="63" t="n">
        <f aca="false">IFERROR(S1891/F1891,0)</f>
        <v>0.494003426613364</v>
      </c>
      <c r="W1891" s="63" t="n">
        <f aca="false">IFERROR(R1891/F1891,0)</f>
        <v>0.505996573386636</v>
      </c>
      <c r="X1891" s="63" t="n">
        <f aca="false">IFERROR(T1891/F1891,0)</f>
        <v>0.0736721873215306</v>
      </c>
      <c r="Y1891" s="63" t="n">
        <f aca="false">IFERROR(G1891/F1891,0)</f>
        <v>0.348943460879497</v>
      </c>
      <c r="Z1891" s="59" t="n">
        <f aca="false">IF(E1891&gt;0,F1891*1000000000/E1891,"")</f>
        <v>771.352828193118</v>
      </c>
      <c r="AA1891" s="63" t="n">
        <f aca="false">IFERROR((R1891+S1891+J1891)/F1891,0)</f>
        <v>1</v>
      </c>
      <c r="AB1891" s="0" t="str">
        <f aca="false">A1891&amp;"|"&amp;D1891</f>
        <v>Sri Lanka|2021</v>
      </c>
    </row>
    <row r="1892" customFormat="false" ht="15" hidden="false" customHeight="false" outlineLevel="0" collapsed="false">
      <c r="A1892" s="0" t="s">
        <v>361</v>
      </c>
      <c r="B1892" s="0" t="s">
        <v>600</v>
      </c>
      <c r="C1892" s="0" t="s">
        <v>127</v>
      </c>
      <c r="D1892" s="0" t="n">
        <v>2022</v>
      </c>
      <c r="E1892" s="59" t="n">
        <v>22834965</v>
      </c>
      <c r="F1892" s="60" t="n">
        <v>16.75</v>
      </c>
      <c r="G1892" s="61" t="n">
        <v>5.73</v>
      </c>
      <c r="H1892" s="61" t="n">
        <v>0</v>
      </c>
      <c r="I1892" s="61" t="n">
        <v>2.59</v>
      </c>
      <c r="J1892" s="61" t="n">
        <v>0</v>
      </c>
      <c r="K1892" s="61" t="n">
        <v>6.77</v>
      </c>
      <c r="L1892" s="61" t="n">
        <v>0.84</v>
      </c>
      <c r="M1892" s="61" t="n">
        <v>0.74</v>
      </c>
      <c r="N1892" s="61" t="n">
        <v>0.05</v>
      </c>
      <c r="O1892" s="61" t="n">
        <v>0.03</v>
      </c>
      <c r="P1892" s="62" t="n">
        <v>410.1</v>
      </c>
      <c r="Q1892" s="0" t="n">
        <v>1</v>
      </c>
      <c r="R1892" s="60" t="n">
        <f aca="false">G1892+H1892+I1892</f>
        <v>8.32</v>
      </c>
      <c r="S1892" s="60" t="n">
        <f aca="false">K1892+L1892+M1892+N1892+O1892</f>
        <v>8.43</v>
      </c>
      <c r="T1892" s="60" t="n">
        <f aca="false">L1892+M1892</f>
        <v>1.58</v>
      </c>
      <c r="U1892" s="60" t="n">
        <f aca="false">S1892+J1892</f>
        <v>8.43</v>
      </c>
      <c r="V1892" s="63" t="n">
        <f aca="false">IFERROR(S1892/F1892,0)</f>
        <v>0.503283582089552</v>
      </c>
      <c r="W1892" s="63" t="n">
        <f aca="false">IFERROR(R1892/F1892,0)</f>
        <v>0.496716417910448</v>
      </c>
      <c r="X1892" s="63" t="n">
        <f aca="false">IFERROR(T1892/F1892,0)</f>
        <v>0.0943283582089552</v>
      </c>
      <c r="Y1892" s="63" t="n">
        <f aca="false">IFERROR(G1892/F1892,0)</f>
        <v>0.342089552238806</v>
      </c>
      <c r="Z1892" s="59" t="n">
        <f aca="false">IF(E1892&gt;0,F1892*1000000000/E1892,"")</f>
        <v>733.524224801746</v>
      </c>
      <c r="AA1892" s="63" t="n">
        <f aca="false">IFERROR((R1892+S1892+J1892)/F1892,0)</f>
        <v>1</v>
      </c>
      <c r="AB1892" s="0" t="str">
        <f aca="false">A1892&amp;"|"&amp;D1892</f>
        <v>Sri Lanka|2022</v>
      </c>
    </row>
    <row r="1893" customFormat="false" ht="15" hidden="false" customHeight="false" outlineLevel="0" collapsed="false">
      <c r="A1893" s="0" t="s">
        <v>361</v>
      </c>
      <c r="B1893" s="0" t="s">
        <v>600</v>
      </c>
      <c r="C1893" s="0" t="s">
        <v>127</v>
      </c>
      <c r="D1893" s="0" t="n">
        <v>2023</v>
      </c>
      <c r="E1893" s="59" t="n">
        <v>22971615</v>
      </c>
      <c r="F1893" s="60" t="n">
        <v>16.39</v>
      </c>
      <c r="G1893" s="61" t="n">
        <v>5.15</v>
      </c>
      <c r="H1893" s="61" t="n">
        <v>0</v>
      </c>
      <c r="I1893" s="61" t="n">
        <v>3.28</v>
      </c>
      <c r="J1893" s="61" t="n">
        <v>0</v>
      </c>
      <c r="K1893" s="61" t="n">
        <v>5.98</v>
      </c>
      <c r="L1893" s="61" t="n">
        <v>1</v>
      </c>
      <c r="M1893" s="61" t="n">
        <v>0.82</v>
      </c>
      <c r="N1893" s="61" t="n">
        <v>0.12</v>
      </c>
      <c r="O1893" s="61" t="n">
        <v>0.04</v>
      </c>
      <c r="P1893" s="62" t="n">
        <v>417.3</v>
      </c>
      <c r="Q1893" s="0" t="n">
        <v>1</v>
      </c>
      <c r="R1893" s="60" t="n">
        <f aca="false">G1893+H1893+I1893</f>
        <v>8.43</v>
      </c>
      <c r="S1893" s="60" t="n">
        <f aca="false">K1893+L1893+M1893+N1893+O1893</f>
        <v>7.96</v>
      </c>
      <c r="T1893" s="60" t="n">
        <f aca="false">L1893+M1893</f>
        <v>1.82</v>
      </c>
      <c r="U1893" s="60" t="n">
        <f aca="false">S1893+J1893</f>
        <v>7.96</v>
      </c>
      <c r="V1893" s="63" t="n">
        <f aca="false">IFERROR(S1893/F1893,0)</f>
        <v>0.485661989017694</v>
      </c>
      <c r="W1893" s="63" t="n">
        <f aca="false">IFERROR(R1893/F1893,0)</f>
        <v>0.514338010982306</v>
      </c>
      <c r="X1893" s="63" t="n">
        <f aca="false">IFERROR(T1893/F1893,0)</f>
        <v>0.11104331909701</v>
      </c>
      <c r="Y1893" s="63" t="n">
        <f aca="false">IFERROR(G1893/F1893,0)</f>
        <v>0.314215985356925</v>
      </c>
      <c r="Z1893" s="59" t="n">
        <f aca="false">IF(E1893&gt;0,F1893*1000000000/E1893,"")</f>
        <v>713.489234431275</v>
      </c>
      <c r="AA1893" s="63" t="n">
        <f aca="false">IFERROR((R1893+S1893+J1893)/F1893,0)</f>
        <v>1</v>
      </c>
      <c r="AB1893" s="0" t="str">
        <f aca="false">A1893&amp;"|"&amp;D1893</f>
        <v>Sri Lanka|2023</v>
      </c>
    </row>
    <row r="1894" customFormat="false" ht="15" hidden="false" customHeight="false" outlineLevel="0" collapsed="false">
      <c r="A1894" s="0" t="s">
        <v>361</v>
      </c>
      <c r="B1894" s="0" t="s">
        <v>600</v>
      </c>
      <c r="C1894" s="0" t="s">
        <v>127</v>
      </c>
      <c r="D1894" s="0" t="n">
        <v>2024</v>
      </c>
      <c r="E1894" s="59" t="n">
        <v>23103561</v>
      </c>
      <c r="F1894" s="60" t="n">
        <v>17.07</v>
      </c>
      <c r="G1894" s="61" t="n">
        <v>5.61</v>
      </c>
      <c r="H1894" s="61" t="n">
        <v>0</v>
      </c>
      <c r="I1894" s="61" t="n">
        <v>2.03</v>
      </c>
      <c r="J1894" s="61" t="n">
        <v>0</v>
      </c>
      <c r="K1894" s="61" t="n">
        <v>7.01</v>
      </c>
      <c r="L1894" s="61" t="n">
        <v>1.31</v>
      </c>
      <c r="M1894" s="61" t="n">
        <v>0.87</v>
      </c>
      <c r="N1894" s="61" t="n">
        <v>0.2</v>
      </c>
      <c r="O1894" s="61" t="n">
        <v>0.04</v>
      </c>
      <c r="P1894" s="62" t="n">
        <v>378.4</v>
      </c>
      <c r="Q1894" s="0" t="n">
        <v>1</v>
      </c>
      <c r="R1894" s="60" t="n">
        <f aca="false">G1894+H1894+I1894</f>
        <v>7.64</v>
      </c>
      <c r="S1894" s="60" t="n">
        <f aca="false">K1894+L1894+M1894+N1894+O1894</f>
        <v>9.43</v>
      </c>
      <c r="T1894" s="60" t="n">
        <f aca="false">L1894+M1894</f>
        <v>2.18</v>
      </c>
      <c r="U1894" s="60" t="n">
        <f aca="false">S1894+J1894</f>
        <v>9.43</v>
      </c>
      <c r="V1894" s="63" t="n">
        <f aca="false">IFERROR(S1894/F1894,0)</f>
        <v>0.552431165787932</v>
      </c>
      <c r="W1894" s="63" t="n">
        <f aca="false">IFERROR(R1894/F1894,0)</f>
        <v>0.447568834212068</v>
      </c>
      <c r="X1894" s="63" t="n">
        <f aca="false">IFERROR(T1894/F1894,0)</f>
        <v>0.127709431751611</v>
      </c>
      <c r="Y1894" s="63" t="n">
        <f aca="false">IFERROR(G1894/F1894,0)</f>
        <v>0.328646748681898</v>
      </c>
      <c r="Z1894" s="59" t="n">
        <f aca="false">IF(E1894&gt;0,F1894*1000000000/E1894,"")</f>
        <v>738.847141356261</v>
      </c>
      <c r="AA1894" s="63" t="n">
        <f aca="false">IFERROR((R1894+S1894+J1894)/F1894,0)</f>
        <v>1</v>
      </c>
      <c r="AB1894" s="0" t="str">
        <f aca="false">A1894&amp;"|"&amp;D1894</f>
        <v>Sri Lanka|2024</v>
      </c>
    </row>
    <row r="1895" customFormat="false" ht="15" hidden="false" customHeight="false" outlineLevel="0" collapsed="false">
      <c r="A1895" s="0" t="s">
        <v>361</v>
      </c>
      <c r="B1895" s="0" t="s">
        <v>600</v>
      </c>
      <c r="C1895" s="0" t="s">
        <v>127</v>
      </c>
      <c r="D1895" s="0" t="n">
        <v>2025</v>
      </c>
      <c r="E1895" s="59" t="n">
        <v>23229474</v>
      </c>
      <c r="F1895" s="60" t="n">
        <v>17.25</v>
      </c>
      <c r="G1895" s="61" t="n">
        <v>4.75</v>
      </c>
      <c r="H1895" s="61" t="n">
        <v>0</v>
      </c>
      <c r="I1895" s="61" t="n">
        <v>1.87</v>
      </c>
      <c r="J1895" s="61" t="n">
        <v>0</v>
      </c>
      <c r="K1895" s="61" t="n">
        <v>6.59</v>
      </c>
      <c r="L1895" s="61" t="n">
        <v>2.84</v>
      </c>
      <c r="M1895" s="61" t="n">
        <v>0.93</v>
      </c>
      <c r="N1895" s="61" t="n">
        <v>0.23</v>
      </c>
      <c r="O1895" s="61" t="n">
        <v>0.04</v>
      </c>
      <c r="P1895" s="62" t="n">
        <v>329.3</v>
      </c>
      <c r="Q1895" s="0" t="n">
        <v>2</v>
      </c>
      <c r="R1895" s="60" t="n">
        <f aca="false">G1895+H1895+I1895</f>
        <v>6.62</v>
      </c>
      <c r="S1895" s="60" t="n">
        <f aca="false">K1895+L1895+M1895+N1895+O1895</f>
        <v>10.63</v>
      </c>
      <c r="T1895" s="60" t="n">
        <f aca="false">L1895+M1895</f>
        <v>3.77</v>
      </c>
      <c r="U1895" s="60" t="n">
        <f aca="false">S1895+J1895</f>
        <v>10.63</v>
      </c>
      <c r="V1895" s="63" t="n">
        <f aca="false">IFERROR(S1895/F1895,0)</f>
        <v>0.616231884057971</v>
      </c>
      <c r="W1895" s="63" t="n">
        <f aca="false">IFERROR(R1895/F1895,0)</f>
        <v>0.383768115942029</v>
      </c>
      <c r="X1895" s="63" t="n">
        <f aca="false">IFERROR(T1895/F1895,0)</f>
        <v>0.218550724637681</v>
      </c>
      <c r="Y1895" s="63" t="n">
        <f aca="false">IFERROR(G1895/F1895,0)</f>
        <v>0.27536231884058</v>
      </c>
      <c r="Z1895" s="59" t="n">
        <f aca="false">IF(E1895&gt;0,F1895*1000000000/E1895,"")</f>
        <v>742.591072014803</v>
      </c>
      <c r="AA1895" s="63" t="n">
        <f aca="false">IFERROR((R1895+S1895+J1895)/F1895,0)</f>
        <v>1</v>
      </c>
      <c r="AB1895" s="0" t="str">
        <f aca="false">A1895&amp;"|"&amp;D1895</f>
        <v>Sri Lanka|2025</v>
      </c>
    </row>
    <row r="1896" customFormat="false" ht="15" hidden="false" customHeight="false" outlineLevel="0" collapsed="false">
      <c r="A1896" s="0" t="s">
        <v>362</v>
      </c>
      <c r="B1896" s="0" t="s">
        <v>601</v>
      </c>
      <c r="C1896" s="0" t="s">
        <v>127</v>
      </c>
      <c r="D1896" s="0" t="n">
        <v>2015</v>
      </c>
      <c r="E1896" s="59" t="n">
        <v>40024433</v>
      </c>
      <c r="F1896" s="60" t="n">
        <v>13.09</v>
      </c>
      <c r="G1896" s="61" t="n">
        <v>0</v>
      </c>
      <c r="H1896" s="61" t="n">
        <v>0</v>
      </c>
      <c r="I1896" s="61" t="n">
        <v>4.63</v>
      </c>
      <c r="J1896" s="61" t="n">
        <v>0</v>
      </c>
      <c r="K1896" s="61" t="n">
        <v>8.34</v>
      </c>
      <c r="L1896" s="61" t="n">
        <v>0.01</v>
      </c>
      <c r="M1896" s="61" t="n">
        <v>0</v>
      </c>
      <c r="N1896" s="61" t="n">
        <v>0.11</v>
      </c>
      <c r="O1896" s="61" t="n">
        <v>0</v>
      </c>
      <c r="P1896" s="62" t="n">
        <v>249.8</v>
      </c>
      <c r="Q1896" s="0" t="n">
        <v>0</v>
      </c>
      <c r="R1896" s="60" t="n">
        <f aca="false">G1896+H1896+I1896</f>
        <v>4.63</v>
      </c>
      <c r="S1896" s="60" t="n">
        <f aca="false">K1896+L1896+M1896+N1896+O1896</f>
        <v>8.46</v>
      </c>
      <c r="T1896" s="60" t="n">
        <f aca="false">L1896+M1896</f>
        <v>0.01</v>
      </c>
      <c r="U1896" s="60" t="n">
        <f aca="false">S1896+J1896</f>
        <v>8.46</v>
      </c>
      <c r="V1896" s="63" t="n">
        <f aca="false">IFERROR(S1896/F1896,0)</f>
        <v>0.646294881588999</v>
      </c>
      <c r="W1896" s="63" t="n">
        <f aca="false">IFERROR(R1896/F1896,0)</f>
        <v>0.353705118411001</v>
      </c>
      <c r="X1896" s="63" t="n">
        <f aca="false">IFERROR(T1896/F1896,0)</f>
        <v>0.000763941940412529</v>
      </c>
      <c r="Y1896" s="63" t="n">
        <f aca="false">IFERROR(G1896/F1896,0)</f>
        <v>0</v>
      </c>
      <c r="Z1896" s="59" t="n">
        <f aca="false">IF(E1896&gt;0,F1896*1000000000/E1896,"")</f>
        <v>327.050229543539</v>
      </c>
      <c r="AA1896" s="63" t="n">
        <f aca="false">IFERROR((R1896+S1896+J1896)/F1896,0)</f>
        <v>1</v>
      </c>
      <c r="AB1896" s="0" t="str">
        <f aca="false">A1896&amp;"|"&amp;D1896</f>
        <v>Sudan|2015</v>
      </c>
    </row>
    <row r="1897" customFormat="false" ht="15" hidden="false" customHeight="false" outlineLevel="0" collapsed="false">
      <c r="A1897" s="0" t="s">
        <v>362</v>
      </c>
      <c r="B1897" s="0" t="s">
        <v>601</v>
      </c>
      <c r="C1897" s="0" t="s">
        <v>127</v>
      </c>
      <c r="D1897" s="0" t="n">
        <v>2016</v>
      </c>
      <c r="E1897" s="59" t="n">
        <v>41259892</v>
      </c>
      <c r="F1897" s="60" t="n">
        <v>14.57</v>
      </c>
      <c r="G1897" s="61" t="n">
        <v>0</v>
      </c>
      <c r="H1897" s="61" t="n">
        <v>0</v>
      </c>
      <c r="I1897" s="61" t="n">
        <v>6.38</v>
      </c>
      <c r="J1897" s="61" t="n">
        <v>0</v>
      </c>
      <c r="K1897" s="61" t="n">
        <v>8.05</v>
      </c>
      <c r="L1897" s="61" t="n">
        <v>0.02</v>
      </c>
      <c r="M1897" s="61" t="n">
        <v>0</v>
      </c>
      <c r="N1897" s="61" t="n">
        <v>0.12</v>
      </c>
      <c r="O1897" s="61" t="n">
        <v>0</v>
      </c>
      <c r="P1897" s="62" t="n">
        <v>303.4</v>
      </c>
      <c r="Q1897" s="0" t="n">
        <v>0</v>
      </c>
      <c r="R1897" s="60" t="n">
        <f aca="false">G1897+H1897+I1897</f>
        <v>6.38</v>
      </c>
      <c r="S1897" s="60" t="n">
        <f aca="false">K1897+L1897+M1897+N1897+O1897</f>
        <v>8.19</v>
      </c>
      <c r="T1897" s="60" t="n">
        <f aca="false">L1897+M1897</f>
        <v>0.02</v>
      </c>
      <c r="U1897" s="60" t="n">
        <f aca="false">S1897+J1897</f>
        <v>8.19</v>
      </c>
      <c r="V1897" s="63" t="n">
        <f aca="false">IFERROR(S1897/F1897,0)</f>
        <v>0.562113932738504</v>
      </c>
      <c r="W1897" s="63" t="n">
        <f aca="false">IFERROR(R1897/F1897,0)</f>
        <v>0.437886067261496</v>
      </c>
      <c r="X1897" s="63" t="n">
        <f aca="false">IFERROR(T1897/F1897,0)</f>
        <v>0.00137268359643102</v>
      </c>
      <c r="Y1897" s="63" t="n">
        <f aca="false">IFERROR(G1897/F1897,0)</f>
        <v>0</v>
      </c>
      <c r="Z1897" s="59" t="n">
        <f aca="false">IF(E1897&gt;0,F1897*1000000000/E1897,"")</f>
        <v>353.127439112056</v>
      </c>
      <c r="AA1897" s="63" t="n">
        <f aca="false">IFERROR((R1897+S1897+J1897)/F1897,0)</f>
        <v>1</v>
      </c>
      <c r="AB1897" s="0" t="str">
        <f aca="false">A1897&amp;"|"&amp;D1897</f>
        <v>Sudan|2016</v>
      </c>
    </row>
    <row r="1898" customFormat="false" ht="15" hidden="false" customHeight="false" outlineLevel="0" collapsed="false">
      <c r="A1898" s="0" t="s">
        <v>362</v>
      </c>
      <c r="B1898" s="0" t="s">
        <v>601</v>
      </c>
      <c r="C1898" s="0" t="s">
        <v>127</v>
      </c>
      <c r="D1898" s="0" t="n">
        <v>2017</v>
      </c>
      <c r="E1898" s="59" t="n">
        <v>42714311</v>
      </c>
      <c r="F1898" s="60" t="n">
        <v>15.7</v>
      </c>
      <c r="G1898" s="61" t="n">
        <v>0</v>
      </c>
      <c r="H1898" s="61" t="n">
        <v>0</v>
      </c>
      <c r="I1898" s="61" t="n">
        <v>6.2</v>
      </c>
      <c r="J1898" s="61" t="n">
        <v>0</v>
      </c>
      <c r="K1898" s="61" t="n">
        <v>9.35</v>
      </c>
      <c r="L1898" s="61" t="n">
        <v>0.02</v>
      </c>
      <c r="M1898" s="61" t="n">
        <v>0</v>
      </c>
      <c r="N1898" s="61" t="n">
        <v>0.13</v>
      </c>
      <c r="O1898" s="61" t="n">
        <v>0</v>
      </c>
      <c r="P1898" s="62" t="n">
        <v>275.8</v>
      </c>
      <c r="Q1898" s="0" t="n">
        <v>0</v>
      </c>
      <c r="R1898" s="60" t="n">
        <f aca="false">G1898+H1898+I1898</f>
        <v>6.2</v>
      </c>
      <c r="S1898" s="60" t="n">
        <f aca="false">K1898+L1898+M1898+N1898+O1898</f>
        <v>9.5</v>
      </c>
      <c r="T1898" s="60" t="n">
        <f aca="false">L1898+M1898</f>
        <v>0.02</v>
      </c>
      <c r="U1898" s="60" t="n">
        <f aca="false">S1898+J1898</f>
        <v>9.5</v>
      </c>
      <c r="V1898" s="63" t="n">
        <f aca="false">IFERROR(S1898/F1898,0)</f>
        <v>0.605095541401274</v>
      </c>
      <c r="W1898" s="63" t="n">
        <f aca="false">IFERROR(R1898/F1898,0)</f>
        <v>0.394904458598726</v>
      </c>
      <c r="X1898" s="63" t="n">
        <f aca="false">IFERROR(T1898/F1898,0)</f>
        <v>0.00127388535031847</v>
      </c>
      <c r="Y1898" s="63" t="n">
        <f aca="false">IFERROR(G1898/F1898,0)</f>
        <v>0</v>
      </c>
      <c r="Z1898" s="59" t="n">
        <f aca="false">IF(E1898&gt;0,F1898*1000000000/E1898,"")</f>
        <v>367.558310843408</v>
      </c>
      <c r="AA1898" s="63" t="n">
        <f aca="false">IFERROR((R1898+S1898+J1898)/F1898,0)</f>
        <v>1</v>
      </c>
      <c r="AB1898" s="0" t="str">
        <f aca="false">A1898&amp;"|"&amp;D1898</f>
        <v>Sudan|2017</v>
      </c>
    </row>
    <row r="1899" customFormat="false" ht="15" hidden="false" customHeight="false" outlineLevel="0" collapsed="false">
      <c r="A1899" s="0" t="s">
        <v>362</v>
      </c>
      <c r="B1899" s="0" t="s">
        <v>601</v>
      </c>
      <c r="C1899" s="0" t="s">
        <v>127</v>
      </c>
      <c r="D1899" s="0" t="n">
        <v>2018</v>
      </c>
      <c r="E1899" s="59" t="n">
        <v>44230597</v>
      </c>
      <c r="F1899" s="60" t="n">
        <v>16.4</v>
      </c>
      <c r="G1899" s="61" t="n">
        <v>0</v>
      </c>
      <c r="H1899" s="61" t="n">
        <v>0</v>
      </c>
      <c r="I1899" s="61" t="n">
        <v>6.6</v>
      </c>
      <c r="J1899" s="61" t="n">
        <v>0</v>
      </c>
      <c r="K1899" s="61" t="n">
        <v>9.66</v>
      </c>
      <c r="L1899" s="61" t="n">
        <v>0.02</v>
      </c>
      <c r="M1899" s="61" t="n">
        <v>0</v>
      </c>
      <c r="N1899" s="61" t="n">
        <v>0.12</v>
      </c>
      <c r="O1899" s="61" t="n">
        <v>0</v>
      </c>
      <c r="P1899" s="62" t="n">
        <v>280.5</v>
      </c>
      <c r="Q1899" s="0" t="n">
        <v>0</v>
      </c>
      <c r="R1899" s="60" t="n">
        <f aca="false">G1899+H1899+I1899</f>
        <v>6.6</v>
      </c>
      <c r="S1899" s="60" t="n">
        <f aca="false">K1899+L1899+M1899+N1899+O1899</f>
        <v>9.8</v>
      </c>
      <c r="T1899" s="60" t="n">
        <f aca="false">L1899+M1899</f>
        <v>0.02</v>
      </c>
      <c r="U1899" s="60" t="n">
        <f aca="false">S1899+J1899</f>
        <v>9.8</v>
      </c>
      <c r="V1899" s="63" t="n">
        <f aca="false">IFERROR(S1899/F1899,0)</f>
        <v>0.597560975609756</v>
      </c>
      <c r="W1899" s="63" t="n">
        <f aca="false">IFERROR(R1899/F1899,0)</f>
        <v>0.402439024390244</v>
      </c>
      <c r="X1899" s="63" t="n">
        <f aca="false">IFERROR(T1899/F1899,0)</f>
        <v>0.00121951219512195</v>
      </c>
      <c r="Y1899" s="63" t="n">
        <f aca="false">IFERROR(G1899/F1899,0)</f>
        <v>0</v>
      </c>
      <c r="Z1899" s="59" t="n">
        <f aca="false">IF(E1899&gt;0,F1899*1000000000/E1899,"")</f>
        <v>370.78405249651</v>
      </c>
      <c r="AA1899" s="63" t="n">
        <f aca="false">IFERROR((R1899+S1899+J1899)/F1899,0)</f>
        <v>1</v>
      </c>
      <c r="AB1899" s="0" t="str">
        <f aca="false">A1899&amp;"|"&amp;D1899</f>
        <v>Sudan|2018</v>
      </c>
    </row>
    <row r="1900" customFormat="false" ht="15" hidden="false" customHeight="false" outlineLevel="0" collapsed="false">
      <c r="A1900" s="0" t="s">
        <v>362</v>
      </c>
      <c r="B1900" s="0" t="s">
        <v>601</v>
      </c>
      <c r="C1900" s="0" t="s">
        <v>127</v>
      </c>
      <c r="D1900" s="0" t="n">
        <v>2019</v>
      </c>
      <c r="E1900" s="59" t="n">
        <v>45548179</v>
      </c>
      <c r="F1900" s="60" t="n">
        <v>16.22</v>
      </c>
      <c r="G1900" s="61" t="n">
        <v>0</v>
      </c>
      <c r="H1900" s="61" t="n">
        <v>0</v>
      </c>
      <c r="I1900" s="61" t="n">
        <v>5.88</v>
      </c>
      <c r="J1900" s="61" t="n">
        <v>0</v>
      </c>
      <c r="K1900" s="61" t="n">
        <v>10.21</v>
      </c>
      <c r="L1900" s="61" t="n">
        <v>0.02</v>
      </c>
      <c r="M1900" s="61" t="n">
        <v>0</v>
      </c>
      <c r="N1900" s="61" t="n">
        <v>0.11</v>
      </c>
      <c r="O1900" s="61" t="n">
        <v>0</v>
      </c>
      <c r="P1900" s="62" t="n">
        <v>254.6</v>
      </c>
      <c r="Q1900" s="0" t="n">
        <v>0</v>
      </c>
      <c r="R1900" s="60" t="n">
        <f aca="false">G1900+H1900+I1900</f>
        <v>5.88</v>
      </c>
      <c r="S1900" s="60" t="n">
        <f aca="false">K1900+L1900+M1900+N1900+O1900</f>
        <v>10.34</v>
      </c>
      <c r="T1900" s="60" t="n">
        <f aca="false">L1900+M1900</f>
        <v>0.02</v>
      </c>
      <c r="U1900" s="60" t="n">
        <f aca="false">S1900+J1900</f>
        <v>10.34</v>
      </c>
      <c r="V1900" s="63" t="n">
        <f aca="false">IFERROR(S1900/F1900,0)</f>
        <v>0.637484586929716</v>
      </c>
      <c r="W1900" s="63" t="n">
        <f aca="false">IFERROR(R1900/F1900,0)</f>
        <v>0.362515413070284</v>
      </c>
      <c r="X1900" s="63" t="n">
        <f aca="false">IFERROR(T1900/F1900,0)</f>
        <v>0.00123304562268804</v>
      </c>
      <c r="Y1900" s="63" t="n">
        <f aca="false">IFERROR(G1900/F1900,0)</f>
        <v>0</v>
      </c>
      <c r="Z1900" s="59" t="n">
        <f aca="false">IF(E1900&gt;0,F1900*1000000000/E1900,"")</f>
        <v>356.106442806418</v>
      </c>
      <c r="AA1900" s="63" t="n">
        <f aca="false">IFERROR((R1900+S1900+J1900)/F1900,0)</f>
        <v>1</v>
      </c>
      <c r="AB1900" s="0" t="str">
        <f aca="false">A1900&amp;"|"&amp;D1900</f>
        <v>Sudan|2019</v>
      </c>
    </row>
    <row r="1901" customFormat="false" ht="15" hidden="false" customHeight="false" outlineLevel="0" collapsed="false">
      <c r="A1901" s="0" t="s">
        <v>362</v>
      </c>
      <c r="B1901" s="0" t="s">
        <v>601</v>
      </c>
      <c r="C1901" s="0" t="s">
        <v>127</v>
      </c>
      <c r="D1901" s="0" t="n">
        <v>2020</v>
      </c>
      <c r="E1901" s="59" t="n">
        <v>46789237</v>
      </c>
      <c r="F1901" s="60" t="n">
        <v>17.2</v>
      </c>
      <c r="G1901" s="61" t="n">
        <v>0</v>
      </c>
      <c r="H1901" s="61" t="n">
        <v>0</v>
      </c>
      <c r="I1901" s="61" t="n">
        <v>6.05</v>
      </c>
      <c r="J1901" s="61" t="n">
        <v>0</v>
      </c>
      <c r="K1901" s="61" t="n">
        <v>11.01</v>
      </c>
      <c r="L1901" s="61" t="n">
        <v>0.03</v>
      </c>
      <c r="M1901" s="61" t="n">
        <v>0</v>
      </c>
      <c r="N1901" s="61" t="n">
        <v>0.11</v>
      </c>
      <c r="O1901" s="61" t="n">
        <v>0</v>
      </c>
      <c r="P1901" s="62" t="n">
        <v>247.7</v>
      </c>
      <c r="Q1901" s="0" t="n">
        <v>0</v>
      </c>
      <c r="R1901" s="60" t="n">
        <f aca="false">G1901+H1901+I1901</f>
        <v>6.05</v>
      </c>
      <c r="S1901" s="60" t="n">
        <f aca="false">K1901+L1901+M1901+N1901+O1901</f>
        <v>11.15</v>
      </c>
      <c r="T1901" s="60" t="n">
        <f aca="false">L1901+M1901</f>
        <v>0.03</v>
      </c>
      <c r="U1901" s="60" t="n">
        <f aca="false">S1901+J1901</f>
        <v>11.15</v>
      </c>
      <c r="V1901" s="63" t="n">
        <f aca="false">IFERROR(S1901/F1901,0)</f>
        <v>0.648255813953488</v>
      </c>
      <c r="W1901" s="63" t="n">
        <f aca="false">IFERROR(R1901/F1901,0)</f>
        <v>0.351744186046512</v>
      </c>
      <c r="X1901" s="63" t="n">
        <f aca="false">IFERROR(T1901/F1901,0)</f>
        <v>0.00174418604651163</v>
      </c>
      <c r="Y1901" s="63" t="n">
        <f aca="false">IFERROR(G1901/F1901,0)</f>
        <v>0</v>
      </c>
      <c r="Z1901" s="59" t="n">
        <f aca="false">IF(E1901&gt;0,F1901*1000000000/E1901,"")</f>
        <v>367.605909025616</v>
      </c>
      <c r="AA1901" s="63" t="n">
        <f aca="false">IFERROR((R1901+S1901+J1901)/F1901,0)</f>
        <v>1</v>
      </c>
      <c r="AB1901" s="0" t="str">
        <f aca="false">A1901&amp;"|"&amp;D1901</f>
        <v>Sudan|2020</v>
      </c>
    </row>
    <row r="1902" customFormat="false" ht="15" hidden="false" customHeight="false" outlineLevel="0" collapsed="false">
      <c r="A1902" s="0" t="s">
        <v>362</v>
      </c>
      <c r="B1902" s="0" t="s">
        <v>601</v>
      </c>
      <c r="C1902" s="0" t="s">
        <v>127</v>
      </c>
      <c r="D1902" s="0" t="n">
        <v>2021</v>
      </c>
      <c r="E1902" s="59" t="n">
        <v>48066930</v>
      </c>
      <c r="F1902" s="60" t="n">
        <v>17.7</v>
      </c>
      <c r="G1902" s="61" t="n">
        <v>0</v>
      </c>
      <c r="H1902" s="61" t="n">
        <v>0</v>
      </c>
      <c r="I1902" s="61" t="n">
        <v>6.61</v>
      </c>
      <c r="J1902" s="61" t="n">
        <v>0</v>
      </c>
      <c r="K1902" s="61" t="n">
        <v>10.95</v>
      </c>
      <c r="L1902" s="61" t="n">
        <v>0.03</v>
      </c>
      <c r="M1902" s="61" t="n">
        <v>0</v>
      </c>
      <c r="N1902" s="61" t="n">
        <v>0.11</v>
      </c>
      <c r="O1902" s="61" t="n">
        <v>0</v>
      </c>
      <c r="P1902" s="62" t="n">
        <v>261.6</v>
      </c>
      <c r="Q1902" s="0" t="n">
        <v>0</v>
      </c>
      <c r="R1902" s="60" t="n">
        <f aca="false">G1902+H1902+I1902</f>
        <v>6.61</v>
      </c>
      <c r="S1902" s="60" t="n">
        <f aca="false">K1902+L1902+M1902+N1902+O1902</f>
        <v>11.09</v>
      </c>
      <c r="T1902" s="60" t="n">
        <f aca="false">L1902+M1902</f>
        <v>0.03</v>
      </c>
      <c r="U1902" s="60" t="n">
        <f aca="false">S1902+J1902</f>
        <v>11.09</v>
      </c>
      <c r="V1902" s="63" t="n">
        <f aca="false">IFERROR(S1902/F1902,0)</f>
        <v>0.626553672316384</v>
      </c>
      <c r="W1902" s="63" t="n">
        <f aca="false">IFERROR(R1902/F1902,0)</f>
        <v>0.373446327683616</v>
      </c>
      <c r="X1902" s="63" t="n">
        <f aca="false">IFERROR(T1902/F1902,0)</f>
        <v>0.00169491525423729</v>
      </c>
      <c r="Y1902" s="63" t="n">
        <f aca="false">IFERROR(G1902/F1902,0)</f>
        <v>0</v>
      </c>
      <c r="Z1902" s="59" t="n">
        <f aca="false">IF(E1902&gt;0,F1902*1000000000/E1902,"")</f>
        <v>368.236540174295</v>
      </c>
      <c r="AA1902" s="63" t="n">
        <f aca="false">IFERROR((R1902+S1902+J1902)/F1902,0)</f>
        <v>1</v>
      </c>
      <c r="AB1902" s="0" t="str">
        <f aca="false">A1902&amp;"|"&amp;D1902</f>
        <v>Sudan|2021</v>
      </c>
    </row>
    <row r="1903" customFormat="false" ht="15" hidden="false" customHeight="false" outlineLevel="0" collapsed="false">
      <c r="A1903" s="0" t="s">
        <v>362</v>
      </c>
      <c r="B1903" s="0" t="s">
        <v>601</v>
      </c>
      <c r="C1903" s="0" t="s">
        <v>127</v>
      </c>
      <c r="D1903" s="0" t="n">
        <v>2022</v>
      </c>
      <c r="E1903" s="59" t="n">
        <v>49383344</v>
      </c>
      <c r="F1903" s="60" t="n">
        <v>16.78</v>
      </c>
      <c r="G1903" s="61" t="n">
        <v>0</v>
      </c>
      <c r="H1903" s="61" t="n">
        <v>0</v>
      </c>
      <c r="I1903" s="61" t="n">
        <v>4.74</v>
      </c>
      <c r="J1903" s="61" t="n">
        <v>0</v>
      </c>
      <c r="K1903" s="61" t="n">
        <v>11.8</v>
      </c>
      <c r="L1903" s="61" t="n">
        <v>0.13</v>
      </c>
      <c r="M1903" s="61" t="n">
        <v>0</v>
      </c>
      <c r="N1903" s="61" t="n">
        <v>0.11</v>
      </c>
      <c r="O1903" s="61" t="n">
        <v>0</v>
      </c>
      <c r="P1903" s="62" t="n">
        <v>204.4</v>
      </c>
      <c r="Q1903" s="0" t="n">
        <v>0</v>
      </c>
      <c r="R1903" s="60" t="n">
        <f aca="false">G1903+H1903+I1903</f>
        <v>4.74</v>
      </c>
      <c r="S1903" s="60" t="n">
        <f aca="false">K1903+L1903+M1903+N1903+O1903</f>
        <v>12.04</v>
      </c>
      <c r="T1903" s="60" t="n">
        <f aca="false">L1903+M1903</f>
        <v>0.13</v>
      </c>
      <c r="U1903" s="60" t="n">
        <f aca="false">S1903+J1903</f>
        <v>12.04</v>
      </c>
      <c r="V1903" s="63" t="n">
        <f aca="false">IFERROR(S1903/F1903,0)</f>
        <v>0.717520858164482</v>
      </c>
      <c r="W1903" s="63" t="n">
        <f aca="false">IFERROR(R1903/F1903,0)</f>
        <v>0.282479141835519</v>
      </c>
      <c r="X1903" s="63" t="n">
        <f aca="false">IFERROR(T1903/F1903,0)</f>
        <v>0.00774731823599523</v>
      </c>
      <c r="Y1903" s="63" t="n">
        <f aca="false">IFERROR(G1903/F1903,0)</f>
        <v>0</v>
      </c>
      <c r="Z1903" s="59" t="n">
        <f aca="false">IF(E1903&gt;0,F1903*1000000000/E1903,"")</f>
        <v>339.790679221723</v>
      </c>
      <c r="AA1903" s="63" t="n">
        <f aca="false">IFERROR((R1903+S1903+J1903)/F1903,0)</f>
        <v>1</v>
      </c>
      <c r="AB1903" s="0" t="str">
        <f aca="false">A1903&amp;"|"&amp;D1903</f>
        <v>Sudan|2022</v>
      </c>
    </row>
    <row r="1904" customFormat="false" ht="15" hidden="false" customHeight="false" outlineLevel="0" collapsed="false">
      <c r="A1904" s="0" t="s">
        <v>362</v>
      </c>
      <c r="B1904" s="0" t="s">
        <v>601</v>
      </c>
      <c r="C1904" s="0" t="s">
        <v>127</v>
      </c>
      <c r="D1904" s="0" t="n">
        <v>2023</v>
      </c>
      <c r="E1904" s="59" t="n">
        <v>50042800</v>
      </c>
      <c r="F1904" s="60" t="n">
        <v>14.51</v>
      </c>
      <c r="G1904" s="61" t="n">
        <v>0</v>
      </c>
      <c r="H1904" s="61" t="n">
        <v>0</v>
      </c>
      <c r="I1904" s="61" t="n">
        <v>2.76</v>
      </c>
      <c r="J1904" s="61" t="n">
        <v>0</v>
      </c>
      <c r="K1904" s="61" t="n">
        <v>11.5</v>
      </c>
      <c r="L1904" s="61" t="n">
        <v>0.14</v>
      </c>
      <c r="M1904" s="61" t="n">
        <v>0</v>
      </c>
      <c r="N1904" s="61" t="n">
        <v>0.11</v>
      </c>
      <c r="O1904" s="61" t="n">
        <v>0</v>
      </c>
      <c r="P1904" s="62" t="n">
        <v>146.1</v>
      </c>
      <c r="Q1904" s="0" t="n">
        <v>0</v>
      </c>
      <c r="R1904" s="60" t="n">
        <f aca="false">G1904+H1904+I1904</f>
        <v>2.76</v>
      </c>
      <c r="S1904" s="60" t="n">
        <f aca="false">K1904+L1904+M1904+N1904+O1904</f>
        <v>11.75</v>
      </c>
      <c r="T1904" s="60" t="n">
        <f aca="false">L1904+M1904</f>
        <v>0.14</v>
      </c>
      <c r="U1904" s="60" t="n">
        <f aca="false">S1904+J1904</f>
        <v>11.75</v>
      </c>
      <c r="V1904" s="63" t="n">
        <f aca="false">IFERROR(S1904/F1904,0)</f>
        <v>0.809786354238456</v>
      </c>
      <c r="W1904" s="63" t="n">
        <f aca="false">IFERROR(R1904/F1904,0)</f>
        <v>0.190213645761544</v>
      </c>
      <c r="X1904" s="63" t="n">
        <f aca="false">IFERROR(T1904/F1904,0)</f>
        <v>0.00964851826326671</v>
      </c>
      <c r="Y1904" s="63" t="n">
        <f aca="false">IFERROR(G1904/F1904,0)</f>
        <v>0</v>
      </c>
      <c r="Z1904" s="59" t="n">
        <f aca="false">IF(E1904&gt;0,F1904*1000000000/E1904,"")</f>
        <v>289.951801258123</v>
      </c>
      <c r="AA1904" s="63" t="n">
        <f aca="false">IFERROR((R1904+S1904+J1904)/F1904,0)</f>
        <v>1</v>
      </c>
      <c r="AB1904" s="0" t="str">
        <f aca="false">A1904&amp;"|"&amp;D1904</f>
        <v>Sudan|2023</v>
      </c>
    </row>
    <row r="1905" customFormat="false" ht="15" hidden="false" customHeight="false" outlineLevel="0" collapsed="false">
      <c r="A1905" s="0" t="s">
        <v>362</v>
      </c>
      <c r="B1905" s="0" t="s">
        <v>601</v>
      </c>
      <c r="C1905" s="0" t="s">
        <v>127</v>
      </c>
      <c r="D1905" s="0" t="n">
        <v>2024</v>
      </c>
      <c r="E1905" s="59" t="n">
        <v>50448960</v>
      </c>
      <c r="F1905" s="60" t="n">
        <v>14.77</v>
      </c>
      <c r="G1905" s="61" t="n">
        <v>0</v>
      </c>
      <c r="H1905" s="61" t="n">
        <v>0</v>
      </c>
      <c r="I1905" s="61" t="n">
        <v>3</v>
      </c>
      <c r="J1905" s="61" t="n">
        <v>0</v>
      </c>
      <c r="K1905" s="61" t="n">
        <v>11.5</v>
      </c>
      <c r="L1905" s="61" t="n">
        <v>0.16</v>
      </c>
      <c r="M1905" s="61" t="n">
        <v>0</v>
      </c>
      <c r="N1905" s="61" t="n">
        <v>0.11</v>
      </c>
      <c r="O1905" s="61" t="n">
        <v>0</v>
      </c>
      <c r="P1905" s="62" t="n">
        <v>153.7</v>
      </c>
      <c r="Q1905" s="0" t="n">
        <v>0</v>
      </c>
      <c r="R1905" s="60" t="n">
        <f aca="false">G1905+H1905+I1905</f>
        <v>3</v>
      </c>
      <c r="S1905" s="60" t="n">
        <f aca="false">K1905+L1905+M1905+N1905+O1905</f>
        <v>11.77</v>
      </c>
      <c r="T1905" s="60" t="n">
        <f aca="false">L1905+M1905</f>
        <v>0.16</v>
      </c>
      <c r="U1905" s="60" t="n">
        <f aca="false">S1905+J1905</f>
        <v>11.77</v>
      </c>
      <c r="V1905" s="63" t="n">
        <f aca="false">IFERROR(S1905/F1905,0)</f>
        <v>0.7968855788761</v>
      </c>
      <c r="W1905" s="63" t="n">
        <f aca="false">IFERROR(R1905/F1905,0)</f>
        <v>0.2031144211239</v>
      </c>
      <c r="X1905" s="63" t="n">
        <f aca="false">IFERROR(T1905/F1905,0)</f>
        <v>0.010832769126608</v>
      </c>
      <c r="Y1905" s="63" t="n">
        <f aca="false">IFERROR(G1905/F1905,0)</f>
        <v>0</v>
      </c>
      <c r="Z1905" s="59" t="n">
        <f aca="false">IF(E1905&gt;0,F1905*1000000000/E1905,"")</f>
        <v>292.771149296239</v>
      </c>
      <c r="AA1905" s="63" t="n">
        <f aca="false">IFERROR((R1905+S1905+J1905)/F1905,0)</f>
        <v>1</v>
      </c>
      <c r="AB1905" s="0" t="str">
        <f aca="false">A1905&amp;"|"&amp;D1905</f>
        <v>Sudan|2024</v>
      </c>
    </row>
    <row r="1906" customFormat="false" ht="15" hidden="false" customHeight="false" outlineLevel="0" collapsed="false">
      <c r="A1906" s="0" t="s">
        <v>363</v>
      </c>
      <c r="B1906" s="0" t="s">
        <v>602</v>
      </c>
      <c r="C1906" s="0" t="s">
        <v>127</v>
      </c>
      <c r="D1906" s="0" t="n">
        <v>2015</v>
      </c>
      <c r="E1906" s="59" t="n">
        <v>581634</v>
      </c>
      <c r="F1906" s="60" t="n">
        <v>1.86</v>
      </c>
      <c r="G1906" s="61" t="n">
        <v>0</v>
      </c>
      <c r="H1906" s="61" t="n">
        <v>0.01</v>
      </c>
      <c r="I1906" s="61" t="n">
        <v>1.36</v>
      </c>
      <c r="J1906" s="61" t="n">
        <v>0</v>
      </c>
      <c r="K1906" s="61" t="n">
        <v>0.47</v>
      </c>
      <c r="L1906" s="61" t="n">
        <v>0.01</v>
      </c>
      <c r="M1906" s="61" t="n">
        <v>0</v>
      </c>
      <c r="N1906" s="61" t="n">
        <v>0.01</v>
      </c>
      <c r="O1906" s="61" t="n">
        <v>0</v>
      </c>
      <c r="P1906" s="62" t="n">
        <v>489.2</v>
      </c>
      <c r="Q1906" s="0" t="n">
        <v>0</v>
      </c>
      <c r="R1906" s="60" t="n">
        <f aca="false">G1906+H1906+I1906</f>
        <v>1.37</v>
      </c>
      <c r="S1906" s="60" t="n">
        <f aca="false">K1906+L1906+M1906+N1906+O1906</f>
        <v>0.49</v>
      </c>
      <c r="T1906" s="60" t="n">
        <f aca="false">L1906+M1906</f>
        <v>0.01</v>
      </c>
      <c r="U1906" s="60" t="n">
        <f aca="false">S1906+J1906</f>
        <v>0.49</v>
      </c>
      <c r="V1906" s="63" t="n">
        <f aca="false">IFERROR(S1906/F1906,0)</f>
        <v>0.263440860215054</v>
      </c>
      <c r="W1906" s="63" t="n">
        <f aca="false">IFERROR(R1906/F1906,0)</f>
        <v>0.736559139784946</v>
      </c>
      <c r="X1906" s="63" t="n">
        <f aca="false">IFERROR(T1906/F1906,0)</f>
        <v>0.00537634408602151</v>
      </c>
      <c r="Y1906" s="63" t="n">
        <f aca="false">IFERROR(G1906/F1906,0)</f>
        <v>0</v>
      </c>
      <c r="Z1906" s="59" t="n">
        <f aca="false">IF(E1906&gt;0,F1906*1000000000/E1906,"")</f>
        <v>3197.88733120829</v>
      </c>
      <c r="AA1906" s="63" t="n">
        <f aca="false">IFERROR((R1906+S1906+J1906)/F1906,0)</f>
        <v>1</v>
      </c>
      <c r="AB1906" s="0" t="str">
        <f aca="false">A1906&amp;"|"&amp;D1906</f>
        <v>Suriname|2015</v>
      </c>
    </row>
    <row r="1907" customFormat="false" ht="15" hidden="false" customHeight="false" outlineLevel="0" collapsed="false">
      <c r="A1907" s="0" t="s">
        <v>363</v>
      </c>
      <c r="B1907" s="0" t="s">
        <v>602</v>
      </c>
      <c r="C1907" s="0" t="s">
        <v>127</v>
      </c>
      <c r="D1907" s="0" t="n">
        <v>2016</v>
      </c>
      <c r="E1907" s="59" t="n">
        <v>587765</v>
      </c>
      <c r="F1907" s="60" t="n">
        <v>1.82</v>
      </c>
      <c r="G1907" s="61" t="n">
        <v>0</v>
      </c>
      <c r="H1907" s="61" t="n">
        <v>0.01</v>
      </c>
      <c r="I1907" s="61" t="n">
        <v>1.01</v>
      </c>
      <c r="J1907" s="61" t="n">
        <v>0</v>
      </c>
      <c r="K1907" s="61" t="n">
        <v>0.78</v>
      </c>
      <c r="L1907" s="61" t="n">
        <v>0.01</v>
      </c>
      <c r="M1907" s="61" t="n">
        <v>0</v>
      </c>
      <c r="N1907" s="61" t="n">
        <v>0.01</v>
      </c>
      <c r="O1907" s="61" t="n">
        <v>0</v>
      </c>
      <c r="P1907" s="62" t="n">
        <v>379.1</v>
      </c>
      <c r="Q1907" s="0" t="n">
        <v>0</v>
      </c>
      <c r="R1907" s="60" t="n">
        <f aca="false">G1907+H1907+I1907</f>
        <v>1.02</v>
      </c>
      <c r="S1907" s="60" t="n">
        <f aca="false">K1907+L1907+M1907+N1907+O1907</f>
        <v>0.8</v>
      </c>
      <c r="T1907" s="60" t="n">
        <f aca="false">L1907+M1907</f>
        <v>0.01</v>
      </c>
      <c r="U1907" s="60" t="n">
        <f aca="false">S1907+J1907</f>
        <v>0.8</v>
      </c>
      <c r="V1907" s="63" t="n">
        <f aca="false">IFERROR(S1907/F1907,0)</f>
        <v>0.43956043956044</v>
      </c>
      <c r="W1907" s="63" t="n">
        <f aca="false">IFERROR(R1907/F1907,0)</f>
        <v>0.56043956043956</v>
      </c>
      <c r="X1907" s="63" t="n">
        <f aca="false">IFERROR(T1907/F1907,0)</f>
        <v>0.00549450549450549</v>
      </c>
      <c r="Y1907" s="63" t="n">
        <f aca="false">IFERROR(G1907/F1907,0)</f>
        <v>0</v>
      </c>
      <c r="Z1907" s="59" t="n">
        <f aca="false">IF(E1907&gt;0,F1907*1000000000/E1907,"")</f>
        <v>3096.475632268</v>
      </c>
      <c r="AA1907" s="63" t="n">
        <f aca="false">IFERROR((R1907+S1907+J1907)/F1907,0)</f>
        <v>1</v>
      </c>
      <c r="AB1907" s="0" t="str">
        <f aca="false">A1907&amp;"|"&amp;D1907</f>
        <v>Suriname|2016</v>
      </c>
    </row>
    <row r="1908" customFormat="false" ht="15" hidden="false" customHeight="false" outlineLevel="0" collapsed="false">
      <c r="A1908" s="0" t="s">
        <v>363</v>
      </c>
      <c r="B1908" s="0" t="s">
        <v>602</v>
      </c>
      <c r="C1908" s="0" t="s">
        <v>127</v>
      </c>
      <c r="D1908" s="0" t="n">
        <v>2017</v>
      </c>
      <c r="E1908" s="59" t="n">
        <v>593720</v>
      </c>
      <c r="F1908" s="60" t="n">
        <v>1.81</v>
      </c>
      <c r="G1908" s="61" t="n">
        <v>0</v>
      </c>
      <c r="H1908" s="61" t="n">
        <v>0.01</v>
      </c>
      <c r="I1908" s="61" t="n">
        <v>0.86</v>
      </c>
      <c r="J1908" s="61" t="n">
        <v>0</v>
      </c>
      <c r="K1908" s="61" t="n">
        <v>0.92</v>
      </c>
      <c r="L1908" s="61" t="n">
        <v>0.01</v>
      </c>
      <c r="M1908" s="61" t="n">
        <v>0</v>
      </c>
      <c r="N1908" s="61" t="n">
        <v>0.01</v>
      </c>
      <c r="O1908" s="61" t="n">
        <v>0</v>
      </c>
      <c r="P1908" s="62" t="n">
        <v>331.5</v>
      </c>
      <c r="Q1908" s="0" t="n">
        <v>0</v>
      </c>
      <c r="R1908" s="60" t="n">
        <f aca="false">G1908+H1908+I1908</f>
        <v>0.87</v>
      </c>
      <c r="S1908" s="60" t="n">
        <f aca="false">K1908+L1908+M1908+N1908+O1908</f>
        <v>0.94</v>
      </c>
      <c r="T1908" s="60" t="n">
        <f aca="false">L1908+M1908</f>
        <v>0.01</v>
      </c>
      <c r="U1908" s="60" t="n">
        <f aca="false">S1908+J1908</f>
        <v>0.94</v>
      </c>
      <c r="V1908" s="63" t="n">
        <f aca="false">IFERROR(S1908/F1908,0)</f>
        <v>0.519337016574586</v>
      </c>
      <c r="W1908" s="63" t="n">
        <f aca="false">IFERROR(R1908/F1908,0)</f>
        <v>0.480662983425414</v>
      </c>
      <c r="X1908" s="63" t="n">
        <f aca="false">IFERROR(T1908/F1908,0)</f>
        <v>0.00552486187845304</v>
      </c>
      <c r="Y1908" s="63" t="n">
        <f aca="false">IFERROR(G1908/F1908,0)</f>
        <v>0</v>
      </c>
      <c r="Z1908" s="59" t="n">
        <f aca="false">IF(E1908&gt;0,F1908*1000000000/E1908,"")</f>
        <v>3048.57508589908</v>
      </c>
      <c r="AA1908" s="63" t="n">
        <f aca="false">IFERROR((R1908+S1908+J1908)/F1908,0)</f>
        <v>1</v>
      </c>
      <c r="AB1908" s="0" t="str">
        <f aca="false">A1908&amp;"|"&amp;D1908</f>
        <v>Suriname|2017</v>
      </c>
    </row>
    <row r="1909" customFormat="false" ht="15" hidden="false" customHeight="false" outlineLevel="0" collapsed="false">
      <c r="A1909" s="0" t="s">
        <v>363</v>
      </c>
      <c r="B1909" s="0" t="s">
        <v>602</v>
      </c>
      <c r="C1909" s="0" t="s">
        <v>127</v>
      </c>
      <c r="D1909" s="0" t="n">
        <v>2018</v>
      </c>
      <c r="E1909" s="59" t="n">
        <v>599519</v>
      </c>
      <c r="F1909" s="60" t="n">
        <v>1.9</v>
      </c>
      <c r="G1909" s="61" t="n">
        <v>0</v>
      </c>
      <c r="H1909" s="61" t="n">
        <v>0.02</v>
      </c>
      <c r="I1909" s="61" t="n">
        <v>0.87</v>
      </c>
      <c r="J1909" s="61" t="n">
        <v>0</v>
      </c>
      <c r="K1909" s="61" t="n">
        <v>0.99</v>
      </c>
      <c r="L1909" s="61" t="n">
        <v>0.01</v>
      </c>
      <c r="M1909" s="61" t="n">
        <v>0</v>
      </c>
      <c r="N1909" s="61" t="n">
        <v>0.01</v>
      </c>
      <c r="O1909" s="61" t="n">
        <v>0</v>
      </c>
      <c r="P1909" s="62" t="n">
        <v>315.8</v>
      </c>
      <c r="Q1909" s="0" t="n">
        <v>0</v>
      </c>
      <c r="R1909" s="60" t="n">
        <f aca="false">G1909+H1909+I1909</f>
        <v>0.89</v>
      </c>
      <c r="S1909" s="60" t="n">
        <f aca="false">K1909+L1909+M1909+N1909+O1909</f>
        <v>1.01</v>
      </c>
      <c r="T1909" s="60" t="n">
        <f aca="false">L1909+M1909</f>
        <v>0.01</v>
      </c>
      <c r="U1909" s="60" t="n">
        <f aca="false">S1909+J1909</f>
        <v>1.01</v>
      </c>
      <c r="V1909" s="63" t="n">
        <f aca="false">IFERROR(S1909/F1909,0)</f>
        <v>0.531578947368421</v>
      </c>
      <c r="W1909" s="63" t="n">
        <f aca="false">IFERROR(R1909/F1909,0)</f>
        <v>0.468421052631579</v>
      </c>
      <c r="X1909" s="63" t="n">
        <f aca="false">IFERROR(T1909/F1909,0)</f>
        <v>0.00526315789473684</v>
      </c>
      <c r="Y1909" s="63" t="n">
        <f aca="false">IFERROR(G1909/F1909,0)</f>
        <v>0</v>
      </c>
      <c r="Z1909" s="59" t="n">
        <f aca="false">IF(E1909&gt;0,F1909*1000000000/E1909,"")</f>
        <v>3169.20731453048</v>
      </c>
      <c r="AA1909" s="63" t="n">
        <f aca="false">IFERROR((R1909+S1909+J1909)/F1909,0)</f>
        <v>1</v>
      </c>
      <c r="AB1909" s="0" t="str">
        <f aca="false">A1909&amp;"|"&amp;D1909</f>
        <v>Suriname|2018</v>
      </c>
    </row>
    <row r="1910" customFormat="false" ht="15" hidden="false" customHeight="false" outlineLevel="0" collapsed="false">
      <c r="A1910" s="0" t="s">
        <v>363</v>
      </c>
      <c r="B1910" s="0" t="s">
        <v>602</v>
      </c>
      <c r="C1910" s="0" t="s">
        <v>127</v>
      </c>
      <c r="D1910" s="0" t="n">
        <v>2019</v>
      </c>
      <c r="E1910" s="59" t="n">
        <v>605779</v>
      </c>
      <c r="F1910" s="60" t="n">
        <v>2.04</v>
      </c>
      <c r="G1910" s="61" t="n">
        <v>0</v>
      </c>
      <c r="H1910" s="61" t="n">
        <v>0.02</v>
      </c>
      <c r="I1910" s="61" t="n">
        <v>1.05</v>
      </c>
      <c r="J1910" s="61" t="n">
        <v>0</v>
      </c>
      <c r="K1910" s="61" t="n">
        <v>0.95</v>
      </c>
      <c r="L1910" s="61" t="n">
        <v>0.01</v>
      </c>
      <c r="M1910" s="61" t="n">
        <v>0</v>
      </c>
      <c r="N1910" s="61" t="n">
        <v>0.01</v>
      </c>
      <c r="O1910" s="61" t="n">
        <v>0</v>
      </c>
      <c r="P1910" s="62" t="n">
        <v>352.9</v>
      </c>
      <c r="Q1910" s="0" t="n">
        <v>0</v>
      </c>
      <c r="R1910" s="60" t="n">
        <f aca="false">G1910+H1910+I1910</f>
        <v>1.07</v>
      </c>
      <c r="S1910" s="60" t="n">
        <f aca="false">K1910+L1910+M1910+N1910+O1910</f>
        <v>0.97</v>
      </c>
      <c r="T1910" s="60" t="n">
        <f aca="false">L1910+M1910</f>
        <v>0.01</v>
      </c>
      <c r="U1910" s="60" t="n">
        <f aca="false">S1910+J1910</f>
        <v>0.97</v>
      </c>
      <c r="V1910" s="63" t="n">
        <f aca="false">IFERROR(S1910/F1910,0)</f>
        <v>0.475490196078431</v>
      </c>
      <c r="W1910" s="63" t="n">
        <f aca="false">IFERROR(R1910/F1910,0)</f>
        <v>0.524509803921569</v>
      </c>
      <c r="X1910" s="63" t="n">
        <f aca="false">IFERROR(T1910/F1910,0)</f>
        <v>0.00490196078431373</v>
      </c>
      <c r="Y1910" s="63" t="n">
        <f aca="false">IFERROR(G1910/F1910,0)</f>
        <v>0</v>
      </c>
      <c r="Z1910" s="59" t="n">
        <f aca="false">IF(E1910&gt;0,F1910*1000000000/E1910,"")</f>
        <v>3367.56473895596</v>
      </c>
      <c r="AA1910" s="63" t="n">
        <f aca="false">IFERROR((R1910+S1910+J1910)/F1910,0)</f>
        <v>1</v>
      </c>
      <c r="AB1910" s="0" t="str">
        <f aca="false">A1910&amp;"|"&amp;D1910</f>
        <v>Suriname|2019</v>
      </c>
    </row>
    <row r="1911" customFormat="false" ht="15" hidden="false" customHeight="false" outlineLevel="0" collapsed="false">
      <c r="A1911" s="0" t="s">
        <v>363</v>
      </c>
      <c r="B1911" s="0" t="s">
        <v>602</v>
      </c>
      <c r="C1911" s="0" t="s">
        <v>127</v>
      </c>
      <c r="D1911" s="0" t="n">
        <v>2020</v>
      </c>
      <c r="E1911" s="59" t="n">
        <v>612320</v>
      </c>
      <c r="F1911" s="60" t="n">
        <v>2.05</v>
      </c>
      <c r="G1911" s="61" t="n">
        <v>0</v>
      </c>
      <c r="H1911" s="61" t="n">
        <v>0.02</v>
      </c>
      <c r="I1911" s="61" t="n">
        <v>1.04</v>
      </c>
      <c r="J1911" s="61" t="n">
        <v>0</v>
      </c>
      <c r="K1911" s="61" t="n">
        <v>0.97</v>
      </c>
      <c r="L1911" s="61" t="n">
        <v>0.01</v>
      </c>
      <c r="M1911" s="61" t="n">
        <v>0</v>
      </c>
      <c r="N1911" s="61" t="n">
        <v>0.01</v>
      </c>
      <c r="O1911" s="61" t="n">
        <v>0</v>
      </c>
      <c r="P1911" s="62" t="n">
        <v>346.3</v>
      </c>
      <c r="Q1911" s="0" t="n">
        <v>0</v>
      </c>
      <c r="R1911" s="60" t="n">
        <f aca="false">G1911+H1911+I1911</f>
        <v>1.06</v>
      </c>
      <c r="S1911" s="60" t="n">
        <f aca="false">K1911+L1911+M1911+N1911+O1911</f>
        <v>0.99</v>
      </c>
      <c r="T1911" s="60" t="n">
        <f aca="false">L1911+M1911</f>
        <v>0.01</v>
      </c>
      <c r="U1911" s="60" t="n">
        <f aca="false">S1911+J1911</f>
        <v>0.99</v>
      </c>
      <c r="V1911" s="63" t="n">
        <f aca="false">IFERROR(S1911/F1911,0)</f>
        <v>0.482926829268293</v>
      </c>
      <c r="W1911" s="63" t="n">
        <f aca="false">IFERROR(R1911/F1911,0)</f>
        <v>0.517073170731707</v>
      </c>
      <c r="X1911" s="63" t="n">
        <f aca="false">IFERROR(T1911/F1911,0)</f>
        <v>0.00487804878048781</v>
      </c>
      <c r="Y1911" s="63" t="n">
        <f aca="false">IFERROR(G1911/F1911,0)</f>
        <v>0</v>
      </c>
      <c r="Z1911" s="59" t="n">
        <f aca="false">IF(E1911&gt;0,F1911*1000000000/E1911,"")</f>
        <v>3347.92265482101</v>
      </c>
      <c r="AA1911" s="63" t="n">
        <f aca="false">IFERROR((R1911+S1911+J1911)/F1911,0)</f>
        <v>1</v>
      </c>
      <c r="AB1911" s="0" t="str">
        <f aca="false">A1911&amp;"|"&amp;D1911</f>
        <v>Suriname|2020</v>
      </c>
    </row>
    <row r="1912" customFormat="false" ht="15" hidden="false" customHeight="false" outlineLevel="0" collapsed="false">
      <c r="A1912" s="0" t="s">
        <v>363</v>
      </c>
      <c r="B1912" s="0" t="s">
        <v>602</v>
      </c>
      <c r="C1912" s="0" t="s">
        <v>127</v>
      </c>
      <c r="D1912" s="0" t="n">
        <v>2021</v>
      </c>
      <c r="E1912" s="59" t="n">
        <v>617905</v>
      </c>
      <c r="F1912" s="60" t="n">
        <v>2.09</v>
      </c>
      <c r="G1912" s="61" t="n">
        <v>0</v>
      </c>
      <c r="H1912" s="61" t="n">
        <v>0.02</v>
      </c>
      <c r="I1912" s="61" t="n">
        <v>1.06</v>
      </c>
      <c r="J1912" s="61" t="n">
        <v>0</v>
      </c>
      <c r="K1912" s="61" t="n">
        <v>0.99</v>
      </c>
      <c r="L1912" s="61" t="n">
        <v>0.01</v>
      </c>
      <c r="M1912" s="61" t="n">
        <v>0</v>
      </c>
      <c r="N1912" s="61" t="n">
        <v>0.01</v>
      </c>
      <c r="O1912" s="61" t="n">
        <v>0</v>
      </c>
      <c r="P1912" s="62" t="n">
        <v>349.3</v>
      </c>
      <c r="Q1912" s="0" t="n">
        <v>0</v>
      </c>
      <c r="R1912" s="60" t="n">
        <f aca="false">G1912+H1912+I1912</f>
        <v>1.08</v>
      </c>
      <c r="S1912" s="60" t="n">
        <f aca="false">K1912+L1912+M1912+N1912+O1912</f>
        <v>1.01</v>
      </c>
      <c r="T1912" s="60" t="n">
        <f aca="false">L1912+M1912</f>
        <v>0.01</v>
      </c>
      <c r="U1912" s="60" t="n">
        <f aca="false">S1912+J1912</f>
        <v>1.01</v>
      </c>
      <c r="V1912" s="63" t="n">
        <f aca="false">IFERROR(S1912/F1912,0)</f>
        <v>0.483253588516746</v>
      </c>
      <c r="W1912" s="63" t="n">
        <f aca="false">IFERROR(R1912/F1912,0)</f>
        <v>0.516746411483254</v>
      </c>
      <c r="X1912" s="63" t="n">
        <f aca="false">IFERROR(T1912/F1912,0)</f>
        <v>0.00478468899521531</v>
      </c>
      <c r="Y1912" s="63" t="n">
        <f aca="false">IFERROR(G1912/F1912,0)</f>
        <v>0</v>
      </c>
      <c r="Z1912" s="59" t="n">
        <f aca="false">IF(E1912&gt;0,F1912*1000000000/E1912,"")</f>
        <v>3382.39697040807</v>
      </c>
      <c r="AA1912" s="63" t="n">
        <f aca="false">IFERROR((R1912+S1912+J1912)/F1912,0)</f>
        <v>1</v>
      </c>
      <c r="AB1912" s="0" t="str">
        <f aca="false">A1912&amp;"|"&amp;D1912</f>
        <v>Suriname|2021</v>
      </c>
    </row>
    <row r="1913" customFormat="false" ht="15" hidden="false" customHeight="false" outlineLevel="0" collapsed="false">
      <c r="A1913" s="0" t="s">
        <v>363</v>
      </c>
      <c r="B1913" s="0" t="s">
        <v>602</v>
      </c>
      <c r="C1913" s="0" t="s">
        <v>127</v>
      </c>
      <c r="D1913" s="0" t="n">
        <v>2022</v>
      </c>
      <c r="E1913" s="59" t="n">
        <v>623172</v>
      </c>
      <c r="F1913" s="60" t="n">
        <v>2.11</v>
      </c>
      <c r="G1913" s="61" t="n">
        <v>0</v>
      </c>
      <c r="H1913" s="61" t="n">
        <v>0.02</v>
      </c>
      <c r="I1913" s="61" t="n">
        <v>1.15</v>
      </c>
      <c r="J1913" s="61" t="n">
        <v>0</v>
      </c>
      <c r="K1913" s="61" t="n">
        <v>0.92</v>
      </c>
      <c r="L1913" s="61" t="n">
        <v>0.01</v>
      </c>
      <c r="M1913" s="61" t="n">
        <v>0</v>
      </c>
      <c r="N1913" s="61" t="n">
        <v>0.01</v>
      </c>
      <c r="O1913" s="61" t="n">
        <v>0</v>
      </c>
      <c r="P1913" s="62" t="n">
        <v>374.4</v>
      </c>
      <c r="Q1913" s="0" t="n">
        <v>0</v>
      </c>
      <c r="R1913" s="60" t="n">
        <f aca="false">G1913+H1913+I1913</f>
        <v>1.17</v>
      </c>
      <c r="S1913" s="60" t="n">
        <f aca="false">K1913+L1913+M1913+N1913+O1913</f>
        <v>0.94</v>
      </c>
      <c r="T1913" s="60" t="n">
        <f aca="false">L1913+M1913</f>
        <v>0.01</v>
      </c>
      <c r="U1913" s="60" t="n">
        <f aca="false">S1913+J1913</f>
        <v>0.94</v>
      </c>
      <c r="V1913" s="63" t="n">
        <f aca="false">IFERROR(S1913/F1913,0)</f>
        <v>0.445497630331754</v>
      </c>
      <c r="W1913" s="63" t="n">
        <f aca="false">IFERROR(R1913/F1913,0)</f>
        <v>0.554502369668246</v>
      </c>
      <c r="X1913" s="63" t="n">
        <f aca="false">IFERROR(T1913/F1913,0)</f>
        <v>0.004739336492891</v>
      </c>
      <c r="Y1913" s="63" t="n">
        <f aca="false">IFERROR(G1913/F1913,0)</f>
        <v>0</v>
      </c>
      <c r="Z1913" s="59" t="n">
        <f aca="false">IF(E1913&gt;0,F1913*1000000000/E1913,"")</f>
        <v>3385.90308935575</v>
      </c>
      <c r="AA1913" s="63" t="n">
        <f aca="false">IFERROR((R1913+S1913+J1913)/F1913,0)</f>
        <v>1</v>
      </c>
      <c r="AB1913" s="0" t="str">
        <f aca="false">A1913&amp;"|"&amp;D1913</f>
        <v>Suriname|2022</v>
      </c>
    </row>
    <row r="1914" customFormat="false" ht="15" hidden="false" customHeight="false" outlineLevel="0" collapsed="false">
      <c r="A1914" s="0" t="s">
        <v>363</v>
      </c>
      <c r="B1914" s="0" t="s">
        <v>602</v>
      </c>
      <c r="C1914" s="0" t="s">
        <v>127</v>
      </c>
      <c r="D1914" s="0" t="n">
        <v>2023</v>
      </c>
      <c r="E1914" s="59" t="n">
        <v>628892</v>
      </c>
      <c r="F1914" s="60" t="n">
        <v>1.73</v>
      </c>
      <c r="G1914" s="61" t="n">
        <v>0</v>
      </c>
      <c r="H1914" s="61" t="n">
        <v>0.02</v>
      </c>
      <c r="I1914" s="61" t="n">
        <v>0.79</v>
      </c>
      <c r="J1914" s="61" t="n">
        <v>0</v>
      </c>
      <c r="K1914" s="61" t="n">
        <v>0.9</v>
      </c>
      <c r="L1914" s="61" t="n">
        <v>0.01</v>
      </c>
      <c r="M1914" s="61" t="n">
        <v>0</v>
      </c>
      <c r="N1914" s="61" t="n">
        <v>0.01</v>
      </c>
      <c r="O1914" s="61" t="n">
        <v>0</v>
      </c>
      <c r="P1914" s="62" t="n">
        <v>317.9</v>
      </c>
      <c r="Q1914" s="0" t="n">
        <v>0</v>
      </c>
      <c r="R1914" s="60" t="n">
        <f aca="false">G1914+H1914+I1914</f>
        <v>0.81</v>
      </c>
      <c r="S1914" s="60" t="n">
        <f aca="false">K1914+L1914+M1914+N1914+O1914</f>
        <v>0.92</v>
      </c>
      <c r="T1914" s="60" t="n">
        <f aca="false">L1914+M1914</f>
        <v>0.01</v>
      </c>
      <c r="U1914" s="60" t="n">
        <f aca="false">S1914+J1914</f>
        <v>0.92</v>
      </c>
      <c r="V1914" s="63" t="n">
        <f aca="false">IFERROR(S1914/F1914,0)</f>
        <v>0.531791907514451</v>
      </c>
      <c r="W1914" s="63" t="n">
        <f aca="false">IFERROR(R1914/F1914,0)</f>
        <v>0.468208092485549</v>
      </c>
      <c r="X1914" s="63" t="n">
        <f aca="false">IFERROR(T1914/F1914,0)</f>
        <v>0.00578034682080925</v>
      </c>
      <c r="Y1914" s="63" t="n">
        <f aca="false">IFERROR(G1914/F1914,0)</f>
        <v>0</v>
      </c>
      <c r="Z1914" s="59" t="n">
        <f aca="false">IF(E1914&gt;0,F1914*1000000000/E1914,"")</f>
        <v>2750.86978368305</v>
      </c>
      <c r="AA1914" s="63" t="n">
        <f aca="false">IFERROR((R1914+S1914+J1914)/F1914,0)</f>
        <v>1</v>
      </c>
      <c r="AB1914" s="0" t="str">
        <f aca="false">A1914&amp;"|"&amp;D1914</f>
        <v>Suriname|2023</v>
      </c>
    </row>
    <row r="1915" customFormat="false" ht="15" hidden="false" customHeight="false" outlineLevel="0" collapsed="false">
      <c r="A1915" s="0" t="s">
        <v>363</v>
      </c>
      <c r="B1915" s="0" t="s">
        <v>602</v>
      </c>
      <c r="C1915" s="0" t="s">
        <v>127</v>
      </c>
      <c r="D1915" s="0" t="n">
        <v>2024</v>
      </c>
      <c r="E1915" s="59" t="n">
        <v>634438</v>
      </c>
      <c r="F1915" s="60" t="n">
        <v>1.74</v>
      </c>
      <c r="G1915" s="61" t="n">
        <v>0</v>
      </c>
      <c r="H1915" s="61" t="n">
        <v>0.02</v>
      </c>
      <c r="I1915" s="61" t="n">
        <v>0.8</v>
      </c>
      <c r="J1915" s="61" t="n">
        <v>0</v>
      </c>
      <c r="K1915" s="61" t="n">
        <v>0.9</v>
      </c>
      <c r="L1915" s="61" t="n">
        <v>0.01</v>
      </c>
      <c r="M1915" s="61" t="n">
        <v>0</v>
      </c>
      <c r="N1915" s="61" t="n">
        <v>0.01</v>
      </c>
      <c r="O1915" s="61" t="n">
        <v>0</v>
      </c>
      <c r="P1915" s="62" t="n">
        <v>321.8</v>
      </c>
      <c r="Q1915" s="0" t="n">
        <v>0</v>
      </c>
      <c r="R1915" s="60" t="n">
        <f aca="false">G1915+H1915+I1915</f>
        <v>0.82</v>
      </c>
      <c r="S1915" s="60" t="n">
        <f aca="false">K1915+L1915+M1915+N1915+O1915</f>
        <v>0.92</v>
      </c>
      <c r="T1915" s="60" t="n">
        <f aca="false">L1915+M1915</f>
        <v>0.01</v>
      </c>
      <c r="U1915" s="60" t="n">
        <f aca="false">S1915+J1915</f>
        <v>0.92</v>
      </c>
      <c r="V1915" s="63" t="n">
        <f aca="false">IFERROR(S1915/F1915,0)</f>
        <v>0.528735632183908</v>
      </c>
      <c r="W1915" s="63" t="n">
        <f aca="false">IFERROR(R1915/F1915,0)</f>
        <v>0.471264367816092</v>
      </c>
      <c r="X1915" s="63" t="n">
        <f aca="false">IFERROR(T1915/F1915,0)</f>
        <v>0.00574712643678161</v>
      </c>
      <c r="Y1915" s="63" t="n">
        <f aca="false">IFERROR(G1915/F1915,0)</f>
        <v>0</v>
      </c>
      <c r="Z1915" s="59" t="n">
        <f aca="false">IF(E1915&gt;0,F1915*1000000000/E1915,"")</f>
        <v>2742.58477581734</v>
      </c>
      <c r="AA1915" s="63" t="n">
        <f aca="false">IFERROR((R1915+S1915+J1915)/F1915,0)</f>
        <v>1</v>
      </c>
      <c r="AB1915" s="0" t="str">
        <f aca="false">A1915&amp;"|"&amp;D1915</f>
        <v>Suriname|2024</v>
      </c>
    </row>
    <row r="1916" customFormat="false" ht="15" hidden="false" customHeight="false" outlineLevel="0" collapsed="false">
      <c r="A1916" s="0" t="s">
        <v>364</v>
      </c>
      <c r="B1916" s="0" t="s">
        <v>603</v>
      </c>
      <c r="C1916" s="0" t="s">
        <v>127</v>
      </c>
      <c r="D1916" s="0" t="n">
        <v>2015</v>
      </c>
      <c r="E1916" s="59" t="n">
        <v>9799483</v>
      </c>
      <c r="F1916" s="60" t="n">
        <v>162</v>
      </c>
      <c r="G1916" s="61" t="n">
        <v>0.39</v>
      </c>
      <c r="H1916" s="61" t="n">
        <v>0.45</v>
      </c>
      <c r="I1916" s="61" t="n">
        <v>2.31</v>
      </c>
      <c r="J1916" s="61" t="n">
        <v>56.35</v>
      </c>
      <c r="K1916" s="61" t="n">
        <v>75.31</v>
      </c>
      <c r="L1916" s="61" t="n">
        <v>0.1</v>
      </c>
      <c r="M1916" s="61" t="n">
        <v>16.32</v>
      </c>
      <c r="N1916" s="61" t="n">
        <v>10.77</v>
      </c>
      <c r="O1916" s="61" t="n">
        <v>0</v>
      </c>
      <c r="P1916" s="62" t="n">
        <v>40.9</v>
      </c>
      <c r="Q1916" s="0" t="n">
        <v>0</v>
      </c>
      <c r="R1916" s="60" t="n">
        <f aca="false">G1916+H1916+I1916</f>
        <v>3.15</v>
      </c>
      <c r="S1916" s="60" t="n">
        <f aca="false">K1916+L1916+M1916+N1916+O1916</f>
        <v>102.5</v>
      </c>
      <c r="T1916" s="60" t="n">
        <f aca="false">L1916+M1916</f>
        <v>16.42</v>
      </c>
      <c r="U1916" s="60" t="n">
        <f aca="false">S1916+J1916</f>
        <v>158.85</v>
      </c>
      <c r="V1916" s="63" t="n">
        <f aca="false">IFERROR(S1916/F1916,0)</f>
        <v>0.632716049382716</v>
      </c>
      <c r="W1916" s="63" t="n">
        <f aca="false">IFERROR(R1916/F1916,0)</f>
        <v>0.0194444444444444</v>
      </c>
      <c r="X1916" s="63" t="n">
        <f aca="false">IFERROR(T1916/F1916,0)</f>
        <v>0.101358024691358</v>
      </c>
      <c r="Y1916" s="63" t="n">
        <f aca="false">IFERROR(G1916/F1916,0)</f>
        <v>0.00240740740740741</v>
      </c>
      <c r="Z1916" s="59" t="n">
        <f aca="false">IF(E1916&gt;0,F1916*1000000000/E1916,"")</f>
        <v>16531.4843650425</v>
      </c>
      <c r="AA1916" s="63" t="n">
        <f aca="false">IFERROR((R1916+S1916+J1916)/F1916,0)</f>
        <v>1</v>
      </c>
      <c r="AB1916" s="0" t="str">
        <f aca="false">A1916&amp;"|"&amp;D1916</f>
        <v>Sweden|2015</v>
      </c>
    </row>
    <row r="1917" customFormat="false" ht="15" hidden="false" customHeight="false" outlineLevel="0" collapsed="false">
      <c r="A1917" s="0" t="s">
        <v>364</v>
      </c>
      <c r="B1917" s="0" t="s">
        <v>603</v>
      </c>
      <c r="C1917" s="0" t="s">
        <v>127</v>
      </c>
      <c r="D1917" s="0" t="n">
        <v>2016</v>
      </c>
      <c r="E1917" s="59" t="n">
        <v>9923281</v>
      </c>
      <c r="F1917" s="60" t="n">
        <v>155.89</v>
      </c>
      <c r="G1917" s="61" t="n">
        <v>0.26</v>
      </c>
      <c r="H1917" s="61" t="n">
        <v>0.68</v>
      </c>
      <c r="I1917" s="61" t="n">
        <v>2.72</v>
      </c>
      <c r="J1917" s="61" t="n">
        <v>63.1</v>
      </c>
      <c r="K1917" s="61" t="n">
        <v>62.02</v>
      </c>
      <c r="L1917" s="61" t="n">
        <v>0.14</v>
      </c>
      <c r="M1917" s="61" t="n">
        <v>15.48</v>
      </c>
      <c r="N1917" s="61" t="n">
        <v>11.49</v>
      </c>
      <c r="O1917" s="61" t="n">
        <v>0</v>
      </c>
      <c r="P1917" s="62" t="n">
        <v>43</v>
      </c>
      <c r="Q1917" s="0" t="n">
        <v>0</v>
      </c>
      <c r="R1917" s="60" t="n">
        <f aca="false">G1917+H1917+I1917</f>
        <v>3.66</v>
      </c>
      <c r="S1917" s="60" t="n">
        <f aca="false">K1917+L1917+M1917+N1917+O1917</f>
        <v>89.13</v>
      </c>
      <c r="T1917" s="60" t="n">
        <f aca="false">L1917+M1917</f>
        <v>15.62</v>
      </c>
      <c r="U1917" s="60" t="n">
        <f aca="false">S1917+J1917</f>
        <v>152.23</v>
      </c>
      <c r="V1917" s="63" t="n">
        <f aca="false">IFERROR(S1917/F1917,0)</f>
        <v>0.571749310411187</v>
      </c>
      <c r="W1917" s="63" t="n">
        <f aca="false">IFERROR(R1917/F1917,0)</f>
        <v>0.0234780935274873</v>
      </c>
      <c r="X1917" s="63" t="n">
        <f aca="false">IFERROR(T1917/F1917,0)</f>
        <v>0.100198858169222</v>
      </c>
      <c r="Y1917" s="63" t="n">
        <f aca="false">IFERROR(G1917/F1917,0)</f>
        <v>0.00166784270960293</v>
      </c>
      <c r="Z1917" s="59" t="n">
        <f aca="false">IF(E1917&gt;0,F1917*1000000000/E1917,"")</f>
        <v>15709.5218809182</v>
      </c>
      <c r="AA1917" s="63" t="n">
        <f aca="false">IFERROR((R1917+S1917+J1917)/F1917,0)</f>
        <v>1</v>
      </c>
      <c r="AB1917" s="0" t="str">
        <f aca="false">A1917&amp;"|"&amp;D1917</f>
        <v>Sweden|2016</v>
      </c>
    </row>
    <row r="1918" customFormat="false" ht="15" hidden="false" customHeight="false" outlineLevel="0" collapsed="false">
      <c r="A1918" s="0" t="s">
        <v>364</v>
      </c>
      <c r="B1918" s="0" t="s">
        <v>603</v>
      </c>
      <c r="C1918" s="0" t="s">
        <v>127</v>
      </c>
      <c r="D1918" s="0" t="n">
        <v>2017</v>
      </c>
      <c r="E1918" s="59" t="n">
        <v>10057864</v>
      </c>
      <c r="F1918" s="60" t="n">
        <v>164.23</v>
      </c>
      <c r="G1918" s="61" t="n">
        <v>0.32</v>
      </c>
      <c r="H1918" s="61" t="n">
        <v>0.33</v>
      </c>
      <c r="I1918" s="61" t="n">
        <v>2.82</v>
      </c>
      <c r="J1918" s="61" t="n">
        <v>65.7</v>
      </c>
      <c r="K1918" s="61" t="n">
        <v>65.14</v>
      </c>
      <c r="L1918" s="61" t="n">
        <v>0.23</v>
      </c>
      <c r="M1918" s="61" t="n">
        <v>17.61</v>
      </c>
      <c r="N1918" s="61" t="n">
        <v>12.08</v>
      </c>
      <c r="O1918" s="61" t="n">
        <v>0</v>
      </c>
      <c r="P1918" s="62" t="n">
        <v>42.5</v>
      </c>
      <c r="Q1918" s="0" t="n">
        <v>0</v>
      </c>
      <c r="R1918" s="60" t="n">
        <f aca="false">G1918+H1918+I1918</f>
        <v>3.47</v>
      </c>
      <c r="S1918" s="60" t="n">
        <f aca="false">K1918+L1918+M1918+N1918+O1918</f>
        <v>95.06</v>
      </c>
      <c r="T1918" s="60" t="n">
        <f aca="false">L1918+M1918</f>
        <v>17.84</v>
      </c>
      <c r="U1918" s="60" t="n">
        <f aca="false">S1918+J1918</f>
        <v>160.76</v>
      </c>
      <c r="V1918" s="63" t="n">
        <f aca="false">IFERROR(S1918/F1918,0)</f>
        <v>0.578822383243013</v>
      </c>
      <c r="W1918" s="63" t="n">
        <f aca="false">IFERROR(R1918/F1918,0)</f>
        <v>0.0211289045850332</v>
      </c>
      <c r="X1918" s="63" t="n">
        <f aca="false">IFERROR(T1918/F1918,0)</f>
        <v>0.108628143457346</v>
      </c>
      <c r="Y1918" s="63" t="n">
        <f aca="false">IFERROR(G1918/F1918,0)</f>
        <v>0.00194848687815868</v>
      </c>
      <c r="Z1918" s="59" t="n">
        <f aca="false">IF(E1918&gt;0,F1918*1000000000/E1918,"")</f>
        <v>16328.5166711342</v>
      </c>
      <c r="AA1918" s="63" t="n">
        <f aca="false">IFERROR((R1918+S1918+J1918)/F1918,0)</f>
        <v>1</v>
      </c>
      <c r="AB1918" s="0" t="str">
        <f aca="false">A1918&amp;"|"&amp;D1918</f>
        <v>Sweden|2017</v>
      </c>
    </row>
    <row r="1919" customFormat="false" ht="15" hidden="false" customHeight="false" outlineLevel="0" collapsed="false">
      <c r="A1919" s="0" t="s">
        <v>364</v>
      </c>
      <c r="B1919" s="0" t="s">
        <v>603</v>
      </c>
      <c r="C1919" s="0" t="s">
        <v>127</v>
      </c>
      <c r="D1919" s="0" t="n">
        <v>2018</v>
      </c>
      <c r="E1919" s="59" t="n">
        <v>10175400</v>
      </c>
      <c r="F1919" s="60" t="n">
        <v>163.36</v>
      </c>
      <c r="G1919" s="61" t="n">
        <v>0.34</v>
      </c>
      <c r="H1919" s="61" t="n">
        <v>0.38</v>
      </c>
      <c r="I1919" s="61" t="n">
        <v>2.94</v>
      </c>
      <c r="J1919" s="61" t="n">
        <v>68.55</v>
      </c>
      <c r="K1919" s="61" t="n">
        <v>62.21</v>
      </c>
      <c r="L1919" s="61" t="n">
        <v>0.41</v>
      </c>
      <c r="M1919" s="61" t="n">
        <v>16.62</v>
      </c>
      <c r="N1919" s="61" t="n">
        <v>11.91</v>
      </c>
      <c r="O1919" s="61" t="n">
        <v>0</v>
      </c>
      <c r="P1919" s="62" t="n">
        <v>42.7</v>
      </c>
      <c r="Q1919" s="0" t="n">
        <v>0</v>
      </c>
      <c r="R1919" s="60" t="n">
        <f aca="false">G1919+H1919+I1919</f>
        <v>3.66</v>
      </c>
      <c r="S1919" s="60" t="n">
        <f aca="false">K1919+L1919+M1919+N1919+O1919</f>
        <v>91.15</v>
      </c>
      <c r="T1919" s="60" t="n">
        <f aca="false">L1919+M1919</f>
        <v>17.03</v>
      </c>
      <c r="U1919" s="60" t="n">
        <f aca="false">S1919+J1919</f>
        <v>159.7</v>
      </c>
      <c r="V1919" s="63" t="n">
        <f aca="false">IFERROR(S1919/F1919,0)</f>
        <v>0.557970127326151</v>
      </c>
      <c r="W1919" s="63" t="n">
        <f aca="false">IFERROR(R1919/F1919,0)</f>
        <v>0.0224045053868756</v>
      </c>
      <c r="X1919" s="63" t="n">
        <f aca="false">IFERROR(T1919/F1919,0)</f>
        <v>0.104248285994123</v>
      </c>
      <c r="Y1919" s="63" t="n">
        <f aca="false">IFERROR(G1919/F1919,0)</f>
        <v>0.00208129285014692</v>
      </c>
      <c r="Z1919" s="59" t="n">
        <f aca="false">IF(E1919&gt;0,F1919*1000000000/E1919,"")</f>
        <v>16054.4057236079</v>
      </c>
      <c r="AA1919" s="63" t="n">
        <f aca="false">IFERROR((R1919+S1919+J1919)/F1919,0)</f>
        <v>1</v>
      </c>
      <c r="AB1919" s="0" t="str">
        <f aca="false">A1919&amp;"|"&amp;D1919</f>
        <v>Sweden|2018</v>
      </c>
    </row>
    <row r="1920" customFormat="false" ht="15" hidden="false" customHeight="false" outlineLevel="0" collapsed="false">
      <c r="A1920" s="0" t="s">
        <v>364</v>
      </c>
      <c r="B1920" s="0" t="s">
        <v>603</v>
      </c>
      <c r="C1920" s="0" t="s">
        <v>127</v>
      </c>
      <c r="D1920" s="0" t="n">
        <v>2019</v>
      </c>
      <c r="E1920" s="59" t="n">
        <v>10279120</v>
      </c>
      <c r="F1920" s="60" t="n">
        <v>168.42</v>
      </c>
      <c r="G1920" s="61" t="n">
        <v>0.21</v>
      </c>
      <c r="H1920" s="61" t="n">
        <v>0.29</v>
      </c>
      <c r="I1920" s="61" t="n">
        <v>2.85</v>
      </c>
      <c r="J1920" s="61" t="n">
        <v>66.13</v>
      </c>
      <c r="K1920" s="61" t="n">
        <v>65.37</v>
      </c>
      <c r="L1920" s="61" t="n">
        <v>0.68</v>
      </c>
      <c r="M1920" s="61" t="n">
        <v>19.85</v>
      </c>
      <c r="N1920" s="61" t="n">
        <v>13.04</v>
      </c>
      <c r="O1920" s="61" t="n">
        <v>0</v>
      </c>
      <c r="P1920" s="62" t="n">
        <v>42.3</v>
      </c>
      <c r="Q1920" s="0" t="n">
        <v>0</v>
      </c>
      <c r="R1920" s="60" t="n">
        <f aca="false">G1920+H1920+I1920</f>
        <v>3.35</v>
      </c>
      <c r="S1920" s="60" t="n">
        <f aca="false">K1920+L1920+M1920+N1920+O1920</f>
        <v>98.94</v>
      </c>
      <c r="T1920" s="60" t="n">
        <f aca="false">L1920+M1920</f>
        <v>20.53</v>
      </c>
      <c r="U1920" s="60" t="n">
        <f aca="false">S1920+J1920</f>
        <v>165.07</v>
      </c>
      <c r="V1920" s="63" t="n">
        <f aca="false">IFERROR(S1920/F1920,0)</f>
        <v>0.58745992162451</v>
      </c>
      <c r="W1920" s="63" t="n">
        <f aca="false">IFERROR(R1920/F1920,0)</f>
        <v>0.0198907493171832</v>
      </c>
      <c r="X1920" s="63" t="n">
        <f aca="false">IFERROR(T1920/F1920,0)</f>
        <v>0.12189763686023</v>
      </c>
      <c r="Y1920" s="63" t="n">
        <f aca="false">IFERROR(G1920/F1920,0)</f>
        <v>0.00124688279301746</v>
      </c>
      <c r="Z1920" s="59" t="n">
        <f aca="false">IF(E1920&gt;0,F1920*1000000000/E1920,"")</f>
        <v>16384.671061336</v>
      </c>
      <c r="AA1920" s="63" t="n">
        <f aca="false">IFERROR((R1920+S1920+J1920)/F1920,0)</f>
        <v>1</v>
      </c>
      <c r="AB1920" s="0" t="str">
        <f aca="false">A1920&amp;"|"&amp;D1920</f>
        <v>Sweden|2019</v>
      </c>
    </row>
    <row r="1921" customFormat="false" ht="15" hidden="false" customHeight="false" outlineLevel="0" collapsed="false">
      <c r="A1921" s="0" t="s">
        <v>364</v>
      </c>
      <c r="B1921" s="0" t="s">
        <v>603</v>
      </c>
      <c r="C1921" s="0" t="s">
        <v>127</v>
      </c>
      <c r="D1921" s="0" t="n">
        <v>2020</v>
      </c>
      <c r="E1921" s="59" t="n">
        <v>10353682</v>
      </c>
      <c r="F1921" s="60" t="n">
        <v>163.78</v>
      </c>
      <c r="G1921" s="61" t="n">
        <v>0</v>
      </c>
      <c r="H1921" s="61" t="n">
        <v>0.1</v>
      </c>
      <c r="I1921" s="61" t="n">
        <v>2.34</v>
      </c>
      <c r="J1921" s="61" t="n">
        <v>49.2</v>
      </c>
      <c r="K1921" s="61" t="n">
        <v>72.39</v>
      </c>
      <c r="L1921" s="61" t="n">
        <v>1.05</v>
      </c>
      <c r="M1921" s="61" t="n">
        <v>27.52</v>
      </c>
      <c r="N1921" s="61" t="n">
        <v>11.18</v>
      </c>
      <c r="O1921" s="61" t="n">
        <v>0</v>
      </c>
      <c r="P1921" s="62" t="n">
        <v>38.7</v>
      </c>
      <c r="Q1921" s="0" t="n">
        <v>0</v>
      </c>
      <c r="R1921" s="60" t="n">
        <f aca="false">G1921+H1921+I1921</f>
        <v>2.44</v>
      </c>
      <c r="S1921" s="60" t="n">
        <f aca="false">K1921+L1921+M1921+N1921+O1921</f>
        <v>112.14</v>
      </c>
      <c r="T1921" s="60" t="n">
        <f aca="false">L1921+M1921</f>
        <v>28.57</v>
      </c>
      <c r="U1921" s="60" t="n">
        <f aca="false">S1921+J1921</f>
        <v>161.34</v>
      </c>
      <c r="V1921" s="63" t="n">
        <f aca="false">IFERROR(S1921/F1921,0)</f>
        <v>0.684698986445231</v>
      </c>
      <c r="W1921" s="63" t="n">
        <f aca="false">IFERROR(R1921/F1921,0)</f>
        <v>0.014898033947979</v>
      </c>
      <c r="X1921" s="63" t="n">
        <f aca="false">IFERROR(T1921/F1921,0)</f>
        <v>0.174441323726951</v>
      </c>
      <c r="Y1921" s="63" t="n">
        <f aca="false">IFERROR(G1921/F1921,0)</f>
        <v>0</v>
      </c>
      <c r="Z1921" s="59" t="n">
        <f aca="false">IF(E1921&gt;0,F1921*1000000000/E1921,"")</f>
        <v>15818.5271674367</v>
      </c>
      <c r="AA1921" s="63" t="n">
        <f aca="false">IFERROR((R1921+S1921+J1921)/F1921,0)</f>
        <v>1</v>
      </c>
      <c r="AB1921" s="0" t="str">
        <f aca="false">A1921&amp;"|"&amp;D1921</f>
        <v>Sweden|2020</v>
      </c>
    </row>
    <row r="1922" customFormat="false" ht="15" hidden="false" customHeight="false" outlineLevel="0" collapsed="false">
      <c r="A1922" s="0" t="s">
        <v>364</v>
      </c>
      <c r="B1922" s="0" t="s">
        <v>603</v>
      </c>
      <c r="C1922" s="0" t="s">
        <v>127</v>
      </c>
      <c r="D1922" s="0" t="n">
        <v>2021</v>
      </c>
      <c r="E1922" s="59" t="n">
        <v>10416134</v>
      </c>
      <c r="F1922" s="60" t="n">
        <v>171.78</v>
      </c>
      <c r="G1922" s="61" t="n">
        <v>0</v>
      </c>
      <c r="H1922" s="61" t="n">
        <v>0.29</v>
      </c>
      <c r="I1922" s="61" t="n">
        <v>2.77</v>
      </c>
      <c r="J1922" s="61" t="n">
        <v>52.97</v>
      </c>
      <c r="K1922" s="61" t="n">
        <v>73.89</v>
      </c>
      <c r="L1922" s="61" t="n">
        <v>1.53</v>
      </c>
      <c r="M1922" s="61" t="n">
        <v>27.25</v>
      </c>
      <c r="N1922" s="61" t="n">
        <v>13.08</v>
      </c>
      <c r="O1922" s="61" t="n">
        <v>0</v>
      </c>
      <c r="P1922" s="62" t="n">
        <v>41.7</v>
      </c>
      <c r="Q1922" s="0" t="n">
        <v>0</v>
      </c>
      <c r="R1922" s="60" t="n">
        <f aca="false">G1922+H1922+I1922</f>
        <v>3.06</v>
      </c>
      <c r="S1922" s="60" t="n">
        <f aca="false">K1922+L1922+M1922+N1922+O1922</f>
        <v>115.75</v>
      </c>
      <c r="T1922" s="60" t="n">
        <f aca="false">L1922+M1922</f>
        <v>28.78</v>
      </c>
      <c r="U1922" s="60" t="n">
        <f aca="false">S1922+J1922</f>
        <v>168.72</v>
      </c>
      <c r="V1922" s="63" t="n">
        <f aca="false">IFERROR(S1922/F1922,0)</f>
        <v>0.673826988007917</v>
      </c>
      <c r="W1922" s="63" t="n">
        <f aca="false">IFERROR(R1922/F1922,0)</f>
        <v>0.0178134823611596</v>
      </c>
      <c r="X1922" s="63" t="n">
        <f aca="false">IFERROR(T1922/F1922,0)</f>
        <v>0.167539876586331</v>
      </c>
      <c r="Y1922" s="63" t="n">
        <f aca="false">IFERROR(G1922/F1922,0)</f>
        <v>0</v>
      </c>
      <c r="Z1922" s="59" t="n">
        <f aca="false">IF(E1922&gt;0,F1922*1000000000/E1922,"")</f>
        <v>16491.7233207637</v>
      </c>
      <c r="AA1922" s="63" t="n">
        <f aca="false">IFERROR((R1922+S1922+J1922)/F1922,0)</f>
        <v>1</v>
      </c>
      <c r="AB1922" s="0" t="str">
        <f aca="false">A1922&amp;"|"&amp;D1922</f>
        <v>Sweden|2021</v>
      </c>
    </row>
    <row r="1923" customFormat="false" ht="15" hidden="false" customHeight="false" outlineLevel="0" collapsed="false">
      <c r="A1923" s="0" t="s">
        <v>364</v>
      </c>
      <c r="B1923" s="0" t="s">
        <v>603</v>
      </c>
      <c r="C1923" s="0" t="s">
        <v>127</v>
      </c>
      <c r="D1923" s="0" t="n">
        <v>2022</v>
      </c>
      <c r="E1923" s="59" t="n">
        <v>10487335</v>
      </c>
      <c r="F1923" s="60" t="n">
        <v>173.05</v>
      </c>
      <c r="G1923" s="61" t="n">
        <v>0</v>
      </c>
      <c r="H1923" s="61" t="n">
        <v>0.15</v>
      </c>
      <c r="I1923" s="61" t="n">
        <v>2.73</v>
      </c>
      <c r="J1923" s="61" t="n">
        <v>51.94</v>
      </c>
      <c r="K1923" s="61" t="n">
        <v>69.87</v>
      </c>
      <c r="L1923" s="61" t="n">
        <v>1.98</v>
      </c>
      <c r="M1923" s="61" t="n">
        <v>33.25</v>
      </c>
      <c r="N1923" s="61" t="n">
        <v>13.13</v>
      </c>
      <c r="O1923" s="61" t="n">
        <v>0</v>
      </c>
      <c r="P1923" s="62" t="n">
        <v>41</v>
      </c>
      <c r="Q1923" s="0" t="n">
        <v>0</v>
      </c>
      <c r="R1923" s="60" t="n">
        <f aca="false">G1923+H1923+I1923</f>
        <v>2.88</v>
      </c>
      <c r="S1923" s="60" t="n">
        <f aca="false">K1923+L1923+M1923+N1923+O1923</f>
        <v>118.23</v>
      </c>
      <c r="T1923" s="60" t="n">
        <f aca="false">L1923+M1923</f>
        <v>35.23</v>
      </c>
      <c r="U1923" s="60" t="n">
        <f aca="false">S1923+J1923</f>
        <v>170.17</v>
      </c>
      <c r="V1923" s="63" t="n">
        <f aca="false">IFERROR(S1923/F1923,0)</f>
        <v>0.68321294423577</v>
      </c>
      <c r="W1923" s="63" t="n">
        <f aca="false">IFERROR(R1923/F1923,0)</f>
        <v>0.016642588847154</v>
      </c>
      <c r="X1923" s="63" t="n">
        <f aca="false">IFERROR(T1923/F1923,0)</f>
        <v>0.203582779543485</v>
      </c>
      <c r="Y1923" s="63" t="n">
        <f aca="false">IFERROR(G1923/F1923,0)</f>
        <v>0</v>
      </c>
      <c r="Z1923" s="59" t="n">
        <f aca="false">IF(E1923&gt;0,F1923*1000000000/E1923,"")</f>
        <v>16500.8555557728</v>
      </c>
      <c r="AA1923" s="63" t="n">
        <f aca="false">IFERROR((R1923+S1923+J1923)/F1923,0)</f>
        <v>1</v>
      </c>
      <c r="AB1923" s="0" t="str">
        <f aca="false">A1923&amp;"|"&amp;D1923</f>
        <v>Sweden|2022</v>
      </c>
    </row>
    <row r="1924" customFormat="false" ht="15" hidden="false" customHeight="false" outlineLevel="0" collapsed="false">
      <c r="A1924" s="0" t="s">
        <v>364</v>
      </c>
      <c r="B1924" s="0" t="s">
        <v>603</v>
      </c>
      <c r="C1924" s="0" t="s">
        <v>127</v>
      </c>
      <c r="D1924" s="0" t="n">
        <v>2023</v>
      </c>
      <c r="E1924" s="59" t="n">
        <v>10551493</v>
      </c>
      <c r="F1924" s="60" t="n">
        <v>166.05</v>
      </c>
      <c r="G1924" s="61" t="n">
        <v>0</v>
      </c>
      <c r="H1924" s="61" t="n">
        <v>0.16</v>
      </c>
      <c r="I1924" s="61" t="n">
        <v>2.17</v>
      </c>
      <c r="J1924" s="61" t="n">
        <v>48.47</v>
      </c>
      <c r="K1924" s="61" t="n">
        <v>66.19</v>
      </c>
      <c r="L1924" s="61" t="n">
        <v>3.11</v>
      </c>
      <c r="M1924" s="61" t="n">
        <v>34.25</v>
      </c>
      <c r="N1924" s="61" t="n">
        <v>11.7</v>
      </c>
      <c r="O1924" s="61" t="n">
        <v>0</v>
      </c>
      <c r="P1924" s="62" t="n">
        <v>38.4</v>
      </c>
      <c r="Q1924" s="0" t="n">
        <v>0</v>
      </c>
      <c r="R1924" s="60" t="n">
        <f aca="false">G1924+H1924+I1924</f>
        <v>2.33</v>
      </c>
      <c r="S1924" s="60" t="n">
        <f aca="false">K1924+L1924+M1924+N1924+O1924</f>
        <v>115.25</v>
      </c>
      <c r="T1924" s="60" t="n">
        <f aca="false">L1924+M1924</f>
        <v>37.36</v>
      </c>
      <c r="U1924" s="60" t="n">
        <f aca="false">S1924+J1924</f>
        <v>163.72</v>
      </c>
      <c r="V1924" s="63" t="n">
        <f aca="false">IFERROR(S1924/F1924,0)</f>
        <v>0.694068051791629</v>
      </c>
      <c r="W1924" s="63" t="n">
        <f aca="false">IFERROR(R1924/F1924,0)</f>
        <v>0.0140319180969587</v>
      </c>
      <c r="X1924" s="63" t="n">
        <f aca="false">IFERROR(T1924/F1924,0)</f>
        <v>0.224992472146944</v>
      </c>
      <c r="Y1924" s="63" t="n">
        <f aca="false">IFERROR(G1924/F1924,0)</f>
        <v>0</v>
      </c>
      <c r="Z1924" s="59" t="n">
        <f aca="false">IF(E1924&gt;0,F1924*1000000000/E1924,"")</f>
        <v>15737.1094308644</v>
      </c>
      <c r="AA1924" s="63" t="n">
        <f aca="false">IFERROR((R1924+S1924+J1924)/F1924,0)</f>
        <v>1</v>
      </c>
      <c r="AB1924" s="0" t="str">
        <f aca="false">A1924&amp;"|"&amp;D1924</f>
        <v>Sweden|2023</v>
      </c>
    </row>
    <row r="1925" customFormat="false" ht="15" hidden="false" customHeight="false" outlineLevel="0" collapsed="false">
      <c r="A1925" s="0" t="s">
        <v>364</v>
      </c>
      <c r="B1925" s="0" t="s">
        <v>603</v>
      </c>
      <c r="C1925" s="0" t="s">
        <v>127</v>
      </c>
      <c r="D1925" s="0" t="n">
        <v>2024</v>
      </c>
      <c r="E1925" s="59" t="n">
        <v>10606993</v>
      </c>
      <c r="F1925" s="60" t="n">
        <v>172.15</v>
      </c>
      <c r="G1925" s="61" t="n">
        <v>0</v>
      </c>
      <c r="H1925" s="61" t="n">
        <v>0.11</v>
      </c>
      <c r="I1925" s="61" t="n">
        <v>1.97</v>
      </c>
      <c r="J1925" s="61" t="n">
        <v>50.67</v>
      </c>
      <c r="K1925" s="61" t="n">
        <v>64.61</v>
      </c>
      <c r="L1925" s="61" t="n">
        <v>4.16</v>
      </c>
      <c r="M1925" s="61" t="n">
        <v>40.45</v>
      </c>
      <c r="N1925" s="61" t="n">
        <v>10.18</v>
      </c>
      <c r="O1925" s="61" t="n">
        <v>0</v>
      </c>
      <c r="P1925" s="62" t="n">
        <v>34.9</v>
      </c>
      <c r="Q1925" s="0" t="n">
        <v>0</v>
      </c>
      <c r="R1925" s="60" t="n">
        <f aca="false">G1925+H1925+I1925</f>
        <v>2.08</v>
      </c>
      <c r="S1925" s="60" t="n">
        <f aca="false">K1925+L1925+M1925+N1925+O1925</f>
        <v>119.4</v>
      </c>
      <c r="T1925" s="60" t="n">
        <f aca="false">L1925+M1925</f>
        <v>44.61</v>
      </c>
      <c r="U1925" s="60" t="n">
        <f aca="false">S1925+J1925</f>
        <v>170.07</v>
      </c>
      <c r="V1925" s="63" t="n">
        <f aca="false">IFERROR(S1925/F1925,0)</f>
        <v>0.693581179204182</v>
      </c>
      <c r="W1925" s="63" t="n">
        <f aca="false">IFERROR(R1925/F1925,0)</f>
        <v>0.012082486203892</v>
      </c>
      <c r="X1925" s="63" t="n">
        <f aca="false">IFERROR(T1925/F1925,0)</f>
        <v>0.259134475747894</v>
      </c>
      <c r="Y1925" s="63" t="n">
        <f aca="false">IFERROR(G1925/F1925,0)</f>
        <v>0</v>
      </c>
      <c r="Z1925" s="59" t="n">
        <f aca="false">IF(E1925&gt;0,F1925*1000000000/E1925,"")</f>
        <v>16229.8589242022</v>
      </c>
      <c r="AA1925" s="63" t="n">
        <f aca="false">IFERROR((R1925+S1925+J1925)/F1925,0)</f>
        <v>1</v>
      </c>
      <c r="AB1925" s="0" t="str">
        <f aca="false">A1925&amp;"|"&amp;D1925</f>
        <v>Sweden|2024</v>
      </c>
    </row>
    <row r="1926" customFormat="false" ht="15" hidden="false" customHeight="false" outlineLevel="0" collapsed="false">
      <c r="A1926" s="0" t="s">
        <v>364</v>
      </c>
      <c r="B1926" s="0" t="s">
        <v>603</v>
      </c>
      <c r="C1926" s="0" t="s">
        <v>127</v>
      </c>
      <c r="D1926" s="0" t="n">
        <v>2025</v>
      </c>
      <c r="E1926" s="59" t="n">
        <v>10656636</v>
      </c>
      <c r="F1926" s="60" t="n">
        <v>170.71</v>
      </c>
      <c r="G1926" s="61" t="n">
        <v>0</v>
      </c>
      <c r="H1926" s="61" t="n">
        <v>0.11</v>
      </c>
      <c r="I1926" s="61" t="n">
        <v>1.97</v>
      </c>
      <c r="J1926" s="61" t="n">
        <v>47.1</v>
      </c>
      <c r="K1926" s="61" t="n">
        <v>68.24</v>
      </c>
      <c r="L1926" s="61" t="n">
        <v>4.43</v>
      </c>
      <c r="M1926" s="61" t="n">
        <v>38.9</v>
      </c>
      <c r="N1926" s="61" t="n">
        <v>9.96</v>
      </c>
      <c r="O1926" s="61" t="n">
        <v>0</v>
      </c>
      <c r="P1926" s="62" t="n">
        <v>35.3</v>
      </c>
      <c r="Q1926" s="0" t="n">
        <v>0</v>
      </c>
      <c r="R1926" s="60" t="n">
        <f aca="false">G1926+H1926+I1926</f>
        <v>2.08</v>
      </c>
      <c r="S1926" s="60" t="n">
        <f aca="false">K1926+L1926+M1926+N1926+O1926</f>
        <v>121.53</v>
      </c>
      <c r="T1926" s="60" t="n">
        <f aca="false">L1926+M1926</f>
        <v>43.33</v>
      </c>
      <c r="U1926" s="60" t="n">
        <f aca="false">S1926+J1926</f>
        <v>168.63</v>
      </c>
      <c r="V1926" s="63" t="n">
        <f aca="false">IFERROR(S1926/F1926,0)</f>
        <v>0.711909085583738</v>
      </c>
      <c r="W1926" s="63" t="n">
        <f aca="false">IFERROR(R1926/F1926,0)</f>
        <v>0.0121844063030871</v>
      </c>
      <c r="X1926" s="63" t="n">
        <f aca="false">IFERROR(T1926/F1926,0)</f>
        <v>0.253822271688829</v>
      </c>
      <c r="Y1926" s="63" t="n">
        <f aca="false">IFERROR(G1926/F1926,0)</f>
        <v>0</v>
      </c>
      <c r="Z1926" s="59" t="n">
        <f aca="false">IF(E1926&gt;0,F1926*1000000000/E1926,"")</f>
        <v>16019.1264860693</v>
      </c>
      <c r="AA1926" s="63" t="n">
        <f aca="false">IFERROR((R1926+S1926+J1926)/F1926,0)</f>
        <v>1</v>
      </c>
      <c r="AB1926" s="0" t="str">
        <f aca="false">A1926&amp;"|"&amp;D1926</f>
        <v>Sweden|2025</v>
      </c>
    </row>
    <row r="1927" customFormat="false" ht="15" hidden="false" customHeight="false" outlineLevel="0" collapsed="false">
      <c r="A1927" s="0" t="s">
        <v>365</v>
      </c>
      <c r="B1927" s="0" t="s">
        <v>604</v>
      </c>
      <c r="C1927" s="0" t="s">
        <v>127</v>
      </c>
      <c r="D1927" s="0" t="n">
        <v>2015</v>
      </c>
      <c r="E1927" s="59" t="n">
        <v>8283940</v>
      </c>
      <c r="F1927" s="60" t="n">
        <v>66.07</v>
      </c>
      <c r="G1927" s="61" t="n">
        <v>0</v>
      </c>
      <c r="H1927" s="61" t="n">
        <v>0.63</v>
      </c>
      <c r="I1927" s="61" t="n">
        <v>1.23</v>
      </c>
      <c r="J1927" s="61" t="n">
        <v>23.09</v>
      </c>
      <c r="K1927" s="61" t="n">
        <v>38.26</v>
      </c>
      <c r="L1927" s="61" t="n">
        <v>1.12</v>
      </c>
      <c r="M1927" s="61" t="n">
        <v>0.11</v>
      </c>
      <c r="N1927" s="61" t="n">
        <v>0.52</v>
      </c>
      <c r="O1927" s="61" t="n">
        <v>1.11</v>
      </c>
      <c r="P1927" s="62" t="n">
        <v>35.6</v>
      </c>
      <c r="Q1927" s="0" t="n">
        <v>0</v>
      </c>
      <c r="R1927" s="60" t="n">
        <f aca="false">G1927+H1927+I1927</f>
        <v>1.86</v>
      </c>
      <c r="S1927" s="60" t="n">
        <f aca="false">K1927+L1927+M1927+N1927+O1927</f>
        <v>41.12</v>
      </c>
      <c r="T1927" s="60" t="n">
        <f aca="false">L1927+M1927</f>
        <v>1.23</v>
      </c>
      <c r="U1927" s="60" t="n">
        <f aca="false">S1927+J1927</f>
        <v>64.21</v>
      </c>
      <c r="V1927" s="63" t="n">
        <f aca="false">IFERROR(S1927/F1927,0)</f>
        <v>0.62237021341002</v>
      </c>
      <c r="W1927" s="63" t="n">
        <f aca="false">IFERROR(R1927/F1927,0)</f>
        <v>0.0281519600423793</v>
      </c>
      <c r="X1927" s="63" t="n">
        <f aca="false">IFERROR(T1927/F1927,0)</f>
        <v>0.0186166187377024</v>
      </c>
      <c r="Y1927" s="63" t="n">
        <f aca="false">IFERROR(G1927/F1927,0)</f>
        <v>0</v>
      </c>
      <c r="Z1927" s="59" t="n">
        <f aca="false">IF(E1927&gt;0,F1927*1000000000/E1927,"")</f>
        <v>7975.67341144431</v>
      </c>
      <c r="AA1927" s="63" t="n">
        <f aca="false">IFERROR((R1927+S1927+J1927)/F1927,0)</f>
        <v>1</v>
      </c>
      <c r="AB1927" s="0" t="str">
        <f aca="false">A1927&amp;"|"&amp;D1927</f>
        <v>Switzerland|2015</v>
      </c>
    </row>
    <row r="1928" customFormat="false" ht="15" hidden="false" customHeight="false" outlineLevel="0" collapsed="false">
      <c r="A1928" s="0" t="s">
        <v>365</v>
      </c>
      <c r="B1928" s="0" t="s">
        <v>604</v>
      </c>
      <c r="C1928" s="0" t="s">
        <v>127</v>
      </c>
      <c r="D1928" s="0" t="n">
        <v>2016</v>
      </c>
      <c r="E1928" s="59" t="n">
        <v>8374903</v>
      </c>
      <c r="F1928" s="60" t="n">
        <v>61.1</v>
      </c>
      <c r="G1928" s="61" t="n">
        <v>0</v>
      </c>
      <c r="H1928" s="61" t="n">
        <v>0.86</v>
      </c>
      <c r="I1928" s="61" t="n">
        <v>1.28</v>
      </c>
      <c r="J1928" s="61" t="n">
        <v>21.15</v>
      </c>
      <c r="K1928" s="61" t="n">
        <v>34.62</v>
      </c>
      <c r="L1928" s="61" t="n">
        <v>1.33</v>
      </c>
      <c r="M1928" s="61" t="n">
        <v>0.11</v>
      </c>
      <c r="N1928" s="61" t="n">
        <v>0.58</v>
      </c>
      <c r="O1928" s="61" t="n">
        <v>1.17</v>
      </c>
      <c r="P1928" s="62" t="n">
        <v>39.4</v>
      </c>
      <c r="Q1928" s="0" t="n">
        <v>0</v>
      </c>
      <c r="R1928" s="60" t="n">
        <f aca="false">G1928+H1928+I1928</f>
        <v>2.14</v>
      </c>
      <c r="S1928" s="60" t="n">
        <f aca="false">K1928+L1928+M1928+N1928+O1928</f>
        <v>37.81</v>
      </c>
      <c r="T1928" s="60" t="n">
        <f aca="false">L1928+M1928</f>
        <v>1.44</v>
      </c>
      <c r="U1928" s="60" t="n">
        <f aca="false">S1928+J1928</f>
        <v>58.96</v>
      </c>
      <c r="V1928" s="63" t="n">
        <f aca="false">IFERROR(S1928/F1928,0)</f>
        <v>0.618821603927987</v>
      </c>
      <c r="W1928" s="63" t="n">
        <f aca="false">IFERROR(R1928/F1928,0)</f>
        <v>0.0350245499181669</v>
      </c>
      <c r="X1928" s="63" t="n">
        <f aca="false">IFERROR(T1928/F1928,0)</f>
        <v>0.0235679214402619</v>
      </c>
      <c r="Y1928" s="63" t="n">
        <f aca="false">IFERROR(G1928/F1928,0)</f>
        <v>0</v>
      </c>
      <c r="Z1928" s="59" t="n">
        <f aca="false">IF(E1928&gt;0,F1928*1000000000/E1928,"")</f>
        <v>7295.606886432</v>
      </c>
      <c r="AA1928" s="63" t="n">
        <f aca="false">IFERROR((R1928+S1928+J1928)/F1928,0)</f>
        <v>1</v>
      </c>
      <c r="AB1928" s="0" t="str">
        <f aca="false">A1928&amp;"|"&amp;D1928</f>
        <v>Switzerland|2016</v>
      </c>
    </row>
    <row r="1929" customFormat="false" ht="15" hidden="false" customHeight="false" outlineLevel="0" collapsed="false">
      <c r="A1929" s="0" t="s">
        <v>365</v>
      </c>
      <c r="B1929" s="0" t="s">
        <v>604</v>
      </c>
      <c r="C1929" s="0" t="s">
        <v>127</v>
      </c>
      <c r="D1929" s="0" t="n">
        <v>2017</v>
      </c>
      <c r="E1929" s="59" t="n">
        <v>8453630</v>
      </c>
      <c r="F1929" s="60" t="n">
        <v>60.15</v>
      </c>
      <c r="G1929" s="61" t="n">
        <v>0</v>
      </c>
      <c r="H1929" s="61" t="n">
        <v>0.72</v>
      </c>
      <c r="I1929" s="61" t="n">
        <v>1.29</v>
      </c>
      <c r="J1929" s="61" t="n">
        <v>20.38</v>
      </c>
      <c r="K1929" s="61" t="n">
        <v>34.09</v>
      </c>
      <c r="L1929" s="61" t="n">
        <v>1.68</v>
      </c>
      <c r="M1929" s="61" t="n">
        <v>0.13</v>
      </c>
      <c r="N1929" s="61" t="n">
        <v>0.69</v>
      </c>
      <c r="O1929" s="61" t="n">
        <v>1.17</v>
      </c>
      <c r="P1929" s="62" t="n">
        <v>39.7</v>
      </c>
      <c r="Q1929" s="0" t="n">
        <v>0</v>
      </c>
      <c r="R1929" s="60" t="n">
        <f aca="false">G1929+H1929+I1929</f>
        <v>2.01</v>
      </c>
      <c r="S1929" s="60" t="n">
        <f aca="false">K1929+L1929+M1929+N1929+O1929</f>
        <v>37.76</v>
      </c>
      <c r="T1929" s="60" t="n">
        <f aca="false">L1929+M1929</f>
        <v>1.81</v>
      </c>
      <c r="U1929" s="60" t="n">
        <f aca="false">S1929+J1929</f>
        <v>58.14</v>
      </c>
      <c r="V1929" s="63" t="n">
        <f aca="false">IFERROR(S1929/F1929,0)</f>
        <v>0.627763923524522</v>
      </c>
      <c r="W1929" s="63" t="n">
        <f aca="false">IFERROR(R1929/F1929,0)</f>
        <v>0.0334164588528678</v>
      </c>
      <c r="X1929" s="63" t="n">
        <f aca="false">IFERROR(T1929/F1929,0)</f>
        <v>0.030091438071488</v>
      </c>
      <c r="Y1929" s="63" t="n">
        <f aca="false">IFERROR(G1929/F1929,0)</f>
        <v>0</v>
      </c>
      <c r="Z1929" s="59" t="n">
        <f aca="false">IF(E1929&gt;0,F1929*1000000000/E1929,"")</f>
        <v>7115.28656920163</v>
      </c>
      <c r="AA1929" s="63" t="n">
        <f aca="false">IFERROR((R1929+S1929+J1929)/F1929,0)</f>
        <v>1</v>
      </c>
      <c r="AB1929" s="0" t="str">
        <f aca="false">A1929&amp;"|"&amp;D1929</f>
        <v>Switzerland|2017</v>
      </c>
    </row>
    <row r="1930" customFormat="false" ht="15" hidden="false" customHeight="false" outlineLevel="0" collapsed="false">
      <c r="A1930" s="0" t="s">
        <v>365</v>
      </c>
      <c r="B1930" s="0" t="s">
        <v>604</v>
      </c>
      <c r="C1930" s="0" t="s">
        <v>127</v>
      </c>
      <c r="D1930" s="0" t="n">
        <v>2018</v>
      </c>
      <c r="E1930" s="59" t="n">
        <v>8516341</v>
      </c>
      <c r="F1930" s="60" t="n">
        <v>66.29</v>
      </c>
      <c r="G1930" s="61" t="n">
        <v>0</v>
      </c>
      <c r="H1930" s="61" t="n">
        <v>0.62</v>
      </c>
      <c r="I1930" s="61" t="n">
        <v>1.28</v>
      </c>
      <c r="J1930" s="61" t="n">
        <v>25.51</v>
      </c>
      <c r="K1930" s="61" t="n">
        <v>34.98</v>
      </c>
      <c r="L1930" s="61" t="n">
        <v>1.95</v>
      </c>
      <c r="M1930" s="61" t="n">
        <v>0.12</v>
      </c>
      <c r="N1930" s="61" t="n">
        <v>0.67</v>
      </c>
      <c r="O1930" s="61" t="n">
        <v>1.16</v>
      </c>
      <c r="P1930" s="62" t="n">
        <v>36</v>
      </c>
      <c r="Q1930" s="0" t="n">
        <v>0</v>
      </c>
      <c r="R1930" s="60" t="n">
        <f aca="false">G1930+H1930+I1930</f>
        <v>1.9</v>
      </c>
      <c r="S1930" s="60" t="n">
        <f aca="false">K1930+L1930+M1930+N1930+O1930</f>
        <v>38.88</v>
      </c>
      <c r="T1930" s="60" t="n">
        <f aca="false">L1930+M1930</f>
        <v>2.07</v>
      </c>
      <c r="U1930" s="60" t="n">
        <f aca="false">S1930+J1930</f>
        <v>64.39</v>
      </c>
      <c r="V1930" s="63" t="n">
        <f aca="false">IFERROR(S1930/F1930,0)</f>
        <v>0.586513802986876</v>
      </c>
      <c r="W1930" s="63" t="n">
        <f aca="false">IFERROR(R1930/F1930,0)</f>
        <v>0.0286619399607784</v>
      </c>
      <c r="X1930" s="63" t="n">
        <f aca="false">IFERROR(T1930/F1930,0)</f>
        <v>0.0312264293256901</v>
      </c>
      <c r="Y1930" s="63" t="n">
        <f aca="false">IFERROR(G1930/F1930,0)</f>
        <v>0</v>
      </c>
      <c r="Z1930" s="59" t="n">
        <f aca="false">IF(E1930&gt;0,F1930*1000000000/E1930,"")</f>
        <v>7783.85928886596</v>
      </c>
      <c r="AA1930" s="63" t="n">
        <f aca="false">IFERROR((R1930+S1930+J1930)/F1930,0)</f>
        <v>1</v>
      </c>
      <c r="AB1930" s="0" t="str">
        <f aca="false">A1930&amp;"|"&amp;D1930</f>
        <v>Switzerland|2018</v>
      </c>
    </row>
    <row r="1931" customFormat="false" ht="15" hidden="false" customHeight="false" outlineLevel="0" collapsed="false">
      <c r="A1931" s="0" t="s">
        <v>365</v>
      </c>
      <c r="B1931" s="0" t="s">
        <v>604</v>
      </c>
      <c r="C1931" s="0" t="s">
        <v>127</v>
      </c>
      <c r="D1931" s="0" t="n">
        <v>2019</v>
      </c>
      <c r="E1931" s="59" t="n">
        <v>8577525</v>
      </c>
      <c r="F1931" s="60" t="n">
        <v>70.57</v>
      </c>
      <c r="G1931" s="61" t="n">
        <v>0</v>
      </c>
      <c r="H1931" s="61" t="n">
        <v>0.61</v>
      </c>
      <c r="I1931" s="61" t="n">
        <v>1.29</v>
      </c>
      <c r="J1931" s="61" t="n">
        <v>26.42</v>
      </c>
      <c r="K1931" s="61" t="n">
        <v>38.04</v>
      </c>
      <c r="L1931" s="61" t="n">
        <v>2.18</v>
      </c>
      <c r="M1931" s="61" t="n">
        <v>0.15</v>
      </c>
      <c r="N1931" s="61" t="n">
        <v>0.71</v>
      </c>
      <c r="O1931" s="61" t="n">
        <v>1.17</v>
      </c>
      <c r="P1931" s="62" t="n">
        <v>35.3</v>
      </c>
      <c r="Q1931" s="0" t="n">
        <v>0</v>
      </c>
      <c r="R1931" s="60" t="n">
        <f aca="false">G1931+H1931+I1931</f>
        <v>1.9</v>
      </c>
      <c r="S1931" s="60" t="n">
        <f aca="false">K1931+L1931+M1931+N1931+O1931</f>
        <v>42.25</v>
      </c>
      <c r="T1931" s="60" t="n">
        <f aca="false">L1931+M1931</f>
        <v>2.33</v>
      </c>
      <c r="U1931" s="60" t="n">
        <f aca="false">S1931+J1931</f>
        <v>68.67</v>
      </c>
      <c r="V1931" s="63" t="n">
        <f aca="false">IFERROR(S1931/F1931,0)</f>
        <v>0.59869632988522</v>
      </c>
      <c r="W1931" s="63" t="n">
        <f aca="false">IFERROR(R1931/F1931,0)</f>
        <v>0.0269236219356667</v>
      </c>
      <c r="X1931" s="63" t="n">
        <f aca="false">IFERROR(T1931/F1931,0)</f>
        <v>0.0330168626895281</v>
      </c>
      <c r="Y1931" s="63" t="n">
        <f aca="false">IFERROR(G1931/F1931,0)</f>
        <v>0</v>
      </c>
      <c r="Z1931" s="59" t="n">
        <f aca="false">IF(E1931&gt;0,F1931*1000000000/E1931,"")</f>
        <v>8227.31498888083</v>
      </c>
      <c r="AA1931" s="63" t="n">
        <f aca="false">IFERROR((R1931+S1931+J1931)/F1931,0)</f>
        <v>1</v>
      </c>
      <c r="AB1931" s="0" t="str">
        <f aca="false">A1931&amp;"|"&amp;D1931</f>
        <v>Switzerland|2019</v>
      </c>
    </row>
    <row r="1932" customFormat="false" ht="15" hidden="false" customHeight="false" outlineLevel="0" collapsed="false">
      <c r="A1932" s="0" t="s">
        <v>365</v>
      </c>
      <c r="B1932" s="0" t="s">
        <v>604</v>
      </c>
      <c r="C1932" s="0" t="s">
        <v>127</v>
      </c>
      <c r="D1932" s="0" t="n">
        <v>2020</v>
      </c>
      <c r="E1932" s="59" t="n">
        <v>8640582</v>
      </c>
      <c r="F1932" s="60" t="n">
        <v>68.5</v>
      </c>
      <c r="G1932" s="61" t="n">
        <v>0</v>
      </c>
      <c r="H1932" s="61" t="n">
        <v>0.62</v>
      </c>
      <c r="I1932" s="61" t="n">
        <v>1.25</v>
      </c>
      <c r="J1932" s="61" t="n">
        <v>24.02</v>
      </c>
      <c r="K1932" s="61" t="n">
        <v>37.87</v>
      </c>
      <c r="L1932" s="61" t="n">
        <v>2.6</v>
      </c>
      <c r="M1932" s="61" t="n">
        <v>0.15</v>
      </c>
      <c r="N1932" s="61" t="n">
        <v>0.81</v>
      </c>
      <c r="O1932" s="61" t="n">
        <v>1.18</v>
      </c>
      <c r="P1932" s="62" t="n">
        <v>36.6</v>
      </c>
      <c r="Q1932" s="0" t="n">
        <v>0</v>
      </c>
      <c r="R1932" s="60" t="n">
        <f aca="false">G1932+H1932+I1932</f>
        <v>1.87</v>
      </c>
      <c r="S1932" s="60" t="n">
        <f aca="false">K1932+L1932+M1932+N1932+O1932</f>
        <v>42.61</v>
      </c>
      <c r="T1932" s="60" t="n">
        <f aca="false">L1932+M1932</f>
        <v>2.75</v>
      </c>
      <c r="U1932" s="60" t="n">
        <f aca="false">S1932+J1932</f>
        <v>66.63</v>
      </c>
      <c r="V1932" s="63" t="n">
        <f aca="false">IFERROR(S1932/F1932,0)</f>
        <v>0.622043795620438</v>
      </c>
      <c r="W1932" s="63" t="n">
        <f aca="false">IFERROR(R1932/F1932,0)</f>
        <v>0.0272992700729927</v>
      </c>
      <c r="X1932" s="63" t="n">
        <f aca="false">IFERROR(T1932/F1932,0)</f>
        <v>0.0401459854014599</v>
      </c>
      <c r="Y1932" s="63" t="n">
        <f aca="false">IFERROR(G1932/F1932,0)</f>
        <v>0</v>
      </c>
      <c r="Z1932" s="59" t="n">
        <f aca="false">IF(E1932&gt;0,F1932*1000000000/E1932,"")</f>
        <v>7927.70672160741</v>
      </c>
      <c r="AA1932" s="63" t="n">
        <f aca="false">IFERROR((R1932+S1932+J1932)/F1932,0)</f>
        <v>1</v>
      </c>
      <c r="AB1932" s="0" t="str">
        <f aca="false">A1932&amp;"|"&amp;D1932</f>
        <v>Switzerland|2020</v>
      </c>
    </row>
    <row r="1933" customFormat="false" ht="15" hidden="false" customHeight="false" outlineLevel="0" collapsed="false">
      <c r="A1933" s="0" t="s">
        <v>365</v>
      </c>
      <c r="B1933" s="0" t="s">
        <v>604</v>
      </c>
      <c r="C1933" s="0" t="s">
        <v>127</v>
      </c>
      <c r="D1933" s="0" t="n">
        <v>2021</v>
      </c>
      <c r="E1933" s="59" t="n">
        <v>8707019</v>
      </c>
      <c r="F1933" s="60" t="n">
        <v>63.09</v>
      </c>
      <c r="G1933" s="61" t="n">
        <v>0</v>
      </c>
      <c r="H1933" s="61" t="n">
        <v>0.5</v>
      </c>
      <c r="I1933" s="61" t="n">
        <v>1.22</v>
      </c>
      <c r="J1933" s="61" t="n">
        <v>19.36</v>
      </c>
      <c r="K1933" s="61" t="n">
        <v>36.96</v>
      </c>
      <c r="L1933" s="61" t="n">
        <v>2.84</v>
      </c>
      <c r="M1933" s="61" t="n">
        <v>0.14</v>
      </c>
      <c r="N1933" s="61" t="n">
        <v>0.96</v>
      </c>
      <c r="O1933" s="61" t="n">
        <v>1.11</v>
      </c>
      <c r="P1933" s="62" t="n">
        <v>38.5</v>
      </c>
      <c r="Q1933" s="0" t="n">
        <v>0</v>
      </c>
      <c r="R1933" s="60" t="n">
        <f aca="false">G1933+H1933+I1933</f>
        <v>1.72</v>
      </c>
      <c r="S1933" s="60" t="n">
        <f aca="false">K1933+L1933+M1933+N1933+O1933</f>
        <v>42.01</v>
      </c>
      <c r="T1933" s="60" t="n">
        <f aca="false">L1933+M1933</f>
        <v>2.98</v>
      </c>
      <c r="U1933" s="60" t="n">
        <f aca="false">S1933+J1933</f>
        <v>61.37</v>
      </c>
      <c r="V1933" s="63" t="n">
        <f aca="false">IFERROR(S1933/F1933,0)</f>
        <v>0.665874148042479</v>
      </c>
      <c r="W1933" s="63" t="n">
        <f aca="false">IFERROR(R1933/F1933,0)</f>
        <v>0.0272626406720558</v>
      </c>
      <c r="X1933" s="63" t="n">
        <f aca="false">IFERROR(T1933/F1933,0)</f>
        <v>0.047234110001585</v>
      </c>
      <c r="Y1933" s="63" t="n">
        <f aca="false">IFERROR(G1933/F1933,0)</f>
        <v>0</v>
      </c>
      <c r="Z1933" s="59" t="n">
        <f aca="false">IF(E1933&gt;0,F1933*1000000000/E1933,"")</f>
        <v>7245.87829657889</v>
      </c>
      <c r="AA1933" s="63" t="n">
        <f aca="false">IFERROR((R1933+S1933+J1933)/F1933,0)</f>
        <v>1</v>
      </c>
      <c r="AB1933" s="0" t="str">
        <f aca="false">A1933&amp;"|"&amp;D1933</f>
        <v>Switzerland|2021</v>
      </c>
    </row>
    <row r="1934" customFormat="false" ht="15" hidden="false" customHeight="false" outlineLevel="0" collapsed="false">
      <c r="A1934" s="0" t="s">
        <v>365</v>
      </c>
      <c r="B1934" s="0" t="s">
        <v>604</v>
      </c>
      <c r="C1934" s="0" t="s">
        <v>127</v>
      </c>
      <c r="D1934" s="0" t="n">
        <v>2022</v>
      </c>
      <c r="E1934" s="59" t="n">
        <v>8792180</v>
      </c>
      <c r="F1934" s="60" t="n">
        <v>61.72</v>
      </c>
      <c r="G1934" s="61" t="n">
        <v>0</v>
      </c>
      <c r="H1934" s="61" t="n">
        <v>0.37</v>
      </c>
      <c r="I1934" s="61" t="n">
        <v>1.21</v>
      </c>
      <c r="J1934" s="61" t="n">
        <v>24.15</v>
      </c>
      <c r="K1934" s="61" t="n">
        <v>29.9</v>
      </c>
      <c r="L1934" s="61" t="n">
        <v>3.86</v>
      </c>
      <c r="M1934" s="61" t="n">
        <v>0.15</v>
      </c>
      <c r="N1934" s="61" t="n">
        <v>0.99</v>
      </c>
      <c r="O1934" s="61" t="n">
        <v>1.09</v>
      </c>
      <c r="P1934" s="62" t="n">
        <v>37.3</v>
      </c>
      <c r="Q1934" s="0" t="n">
        <v>0</v>
      </c>
      <c r="R1934" s="60" t="n">
        <f aca="false">G1934+H1934+I1934</f>
        <v>1.58</v>
      </c>
      <c r="S1934" s="60" t="n">
        <f aca="false">K1934+L1934+M1934+N1934+O1934</f>
        <v>35.99</v>
      </c>
      <c r="T1934" s="60" t="n">
        <f aca="false">L1934+M1934</f>
        <v>4.01</v>
      </c>
      <c r="U1934" s="60" t="n">
        <f aca="false">S1934+J1934</f>
        <v>60.14</v>
      </c>
      <c r="V1934" s="63" t="n">
        <f aca="false">IFERROR(S1934/F1934,0)</f>
        <v>0.583117303953338</v>
      </c>
      <c r="W1934" s="63" t="n">
        <f aca="false">IFERROR(R1934/F1934,0)</f>
        <v>0.025599481529488</v>
      </c>
      <c r="X1934" s="63" t="n">
        <f aca="false">IFERROR(T1934/F1934,0)</f>
        <v>0.0649708360337006</v>
      </c>
      <c r="Y1934" s="63" t="n">
        <f aca="false">IFERROR(G1934/F1934,0)</f>
        <v>0</v>
      </c>
      <c r="Z1934" s="59" t="n">
        <f aca="false">IF(E1934&gt;0,F1934*1000000000/E1934,"")</f>
        <v>7019.87447936689</v>
      </c>
      <c r="AA1934" s="63" t="n">
        <f aca="false">IFERROR((R1934+S1934+J1934)/F1934,0)</f>
        <v>1</v>
      </c>
      <c r="AB1934" s="0" t="str">
        <f aca="false">A1934&amp;"|"&amp;D1934</f>
        <v>Switzerland|2022</v>
      </c>
    </row>
    <row r="1935" customFormat="false" ht="15" hidden="false" customHeight="false" outlineLevel="0" collapsed="false">
      <c r="A1935" s="0" t="s">
        <v>365</v>
      </c>
      <c r="B1935" s="0" t="s">
        <v>604</v>
      </c>
      <c r="C1935" s="0" t="s">
        <v>127</v>
      </c>
      <c r="D1935" s="0" t="n">
        <v>2023</v>
      </c>
      <c r="E1935" s="59" t="n">
        <v>8870564</v>
      </c>
      <c r="F1935" s="60" t="n">
        <v>70.07</v>
      </c>
      <c r="G1935" s="61" t="n">
        <v>0</v>
      </c>
      <c r="H1935" s="61" t="n">
        <v>0.27</v>
      </c>
      <c r="I1935" s="61" t="n">
        <v>1.16</v>
      </c>
      <c r="J1935" s="61" t="n">
        <v>24.38</v>
      </c>
      <c r="K1935" s="61" t="n">
        <v>37.39</v>
      </c>
      <c r="L1935" s="61" t="n">
        <v>4.62</v>
      </c>
      <c r="M1935" s="61" t="n">
        <v>0.17</v>
      </c>
      <c r="N1935" s="61" t="n">
        <v>1.04</v>
      </c>
      <c r="O1935" s="61" t="n">
        <v>1.04</v>
      </c>
      <c r="P1935" s="62" t="n">
        <v>34.8</v>
      </c>
      <c r="Q1935" s="0" t="n">
        <v>0</v>
      </c>
      <c r="R1935" s="60" t="n">
        <f aca="false">G1935+H1935+I1935</f>
        <v>1.43</v>
      </c>
      <c r="S1935" s="60" t="n">
        <f aca="false">K1935+L1935+M1935+N1935+O1935</f>
        <v>44.26</v>
      </c>
      <c r="T1935" s="60" t="n">
        <f aca="false">L1935+M1935</f>
        <v>4.79</v>
      </c>
      <c r="U1935" s="60" t="n">
        <f aca="false">S1935+J1935</f>
        <v>68.64</v>
      </c>
      <c r="V1935" s="63" t="n">
        <f aca="false">IFERROR(S1935/F1935,0)</f>
        <v>0.631654060225489</v>
      </c>
      <c r="W1935" s="63" t="n">
        <f aca="false">IFERROR(R1935/F1935,0)</f>
        <v>0.0204081632653061</v>
      </c>
      <c r="X1935" s="63" t="n">
        <f aca="false">IFERROR(T1935/F1935,0)</f>
        <v>0.0683602112173541</v>
      </c>
      <c r="Y1935" s="63" t="n">
        <f aca="false">IFERROR(G1935/F1935,0)</f>
        <v>0</v>
      </c>
      <c r="Z1935" s="59" t="n">
        <f aca="false">IF(E1935&gt;0,F1935*1000000000/E1935,"")</f>
        <v>7899.15951229257</v>
      </c>
      <c r="AA1935" s="63" t="n">
        <f aca="false">IFERROR((R1935+S1935+J1935)/F1935,0)</f>
        <v>1</v>
      </c>
      <c r="AB1935" s="0" t="str">
        <f aca="false">A1935&amp;"|"&amp;D1935</f>
        <v>Switzerland|2023</v>
      </c>
    </row>
    <row r="1936" customFormat="false" ht="15" hidden="false" customHeight="false" outlineLevel="0" collapsed="false">
      <c r="A1936" s="0" t="s">
        <v>365</v>
      </c>
      <c r="B1936" s="0" t="s">
        <v>604</v>
      </c>
      <c r="C1936" s="0" t="s">
        <v>127</v>
      </c>
      <c r="D1936" s="0" t="n">
        <v>2024</v>
      </c>
      <c r="E1936" s="59" t="n">
        <v>8921979</v>
      </c>
      <c r="F1936" s="60" t="n">
        <v>78.37</v>
      </c>
      <c r="G1936" s="61" t="n">
        <v>0</v>
      </c>
      <c r="H1936" s="61" t="n">
        <v>0.27</v>
      </c>
      <c r="I1936" s="61" t="n">
        <v>1.22</v>
      </c>
      <c r="J1936" s="61" t="n">
        <v>24.02</v>
      </c>
      <c r="K1936" s="61" t="n">
        <v>44.94</v>
      </c>
      <c r="L1936" s="61" t="n">
        <v>5.66</v>
      </c>
      <c r="M1936" s="61" t="n">
        <v>0.18</v>
      </c>
      <c r="N1936" s="61" t="n">
        <v>1.04</v>
      </c>
      <c r="O1936" s="61" t="n">
        <v>1.04</v>
      </c>
      <c r="P1936" s="62" t="n">
        <v>34.6</v>
      </c>
      <c r="Q1936" s="0" t="n">
        <v>0</v>
      </c>
      <c r="R1936" s="60" t="n">
        <f aca="false">G1936+H1936+I1936</f>
        <v>1.49</v>
      </c>
      <c r="S1936" s="60" t="n">
        <f aca="false">K1936+L1936+M1936+N1936+O1936</f>
        <v>52.86</v>
      </c>
      <c r="T1936" s="60" t="n">
        <f aca="false">L1936+M1936</f>
        <v>5.84</v>
      </c>
      <c r="U1936" s="60" t="n">
        <f aca="false">S1936+J1936</f>
        <v>76.88</v>
      </c>
      <c r="V1936" s="63" t="n">
        <f aca="false">IFERROR(S1936/F1936,0)</f>
        <v>0.674492790608651</v>
      </c>
      <c r="W1936" s="63" t="n">
        <f aca="false">IFERROR(R1936/F1936,0)</f>
        <v>0.0190123771851474</v>
      </c>
      <c r="X1936" s="63" t="n">
        <f aca="false">IFERROR(T1936/F1936,0)</f>
        <v>0.0745183105780273</v>
      </c>
      <c r="Y1936" s="63" t="n">
        <f aca="false">IFERROR(G1936/F1936,0)</f>
        <v>0</v>
      </c>
      <c r="Z1936" s="59" t="n">
        <f aca="false">IF(E1936&gt;0,F1936*1000000000/E1936,"")</f>
        <v>8783.92562905606</v>
      </c>
      <c r="AA1936" s="63" t="n">
        <f aca="false">IFERROR((R1936+S1936+J1936)/F1936,0)</f>
        <v>1</v>
      </c>
      <c r="AB1936" s="0" t="str">
        <f aca="false">A1936&amp;"|"&amp;D1936</f>
        <v>Switzerland|2024</v>
      </c>
    </row>
    <row r="1937" customFormat="false" ht="15" hidden="false" customHeight="false" outlineLevel="0" collapsed="false">
      <c r="A1937" s="0" t="s">
        <v>365</v>
      </c>
      <c r="B1937" s="0" t="s">
        <v>604</v>
      </c>
      <c r="C1937" s="0" t="s">
        <v>127</v>
      </c>
      <c r="D1937" s="0" t="n">
        <v>2025</v>
      </c>
      <c r="E1937" s="59" t="n">
        <v>8967413</v>
      </c>
      <c r="F1937" s="60" t="n">
        <v>65.02</v>
      </c>
      <c r="G1937" s="61" t="n">
        <v>0</v>
      </c>
      <c r="H1937" s="61" t="n">
        <v>0.27</v>
      </c>
      <c r="I1937" s="61" t="n">
        <v>1.23</v>
      </c>
      <c r="J1937" s="61" t="n">
        <v>19.42</v>
      </c>
      <c r="K1937" s="61" t="n">
        <v>33.99</v>
      </c>
      <c r="L1937" s="61" t="n">
        <v>7.89</v>
      </c>
      <c r="M1937" s="61" t="n">
        <v>0.14</v>
      </c>
      <c r="N1937" s="61" t="n">
        <v>1.04</v>
      </c>
      <c r="O1937" s="61" t="n">
        <v>1.04</v>
      </c>
      <c r="P1937" s="62" t="n">
        <v>39.2</v>
      </c>
      <c r="Q1937" s="0" t="n">
        <v>0</v>
      </c>
      <c r="R1937" s="60" t="n">
        <f aca="false">G1937+H1937+I1937</f>
        <v>1.5</v>
      </c>
      <c r="S1937" s="60" t="n">
        <f aca="false">K1937+L1937+M1937+N1937+O1937</f>
        <v>44.1</v>
      </c>
      <c r="T1937" s="60" t="n">
        <f aca="false">L1937+M1937</f>
        <v>8.03</v>
      </c>
      <c r="U1937" s="60" t="n">
        <f aca="false">S1937+J1937</f>
        <v>63.52</v>
      </c>
      <c r="V1937" s="63" t="n">
        <f aca="false">IFERROR(S1937/F1937,0)</f>
        <v>0.678252845278376</v>
      </c>
      <c r="W1937" s="63" t="n">
        <f aca="false">IFERROR(R1937/F1937,0)</f>
        <v>0.0230698246693325</v>
      </c>
      <c r="X1937" s="63" t="n">
        <f aca="false">IFERROR(T1937/F1937,0)</f>
        <v>0.123500461396493</v>
      </c>
      <c r="Y1937" s="63" t="n">
        <f aca="false">IFERROR(G1937/F1937,0)</f>
        <v>0</v>
      </c>
      <c r="Z1937" s="59" t="n">
        <f aca="false">IF(E1937&gt;0,F1937*1000000000/E1937,"")</f>
        <v>7250.6976092213</v>
      </c>
      <c r="AA1937" s="63" t="n">
        <f aca="false">IFERROR((R1937+S1937+J1937)/F1937,0)</f>
        <v>1</v>
      </c>
      <c r="AB1937" s="0" t="str">
        <f aca="false">A1937&amp;"|"&amp;D1937</f>
        <v>Switzerland|2025</v>
      </c>
    </row>
    <row r="1938" customFormat="false" ht="15" hidden="false" customHeight="false" outlineLevel="0" collapsed="false">
      <c r="A1938" s="0" t="s">
        <v>366</v>
      </c>
      <c r="B1938" s="0" t="s">
        <v>605</v>
      </c>
      <c r="C1938" s="0" t="s">
        <v>127</v>
      </c>
      <c r="D1938" s="0" t="n">
        <v>2015</v>
      </c>
      <c r="E1938" s="59" t="n">
        <v>19424615</v>
      </c>
      <c r="F1938" s="60" t="n">
        <v>18.01</v>
      </c>
      <c r="G1938" s="61" t="n">
        <v>0</v>
      </c>
      <c r="H1938" s="61" t="n">
        <v>12.27</v>
      </c>
      <c r="I1938" s="61" t="n">
        <v>5.3</v>
      </c>
      <c r="J1938" s="61" t="n">
        <v>0</v>
      </c>
      <c r="K1938" s="61" t="n">
        <v>0.41</v>
      </c>
      <c r="L1938" s="61" t="n">
        <v>0</v>
      </c>
      <c r="M1938" s="61" t="n">
        <v>0</v>
      </c>
      <c r="N1938" s="61" t="n">
        <v>0.03</v>
      </c>
      <c r="O1938" s="61" t="n">
        <v>0</v>
      </c>
      <c r="P1938" s="62" t="n">
        <v>734.6</v>
      </c>
      <c r="Q1938" s="0" t="n">
        <v>0</v>
      </c>
      <c r="R1938" s="60" t="n">
        <f aca="false">G1938+H1938+I1938</f>
        <v>17.57</v>
      </c>
      <c r="S1938" s="60" t="n">
        <f aca="false">K1938+L1938+M1938+N1938+O1938</f>
        <v>0.44</v>
      </c>
      <c r="T1938" s="60" t="n">
        <f aca="false">L1938+M1938</f>
        <v>0</v>
      </c>
      <c r="U1938" s="60" t="n">
        <f aca="false">S1938+J1938</f>
        <v>0.44</v>
      </c>
      <c r="V1938" s="63" t="n">
        <f aca="false">IFERROR(S1938/F1938,0)</f>
        <v>0.0244308717379234</v>
      </c>
      <c r="W1938" s="63" t="n">
        <f aca="false">IFERROR(R1938/F1938,0)</f>
        <v>0.975569128262077</v>
      </c>
      <c r="X1938" s="63" t="n">
        <f aca="false">IFERROR(T1938/F1938,0)</f>
        <v>0</v>
      </c>
      <c r="Y1938" s="63" t="n">
        <f aca="false">IFERROR(G1938/F1938,0)</f>
        <v>0</v>
      </c>
      <c r="Z1938" s="59" t="n">
        <f aca="false">IF(E1938&gt;0,F1938*1000000000/E1938,"")</f>
        <v>927.174103579402</v>
      </c>
      <c r="AA1938" s="63" t="n">
        <f aca="false">IFERROR((R1938+S1938+J1938)/F1938,0)</f>
        <v>1</v>
      </c>
      <c r="AB1938" s="0" t="str">
        <f aca="false">A1938&amp;"|"&amp;D1938</f>
        <v>Syria|2015</v>
      </c>
    </row>
    <row r="1939" customFormat="false" ht="15" hidden="false" customHeight="false" outlineLevel="0" collapsed="false">
      <c r="A1939" s="0" t="s">
        <v>366</v>
      </c>
      <c r="B1939" s="0" t="s">
        <v>605</v>
      </c>
      <c r="C1939" s="0" t="s">
        <v>127</v>
      </c>
      <c r="D1939" s="0" t="n">
        <v>2016</v>
      </c>
      <c r="E1939" s="59" t="n">
        <v>19193835</v>
      </c>
      <c r="F1939" s="60" t="n">
        <v>18.17</v>
      </c>
      <c r="G1939" s="61" t="n">
        <v>0</v>
      </c>
      <c r="H1939" s="61" t="n">
        <v>10.7</v>
      </c>
      <c r="I1939" s="61" t="n">
        <v>6.51</v>
      </c>
      <c r="J1939" s="61" t="n">
        <v>0</v>
      </c>
      <c r="K1939" s="61" t="n">
        <v>0.93</v>
      </c>
      <c r="L1939" s="61" t="n">
        <v>0</v>
      </c>
      <c r="M1939" s="61" t="n">
        <v>0</v>
      </c>
      <c r="N1939" s="61" t="n">
        <v>0.03</v>
      </c>
      <c r="O1939" s="61" t="n">
        <v>0</v>
      </c>
      <c r="P1939" s="62" t="n">
        <v>703.9</v>
      </c>
      <c r="Q1939" s="0" t="n">
        <v>0</v>
      </c>
      <c r="R1939" s="60" t="n">
        <f aca="false">G1939+H1939+I1939</f>
        <v>17.21</v>
      </c>
      <c r="S1939" s="60" t="n">
        <f aca="false">K1939+L1939+M1939+N1939+O1939</f>
        <v>0.96</v>
      </c>
      <c r="T1939" s="60" t="n">
        <f aca="false">L1939+M1939</f>
        <v>0</v>
      </c>
      <c r="U1939" s="60" t="n">
        <f aca="false">S1939+J1939</f>
        <v>0.96</v>
      </c>
      <c r="V1939" s="63" t="n">
        <f aca="false">IFERROR(S1939/F1939,0)</f>
        <v>0.0528343423225096</v>
      </c>
      <c r="W1939" s="63" t="n">
        <f aca="false">IFERROR(R1939/F1939,0)</f>
        <v>0.94716565767749</v>
      </c>
      <c r="X1939" s="63" t="n">
        <f aca="false">IFERROR(T1939/F1939,0)</f>
        <v>0</v>
      </c>
      <c r="Y1939" s="63" t="n">
        <f aca="false">IFERROR(G1939/F1939,0)</f>
        <v>0</v>
      </c>
      <c r="Z1939" s="59" t="n">
        <f aca="false">IF(E1939&gt;0,F1939*1000000000/E1939,"")</f>
        <v>946.658132676456</v>
      </c>
      <c r="AA1939" s="63" t="n">
        <f aca="false">IFERROR((R1939+S1939+J1939)/F1939,0)</f>
        <v>1</v>
      </c>
      <c r="AB1939" s="0" t="str">
        <f aca="false">A1939&amp;"|"&amp;D1939</f>
        <v>Syria|2016</v>
      </c>
    </row>
    <row r="1940" customFormat="false" ht="15" hidden="false" customHeight="false" outlineLevel="0" collapsed="false">
      <c r="A1940" s="0" t="s">
        <v>366</v>
      </c>
      <c r="B1940" s="0" t="s">
        <v>605</v>
      </c>
      <c r="C1940" s="0" t="s">
        <v>127</v>
      </c>
      <c r="D1940" s="0" t="n">
        <v>2017</v>
      </c>
      <c r="E1940" s="59" t="n">
        <v>19224671</v>
      </c>
      <c r="F1940" s="60" t="n">
        <v>18.44</v>
      </c>
      <c r="G1940" s="61" t="n">
        <v>0</v>
      </c>
      <c r="H1940" s="61" t="n">
        <v>10.56</v>
      </c>
      <c r="I1940" s="61" t="n">
        <v>7.1</v>
      </c>
      <c r="J1940" s="61" t="n">
        <v>0</v>
      </c>
      <c r="K1940" s="61" t="n">
        <v>0.75</v>
      </c>
      <c r="L1940" s="61" t="n">
        <v>0</v>
      </c>
      <c r="M1940" s="61" t="n">
        <v>0</v>
      </c>
      <c r="N1940" s="61" t="n">
        <v>0.03</v>
      </c>
      <c r="O1940" s="61" t="n">
        <v>0</v>
      </c>
      <c r="P1940" s="62" t="n">
        <v>708.8</v>
      </c>
      <c r="Q1940" s="0" t="n">
        <v>0</v>
      </c>
      <c r="R1940" s="60" t="n">
        <f aca="false">G1940+H1940+I1940</f>
        <v>17.66</v>
      </c>
      <c r="S1940" s="60" t="n">
        <f aca="false">K1940+L1940+M1940+N1940+O1940</f>
        <v>0.78</v>
      </c>
      <c r="T1940" s="60" t="n">
        <f aca="false">L1940+M1940</f>
        <v>0</v>
      </c>
      <c r="U1940" s="60" t="n">
        <f aca="false">S1940+J1940</f>
        <v>0.78</v>
      </c>
      <c r="V1940" s="63" t="n">
        <f aca="false">IFERROR(S1940/F1940,0)</f>
        <v>0.0422993492407809</v>
      </c>
      <c r="W1940" s="63" t="n">
        <f aca="false">IFERROR(R1940/F1940,0)</f>
        <v>0.957700650759219</v>
      </c>
      <c r="X1940" s="63" t="n">
        <f aca="false">IFERROR(T1940/F1940,0)</f>
        <v>0</v>
      </c>
      <c r="Y1940" s="63" t="n">
        <f aca="false">IFERROR(G1940/F1940,0)</f>
        <v>0</v>
      </c>
      <c r="Z1940" s="59" t="n">
        <f aca="false">IF(E1940&gt;0,F1940*1000000000/E1940,"")</f>
        <v>959.184164972186</v>
      </c>
      <c r="AA1940" s="63" t="n">
        <f aca="false">IFERROR((R1940+S1940+J1940)/F1940,0)</f>
        <v>1</v>
      </c>
      <c r="AB1940" s="0" t="str">
        <f aca="false">A1940&amp;"|"&amp;D1940</f>
        <v>Syria|2017</v>
      </c>
    </row>
    <row r="1941" customFormat="false" ht="15" hidden="false" customHeight="false" outlineLevel="0" collapsed="false">
      <c r="A1941" s="0" t="s">
        <v>366</v>
      </c>
      <c r="B1941" s="0" t="s">
        <v>605</v>
      </c>
      <c r="C1941" s="0" t="s">
        <v>127</v>
      </c>
      <c r="D1941" s="0" t="n">
        <v>2018</v>
      </c>
      <c r="E1941" s="59" t="n">
        <v>19577849</v>
      </c>
      <c r="F1941" s="60" t="n">
        <v>22.32</v>
      </c>
      <c r="G1941" s="61" t="n">
        <v>0</v>
      </c>
      <c r="H1941" s="61" t="n">
        <v>10.5</v>
      </c>
      <c r="I1941" s="61" t="n">
        <v>11.04</v>
      </c>
      <c r="J1941" s="61" t="n">
        <v>0</v>
      </c>
      <c r="K1941" s="61" t="n">
        <v>0.75</v>
      </c>
      <c r="L1941" s="61" t="n">
        <v>0</v>
      </c>
      <c r="M1941" s="61" t="n">
        <v>0</v>
      </c>
      <c r="N1941" s="61" t="n">
        <v>0.03</v>
      </c>
      <c r="O1941" s="61" t="n">
        <v>0</v>
      </c>
      <c r="P1941" s="62" t="n">
        <v>699.4</v>
      </c>
      <c r="Q1941" s="0" t="n">
        <v>0</v>
      </c>
      <c r="R1941" s="60" t="n">
        <f aca="false">G1941+H1941+I1941</f>
        <v>21.54</v>
      </c>
      <c r="S1941" s="60" t="n">
        <f aca="false">K1941+L1941+M1941+N1941+O1941</f>
        <v>0.78</v>
      </c>
      <c r="T1941" s="60" t="n">
        <f aca="false">L1941+M1941</f>
        <v>0</v>
      </c>
      <c r="U1941" s="60" t="n">
        <f aca="false">S1941+J1941</f>
        <v>0.78</v>
      </c>
      <c r="V1941" s="63" t="n">
        <f aca="false">IFERROR(S1941/F1941,0)</f>
        <v>0.0349462365591398</v>
      </c>
      <c r="W1941" s="63" t="n">
        <f aca="false">IFERROR(R1941/F1941,0)</f>
        <v>0.96505376344086</v>
      </c>
      <c r="X1941" s="63" t="n">
        <f aca="false">IFERROR(T1941/F1941,0)</f>
        <v>0</v>
      </c>
      <c r="Y1941" s="63" t="n">
        <f aca="false">IFERROR(G1941/F1941,0)</f>
        <v>0</v>
      </c>
      <c r="Z1941" s="59" t="n">
        <f aca="false">IF(E1941&gt;0,F1941*1000000000/E1941,"")</f>
        <v>1140.06395697505</v>
      </c>
      <c r="AA1941" s="63" t="n">
        <f aca="false">IFERROR((R1941+S1941+J1941)/F1941,0)</f>
        <v>1</v>
      </c>
      <c r="AB1941" s="0" t="str">
        <f aca="false">A1941&amp;"|"&amp;D1941</f>
        <v>Syria|2018</v>
      </c>
    </row>
    <row r="1942" customFormat="false" ht="15" hidden="false" customHeight="false" outlineLevel="0" collapsed="false">
      <c r="A1942" s="0" t="s">
        <v>366</v>
      </c>
      <c r="B1942" s="0" t="s">
        <v>605</v>
      </c>
      <c r="C1942" s="0" t="s">
        <v>127</v>
      </c>
      <c r="D1942" s="0" t="n">
        <v>2019</v>
      </c>
      <c r="E1942" s="59" t="n">
        <v>20353536</v>
      </c>
      <c r="F1942" s="60" t="n">
        <v>22.32</v>
      </c>
      <c r="G1942" s="61" t="n">
        <v>0</v>
      </c>
      <c r="H1942" s="61" t="n">
        <v>10.07</v>
      </c>
      <c r="I1942" s="61" t="n">
        <v>11.47</v>
      </c>
      <c r="J1942" s="61" t="n">
        <v>0</v>
      </c>
      <c r="K1942" s="61" t="n">
        <v>0.75</v>
      </c>
      <c r="L1942" s="61" t="n">
        <v>0</v>
      </c>
      <c r="M1942" s="61" t="n">
        <v>0</v>
      </c>
      <c r="N1942" s="61" t="n">
        <v>0.03</v>
      </c>
      <c r="O1942" s="61" t="n">
        <v>0</v>
      </c>
      <c r="P1942" s="62" t="n">
        <v>697.1</v>
      </c>
      <c r="Q1942" s="0" t="n">
        <v>0</v>
      </c>
      <c r="R1942" s="60" t="n">
        <f aca="false">G1942+H1942+I1942</f>
        <v>21.54</v>
      </c>
      <c r="S1942" s="60" t="n">
        <f aca="false">K1942+L1942+M1942+N1942+O1942</f>
        <v>0.78</v>
      </c>
      <c r="T1942" s="60" t="n">
        <f aca="false">L1942+M1942</f>
        <v>0</v>
      </c>
      <c r="U1942" s="60" t="n">
        <f aca="false">S1942+J1942</f>
        <v>0.78</v>
      </c>
      <c r="V1942" s="63" t="n">
        <f aca="false">IFERROR(S1942/F1942,0)</f>
        <v>0.0349462365591398</v>
      </c>
      <c r="W1942" s="63" t="n">
        <f aca="false">IFERROR(R1942/F1942,0)</f>
        <v>0.96505376344086</v>
      </c>
      <c r="X1942" s="63" t="n">
        <f aca="false">IFERROR(T1942/F1942,0)</f>
        <v>0</v>
      </c>
      <c r="Y1942" s="63" t="n">
        <f aca="false">IFERROR(G1942/F1942,0)</f>
        <v>0</v>
      </c>
      <c r="Z1942" s="59" t="n">
        <f aca="false">IF(E1942&gt;0,F1942*1000000000/E1942,"")</f>
        <v>1096.61534978492</v>
      </c>
      <c r="AA1942" s="63" t="n">
        <f aca="false">IFERROR((R1942+S1942+J1942)/F1942,0)</f>
        <v>1</v>
      </c>
      <c r="AB1942" s="0" t="str">
        <f aca="false">A1942&amp;"|"&amp;D1942</f>
        <v>Syria|2019</v>
      </c>
    </row>
    <row r="1943" customFormat="false" ht="15" hidden="false" customHeight="false" outlineLevel="0" collapsed="false">
      <c r="A1943" s="0" t="s">
        <v>366</v>
      </c>
      <c r="B1943" s="0" t="s">
        <v>605</v>
      </c>
      <c r="C1943" s="0" t="s">
        <v>127</v>
      </c>
      <c r="D1943" s="0" t="n">
        <v>2020</v>
      </c>
      <c r="E1943" s="59" t="n">
        <v>21049431</v>
      </c>
      <c r="F1943" s="60" t="n">
        <v>21.03</v>
      </c>
      <c r="G1943" s="61" t="n">
        <v>0</v>
      </c>
      <c r="H1943" s="61" t="n">
        <v>8.85</v>
      </c>
      <c r="I1943" s="61" t="n">
        <v>11.38</v>
      </c>
      <c r="J1943" s="61" t="n">
        <v>0</v>
      </c>
      <c r="K1943" s="61" t="n">
        <v>0.75</v>
      </c>
      <c r="L1943" s="61" t="n">
        <v>0.02</v>
      </c>
      <c r="M1943" s="61" t="n">
        <v>0</v>
      </c>
      <c r="N1943" s="61" t="n">
        <v>0.03</v>
      </c>
      <c r="O1943" s="61" t="n">
        <v>0</v>
      </c>
      <c r="P1943" s="62" t="n">
        <v>690.9</v>
      </c>
      <c r="Q1943" s="0" t="n">
        <v>0</v>
      </c>
      <c r="R1943" s="60" t="n">
        <f aca="false">G1943+H1943+I1943</f>
        <v>20.23</v>
      </c>
      <c r="S1943" s="60" t="n">
        <f aca="false">K1943+L1943+M1943+N1943+O1943</f>
        <v>0.8</v>
      </c>
      <c r="T1943" s="60" t="n">
        <f aca="false">L1943+M1943</f>
        <v>0.02</v>
      </c>
      <c r="U1943" s="60" t="n">
        <f aca="false">S1943+J1943</f>
        <v>0.8</v>
      </c>
      <c r="V1943" s="63" t="n">
        <f aca="false">IFERROR(S1943/F1943,0)</f>
        <v>0.0380408939610081</v>
      </c>
      <c r="W1943" s="63" t="n">
        <f aca="false">IFERROR(R1943/F1943,0)</f>
        <v>0.961959106038992</v>
      </c>
      <c r="X1943" s="63" t="n">
        <f aca="false">IFERROR(T1943/F1943,0)</f>
        <v>0.000951022349025202</v>
      </c>
      <c r="Y1943" s="63" t="n">
        <f aca="false">IFERROR(G1943/F1943,0)</f>
        <v>0</v>
      </c>
      <c r="Z1943" s="59" t="n">
        <f aca="false">IF(E1943&gt;0,F1943*1000000000/E1943,"")</f>
        <v>999.076887161463</v>
      </c>
      <c r="AA1943" s="63" t="n">
        <f aca="false">IFERROR((R1943+S1943+J1943)/F1943,0)</f>
        <v>1</v>
      </c>
      <c r="AB1943" s="0" t="str">
        <f aca="false">A1943&amp;"|"&amp;D1943</f>
        <v>Syria|2020</v>
      </c>
    </row>
    <row r="1944" customFormat="false" ht="15" hidden="false" customHeight="false" outlineLevel="0" collapsed="false">
      <c r="A1944" s="0" t="s">
        <v>366</v>
      </c>
      <c r="B1944" s="0" t="s">
        <v>605</v>
      </c>
      <c r="C1944" s="0" t="s">
        <v>127</v>
      </c>
      <c r="D1944" s="0" t="n">
        <v>2021</v>
      </c>
      <c r="E1944" s="59" t="n">
        <v>21628837</v>
      </c>
      <c r="F1944" s="60" t="n">
        <v>21.71</v>
      </c>
      <c r="G1944" s="61" t="n">
        <v>0</v>
      </c>
      <c r="H1944" s="61" t="n">
        <v>9.42</v>
      </c>
      <c r="I1944" s="61" t="n">
        <v>11.45</v>
      </c>
      <c r="J1944" s="61" t="n">
        <v>0</v>
      </c>
      <c r="K1944" s="61" t="n">
        <v>0.75</v>
      </c>
      <c r="L1944" s="61" t="n">
        <v>0.06</v>
      </c>
      <c r="M1944" s="61" t="n">
        <v>0</v>
      </c>
      <c r="N1944" s="61" t="n">
        <v>0.03</v>
      </c>
      <c r="O1944" s="61" t="n">
        <v>0</v>
      </c>
      <c r="P1944" s="62" t="n">
        <v>692.3</v>
      </c>
      <c r="Q1944" s="0" t="n">
        <v>0</v>
      </c>
      <c r="R1944" s="60" t="n">
        <f aca="false">G1944+H1944+I1944</f>
        <v>20.87</v>
      </c>
      <c r="S1944" s="60" t="n">
        <f aca="false">K1944+L1944+M1944+N1944+O1944</f>
        <v>0.84</v>
      </c>
      <c r="T1944" s="60" t="n">
        <f aca="false">L1944+M1944</f>
        <v>0.06</v>
      </c>
      <c r="U1944" s="60" t="n">
        <f aca="false">S1944+J1944</f>
        <v>0.84</v>
      </c>
      <c r="V1944" s="63" t="n">
        <f aca="false">IFERROR(S1944/F1944,0)</f>
        <v>0.0386918470750806</v>
      </c>
      <c r="W1944" s="63" t="n">
        <f aca="false">IFERROR(R1944/F1944,0)</f>
        <v>0.961308152924919</v>
      </c>
      <c r="X1944" s="63" t="n">
        <f aca="false">IFERROR(T1944/F1944,0)</f>
        <v>0.00276370336250576</v>
      </c>
      <c r="Y1944" s="63" t="n">
        <f aca="false">IFERROR(G1944/F1944,0)</f>
        <v>0</v>
      </c>
      <c r="Z1944" s="59" t="n">
        <f aca="false">IF(E1944&gt;0,F1944*1000000000/E1944,"")</f>
        <v>1003.75253648636</v>
      </c>
      <c r="AA1944" s="63" t="n">
        <f aca="false">IFERROR((R1944+S1944+J1944)/F1944,0)</f>
        <v>1</v>
      </c>
      <c r="AB1944" s="0" t="str">
        <f aca="false">A1944&amp;"|"&amp;D1944</f>
        <v>Syria|2021</v>
      </c>
    </row>
    <row r="1945" customFormat="false" ht="15" hidden="false" customHeight="false" outlineLevel="0" collapsed="false">
      <c r="A1945" s="0" t="s">
        <v>366</v>
      </c>
      <c r="B1945" s="0" t="s">
        <v>605</v>
      </c>
      <c r="C1945" s="0" t="s">
        <v>127</v>
      </c>
      <c r="D1945" s="0" t="n">
        <v>2022</v>
      </c>
      <c r="E1945" s="59" t="n">
        <v>22462170</v>
      </c>
      <c r="F1945" s="60" t="n">
        <v>20.08</v>
      </c>
      <c r="G1945" s="61" t="n">
        <v>0</v>
      </c>
      <c r="H1945" s="61" t="n">
        <v>7.7</v>
      </c>
      <c r="I1945" s="61" t="n">
        <v>11.5</v>
      </c>
      <c r="J1945" s="61" t="n">
        <v>0</v>
      </c>
      <c r="K1945" s="61" t="n">
        <v>0.75</v>
      </c>
      <c r="L1945" s="61" t="n">
        <v>0.1</v>
      </c>
      <c r="M1945" s="61" t="n">
        <v>0</v>
      </c>
      <c r="N1945" s="61" t="n">
        <v>0.03</v>
      </c>
      <c r="O1945" s="61" t="n">
        <v>0</v>
      </c>
      <c r="P1945" s="62" t="n">
        <v>682.3</v>
      </c>
      <c r="Q1945" s="0" t="n">
        <v>0</v>
      </c>
      <c r="R1945" s="60" t="n">
        <f aca="false">G1945+H1945+I1945</f>
        <v>19.2</v>
      </c>
      <c r="S1945" s="60" t="n">
        <f aca="false">K1945+L1945+M1945+N1945+O1945</f>
        <v>0.88</v>
      </c>
      <c r="T1945" s="60" t="n">
        <f aca="false">L1945+M1945</f>
        <v>0.1</v>
      </c>
      <c r="U1945" s="60" t="n">
        <f aca="false">S1945+J1945</f>
        <v>0.88</v>
      </c>
      <c r="V1945" s="63" t="n">
        <f aca="false">IFERROR(S1945/F1945,0)</f>
        <v>0.0438247011952191</v>
      </c>
      <c r="W1945" s="63" t="n">
        <f aca="false">IFERROR(R1945/F1945,0)</f>
        <v>0.956175298804781</v>
      </c>
      <c r="X1945" s="63" t="n">
        <f aca="false">IFERROR(T1945/F1945,0)</f>
        <v>0.0049800796812749</v>
      </c>
      <c r="Y1945" s="63" t="n">
        <f aca="false">IFERROR(G1945/F1945,0)</f>
        <v>0</v>
      </c>
      <c r="Z1945" s="59" t="n">
        <f aca="false">IF(E1945&gt;0,F1945*1000000000/E1945,"")</f>
        <v>893.947468120845</v>
      </c>
      <c r="AA1945" s="63" t="n">
        <f aca="false">IFERROR((R1945+S1945+J1945)/F1945,0)</f>
        <v>1</v>
      </c>
      <c r="AB1945" s="0" t="str">
        <f aca="false">A1945&amp;"|"&amp;D1945</f>
        <v>Syria|2022</v>
      </c>
    </row>
    <row r="1946" customFormat="false" ht="15" hidden="false" customHeight="false" outlineLevel="0" collapsed="false">
      <c r="A1946" s="0" t="s">
        <v>366</v>
      </c>
      <c r="B1946" s="0" t="s">
        <v>605</v>
      </c>
      <c r="C1946" s="0" t="s">
        <v>127</v>
      </c>
      <c r="D1946" s="0" t="n">
        <v>2023</v>
      </c>
      <c r="E1946" s="59" t="n">
        <v>23594623</v>
      </c>
      <c r="F1946" s="60" t="n">
        <v>25.02</v>
      </c>
      <c r="G1946" s="61" t="n">
        <v>0</v>
      </c>
      <c r="H1946" s="61" t="n">
        <v>12.95</v>
      </c>
      <c r="I1946" s="61" t="n">
        <v>11.19</v>
      </c>
      <c r="J1946" s="61" t="n">
        <v>0</v>
      </c>
      <c r="K1946" s="61" t="n">
        <v>0.75</v>
      </c>
      <c r="L1946" s="61" t="n">
        <v>0.1</v>
      </c>
      <c r="M1946" s="61" t="n">
        <v>0</v>
      </c>
      <c r="N1946" s="61" t="n">
        <v>0.03</v>
      </c>
      <c r="O1946" s="61" t="n">
        <v>0</v>
      </c>
      <c r="P1946" s="62" t="n">
        <v>705.4</v>
      </c>
      <c r="Q1946" s="0" t="n">
        <v>0</v>
      </c>
      <c r="R1946" s="60" t="n">
        <f aca="false">G1946+H1946+I1946</f>
        <v>24.14</v>
      </c>
      <c r="S1946" s="60" t="n">
        <f aca="false">K1946+L1946+M1946+N1946+O1946</f>
        <v>0.88</v>
      </c>
      <c r="T1946" s="60" t="n">
        <f aca="false">L1946+M1946</f>
        <v>0.1</v>
      </c>
      <c r="U1946" s="60" t="n">
        <f aca="false">S1946+J1946</f>
        <v>0.88</v>
      </c>
      <c r="V1946" s="63" t="n">
        <f aca="false">IFERROR(S1946/F1946,0)</f>
        <v>0.035171862509992</v>
      </c>
      <c r="W1946" s="63" t="n">
        <f aca="false">IFERROR(R1946/F1946,0)</f>
        <v>0.964828137490008</v>
      </c>
      <c r="X1946" s="63" t="n">
        <f aca="false">IFERROR(T1946/F1946,0)</f>
        <v>0.00399680255795364</v>
      </c>
      <c r="Y1946" s="63" t="n">
        <f aca="false">IFERROR(G1946/F1946,0)</f>
        <v>0</v>
      </c>
      <c r="Z1946" s="59" t="n">
        <f aca="false">IF(E1946&gt;0,F1946*1000000000/E1946,"")</f>
        <v>1060.41109451081</v>
      </c>
      <c r="AA1946" s="63" t="n">
        <f aca="false">IFERROR((R1946+S1946+J1946)/F1946,0)</f>
        <v>1</v>
      </c>
      <c r="AB1946" s="0" t="str">
        <f aca="false">A1946&amp;"|"&amp;D1946</f>
        <v>Syria|2023</v>
      </c>
    </row>
    <row r="1947" customFormat="false" ht="15" hidden="false" customHeight="false" outlineLevel="0" collapsed="false">
      <c r="A1947" s="0" t="s">
        <v>366</v>
      </c>
      <c r="B1947" s="0" t="s">
        <v>605</v>
      </c>
      <c r="C1947" s="0" t="s">
        <v>127</v>
      </c>
      <c r="D1947" s="0" t="n">
        <v>2024</v>
      </c>
      <c r="E1947" s="59" t="n">
        <v>24672758</v>
      </c>
      <c r="F1947" s="60" t="n">
        <v>24.88</v>
      </c>
      <c r="G1947" s="61" t="n">
        <v>0</v>
      </c>
      <c r="H1947" s="61" t="n">
        <v>13</v>
      </c>
      <c r="I1947" s="61" t="n">
        <v>11</v>
      </c>
      <c r="J1947" s="61" t="n">
        <v>0</v>
      </c>
      <c r="K1947" s="61" t="n">
        <v>0.75</v>
      </c>
      <c r="L1947" s="61" t="n">
        <v>0.1</v>
      </c>
      <c r="M1947" s="61" t="n">
        <v>0</v>
      </c>
      <c r="N1947" s="61" t="n">
        <v>0.03</v>
      </c>
      <c r="O1947" s="61" t="n">
        <v>0</v>
      </c>
      <c r="P1947" s="62" t="n">
        <v>706.2</v>
      </c>
      <c r="Q1947" s="0" t="n">
        <v>0</v>
      </c>
      <c r="R1947" s="60" t="n">
        <f aca="false">G1947+H1947+I1947</f>
        <v>24</v>
      </c>
      <c r="S1947" s="60" t="n">
        <f aca="false">K1947+L1947+M1947+N1947+O1947</f>
        <v>0.88</v>
      </c>
      <c r="T1947" s="60" t="n">
        <f aca="false">L1947+M1947</f>
        <v>0.1</v>
      </c>
      <c r="U1947" s="60" t="n">
        <f aca="false">S1947+J1947</f>
        <v>0.88</v>
      </c>
      <c r="V1947" s="63" t="n">
        <f aca="false">IFERROR(S1947/F1947,0)</f>
        <v>0.0353697749196142</v>
      </c>
      <c r="W1947" s="63" t="n">
        <f aca="false">IFERROR(R1947/F1947,0)</f>
        <v>0.964630225080386</v>
      </c>
      <c r="X1947" s="63" t="n">
        <f aca="false">IFERROR(T1947/F1947,0)</f>
        <v>0.00401929260450161</v>
      </c>
      <c r="Y1947" s="63" t="n">
        <f aca="false">IFERROR(G1947/F1947,0)</f>
        <v>0</v>
      </c>
      <c r="Z1947" s="59" t="n">
        <f aca="false">IF(E1947&gt;0,F1947*1000000000/E1947,"")</f>
        <v>1008.39962844851</v>
      </c>
      <c r="AA1947" s="63" t="n">
        <f aca="false">IFERROR((R1947+S1947+J1947)/F1947,0)</f>
        <v>1</v>
      </c>
      <c r="AB1947" s="0" t="str">
        <f aca="false">A1947&amp;"|"&amp;D1947</f>
        <v>Syria|2024</v>
      </c>
    </row>
    <row r="1948" customFormat="false" ht="15" hidden="false" customHeight="false" outlineLevel="0" collapsed="false">
      <c r="A1948" s="0" t="s">
        <v>367</v>
      </c>
      <c r="B1948" s="0" t="s">
        <v>606</v>
      </c>
      <c r="C1948" s="0" t="s">
        <v>127</v>
      </c>
      <c r="D1948" s="0" t="n">
        <v>2015</v>
      </c>
      <c r="E1948" s="59" t="n">
        <v>23529260</v>
      </c>
      <c r="F1948" s="60" t="n">
        <v>258.14</v>
      </c>
      <c r="G1948" s="61" t="n">
        <v>119.82</v>
      </c>
      <c r="H1948" s="61" t="n">
        <v>80.8</v>
      </c>
      <c r="I1948" s="61" t="n">
        <v>12.26</v>
      </c>
      <c r="J1948" s="61" t="n">
        <v>36.47</v>
      </c>
      <c r="K1948" s="61" t="n">
        <v>4.47</v>
      </c>
      <c r="L1948" s="61" t="n">
        <v>0.85</v>
      </c>
      <c r="M1948" s="61" t="n">
        <v>1.53</v>
      </c>
      <c r="N1948" s="61" t="n">
        <v>1.94</v>
      </c>
      <c r="O1948" s="61" t="n">
        <v>0</v>
      </c>
      <c r="P1948" s="62" t="n">
        <v>650.3</v>
      </c>
      <c r="Q1948" s="0" t="n">
        <v>1</v>
      </c>
      <c r="R1948" s="60" t="n">
        <f aca="false">G1948+H1948+I1948</f>
        <v>212.88</v>
      </c>
      <c r="S1948" s="60" t="n">
        <f aca="false">K1948+L1948+M1948+N1948+O1948</f>
        <v>8.79</v>
      </c>
      <c r="T1948" s="60" t="n">
        <f aca="false">L1948+M1948</f>
        <v>2.38</v>
      </c>
      <c r="U1948" s="60" t="n">
        <f aca="false">S1948+J1948</f>
        <v>45.26</v>
      </c>
      <c r="V1948" s="63" t="n">
        <f aca="false">IFERROR(S1948/F1948,0)</f>
        <v>0.0340512899976757</v>
      </c>
      <c r="W1948" s="63" t="n">
        <f aca="false">IFERROR(R1948/F1948,0)</f>
        <v>0.824668784380569</v>
      </c>
      <c r="X1948" s="63" t="n">
        <f aca="false">IFERROR(T1948/F1948,0)</f>
        <v>0.00921980320756179</v>
      </c>
      <c r="Y1948" s="63" t="n">
        <f aca="false">IFERROR(G1948/F1948,0)</f>
        <v>0.464166731231115</v>
      </c>
      <c r="Z1948" s="59" t="n">
        <f aca="false">IF(E1948&gt;0,F1948*1000000000/E1948,"")</f>
        <v>10971.0207630839</v>
      </c>
      <c r="AA1948" s="63" t="n">
        <f aca="false">IFERROR((R1948+S1948+J1948)/F1948,0)</f>
        <v>1</v>
      </c>
      <c r="AB1948" s="0" t="str">
        <f aca="false">A1948&amp;"|"&amp;D1948</f>
        <v>Taiwan|2015</v>
      </c>
    </row>
    <row r="1949" customFormat="false" ht="15" hidden="false" customHeight="false" outlineLevel="0" collapsed="false">
      <c r="A1949" s="0" t="s">
        <v>367</v>
      </c>
      <c r="B1949" s="0" t="s">
        <v>606</v>
      </c>
      <c r="C1949" s="0" t="s">
        <v>127</v>
      </c>
      <c r="D1949" s="0" t="n">
        <v>2016</v>
      </c>
      <c r="E1949" s="59" t="n">
        <v>23586140</v>
      </c>
      <c r="F1949" s="60" t="n">
        <v>264.12</v>
      </c>
      <c r="G1949" s="61" t="n">
        <v>124.02</v>
      </c>
      <c r="H1949" s="61" t="n">
        <v>85.23</v>
      </c>
      <c r="I1949" s="61" t="n">
        <v>12.17</v>
      </c>
      <c r="J1949" s="61" t="n">
        <v>31.66</v>
      </c>
      <c r="K1949" s="61" t="n">
        <v>6.56</v>
      </c>
      <c r="L1949" s="61" t="n">
        <v>1.11</v>
      </c>
      <c r="M1949" s="61" t="n">
        <v>1.46</v>
      </c>
      <c r="N1949" s="61" t="n">
        <v>1.91</v>
      </c>
      <c r="O1949" s="61" t="n">
        <v>0</v>
      </c>
      <c r="P1949" s="62" t="n">
        <v>659.2</v>
      </c>
      <c r="Q1949" s="0" t="n">
        <v>1</v>
      </c>
      <c r="R1949" s="60" t="n">
        <f aca="false">G1949+H1949+I1949</f>
        <v>221.42</v>
      </c>
      <c r="S1949" s="60" t="n">
        <f aca="false">K1949+L1949+M1949+N1949+O1949</f>
        <v>11.04</v>
      </c>
      <c r="T1949" s="60" t="n">
        <f aca="false">L1949+M1949</f>
        <v>2.57</v>
      </c>
      <c r="U1949" s="60" t="n">
        <f aca="false">S1949+J1949</f>
        <v>42.7</v>
      </c>
      <c r="V1949" s="63" t="n">
        <f aca="false">IFERROR(S1949/F1949,0)</f>
        <v>0.0417991821899137</v>
      </c>
      <c r="W1949" s="63" t="n">
        <f aca="false">IFERROR(R1949/F1949,0)</f>
        <v>0.838331061638649</v>
      </c>
      <c r="X1949" s="63" t="n">
        <f aca="false">IFERROR(T1949/F1949,0)</f>
        <v>0.00973042556413751</v>
      </c>
      <c r="Y1949" s="63" t="n">
        <f aca="false">IFERROR(G1949/F1949,0)</f>
        <v>0.469559291231259</v>
      </c>
      <c r="Z1949" s="59" t="n">
        <f aca="false">IF(E1949&gt;0,F1949*1000000000/E1949,"")</f>
        <v>11198.1019361371</v>
      </c>
      <c r="AA1949" s="63" t="n">
        <f aca="false">IFERROR((R1949+S1949+J1949)/F1949,0)</f>
        <v>1</v>
      </c>
      <c r="AB1949" s="0" t="str">
        <f aca="false">A1949&amp;"|"&amp;D1949</f>
        <v>Taiwan|2016</v>
      </c>
    </row>
    <row r="1950" customFormat="false" ht="15" hidden="false" customHeight="false" outlineLevel="0" collapsed="false">
      <c r="A1950" s="0" t="s">
        <v>367</v>
      </c>
      <c r="B1950" s="0" t="s">
        <v>606</v>
      </c>
      <c r="C1950" s="0" t="s">
        <v>127</v>
      </c>
      <c r="D1950" s="0" t="n">
        <v>2017</v>
      </c>
      <c r="E1950" s="59" t="n">
        <v>23632950</v>
      </c>
      <c r="F1950" s="60" t="n">
        <v>270.26</v>
      </c>
      <c r="G1950" s="61" t="n">
        <v>130.71</v>
      </c>
      <c r="H1950" s="61" t="n">
        <v>93.41</v>
      </c>
      <c r="I1950" s="61" t="n">
        <v>12.99</v>
      </c>
      <c r="J1950" s="61" t="n">
        <v>22.45</v>
      </c>
      <c r="K1950" s="61" t="n">
        <v>5.45</v>
      </c>
      <c r="L1950" s="61" t="n">
        <v>1.67</v>
      </c>
      <c r="M1950" s="61" t="n">
        <v>1.72</v>
      </c>
      <c r="N1950" s="61" t="n">
        <v>1.86</v>
      </c>
      <c r="O1950" s="61" t="n">
        <v>0</v>
      </c>
      <c r="P1950" s="62" t="n">
        <v>684.7</v>
      </c>
      <c r="Q1950" s="0" t="n">
        <v>1</v>
      </c>
      <c r="R1950" s="60" t="n">
        <f aca="false">G1950+H1950+I1950</f>
        <v>237.11</v>
      </c>
      <c r="S1950" s="60" t="n">
        <f aca="false">K1950+L1950+M1950+N1950+O1950</f>
        <v>10.7</v>
      </c>
      <c r="T1950" s="60" t="n">
        <f aca="false">L1950+M1950</f>
        <v>3.39</v>
      </c>
      <c r="U1950" s="60" t="n">
        <f aca="false">S1950+J1950</f>
        <v>33.15</v>
      </c>
      <c r="V1950" s="63" t="n">
        <f aca="false">IFERROR(S1950/F1950,0)</f>
        <v>0.0395915044771701</v>
      </c>
      <c r="W1950" s="63" t="n">
        <f aca="false">IFERROR(R1950/F1950,0)</f>
        <v>0.87734033893288</v>
      </c>
      <c r="X1950" s="63" t="n">
        <f aca="false">IFERROR(T1950/F1950,0)</f>
        <v>0.0125434766521128</v>
      </c>
      <c r="Y1950" s="63" t="n">
        <f aca="false">IFERROR(G1950/F1950,0)</f>
        <v>0.483645378524384</v>
      </c>
      <c r="Z1950" s="59" t="n">
        <f aca="false">IF(E1950&gt;0,F1950*1000000000/E1950,"")</f>
        <v>11435.7285061746</v>
      </c>
      <c r="AA1950" s="63" t="n">
        <f aca="false">IFERROR((R1950+S1950+J1950)/F1950,0)</f>
        <v>1</v>
      </c>
      <c r="AB1950" s="0" t="str">
        <f aca="false">A1950&amp;"|"&amp;D1950</f>
        <v>Taiwan|2017</v>
      </c>
    </row>
    <row r="1951" customFormat="false" ht="15" hidden="false" customHeight="false" outlineLevel="0" collapsed="false">
      <c r="A1951" s="0" t="s">
        <v>367</v>
      </c>
      <c r="B1951" s="0" t="s">
        <v>606</v>
      </c>
      <c r="C1951" s="0" t="s">
        <v>127</v>
      </c>
      <c r="D1951" s="0" t="n">
        <v>2018</v>
      </c>
      <c r="E1951" s="59" t="n">
        <v>23659308</v>
      </c>
      <c r="F1951" s="60" t="n">
        <v>275.53</v>
      </c>
      <c r="G1951" s="61" t="n">
        <v>134.18</v>
      </c>
      <c r="H1951" s="61" t="n">
        <v>94.46</v>
      </c>
      <c r="I1951" s="61" t="n">
        <v>8.35</v>
      </c>
      <c r="J1951" s="61" t="n">
        <v>27.68</v>
      </c>
      <c r="K1951" s="61" t="n">
        <v>4.48</v>
      </c>
      <c r="L1951" s="61" t="n">
        <v>2.7</v>
      </c>
      <c r="M1951" s="61" t="n">
        <v>1.71</v>
      </c>
      <c r="N1951" s="61" t="n">
        <v>1.97</v>
      </c>
      <c r="O1951" s="61" t="n">
        <v>0</v>
      </c>
      <c r="P1951" s="62" t="n">
        <v>672.2</v>
      </c>
      <c r="Q1951" s="0" t="n">
        <v>1</v>
      </c>
      <c r="R1951" s="60" t="n">
        <f aca="false">G1951+H1951+I1951</f>
        <v>236.99</v>
      </c>
      <c r="S1951" s="60" t="n">
        <f aca="false">K1951+L1951+M1951+N1951+O1951</f>
        <v>10.86</v>
      </c>
      <c r="T1951" s="60" t="n">
        <f aca="false">L1951+M1951</f>
        <v>4.41</v>
      </c>
      <c r="U1951" s="60" t="n">
        <f aca="false">S1951+J1951</f>
        <v>38.54</v>
      </c>
      <c r="V1951" s="63" t="n">
        <f aca="false">IFERROR(S1951/F1951,0)</f>
        <v>0.0394149457409357</v>
      </c>
      <c r="W1951" s="63" t="n">
        <f aca="false">IFERROR(R1951/F1951,0)</f>
        <v>0.860124124414764</v>
      </c>
      <c r="X1951" s="63" t="n">
        <f aca="false">IFERROR(T1951/F1951,0)</f>
        <v>0.0160055166406562</v>
      </c>
      <c r="Y1951" s="63" t="n">
        <f aca="false">IFERROR(G1951/F1951,0)</f>
        <v>0.486988712662868</v>
      </c>
      <c r="Z1951" s="59" t="n">
        <f aca="false">IF(E1951&gt;0,F1951*1000000000/E1951,"")</f>
        <v>11645.7336791085</v>
      </c>
      <c r="AA1951" s="63" t="n">
        <f aca="false">IFERROR((R1951+S1951+J1951)/F1951,0)</f>
        <v>1</v>
      </c>
      <c r="AB1951" s="0" t="str">
        <f aca="false">A1951&amp;"|"&amp;D1951</f>
        <v>Taiwan|2018</v>
      </c>
    </row>
    <row r="1952" customFormat="false" ht="15" hidden="false" customHeight="false" outlineLevel="0" collapsed="false">
      <c r="A1952" s="0" t="s">
        <v>367</v>
      </c>
      <c r="B1952" s="0" t="s">
        <v>606</v>
      </c>
      <c r="C1952" s="0" t="s">
        <v>127</v>
      </c>
      <c r="D1952" s="0" t="n">
        <v>2019</v>
      </c>
      <c r="E1952" s="59" t="n">
        <v>23674137</v>
      </c>
      <c r="F1952" s="60" t="n">
        <v>274.18</v>
      </c>
      <c r="G1952" s="61" t="n">
        <v>129.24</v>
      </c>
      <c r="H1952" s="61" t="n">
        <v>93.2</v>
      </c>
      <c r="I1952" s="61" t="n">
        <v>5.98</v>
      </c>
      <c r="J1952" s="61" t="n">
        <v>32.32</v>
      </c>
      <c r="K1952" s="61" t="n">
        <v>5.54</v>
      </c>
      <c r="L1952" s="61" t="n">
        <v>4.02</v>
      </c>
      <c r="M1952" s="61" t="n">
        <v>1.89</v>
      </c>
      <c r="N1952" s="61" t="n">
        <v>1.99</v>
      </c>
      <c r="O1952" s="61" t="n">
        <v>0</v>
      </c>
      <c r="P1952" s="62" t="n">
        <v>649.1</v>
      </c>
      <c r="Q1952" s="0" t="n">
        <v>1</v>
      </c>
      <c r="R1952" s="60" t="n">
        <f aca="false">G1952+H1952+I1952</f>
        <v>228.42</v>
      </c>
      <c r="S1952" s="60" t="n">
        <f aca="false">K1952+L1952+M1952+N1952+O1952</f>
        <v>13.44</v>
      </c>
      <c r="T1952" s="60" t="n">
        <f aca="false">L1952+M1952</f>
        <v>5.91</v>
      </c>
      <c r="U1952" s="60" t="n">
        <f aca="false">S1952+J1952</f>
        <v>45.76</v>
      </c>
      <c r="V1952" s="63" t="n">
        <f aca="false">IFERROR(S1952/F1952,0)</f>
        <v>0.0490188926982274</v>
      </c>
      <c r="W1952" s="63" t="n">
        <f aca="false">IFERROR(R1952/F1952,0)</f>
        <v>0.833102341527464</v>
      </c>
      <c r="X1952" s="63" t="n">
        <f aca="false">IFERROR(T1952/F1952,0)</f>
        <v>0.0215551827266759</v>
      </c>
      <c r="Y1952" s="63" t="n">
        <f aca="false">IFERROR(G1952/F1952,0)</f>
        <v>0.471369173535634</v>
      </c>
      <c r="Z1952" s="59" t="n">
        <f aca="false">IF(E1952&gt;0,F1952*1000000000/E1952,"")</f>
        <v>11581.4147734298</v>
      </c>
      <c r="AA1952" s="63" t="n">
        <f aca="false">IFERROR((R1952+S1952+J1952)/F1952,0)</f>
        <v>1</v>
      </c>
      <c r="AB1952" s="0" t="str">
        <f aca="false">A1952&amp;"|"&amp;D1952</f>
        <v>Taiwan|2019</v>
      </c>
    </row>
    <row r="1953" customFormat="false" ht="15" hidden="false" customHeight="false" outlineLevel="0" collapsed="false">
      <c r="A1953" s="0" t="s">
        <v>367</v>
      </c>
      <c r="B1953" s="0" t="s">
        <v>606</v>
      </c>
      <c r="C1953" s="0" t="s">
        <v>127</v>
      </c>
      <c r="D1953" s="0" t="n">
        <v>2020</v>
      </c>
      <c r="E1953" s="59" t="n">
        <v>23663461</v>
      </c>
      <c r="F1953" s="60" t="n">
        <v>279.99</v>
      </c>
      <c r="G1953" s="61" t="n">
        <v>128.61</v>
      </c>
      <c r="H1953" s="61" t="n">
        <v>102.03</v>
      </c>
      <c r="I1953" s="61" t="n">
        <v>4.51</v>
      </c>
      <c r="J1953" s="61" t="n">
        <v>31.44</v>
      </c>
      <c r="K1953" s="61" t="n">
        <v>3.02</v>
      </c>
      <c r="L1953" s="61" t="n">
        <v>6.07</v>
      </c>
      <c r="M1953" s="61" t="n">
        <v>2.31</v>
      </c>
      <c r="N1953" s="61" t="n">
        <v>2</v>
      </c>
      <c r="O1953" s="61" t="n">
        <v>0</v>
      </c>
      <c r="P1953" s="62" t="n">
        <v>648.1</v>
      </c>
      <c r="Q1953" s="0" t="n">
        <v>1</v>
      </c>
      <c r="R1953" s="60" t="n">
        <f aca="false">G1953+H1953+I1953</f>
        <v>235.15</v>
      </c>
      <c r="S1953" s="60" t="n">
        <f aca="false">K1953+L1953+M1953+N1953+O1953</f>
        <v>13.4</v>
      </c>
      <c r="T1953" s="60" t="n">
        <f aca="false">L1953+M1953</f>
        <v>8.38</v>
      </c>
      <c r="U1953" s="60" t="n">
        <f aca="false">S1953+J1953</f>
        <v>44.84</v>
      </c>
      <c r="V1953" s="63" t="n">
        <f aca="false">IFERROR(S1953/F1953,0)</f>
        <v>0.0478588521018608</v>
      </c>
      <c r="W1953" s="63" t="n">
        <f aca="false">IFERROR(R1953/F1953,0)</f>
        <v>0.839851423265117</v>
      </c>
      <c r="X1953" s="63" t="n">
        <f aca="false">IFERROR(T1953/F1953,0)</f>
        <v>0.029929640344298</v>
      </c>
      <c r="Y1953" s="63" t="n">
        <f aca="false">IFERROR(G1953/F1953,0)</f>
        <v>0.459337833494053</v>
      </c>
      <c r="Z1953" s="59" t="n">
        <f aca="false">IF(E1953&gt;0,F1953*1000000000/E1953,"")</f>
        <v>11832.1660555064</v>
      </c>
      <c r="AA1953" s="63" t="n">
        <f aca="false">IFERROR((R1953+S1953+J1953)/F1953,0)</f>
        <v>1</v>
      </c>
      <c r="AB1953" s="0" t="str">
        <f aca="false">A1953&amp;"|"&amp;D1953</f>
        <v>Taiwan|2020</v>
      </c>
    </row>
    <row r="1954" customFormat="false" ht="15" hidden="false" customHeight="false" outlineLevel="0" collapsed="false">
      <c r="A1954" s="0" t="s">
        <v>367</v>
      </c>
      <c r="B1954" s="0" t="s">
        <v>606</v>
      </c>
      <c r="C1954" s="0" t="s">
        <v>127</v>
      </c>
      <c r="D1954" s="0" t="n">
        <v>2021</v>
      </c>
      <c r="E1954" s="59" t="n">
        <v>23558330</v>
      </c>
      <c r="F1954" s="60" t="n">
        <v>291.03</v>
      </c>
      <c r="G1954" s="61" t="n">
        <v>131.49</v>
      </c>
      <c r="H1954" s="61" t="n">
        <v>110.59</v>
      </c>
      <c r="I1954" s="61" t="n">
        <v>5.44</v>
      </c>
      <c r="J1954" s="61" t="n">
        <v>27.79</v>
      </c>
      <c r="K1954" s="61" t="n">
        <v>3.47</v>
      </c>
      <c r="L1954" s="61" t="n">
        <v>7.97</v>
      </c>
      <c r="M1954" s="61" t="n">
        <v>2.27</v>
      </c>
      <c r="N1954" s="61" t="n">
        <v>2.01</v>
      </c>
      <c r="O1954" s="61" t="n">
        <v>0</v>
      </c>
      <c r="P1954" s="62" t="n">
        <v>652.1</v>
      </c>
      <c r="Q1954" s="0" t="n">
        <v>1</v>
      </c>
      <c r="R1954" s="60" t="n">
        <f aca="false">G1954+H1954+I1954</f>
        <v>247.52</v>
      </c>
      <c r="S1954" s="60" t="n">
        <f aca="false">K1954+L1954+M1954+N1954+O1954</f>
        <v>15.72</v>
      </c>
      <c r="T1954" s="60" t="n">
        <f aca="false">L1954+M1954</f>
        <v>10.24</v>
      </c>
      <c r="U1954" s="60" t="n">
        <f aca="false">S1954+J1954</f>
        <v>43.51</v>
      </c>
      <c r="V1954" s="63" t="n">
        <f aca="false">IFERROR(S1954/F1954,0)</f>
        <v>0.0540150499948459</v>
      </c>
      <c r="W1954" s="63" t="n">
        <f aca="false">IFERROR(R1954/F1954,0)</f>
        <v>0.850496512387039</v>
      </c>
      <c r="X1954" s="63" t="n">
        <f aca="false">IFERROR(T1954/F1954,0)</f>
        <v>0.0351853760780676</v>
      </c>
      <c r="Y1954" s="63" t="n">
        <f aca="false">IFERROR(G1954/F1954,0)</f>
        <v>0.451809091846202</v>
      </c>
      <c r="Z1954" s="59" t="n">
        <f aca="false">IF(E1954&gt;0,F1954*1000000000/E1954,"")</f>
        <v>12353.5921264368</v>
      </c>
      <c r="AA1954" s="63" t="n">
        <f aca="false">IFERROR((R1954+S1954+J1954)/F1954,0)</f>
        <v>1</v>
      </c>
      <c r="AB1954" s="0" t="str">
        <f aca="false">A1954&amp;"|"&amp;D1954</f>
        <v>Taiwan|2021</v>
      </c>
    </row>
    <row r="1955" customFormat="false" ht="15" hidden="false" customHeight="false" outlineLevel="0" collapsed="false">
      <c r="A1955" s="0" t="s">
        <v>367</v>
      </c>
      <c r="B1955" s="0" t="s">
        <v>606</v>
      </c>
      <c r="C1955" s="0" t="s">
        <v>127</v>
      </c>
      <c r="D1955" s="0" t="n">
        <v>2022</v>
      </c>
      <c r="E1955" s="59" t="n">
        <v>23420107</v>
      </c>
      <c r="F1955" s="60" t="n">
        <v>288.19</v>
      </c>
      <c r="G1955" s="61" t="n">
        <v>123.51</v>
      </c>
      <c r="H1955" s="61" t="n">
        <v>114.3</v>
      </c>
      <c r="I1955" s="61" t="n">
        <v>4.54</v>
      </c>
      <c r="J1955" s="61" t="n">
        <v>23.75</v>
      </c>
      <c r="K1955" s="61" t="n">
        <v>5.84</v>
      </c>
      <c r="L1955" s="61" t="n">
        <v>10.68</v>
      </c>
      <c r="M1955" s="61" t="n">
        <v>3.58</v>
      </c>
      <c r="N1955" s="61" t="n">
        <v>1.99</v>
      </c>
      <c r="O1955" s="61" t="n">
        <v>0</v>
      </c>
      <c r="P1955" s="62" t="n">
        <v>639.2</v>
      </c>
      <c r="Q1955" s="0" t="n">
        <v>1</v>
      </c>
      <c r="R1955" s="60" t="n">
        <f aca="false">G1955+H1955+I1955</f>
        <v>242.35</v>
      </c>
      <c r="S1955" s="60" t="n">
        <f aca="false">K1955+L1955+M1955+N1955+O1955</f>
        <v>22.09</v>
      </c>
      <c r="T1955" s="60" t="n">
        <f aca="false">L1955+M1955</f>
        <v>14.26</v>
      </c>
      <c r="U1955" s="60" t="n">
        <f aca="false">S1955+J1955</f>
        <v>45.84</v>
      </c>
      <c r="V1955" s="63" t="n">
        <f aca="false">IFERROR(S1955/F1955,0)</f>
        <v>0.0766508206391617</v>
      </c>
      <c r="W1955" s="63" t="n">
        <f aca="false">IFERROR(R1955/F1955,0)</f>
        <v>0.840938269891391</v>
      </c>
      <c r="X1955" s="63" t="n">
        <f aca="false">IFERROR(T1955/F1955,0)</f>
        <v>0.0494812450119713</v>
      </c>
      <c r="Y1955" s="63" t="n">
        <f aca="false">IFERROR(G1955/F1955,0)</f>
        <v>0.428571428571429</v>
      </c>
      <c r="Z1955" s="59" t="n">
        <f aca="false">IF(E1955&gt;0,F1955*1000000000/E1955,"")</f>
        <v>12305.2384004907</v>
      </c>
      <c r="AA1955" s="63" t="n">
        <f aca="false">IFERROR((R1955+S1955+J1955)/F1955,0)</f>
        <v>1</v>
      </c>
      <c r="AB1955" s="0" t="str">
        <f aca="false">A1955&amp;"|"&amp;D1955</f>
        <v>Taiwan|2022</v>
      </c>
    </row>
    <row r="1956" customFormat="false" ht="15" hidden="false" customHeight="false" outlineLevel="0" collapsed="false">
      <c r="A1956" s="0" t="s">
        <v>367</v>
      </c>
      <c r="B1956" s="0" t="s">
        <v>606</v>
      </c>
      <c r="C1956" s="0" t="s">
        <v>127</v>
      </c>
      <c r="D1956" s="0" t="n">
        <v>2023</v>
      </c>
      <c r="E1956" s="59" t="n">
        <v>23317145</v>
      </c>
      <c r="F1956" s="60" t="n">
        <v>282.28</v>
      </c>
      <c r="G1956" s="61" t="n">
        <v>121.6</v>
      </c>
      <c r="H1956" s="61" t="n">
        <v>113.91</v>
      </c>
      <c r="I1956" s="61" t="n">
        <v>3.85</v>
      </c>
      <c r="J1956" s="61" t="n">
        <v>17.8</v>
      </c>
      <c r="K1956" s="61" t="n">
        <v>3.96</v>
      </c>
      <c r="L1956" s="61" t="n">
        <v>12.91</v>
      </c>
      <c r="M1956" s="61" t="n">
        <v>6.24</v>
      </c>
      <c r="N1956" s="61" t="n">
        <v>2.01</v>
      </c>
      <c r="O1956" s="61" t="n">
        <v>0</v>
      </c>
      <c r="P1956" s="62" t="n">
        <v>644.2</v>
      </c>
      <c r="Q1956" s="0" t="n">
        <v>1</v>
      </c>
      <c r="R1956" s="60" t="n">
        <f aca="false">G1956+H1956+I1956</f>
        <v>239.36</v>
      </c>
      <c r="S1956" s="60" t="n">
        <f aca="false">K1956+L1956+M1956+N1956+O1956</f>
        <v>25.12</v>
      </c>
      <c r="T1956" s="60" t="n">
        <f aca="false">L1956+M1956</f>
        <v>19.15</v>
      </c>
      <c r="U1956" s="60" t="n">
        <f aca="false">S1956+J1956</f>
        <v>42.92</v>
      </c>
      <c r="V1956" s="63" t="n">
        <f aca="false">IFERROR(S1956/F1956,0)</f>
        <v>0.0889896556610458</v>
      </c>
      <c r="W1956" s="63" t="n">
        <f aca="false">IFERROR(R1956/F1956,0)</f>
        <v>0.847952387700156</v>
      </c>
      <c r="X1956" s="63" t="n">
        <f aca="false">IFERROR(T1956/F1956,0)</f>
        <v>0.0678404421142128</v>
      </c>
      <c r="Y1956" s="63" t="n">
        <f aca="false">IFERROR(G1956/F1956,0)</f>
        <v>0.430777950970667</v>
      </c>
      <c r="Z1956" s="59" t="n">
        <f aca="false">IF(E1956&gt;0,F1956*1000000000/E1956,"")</f>
        <v>12106.1133342011</v>
      </c>
      <c r="AA1956" s="63" t="n">
        <f aca="false">IFERROR((R1956+S1956+J1956)/F1956,0)</f>
        <v>1</v>
      </c>
      <c r="AB1956" s="0" t="str">
        <f aca="false">A1956&amp;"|"&amp;D1956</f>
        <v>Taiwan|2023</v>
      </c>
    </row>
    <row r="1957" customFormat="false" ht="15" hidden="false" customHeight="false" outlineLevel="0" collapsed="false">
      <c r="A1957" s="0" t="s">
        <v>367</v>
      </c>
      <c r="B1957" s="0" t="s">
        <v>606</v>
      </c>
      <c r="C1957" s="0" t="s">
        <v>127</v>
      </c>
      <c r="D1957" s="0" t="n">
        <v>2024</v>
      </c>
      <c r="E1957" s="59" t="n">
        <v>23213964</v>
      </c>
      <c r="F1957" s="60" t="n">
        <v>288.56</v>
      </c>
      <c r="G1957" s="61" t="n">
        <v>115.62</v>
      </c>
      <c r="H1957" s="61" t="n">
        <v>124.99</v>
      </c>
      <c r="I1957" s="61" t="n">
        <v>4.26</v>
      </c>
      <c r="J1957" s="61" t="n">
        <v>12.18</v>
      </c>
      <c r="K1957" s="61" t="n">
        <v>4.21</v>
      </c>
      <c r="L1957" s="61" t="n">
        <v>14.9</v>
      </c>
      <c r="M1957" s="61" t="n">
        <v>10.33</v>
      </c>
      <c r="N1957" s="61" t="n">
        <v>2.07</v>
      </c>
      <c r="O1957" s="61" t="n">
        <v>0</v>
      </c>
      <c r="P1957" s="62" t="n">
        <v>635.2</v>
      </c>
      <c r="Q1957" s="0" t="n">
        <v>1</v>
      </c>
      <c r="R1957" s="60" t="n">
        <f aca="false">G1957+H1957+I1957</f>
        <v>244.87</v>
      </c>
      <c r="S1957" s="60" t="n">
        <f aca="false">K1957+L1957+M1957+N1957+O1957</f>
        <v>31.51</v>
      </c>
      <c r="T1957" s="60" t="n">
        <f aca="false">L1957+M1957</f>
        <v>25.23</v>
      </c>
      <c r="U1957" s="60" t="n">
        <f aca="false">S1957+J1957</f>
        <v>43.69</v>
      </c>
      <c r="V1957" s="63" t="n">
        <f aca="false">IFERROR(S1957/F1957,0)</f>
        <v>0.109197393956196</v>
      </c>
      <c r="W1957" s="63" t="n">
        <f aca="false">IFERROR(R1957/F1957,0)</f>
        <v>0.848593013584696</v>
      </c>
      <c r="X1957" s="63" t="n">
        <f aca="false">IFERROR(T1957/F1957,0)</f>
        <v>0.0874341558081508</v>
      </c>
      <c r="Y1957" s="63" t="n">
        <f aca="false">IFERROR(G1957/F1957,0)</f>
        <v>0.400679234821181</v>
      </c>
      <c r="Z1957" s="59" t="n">
        <f aca="false">IF(E1957&gt;0,F1957*1000000000/E1957,"")</f>
        <v>12430.4491899789</v>
      </c>
      <c r="AA1957" s="63" t="n">
        <f aca="false">IFERROR((R1957+S1957+J1957)/F1957,0)</f>
        <v>1</v>
      </c>
      <c r="AB1957" s="0" t="str">
        <f aca="false">A1957&amp;"|"&amp;D1957</f>
        <v>Taiwan|2024</v>
      </c>
    </row>
    <row r="1958" customFormat="false" ht="15" hidden="false" customHeight="false" outlineLevel="0" collapsed="false">
      <c r="A1958" s="0" t="s">
        <v>367</v>
      </c>
      <c r="B1958" s="0" t="s">
        <v>606</v>
      </c>
      <c r="C1958" s="0" t="s">
        <v>127</v>
      </c>
      <c r="D1958" s="0" t="n">
        <v>2025</v>
      </c>
      <c r="E1958" s="59" t="n">
        <v>23112797</v>
      </c>
      <c r="F1958" s="60" t="n">
        <v>288.39</v>
      </c>
      <c r="G1958" s="61" t="n">
        <v>104.55</v>
      </c>
      <c r="H1958" s="61" t="n">
        <v>140.66</v>
      </c>
      <c r="I1958" s="61" t="n">
        <v>4.63</v>
      </c>
      <c r="J1958" s="61" t="n">
        <v>3.25</v>
      </c>
      <c r="K1958" s="61" t="n">
        <v>5.51</v>
      </c>
      <c r="L1958" s="61" t="n">
        <v>15.68</v>
      </c>
      <c r="M1958" s="61" t="n">
        <v>12.01</v>
      </c>
      <c r="N1958" s="61" t="n">
        <v>2.1</v>
      </c>
      <c r="O1958" s="61" t="n">
        <v>0</v>
      </c>
      <c r="P1958" s="62" t="n">
        <v>633.2</v>
      </c>
      <c r="Q1958" s="0" t="n">
        <v>1</v>
      </c>
      <c r="R1958" s="60" t="n">
        <f aca="false">G1958+H1958+I1958</f>
        <v>249.84</v>
      </c>
      <c r="S1958" s="60" t="n">
        <f aca="false">K1958+L1958+M1958+N1958+O1958</f>
        <v>35.3</v>
      </c>
      <c r="T1958" s="60" t="n">
        <f aca="false">L1958+M1958</f>
        <v>27.69</v>
      </c>
      <c r="U1958" s="60" t="n">
        <f aca="false">S1958+J1958</f>
        <v>38.55</v>
      </c>
      <c r="V1958" s="63" t="n">
        <f aca="false">IFERROR(S1958/F1958,0)</f>
        <v>0.122403689448317</v>
      </c>
      <c r="W1958" s="63" t="n">
        <f aca="false">IFERROR(R1958/F1958,0)</f>
        <v>0.866326849058567</v>
      </c>
      <c r="X1958" s="63" t="n">
        <f aca="false">IFERROR(T1958/F1958,0)</f>
        <v>0.0960158119213565</v>
      </c>
      <c r="Y1958" s="63" t="n">
        <f aca="false">IFERROR(G1958/F1958,0)</f>
        <v>0.362529907417039</v>
      </c>
      <c r="Z1958" s="59" t="n">
        <f aca="false">IF(E1958&gt;0,F1958*1000000000/E1958,"")</f>
        <v>12477.5032636682</v>
      </c>
      <c r="AA1958" s="63" t="n">
        <f aca="false">IFERROR((R1958+S1958+J1958)/F1958,0)</f>
        <v>1</v>
      </c>
      <c r="AB1958" s="0" t="str">
        <f aca="false">A1958&amp;"|"&amp;D1958</f>
        <v>Taiwan|2025</v>
      </c>
    </row>
    <row r="1959" customFormat="false" ht="15" hidden="false" customHeight="false" outlineLevel="0" collapsed="false">
      <c r="A1959" s="0" t="s">
        <v>368</v>
      </c>
      <c r="B1959" s="0" t="s">
        <v>607</v>
      </c>
      <c r="C1959" s="0" t="s">
        <v>127</v>
      </c>
      <c r="D1959" s="0" t="n">
        <v>2015</v>
      </c>
      <c r="E1959" s="59" t="n">
        <v>8643839</v>
      </c>
      <c r="F1959" s="60" t="n">
        <v>17.16</v>
      </c>
      <c r="G1959" s="61" t="n">
        <v>0.16</v>
      </c>
      <c r="H1959" s="61" t="n">
        <v>0</v>
      </c>
      <c r="I1959" s="61" t="n">
        <v>0</v>
      </c>
      <c r="J1959" s="61" t="n">
        <v>0</v>
      </c>
      <c r="K1959" s="61" t="n">
        <v>17</v>
      </c>
      <c r="L1959" s="61" t="n">
        <v>0</v>
      </c>
      <c r="M1959" s="61" t="n">
        <v>0</v>
      </c>
      <c r="N1959" s="61" t="n">
        <v>0</v>
      </c>
      <c r="O1959" s="61" t="n">
        <v>0</v>
      </c>
      <c r="P1959" s="62" t="n">
        <v>32</v>
      </c>
      <c r="Q1959" s="0" t="n">
        <v>0</v>
      </c>
      <c r="R1959" s="60" t="n">
        <f aca="false">G1959+H1959+I1959</f>
        <v>0.16</v>
      </c>
      <c r="S1959" s="60" t="n">
        <f aca="false">K1959+L1959+M1959+N1959+O1959</f>
        <v>17</v>
      </c>
      <c r="T1959" s="60" t="n">
        <f aca="false">L1959+M1959</f>
        <v>0</v>
      </c>
      <c r="U1959" s="60" t="n">
        <f aca="false">S1959+J1959</f>
        <v>17</v>
      </c>
      <c r="V1959" s="63" t="n">
        <f aca="false">IFERROR(S1959/F1959,0)</f>
        <v>0.990675990675991</v>
      </c>
      <c r="W1959" s="63" t="n">
        <f aca="false">IFERROR(R1959/F1959,0)</f>
        <v>0.00932400932400932</v>
      </c>
      <c r="X1959" s="63" t="n">
        <f aca="false">IFERROR(T1959/F1959,0)</f>
        <v>0</v>
      </c>
      <c r="Y1959" s="63" t="n">
        <f aca="false">IFERROR(G1959/F1959,0)</f>
        <v>0.00932400932400932</v>
      </c>
      <c r="Z1959" s="59" t="n">
        <f aca="false">IF(E1959&gt;0,F1959*1000000000/E1959,"")</f>
        <v>1985.22901687549</v>
      </c>
      <c r="AA1959" s="63" t="n">
        <f aca="false">IFERROR((R1959+S1959+J1959)/F1959,0)</f>
        <v>1</v>
      </c>
      <c r="AB1959" s="0" t="str">
        <f aca="false">A1959&amp;"|"&amp;D1959</f>
        <v>Tajikistan|2015</v>
      </c>
    </row>
    <row r="1960" customFormat="false" ht="15" hidden="false" customHeight="false" outlineLevel="0" collapsed="false">
      <c r="A1960" s="0" t="s">
        <v>368</v>
      </c>
      <c r="B1960" s="0" t="s">
        <v>607</v>
      </c>
      <c r="C1960" s="0" t="s">
        <v>127</v>
      </c>
      <c r="D1960" s="0" t="n">
        <v>2016</v>
      </c>
      <c r="E1960" s="59" t="n">
        <v>8865623</v>
      </c>
      <c r="F1960" s="60" t="n">
        <v>17.24</v>
      </c>
      <c r="G1960" s="61" t="n">
        <v>0.61</v>
      </c>
      <c r="H1960" s="61" t="n">
        <v>0</v>
      </c>
      <c r="I1960" s="61" t="n">
        <v>0</v>
      </c>
      <c r="J1960" s="61" t="n">
        <v>0</v>
      </c>
      <c r="K1960" s="61" t="n">
        <v>16.63</v>
      </c>
      <c r="L1960" s="61" t="n">
        <v>0</v>
      </c>
      <c r="M1960" s="61" t="n">
        <v>0</v>
      </c>
      <c r="N1960" s="61" t="n">
        <v>0</v>
      </c>
      <c r="O1960" s="61" t="n">
        <v>0</v>
      </c>
      <c r="P1960" s="62" t="n">
        <v>56.9</v>
      </c>
      <c r="Q1960" s="0" t="n">
        <v>0</v>
      </c>
      <c r="R1960" s="60" t="n">
        <f aca="false">G1960+H1960+I1960</f>
        <v>0.61</v>
      </c>
      <c r="S1960" s="60" t="n">
        <f aca="false">K1960+L1960+M1960+N1960+O1960</f>
        <v>16.63</v>
      </c>
      <c r="T1960" s="60" t="n">
        <f aca="false">L1960+M1960</f>
        <v>0</v>
      </c>
      <c r="U1960" s="60" t="n">
        <f aca="false">S1960+J1960</f>
        <v>16.63</v>
      </c>
      <c r="V1960" s="63" t="n">
        <f aca="false">IFERROR(S1960/F1960,0)</f>
        <v>0.96461716937355</v>
      </c>
      <c r="W1960" s="63" t="n">
        <f aca="false">IFERROR(R1960/F1960,0)</f>
        <v>0.0353828306264501</v>
      </c>
      <c r="X1960" s="63" t="n">
        <f aca="false">IFERROR(T1960/F1960,0)</f>
        <v>0</v>
      </c>
      <c r="Y1960" s="63" t="n">
        <f aca="false">IFERROR(G1960/F1960,0)</f>
        <v>0.0353828306264501</v>
      </c>
      <c r="Z1960" s="59" t="n">
        <f aca="false">IF(E1960&gt;0,F1960*1000000000/E1960,"")</f>
        <v>1944.58979363323</v>
      </c>
      <c r="AA1960" s="63" t="n">
        <f aca="false">IFERROR((R1960+S1960+J1960)/F1960,0)</f>
        <v>1</v>
      </c>
      <c r="AB1960" s="0" t="str">
        <f aca="false">A1960&amp;"|"&amp;D1960</f>
        <v>Tajikistan|2016</v>
      </c>
    </row>
    <row r="1961" customFormat="false" ht="15" hidden="false" customHeight="false" outlineLevel="0" collapsed="false">
      <c r="A1961" s="0" t="s">
        <v>368</v>
      </c>
      <c r="B1961" s="0" t="s">
        <v>607</v>
      </c>
      <c r="C1961" s="0" t="s">
        <v>127</v>
      </c>
      <c r="D1961" s="0" t="n">
        <v>2017</v>
      </c>
      <c r="E1961" s="59" t="n">
        <v>9085942</v>
      </c>
      <c r="F1961" s="60" t="n">
        <v>18.11</v>
      </c>
      <c r="G1961" s="61" t="n">
        <v>0.98</v>
      </c>
      <c r="H1961" s="61" t="n">
        <v>0</v>
      </c>
      <c r="I1961" s="61" t="n">
        <v>0</v>
      </c>
      <c r="J1961" s="61" t="n">
        <v>0</v>
      </c>
      <c r="K1961" s="61" t="n">
        <v>17.13</v>
      </c>
      <c r="L1961" s="61" t="n">
        <v>0</v>
      </c>
      <c r="M1961" s="61" t="n">
        <v>0</v>
      </c>
      <c r="N1961" s="61" t="n">
        <v>0</v>
      </c>
      <c r="O1961" s="61" t="n">
        <v>0</v>
      </c>
      <c r="P1961" s="62" t="n">
        <v>74.5</v>
      </c>
      <c r="Q1961" s="0" t="n">
        <v>0</v>
      </c>
      <c r="R1961" s="60" t="n">
        <f aca="false">G1961+H1961+I1961</f>
        <v>0.98</v>
      </c>
      <c r="S1961" s="60" t="n">
        <f aca="false">K1961+L1961+M1961+N1961+O1961</f>
        <v>17.13</v>
      </c>
      <c r="T1961" s="60" t="n">
        <f aca="false">L1961+M1961</f>
        <v>0</v>
      </c>
      <c r="U1961" s="60" t="n">
        <f aca="false">S1961+J1961</f>
        <v>17.13</v>
      </c>
      <c r="V1961" s="63" t="n">
        <f aca="false">IFERROR(S1961/F1961,0)</f>
        <v>0.945886250690226</v>
      </c>
      <c r="W1961" s="63" t="n">
        <f aca="false">IFERROR(R1961/F1961,0)</f>
        <v>0.0541137493097736</v>
      </c>
      <c r="X1961" s="63" t="n">
        <f aca="false">IFERROR(T1961/F1961,0)</f>
        <v>0</v>
      </c>
      <c r="Y1961" s="63" t="n">
        <f aca="false">IFERROR(G1961/F1961,0)</f>
        <v>0.0541137493097736</v>
      </c>
      <c r="Z1961" s="59" t="n">
        <f aca="false">IF(E1961&gt;0,F1961*1000000000/E1961,"")</f>
        <v>1993.18903862693</v>
      </c>
      <c r="AA1961" s="63" t="n">
        <f aca="false">IFERROR((R1961+S1961+J1961)/F1961,0)</f>
        <v>1</v>
      </c>
      <c r="AB1961" s="0" t="str">
        <f aca="false">A1961&amp;"|"&amp;D1961</f>
        <v>Tajikistan|2017</v>
      </c>
    </row>
    <row r="1962" customFormat="false" ht="15" hidden="false" customHeight="false" outlineLevel="0" collapsed="false">
      <c r="A1962" s="0" t="s">
        <v>368</v>
      </c>
      <c r="B1962" s="0" t="s">
        <v>607</v>
      </c>
      <c r="C1962" s="0" t="s">
        <v>127</v>
      </c>
      <c r="D1962" s="0" t="n">
        <v>2018</v>
      </c>
      <c r="E1962" s="59" t="n">
        <v>9307345</v>
      </c>
      <c r="F1962" s="60" t="n">
        <v>19.74</v>
      </c>
      <c r="G1962" s="61" t="n">
        <v>1.35</v>
      </c>
      <c r="H1962" s="61" t="n">
        <v>0</v>
      </c>
      <c r="I1962" s="61" t="n">
        <v>0</v>
      </c>
      <c r="J1962" s="61" t="n">
        <v>0</v>
      </c>
      <c r="K1962" s="61" t="n">
        <v>18.39</v>
      </c>
      <c r="L1962" s="61" t="n">
        <v>0</v>
      </c>
      <c r="M1962" s="61" t="n">
        <v>0</v>
      </c>
      <c r="N1962" s="61" t="n">
        <v>0</v>
      </c>
      <c r="O1962" s="61" t="n">
        <v>0</v>
      </c>
      <c r="P1962" s="62" t="n">
        <v>87.6</v>
      </c>
      <c r="Q1962" s="0" t="n">
        <v>0</v>
      </c>
      <c r="R1962" s="60" t="n">
        <f aca="false">G1962+H1962+I1962</f>
        <v>1.35</v>
      </c>
      <c r="S1962" s="60" t="n">
        <f aca="false">K1962+L1962+M1962+N1962+O1962</f>
        <v>18.39</v>
      </c>
      <c r="T1962" s="60" t="n">
        <f aca="false">L1962+M1962</f>
        <v>0</v>
      </c>
      <c r="U1962" s="60" t="n">
        <f aca="false">S1962+J1962</f>
        <v>18.39</v>
      </c>
      <c r="V1962" s="63" t="n">
        <f aca="false">IFERROR(S1962/F1962,0)</f>
        <v>0.93161094224924</v>
      </c>
      <c r="W1962" s="63" t="n">
        <f aca="false">IFERROR(R1962/F1962,0)</f>
        <v>0.0683890577507599</v>
      </c>
      <c r="X1962" s="63" t="n">
        <f aca="false">IFERROR(T1962/F1962,0)</f>
        <v>0</v>
      </c>
      <c r="Y1962" s="63" t="n">
        <f aca="false">IFERROR(G1962/F1962,0)</f>
        <v>0.0683890577507599</v>
      </c>
      <c r="Z1962" s="59" t="n">
        <f aca="false">IF(E1962&gt;0,F1962*1000000000/E1962,"")</f>
        <v>2120.90558585719</v>
      </c>
      <c r="AA1962" s="63" t="n">
        <f aca="false">IFERROR((R1962+S1962+J1962)/F1962,0)</f>
        <v>1</v>
      </c>
      <c r="AB1962" s="0" t="str">
        <f aca="false">A1962&amp;"|"&amp;D1962</f>
        <v>Tajikistan|2018</v>
      </c>
    </row>
    <row r="1963" customFormat="false" ht="15" hidden="false" customHeight="false" outlineLevel="0" collapsed="false">
      <c r="A1963" s="0" t="s">
        <v>368</v>
      </c>
      <c r="B1963" s="0" t="s">
        <v>607</v>
      </c>
      <c r="C1963" s="0" t="s">
        <v>127</v>
      </c>
      <c r="D1963" s="0" t="n">
        <v>2019</v>
      </c>
      <c r="E1963" s="59" t="n">
        <v>9529970</v>
      </c>
      <c r="F1963" s="60" t="n">
        <v>20.96</v>
      </c>
      <c r="G1963" s="61" t="n">
        <v>1.48</v>
      </c>
      <c r="H1963" s="61" t="n">
        <v>0.31</v>
      </c>
      <c r="I1963" s="61" t="n">
        <v>0</v>
      </c>
      <c r="J1963" s="61" t="n">
        <v>0</v>
      </c>
      <c r="K1963" s="61" t="n">
        <v>19.17</v>
      </c>
      <c r="L1963" s="61" t="n">
        <v>0</v>
      </c>
      <c r="M1963" s="61" t="n">
        <v>0</v>
      </c>
      <c r="N1963" s="61" t="n">
        <v>0</v>
      </c>
      <c r="O1963" s="61" t="n">
        <v>0</v>
      </c>
      <c r="P1963" s="62" t="n">
        <v>98.3</v>
      </c>
      <c r="Q1963" s="0" t="n">
        <v>0</v>
      </c>
      <c r="R1963" s="60" t="n">
        <f aca="false">G1963+H1963+I1963</f>
        <v>1.79</v>
      </c>
      <c r="S1963" s="60" t="n">
        <f aca="false">K1963+L1963+M1963+N1963+O1963</f>
        <v>19.17</v>
      </c>
      <c r="T1963" s="60" t="n">
        <f aca="false">L1963+M1963</f>
        <v>0</v>
      </c>
      <c r="U1963" s="60" t="n">
        <f aca="false">S1963+J1963</f>
        <v>19.17</v>
      </c>
      <c r="V1963" s="63" t="n">
        <f aca="false">IFERROR(S1963/F1963,0)</f>
        <v>0.914599236641221</v>
      </c>
      <c r="W1963" s="63" t="n">
        <f aca="false">IFERROR(R1963/F1963,0)</f>
        <v>0.0854007633587786</v>
      </c>
      <c r="X1963" s="63" t="n">
        <f aca="false">IFERROR(T1963/F1963,0)</f>
        <v>0</v>
      </c>
      <c r="Y1963" s="63" t="n">
        <f aca="false">IFERROR(G1963/F1963,0)</f>
        <v>0.0706106870229008</v>
      </c>
      <c r="Z1963" s="59" t="n">
        <f aca="false">IF(E1963&gt;0,F1963*1000000000/E1963,"")</f>
        <v>2199.3773327723</v>
      </c>
      <c r="AA1963" s="63" t="n">
        <f aca="false">IFERROR((R1963+S1963+J1963)/F1963,0)</f>
        <v>1</v>
      </c>
      <c r="AB1963" s="0" t="str">
        <f aca="false">A1963&amp;"|"&amp;D1963</f>
        <v>Tajikistan|2019</v>
      </c>
    </row>
    <row r="1964" customFormat="false" ht="15" hidden="false" customHeight="false" outlineLevel="0" collapsed="false">
      <c r="A1964" s="0" t="s">
        <v>368</v>
      </c>
      <c r="B1964" s="0" t="s">
        <v>607</v>
      </c>
      <c r="C1964" s="0" t="s">
        <v>127</v>
      </c>
      <c r="D1964" s="0" t="n">
        <v>2020</v>
      </c>
      <c r="E1964" s="59" t="n">
        <v>9749312</v>
      </c>
      <c r="F1964" s="60" t="n">
        <v>20.1</v>
      </c>
      <c r="G1964" s="61" t="n">
        <v>1.66</v>
      </c>
      <c r="H1964" s="61" t="n">
        <v>0.33</v>
      </c>
      <c r="I1964" s="61" t="n">
        <v>0</v>
      </c>
      <c r="J1964" s="61" t="n">
        <v>0</v>
      </c>
      <c r="K1964" s="61" t="n">
        <v>18.11</v>
      </c>
      <c r="L1964" s="61" t="n">
        <v>0</v>
      </c>
      <c r="M1964" s="61" t="n">
        <v>0</v>
      </c>
      <c r="N1964" s="61" t="n">
        <v>0</v>
      </c>
      <c r="O1964" s="61" t="n">
        <v>0</v>
      </c>
      <c r="P1964" s="62" t="n">
        <v>110</v>
      </c>
      <c r="Q1964" s="0" t="n">
        <v>0</v>
      </c>
      <c r="R1964" s="60" t="n">
        <f aca="false">G1964+H1964+I1964</f>
        <v>1.99</v>
      </c>
      <c r="S1964" s="60" t="n">
        <f aca="false">K1964+L1964+M1964+N1964+O1964</f>
        <v>18.11</v>
      </c>
      <c r="T1964" s="60" t="n">
        <f aca="false">L1964+M1964</f>
        <v>0</v>
      </c>
      <c r="U1964" s="60" t="n">
        <f aca="false">S1964+J1964</f>
        <v>18.11</v>
      </c>
      <c r="V1964" s="63" t="n">
        <f aca="false">IFERROR(S1964/F1964,0)</f>
        <v>0.900995024875622</v>
      </c>
      <c r="W1964" s="63" t="n">
        <f aca="false">IFERROR(R1964/F1964,0)</f>
        <v>0.0990049751243781</v>
      </c>
      <c r="X1964" s="63" t="n">
        <f aca="false">IFERROR(T1964/F1964,0)</f>
        <v>0</v>
      </c>
      <c r="Y1964" s="63" t="n">
        <f aca="false">IFERROR(G1964/F1964,0)</f>
        <v>0.0825870646766169</v>
      </c>
      <c r="Z1964" s="59" t="n">
        <f aca="false">IF(E1964&gt;0,F1964*1000000000/E1964,"")</f>
        <v>2061.68394241563</v>
      </c>
      <c r="AA1964" s="63" t="n">
        <f aca="false">IFERROR((R1964+S1964+J1964)/F1964,0)</f>
        <v>1</v>
      </c>
      <c r="AB1964" s="0" t="str">
        <f aca="false">A1964&amp;"|"&amp;D1964</f>
        <v>Tajikistan|2020</v>
      </c>
    </row>
    <row r="1965" customFormat="false" ht="15" hidden="false" customHeight="false" outlineLevel="0" collapsed="false">
      <c r="A1965" s="0" t="s">
        <v>368</v>
      </c>
      <c r="B1965" s="0" t="s">
        <v>607</v>
      </c>
      <c r="C1965" s="0" t="s">
        <v>127</v>
      </c>
      <c r="D1965" s="0" t="n">
        <v>2021</v>
      </c>
      <c r="E1965" s="59" t="n">
        <v>9966912</v>
      </c>
      <c r="F1965" s="60" t="n">
        <v>20.72</v>
      </c>
      <c r="G1965" s="61" t="n">
        <v>1.75</v>
      </c>
      <c r="H1965" s="61" t="n">
        <v>0.31</v>
      </c>
      <c r="I1965" s="61" t="n">
        <v>0</v>
      </c>
      <c r="J1965" s="61" t="n">
        <v>0</v>
      </c>
      <c r="K1965" s="61" t="n">
        <v>18.66</v>
      </c>
      <c r="L1965" s="61" t="n">
        <v>0</v>
      </c>
      <c r="M1965" s="61" t="n">
        <v>0</v>
      </c>
      <c r="N1965" s="61" t="n">
        <v>0</v>
      </c>
      <c r="O1965" s="61" t="n">
        <v>0</v>
      </c>
      <c r="P1965" s="62" t="n">
        <v>110.5</v>
      </c>
      <c r="Q1965" s="0" t="n">
        <v>0</v>
      </c>
      <c r="R1965" s="60" t="n">
        <f aca="false">G1965+H1965+I1965</f>
        <v>2.06</v>
      </c>
      <c r="S1965" s="60" t="n">
        <f aca="false">K1965+L1965+M1965+N1965+O1965</f>
        <v>18.66</v>
      </c>
      <c r="T1965" s="60" t="n">
        <f aca="false">L1965+M1965</f>
        <v>0</v>
      </c>
      <c r="U1965" s="60" t="n">
        <f aca="false">S1965+J1965</f>
        <v>18.66</v>
      </c>
      <c r="V1965" s="63" t="n">
        <f aca="false">IFERROR(S1965/F1965,0)</f>
        <v>0.900579150579151</v>
      </c>
      <c r="W1965" s="63" t="n">
        <f aca="false">IFERROR(R1965/F1965,0)</f>
        <v>0.0994208494208494</v>
      </c>
      <c r="X1965" s="63" t="n">
        <f aca="false">IFERROR(T1965/F1965,0)</f>
        <v>0</v>
      </c>
      <c r="Y1965" s="63" t="n">
        <f aca="false">IFERROR(G1965/F1965,0)</f>
        <v>0.0844594594594595</v>
      </c>
      <c r="Z1965" s="59" t="n">
        <f aca="false">IF(E1965&gt;0,F1965*1000000000/E1965,"")</f>
        <v>2078.87859349014</v>
      </c>
      <c r="AA1965" s="63" t="n">
        <f aca="false">IFERROR((R1965+S1965+J1965)/F1965,0)</f>
        <v>1</v>
      </c>
      <c r="AB1965" s="0" t="str">
        <f aca="false">A1965&amp;"|"&amp;D1965</f>
        <v>Tajikistan|2021</v>
      </c>
    </row>
    <row r="1966" customFormat="false" ht="15" hidden="false" customHeight="false" outlineLevel="0" collapsed="false">
      <c r="A1966" s="0" t="s">
        <v>368</v>
      </c>
      <c r="B1966" s="0" t="s">
        <v>607</v>
      </c>
      <c r="C1966" s="0" t="s">
        <v>127</v>
      </c>
      <c r="D1966" s="0" t="n">
        <v>2022</v>
      </c>
      <c r="E1966" s="59" t="n">
        <v>10182228</v>
      </c>
      <c r="F1966" s="60" t="n">
        <v>21.49</v>
      </c>
      <c r="G1966" s="61" t="n">
        <v>1.28</v>
      </c>
      <c r="H1966" s="61" t="n">
        <v>0.29</v>
      </c>
      <c r="I1966" s="61" t="n">
        <v>0</v>
      </c>
      <c r="J1966" s="61" t="n">
        <v>0</v>
      </c>
      <c r="K1966" s="61" t="n">
        <v>19.92</v>
      </c>
      <c r="L1966" s="61" t="n">
        <v>0</v>
      </c>
      <c r="M1966" s="61" t="n">
        <v>0</v>
      </c>
      <c r="N1966" s="61" t="n">
        <v>0</v>
      </c>
      <c r="O1966" s="61" t="n">
        <v>0</v>
      </c>
      <c r="P1966" s="62" t="n">
        <v>86.5</v>
      </c>
      <c r="Q1966" s="0" t="n">
        <v>0</v>
      </c>
      <c r="R1966" s="60" t="n">
        <f aca="false">G1966+H1966+I1966</f>
        <v>1.57</v>
      </c>
      <c r="S1966" s="60" t="n">
        <f aca="false">K1966+L1966+M1966+N1966+O1966</f>
        <v>19.92</v>
      </c>
      <c r="T1966" s="60" t="n">
        <f aca="false">L1966+M1966</f>
        <v>0</v>
      </c>
      <c r="U1966" s="60" t="n">
        <f aca="false">S1966+J1966</f>
        <v>19.92</v>
      </c>
      <c r="V1966" s="63" t="n">
        <f aca="false">IFERROR(S1966/F1966,0)</f>
        <v>0.926942764076315</v>
      </c>
      <c r="W1966" s="63" t="n">
        <f aca="false">IFERROR(R1966/F1966,0)</f>
        <v>0.0730572359236855</v>
      </c>
      <c r="X1966" s="63" t="n">
        <f aca="false">IFERROR(T1966/F1966,0)</f>
        <v>0</v>
      </c>
      <c r="Y1966" s="63" t="n">
        <f aca="false">IFERROR(G1966/F1966,0)</f>
        <v>0.0595625872498837</v>
      </c>
      <c r="Z1966" s="59" t="n">
        <f aca="false">IF(E1966&gt;0,F1966*1000000000/E1966,"")</f>
        <v>2110.54005076296</v>
      </c>
      <c r="AA1966" s="63" t="n">
        <f aca="false">IFERROR((R1966+S1966+J1966)/F1966,0)</f>
        <v>1</v>
      </c>
      <c r="AB1966" s="0" t="str">
        <f aca="false">A1966&amp;"|"&amp;D1966</f>
        <v>Tajikistan|2022</v>
      </c>
    </row>
    <row r="1967" customFormat="false" ht="15" hidden="false" customHeight="false" outlineLevel="0" collapsed="false">
      <c r="A1967" s="0" t="s">
        <v>368</v>
      </c>
      <c r="B1967" s="0" t="s">
        <v>607</v>
      </c>
      <c r="C1967" s="0" t="s">
        <v>127</v>
      </c>
      <c r="D1967" s="0" t="n">
        <v>2023</v>
      </c>
      <c r="E1967" s="59" t="n">
        <v>10389807</v>
      </c>
      <c r="F1967" s="60" t="n">
        <v>21.23</v>
      </c>
      <c r="G1967" s="61" t="n">
        <v>1.01</v>
      </c>
      <c r="H1967" s="61" t="n">
        <v>0.22</v>
      </c>
      <c r="I1967" s="61" t="n">
        <v>0</v>
      </c>
      <c r="J1967" s="61" t="n">
        <v>0</v>
      </c>
      <c r="K1967" s="61" t="n">
        <v>20</v>
      </c>
      <c r="L1967" s="61" t="n">
        <v>0</v>
      </c>
      <c r="M1967" s="61" t="n">
        <v>0</v>
      </c>
      <c r="N1967" s="61" t="n">
        <v>0</v>
      </c>
      <c r="O1967" s="61" t="n">
        <v>0</v>
      </c>
      <c r="P1967" s="62" t="n">
        <v>74.4</v>
      </c>
      <c r="Q1967" s="0" t="n">
        <v>0</v>
      </c>
      <c r="R1967" s="60" t="n">
        <f aca="false">G1967+H1967+I1967</f>
        <v>1.23</v>
      </c>
      <c r="S1967" s="60" t="n">
        <f aca="false">K1967+L1967+M1967+N1967+O1967</f>
        <v>20</v>
      </c>
      <c r="T1967" s="60" t="n">
        <f aca="false">L1967+M1967</f>
        <v>0</v>
      </c>
      <c r="U1967" s="60" t="n">
        <f aca="false">S1967+J1967</f>
        <v>20</v>
      </c>
      <c r="V1967" s="63" t="n">
        <f aca="false">IFERROR(S1967/F1967,0)</f>
        <v>0.942063118228921</v>
      </c>
      <c r="W1967" s="63" t="n">
        <f aca="false">IFERROR(R1967/F1967,0)</f>
        <v>0.0579368817710787</v>
      </c>
      <c r="X1967" s="63" t="n">
        <f aca="false">IFERROR(T1967/F1967,0)</f>
        <v>0</v>
      </c>
      <c r="Y1967" s="63" t="n">
        <f aca="false">IFERROR(G1967/F1967,0)</f>
        <v>0.0475741874705605</v>
      </c>
      <c r="Z1967" s="59" t="n">
        <f aca="false">IF(E1967&gt;0,F1967*1000000000/E1967,"")</f>
        <v>2043.34883217754</v>
      </c>
      <c r="AA1967" s="63" t="n">
        <f aca="false">IFERROR((R1967+S1967+J1967)/F1967,0)</f>
        <v>1</v>
      </c>
      <c r="AB1967" s="0" t="str">
        <f aca="false">A1967&amp;"|"&amp;D1967</f>
        <v>Tajikistan|2023</v>
      </c>
    </row>
    <row r="1968" customFormat="false" ht="15" hidden="false" customHeight="false" outlineLevel="0" collapsed="false">
      <c r="A1968" s="0" t="s">
        <v>368</v>
      </c>
      <c r="B1968" s="0" t="s">
        <v>607</v>
      </c>
      <c r="C1968" s="0" t="s">
        <v>127</v>
      </c>
      <c r="D1968" s="0" t="n">
        <v>2024</v>
      </c>
      <c r="E1968" s="59" t="n">
        <v>10590930</v>
      </c>
      <c r="F1968" s="60" t="n">
        <v>22.2</v>
      </c>
      <c r="G1968" s="61" t="n">
        <v>1</v>
      </c>
      <c r="H1968" s="61" t="n">
        <v>0.2</v>
      </c>
      <c r="I1968" s="61" t="n">
        <v>0</v>
      </c>
      <c r="J1968" s="61" t="n">
        <v>0</v>
      </c>
      <c r="K1968" s="61" t="n">
        <v>21</v>
      </c>
      <c r="L1968" s="61" t="n">
        <v>0</v>
      </c>
      <c r="M1968" s="61" t="n">
        <v>0</v>
      </c>
      <c r="N1968" s="61" t="n">
        <v>0</v>
      </c>
      <c r="O1968" s="61" t="n">
        <v>0</v>
      </c>
      <c r="P1968" s="62" t="n">
        <v>71.2</v>
      </c>
      <c r="Q1968" s="0" t="n">
        <v>0</v>
      </c>
      <c r="R1968" s="60" t="n">
        <f aca="false">G1968+H1968+I1968</f>
        <v>1.2</v>
      </c>
      <c r="S1968" s="60" t="n">
        <f aca="false">K1968+L1968+M1968+N1968+O1968</f>
        <v>21</v>
      </c>
      <c r="T1968" s="60" t="n">
        <f aca="false">L1968+M1968</f>
        <v>0</v>
      </c>
      <c r="U1968" s="60" t="n">
        <f aca="false">S1968+J1968</f>
        <v>21</v>
      </c>
      <c r="V1968" s="63" t="n">
        <f aca="false">IFERROR(S1968/F1968,0)</f>
        <v>0.945945945945946</v>
      </c>
      <c r="W1968" s="63" t="n">
        <f aca="false">IFERROR(R1968/F1968,0)</f>
        <v>0.0540540540540541</v>
      </c>
      <c r="X1968" s="63" t="n">
        <f aca="false">IFERROR(T1968/F1968,0)</f>
        <v>0</v>
      </c>
      <c r="Y1968" s="63" t="n">
        <f aca="false">IFERROR(G1968/F1968,0)</f>
        <v>0.0450450450450451</v>
      </c>
      <c r="Z1968" s="59" t="n">
        <f aca="false">IF(E1968&gt;0,F1968*1000000000/E1968,"")</f>
        <v>2096.13320076707</v>
      </c>
      <c r="AA1968" s="63" t="n">
        <f aca="false">IFERROR((R1968+S1968+J1968)/F1968,0)</f>
        <v>1</v>
      </c>
      <c r="AB1968" s="0" t="str">
        <f aca="false">A1968&amp;"|"&amp;D1968</f>
        <v>Tajikistan|2024</v>
      </c>
    </row>
    <row r="1969" customFormat="false" ht="15" hidden="false" customHeight="false" outlineLevel="0" collapsed="false">
      <c r="A1969" s="0" t="s">
        <v>368</v>
      </c>
      <c r="B1969" s="0" t="s">
        <v>607</v>
      </c>
      <c r="C1969" s="0" t="s">
        <v>127</v>
      </c>
      <c r="D1969" s="0" t="n">
        <v>2025</v>
      </c>
      <c r="E1969" s="59" t="n">
        <v>10786738</v>
      </c>
      <c r="F1969" s="60" t="n">
        <v>24.67</v>
      </c>
      <c r="G1969" s="61" t="n">
        <v>1.15</v>
      </c>
      <c r="H1969" s="61" t="n">
        <v>0.24</v>
      </c>
      <c r="I1969" s="61" t="n">
        <v>0</v>
      </c>
      <c r="J1969" s="61" t="n">
        <v>0</v>
      </c>
      <c r="K1969" s="61" t="n">
        <v>23.28</v>
      </c>
      <c r="L1969" s="61" t="n">
        <v>0</v>
      </c>
      <c r="M1969" s="61" t="n">
        <v>0</v>
      </c>
      <c r="N1969" s="61" t="n">
        <v>0</v>
      </c>
      <c r="O1969" s="61" t="n">
        <v>0</v>
      </c>
      <c r="P1969" s="62" t="n">
        <v>72.6</v>
      </c>
      <c r="Q1969" s="0" t="n">
        <v>0</v>
      </c>
      <c r="R1969" s="60" t="n">
        <f aca="false">G1969+H1969+I1969</f>
        <v>1.39</v>
      </c>
      <c r="S1969" s="60" t="n">
        <f aca="false">K1969+L1969+M1969+N1969+O1969</f>
        <v>23.28</v>
      </c>
      <c r="T1969" s="60" t="n">
        <f aca="false">L1969+M1969</f>
        <v>0</v>
      </c>
      <c r="U1969" s="60" t="n">
        <f aca="false">S1969+J1969</f>
        <v>23.28</v>
      </c>
      <c r="V1969" s="63" t="n">
        <f aca="false">IFERROR(S1969/F1969,0)</f>
        <v>0.943656262667207</v>
      </c>
      <c r="W1969" s="63" t="n">
        <f aca="false">IFERROR(R1969/F1969,0)</f>
        <v>0.0563437373327929</v>
      </c>
      <c r="X1969" s="63" t="n">
        <f aca="false">IFERROR(T1969/F1969,0)</f>
        <v>0</v>
      </c>
      <c r="Y1969" s="63" t="n">
        <f aca="false">IFERROR(G1969/F1969,0)</f>
        <v>0.0466153222537495</v>
      </c>
      <c r="Z1969" s="59" t="n">
        <f aca="false">IF(E1969&gt;0,F1969*1000000000/E1969,"")</f>
        <v>2287.06769368089</v>
      </c>
      <c r="AA1969" s="63" t="n">
        <f aca="false">IFERROR((R1969+S1969+J1969)/F1969,0)</f>
        <v>1</v>
      </c>
      <c r="AB1969" s="0" t="str">
        <f aca="false">A1969&amp;"|"&amp;D1969</f>
        <v>Tajikistan|2025</v>
      </c>
    </row>
    <row r="1970" customFormat="false" ht="15" hidden="false" customHeight="false" outlineLevel="0" collapsed="false">
      <c r="A1970" s="0" t="s">
        <v>369</v>
      </c>
      <c r="B1970" s="0" t="s">
        <v>608</v>
      </c>
      <c r="C1970" s="0" t="s">
        <v>127</v>
      </c>
      <c r="D1970" s="0" t="n">
        <v>2015</v>
      </c>
      <c r="E1970" s="59" t="n">
        <v>52020958</v>
      </c>
      <c r="F1970" s="60" t="n">
        <v>6.53</v>
      </c>
      <c r="G1970" s="61" t="n">
        <v>0</v>
      </c>
      <c r="H1970" s="61" t="n">
        <v>2.86</v>
      </c>
      <c r="I1970" s="61" t="n">
        <v>1.48</v>
      </c>
      <c r="J1970" s="61" t="n">
        <v>0</v>
      </c>
      <c r="K1970" s="61" t="n">
        <v>2.11</v>
      </c>
      <c r="L1970" s="61" t="n">
        <v>0.02</v>
      </c>
      <c r="M1970" s="61" t="n">
        <v>0</v>
      </c>
      <c r="N1970" s="61" t="n">
        <v>0.06</v>
      </c>
      <c r="O1970" s="61" t="n">
        <v>0</v>
      </c>
      <c r="P1970" s="62" t="n">
        <v>370.6</v>
      </c>
      <c r="Q1970" s="0" t="n">
        <v>0</v>
      </c>
      <c r="R1970" s="60" t="n">
        <f aca="false">G1970+H1970+I1970</f>
        <v>4.34</v>
      </c>
      <c r="S1970" s="60" t="n">
        <f aca="false">K1970+L1970+M1970+N1970+O1970</f>
        <v>2.19</v>
      </c>
      <c r="T1970" s="60" t="n">
        <f aca="false">L1970+M1970</f>
        <v>0.02</v>
      </c>
      <c r="U1970" s="60" t="n">
        <f aca="false">S1970+J1970</f>
        <v>2.19</v>
      </c>
      <c r="V1970" s="63" t="n">
        <f aca="false">IFERROR(S1970/F1970,0)</f>
        <v>0.335375191424196</v>
      </c>
      <c r="W1970" s="63" t="n">
        <f aca="false">IFERROR(R1970/F1970,0)</f>
        <v>0.664624808575804</v>
      </c>
      <c r="X1970" s="63" t="n">
        <f aca="false">IFERROR(T1970/F1970,0)</f>
        <v>0.00306278713629403</v>
      </c>
      <c r="Y1970" s="63" t="n">
        <f aca="false">IFERROR(G1970/F1970,0)</f>
        <v>0</v>
      </c>
      <c r="Z1970" s="59" t="n">
        <f aca="false">IF(E1970&gt;0,F1970*1000000000/E1970,"")</f>
        <v>125.526331137539</v>
      </c>
      <c r="AA1970" s="63" t="n">
        <f aca="false">IFERROR((R1970+S1970+J1970)/F1970,0)</f>
        <v>1</v>
      </c>
      <c r="AB1970" s="0" t="str">
        <f aca="false">A1970&amp;"|"&amp;D1970</f>
        <v>Tanzania|2015</v>
      </c>
    </row>
    <row r="1971" customFormat="false" ht="15" hidden="false" customHeight="false" outlineLevel="0" collapsed="false">
      <c r="A1971" s="0" t="s">
        <v>369</v>
      </c>
      <c r="B1971" s="0" t="s">
        <v>608</v>
      </c>
      <c r="C1971" s="0" t="s">
        <v>127</v>
      </c>
      <c r="D1971" s="0" t="n">
        <v>2016</v>
      </c>
      <c r="E1971" s="59" t="n">
        <v>53824012</v>
      </c>
      <c r="F1971" s="60" t="n">
        <v>6.82</v>
      </c>
      <c r="G1971" s="61" t="n">
        <v>0</v>
      </c>
      <c r="H1971" s="61" t="n">
        <v>4.1</v>
      </c>
      <c r="I1971" s="61" t="n">
        <v>0.25</v>
      </c>
      <c r="J1971" s="61" t="n">
        <v>0</v>
      </c>
      <c r="K1971" s="61" t="n">
        <v>2.37</v>
      </c>
      <c r="L1971" s="61" t="n">
        <v>0.03</v>
      </c>
      <c r="M1971" s="61" t="n">
        <v>0</v>
      </c>
      <c r="N1971" s="61" t="n">
        <v>0.07</v>
      </c>
      <c r="O1971" s="61" t="n">
        <v>0</v>
      </c>
      <c r="P1971" s="62" t="n">
        <v>328.4</v>
      </c>
      <c r="Q1971" s="0" t="n">
        <v>0</v>
      </c>
      <c r="R1971" s="60" t="n">
        <f aca="false">G1971+H1971+I1971</f>
        <v>4.35</v>
      </c>
      <c r="S1971" s="60" t="n">
        <f aca="false">K1971+L1971+M1971+N1971+O1971</f>
        <v>2.47</v>
      </c>
      <c r="T1971" s="60" t="n">
        <f aca="false">L1971+M1971</f>
        <v>0.03</v>
      </c>
      <c r="U1971" s="60" t="n">
        <f aca="false">S1971+J1971</f>
        <v>2.47</v>
      </c>
      <c r="V1971" s="63" t="n">
        <f aca="false">IFERROR(S1971/F1971,0)</f>
        <v>0.36217008797654</v>
      </c>
      <c r="W1971" s="63" t="n">
        <f aca="false">IFERROR(R1971/F1971,0)</f>
        <v>0.63782991202346</v>
      </c>
      <c r="X1971" s="63" t="n">
        <f aca="false">IFERROR(T1971/F1971,0)</f>
        <v>0.00439882697947214</v>
      </c>
      <c r="Y1971" s="63" t="n">
        <f aca="false">IFERROR(G1971/F1971,0)</f>
        <v>0</v>
      </c>
      <c r="Z1971" s="59" t="n">
        <f aca="false">IF(E1971&gt;0,F1971*1000000000/E1971,"")</f>
        <v>126.709246423325</v>
      </c>
      <c r="AA1971" s="63" t="n">
        <f aca="false">IFERROR((R1971+S1971+J1971)/F1971,0)</f>
        <v>1</v>
      </c>
      <c r="AB1971" s="0" t="str">
        <f aca="false">A1971&amp;"|"&amp;D1971</f>
        <v>Tanzania|2016</v>
      </c>
    </row>
    <row r="1972" customFormat="false" ht="15" hidden="false" customHeight="false" outlineLevel="0" collapsed="false">
      <c r="A1972" s="0" t="s">
        <v>369</v>
      </c>
      <c r="B1972" s="0" t="s">
        <v>608</v>
      </c>
      <c r="C1972" s="0" t="s">
        <v>127</v>
      </c>
      <c r="D1972" s="0" t="n">
        <v>2017</v>
      </c>
      <c r="E1972" s="59" t="n">
        <v>55652888</v>
      </c>
      <c r="F1972" s="60" t="n">
        <v>7.07</v>
      </c>
      <c r="G1972" s="61" t="n">
        <v>0</v>
      </c>
      <c r="H1972" s="61" t="n">
        <v>4.32</v>
      </c>
      <c r="I1972" s="61" t="n">
        <v>0.29</v>
      </c>
      <c r="J1972" s="61" t="n">
        <v>0</v>
      </c>
      <c r="K1972" s="61" t="n">
        <v>2.35</v>
      </c>
      <c r="L1972" s="61" t="n">
        <v>0.04</v>
      </c>
      <c r="M1972" s="61" t="n">
        <v>0</v>
      </c>
      <c r="N1972" s="61" t="n">
        <v>0.07</v>
      </c>
      <c r="O1972" s="61" t="n">
        <v>0</v>
      </c>
      <c r="P1972" s="62" t="n">
        <v>336.6</v>
      </c>
      <c r="Q1972" s="0" t="n">
        <v>0</v>
      </c>
      <c r="R1972" s="60" t="n">
        <f aca="false">G1972+H1972+I1972</f>
        <v>4.61</v>
      </c>
      <c r="S1972" s="60" t="n">
        <f aca="false">K1972+L1972+M1972+N1972+O1972</f>
        <v>2.46</v>
      </c>
      <c r="T1972" s="60" t="n">
        <f aca="false">L1972+M1972</f>
        <v>0.04</v>
      </c>
      <c r="U1972" s="60" t="n">
        <f aca="false">S1972+J1972</f>
        <v>2.46</v>
      </c>
      <c r="V1972" s="63" t="n">
        <f aca="false">IFERROR(S1972/F1972,0)</f>
        <v>0.347949080622348</v>
      </c>
      <c r="W1972" s="63" t="n">
        <f aca="false">IFERROR(R1972/F1972,0)</f>
        <v>0.652050919377652</v>
      </c>
      <c r="X1972" s="63" t="n">
        <f aca="false">IFERROR(T1972/F1972,0)</f>
        <v>0.00565770862800566</v>
      </c>
      <c r="Y1972" s="63" t="n">
        <f aca="false">IFERROR(G1972/F1972,0)</f>
        <v>0</v>
      </c>
      <c r="Z1972" s="59" t="n">
        <f aca="false">IF(E1972&gt;0,F1972*1000000000/E1972,"")</f>
        <v>127.037432450945</v>
      </c>
      <c r="AA1972" s="63" t="n">
        <f aca="false">IFERROR((R1972+S1972+J1972)/F1972,0)</f>
        <v>1</v>
      </c>
      <c r="AB1972" s="0" t="str">
        <f aca="false">A1972&amp;"|"&amp;D1972</f>
        <v>Tanzania|2017</v>
      </c>
    </row>
    <row r="1973" customFormat="false" ht="15" hidden="false" customHeight="false" outlineLevel="0" collapsed="false">
      <c r="A1973" s="0" t="s">
        <v>369</v>
      </c>
      <c r="B1973" s="0" t="s">
        <v>608</v>
      </c>
      <c r="C1973" s="0" t="s">
        <v>127</v>
      </c>
      <c r="D1973" s="0" t="n">
        <v>2018</v>
      </c>
      <c r="E1973" s="59" t="n">
        <v>57437134</v>
      </c>
      <c r="F1973" s="60" t="n">
        <v>7.31</v>
      </c>
      <c r="G1973" s="61" t="n">
        <v>0</v>
      </c>
      <c r="H1973" s="61" t="n">
        <v>4.87</v>
      </c>
      <c r="I1973" s="61" t="n">
        <v>0.12</v>
      </c>
      <c r="J1973" s="61" t="n">
        <v>0</v>
      </c>
      <c r="K1973" s="61" t="n">
        <v>2.23</v>
      </c>
      <c r="L1973" s="61" t="n">
        <v>0.03</v>
      </c>
      <c r="M1973" s="61" t="n">
        <v>0</v>
      </c>
      <c r="N1973" s="61" t="n">
        <v>0.06</v>
      </c>
      <c r="O1973" s="61" t="n">
        <v>0</v>
      </c>
      <c r="P1973" s="62" t="n">
        <v>344.7</v>
      </c>
      <c r="Q1973" s="0" t="n">
        <v>0</v>
      </c>
      <c r="R1973" s="60" t="n">
        <f aca="false">G1973+H1973+I1973</f>
        <v>4.99</v>
      </c>
      <c r="S1973" s="60" t="n">
        <f aca="false">K1973+L1973+M1973+N1973+O1973</f>
        <v>2.32</v>
      </c>
      <c r="T1973" s="60" t="n">
        <f aca="false">L1973+M1973</f>
        <v>0.03</v>
      </c>
      <c r="U1973" s="60" t="n">
        <f aca="false">S1973+J1973</f>
        <v>2.32</v>
      </c>
      <c r="V1973" s="63" t="n">
        <f aca="false">IFERROR(S1973/F1973,0)</f>
        <v>0.317373461012312</v>
      </c>
      <c r="W1973" s="63" t="n">
        <f aca="false">IFERROR(R1973/F1973,0)</f>
        <v>0.682626538987688</v>
      </c>
      <c r="X1973" s="63" t="n">
        <f aca="false">IFERROR(T1973/F1973,0)</f>
        <v>0.00410396716826265</v>
      </c>
      <c r="Y1973" s="63" t="n">
        <f aca="false">IFERROR(G1973/F1973,0)</f>
        <v>0</v>
      </c>
      <c r="Z1973" s="59" t="n">
        <f aca="false">IF(E1973&gt;0,F1973*1000000000/E1973,"")</f>
        <v>127.269581382664</v>
      </c>
      <c r="AA1973" s="63" t="n">
        <f aca="false">IFERROR((R1973+S1973+J1973)/F1973,0)</f>
        <v>1</v>
      </c>
      <c r="AB1973" s="0" t="str">
        <f aca="false">A1973&amp;"|"&amp;D1973</f>
        <v>Tanzania|2018</v>
      </c>
    </row>
    <row r="1974" customFormat="false" ht="15" hidden="false" customHeight="false" outlineLevel="0" collapsed="false">
      <c r="A1974" s="0" t="s">
        <v>369</v>
      </c>
      <c r="B1974" s="0" t="s">
        <v>608</v>
      </c>
      <c r="C1974" s="0" t="s">
        <v>127</v>
      </c>
      <c r="D1974" s="0" t="n">
        <v>2019</v>
      </c>
      <c r="E1974" s="59" t="n">
        <v>59174889</v>
      </c>
      <c r="F1974" s="60" t="n">
        <v>7.77</v>
      </c>
      <c r="G1974" s="61" t="n">
        <v>0</v>
      </c>
      <c r="H1974" s="61" t="n">
        <v>5.11</v>
      </c>
      <c r="I1974" s="61" t="n">
        <v>0.08</v>
      </c>
      <c r="J1974" s="61" t="n">
        <v>0</v>
      </c>
      <c r="K1974" s="61" t="n">
        <v>2.48</v>
      </c>
      <c r="L1974" s="61" t="n">
        <v>0.03</v>
      </c>
      <c r="M1974" s="61" t="n">
        <v>0</v>
      </c>
      <c r="N1974" s="61" t="n">
        <v>0.07</v>
      </c>
      <c r="O1974" s="61" t="n">
        <v>0</v>
      </c>
      <c r="P1974" s="62" t="n">
        <v>337.2</v>
      </c>
      <c r="Q1974" s="0" t="n">
        <v>0</v>
      </c>
      <c r="R1974" s="60" t="n">
        <f aca="false">G1974+H1974+I1974</f>
        <v>5.19</v>
      </c>
      <c r="S1974" s="60" t="n">
        <f aca="false">K1974+L1974+M1974+N1974+O1974</f>
        <v>2.58</v>
      </c>
      <c r="T1974" s="60" t="n">
        <f aca="false">L1974+M1974</f>
        <v>0.03</v>
      </c>
      <c r="U1974" s="60" t="n">
        <f aca="false">S1974+J1974</f>
        <v>2.58</v>
      </c>
      <c r="V1974" s="63" t="n">
        <f aca="false">IFERROR(S1974/F1974,0)</f>
        <v>0.332046332046332</v>
      </c>
      <c r="W1974" s="63" t="n">
        <f aca="false">IFERROR(R1974/F1974,0)</f>
        <v>0.667953667953668</v>
      </c>
      <c r="X1974" s="63" t="n">
        <f aca="false">IFERROR(T1974/F1974,0)</f>
        <v>0.00386100386100386</v>
      </c>
      <c r="Y1974" s="63" t="n">
        <f aca="false">IFERROR(G1974/F1974,0)</f>
        <v>0</v>
      </c>
      <c r="Z1974" s="59" t="n">
        <f aca="false">IF(E1974&gt;0,F1974*1000000000/E1974,"")</f>
        <v>131.305696238822</v>
      </c>
      <c r="AA1974" s="63" t="n">
        <f aca="false">IFERROR((R1974+S1974+J1974)/F1974,0)</f>
        <v>1</v>
      </c>
      <c r="AB1974" s="0" t="str">
        <f aca="false">A1974&amp;"|"&amp;D1974</f>
        <v>Tanzania|2019</v>
      </c>
    </row>
    <row r="1975" customFormat="false" ht="15" hidden="false" customHeight="false" outlineLevel="0" collapsed="false">
      <c r="A1975" s="0" t="s">
        <v>369</v>
      </c>
      <c r="B1975" s="0" t="s">
        <v>608</v>
      </c>
      <c r="C1975" s="0" t="s">
        <v>127</v>
      </c>
      <c r="D1975" s="0" t="n">
        <v>2020</v>
      </c>
      <c r="E1975" s="59" t="n">
        <v>60972803</v>
      </c>
      <c r="F1975" s="60" t="n">
        <v>7.83</v>
      </c>
      <c r="G1975" s="61" t="n">
        <v>0</v>
      </c>
      <c r="H1975" s="61" t="n">
        <v>4.51</v>
      </c>
      <c r="I1975" s="61" t="n">
        <v>0.08</v>
      </c>
      <c r="J1975" s="61" t="n">
        <v>0</v>
      </c>
      <c r="K1975" s="61" t="n">
        <v>3.14</v>
      </c>
      <c r="L1975" s="61" t="n">
        <v>0.03</v>
      </c>
      <c r="M1975" s="61" t="n">
        <v>0</v>
      </c>
      <c r="N1975" s="61" t="n">
        <v>0.07</v>
      </c>
      <c r="O1975" s="61" t="n">
        <v>0</v>
      </c>
      <c r="P1975" s="62" t="n">
        <v>298.9</v>
      </c>
      <c r="Q1975" s="0" t="n">
        <v>0</v>
      </c>
      <c r="R1975" s="60" t="n">
        <f aca="false">G1975+H1975+I1975</f>
        <v>4.59</v>
      </c>
      <c r="S1975" s="60" t="n">
        <f aca="false">K1975+L1975+M1975+N1975+O1975</f>
        <v>3.24</v>
      </c>
      <c r="T1975" s="60" t="n">
        <f aca="false">L1975+M1975</f>
        <v>0.03</v>
      </c>
      <c r="U1975" s="60" t="n">
        <f aca="false">S1975+J1975</f>
        <v>3.24</v>
      </c>
      <c r="V1975" s="63" t="n">
        <f aca="false">IFERROR(S1975/F1975,0)</f>
        <v>0.413793103448276</v>
      </c>
      <c r="W1975" s="63" t="n">
        <f aca="false">IFERROR(R1975/F1975,0)</f>
        <v>0.586206896551724</v>
      </c>
      <c r="X1975" s="63" t="n">
        <f aca="false">IFERROR(T1975/F1975,0)</f>
        <v>0.00383141762452107</v>
      </c>
      <c r="Y1975" s="63" t="n">
        <f aca="false">IFERROR(G1975/F1975,0)</f>
        <v>0</v>
      </c>
      <c r="Z1975" s="59" t="n">
        <f aca="false">IF(E1975&gt;0,F1975*1000000000/E1975,"")</f>
        <v>128.417911179186</v>
      </c>
      <c r="AA1975" s="63" t="n">
        <f aca="false">IFERROR((R1975+S1975+J1975)/F1975,0)</f>
        <v>1</v>
      </c>
      <c r="AB1975" s="0" t="str">
        <f aca="false">A1975&amp;"|"&amp;D1975</f>
        <v>Tanzania|2020</v>
      </c>
    </row>
    <row r="1976" customFormat="false" ht="15" hidden="false" customHeight="false" outlineLevel="0" collapsed="false">
      <c r="A1976" s="0" t="s">
        <v>369</v>
      </c>
      <c r="B1976" s="0" t="s">
        <v>608</v>
      </c>
      <c r="C1976" s="0" t="s">
        <v>127</v>
      </c>
      <c r="D1976" s="0" t="n">
        <v>2021</v>
      </c>
      <c r="E1976" s="59" t="n">
        <v>62830410</v>
      </c>
      <c r="F1976" s="60" t="n">
        <v>8.65</v>
      </c>
      <c r="G1976" s="61" t="n">
        <v>0</v>
      </c>
      <c r="H1976" s="61" t="n">
        <v>5.36</v>
      </c>
      <c r="I1976" s="61" t="n">
        <v>0.1</v>
      </c>
      <c r="J1976" s="61" t="n">
        <v>0</v>
      </c>
      <c r="K1976" s="61" t="n">
        <v>3.09</v>
      </c>
      <c r="L1976" s="61" t="n">
        <v>0.03</v>
      </c>
      <c r="M1976" s="61" t="n">
        <v>0</v>
      </c>
      <c r="N1976" s="61" t="n">
        <v>0.07</v>
      </c>
      <c r="O1976" s="61" t="n">
        <v>0</v>
      </c>
      <c r="P1976" s="62" t="n">
        <v>320.2</v>
      </c>
      <c r="Q1976" s="0" t="n">
        <v>0</v>
      </c>
      <c r="R1976" s="60" t="n">
        <f aca="false">G1976+H1976+I1976</f>
        <v>5.46</v>
      </c>
      <c r="S1976" s="60" t="n">
        <f aca="false">K1976+L1976+M1976+N1976+O1976</f>
        <v>3.19</v>
      </c>
      <c r="T1976" s="60" t="n">
        <f aca="false">L1976+M1976</f>
        <v>0.03</v>
      </c>
      <c r="U1976" s="60" t="n">
        <f aca="false">S1976+J1976</f>
        <v>3.19</v>
      </c>
      <c r="V1976" s="63" t="n">
        <f aca="false">IFERROR(S1976/F1976,0)</f>
        <v>0.36878612716763</v>
      </c>
      <c r="W1976" s="63" t="n">
        <f aca="false">IFERROR(R1976/F1976,0)</f>
        <v>0.63121387283237</v>
      </c>
      <c r="X1976" s="63" t="n">
        <f aca="false">IFERROR(T1976/F1976,0)</f>
        <v>0.00346820809248555</v>
      </c>
      <c r="Y1976" s="63" t="n">
        <f aca="false">IFERROR(G1976/F1976,0)</f>
        <v>0</v>
      </c>
      <c r="Z1976" s="59" t="n">
        <f aca="false">IF(E1976&gt;0,F1976*1000000000/E1976,"")</f>
        <v>137.672187719291</v>
      </c>
      <c r="AA1976" s="63" t="n">
        <f aca="false">IFERROR((R1976+S1976+J1976)/F1976,0)</f>
        <v>1</v>
      </c>
      <c r="AB1976" s="0" t="str">
        <f aca="false">A1976&amp;"|"&amp;D1976</f>
        <v>Tanzania|2021</v>
      </c>
    </row>
    <row r="1977" customFormat="false" ht="15" hidden="false" customHeight="false" outlineLevel="0" collapsed="false">
      <c r="A1977" s="0" t="s">
        <v>369</v>
      </c>
      <c r="B1977" s="0" t="s">
        <v>608</v>
      </c>
      <c r="C1977" s="0" t="s">
        <v>127</v>
      </c>
      <c r="D1977" s="0" t="n">
        <v>2022</v>
      </c>
      <c r="E1977" s="59" t="n">
        <v>64711822</v>
      </c>
      <c r="F1977" s="60" t="n">
        <v>9.62</v>
      </c>
      <c r="G1977" s="61" t="n">
        <v>0</v>
      </c>
      <c r="H1977" s="61" t="n">
        <v>6.68</v>
      </c>
      <c r="I1977" s="61" t="n">
        <v>0.02</v>
      </c>
      <c r="J1977" s="61" t="n">
        <v>0</v>
      </c>
      <c r="K1977" s="61" t="n">
        <v>2.82</v>
      </c>
      <c r="L1977" s="61" t="n">
        <v>0.03</v>
      </c>
      <c r="M1977" s="61" t="n">
        <v>0</v>
      </c>
      <c r="N1977" s="61" t="n">
        <v>0.07</v>
      </c>
      <c r="O1977" s="61" t="n">
        <v>0</v>
      </c>
      <c r="P1977" s="62" t="n">
        <v>349.3</v>
      </c>
      <c r="Q1977" s="0" t="n">
        <v>0</v>
      </c>
      <c r="R1977" s="60" t="n">
        <f aca="false">G1977+H1977+I1977</f>
        <v>6.7</v>
      </c>
      <c r="S1977" s="60" t="n">
        <f aca="false">K1977+L1977+M1977+N1977+O1977</f>
        <v>2.92</v>
      </c>
      <c r="T1977" s="60" t="n">
        <f aca="false">L1977+M1977</f>
        <v>0.03</v>
      </c>
      <c r="U1977" s="60" t="n">
        <f aca="false">S1977+J1977</f>
        <v>2.92</v>
      </c>
      <c r="V1977" s="63" t="n">
        <f aca="false">IFERROR(S1977/F1977,0)</f>
        <v>0.303534303534304</v>
      </c>
      <c r="W1977" s="63" t="n">
        <f aca="false">IFERROR(R1977/F1977,0)</f>
        <v>0.696465696465696</v>
      </c>
      <c r="X1977" s="63" t="n">
        <f aca="false">IFERROR(T1977/F1977,0)</f>
        <v>0.00311850311850312</v>
      </c>
      <c r="Y1977" s="63" t="n">
        <f aca="false">IFERROR(G1977/F1977,0)</f>
        <v>0</v>
      </c>
      <c r="Z1977" s="59" t="n">
        <f aca="false">IF(E1977&gt;0,F1977*1000000000/E1977,"")</f>
        <v>148.659081179943</v>
      </c>
      <c r="AA1977" s="63" t="n">
        <f aca="false">IFERROR((R1977+S1977+J1977)/F1977,0)</f>
        <v>1</v>
      </c>
      <c r="AB1977" s="0" t="str">
        <f aca="false">A1977&amp;"|"&amp;D1977</f>
        <v>Tanzania|2022</v>
      </c>
    </row>
    <row r="1978" customFormat="false" ht="15" hidden="false" customHeight="false" outlineLevel="0" collapsed="false">
      <c r="A1978" s="0" t="s">
        <v>369</v>
      </c>
      <c r="B1978" s="0" t="s">
        <v>608</v>
      </c>
      <c r="C1978" s="0" t="s">
        <v>127</v>
      </c>
      <c r="D1978" s="0" t="n">
        <v>2023</v>
      </c>
      <c r="E1978" s="59" t="n">
        <v>66617607</v>
      </c>
      <c r="F1978" s="60" t="n">
        <v>10.57</v>
      </c>
      <c r="G1978" s="61" t="n">
        <v>0</v>
      </c>
      <c r="H1978" s="61" t="n">
        <v>7.38</v>
      </c>
      <c r="I1978" s="61" t="n">
        <v>0.39</v>
      </c>
      <c r="J1978" s="61" t="n">
        <v>0</v>
      </c>
      <c r="K1978" s="61" t="n">
        <v>2.7</v>
      </c>
      <c r="L1978" s="61" t="n">
        <v>0.03</v>
      </c>
      <c r="M1978" s="61" t="n">
        <v>0</v>
      </c>
      <c r="N1978" s="61" t="n">
        <v>0.07</v>
      </c>
      <c r="O1978" s="61" t="n">
        <v>0</v>
      </c>
      <c r="P1978" s="62" t="n">
        <v>372.8</v>
      </c>
      <c r="Q1978" s="0" t="n">
        <v>0</v>
      </c>
      <c r="R1978" s="60" t="n">
        <f aca="false">G1978+H1978+I1978</f>
        <v>7.77</v>
      </c>
      <c r="S1978" s="60" t="n">
        <f aca="false">K1978+L1978+M1978+N1978+O1978</f>
        <v>2.8</v>
      </c>
      <c r="T1978" s="60" t="n">
        <f aca="false">L1978+M1978</f>
        <v>0.03</v>
      </c>
      <c r="U1978" s="60" t="n">
        <f aca="false">S1978+J1978</f>
        <v>2.8</v>
      </c>
      <c r="V1978" s="63" t="n">
        <f aca="false">IFERROR(S1978/F1978,0)</f>
        <v>0.264900662251656</v>
      </c>
      <c r="W1978" s="63" t="n">
        <f aca="false">IFERROR(R1978/F1978,0)</f>
        <v>0.735099337748344</v>
      </c>
      <c r="X1978" s="63" t="n">
        <f aca="false">IFERROR(T1978/F1978,0)</f>
        <v>0.00283822138126774</v>
      </c>
      <c r="Y1978" s="63" t="n">
        <f aca="false">IFERROR(G1978/F1978,0)</f>
        <v>0</v>
      </c>
      <c r="Z1978" s="59" t="n">
        <f aca="false">IF(E1978&gt;0,F1978*1000000000/E1978,"")</f>
        <v>158.666762076879</v>
      </c>
      <c r="AA1978" s="63" t="n">
        <f aca="false">IFERROR((R1978+S1978+J1978)/F1978,0)</f>
        <v>1</v>
      </c>
      <c r="AB1978" s="0" t="str">
        <f aca="false">A1978&amp;"|"&amp;D1978</f>
        <v>Tanzania|2023</v>
      </c>
    </row>
    <row r="1979" customFormat="false" ht="15" hidden="false" customHeight="false" outlineLevel="0" collapsed="false">
      <c r="A1979" s="0" t="s">
        <v>369</v>
      </c>
      <c r="B1979" s="0" t="s">
        <v>608</v>
      </c>
      <c r="C1979" s="0" t="s">
        <v>127</v>
      </c>
      <c r="D1979" s="0" t="n">
        <v>2024</v>
      </c>
      <c r="E1979" s="59" t="n">
        <v>68560162</v>
      </c>
      <c r="F1979" s="60" t="n">
        <v>8.84</v>
      </c>
      <c r="G1979" s="61" t="n">
        <v>0</v>
      </c>
      <c r="H1979" s="61" t="n">
        <v>5.55</v>
      </c>
      <c r="I1979" s="61" t="n">
        <v>0.38</v>
      </c>
      <c r="J1979" s="61" t="n">
        <v>0</v>
      </c>
      <c r="K1979" s="61" t="n">
        <v>2.8</v>
      </c>
      <c r="L1979" s="61" t="n">
        <v>0.04</v>
      </c>
      <c r="M1979" s="61" t="n">
        <v>0</v>
      </c>
      <c r="N1979" s="61" t="n">
        <v>0.07</v>
      </c>
      <c r="O1979" s="61" t="n">
        <v>0</v>
      </c>
      <c r="P1979" s="62" t="n">
        <v>345</v>
      </c>
      <c r="Q1979" s="0" t="n">
        <v>0</v>
      </c>
      <c r="R1979" s="60" t="n">
        <f aca="false">G1979+H1979+I1979</f>
        <v>5.93</v>
      </c>
      <c r="S1979" s="60" t="n">
        <f aca="false">K1979+L1979+M1979+N1979+O1979</f>
        <v>2.91</v>
      </c>
      <c r="T1979" s="60" t="n">
        <f aca="false">L1979+M1979</f>
        <v>0.04</v>
      </c>
      <c r="U1979" s="60" t="n">
        <f aca="false">S1979+J1979</f>
        <v>2.91</v>
      </c>
      <c r="V1979" s="63" t="n">
        <f aca="false">IFERROR(S1979/F1979,0)</f>
        <v>0.329185520361991</v>
      </c>
      <c r="W1979" s="63" t="n">
        <f aca="false">IFERROR(R1979/F1979,0)</f>
        <v>0.670814479638009</v>
      </c>
      <c r="X1979" s="63" t="n">
        <f aca="false">IFERROR(T1979/F1979,0)</f>
        <v>0.00452488687782806</v>
      </c>
      <c r="Y1979" s="63" t="n">
        <f aca="false">IFERROR(G1979/F1979,0)</f>
        <v>0</v>
      </c>
      <c r="Z1979" s="59" t="n">
        <f aca="false">IF(E1979&gt;0,F1979*1000000000/E1979,"")</f>
        <v>128.937851692941</v>
      </c>
      <c r="AA1979" s="63" t="n">
        <f aca="false">IFERROR((R1979+S1979+J1979)/F1979,0)</f>
        <v>1</v>
      </c>
      <c r="AB1979" s="0" t="str">
        <f aca="false">A1979&amp;"|"&amp;D1979</f>
        <v>Tanzania|2024</v>
      </c>
    </row>
    <row r="1980" customFormat="false" ht="15" hidden="false" customHeight="false" outlineLevel="0" collapsed="false">
      <c r="A1980" s="0" t="s">
        <v>370</v>
      </c>
      <c r="B1980" s="0" t="s">
        <v>609</v>
      </c>
      <c r="C1980" s="0" t="s">
        <v>127</v>
      </c>
      <c r="D1980" s="0" t="n">
        <v>2015</v>
      </c>
      <c r="E1980" s="59" t="n">
        <v>70540787</v>
      </c>
      <c r="F1980" s="60" t="n">
        <v>177.83</v>
      </c>
      <c r="G1980" s="61" t="n">
        <v>34.58</v>
      </c>
      <c r="H1980" s="61" t="n">
        <v>128.52</v>
      </c>
      <c r="I1980" s="61" t="n">
        <v>0.92</v>
      </c>
      <c r="J1980" s="61" t="n">
        <v>0</v>
      </c>
      <c r="K1980" s="61" t="n">
        <v>3.76</v>
      </c>
      <c r="L1980" s="61" t="n">
        <v>2.38</v>
      </c>
      <c r="M1980" s="61" t="n">
        <v>0.33</v>
      </c>
      <c r="N1980" s="61" t="n">
        <v>7.34</v>
      </c>
      <c r="O1980" s="61" t="n">
        <v>0</v>
      </c>
      <c r="P1980" s="62" t="n">
        <v>597.1</v>
      </c>
      <c r="Q1980" s="0" t="n">
        <v>1</v>
      </c>
      <c r="R1980" s="60" t="n">
        <f aca="false">G1980+H1980+I1980</f>
        <v>164.02</v>
      </c>
      <c r="S1980" s="60" t="n">
        <f aca="false">K1980+L1980+M1980+N1980+O1980</f>
        <v>13.81</v>
      </c>
      <c r="T1980" s="60" t="n">
        <f aca="false">L1980+M1980</f>
        <v>2.71</v>
      </c>
      <c r="U1980" s="60" t="n">
        <f aca="false">S1980+J1980</f>
        <v>13.81</v>
      </c>
      <c r="V1980" s="63" t="n">
        <f aca="false">IFERROR(S1980/F1980,0)</f>
        <v>0.0776584378338863</v>
      </c>
      <c r="W1980" s="63" t="n">
        <f aca="false">IFERROR(R1980/F1980,0)</f>
        <v>0.922341562166114</v>
      </c>
      <c r="X1980" s="63" t="n">
        <f aca="false">IFERROR(T1980/F1980,0)</f>
        <v>0.0152392734634201</v>
      </c>
      <c r="Y1980" s="63" t="n">
        <f aca="false">IFERROR(G1980/F1980,0)</f>
        <v>0.194455378732497</v>
      </c>
      <c r="Z1980" s="59" t="n">
        <f aca="false">IF(E1980&gt;0,F1980*1000000000/E1980,"")</f>
        <v>2520.9528779428</v>
      </c>
      <c r="AA1980" s="63" t="n">
        <f aca="false">IFERROR((R1980+S1980+J1980)/F1980,0)</f>
        <v>1</v>
      </c>
      <c r="AB1980" s="0" t="str">
        <f aca="false">A1980&amp;"|"&amp;D1980</f>
        <v>Thailand|2015</v>
      </c>
    </row>
    <row r="1981" customFormat="false" ht="15" hidden="false" customHeight="false" outlineLevel="0" collapsed="false">
      <c r="A1981" s="0" t="s">
        <v>370</v>
      </c>
      <c r="B1981" s="0" t="s">
        <v>609</v>
      </c>
      <c r="C1981" s="0" t="s">
        <v>127</v>
      </c>
      <c r="D1981" s="0" t="n">
        <v>2016</v>
      </c>
      <c r="E1981" s="59" t="n">
        <v>70859835</v>
      </c>
      <c r="F1981" s="60" t="n">
        <v>179.82</v>
      </c>
      <c r="G1981" s="61" t="n">
        <v>37.11</v>
      </c>
      <c r="H1981" s="61" t="n">
        <v>126.15</v>
      </c>
      <c r="I1981" s="61" t="n">
        <v>0.49</v>
      </c>
      <c r="J1981" s="61" t="n">
        <v>0</v>
      </c>
      <c r="K1981" s="61" t="n">
        <v>3.54</v>
      </c>
      <c r="L1981" s="61" t="n">
        <v>3.55</v>
      </c>
      <c r="M1981" s="61" t="n">
        <v>0.38</v>
      </c>
      <c r="N1981" s="61" t="n">
        <v>8.6</v>
      </c>
      <c r="O1981" s="61" t="n">
        <v>0</v>
      </c>
      <c r="P1981" s="62" t="n">
        <v>595.5</v>
      </c>
      <c r="Q1981" s="0" t="n">
        <v>1</v>
      </c>
      <c r="R1981" s="60" t="n">
        <f aca="false">G1981+H1981+I1981</f>
        <v>163.75</v>
      </c>
      <c r="S1981" s="60" t="n">
        <f aca="false">K1981+L1981+M1981+N1981+O1981</f>
        <v>16.07</v>
      </c>
      <c r="T1981" s="60" t="n">
        <f aca="false">L1981+M1981</f>
        <v>3.93</v>
      </c>
      <c r="U1981" s="60" t="n">
        <f aca="false">S1981+J1981</f>
        <v>16.07</v>
      </c>
      <c r="V1981" s="63" t="n">
        <f aca="false">IFERROR(S1981/F1981,0)</f>
        <v>0.0893671449227005</v>
      </c>
      <c r="W1981" s="63" t="n">
        <f aca="false">IFERROR(R1981/F1981,0)</f>
        <v>0.9106328550773</v>
      </c>
      <c r="X1981" s="63" t="n">
        <f aca="false">IFERROR(T1981/F1981,0)</f>
        <v>0.0218551885218552</v>
      </c>
      <c r="Y1981" s="63" t="n">
        <f aca="false">IFERROR(G1981/F1981,0)</f>
        <v>0.206373039706373</v>
      </c>
      <c r="Z1981" s="59" t="n">
        <f aca="false">IF(E1981&gt;0,F1981*1000000000/E1981,"")</f>
        <v>2537.68584135145</v>
      </c>
      <c r="AA1981" s="63" t="n">
        <f aca="false">IFERROR((R1981+S1981+J1981)/F1981,0)</f>
        <v>1</v>
      </c>
      <c r="AB1981" s="0" t="str">
        <f aca="false">A1981&amp;"|"&amp;D1981</f>
        <v>Thailand|2016</v>
      </c>
    </row>
    <row r="1982" customFormat="false" ht="15" hidden="false" customHeight="false" outlineLevel="0" collapsed="false">
      <c r="A1982" s="0" t="s">
        <v>370</v>
      </c>
      <c r="B1982" s="0" t="s">
        <v>609</v>
      </c>
      <c r="C1982" s="0" t="s">
        <v>127</v>
      </c>
      <c r="D1982" s="0" t="n">
        <v>2017</v>
      </c>
      <c r="E1982" s="59" t="n">
        <v>71160183</v>
      </c>
      <c r="F1982" s="60" t="n">
        <v>176.73</v>
      </c>
      <c r="G1982" s="61" t="n">
        <v>35.73</v>
      </c>
      <c r="H1982" s="61" t="n">
        <v>121.04</v>
      </c>
      <c r="I1982" s="61" t="n">
        <v>0.33</v>
      </c>
      <c r="J1982" s="61" t="n">
        <v>0</v>
      </c>
      <c r="K1982" s="61" t="n">
        <v>4.69</v>
      </c>
      <c r="L1982" s="61" t="n">
        <v>4.54</v>
      </c>
      <c r="M1982" s="61" t="n">
        <v>1.11</v>
      </c>
      <c r="N1982" s="61" t="n">
        <v>9.29</v>
      </c>
      <c r="O1982" s="61" t="n">
        <v>0</v>
      </c>
      <c r="P1982" s="62" t="n">
        <v>583.3</v>
      </c>
      <c r="Q1982" s="0" t="n">
        <v>1</v>
      </c>
      <c r="R1982" s="60" t="n">
        <f aca="false">G1982+H1982+I1982</f>
        <v>157.1</v>
      </c>
      <c r="S1982" s="60" t="n">
        <f aca="false">K1982+L1982+M1982+N1982+O1982</f>
        <v>19.63</v>
      </c>
      <c r="T1982" s="60" t="n">
        <f aca="false">L1982+M1982</f>
        <v>5.65</v>
      </c>
      <c r="U1982" s="60" t="n">
        <f aca="false">S1982+J1982</f>
        <v>19.63</v>
      </c>
      <c r="V1982" s="63" t="n">
        <f aca="false">IFERROR(S1982/F1982,0)</f>
        <v>0.111073388785153</v>
      </c>
      <c r="W1982" s="63" t="n">
        <f aca="false">IFERROR(R1982/F1982,0)</f>
        <v>0.888926611214848</v>
      </c>
      <c r="X1982" s="63" t="n">
        <f aca="false">IFERROR(T1982/F1982,0)</f>
        <v>0.0319696712499293</v>
      </c>
      <c r="Y1982" s="63" t="n">
        <f aca="false">IFERROR(G1982/F1982,0)</f>
        <v>0.202172805975216</v>
      </c>
      <c r="Z1982" s="59" t="n">
        <f aca="false">IF(E1982&gt;0,F1982*1000000000/E1982,"")</f>
        <v>2483.55179187777</v>
      </c>
      <c r="AA1982" s="63" t="n">
        <f aca="false">IFERROR((R1982+S1982+J1982)/F1982,0)</f>
        <v>1</v>
      </c>
      <c r="AB1982" s="0" t="str">
        <f aca="false">A1982&amp;"|"&amp;D1982</f>
        <v>Thailand|2017</v>
      </c>
    </row>
    <row r="1983" customFormat="false" ht="15" hidden="false" customHeight="false" outlineLevel="0" collapsed="false">
      <c r="A1983" s="0" t="s">
        <v>370</v>
      </c>
      <c r="B1983" s="0" t="s">
        <v>609</v>
      </c>
      <c r="C1983" s="0" t="s">
        <v>127</v>
      </c>
      <c r="D1983" s="0" t="n">
        <v>2018</v>
      </c>
      <c r="E1983" s="59" t="n">
        <v>71376081</v>
      </c>
      <c r="F1983" s="60" t="n">
        <v>177.76</v>
      </c>
      <c r="G1983" s="61" t="n">
        <v>35.8</v>
      </c>
      <c r="H1983" s="61" t="n">
        <v>116.26</v>
      </c>
      <c r="I1983" s="61" t="n">
        <v>0.18</v>
      </c>
      <c r="J1983" s="61" t="n">
        <v>0</v>
      </c>
      <c r="K1983" s="61" t="n">
        <v>7.6</v>
      </c>
      <c r="L1983" s="61" t="n">
        <v>4.54</v>
      </c>
      <c r="M1983" s="61" t="n">
        <v>1.64</v>
      </c>
      <c r="N1983" s="61" t="n">
        <v>11.74</v>
      </c>
      <c r="O1983" s="61" t="n">
        <v>0</v>
      </c>
      <c r="P1983" s="62" t="n">
        <v>567.8</v>
      </c>
      <c r="Q1983" s="0" t="n">
        <v>1</v>
      </c>
      <c r="R1983" s="60" t="n">
        <f aca="false">G1983+H1983+I1983</f>
        <v>152.24</v>
      </c>
      <c r="S1983" s="60" t="n">
        <f aca="false">K1983+L1983+M1983+N1983+O1983</f>
        <v>25.52</v>
      </c>
      <c r="T1983" s="60" t="n">
        <f aca="false">L1983+M1983</f>
        <v>6.18</v>
      </c>
      <c r="U1983" s="60" t="n">
        <f aca="false">S1983+J1983</f>
        <v>25.52</v>
      </c>
      <c r="V1983" s="63" t="n">
        <f aca="false">IFERROR(S1983/F1983,0)</f>
        <v>0.143564356435644</v>
      </c>
      <c r="W1983" s="63" t="n">
        <f aca="false">IFERROR(R1983/F1983,0)</f>
        <v>0.856435643564357</v>
      </c>
      <c r="X1983" s="63" t="n">
        <f aca="false">IFERROR(T1983/F1983,0)</f>
        <v>0.0347659765976598</v>
      </c>
      <c r="Y1983" s="63" t="n">
        <f aca="false">IFERROR(G1983/F1983,0)</f>
        <v>0.201395139513951</v>
      </c>
      <c r="Z1983" s="59" t="n">
        <f aca="false">IF(E1983&gt;0,F1983*1000000000/E1983,"")</f>
        <v>2490.47016184596</v>
      </c>
      <c r="AA1983" s="63" t="n">
        <f aca="false">IFERROR((R1983+S1983+J1983)/F1983,0)</f>
        <v>1</v>
      </c>
      <c r="AB1983" s="0" t="str">
        <f aca="false">A1983&amp;"|"&amp;D1983</f>
        <v>Thailand|2018</v>
      </c>
    </row>
    <row r="1984" customFormat="false" ht="15" hidden="false" customHeight="false" outlineLevel="0" collapsed="false">
      <c r="A1984" s="0" t="s">
        <v>370</v>
      </c>
      <c r="B1984" s="0" t="s">
        <v>609</v>
      </c>
      <c r="C1984" s="0" t="s">
        <v>127</v>
      </c>
      <c r="D1984" s="0" t="n">
        <v>2019</v>
      </c>
      <c r="E1984" s="59" t="n">
        <v>71522264</v>
      </c>
      <c r="F1984" s="60" t="n">
        <v>186.51</v>
      </c>
      <c r="G1984" s="61" t="n">
        <v>35.83</v>
      </c>
      <c r="H1984" s="61" t="n">
        <v>121.84</v>
      </c>
      <c r="I1984" s="61" t="n">
        <v>1.12</v>
      </c>
      <c r="J1984" s="61" t="n">
        <v>0</v>
      </c>
      <c r="K1984" s="61" t="n">
        <v>6.31</v>
      </c>
      <c r="L1984" s="61" t="n">
        <v>5.15</v>
      </c>
      <c r="M1984" s="61" t="n">
        <v>3.67</v>
      </c>
      <c r="N1984" s="61" t="n">
        <v>12.59</v>
      </c>
      <c r="O1984" s="61" t="n">
        <v>0</v>
      </c>
      <c r="P1984" s="62" t="n">
        <v>562.3</v>
      </c>
      <c r="Q1984" s="0" t="n">
        <v>1</v>
      </c>
      <c r="R1984" s="60" t="n">
        <f aca="false">G1984+H1984+I1984</f>
        <v>158.79</v>
      </c>
      <c r="S1984" s="60" t="n">
        <f aca="false">K1984+L1984+M1984+N1984+O1984</f>
        <v>27.72</v>
      </c>
      <c r="T1984" s="60" t="n">
        <f aca="false">L1984+M1984</f>
        <v>8.82</v>
      </c>
      <c r="U1984" s="60" t="n">
        <f aca="false">S1984+J1984</f>
        <v>27.72</v>
      </c>
      <c r="V1984" s="63" t="n">
        <f aca="false">IFERROR(S1984/F1984,0)</f>
        <v>0.148624738619913</v>
      </c>
      <c r="W1984" s="63" t="n">
        <f aca="false">IFERROR(R1984/F1984,0)</f>
        <v>0.851375261380087</v>
      </c>
      <c r="X1984" s="63" t="n">
        <f aca="false">IFERROR(T1984/F1984,0)</f>
        <v>0.0472896895608815</v>
      </c>
      <c r="Y1984" s="63" t="n">
        <f aca="false">IFERROR(G1984/F1984,0)</f>
        <v>0.192107661787572</v>
      </c>
      <c r="Z1984" s="59" t="n">
        <f aca="false">IF(E1984&gt;0,F1984*1000000000/E1984,"")</f>
        <v>2607.71946480889</v>
      </c>
      <c r="AA1984" s="63" t="n">
        <f aca="false">IFERROR((R1984+S1984+J1984)/F1984,0)</f>
        <v>1</v>
      </c>
      <c r="AB1984" s="0" t="str">
        <f aca="false">A1984&amp;"|"&amp;D1984</f>
        <v>Thailand|2019</v>
      </c>
    </row>
    <row r="1985" customFormat="false" ht="15" hidden="false" customHeight="false" outlineLevel="0" collapsed="false">
      <c r="A1985" s="0" t="s">
        <v>370</v>
      </c>
      <c r="B1985" s="0" t="s">
        <v>609</v>
      </c>
      <c r="C1985" s="0" t="s">
        <v>127</v>
      </c>
      <c r="D1985" s="0" t="n">
        <v>2020</v>
      </c>
      <c r="E1985" s="59" t="n">
        <v>71641484</v>
      </c>
      <c r="F1985" s="60" t="n">
        <v>176.48</v>
      </c>
      <c r="G1985" s="61" t="n">
        <v>36.82</v>
      </c>
      <c r="H1985" s="61" t="n">
        <v>113.86</v>
      </c>
      <c r="I1985" s="61" t="n">
        <v>0.72</v>
      </c>
      <c r="J1985" s="61" t="n">
        <v>0</v>
      </c>
      <c r="K1985" s="61" t="n">
        <v>4.54</v>
      </c>
      <c r="L1985" s="61" t="n">
        <v>5.03</v>
      </c>
      <c r="M1985" s="61" t="n">
        <v>3.22</v>
      </c>
      <c r="N1985" s="61" t="n">
        <v>12.29</v>
      </c>
      <c r="O1985" s="61" t="n">
        <v>0</v>
      </c>
      <c r="P1985" s="62" t="n">
        <v>570.5</v>
      </c>
      <c r="Q1985" s="0" t="n">
        <v>1</v>
      </c>
      <c r="R1985" s="60" t="n">
        <f aca="false">G1985+H1985+I1985</f>
        <v>151.4</v>
      </c>
      <c r="S1985" s="60" t="n">
        <f aca="false">K1985+L1985+M1985+N1985+O1985</f>
        <v>25.08</v>
      </c>
      <c r="T1985" s="60" t="n">
        <f aca="false">L1985+M1985</f>
        <v>8.25</v>
      </c>
      <c r="U1985" s="60" t="n">
        <f aca="false">S1985+J1985</f>
        <v>25.08</v>
      </c>
      <c r="V1985" s="63" t="n">
        <f aca="false">IFERROR(S1985/F1985,0)</f>
        <v>0.142112420670898</v>
      </c>
      <c r="W1985" s="63" t="n">
        <f aca="false">IFERROR(R1985/F1985,0)</f>
        <v>0.857887579329103</v>
      </c>
      <c r="X1985" s="63" t="n">
        <f aca="false">IFERROR(T1985/F1985,0)</f>
        <v>0.0467475067996374</v>
      </c>
      <c r="Y1985" s="63" t="n">
        <f aca="false">IFERROR(G1985/F1985,0)</f>
        <v>0.208635539437897</v>
      </c>
      <c r="Z1985" s="59" t="n">
        <f aca="false">IF(E1985&gt;0,F1985*1000000000/E1985,"")</f>
        <v>2463.37722429089</v>
      </c>
      <c r="AA1985" s="63" t="n">
        <f aca="false">IFERROR((R1985+S1985+J1985)/F1985,0)</f>
        <v>1</v>
      </c>
      <c r="AB1985" s="0" t="str">
        <f aca="false">A1985&amp;"|"&amp;D1985</f>
        <v>Thailand|2020</v>
      </c>
    </row>
    <row r="1986" customFormat="false" ht="15" hidden="false" customHeight="false" outlineLevel="0" collapsed="false">
      <c r="A1986" s="0" t="s">
        <v>370</v>
      </c>
      <c r="B1986" s="0" t="s">
        <v>609</v>
      </c>
      <c r="C1986" s="0" t="s">
        <v>127</v>
      </c>
      <c r="D1986" s="0" t="n">
        <v>2021</v>
      </c>
      <c r="E1986" s="59" t="n">
        <v>71727338</v>
      </c>
      <c r="F1986" s="60" t="n">
        <v>176.36</v>
      </c>
      <c r="G1986" s="61" t="n">
        <v>36.06</v>
      </c>
      <c r="H1986" s="61" t="n">
        <v>113.11</v>
      </c>
      <c r="I1986" s="61" t="n">
        <v>0.72</v>
      </c>
      <c r="J1986" s="61" t="n">
        <v>0</v>
      </c>
      <c r="K1986" s="61" t="n">
        <v>4.54</v>
      </c>
      <c r="L1986" s="61" t="n">
        <v>4.99</v>
      </c>
      <c r="M1986" s="61" t="n">
        <v>3.53</v>
      </c>
      <c r="N1986" s="61" t="n">
        <v>13.41</v>
      </c>
      <c r="O1986" s="61" t="n">
        <v>0</v>
      </c>
      <c r="P1986" s="62" t="n">
        <v>566.1</v>
      </c>
      <c r="Q1986" s="0" t="n">
        <v>1</v>
      </c>
      <c r="R1986" s="60" t="n">
        <f aca="false">G1986+H1986+I1986</f>
        <v>149.89</v>
      </c>
      <c r="S1986" s="60" t="n">
        <f aca="false">K1986+L1986+M1986+N1986+O1986</f>
        <v>26.47</v>
      </c>
      <c r="T1986" s="60" t="n">
        <f aca="false">L1986+M1986</f>
        <v>8.52</v>
      </c>
      <c r="U1986" s="60" t="n">
        <f aca="false">S1986+J1986</f>
        <v>26.47</v>
      </c>
      <c r="V1986" s="63" t="n">
        <f aca="false">IFERROR(S1986/F1986,0)</f>
        <v>0.150090723520073</v>
      </c>
      <c r="W1986" s="63" t="n">
        <f aca="false">IFERROR(R1986/F1986,0)</f>
        <v>0.849909276479927</v>
      </c>
      <c r="X1986" s="63" t="n">
        <f aca="false">IFERROR(T1986/F1986,0)</f>
        <v>0.0483102744386482</v>
      </c>
      <c r="Y1986" s="63" t="n">
        <f aca="false">IFERROR(G1986/F1986,0)</f>
        <v>0.204468133363575</v>
      </c>
      <c r="Z1986" s="59" t="n">
        <f aca="false">IF(E1986&gt;0,F1986*1000000000/E1986,"")</f>
        <v>2458.75568392068</v>
      </c>
      <c r="AA1986" s="63" t="n">
        <f aca="false">IFERROR((R1986+S1986+J1986)/F1986,0)</f>
        <v>1</v>
      </c>
      <c r="AB1986" s="0" t="str">
        <f aca="false">A1986&amp;"|"&amp;D1986</f>
        <v>Thailand|2021</v>
      </c>
    </row>
    <row r="1987" customFormat="false" ht="15" hidden="false" customHeight="false" outlineLevel="0" collapsed="false">
      <c r="A1987" s="0" t="s">
        <v>370</v>
      </c>
      <c r="B1987" s="0" t="s">
        <v>609</v>
      </c>
      <c r="C1987" s="0" t="s">
        <v>127</v>
      </c>
      <c r="D1987" s="0" t="n">
        <v>2022</v>
      </c>
      <c r="E1987" s="59" t="n">
        <v>71735321</v>
      </c>
      <c r="F1987" s="60" t="n">
        <v>180.37</v>
      </c>
      <c r="G1987" s="61" t="n">
        <v>35.52</v>
      </c>
      <c r="H1987" s="61" t="n">
        <v>114.64</v>
      </c>
      <c r="I1987" s="61" t="n">
        <v>1.73</v>
      </c>
      <c r="J1987" s="61" t="n">
        <v>0</v>
      </c>
      <c r="K1987" s="61" t="n">
        <v>6.6</v>
      </c>
      <c r="L1987" s="61" t="n">
        <v>5.03</v>
      </c>
      <c r="M1987" s="61" t="n">
        <v>2.99</v>
      </c>
      <c r="N1987" s="61" t="n">
        <v>13.86</v>
      </c>
      <c r="O1987" s="61" t="n">
        <v>0</v>
      </c>
      <c r="P1987" s="62" t="n">
        <v>560.3</v>
      </c>
      <c r="Q1987" s="0" t="n">
        <v>1</v>
      </c>
      <c r="R1987" s="60" t="n">
        <f aca="false">G1987+H1987+I1987</f>
        <v>151.89</v>
      </c>
      <c r="S1987" s="60" t="n">
        <f aca="false">K1987+L1987+M1987+N1987+O1987</f>
        <v>28.48</v>
      </c>
      <c r="T1987" s="60" t="n">
        <f aca="false">L1987+M1987</f>
        <v>8.02</v>
      </c>
      <c r="U1987" s="60" t="n">
        <f aca="false">S1987+J1987</f>
        <v>28.48</v>
      </c>
      <c r="V1987" s="63" t="n">
        <f aca="false">IFERROR(S1987/F1987,0)</f>
        <v>0.157897654820646</v>
      </c>
      <c r="W1987" s="63" t="n">
        <f aca="false">IFERROR(R1987/F1987,0)</f>
        <v>0.842102345179354</v>
      </c>
      <c r="X1987" s="63" t="n">
        <f aca="false">IFERROR(T1987/F1987,0)</f>
        <v>0.0444641570105893</v>
      </c>
      <c r="Y1987" s="63" t="n">
        <f aca="false">IFERROR(G1987/F1987,0)</f>
        <v>0.196928535787548</v>
      </c>
      <c r="Z1987" s="59" t="n">
        <f aca="false">IF(E1987&gt;0,F1987*1000000000/E1987,"")</f>
        <v>2514.3820015805</v>
      </c>
      <c r="AA1987" s="63" t="n">
        <f aca="false">IFERROR((R1987+S1987+J1987)/F1987,0)</f>
        <v>1</v>
      </c>
      <c r="AB1987" s="0" t="str">
        <f aca="false">A1987&amp;"|"&amp;D1987</f>
        <v>Thailand|2022</v>
      </c>
    </row>
    <row r="1988" customFormat="false" ht="15" hidden="false" customHeight="false" outlineLevel="0" collapsed="false">
      <c r="A1988" s="0" t="s">
        <v>370</v>
      </c>
      <c r="B1988" s="0" t="s">
        <v>609</v>
      </c>
      <c r="C1988" s="0" t="s">
        <v>127</v>
      </c>
      <c r="D1988" s="0" t="n">
        <v>2023</v>
      </c>
      <c r="E1988" s="59" t="n">
        <v>71702436</v>
      </c>
      <c r="F1988" s="60" t="n">
        <v>190.48</v>
      </c>
      <c r="G1988" s="61" t="n">
        <v>30.43</v>
      </c>
      <c r="H1988" s="61" t="n">
        <v>129.4</v>
      </c>
      <c r="I1988" s="61" t="n">
        <v>0.89</v>
      </c>
      <c r="J1988" s="61" t="n">
        <v>0</v>
      </c>
      <c r="K1988" s="61" t="n">
        <v>6.59</v>
      </c>
      <c r="L1988" s="61" t="n">
        <v>5.14</v>
      </c>
      <c r="M1988" s="61" t="n">
        <v>3.74</v>
      </c>
      <c r="N1988" s="61" t="n">
        <v>14.29</v>
      </c>
      <c r="O1988" s="61" t="n">
        <v>0</v>
      </c>
      <c r="P1988" s="62" t="n">
        <v>549.2</v>
      </c>
      <c r="Q1988" s="0" t="n">
        <v>1</v>
      </c>
      <c r="R1988" s="60" t="n">
        <f aca="false">G1988+H1988+I1988</f>
        <v>160.72</v>
      </c>
      <c r="S1988" s="60" t="n">
        <f aca="false">K1988+L1988+M1988+N1988+O1988</f>
        <v>29.76</v>
      </c>
      <c r="T1988" s="60" t="n">
        <f aca="false">L1988+M1988</f>
        <v>8.88</v>
      </c>
      <c r="U1988" s="60" t="n">
        <f aca="false">S1988+J1988</f>
        <v>29.76</v>
      </c>
      <c r="V1988" s="63" t="n">
        <f aca="false">IFERROR(S1988/F1988,0)</f>
        <v>0.156236875262495</v>
      </c>
      <c r="W1988" s="63" t="n">
        <f aca="false">IFERROR(R1988/F1988,0)</f>
        <v>0.843763124737505</v>
      </c>
      <c r="X1988" s="63" t="n">
        <f aca="false">IFERROR(T1988/F1988,0)</f>
        <v>0.0466190676186476</v>
      </c>
      <c r="Y1988" s="63" t="n">
        <f aca="false">IFERROR(G1988/F1988,0)</f>
        <v>0.159754304913902</v>
      </c>
      <c r="Z1988" s="59" t="n">
        <f aca="false">IF(E1988&gt;0,F1988*1000000000/E1988,"")</f>
        <v>2656.53457017834</v>
      </c>
      <c r="AA1988" s="63" t="n">
        <f aca="false">IFERROR((R1988+S1988+J1988)/F1988,0)</f>
        <v>1</v>
      </c>
      <c r="AB1988" s="0" t="str">
        <f aca="false">A1988&amp;"|"&amp;D1988</f>
        <v>Thailand|2023</v>
      </c>
    </row>
    <row r="1989" customFormat="false" ht="15" hidden="false" customHeight="false" outlineLevel="0" collapsed="false">
      <c r="A1989" s="0" t="s">
        <v>370</v>
      </c>
      <c r="B1989" s="0" t="s">
        <v>609</v>
      </c>
      <c r="C1989" s="0" t="s">
        <v>127</v>
      </c>
      <c r="D1989" s="0" t="n">
        <v>2024</v>
      </c>
      <c r="E1989" s="59" t="n">
        <v>71668010</v>
      </c>
      <c r="F1989" s="60" t="n">
        <v>199.52</v>
      </c>
      <c r="G1989" s="61" t="n">
        <v>33.26</v>
      </c>
      <c r="H1989" s="61" t="n">
        <v>136.37</v>
      </c>
      <c r="I1989" s="61" t="n">
        <v>0.28</v>
      </c>
      <c r="J1989" s="61" t="n">
        <v>0</v>
      </c>
      <c r="K1989" s="61" t="n">
        <v>6.41</v>
      </c>
      <c r="L1989" s="61" t="n">
        <v>5.43</v>
      </c>
      <c r="M1989" s="61" t="n">
        <v>3.38</v>
      </c>
      <c r="N1989" s="61" t="n">
        <v>14.39</v>
      </c>
      <c r="O1989" s="61" t="n">
        <v>0</v>
      </c>
      <c r="P1989" s="62" t="n">
        <v>554.7</v>
      </c>
      <c r="Q1989" s="0" t="n">
        <v>1</v>
      </c>
      <c r="R1989" s="60" t="n">
        <f aca="false">G1989+H1989+I1989</f>
        <v>169.91</v>
      </c>
      <c r="S1989" s="60" t="n">
        <f aca="false">K1989+L1989+M1989+N1989+O1989</f>
        <v>29.61</v>
      </c>
      <c r="T1989" s="60" t="n">
        <f aca="false">L1989+M1989</f>
        <v>8.81</v>
      </c>
      <c r="U1989" s="60" t="n">
        <f aca="false">S1989+J1989</f>
        <v>29.61</v>
      </c>
      <c r="V1989" s="63" t="n">
        <f aca="false">IFERROR(S1989/F1989,0)</f>
        <v>0.148406174819567</v>
      </c>
      <c r="W1989" s="63" t="n">
        <f aca="false">IFERROR(R1989/F1989,0)</f>
        <v>0.851593825180433</v>
      </c>
      <c r="X1989" s="63" t="n">
        <f aca="false">IFERROR(T1989/F1989,0)</f>
        <v>0.0441559743384122</v>
      </c>
      <c r="Y1989" s="63" t="n">
        <f aca="false">IFERROR(G1989/F1989,0)</f>
        <v>0.166700080192462</v>
      </c>
      <c r="Z1989" s="59" t="n">
        <f aca="false">IF(E1989&gt;0,F1989*1000000000/E1989,"")</f>
        <v>2783.94781716417</v>
      </c>
      <c r="AA1989" s="63" t="n">
        <f aca="false">IFERROR((R1989+S1989+J1989)/F1989,0)</f>
        <v>1</v>
      </c>
      <c r="AB1989" s="0" t="str">
        <f aca="false">A1989&amp;"|"&amp;D1989</f>
        <v>Thailand|2024</v>
      </c>
    </row>
    <row r="1990" customFormat="false" ht="15" hidden="false" customHeight="false" outlineLevel="0" collapsed="false">
      <c r="A1990" s="0" t="s">
        <v>370</v>
      </c>
      <c r="B1990" s="0" t="s">
        <v>609</v>
      </c>
      <c r="C1990" s="0" t="s">
        <v>127</v>
      </c>
      <c r="D1990" s="0" t="n">
        <v>2025</v>
      </c>
      <c r="E1990" s="59" t="n">
        <v>71619866</v>
      </c>
      <c r="F1990" s="60" t="n">
        <v>188.24</v>
      </c>
      <c r="G1990" s="61" t="n">
        <v>33.56</v>
      </c>
      <c r="H1990" s="61" t="n">
        <v>123.34</v>
      </c>
      <c r="I1990" s="61" t="n">
        <v>0.14</v>
      </c>
      <c r="J1990" s="61" t="n">
        <v>0</v>
      </c>
      <c r="K1990" s="61" t="n">
        <v>7.62</v>
      </c>
      <c r="L1990" s="61" t="n">
        <v>9.98</v>
      </c>
      <c r="M1990" s="61" t="n">
        <v>3.41</v>
      </c>
      <c r="N1990" s="61" t="n">
        <v>10.19</v>
      </c>
      <c r="O1990" s="61" t="n">
        <v>0</v>
      </c>
      <c r="P1990" s="62" t="n">
        <v>545.7</v>
      </c>
      <c r="Q1990" s="0" t="n">
        <v>2</v>
      </c>
      <c r="R1990" s="60" t="n">
        <f aca="false">G1990+H1990+I1990</f>
        <v>157.04</v>
      </c>
      <c r="S1990" s="60" t="n">
        <f aca="false">K1990+L1990+M1990+N1990+O1990</f>
        <v>31.2</v>
      </c>
      <c r="T1990" s="60" t="n">
        <f aca="false">L1990+M1990</f>
        <v>13.39</v>
      </c>
      <c r="U1990" s="60" t="n">
        <f aca="false">S1990+J1990</f>
        <v>31.2</v>
      </c>
      <c r="V1990" s="63" t="n">
        <f aca="false">IFERROR(S1990/F1990,0)</f>
        <v>0.165745856353591</v>
      </c>
      <c r="W1990" s="63" t="n">
        <f aca="false">IFERROR(R1990/F1990,0)</f>
        <v>0.834254143646409</v>
      </c>
      <c r="X1990" s="63" t="n">
        <f aca="false">IFERROR(T1990/F1990,0)</f>
        <v>0.0711325966850829</v>
      </c>
      <c r="Y1990" s="63" t="n">
        <f aca="false">IFERROR(G1990/F1990,0)</f>
        <v>0.178283042923927</v>
      </c>
      <c r="Z1990" s="59" t="n">
        <f aca="false">IF(E1990&gt;0,F1990*1000000000/E1990,"")</f>
        <v>2628.32103036886</v>
      </c>
      <c r="AA1990" s="63" t="n">
        <f aca="false">IFERROR((R1990+S1990+J1990)/F1990,0)</f>
        <v>1</v>
      </c>
      <c r="AB1990" s="0" t="str">
        <f aca="false">A1990&amp;"|"&amp;D1990</f>
        <v>Thailand|2025</v>
      </c>
    </row>
    <row r="1991" customFormat="false" ht="15" hidden="false" customHeight="false" outlineLevel="0" collapsed="false">
      <c r="A1991" s="0" t="s">
        <v>371</v>
      </c>
      <c r="B1991" s="0" t="s">
        <v>610</v>
      </c>
      <c r="C1991" s="0" t="s">
        <v>127</v>
      </c>
      <c r="D1991" s="0" t="n">
        <v>2015</v>
      </c>
      <c r="E1991" s="59" t="n">
        <v>7071500</v>
      </c>
      <c r="F1991" s="60" t="n">
        <v>0.44</v>
      </c>
      <c r="G1991" s="61" t="n">
        <v>0</v>
      </c>
      <c r="H1991" s="61" t="n">
        <v>0.18</v>
      </c>
      <c r="I1991" s="61" t="n">
        <v>0.2</v>
      </c>
      <c r="J1991" s="61" t="n">
        <v>0</v>
      </c>
      <c r="K1991" s="61" t="n">
        <v>0.06</v>
      </c>
      <c r="L1991" s="61" t="n">
        <v>0</v>
      </c>
      <c r="M1991" s="61" t="n">
        <v>0</v>
      </c>
      <c r="N1991" s="61" t="n">
        <v>0</v>
      </c>
      <c r="O1991" s="61" t="n">
        <v>0</v>
      </c>
      <c r="P1991" s="62" t="n">
        <v>522.7</v>
      </c>
      <c r="Q1991" s="0" t="n">
        <v>0</v>
      </c>
      <c r="R1991" s="60" t="n">
        <f aca="false">G1991+H1991+I1991</f>
        <v>0.38</v>
      </c>
      <c r="S1991" s="60" t="n">
        <f aca="false">K1991+L1991+M1991+N1991+O1991</f>
        <v>0.06</v>
      </c>
      <c r="T1991" s="60" t="n">
        <f aca="false">L1991+M1991</f>
        <v>0</v>
      </c>
      <c r="U1991" s="60" t="n">
        <f aca="false">S1991+J1991</f>
        <v>0.06</v>
      </c>
      <c r="V1991" s="63" t="n">
        <f aca="false">IFERROR(S1991/F1991,0)</f>
        <v>0.136363636363636</v>
      </c>
      <c r="W1991" s="63" t="n">
        <f aca="false">IFERROR(R1991/F1991,0)</f>
        <v>0.863636363636364</v>
      </c>
      <c r="X1991" s="63" t="n">
        <f aca="false">IFERROR(T1991/F1991,0)</f>
        <v>0</v>
      </c>
      <c r="Y1991" s="63" t="n">
        <f aca="false">IFERROR(G1991/F1991,0)</f>
        <v>0</v>
      </c>
      <c r="Z1991" s="59" t="n">
        <f aca="false">IF(E1991&gt;0,F1991*1000000000/E1991,"")</f>
        <v>62.2215937212755</v>
      </c>
      <c r="AA1991" s="63" t="n">
        <f aca="false">IFERROR((R1991+S1991+J1991)/F1991,0)</f>
        <v>1</v>
      </c>
      <c r="AB1991" s="0" t="str">
        <f aca="false">A1991&amp;"|"&amp;D1991</f>
        <v>Togo|2015</v>
      </c>
    </row>
    <row r="1992" customFormat="false" ht="15" hidden="false" customHeight="false" outlineLevel="0" collapsed="false">
      <c r="A1992" s="0" t="s">
        <v>371</v>
      </c>
      <c r="B1992" s="0" t="s">
        <v>610</v>
      </c>
      <c r="C1992" s="0" t="s">
        <v>127</v>
      </c>
      <c r="D1992" s="0" t="n">
        <v>2016</v>
      </c>
      <c r="E1992" s="59" t="n">
        <v>7200883</v>
      </c>
      <c r="F1992" s="60" t="n">
        <v>0.94</v>
      </c>
      <c r="G1992" s="61" t="n">
        <v>0</v>
      </c>
      <c r="H1992" s="61" t="n">
        <v>0.03</v>
      </c>
      <c r="I1992" s="61" t="n">
        <v>0.71</v>
      </c>
      <c r="J1992" s="61" t="n">
        <v>0</v>
      </c>
      <c r="K1992" s="61" t="n">
        <v>0.2</v>
      </c>
      <c r="L1992" s="61" t="n">
        <v>0</v>
      </c>
      <c r="M1992" s="61" t="n">
        <v>0</v>
      </c>
      <c r="N1992" s="61" t="n">
        <v>0</v>
      </c>
      <c r="O1992" s="61" t="n">
        <v>0</v>
      </c>
      <c r="P1992" s="62" t="n">
        <v>521.3</v>
      </c>
      <c r="Q1992" s="0" t="n">
        <v>0</v>
      </c>
      <c r="R1992" s="60" t="n">
        <f aca="false">G1992+H1992+I1992</f>
        <v>0.74</v>
      </c>
      <c r="S1992" s="60" t="n">
        <f aca="false">K1992+L1992+M1992+N1992+O1992</f>
        <v>0.2</v>
      </c>
      <c r="T1992" s="60" t="n">
        <f aca="false">L1992+M1992</f>
        <v>0</v>
      </c>
      <c r="U1992" s="60" t="n">
        <f aca="false">S1992+J1992</f>
        <v>0.2</v>
      </c>
      <c r="V1992" s="63" t="n">
        <f aca="false">IFERROR(S1992/F1992,0)</f>
        <v>0.212765957446809</v>
      </c>
      <c r="W1992" s="63" t="n">
        <f aca="false">IFERROR(R1992/F1992,0)</f>
        <v>0.787234042553192</v>
      </c>
      <c r="X1992" s="63" t="n">
        <f aca="false">IFERROR(T1992/F1992,0)</f>
        <v>0</v>
      </c>
      <c r="Y1992" s="63" t="n">
        <f aca="false">IFERROR(G1992/F1992,0)</f>
        <v>0</v>
      </c>
      <c r="Z1992" s="59" t="n">
        <f aca="false">IF(E1992&gt;0,F1992*1000000000/E1992,"")</f>
        <v>130.539546330638</v>
      </c>
      <c r="AA1992" s="63" t="n">
        <f aca="false">IFERROR((R1992+S1992+J1992)/F1992,0)</f>
        <v>1</v>
      </c>
      <c r="AB1992" s="0" t="str">
        <f aca="false">A1992&amp;"|"&amp;D1992</f>
        <v>Togo|2016</v>
      </c>
    </row>
    <row r="1993" customFormat="false" ht="15" hidden="false" customHeight="false" outlineLevel="0" collapsed="false">
      <c r="A1993" s="0" t="s">
        <v>371</v>
      </c>
      <c r="B1993" s="0" t="s">
        <v>610</v>
      </c>
      <c r="C1993" s="0" t="s">
        <v>127</v>
      </c>
      <c r="D1993" s="0" t="n">
        <v>2017</v>
      </c>
      <c r="E1993" s="59" t="n">
        <v>7324379</v>
      </c>
      <c r="F1993" s="60" t="n">
        <v>0.81</v>
      </c>
      <c r="G1993" s="61" t="n">
        <v>0</v>
      </c>
      <c r="H1993" s="61" t="n">
        <v>0.13</v>
      </c>
      <c r="I1993" s="61" t="n">
        <v>0.47</v>
      </c>
      <c r="J1993" s="61" t="n">
        <v>0</v>
      </c>
      <c r="K1993" s="61" t="n">
        <v>0.21</v>
      </c>
      <c r="L1993" s="61" t="n">
        <v>0</v>
      </c>
      <c r="M1993" s="61" t="n">
        <v>0</v>
      </c>
      <c r="N1993" s="61" t="n">
        <v>0</v>
      </c>
      <c r="O1993" s="61" t="n">
        <v>0</v>
      </c>
      <c r="P1993" s="62" t="n">
        <v>481.5</v>
      </c>
      <c r="Q1993" s="0" t="n">
        <v>0</v>
      </c>
      <c r="R1993" s="60" t="n">
        <f aca="false">G1993+H1993+I1993</f>
        <v>0.6</v>
      </c>
      <c r="S1993" s="60" t="n">
        <f aca="false">K1993+L1993+M1993+N1993+O1993</f>
        <v>0.21</v>
      </c>
      <c r="T1993" s="60" t="n">
        <f aca="false">L1993+M1993</f>
        <v>0</v>
      </c>
      <c r="U1993" s="60" t="n">
        <f aca="false">S1993+J1993</f>
        <v>0.21</v>
      </c>
      <c r="V1993" s="63" t="n">
        <f aca="false">IFERROR(S1993/F1993,0)</f>
        <v>0.259259259259259</v>
      </c>
      <c r="W1993" s="63" t="n">
        <f aca="false">IFERROR(R1993/F1993,0)</f>
        <v>0.740740740740741</v>
      </c>
      <c r="X1993" s="63" t="n">
        <f aca="false">IFERROR(T1993/F1993,0)</f>
        <v>0</v>
      </c>
      <c r="Y1993" s="63" t="n">
        <f aca="false">IFERROR(G1993/F1993,0)</f>
        <v>0</v>
      </c>
      <c r="Z1993" s="59" t="n">
        <f aca="false">IF(E1993&gt;0,F1993*1000000000/E1993,"")</f>
        <v>110.589580358963</v>
      </c>
      <c r="AA1993" s="63" t="n">
        <f aca="false">IFERROR((R1993+S1993+J1993)/F1993,0)</f>
        <v>1</v>
      </c>
      <c r="AB1993" s="0" t="str">
        <f aca="false">A1993&amp;"|"&amp;D1993</f>
        <v>Togo|2017</v>
      </c>
    </row>
    <row r="1994" customFormat="false" ht="15" hidden="false" customHeight="false" outlineLevel="0" collapsed="false">
      <c r="A1994" s="0" t="s">
        <v>371</v>
      </c>
      <c r="B1994" s="0" t="s">
        <v>610</v>
      </c>
      <c r="C1994" s="0" t="s">
        <v>127</v>
      </c>
      <c r="D1994" s="0" t="n">
        <v>2018</v>
      </c>
      <c r="E1994" s="59" t="n">
        <v>7458205</v>
      </c>
      <c r="F1994" s="60" t="n">
        <v>0.6</v>
      </c>
      <c r="G1994" s="61" t="n">
        <v>0</v>
      </c>
      <c r="H1994" s="61" t="n">
        <v>0.21</v>
      </c>
      <c r="I1994" s="61" t="n">
        <v>0.18</v>
      </c>
      <c r="J1994" s="61" t="n">
        <v>0</v>
      </c>
      <c r="K1994" s="61" t="n">
        <v>0.2</v>
      </c>
      <c r="L1994" s="61" t="n">
        <v>0.01</v>
      </c>
      <c r="M1994" s="61" t="n">
        <v>0</v>
      </c>
      <c r="N1994" s="61" t="n">
        <v>0</v>
      </c>
      <c r="O1994" s="61" t="n">
        <v>0</v>
      </c>
      <c r="P1994" s="62" t="n">
        <v>400</v>
      </c>
      <c r="Q1994" s="0" t="n">
        <v>0</v>
      </c>
      <c r="R1994" s="60" t="n">
        <f aca="false">G1994+H1994+I1994</f>
        <v>0.39</v>
      </c>
      <c r="S1994" s="60" t="n">
        <f aca="false">K1994+L1994+M1994+N1994+O1994</f>
        <v>0.21</v>
      </c>
      <c r="T1994" s="60" t="n">
        <f aca="false">L1994+M1994</f>
        <v>0.01</v>
      </c>
      <c r="U1994" s="60" t="n">
        <f aca="false">S1994+J1994</f>
        <v>0.21</v>
      </c>
      <c r="V1994" s="63" t="n">
        <f aca="false">IFERROR(S1994/F1994,0)</f>
        <v>0.35</v>
      </c>
      <c r="W1994" s="63" t="n">
        <f aca="false">IFERROR(R1994/F1994,0)</f>
        <v>0.65</v>
      </c>
      <c r="X1994" s="63" t="n">
        <f aca="false">IFERROR(T1994/F1994,0)</f>
        <v>0.0166666666666667</v>
      </c>
      <c r="Y1994" s="63" t="n">
        <f aca="false">IFERROR(G1994/F1994,0)</f>
        <v>0</v>
      </c>
      <c r="Z1994" s="59" t="n">
        <f aca="false">IF(E1994&gt;0,F1994*1000000000/E1994,"")</f>
        <v>80.4483116245799</v>
      </c>
      <c r="AA1994" s="63" t="n">
        <f aca="false">IFERROR((R1994+S1994+J1994)/F1994,0)</f>
        <v>1</v>
      </c>
      <c r="AB1994" s="0" t="str">
        <f aca="false">A1994&amp;"|"&amp;D1994</f>
        <v>Togo|2018</v>
      </c>
    </row>
    <row r="1995" customFormat="false" ht="15" hidden="false" customHeight="false" outlineLevel="0" collapsed="false">
      <c r="A1995" s="0" t="s">
        <v>371</v>
      </c>
      <c r="B1995" s="0" t="s">
        <v>610</v>
      </c>
      <c r="C1995" s="0" t="s">
        <v>127</v>
      </c>
      <c r="D1995" s="0" t="n">
        <v>2019</v>
      </c>
      <c r="E1995" s="59" t="n">
        <v>7619916</v>
      </c>
      <c r="F1995" s="60" t="n">
        <v>0.61</v>
      </c>
      <c r="G1995" s="61" t="n">
        <v>0</v>
      </c>
      <c r="H1995" s="61" t="n">
        <v>0.46</v>
      </c>
      <c r="I1995" s="61" t="n">
        <v>0.02</v>
      </c>
      <c r="J1995" s="61" t="n">
        <v>0</v>
      </c>
      <c r="K1995" s="61" t="n">
        <v>0.12</v>
      </c>
      <c r="L1995" s="61" t="n">
        <v>0.01</v>
      </c>
      <c r="M1995" s="61" t="n">
        <v>0</v>
      </c>
      <c r="N1995" s="61" t="n">
        <v>0</v>
      </c>
      <c r="O1995" s="61" t="n">
        <v>0</v>
      </c>
      <c r="P1995" s="62" t="n">
        <v>459</v>
      </c>
      <c r="Q1995" s="0" t="n">
        <v>0</v>
      </c>
      <c r="R1995" s="60" t="n">
        <f aca="false">G1995+H1995+I1995</f>
        <v>0.48</v>
      </c>
      <c r="S1995" s="60" t="n">
        <f aca="false">K1995+L1995+M1995+N1995+O1995</f>
        <v>0.13</v>
      </c>
      <c r="T1995" s="60" t="n">
        <f aca="false">L1995+M1995</f>
        <v>0.01</v>
      </c>
      <c r="U1995" s="60" t="n">
        <f aca="false">S1995+J1995</f>
        <v>0.13</v>
      </c>
      <c r="V1995" s="63" t="n">
        <f aca="false">IFERROR(S1995/F1995,0)</f>
        <v>0.213114754098361</v>
      </c>
      <c r="W1995" s="63" t="n">
        <f aca="false">IFERROR(R1995/F1995,0)</f>
        <v>0.786885245901639</v>
      </c>
      <c r="X1995" s="63" t="n">
        <f aca="false">IFERROR(T1995/F1995,0)</f>
        <v>0.0163934426229508</v>
      </c>
      <c r="Y1995" s="63" t="n">
        <f aca="false">IFERROR(G1995/F1995,0)</f>
        <v>0</v>
      </c>
      <c r="Z1995" s="59" t="n">
        <f aca="false">IF(E1995&gt;0,F1995*1000000000/E1995,"")</f>
        <v>80.0533759164799</v>
      </c>
      <c r="AA1995" s="63" t="n">
        <f aca="false">IFERROR((R1995+S1995+J1995)/F1995,0)</f>
        <v>1</v>
      </c>
      <c r="AB1995" s="0" t="str">
        <f aca="false">A1995&amp;"|"&amp;D1995</f>
        <v>Togo|2019</v>
      </c>
    </row>
    <row r="1996" customFormat="false" ht="15" hidden="false" customHeight="false" outlineLevel="0" collapsed="false">
      <c r="A1996" s="0" t="s">
        <v>371</v>
      </c>
      <c r="B1996" s="0" t="s">
        <v>610</v>
      </c>
      <c r="C1996" s="0" t="s">
        <v>127</v>
      </c>
      <c r="D1996" s="0" t="n">
        <v>2020</v>
      </c>
      <c r="E1996" s="59" t="n">
        <v>7788058</v>
      </c>
      <c r="F1996" s="60" t="n">
        <v>0.61</v>
      </c>
      <c r="G1996" s="61" t="n">
        <v>0</v>
      </c>
      <c r="H1996" s="61" t="n">
        <v>0.46</v>
      </c>
      <c r="I1996" s="61" t="n">
        <v>0.06</v>
      </c>
      <c r="J1996" s="61" t="n">
        <v>0</v>
      </c>
      <c r="K1996" s="61" t="n">
        <v>0.08</v>
      </c>
      <c r="L1996" s="61" t="n">
        <v>0.01</v>
      </c>
      <c r="M1996" s="61" t="n">
        <v>0</v>
      </c>
      <c r="N1996" s="61" t="n">
        <v>0</v>
      </c>
      <c r="O1996" s="61" t="n">
        <v>0</v>
      </c>
      <c r="P1996" s="62" t="n">
        <v>508.2</v>
      </c>
      <c r="Q1996" s="0" t="n">
        <v>0</v>
      </c>
      <c r="R1996" s="60" t="n">
        <f aca="false">G1996+H1996+I1996</f>
        <v>0.52</v>
      </c>
      <c r="S1996" s="60" t="n">
        <f aca="false">K1996+L1996+M1996+N1996+O1996</f>
        <v>0.09</v>
      </c>
      <c r="T1996" s="60" t="n">
        <f aca="false">L1996+M1996</f>
        <v>0.01</v>
      </c>
      <c r="U1996" s="60" t="n">
        <f aca="false">S1996+J1996</f>
        <v>0.09</v>
      </c>
      <c r="V1996" s="63" t="n">
        <f aca="false">IFERROR(S1996/F1996,0)</f>
        <v>0.147540983606557</v>
      </c>
      <c r="W1996" s="63" t="n">
        <f aca="false">IFERROR(R1996/F1996,0)</f>
        <v>0.852459016393443</v>
      </c>
      <c r="X1996" s="63" t="n">
        <f aca="false">IFERROR(T1996/F1996,0)</f>
        <v>0.0163934426229508</v>
      </c>
      <c r="Y1996" s="63" t="n">
        <f aca="false">IFERROR(G1996/F1996,0)</f>
        <v>0</v>
      </c>
      <c r="Z1996" s="59" t="n">
        <f aca="false">IF(E1996&gt;0,F1996*1000000000/E1996,"")</f>
        <v>78.3250458586723</v>
      </c>
      <c r="AA1996" s="63" t="n">
        <f aca="false">IFERROR((R1996+S1996+J1996)/F1996,0)</f>
        <v>1</v>
      </c>
      <c r="AB1996" s="0" t="str">
        <f aca="false">A1996&amp;"|"&amp;D1996</f>
        <v>Togo|2020</v>
      </c>
    </row>
    <row r="1997" customFormat="false" ht="15" hidden="false" customHeight="false" outlineLevel="0" collapsed="false">
      <c r="A1997" s="0" t="s">
        <v>371</v>
      </c>
      <c r="B1997" s="0" t="s">
        <v>610</v>
      </c>
      <c r="C1997" s="0" t="s">
        <v>127</v>
      </c>
      <c r="D1997" s="0" t="n">
        <v>2021</v>
      </c>
      <c r="E1997" s="59" t="n">
        <v>7936185</v>
      </c>
      <c r="F1997" s="60" t="n">
        <v>0.71</v>
      </c>
      <c r="G1997" s="61" t="n">
        <v>0</v>
      </c>
      <c r="H1997" s="61" t="n">
        <v>0.48</v>
      </c>
      <c r="I1997" s="61" t="n">
        <v>0.07</v>
      </c>
      <c r="J1997" s="61" t="n">
        <v>0</v>
      </c>
      <c r="K1997" s="61" t="n">
        <v>0.09</v>
      </c>
      <c r="L1997" s="61" t="n">
        <v>0.07</v>
      </c>
      <c r="M1997" s="61" t="n">
        <v>0</v>
      </c>
      <c r="N1997" s="61" t="n">
        <v>0</v>
      </c>
      <c r="O1997" s="61" t="n">
        <v>0</v>
      </c>
      <c r="P1997" s="62" t="n">
        <v>464.8</v>
      </c>
      <c r="Q1997" s="0" t="n">
        <v>0</v>
      </c>
      <c r="R1997" s="60" t="n">
        <f aca="false">G1997+H1997+I1997</f>
        <v>0.55</v>
      </c>
      <c r="S1997" s="60" t="n">
        <f aca="false">K1997+L1997+M1997+N1997+O1997</f>
        <v>0.16</v>
      </c>
      <c r="T1997" s="60" t="n">
        <f aca="false">L1997+M1997</f>
        <v>0.07</v>
      </c>
      <c r="U1997" s="60" t="n">
        <f aca="false">S1997+J1997</f>
        <v>0.16</v>
      </c>
      <c r="V1997" s="63" t="n">
        <f aca="false">IFERROR(S1997/F1997,0)</f>
        <v>0.225352112676056</v>
      </c>
      <c r="W1997" s="63" t="n">
        <f aca="false">IFERROR(R1997/F1997,0)</f>
        <v>0.774647887323944</v>
      </c>
      <c r="X1997" s="63" t="n">
        <f aca="false">IFERROR(T1997/F1997,0)</f>
        <v>0.0985915492957747</v>
      </c>
      <c r="Y1997" s="63" t="n">
        <f aca="false">IFERROR(G1997/F1997,0)</f>
        <v>0</v>
      </c>
      <c r="Z1997" s="59" t="n">
        <f aca="false">IF(E1997&gt;0,F1997*1000000000/E1997,"")</f>
        <v>89.4636402755228</v>
      </c>
      <c r="AA1997" s="63" t="n">
        <f aca="false">IFERROR((R1997+S1997+J1997)/F1997,0)</f>
        <v>1</v>
      </c>
      <c r="AB1997" s="0" t="str">
        <f aca="false">A1997&amp;"|"&amp;D1997</f>
        <v>Togo|2021</v>
      </c>
    </row>
    <row r="1998" customFormat="false" ht="15" hidden="false" customHeight="false" outlineLevel="0" collapsed="false">
      <c r="A1998" s="0" t="s">
        <v>371</v>
      </c>
      <c r="B1998" s="0" t="s">
        <v>610</v>
      </c>
      <c r="C1998" s="0" t="s">
        <v>127</v>
      </c>
      <c r="D1998" s="0" t="n">
        <v>2022</v>
      </c>
      <c r="E1998" s="59" t="n">
        <v>8068616</v>
      </c>
      <c r="F1998" s="60" t="n">
        <v>0.9</v>
      </c>
      <c r="G1998" s="61" t="n">
        <v>0</v>
      </c>
      <c r="H1998" s="61" t="n">
        <v>0.65</v>
      </c>
      <c r="I1998" s="61" t="n">
        <v>0.07</v>
      </c>
      <c r="J1998" s="61" t="n">
        <v>0</v>
      </c>
      <c r="K1998" s="61" t="n">
        <v>0.08</v>
      </c>
      <c r="L1998" s="61" t="n">
        <v>0.1</v>
      </c>
      <c r="M1998" s="61" t="n">
        <v>0</v>
      </c>
      <c r="N1998" s="61" t="n">
        <v>0</v>
      </c>
      <c r="O1998" s="61" t="n">
        <v>0</v>
      </c>
      <c r="P1998" s="62" t="n">
        <v>477.8</v>
      </c>
      <c r="Q1998" s="0" t="n">
        <v>0</v>
      </c>
      <c r="R1998" s="60" t="n">
        <f aca="false">G1998+H1998+I1998</f>
        <v>0.72</v>
      </c>
      <c r="S1998" s="60" t="n">
        <f aca="false">K1998+L1998+M1998+N1998+O1998</f>
        <v>0.18</v>
      </c>
      <c r="T1998" s="60" t="n">
        <f aca="false">L1998+M1998</f>
        <v>0.1</v>
      </c>
      <c r="U1998" s="60" t="n">
        <f aca="false">S1998+J1998</f>
        <v>0.18</v>
      </c>
      <c r="V1998" s="63" t="n">
        <f aca="false">IFERROR(S1998/F1998,0)</f>
        <v>0.2</v>
      </c>
      <c r="W1998" s="63" t="n">
        <f aca="false">IFERROR(R1998/F1998,0)</f>
        <v>0.8</v>
      </c>
      <c r="X1998" s="63" t="n">
        <f aca="false">IFERROR(T1998/F1998,0)</f>
        <v>0.111111111111111</v>
      </c>
      <c r="Y1998" s="63" t="n">
        <f aca="false">IFERROR(G1998/F1998,0)</f>
        <v>0</v>
      </c>
      <c r="Z1998" s="59" t="n">
        <f aca="false">IF(E1998&gt;0,F1998*1000000000/E1998,"")</f>
        <v>111.543293174443</v>
      </c>
      <c r="AA1998" s="63" t="n">
        <f aca="false">IFERROR((R1998+S1998+J1998)/F1998,0)</f>
        <v>1</v>
      </c>
      <c r="AB1998" s="0" t="str">
        <f aca="false">A1998&amp;"|"&amp;D1998</f>
        <v>Togo|2022</v>
      </c>
    </row>
    <row r="1999" customFormat="false" ht="15" hidden="false" customHeight="false" outlineLevel="0" collapsed="false">
      <c r="A1999" s="0" t="s">
        <v>371</v>
      </c>
      <c r="B1999" s="0" t="s">
        <v>610</v>
      </c>
      <c r="C1999" s="0" t="s">
        <v>127</v>
      </c>
      <c r="D1999" s="0" t="n">
        <v>2023</v>
      </c>
      <c r="E1999" s="59" t="n">
        <v>8223853</v>
      </c>
      <c r="F1999" s="60" t="n">
        <v>0.71</v>
      </c>
      <c r="G1999" s="61" t="n">
        <v>0</v>
      </c>
      <c r="H1999" s="61" t="n">
        <v>0.52</v>
      </c>
      <c r="I1999" s="61" t="n">
        <v>0</v>
      </c>
      <c r="J1999" s="61" t="n">
        <v>0</v>
      </c>
      <c r="K1999" s="61" t="n">
        <v>0.08</v>
      </c>
      <c r="L1999" s="61" t="n">
        <v>0.11</v>
      </c>
      <c r="M1999" s="61" t="n">
        <v>0</v>
      </c>
      <c r="N1999" s="61" t="n">
        <v>0</v>
      </c>
      <c r="O1999" s="61" t="n">
        <v>0</v>
      </c>
      <c r="P1999" s="62" t="n">
        <v>436.6</v>
      </c>
      <c r="Q1999" s="0" t="n">
        <v>0</v>
      </c>
      <c r="R1999" s="60" t="n">
        <f aca="false">G1999+H1999+I1999</f>
        <v>0.52</v>
      </c>
      <c r="S1999" s="60" t="n">
        <f aca="false">K1999+L1999+M1999+N1999+O1999</f>
        <v>0.19</v>
      </c>
      <c r="T1999" s="60" t="n">
        <f aca="false">L1999+M1999</f>
        <v>0.11</v>
      </c>
      <c r="U1999" s="60" t="n">
        <f aca="false">S1999+J1999</f>
        <v>0.19</v>
      </c>
      <c r="V1999" s="63" t="n">
        <f aca="false">IFERROR(S1999/F1999,0)</f>
        <v>0.267605633802817</v>
      </c>
      <c r="W1999" s="63" t="n">
        <f aca="false">IFERROR(R1999/F1999,0)</f>
        <v>0.732394366197183</v>
      </c>
      <c r="X1999" s="63" t="n">
        <f aca="false">IFERROR(T1999/F1999,0)</f>
        <v>0.154929577464789</v>
      </c>
      <c r="Y1999" s="63" t="n">
        <f aca="false">IFERROR(G1999/F1999,0)</f>
        <v>0</v>
      </c>
      <c r="Z1999" s="59" t="n">
        <f aca="false">IF(E1999&gt;0,F1999*1000000000/E1999,"")</f>
        <v>86.334228007237</v>
      </c>
      <c r="AA1999" s="63" t="n">
        <f aca="false">IFERROR((R1999+S1999+J1999)/F1999,0)</f>
        <v>1</v>
      </c>
      <c r="AB1999" s="0" t="str">
        <f aca="false">A1999&amp;"|"&amp;D1999</f>
        <v>Togo|2023</v>
      </c>
    </row>
    <row r="2000" customFormat="false" ht="15" hidden="false" customHeight="false" outlineLevel="0" collapsed="false">
      <c r="A2000" s="0" t="s">
        <v>371</v>
      </c>
      <c r="B2000" s="0" t="s">
        <v>610</v>
      </c>
      <c r="C2000" s="0" t="s">
        <v>127</v>
      </c>
      <c r="D2000" s="0" t="n">
        <v>2024</v>
      </c>
      <c r="E2000" s="59" t="n">
        <v>8406554</v>
      </c>
      <c r="F2000" s="60" t="n">
        <v>0.71</v>
      </c>
      <c r="G2000" s="61" t="n">
        <v>0</v>
      </c>
      <c r="H2000" s="61" t="n">
        <v>0.5</v>
      </c>
      <c r="I2000" s="61" t="n">
        <v>0</v>
      </c>
      <c r="J2000" s="61" t="n">
        <v>0</v>
      </c>
      <c r="K2000" s="61" t="n">
        <v>0.08</v>
      </c>
      <c r="L2000" s="61" t="n">
        <v>0.13</v>
      </c>
      <c r="M2000" s="61" t="n">
        <v>0</v>
      </c>
      <c r="N2000" s="61" t="n">
        <v>0</v>
      </c>
      <c r="O2000" s="61" t="n">
        <v>0</v>
      </c>
      <c r="P2000" s="62" t="n">
        <v>422.5</v>
      </c>
      <c r="Q2000" s="0" t="n">
        <v>0</v>
      </c>
      <c r="R2000" s="60" t="n">
        <f aca="false">G2000+H2000+I2000</f>
        <v>0.5</v>
      </c>
      <c r="S2000" s="60" t="n">
        <f aca="false">K2000+L2000+M2000+N2000+O2000</f>
        <v>0.21</v>
      </c>
      <c r="T2000" s="60" t="n">
        <f aca="false">L2000+M2000</f>
        <v>0.13</v>
      </c>
      <c r="U2000" s="60" t="n">
        <f aca="false">S2000+J2000</f>
        <v>0.21</v>
      </c>
      <c r="V2000" s="63" t="n">
        <f aca="false">IFERROR(S2000/F2000,0)</f>
        <v>0.295774647887324</v>
      </c>
      <c r="W2000" s="63" t="n">
        <f aca="false">IFERROR(R2000/F2000,0)</f>
        <v>0.704225352112676</v>
      </c>
      <c r="X2000" s="63" t="n">
        <f aca="false">IFERROR(T2000/F2000,0)</f>
        <v>0.183098591549296</v>
      </c>
      <c r="Y2000" s="63" t="n">
        <f aca="false">IFERROR(G2000/F2000,0)</f>
        <v>0</v>
      </c>
      <c r="Z2000" s="59" t="n">
        <f aca="false">IF(E2000&gt;0,F2000*1000000000/E2000,"")</f>
        <v>84.4579122432331</v>
      </c>
      <c r="AA2000" s="63" t="n">
        <f aca="false">IFERROR((R2000+S2000+J2000)/F2000,0)</f>
        <v>1</v>
      </c>
      <c r="AB2000" s="0" t="str">
        <f aca="false">A2000&amp;"|"&amp;D2000</f>
        <v>Togo|2024</v>
      </c>
    </row>
    <row r="2001" customFormat="false" ht="15" hidden="false" customHeight="false" outlineLevel="0" collapsed="false">
      <c r="A2001" s="0" t="s">
        <v>372</v>
      </c>
      <c r="B2001" s="0" t="s">
        <v>611</v>
      </c>
      <c r="C2001" s="0" t="s">
        <v>127</v>
      </c>
      <c r="D2001" s="0" t="n">
        <v>2015</v>
      </c>
      <c r="E2001" s="59" t="n">
        <v>106110</v>
      </c>
      <c r="F2001" s="60" t="n">
        <v>0.05</v>
      </c>
      <c r="G2001" s="61" t="n">
        <v>0</v>
      </c>
      <c r="H2001" s="61" t="n">
        <v>0</v>
      </c>
      <c r="I2001" s="61" t="n">
        <v>0.05</v>
      </c>
      <c r="J2001" s="61" t="n">
        <v>0</v>
      </c>
      <c r="K2001" s="61" t="n">
        <v>0</v>
      </c>
      <c r="L2001" s="61" t="n">
        <v>0</v>
      </c>
      <c r="M2001" s="61" t="n">
        <v>0</v>
      </c>
      <c r="N2001" s="61" t="n">
        <v>0</v>
      </c>
      <c r="O2001" s="61" t="n">
        <v>0</v>
      </c>
      <c r="P2001" s="62" t="n">
        <v>600</v>
      </c>
      <c r="Q2001" s="0" t="n">
        <v>0</v>
      </c>
      <c r="R2001" s="60" t="n">
        <f aca="false">G2001+H2001+I2001</f>
        <v>0.05</v>
      </c>
      <c r="S2001" s="60" t="n">
        <f aca="false">K2001+L2001+M2001+N2001+O2001</f>
        <v>0</v>
      </c>
      <c r="T2001" s="60" t="n">
        <f aca="false">L2001+M2001</f>
        <v>0</v>
      </c>
      <c r="U2001" s="60" t="n">
        <f aca="false">S2001+J2001</f>
        <v>0</v>
      </c>
      <c r="V2001" s="63" t="n">
        <f aca="false">IFERROR(S2001/F2001,0)</f>
        <v>0</v>
      </c>
      <c r="W2001" s="63" t="n">
        <f aca="false">IFERROR(R2001/F2001,0)</f>
        <v>1</v>
      </c>
      <c r="X2001" s="63" t="n">
        <f aca="false">IFERROR(T2001/F2001,0)</f>
        <v>0</v>
      </c>
      <c r="Y2001" s="63" t="n">
        <f aca="false">IFERROR(G2001/F2001,0)</f>
        <v>0</v>
      </c>
      <c r="Z2001" s="59" t="n">
        <f aca="false">IF(E2001&gt;0,F2001*1000000000/E2001,"")</f>
        <v>471.209122608614</v>
      </c>
      <c r="AA2001" s="63" t="n">
        <f aca="false">IFERROR((R2001+S2001+J2001)/F2001,0)</f>
        <v>1</v>
      </c>
      <c r="AB2001" s="0" t="str">
        <f aca="false">A2001&amp;"|"&amp;D2001</f>
        <v>Tonga|2015</v>
      </c>
    </row>
    <row r="2002" customFormat="false" ht="15" hidden="false" customHeight="false" outlineLevel="0" collapsed="false">
      <c r="A2002" s="0" t="s">
        <v>372</v>
      </c>
      <c r="B2002" s="0" t="s">
        <v>611</v>
      </c>
      <c r="C2002" s="0" t="s">
        <v>127</v>
      </c>
      <c r="D2002" s="0" t="n">
        <v>2016</v>
      </c>
      <c r="E2002" s="59" t="n">
        <v>105536</v>
      </c>
      <c r="F2002" s="60" t="n">
        <v>0.06</v>
      </c>
      <c r="G2002" s="61" t="n">
        <v>0</v>
      </c>
      <c r="H2002" s="61" t="n">
        <v>0</v>
      </c>
      <c r="I2002" s="61" t="n">
        <v>0.06</v>
      </c>
      <c r="J2002" s="61" t="n">
        <v>0</v>
      </c>
      <c r="K2002" s="61" t="n">
        <v>0</v>
      </c>
      <c r="L2002" s="61" t="n">
        <v>0</v>
      </c>
      <c r="M2002" s="61" t="n">
        <v>0</v>
      </c>
      <c r="N2002" s="61" t="n">
        <v>0</v>
      </c>
      <c r="O2002" s="61" t="n">
        <v>0</v>
      </c>
      <c r="P2002" s="62" t="n">
        <v>666.7</v>
      </c>
      <c r="Q2002" s="0" t="n">
        <v>0</v>
      </c>
      <c r="R2002" s="60" t="n">
        <f aca="false">G2002+H2002+I2002</f>
        <v>0.06</v>
      </c>
      <c r="S2002" s="60" t="n">
        <f aca="false">K2002+L2002+M2002+N2002+O2002</f>
        <v>0</v>
      </c>
      <c r="T2002" s="60" t="n">
        <f aca="false">L2002+M2002</f>
        <v>0</v>
      </c>
      <c r="U2002" s="60" t="n">
        <f aca="false">S2002+J2002</f>
        <v>0</v>
      </c>
      <c r="V2002" s="63" t="n">
        <f aca="false">IFERROR(S2002/F2002,0)</f>
        <v>0</v>
      </c>
      <c r="W2002" s="63" t="n">
        <f aca="false">IFERROR(R2002/F2002,0)</f>
        <v>1</v>
      </c>
      <c r="X2002" s="63" t="n">
        <f aca="false">IFERROR(T2002/F2002,0)</f>
        <v>0</v>
      </c>
      <c r="Y2002" s="63" t="n">
        <f aca="false">IFERROR(G2002/F2002,0)</f>
        <v>0</v>
      </c>
      <c r="Z2002" s="59" t="n">
        <f aca="false">IF(E2002&gt;0,F2002*1000000000/E2002,"")</f>
        <v>568.526379624015</v>
      </c>
      <c r="AA2002" s="63" t="n">
        <f aca="false">IFERROR((R2002+S2002+J2002)/F2002,0)</f>
        <v>1</v>
      </c>
      <c r="AB2002" s="0" t="str">
        <f aca="false">A2002&amp;"|"&amp;D2002</f>
        <v>Tonga|2016</v>
      </c>
    </row>
    <row r="2003" customFormat="false" ht="15" hidden="false" customHeight="false" outlineLevel="0" collapsed="false">
      <c r="A2003" s="0" t="s">
        <v>372</v>
      </c>
      <c r="B2003" s="0" t="s">
        <v>611</v>
      </c>
      <c r="C2003" s="0" t="s">
        <v>127</v>
      </c>
      <c r="D2003" s="0" t="n">
        <v>2017</v>
      </c>
      <c r="E2003" s="59" t="n">
        <v>105373</v>
      </c>
      <c r="F2003" s="60" t="n">
        <v>0.07</v>
      </c>
      <c r="G2003" s="61" t="n">
        <v>0</v>
      </c>
      <c r="H2003" s="61" t="n">
        <v>0</v>
      </c>
      <c r="I2003" s="61" t="n">
        <v>0.06</v>
      </c>
      <c r="J2003" s="61" t="n">
        <v>0</v>
      </c>
      <c r="K2003" s="61" t="n">
        <v>0</v>
      </c>
      <c r="L2003" s="61" t="n">
        <v>0.01</v>
      </c>
      <c r="M2003" s="61" t="n">
        <v>0</v>
      </c>
      <c r="N2003" s="61" t="n">
        <v>0</v>
      </c>
      <c r="O2003" s="61" t="n">
        <v>0</v>
      </c>
      <c r="P2003" s="62" t="n">
        <v>571.4</v>
      </c>
      <c r="Q2003" s="0" t="n">
        <v>0</v>
      </c>
      <c r="R2003" s="60" t="n">
        <f aca="false">G2003+H2003+I2003</f>
        <v>0.06</v>
      </c>
      <c r="S2003" s="60" t="n">
        <f aca="false">K2003+L2003+M2003+N2003+O2003</f>
        <v>0.01</v>
      </c>
      <c r="T2003" s="60" t="n">
        <f aca="false">L2003+M2003</f>
        <v>0.01</v>
      </c>
      <c r="U2003" s="60" t="n">
        <f aca="false">S2003+J2003</f>
        <v>0.01</v>
      </c>
      <c r="V2003" s="63" t="n">
        <f aca="false">IFERROR(S2003/F2003,0)</f>
        <v>0.142857142857143</v>
      </c>
      <c r="W2003" s="63" t="n">
        <f aca="false">IFERROR(R2003/F2003,0)</f>
        <v>0.857142857142857</v>
      </c>
      <c r="X2003" s="63" t="n">
        <f aca="false">IFERROR(T2003/F2003,0)</f>
        <v>0.142857142857143</v>
      </c>
      <c r="Y2003" s="63" t="n">
        <f aca="false">IFERROR(G2003/F2003,0)</f>
        <v>0</v>
      </c>
      <c r="Z2003" s="59" t="n">
        <f aca="false">IF(E2003&gt;0,F2003*1000000000/E2003,"")</f>
        <v>664.306795858522</v>
      </c>
      <c r="AA2003" s="63" t="n">
        <f aca="false">IFERROR((R2003+S2003+J2003)/F2003,0)</f>
        <v>1</v>
      </c>
      <c r="AB2003" s="0" t="str">
        <f aca="false">A2003&amp;"|"&amp;D2003</f>
        <v>Tonga|2017</v>
      </c>
    </row>
    <row r="2004" customFormat="false" ht="15" hidden="false" customHeight="false" outlineLevel="0" collapsed="false">
      <c r="A2004" s="0" t="s">
        <v>372</v>
      </c>
      <c r="B2004" s="0" t="s">
        <v>611</v>
      </c>
      <c r="C2004" s="0" t="s">
        <v>127</v>
      </c>
      <c r="D2004" s="0" t="n">
        <v>2018</v>
      </c>
      <c r="E2004" s="59" t="n">
        <v>105590</v>
      </c>
      <c r="F2004" s="60" t="n">
        <v>0.07</v>
      </c>
      <c r="G2004" s="61" t="n">
        <v>0</v>
      </c>
      <c r="H2004" s="61" t="n">
        <v>0</v>
      </c>
      <c r="I2004" s="61" t="n">
        <v>0.06</v>
      </c>
      <c r="J2004" s="61" t="n">
        <v>0</v>
      </c>
      <c r="K2004" s="61" t="n">
        <v>0</v>
      </c>
      <c r="L2004" s="61" t="n">
        <v>0.01</v>
      </c>
      <c r="M2004" s="61" t="n">
        <v>0</v>
      </c>
      <c r="N2004" s="61" t="n">
        <v>0</v>
      </c>
      <c r="O2004" s="61" t="n">
        <v>0</v>
      </c>
      <c r="P2004" s="62" t="n">
        <v>571.4</v>
      </c>
      <c r="Q2004" s="0" t="n">
        <v>0</v>
      </c>
      <c r="R2004" s="60" t="n">
        <f aca="false">G2004+H2004+I2004</f>
        <v>0.06</v>
      </c>
      <c r="S2004" s="60" t="n">
        <f aca="false">K2004+L2004+M2004+N2004+O2004</f>
        <v>0.01</v>
      </c>
      <c r="T2004" s="60" t="n">
        <f aca="false">L2004+M2004</f>
        <v>0.01</v>
      </c>
      <c r="U2004" s="60" t="n">
        <f aca="false">S2004+J2004</f>
        <v>0.01</v>
      </c>
      <c r="V2004" s="63" t="n">
        <f aca="false">IFERROR(S2004/F2004,0)</f>
        <v>0.142857142857143</v>
      </c>
      <c r="W2004" s="63" t="n">
        <f aca="false">IFERROR(R2004/F2004,0)</f>
        <v>0.857142857142857</v>
      </c>
      <c r="X2004" s="63" t="n">
        <f aca="false">IFERROR(T2004/F2004,0)</f>
        <v>0.142857142857143</v>
      </c>
      <c r="Y2004" s="63" t="n">
        <f aca="false">IFERROR(G2004/F2004,0)</f>
        <v>0</v>
      </c>
      <c r="Z2004" s="59" t="n">
        <f aca="false">IF(E2004&gt;0,F2004*1000000000/E2004,"")</f>
        <v>662.941566436216</v>
      </c>
      <c r="AA2004" s="63" t="n">
        <f aca="false">IFERROR((R2004+S2004+J2004)/F2004,0)</f>
        <v>1</v>
      </c>
      <c r="AB2004" s="0" t="str">
        <f aca="false">A2004&amp;"|"&amp;D2004</f>
        <v>Tonga|2018</v>
      </c>
    </row>
    <row r="2005" customFormat="false" ht="15" hidden="false" customHeight="false" outlineLevel="0" collapsed="false">
      <c r="A2005" s="0" t="s">
        <v>372</v>
      </c>
      <c r="B2005" s="0" t="s">
        <v>611</v>
      </c>
      <c r="C2005" s="0" t="s">
        <v>127</v>
      </c>
      <c r="D2005" s="0" t="n">
        <v>2019</v>
      </c>
      <c r="E2005" s="59" t="n">
        <v>105688</v>
      </c>
      <c r="F2005" s="60" t="n">
        <v>0.07</v>
      </c>
      <c r="G2005" s="61" t="n">
        <v>0</v>
      </c>
      <c r="H2005" s="61" t="n">
        <v>0</v>
      </c>
      <c r="I2005" s="61" t="n">
        <v>0.06</v>
      </c>
      <c r="J2005" s="61" t="n">
        <v>0</v>
      </c>
      <c r="K2005" s="61" t="n">
        <v>0</v>
      </c>
      <c r="L2005" s="61" t="n">
        <v>0.01</v>
      </c>
      <c r="M2005" s="61" t="n">
        <v>0</v>
      </c>
      <c r="N2005" s="61" t="n">
        <v>0</v>
      </c>
      <c r="O2005" s="61" t="n">
        <v>0</v>
      </c>
      <c r="P2005" s="62" t="n">
        <v>571.4</v>
      </c>
      <c r="Q2005" s="0" t="n">
        <v>0</v>
      </c>
      <c r="R2005" s="60" t="n">
        <f aca="false">G2005+H2005+I2005</f>
        <v>0.06</v>
      </c>
      <c r="S2005" s="60" t="n">
        <f aca="false">K2005+L2005+M2005+N2005+O2005</f>
        <v>0.01</v>
      </c>
      <c r="T2005" s="60" t="n">
        <f aca="false">L2005+M2005</f>
        <v>0.01</v>
      </c>
      <c r="U2005" s="60" t="n">
        <f aca="false">S2005+J2005</f>
        <v>0.01</v>
      </c>
      <c r="V2005" s="63" t="n">
        <f aca="false">IFERROR(S2005/F2005,0)</f>
        <v>0.142857142857143</v>
      </c>
      <c r="W2005" s="63" t="n">
        <f aca="false">IFERROR(R2005/F2005,0)</f>
        <v>0.857142857142857</v>
      </c>
      <c r="X2005" s="63" t="n">
        <f aca="false">IFERROR(T2005/F2005,0)</f>
        <v>0.142857142857143</v>
      </c>
      <c r="Y2005" s="63" t="n">
        <f aca="false">IFERROR(G2005/F2005,0)</f>
        <v>0</v>
      </c>
      <c r="Z2005" s="59" t="n">
        <f aca="false">IF(E2005&gt;0,F2005*1000000000/E2005,"")</f>
        <v>662.32684883809</v>
      </c>
      <c r="AA2005" s="63" t="n">
        <f aca="false">IFERROR((R2005+S2005+J2005)/F2005,0)</f>
        <v>1</v>
      </c>
      <c r="AB2005" s="0" t="str">
        <f aca="false">A2005&amp;"|"&amp;D2005</f>
        <v>Tonga|2019</v>
      </c>
    </row>
    <row r="2006" customFormat="false" ht="15" hidden="false" customHeight="false" outlineLevel="0" collapsed="false">
      <c r="A2006" s="0" t="s">
        <v>372</v>
      </c>
      <c r="B2006" s="0" t="s">
        <v>611</v>
      </c>
      <c r="C2006" s="0" t="s">
        <v>127</v>
      </c>
      <c r="D2006" s="0" t="n">
        <v>2020</v>
      </c>
      <c r="E2006" s="59" t="n">
        <v>105721</v>
      </c>
      <c r="F2006" s="60" t="n">
        <v>0.07</v>
      </c>
      <c r="G2006" s="61" t="n">
        <v>0</v>
      </c>
      <c r="H2006" s="61" t="n">
        <v>0</v>
      </c>
      <c r="I2006" s="61" t="n">
        <v>0.06</v>
      </c>
      <c r="J2006" s="61" t="n">
        <v>0</v>
      </c>
      <c r="K2006" s="61" t="n">
        <v>0</v>
      </c>
      <c r="L2006" s="61" t="n">
        <v>0.01</v>
      </c>
      <c r="M2006" s="61" t="n">
        <v>0</v>
      </c>
      <c r="N2006" s="61" t="n">
        <v>0</v>
      </c>
      <c r="O2006" s="61" t="n">
        <v>0</v>
      </c>
      <c r="P2006" s="62" t="n">
        <v>571.4</v>
      </c>
      <c r="Q2006" s="0" t="n">
        <v>0</v>
      </c>
      <c r="R2006" s="60" t="n">
        <f aca="false">G2006+H2006+I2006</f>
        <v>0.06</v>
      </c>
      <c r="S2006" s="60" t="n">
        <f aca="false">K2006+L2006+M2006+N2006+O2006</f>
        <v>0.01</v>
      </c>
      <c r="T2006" s="60" t="n">
        <f aca="false">L2006+M2006</f>
        <v>0.01</v>
      </c>
      <c r="U2006" s="60" t="n">
        <f aca="false">S2006+J2006</f>
        <v>0.01</v>
      </c>
      <c r="V2006" s="63" t="n">
        <f aca="false">IFERROR(S2006/F2006,0)</f>
        <v>0.142857142857143</v>
      </c>
      <c r="W2006" s="63" t="n">
        <f aca="false">IFERROR(R2006/F2006,0)</f>
        <v>0.857142857142857</v>
      </c>
      <c r="X2006" s="63" t="n">
        <f aca="false">IFERROR(T2006/F2006,0)</f>
        <v>0.142857142857143</v>
      </c>
      <c r="Y2006" s="63" t="n">
        <f aca="false">IFERROR(G2006/F2006,0)</f>
        <v>0</v>
      </c>
      <c r="Z2006" s="59" t="n">
        <f aca="false">IF(E2006&gt;0,F2006*1000000000/E2006,"")</f>
        <v>662.120108587698</v>
      </c>
      <c r="AA2006" s="63" t="n">
        <f aca="false">IFERROR((R2006+S2006+J2006)/F2006,0)</f>
        <v>1</v>
      </c>
      <c r="AB2006" s="0" t="str">
        <f aca="false">A2006&amp;"|"&amp;D2006</f>
        <v>Tonga|2020</v>
      </c>
    </row>
    <row r="2007" customFormat="false" ht="15" hidden="false" customHeight="false" outlineLevel="0" collapsed="false">
      <c r="A2007" s="0" t="s">
        <v>372</v>
      </c>
      <c r="B2007" s="0" t="s">
        <v>611</v>
      </c>
      <c r="C2007" s="0" t="s">
        <v>127</v>
      </c>
      <c r="D2007" s="0" t="n">
        <v>2021</v>
      </c>
      <c r="E2007" s="59" t="n">
        <v>105504</v>
      </c>
      <c r="F2007" s="60" t="n">
        <v>0.07</v>
      </c>
      <c r="G2007" s="61" t="n">
        <v>0</v>
      </c>
      <c r="H2007" s="61" t="n">
        <v>0</v>
      </c>
      <c r="I2007" s="61" t="n">
        <v>0.06</v>
      </c>
      <c r="J2007" s="61" t="n">
        <v>0</v>
      </c>
      <c r="K2007" s="61" t="n">
        <v>0</v>
      </c>
      <c r="L2007" s="61" t="n">
        <v>0.01</v>
      </c>
      <c r="M2007" s="61" t="n">
        <v>0</v>
      </c>
      <c r="N2007" s="61" t="n">
        <v>0</v>
      </c>
      <c r="O2007" s="61" t="n">
        <v>0</v>
      </c>
      <c r="P2007" s="62" t="n">
        <v>571.4</v>
      </c>
      <c r="Q2007" s="0" t="n">
        <v>0</v>
      </c>
      <c r="R2007" s="60" t="n">
        <f aca="false">G2007+H2007+I2007</f>
        <v>0.06</v>
      </c>
      <c r="S2007" s="60" t="n">
        <f aca="false">K2007+L2007+M2007+N2007+O2007</f>
        <v>0.01</v>
      </c>
      <c r="T2007" s="60" t="n">
        <f aca="false">L2007+M2007</f>
        <v>0.01</v>
      </c>
      <c r="U2007" s="60" t="n">
        <f aca="false">S2007+J2007</f>
        <v>0.01</v>
      </c>
      <c r="V2007" s="63" t="n">
        <f aca="false">IFERROR(S2007/F2007,0)</f>
        <v>0.142857142857143</v>
      </c>
      <c r="W2007" s="63" t="n">
        <f aca="false">IFERROR(R2007/F2007,0)</f>
        <v>0.857142857142857</v>
      </c>
      <c r="X2007" s="63" t="n">
        <f aca="false">IFERROR(T2007/F2007,0)</f>
        <v>0.142857142857143</v>
      </c>
      <c r="Y2007" s="63" t="n">
        <f aca="false">IFERROR(G2007/F2007,0)</f>
        <v>0</v>
      </c>
      <c r="Z2007" s="59" t="n">
        <f aca="false">IF(E2007&gt;0,F2007*1000000000/E2007,"")</f>
        <v>663.481953290871</v>
      </c>
      <c r="AA2007" s="63" t="n">
        <f aca="false">IFERROR((R2007+S2007+J2007)/F2007,0)</f>
        <v>1</v>
      </c>
      <c r="AB2007" s="0" t="str">
        <f aca="false">A2007&amp;"|"&amp;D2007</f>
        <v>Tonga|2021</v>
      </c>
    </row>
    <row r="2008" customFormat="false" ht="15" hidden="false" customHeight="false" outlineLevel="0" collapsed="false">
      <c r="A2008" s="0" t="s">
        <v>372</v>
      </c>
      <c r="B2008" s="0" t="s">
        <v>611</v>
      </c>
      <c r="C2008" s="0" t="s">
        <v>127</v>
      </c>
      <c r="D2008" s="0" t="n">
        <v>2022</v>
      </c>
      <c r="E2008" s="59" t="n">
        <v>105053</v>
      </c>
      <c r="F2008" s="60" t="n">
        <v>0.08</v>
      </c>
      <c r="G2008" s="61" t="n">
        <v>0</v>
      </c>
      <c r="H2008" s="61" t="n">
        <v>0</v>
      </c>
      <c r="I2008" s="61" t="n">
        <v>0.07</v>
      </c>
      <c r="J2008" s="61" t="n">
        <v>0</v>
      </c>
      <c r="K2008" s="61" t="n">
        <v>0</v>
      </c>
      <c r="L2008" s="61" t="n">
        <v>0.01</v>
      </c>
      <c r="M2008" s="61" t="n">
        <v>0</v>
      </c>
      <c r="N2008" s="61" t="n">
        <v>0</v>
      </c>
      <c r="O2008" s="61" t="n">
        <v>0</v>
      </c>
      <c r="P2008" s="62" t="n">
        <v>625</v>
      </c>
      <c r="Q2008" s="0" t="n">
        <v>0</v>
      </c>
      <c r="R2008" s="60" t="n">
        <f aca="false">G2008+H2008+I2008</f>
        <v>0.07</v>
      </c>
      <c r="S2008" s="60" t="n">
        <f aca="false">K2008+L2008+M2008+N2008+O2008</f>
        <v>0.01</v>
      </c>
      <c r="T2008" s="60" t="n">
        <f aca="false">L2008+M2008</f>
        <v>0.01</v>
      </c>
      <c r="U2008" s="60" t="n">
        <f aca="false">S2008+J2008</f>
        <v>0.01</v>
      </c>
      <c r="V2008" s="63" t="n">
        <f aca="false">IFERROR(S2008/F2008,0)</f>
        <v>0.125</v>
      </c>
      <c r="W2008" s="63" t="n">
        <f aca="false">IFERROR(R2008/F2008,0)</f>
        <v>0.875</v>
      </c>
      <c r="X2008" s="63" t="n">
        <f aca="false">IFERROR(T2008/F2008,0)</f>
        <v>0.125</v>
      </c>
      <c r="Y2008" s="63" t="n">
        <f aca="false">IFERROR(G2008/F2008,0)</f>
        <v>0</v>
      </c>
      <c r="Z2008" s="59" t="n">
        <f aca="false">IF(E2008&gt;0,F2008*1000000000/E2008,"")</f>
        <v>761.520375429545</v>
      </c>
      <c r="AA2008" s="63" t="n">
        <f aca="false">IFERROR((R2008+S2008+J2008)/F2008,0)</f>
        <v>1</v>
      </c>
      <c r="AB2008" s="0" t="str">
        <f aca="false">A2008&amp;"|"&amp;D2008</f>
        <v>Tonga|2022</v>
      </c>
    </row>
    <row r="2009" customFormat="false" ht="15" hidden="false" customHeight="false" outlineLevel="0" collapsed="false">
      <c r="A2009" s="0" t="s">
        <v>372</v>
      </c>
      <c r="B2009" s="0" t="s">
        <v>611</v>
      </c>
      <c r="C2009" s="0" t="s">
        <v>127</v>
      </c>
      <c r="D2009" s="0" t="n">
        <v>2023</v>
      </c>
      <c r="E2009" s="59" t="n">
        <v>104613</v>
      </c>
      <c r="F2009" s="60" t="n">
        <v>0.07</v>
      </c>
      <c r="G2009" s="61" t="n">
        <v>0</v>
      </c>
      <c r="H2009" s="61" t="n">
        <v>0</v>
      </c>
      <c r="I2009" s="61" t="n">
        <v>0.06</v>
      </c>
      <c r="J2009" s="61" t="n">
        <v>0</v>
      </c>
      <c r="K2009" s="61" t="n">
        <v>0</v>
      </c>
      <c r="L2009" s="61" t="n">
        <v>0.01</v>
      </c>
      <c r="M2009" s="61" t="n">
        <v>0</v>
      </c>
      <c r="N2009" s="61" t="n">
        <v>0</v>
      </c>
      <c r="O2009" s="61" t="n">
        <v>0</v>
      </c>
      <c r="P2009" s="62" t="n">
        <v>571.4</v>
      </c>
      <c r="Q2009" s="0" t="n">
        <v>0</v>
      </c>
      <c r="R2009" s="60" t="n">
        <f aca="false">G2009+H2009+I2009</f>
        <v>0.06</v>
      </c>
      <c r="S2009" s="60" t="n">
        <f aca="false">K2009+L2009+M2009+N2009+O2009</f>
        <v>0.01</v>
      </c>
      <c r="T2009" s="60" t="n">
        <f aca="false">L2009+M2009</f>
        <v>0.01</v>
      </c>
      <c r="U2009" s="60" t="n">
        <f aca="false">S2009+J2009</f>
        <v>0.01</v>
      </c>
      <c r="V2009" s="63" t="n">
        <f aca="false">IFERROR(S2009/F2009,0)</f>
        <v>0.142857142857143</v>
      </c>
      <c r="W2009" s="63" t="n">
        <f aca="false">IFERROR(R2009/F2009,0)</f>
        <v>0.857142857142857</v>
      </c>
      <c r="X2009" s="63" t="n">
        <f aca="false">IFERROR(T2009/F2009,0)</f>
        <v>0.142857142857143</v>
      </c>
      <c r="Y2009" s="63" t="n">
        <f aca="false">IFERROR(G2009/F2009,0)</f>
        <v>0</v>
      </c>
      <c r="Z2009" s="59" t="n">
        <f aca="false">IF(E2009&gt;0,F2009*1000000000/E2009,"")</f>
        <v>669.132899352853</v>
      </c>
      <c r="AA2009" s="63" t="n">
        <f aca="false">IFERROR((R2009+S2009+J2009)/F2009,0)</f>
        <v>1</v>
      </c>
      <c r="AB2009" s="0" t="str">
        <f aca="false">A2009&amp;"|"&amp;D2009</f>
        <v>Tonga|2023</v>
      </c>
    </row>
    <row r="2010" customFormat="false" ht="15" hidden="false" customHeight="false" outlineLevel="0" collapsed="false">
      <c r="A2010" s="0" t="s">
        <v>372</v>
      </c>
      <c r="B2010" s="0" t="s">
        <v>611</v>
      </c>
      <c r="C2010" s="0" t="s">
        <v>127</v>
      </c>
      <c r="D2010" s="0" t="n">
        <v>2024</v>
      </c>
      <c r="E2010" s="59" t="n">
        <v>104192</v>
      </c>
      <c r="F2010" s="60" t="n">
        <v>0.07</v>
      </c>
      <c r="G2010" s="61" t="n">
        <v>0</v>
      </c>
      <c r="H2010" s="61" t="n">
        <v>0</v>
      </c>
      <c r="I2010" s="61" t="n">
        <v>0.06</v>
      </c>
      <c r="J2010" s="61" t="n">
        <v>0</v>
      </c>
      <c r="K2010" s="61" t="n">
        <v>0</v>
      </c>
      <c r="L2010" s="61" t="n">
        <v>0.01</v>
      </c>
      <c r="M2010" s="61" t="n">
        <v>0</v>
      </c>
      <c r="N2010" s="61" t="n">
        <v>0</v>
      </c>
      <c r="O2010" s="61" t="n">
        <v>0</v>
      </c>
      <c r="P2010" s="62" t="n">
        <v>571.4</v>
      </c>
      <c r="Q2010" s="0" t="n">
        <v>0</v>
      </c>
      <c r="R2010" s="60" t="n">
        <f aca="false">G2010+H2010+I2010</f>
        <v>0.06</v>
      </c>
      <c r="S2010" s="60" t="n">
        <f aca="false">K2010+L2010+M2010+N2010+O2010</f>
        <v>0.01</v>
      </c>
      <c r="T2010" s="60" t="n">
        <f aca="false">L2010+M2010</f>
        <v>0.01</v>
      </c>
      <c r="U2010" s="60" t="n">
        <f aca="false">S2010+J2010</f>
        <v>0.01</v>
      </c>
      <c r="V2010" s="63" t="n">
        <f aca="false">IFERROR(S2010/F2010,0)</f>
        <v>0.142857142857143</v>
      </c>
      <c r="W2010" s="63" t="n">
        <f aca="false">IFERROR(R2010/F2010,0)</f>
        <v>0.857142857142857</v>
      </c>
      <c r="X2010" s="63" t="n">
        <f aca="false">IFERROR(T2010/F2010,0)</f>
        <v>0.142857142857143</v>
      </c>
      <c r="Y2010" s="63" t="n">
        <f aca="false">IFERROR(G2010/F2010,0)</f>
        <v>0</v>
      </c>
      <c r="Z2010" s="59" t="n">
        <f aca="false">IF(E2010&gt;0,F2010*1000000000/E2010,"")</f>
        <v>671.836609336609</v>
      </c>
      <c r="AA2010" s="63" t="n">
        <f aca="false">IFERROR((R2010+S2010+J2010)/F2010,0)</f>
        <v>1</v>
      </c>
      <c r="AB2010" s="0" t="str">
        <f aca="false">A2010&amp;"|"&amp;D2010</f>
        <v>Tonga|2024</v>
      </c>
    </row>
    <row r="2011" customFormat="false" ht="15" hidden="false" customHeight="false" outlineLevel="0" collapsed="false">
      <c r="A2011" s="0" t="s">
        <v>373</v>
      </c>
      <c r="B2011" s="0" t="s">
        <v>612</v>
      </c>
      <c r="C2011" s="0" t="s">
        <v>127</v>
      </c>
      <c r="D2011" s="0" t="n">
        <v>2015</v>
      </c>
      <c r="E2011" s="59" t="n">
        <v>1429190</v>
      </c>
      <c r="F2011" s="60" t="n">
        <v>9.57</v>
      </c>
      <c r="G2011" s="61" t="n">
        <v>0</v>
      </c>
      <c r="H2011" s="61" t="n">
        <v>9.54</v>
      </c>
      <c r="I2011" s="61" t="n">
        <v>0.02</v>
      </c>
      <c r="J2011" s="61" t="n">
        <v>0</v>
      </c>
      <c r="K2011" s="61" t="n">
        <v>0</v>
      </c>
      <c r="L2011" s="61" t="n">
        <v>0.01</v>
      </c>
      <c r="M2011" s="61" t="n">
        <v>0</v>
      </c>
      <c r="N2011" s="61" t="n">
        <v>0</v>
      </c>
      <c r="O2011" s="61" t="n">
        <v>0</v>
      </c>
      <c r="P2011" s="62" t="n">
        <v>681.3</v>
      </c>
      <c r="Q2011" s="0" t="n">
        <v>0</v>
      </c>
      <c r="R2011" s="60" t="n">
        <f aca="false">G2011+H2011+I2011</f>
        <v>9.56</v>
      </c>
      <c r="S2011" s="60" t="n">
        <f aca="false">K2011+L2011+M2011+N2011+O2011</f>
        <v>0.01</v>
      </c>
      <c r="T2011" s="60" t="n">
        <f aca="false">L2011+M2011</f>
        <v>0.01</v>
      </c>
      <c r="U2011" s="60" t="n">
        <f aca="false">S2011+J2011</f>
        <v>0.01</v>
      </c>
      <c r="V2011" s="63" t="n">
        <f aca="false">IFERROR(S2011/F2011,0)</f>
        <v>0.00104493207941484</v>
      </c>
      <c r="W2011" s="63" t="n">
        <f aca="false">IFERROR(R2011/F2011,0)</f>
        <v>0.998955067920585</v>
      </c>
      <c r="X2011" s="63" t="n">
        <f aca="false">IFERROR(T2011/F2011,0)</f>
        <v>0.00104493207941484</v>
      </c>
      <c r="Y2011" s="63" t="n">
        <f aca="false">IFERROR(G2011/F2011,0)</f>
        <v>0</v>
      </c>
      <c r="Z2011" s="59" t="n">
        <f aca="false">IF(E2011&gt;0,F2011*1000000000/E2011,"")</f>
        <v>6696.1005884452</v>
      </c>
      <c r="AA2011" s="63" t="n">
        <f aca="false">IFERROR((R2011+S2011+J2011)/F2011,0)</f>
        <v>1</v>
      </c>
      <c r="AB2011" s="0" t="str">
        <f aca="false">A2011&amp;"|"&amp;D2011</f>
        <v>Trinidad and Tobago|2015</v>
      </c>
    </row>
    <row r="2012" customFormat="false" ht="15" hidden="false" customHeight="false" outlineLevel="0" collapsed="false">
      <c r="A2012" s="0" t="s">
        <v>373</v>
      </c>
      <c r="B2012" s="0" t="s">
        <v>612</v>
      </c>
      <c r="C2012" s="0" t="s">
        <v>127</v>
      </c>
      <c r="D2012" s="0" t="n">
        <v>2016</v>
      </c>
      <c r="E2012" s="59" t="n">
        <v>1437031</v>
      </c>
      <c r="F2012" s="60" t="n">
        <v>9.42</v>
      </c>
      <c r="G2012" s="61" t="n">
        <v>0</v>
      </c>
      <c r="H2012" s="61" t="n">
        <v>9.38</v>
      </c>
      <c r="I2012" s="61" t="n">
        <v>0.03</v>
      </c>
      <c r="J2012" s="61" t="n">
        <v>0</v>
      </c>
      <c r="K2012" s="61" t="n">
        <v>0</v>
      </c>
      <c r="L2012" s="61" t="n">
        <v>0.01</v>
      </c>
      <c r="M2012" s="61" t="n">
        <v>0</v>
      </c>
      <c r="N2012" s="61" t="n">
        <v>0</v>
      </c>
      <c r="O2012" s="61" t="n">
        <v>0</v>
      </c>
      <c r="P2012" s="62" t="n">
        <v>681.5</v>
      </c>
      <c r="Q2012" s="0" t="n">
        <v>0</v>
      </c>
      <c r="R2012" s="60" t="n">
        <f aca="false">G2012+H2012+I2012</f>
        <v>9.41</v>
      </c>
      <c r="S2012" s="60" t="n">
        <f aca="false">K2012+L2012+M2012+N2012+O2012</f>
        <v>0.01</v>
      </c>
      <c r="T2012" s="60" t="n">
        <f aca="false">L2012+M2012</f>
        <v>0.01</v>
      </c>
      <c r="U2012" s="60" t="n">
        <f aca="false">S2012+J2012</f>
        <v>0.01</v>
      </c>
      <c r="V2012" s="63" t="n">
        <f aca="false">IFERROR(S2012/F2012,0)</f>
        <v>0.00106157112526539</v>
      </c>
      <c r="W2012" s="63" t="n">
        <f aca="false">IFERROR(R2012/F2012,0)</f>
        <v>0.998938428874735</v>
      </c>
      <c r="X2012" s="63" t="n">
        <f aca="false">IFERROR(T2012/F2012,0)</f>
        <v>0.00106157112526539</v>
      </c>
      <c r="Y2012" s="63" t="n">
        <f aca="false">IFERROR(G2012/F2012,0)</f>
        <v>0</v>
      </c>
      <c r="Z2012" s="59" t="n">
        <f aca="false">IF(E2012&gt;0,F2012*1000000000/E2012,"")</f>
        <v>6555.18217769832</v>
      </c>
      <c r="AA2012" s="63" t="n">
        <f aca="false">IFERROR((R2012+S2012+J2012)/F2012,0)</f>
        <v>1</v>
      </c>
      <c r="AB2012" s="0" t="str">
        <f aca="false">A2012&amp;"|"&amp;D2012</f>
        <v>Trinidad and Tobago|2016</v>
      </c>
    </row>
    <row r="2013" customFormat="false" ht="15" hidden="false" customHeight="false" outlineLevel="0" collapsed="false">
      <c r="A2013" s="0" t="s">
        <v>373</v>
      </c>
      <c r="B2013" s="0" t="s">
        <v>612</v>
      </c>
      <c r="C2013" s="0" t="s">
        <v>127</v>
      </c>
      <c r="D2013" s="0" t="n">
        <v>2017</v>
      </c>
      <c r="E2013" s="59" t="n">
        <v>1445265</v>
      </c>
      <c r="F2013" s="60" t="n">
        <v>9.32</v>
      </c>
      <c r="G2013" s="61" t="n">
        <v>0</v>
      </c>
      <c r="H2013" s="61" t="n">
        <v>9.28</v>
      </c>
      <c r="I2013" s="61" t="n">
        <v>0.03</v>
      </c>
      <c r="J2013" s="61" t="n">
        <v>0</v>
      </c>
      <c r="K2013" s="61" t="n">
        <v>0</v>
      </c>
      <c r="L2013" s="61" t="n">
        <v>0.01</v>
      </c>
      <c r="M2013" s="61" t="n">
        <v>0</v>
      </c>
      <c r="N2013" s="61" t="n">
        <v>0</v>
      </c>
      <c r="O2013" s="61" t="n">
        <v>0</v>
      </c>
      <c r="P2013" s="62" t="n">
        <v>681.3</v>
      </c>
      <c r="Q2013" s="0" t="n">
        <v>0</v>
      </c>
      <c r="R2013" s="60" t="n">
        <f aca="false">G2013+H2013+I2013</f>
        <v>9.31</v>
      </c>
      <c r="S2013" s="60" t="n">
        <f aca="false">K2013+L2013+M2013+N2013+O2013</f>
        <v>0.01</v>
      </c>
      <c r="T2013" s="60" t="n">
        <f aca="false">L2013+M2013</f>
        <v>0.01</v>
      </c>
      <c r="U2013" s="60" t="n">
        <f aca="false">S2013+J2013</f>
        <v>0.01</v>
      </c>
      <c r="V2013" s="63" t="n">
        <f aca="false">IFERROR(S2013/F2013,0)</f>
        <v>0.00107296137339056</v>
      </c>
      <c r="W2013" s="63" t="n">
        <f aca="false">IFERROR(R2013/F2013,0)</f>
        <v>0.998927038626609</v>
      </c>
      <c r="X2013" s="63" t="n">
        <f aca="false">IFERROR(T2013/F2013,0)</f>
        <v>0.00107296137339056</v>
      </c>
      <c r="Y2013" s="63" t="n">
        <f aca="false">IFERROR(G2013/F2013,0)</f>
        <v>0</v>
      </c>
      <c r="Z2013" s="59" t="n">
        <f aca="false">IF(E2013&gt;0,F2013*1000000000/E2013,"")</f>
        <v>6448.64436625809</v>
      </c>
      <c r="AA2013" s="63" t="n">
        <f aca="false">IFERROR((R2013+S2013+J2013)/F2013,0)</f>
        <v>1</v>
      </c>
      <c r="AB2013" s="0" t="str">
        <f aca="false">A2013&amp;"|"&amp;D2013</f>
        <v>Trinidad and Tobago|2017</v>
      </c>
    </row>
    <row r="2014" customFormat="false" ht="15" hidden="false" customHeight="false" outlineLevel="0" collapsed="false">
      <c r="A2014" s="0" t="s">
        <v>373</v>
      </c>
      <c r="B2014" s="0" t="s">
        <v>612</v>
      </c>
      <c r="C2014" s="0" t="s">
        <v>127</v>
      </c>
      <c r="D2014" s="0" t="n">
        <v>2018</v>
      </c>
      <c r="E2014" s="59" t="n">
        <v>1470522</v>
      </c>
      <c r="F2014" s="60" t="n">
        <v>9.23</v>
      </c>
      <c r="G2014" s="61" t="n">
        <v>0</v>
      </c>
      <c r="H2014" s="61" t="n">
        <v>9.19</v>
      </c>
      <c r="I2014" s="61" t="n">
        <v>0.03</v>
      </c>
      <c r="J2014" s="61" t="n">
        <v>0</v>
      </c>
      <c r="K2014" s="61" t="n">
        <v>0</v>
      </c>
      <c r="L2014" s="61" t="n">
        <v>0.01</v>
      </c>
      <c r="M2014" s="61" t="n">
        <v>0</v>
      </c>
      <c r="N2014" s="61" t="n">
        <v>0</v>
      </c>
      <c r="O2014" s="61" t="n">
        <v>0</v>
      </c>
      <c r="P2014" s="62" t="n">
        <v>681.5</v>
      </c>
      <c r="Q2014" s="0" t="n">
        <v>0</v>
      </c>
      <c r="R2014" s="60" t="n">
        <f aca="false">G2014+H2014+I2014</f>
        <v>9.22</v>
      </c>
      <c r="S2014" s="60" t="n">
        <f aca="false">K2014+L2014+M2014+N2014+O2014</f>
        <v>0.01</v>
      </c>
      <c r="T2014" s="60" t="n">
        <f aca="false">L2014+M2014</f>
        <v>0.01</v>
      </c>
      <c r="U2014" s="60" t="n">
        <f aca="false">S2014+J2014</f>
        <v>0.01</v>
      </c>
      <c r="V2014" s="63" t="n">
        <f aca="false">IFERROR(S2014/F2014,0)</f>
        <v>0.00108342361863489</v>
      </c>
      <c r="W2014" s="63" t="n">
        <f aca="false">IFERROR(R2014/F2014,0)</f>
        <v>0.998916576381365</v>
      </c>
      <c r="X2014" s="63" t="n">
        <f aca="false">IFERROR(T2014/F2014,0)</f>
        <v>0.00108342361863489</v>
      </c>
      <c r="Y2014" s="63" t="n">
        <f aca="false">IFERROR(G2014/F2014,0)</f>
        <v>0</v>
      </c>
      <c r="Z2014" s="59" t="n">
        <f aca="false">IF(E2014&gt;0,F2014*1000000000/E2014,"")</f>
        <v>6276.68270178889</v>
      </c>
      <c r="AA2014" s="63" t="n">
        <f aca="false">IFERROR((R2014+S2014+J2014)/F2014,0)</f>
        <v>1</v>
      </c>
      <c r="AB2014" s="0" t="str">
        <f aca="false">A2014&amp;"|"&amp;D2014</f>
        <v>Trinidad and Tobago|2018</v>
      </c>
    </row>
    <row r="2015" customFormat="false" ht="15" hidden="false" customHeight="false" outlineLevel="0" collapsed="false">
      <c r="A2015" s="0" t="s">
        <v>373</v>
      </c>
      <c r="B2015" s="0" t="s">
        <v>612</v>
      </c>
      <c r="C2015" s="0" t="s">
        <v>127</v>
      </c>
      <c r="D2015" s="0" t="n">
        <v>2019</v>
      </c>
      <c r="E2015" s="59" t="n">
        <v>1484898</v>
      </c>
      <c r="F2015" s="60" t="n">
        <v>9.2</v>
      </c>
      <c r="G2015" s="61" t="n">
        <v>0</v>
      </c>
      <c r="H2015" s="61" t="n">
        <v>9.15</v>
      </c>
      <c r="I2015" s="61" t="n">
        <v>0.04</v>
      </c>
      <c r="J2015" s="61" t="n">
        <v>0</v>
      </c>
      <c r="K2015" s="61" t="n">
        <v>0</v>
      </c>
      <c r="L2015" s="61" t="n">
        <v>0.01</v>
      </c>
      <c r="M2015" s="61" t="n">
        <v>0</v>
      </c>
      <c r="N2015" s="61" t="n">
        <v>0</v>
      </c>
      <c r="O2015" s="61" t="n">
        <v>0</v>
      </c>
      <c r="P2015" s="62" t="n">
        <v>681.5</v>
      </c>
      <c r="Q2015" s="0" t="n">
        <v>0</v>
      </c>
      <c r="R2015" s="60" t="n">
        <f aca="false">G2015+H2015+I2015</f>
        <v>9.19</v>
      </c>
      <c r="S2015" s="60" t="n">
        <f aca="false">K2015+L2015+M2015+N2015+O2015</f>
        <v>0.01</v>
      </c>
      <c r="T2015" s="60" t="n">
        <f aca="false">L2015+M2015</f>
        <v>0.01</v>
      </c>
      <c r="U2015" s="60" t="n">
        <f aca="false">S2015+J2015</f>
        <v>0.01</v>
      </c>
      <c r="V2015" s="63" t="n">
        <f aca="false">IFERROR(S2015/F2015,0)</f>
        <v>0.00108695652173913</v>
      </c>
      <c r="W2015" s="63" t="n">
        <f aca="false">IFERROR(R2015/F2015,0)</f>
        <v>0.998913043478261</v>
      </c>
      <c r="X2015" s="63" t="n">
        <f aca="false">IFERROR(T2015/F2015,0)</f>
        <v>0.00108695652173913</v>
      </c>
      <c r="Y2015" s="63" t="n">
        <f aca="false">IFERROR(G2015/F2015,0)</f>
        <v>0</v>
      </c>
      <c r="Z2015" s="59" t="n">
        <f aca="false">IF(E2015&gt;0,F2015*1000000000/E2015,"")</f>
        <v>6195.71175932623</v>
      </c>
      <c r="AA2015" s="63" t="n">
        <f aca="false">IFERROR((R2015+S2015+J2015)/F2015,0)</f>
        <v>1</v>
      </c>
      <c r="AB2015" s="0" t="str">
        <f aca="false">A2015&amp;"|"&amp;D2015</f>
        <v>Trinidad and Tobago|2019</v>
      </c>
    </row>
    <row r="2016" customFormat="false" ht="15" hidden="false" customHeight="false" outlineLevel="0" collapsed="false">
      <c r="A2016" s="0" t="s">
        <v>373</v>
      </c>
      <c r="B2016" s="0" t="s">
        <v>612</v>
      </c>
      <c r="C2016" s="0" t="s">
        <v>127</v>
      </c>
      <c r="D2016" s="0" t="n">
        <v>2020</v>
      </c>
      <c r="E2016" s="59" t="n">
        <v>1481026</v>
      </c>
      <c r="F2016" s="60" t="n">
        <v>9.23</v>
      </c>
      <c r="G2016" s="61" t="n">
        <v>0</v>
      </c>
      <c r="H2016" s="61" t="n">
        <v>9.18</v>
      </c>
      <c r="I2016" s="61" t="n">
        <v>0.04</v>
      </c>
      <c r="J2016" s="61" t="n">
        <v>0</v>
      </c>
      <c r="K2016" s="61" t="n">
        <v>0</v>
      </c>
      <c r="L2016" s="61" t="n">
        <v>0.01</v>
      </c>
      <c r="M2016" s="61" t="n">
        <v>0</v>
      </c>
      <c r="N2016" s="61" t="n">
        <v>0</v>
      </c>
      <c r="O2016" s="61" t="n">
        <v>0</v>
      </c>
      <c r="P2016" s="62" t="n">
        <v>681.5</v>
      </c>
      <c r="Q2016" s="0" t="n">
        <v>0</v>
      </c>
      <c r="R2016" s="60" t="n">
        <f aca="false">G2016+H2016+I2016</f>
        <v>9.22</v>
      </c>
      <c r="S2016" s="60" t="n">
        <f aca="false">K2016+L2016+M2016+N2016+O2016</f>
        <v>0.01</v>
      </c>
      <c r="T2016" s="60" t="n">
        <f aca="false">L2016+M2016</f>
        <v>0.01</v>
      </c>
      <c r="U2016" s="60" t="n">
        <f aca="false">S2016+J2016</f>
        <v>0.01</v>
      </c>
      <c r="V2016" s="63" t="n">
        <f aca="false">IFERROR(S2016/F2016,0)</f>
        <v>0.00108342361863489</v>
      </c>
      <c r="W2016" s="63" t="n">
        <f aca="false">IFERROR(R2016/F2016,0)</f>
        <v>0.998916576381365</v>
      </c>
      <c r="X2016" s="63" t="n">
        <f aca="false">IFERROR(T2016/F2016,0)</f>
        <v>0.00108342361863489</v>
      </c>
      <c r="Y2016" s="63" t="n">
        <f aca="false">IFERROR(G2016/F2016,0)</f>
        <v>0</v>
      </c>
      <c r="Z2016" s="59" t="n">
        <f aca="false">IF(E2016&gt;0,F2016*1000000000/E2016,"")</f>
        <v>6232.16607946113</v>
      </c>
      <c r="AA2016" s="63" t="n">
        <f aca="false">IFERROR((R2016+S2016+J2016)/F2016,0)</f>
        <v>1</v>
      </c>
      <c r="AB2016" s="0" t="str">
        <f aca="false">A2016&amp;"|"&amp;D2016</f>
        <v>Trinidad and Tobago|2020</v>
      </c>
    </row>
    <row r="2017" customFormat="false" ht="15" hidden="false" customHeight="false" outlineLevel="0" collapsed="false">
      <c r="A2017" s="0" t="s">
        <v>373</v>
      </c>
      <c r="B2017" s="0" t="s">
        <v>612</v>
      </c>
      <c r="C2017" s="0" t="s">
        <v>127</v>
      </c>
      <c r="D2017" s="0" t="n">
        <v>2021</v>
      </c>
      <c r="E2017" s="59" t="n">
        <v>1487715</v>
      </c>
      <c r="F2017" s="60" t="n">
        <v>9.27</v>
      </c>
      <c r="G2017" s="61" t="n">
        <v>0</v>
      </c>
      <c r="H2017" s="61" t="n">
        <v>9.22</v>
      </c>
      <c r="I2017" s="61" t="n">
        <v>0.04</v>
      </c>
      <c r="J2017" s="61" t="n">
        <v>0</v>
      </c>
      <c r="K2017" s="61" t="n">
        <v>0</v>
      </c>
      <c r="L2017" s="61" t="n">
        <v>0.01</v>
      </c>
      <c r="M2017" s="61" t="n">
        <v>0</v>
      </c>
      <c r="N2017" s="61" t="n">
        <v>0</v>
      </c>
      <c r="O2017" s="61" t="n">
        <v>0</v>
      </c>
      <c r="P2017" s="62" t="n">
        <v>681.8</v>
      </c>
      <c r="Q2017" s="0" t="n">
        <v>0</v>
      </c>
      <c r="R2017" s="60" t="n">
        <f aca="false">G2017+H2017+I2017</f>
        <v>9.26</v>
      </c>
      <c r="S2017" s="60" t="n">
        <f aca="false">K2017+L2017+M2017+N2017+O2017</f>
        <v>0.01</v>
      </c>
      <c r="T2017" s="60" t="n">
        <f aca="false">L2017+M2017</f>
        <v>0.01</v>
      </c>
      <c r="U2017" s="60" t="n">
        <f aca="false">S2017+J2017</f>
        <v>0.01</v>
      </c>
      <c r="V2017" s="63" t="n">
        <f aca="false">IFERROR(S2017/F2017,0)</f>
        <v>0.00107874865156419</v>
      </c>
      <c r="W2017" s="63" t="n">
        <f aca="false">IFERROR(R2017/F2017,0)</f>
        <v>0.998921251348436</v>
      </c>
      <c r="X2017" s="63" t="n">
        <f aca="false">IFERROR(T2017/F2017,0)</f>
        <v>0.00107874865156419</v>
      </c>
      <c r="Y2017" s="63" t="n">
        <f aca="false">IFERROR(G2017/F2017,0)</f>
        <v>0</v>
      </c>
      <c r="Z2017" s="59" t="n">
        <f aca="false">IF(E2017&gt;0,F2017*1000000000/E2017,"")</f>
        <v>6231.03215333582</v>
      </c>
      <c r="AA2017" s="63" t="n">
        <f aca="false">IFERROR((R2017+S2017+J2017)/F2017,0)</f>
        <v>1</v>
      </c>
      <c r="AB2017" s="0" t="str">
        <f aca="false">A2017&amp;"|"&amp;D2017</f>
        <v>Trinidad and Tobago|2021</v>
      </c>
    </row>
    <row r="2018" customFormat="false" ht="15" hidden="false" customHeight="false" outlineLevel="0" collapsed="false">
      <c r="A2018" s="0" t="s">
        <v>373</v>
      </c>
      <c r="B2018" s="0" t="s">
        <v>612</v>
      </c>
      <c r="C2018" s="0" t="s">
        <v>127</v>
      </c>
      <c r="D2018" s="0" t="n">
        <v>2022</v>
      </c>
      <c r="E2018" s="59" t="n">
        <v>1495923</v>
      </c>
      <c r="F2018" s="60" t="n">
        <v>9.5</v>
      </c>
      <c r="G2018" s="61" t="n">
        <v>0</v>
      </c>
      <c r="H2018" s="61" t="n">
        <v>9.45</v>
      </c>
      <c r="I2018" s="61" t="n">
        <v>0.04</v>
      </c>
      <c r="J2018" s="61" t="n">
        <v>0</v>
      </c>
      <c r="K2018" s="61" t="n">
        <v>0</v>
      </c>
      <c r="L2018" s="61" t="n">
        <v>0.01</v>
      </c>
      <c r="M2018" s="61" t="n">
        <v>0</v>
      </c>
      <c r="N2018" s="61" t="n">
        <v>0</v>
      </c>
      <c r="O2018" s="61" t="n">
        <v>0</v>
      </c>
      <c r="P2018" s="62" t="n">
        <v>682.1</v>
      </c>
      <c r="Q2018" s="0" t="n">
        <v>0</v>
      </c>
      <c r="R2018" s="60" t="n">
        <f aca="false">G2018+H2018+I2018</f>
        <v>9.49</v>
      </c>
      <c r="S2018" s="60" t="n">
        <f aca="false">K2018+L2018+M2018+N2018+O2018</f>
        <v>0.01</v>
      </c>
      <c r="T2018" s="60" t="n">
        <f aca="false">L2018+M2018</f>
        <v>0.01</v>
      </c>
      <c r="U2018" s="60" t="n">
        <f aca="false">S2018+J2018</f>
        <v>0.01</v>
      </c>
      <c r="V2018" s="63" t="n">
        <f aca="false">IFERROR(S2018/F2018,0)</f>
        <v>0.00105263157894737</v>
      </c>
      <c r="W2018" s="63" t="n">
        <f aca="false">IFERROR(R2018/F2018,0)</f>
        <v>0.998947368421053</v>
      </c>
      <c r="X2018" s="63" t="n">
        <f aca="false">IFERROR(T2018/F2018,0)</f>
        <v>0.00105263157894737</v>
      </c>
      <c r="Y2018" s="63" t="n">
        <f aca="false">IFERROR(G2018/F2018,0)</f>
        <v>0</v>
      </c>
      <c r="Z2018" s="59" t="n">
        <f aca="false">IF(E2018&gt;0,F2018*1000000000/E2018,"")</f>
        <v>6350.59424850076</v>
      </c>
      <c r="AA2018" s="63" t="n">
        <f aca="false">IFERROR((R2018+S2018+J2018)/F2018,0)</f>
        <v>1</v>
      </c>
      <c r="AB2018" s="0" t="str">
        <f aca="false">A2018&amp;"|"&amp;D2018</f>
        <v>Trinidad and Tobago|2022</v>
      </c>
    </row>
    <row r="2019" customFormat="false" ht="15" hidden="false" customHeight="false" outlineLevel="0" collapsed="false">
      <c r="A2019" s="0" t="s">
        <v>373</v>
      </c>
      <c r="B2019" s="0" t="s">
        <v>612</v>
      </c>
      <c r="C2019" s="0" t="s">
        <v>127</v>
      </c>
      <c r="D2019" s="0" t="n">
        <v>2023</v>
      </c>
      <c r="E2019" s="59" t="n">
        <v>1502938</v>
      </c>
      <c r="F2019" s="60" t="n">
        <v>9.52</v>
      </c>
      <c r="G2019" s="61" t="n">
        <v>0</v>
      </c>
      <c r="H2019" s="61" t="n">
        <v>9.47</v>
      </c>
      <c r="I2019" s="61" t="n">
        <v>0.04</v>
      </c>
      <c r="J2019" s="61" t="n">
        <v>0</v>
      </c>
      <c r="K2019" s="61" t="n">
        <v>0</v>
      </c>
      <c r="L2019" s="61" t="n">
        <v>0.01</v>
      </c>
      <c r="M2019" s="61" t="n">
        <v>0</v>
      </c>
      <c r="N2019" s="61" t="n">
        <v>0</v>
      </c>
      <c r="O2019" s="61" t="n">
        <v>0</v>
      </c>
      <c r="P2019" s="62" t="n">
        <v>681.7</v>
      </c>
      <c r="Q2019" s="0" t="n">
        <v>0</v>
      </c>
      <c r="R2019" s="60" t="n">
        <f aca="false">G2019+H2019+I2019</f>
        <v>9.51</v>
      </c>
      <c r="S2019" s="60" t="n">
        <f aca="false">K2019+L2019+M2019+N2019+O2019</f>
        <v>0.01</v>
      </c>
      <c r="T2019" s="60" t="n">
        <f aca="false">L2019+M2019</f>
        <v>0.01</v>
      </c>
      <c r="U2019" s="60" t="n">
        <f aca="false">S2019+J2019</f>
        <v>0.01</v>
      </c>
      <c r="V2019" s="63" t="n">
        <f aca="false">IFERROR(S2019/F2019,0)</f>
        <v>0.00105042016806723</v>
      </c>
      <c r="W2019" s="63" t="n">
        <f aca="false">IFERROR(R2019/F2019,0)</f>
        <v>0.998949579831933</v>
      </c>
      <c r="X2019" s="63" t="n">
        <f aca="false">IFERROR(T2019/F2019,0)</f>
        <v>0.00105042016806723</v>
      </c>
      <c r="Y2019" s="63" t="n">
        <f aca="false">IFERROR(G2019/F2019,0)</f>
        <v>0</v>
      </c>
      <c r="Z2019" s="59" t="n">
        <f aca="false">IF(E2019&gt;0,F2019*1000000000/E2019,"")</f>
        <v>6334.25996281949</v>
      </c>
      <c r="AA2019" s="63" t="n">
        <f aca="false">IFERROR((R2019+S2019+J2019)/F2019,0)</f>
        <v>1</v>
      </c>
      <c r="AB2019" s="0" t="str">
        <f aca="false">A2019&amp;"|"&amp;D2019</f>
        <v>Trinidad and Tobago|2023</v>
      </c>
    </row>
    <row r="2020" customFormat="false" ht="15" hidden="false" customHeight="false" outlineLevel="0" collapsed="false">
      <c r="A2020" s="0" t="s">
        <v>373</v>
      </c>
      <c r="B2020" s="0" t="s">
        <v>612</v>
      </c>
      <c r="C2020" s="0" t="s">
        <v>127</v>
      </c>
      <c r="D2020" s="0" t="n">
        <v>2024</v>
      </c>
      <c r="E2020" s="59" t="n">
        <v>1507778</v>
      </c>
      <c r="F2020" s="60" t="n">
        <v>9.55</v>
      </c>
      <c r="G2020" s="61" t="n">
        <v>0</v>
      </c>
      <c r="H2020" s="61" t="n">
        <v>9.5</v>
      </c>
      <c r="I2020" s="61" t="n">
        <v>0.04</v>
      </c>
      <c r="J2020" s="61" t="n">
        <v>0</v>
      </c>
      <c r="K2020" s="61" t="n">
        <v>0</v>
      </c>
      <c r="L2020" s="61" t="n">
        <v>0.01</v>
      </c>
      <c r="M2020" s="61" t="n">
        <v>0</v>
      </c>
      <c r="N2020" s="61" t="n">
        <v>0</v>
      </c>
      <c r="O2020" s="61" t="n">
        <v>0</v>
      </c>
      <c r="P2020" s="62" t="n">
        <v>681.7</v>
      </c>
      <c r="Q2020" s="0" t="n">
        <v>0</v>
      </c>
      <c r="R2020" s="60" t="n">
        <f aca="false">G2020+H2020+I2020</f>
        <v>9.54</v>
      </c>
      <c r="S2020" s="60" t="n">
        <f aca="false">K2020+L2020+M2020+N2020+O2020</f>
        <v>0.01</v>
      </c>
      <c r="T2020" s="60" t="n">
        <f aca="false">L2020+M2020</f>
        <v>0.01</v>
      </c>
      <c r="U2020" s="60" t="n">
        <f aca="false">S2020+J2020</f>
        <v>0.01</v>
      </c>
      <c r="V2020" s="63" t="n">
        <f aca="false">IFERROR(S2020/F2020,0)</f>
        <v>0.00104712041884817</v>
      </c>
      <c r="W2020" s="63" t="n">
        <f aca="false">IFERROR(R2020/F2020,0)</f>
        <v>0.998952879581152</v>
      </c>
      <c r="X2020" s="63" t="n">
        <f aca="false">IFERROR(T2020/F2020,0)</f>
        <v>0.00104712041884817</v>
      </c>
      <c r="Y2020" s="63" t="n">
        <f aca="false">IFERROR(G2020/F2020,0)</f>
        <v>0</v>
      </c>
      <c r="Z2020" s="59" t="n">
        <f aca="false">IF(E2020&gt;0,F2020*1000000000/E2020,"")</f>
        <v>6333.82367961331</v>
      </c>
      <c r="AA2020" s="63" t="n">
        <f aca="false">IFERROR((R2020+S2020+J2020)/F2020,0)</f>
        <v>1</v>
      </c>
      <c r="AB2020" s="0" t="str">
        <f aca="false">A2020&amp;"|"&amp;D2020</f>
        <v>Trinidad and Tobago|2024</v>
      </c>
    </row>
    <row r="2021" customFormat="false" ht="15" hidden="false" customHeight="false" outlineLevel="0" collapsed="false">
      <c r="A2021" s="0" t="s">
        <v>374</v>
      </c>
      <c r="B2021" s="0" t="s">
        <v>613</v>
      </c>
      <c r="C2021" s="0" t="s">
        <v>127</v>
      </c>
      <c r="D2021" s="0" t="n">
        <v>2015</v>
      </c>
      <c r="E2021" s="59" t="n">
        <v>11402270</v>
      </c>
      <c r="F2021" s="60" t="n">
        <v>19.48</v>
      </c>
      <c r="G2021" s="61" t="n">
        <v>0</v>
      </c>
      <c r="H2021" s="61" t="n">
        <v>17.99</v>
      </c>
      <c r="I2021" s="61" t="n">
        <v>0.91</v>
      </c>
      <c r="J2021" s="61" t="n">
        <v>0</v>
      </c>
      <c r="K2021" s="61" t="n">
        <v>0.07</v>
      </c>
      <c r="L2021" s="61" t="n">
        <v>0.06</v>
      </c>
      <c r="M2021" s="61" t="n">
        <v>0.45</v>
      </c>
      <c r="N2021" s="61" t="n">
        <v>0</v>
      </c>
      <c r="O2021" s="61" t="n">
        <v>0</v>
      </c>
      <c r="P2021" s="62" t="n">
        <v>567.8</v>
      </c>
      <c r="Q2021" s="0" t="n">
        <v>0</v>
      </c>
      <c r="R2021" s="60" t="n">
        <f aca="false">G2021+H2021+I2021</f>
        <v>18.9</v>
      </c>
      <c r="S2021" s="60" t="n">
        <f aca="false">K2021+L2021+M2021+N2021+O2021</f>
        <v>0.58</v>
      </c>
      <c r="T2021" s="60" t="n">
        <f aca="false">L2021+M2021</f>
        <v>0.51</v>
      </c>
      <c r="U2021" s="60" t="n">
        <f aca="false">S2021+J2021</f>
        <v>0.58</v>
      </c>
      <c r="V2021" s="63" t="n">
        <f aca="false">IFERROR(S2021/F2021,0)</f>
        <v>0.0297741273100616</v>
      </c>
      <c r="W2021" s="63" t="n">
        <f aca="false">IFERROR(R2021/F2021,0)</f>
        <v>0.970225872689938</v>
      </c>
      <c r="X2021" s="63" t="n">
        <f aca="false">IFERROR(T2021/F2021,0)</f>
        <v>0.0261806981519507</v>
      </c>
      <c r="Y2021" s="63" t="n">
        <f aca="false">IFERROR(G2021/F2021,0)</f>
        <v>0</v>
      </c>
      <c r="Z2021" s="59" t="n">
        <f aca="false">IF(E2021&gt;0,F2021*1000000000/E2021,"")</f>
        <v>1708.43174210048</v>
      </c>
      <c r="AA2021" s="63" t="n">
        <f aca="false">IFERROR((R2021+S2021+J2021)/F2021,0)</f>
        <v>1</v>
      </c>
      <c r="AB2021" s="0" t="str">
        <f aca="false">A2021&amp;"|"&amp;D2021</f>
        <v>Tunisia|2015</v>
      </c>
    </row>
    <row r="2022" customFormat="false" ht="15" hidden="false" customHeight="false" outlineLevel="0" collapsed="false">
      <c r="A2022" s="0" t="s">
        <v>374</v>
      </c>
      <c r="B2022" s="0" t="s">
        <v>613</v>
      </c>
      <c r="C2022" s="0" t="s">
        <v>127</v>
      </c>
      <c r="D2022" s="0" t="n">
        <v>2016</v>
      </c>
      <c r="E2022" s="59" t="n">
        <v>11528676</v>
      </c>
      <c r="F2022" s="60" t="n">
        <v>19.63</v>
      </c>
      <c r="G2022" s="61" t="n">
        <v>0</v>
      </c>
      <c r="H2022" s="61" t="n">
        <v>18.96</v>
      </c>
      <c r="I2022" s="61" t="n">
        <v>0.04</v>
      </c>
      <c r="J2022" s="61" t="n">
        <v>0</v>
      </c>
      <c r="K2022" s="61" t="n">
        <v>0.05</v>
      </c>
      <c r="L2022" s="61" t="n">
        <v>0.11</v>
      </c>
      <c r="M2022" s="61" t="n">
        <v>0.47</v>
      </c>
      <c r="N2022" s="61" t="n">
        <v>0</v>
      </c>
      <c r="O2022" s="61" t="n">
        <v>0</v>
      </c>
      <c r="P2022" s="62" t="n">
        <v>563.4</v>
      </c>
      <c r="Q2022" s="0" t="n">
        <v>0</v>
      </c>
      <c r="R2022" s="60" t="n">
        <f aca="false">G2022+H2022+I2022</f>
        <v>19</v>
      </c>
      <c r="S2022" s="60" t="n">
        <f aca="false">K2022+L2022+M2022+N2022+O2022</f>
        <v>0.63</v>
      </c>
      <c r="T2022" s="60" t="n">
        <f aca="false">L2022+M2022</f>
        <v>0.58</v>
      </c>
      <c r="U2022" s="60" t="n">
        <f aca="false">S2022+J2022</f>
        <v>0.63</v>
      </c>
      <c r="V2022" s="63" t="n">
        <f aca="false">IFERROR(S2022/F2022,0)</f>
        <v>0.0320937340804891</v>
      </c>
      <c r="W2022" s="63" t="n">
        <f aca="false">IFERROR(R2022/F2022,0)</f>
        <v>0.967906265919511</v>
      </c>
      <c r="X2022" s="63" t="n">
        <f aca="false">IFERROR(T2022/F2022,0)</f>
        <v>0.0295466123280693</v>
      </c>
      <c r="Y2022" s="63" t="n">
        <f aca="false">IFERROR(G2022/F2022,0)</f>
        <v>0</v>
      </c>
      <c r="Z2022" s="59" t="n">
        <f aca="false">IF(E2022&gt;0,F2022*1000000000/E2022,"")</f>
        <v>1702.71070155844</v>
      </c>
      <c r="AA2022" s="63" t="n">
        <f aca="false">IFERROR((R2022+S2022+J2022)/F2022,0)</f>
        <v>1</v>
      </c>
      <c r="AB2022" s="0" t="str">
        <f aca="false">A2022&amp;"|"&amp;D2022</f>
        <v>Tunisia|2016</v>
      </c>
    </row>
    <row r="2023" customFormat="false" ht="15" hidden="false" customHeight="false" outlineLevel="0" collapsed="false">
      <c r="A2023" s="0" t="s">
        <v>374</v>
      </c>
      <c r="B2023" s="0" t="s">
        <v>613</v>
      </c>
      <c r="C2023" s="0" t="s">
        <v>127</v>
      </c>
      <c r="D2023" s="0" t="n">
        <v>2017</v>
      </c>
      <c r="E2023" s="59" t="n">
        <v>11650504</v>
      </c>
      <c r="F2023" s="60" t="n">
        <v>20.58</v>
      </c>
      <c r="G2023" s="61" t="n">
        <v>0</v>
      </c>
      <c r="H2023" s="61" t="n">
        <v>19.71</v>
      </c>
      <c r="I2023" s="61" t="n">
        <v>0.27</v>
      </c>
      <c r="J2023" s="61" t="n">
        <v>0</v>
      </c>
      <c r="K2023" s="61" t="n">
        <v>0.02</v>
      </c>
      <c r="L2023" s="61" t="n">
        <v>0.13</v>
      </c>
      <c r="M2023" s="61" t="n">
        <v>0.45</v>
      </c>
      <c r="N2023" s="61" t="n">
        <v>0</v>
      </c>
      <c r="O2023" s="61" t="n">
        <v>0</v>
      </c>
      <c r="P2023" s="62" t="n">
        <v>566.1</v>
      </c>
      <c r="Q2023" s="0" t="n">
        <v>0</v>
      </c>
      <c r="R2023" s="60" t="n">
        <f aca="false">G2023+H2023+I2023</f>
        <v>19.98</v>
      </c>
      <c r="S2023" s="60" t="n">
        <f aca="false">K2023+L2023+M2023+N2023+O2023</f>
        <v>0.6</v>
      </c>
      <c r="T2023" s="60" t="n">
        <f aca="false">L2023+M2023</f>
        <v>0.58</v>
      </c>
      <c r="U2023" s="60" t="n">
        <f aca="false">S2023+J2023</f>
        <v>0.6</v>
      </c>
      <c r="V2023" s="63" t="n">
        <f aca="false">IFERROR(S2023/F2023,0)</f>
        <v>0.0291545189504373</v>
      </c>
      <c r="W2023" s="63" t="n">
        <f aca="false">IFERROR(R2023/F2023,0)</f>
        <v>0.970845481049563</v>
      </c>
      <c r="X2023" s="63" t="n">
        <f aca="false">IFERROR(T2023/F2023,0)</f>
        <v>0.0281827016520894</v>
      </c>
      <c r="Y2023" s="63" t="n">
        <f aca="false">IFERROR(G2023/F2023,0)</f>
        <v>0</v>
      </c>
      <c r="Z2023" s="59" t="n">
        <f aca="false">IF(E2023&gt;0,F2023*1000000000/E2023,"")</f>
        <v>1766.44718546082</v>
      </c>
      <c r="AA2023" s="63" t="n">
        <f aca="false">IFERROR((R2023+S2023+J2023)/F2023,0)</f>
        <v>1</v>
      </c>
      <c r="AB2023" s="0" t="str">
        <f aca="false">A2023&amp;"|"&amp;D2023</f>
        <v>Tunisia|2017</v>
      </c>
    </row>
    <row r="2024" customFormat="false" ht="15" hidden="false" customHeight="false" outlineLevel="0" collapsed="false">
      <c r="A2024" s="0" t="s">
        <v>374</v>
      </c>
      <c r="B2024" s="0" t="s">
        <v>613</v>
      </c>
      <c r="C2024" s="0" t="s">
        <v>127</v>
      </c>
      <c r="D2024" s="0" t="n">
        <v>2018</v>
      </c>
      <c r="E2024" s="59" t="n">
        <v>11765515</v>
      </c>
      <c r="F2024" s="60" t="n">
        <v>20.92</v>
      </c>
      <c r="G2024" s="61" t="n">
        <v>0</v>
      </c>
      <c r="H2024" s="61" t="n">
        <v>20.04</v>
      </c>
      <c r="I2024" s="61" t="n">
        <v>0.33</v>
      </c>
      <c r="J2024" s="61" t="n">
        <v>0</v>
      </c>
      <c r="K2024" s="61" t="n">
        <v>0.02</v>
      </c>
      <c r="L2024" s="61" t="n">
        <v>0.08</v>
      </c>
      <c r="M2024" s="61" t="n">
        <v>0.45</v>
      </c>
      <c r="N2024" s="61" t="n">
        <v>0</v>
      </c>
      <c r="O2024" s="61" t="n">
        <v>0</v>
      </c>
      <c r="P2024" s="62" t="n">
        <v>567.4</v>
      </c>
      <c r="Q2024" s="0" t="n">
        <v>0</v>
      </c>
      <c r="R2024" s="60" t="n">
        <f aca="false">G2024+H2024+I2024</f>
        <v>20.37</v>
      </c>
      <c r="S2024" s="60" t="n">
        <f aca="false">K2024+L2024+M2024+N2024+O2024</f>
        <v>0.55</v>
      </c>
      <c r="T2024" s="60" t="n">
        <f aca="false">L2024+M2024</f>
        <v>0.53</v>
      </c>
      <c r="U2024" s="60" t="n">
        <f aca="false">S2024+J2024</f>
        <v>0.55</v>
      </c>
      <c r="V2024" s="63" t="n">
        <f aca="false">IFERROR(S2024/F2024,0)</f>
        <v>0.0262906309751434</v>
      </c>
      <c r="W2024" s="63" t="n">
        <f aca="false">IFERROR(R2024/F2024,0)</f>
        <v>0.973709369024856</v>
      </c>
      <c r="X2024" s="63" t="n">
        <f aca="false">IFERROR(T2024/F2024,0)</f>
        <v>0.0253346080305927</v>
      </c>
      <c r="Y2024" s="63" t="n">
        <f aca="false">IFERROR(G2024/F2024,0)</f>
        <v>0</v>
      </c>
      <c r="Z2024" s="59" t="n">
        <f aca="false">IF(E2024&gt;0,F2024*1000000000/E2024,"")</f>
        <v>1778.07771270531</v>
      </c>
      <c r="AA2024" s="63" t="n">
        <f aca="false">IFERROR((R2024+S2024+J2024)/F2024,0)</f>
        <v>1</v>
      </c>
      <c r="AB2024" s="0" t="str">
        <f aca="false">A2024&amp;"|"&amp;D2024</f>
        <v>Tunisia|2018</v>
      </c>
    </row>
    <row r="2025" customFormat="false" ht="15" hidden="false" customHeight="false" outlineLevel="0" collapsed="false">
      <c r="A2025" s="0" t="s">
        <v>374</v>
      </c>
      <c r="B2025" s="0" t="s">
        <v>613</v>
      </c>
      <c r="C2025" s="0" t="s">
        <v>127</v>
      </c>
      <c r="D2025" s="0" t="n">
        <v>2019</v>
      </c>
      <c r="E2025" s="59" t="n">
        <v>11875084</v>
      </c>
      <c r="F2025" s="60" t="n">
        <v>22.02</v>
      </c>
      <c r="G2025" s="61" t="n">
        <v>0</v>
      </c>
      <c r="H2025" s="61" t="n">
        <v>21.01</v>
      </c>
      <c r="I2025" s="61" t="n">
        <v>0.32</v>
      </c>
      <c r="J2025" s="61" t="n">
        <v>0</v>
      </c>
      <c r="K2025" s="61" t="n">
        <v>0.07</v>
      </c>
      <c r="L2025" s="61" t="n">
        <v>0.12</v>
      </c>
      <c r="M2025" s="61" t="n">
        <v>0.5</v>
      </c>
      <c r="N2025" s="61" t="n">
        <v>0</v>
      </c>
      <c r="O2025" s="61" t="n">
        <v>0</v>
      </c>
      <c r="P2025" s="62" t="n">
        <v>564.9</v>
      </c>
      <c r="Q2025" s="0" t="n">
        <v>0</v>
      </c>
      <c r="R2025" s="60" t="n">
        <f aca="false">G2025+H2025+I2025</f>
        <v>21.33</v>
      </c>
      <c r="S2025" s="60" t="n">
        <f aca="false">K2025+L2025+M2025+N2025+O2025</f>
        <v>0.69</v>
      </c>
      <c r="T2025" s="60" t="n">
        <f aca="false">L2025+M2025</f>
        <v>0.62</v>
      </c>
      <c r="U2025" s="60" t="n">
        <f aca="false">S2025+J2025</f>
        <v>0.69</v>
      </c>
      <c r="V2025" s="63" t="n">
        <f aca="false">IFERROR(S2025/F2025,0)</f>
        <v>0.0313351498637602</v>
      </c>
      <c r="W2025" s="63" t="n">
        <f aca="false">IFERROR(R2025/F2025,0)</f>
        <v>0.96866485013624</v>
      </c>
      <c r="X2025" s="63" t="n">
        <f aca="false">IFERROR(T2025/F2025,0)</f>
        <v>0.0281562216167121</v>
      </c>
      <c r="Y2025" s="63" t="n">
        <f aca="false">IFERROR(G2025/F2025,0)</f>
        <v>0</v>
      </c>
      <c r="Z2025" s="59" t="n">
        <f aca="false">IF(E2025&gt;0,F2025*1000000000/E2025,"")</f>
        <v>1854.30267272215</v>
      </c>
      <c r="AA2025" s="63" t="n">
        <f aca="false">IFERROR((R2025+S2025+J2025)/F2025,0)</f>
        <v>1</v>
      </c>
      <c r="AB2025" s="0" t="str">
        <f aca="false">A2025&amp;"|"&amp;D2025</f>
        <v>Tunisia|2019</v>
      </c>
    </row>
    <row r="2026" customFormat="false" ht="15" hidden="false" customHeight="false" outlineLevel="0" collapsed="false">
      <c r="A2026" s="0" t="s">
        <v>374</v>
      </c>
      <c r="B2026" s="0" t="s">
        <v>613</v>
      </c>
      <c r="C2026" s="0" t="s">
        <v>127</v>
      </c>
      <c r="D2026" s="0" t="n">
        <v>2020</v>
      </c>
      <c r="E2026" s="59" t="n">
        <v>11974058</v>
      </c>
      <c r="F2026" s="60" t="n">
        <v>21.38</v>
      </c>
      <c r="G2026" s="61" t="n">
        <v>0</v>
      </c>
      <c r="H2026" s="61" t="n">
        <v>20.47</v>
      </c>
      <c r="I2026" s="61" t="n">
        <v>0.24</v>
      </c>
      <c r="J2026" s="61" t="n">
        <v>0</v>
      </c>
      <c r="K2026" s="61" t="n">
        <v>0.05</v>
      </c>
      <c r="L2026" s="61" t="n">
        <v>0.15</v>
      </c>
      <c r="M2026" s="61" t="n">
        <v>0.47</v>
      </c>
      <c r="N2026" s="61" t="n">
        <v>0</v>
      </c>
      <c r="O2026" s="61" t="n">
        <v>0</v>
      </c>
      <c r="P2026" s="62" t="n">
        <v>564.5</v>
      </c>
      <c r="Q2026" s="0" t="n">
        <v>0</v>
      </c>
      <c r="R2026" s="60" t="n">
        <f aca="false">G2026+H2026+I2026</f>
        <v>20.71</v>
      </c>
      <c r="S2026" s="60" t="n">
        <f aca="false">K2026+L2026+M2026+N2026+O2026</f>
        <v>0.67</v>
      </c>
      <c r="T2026" s="60" t="n">
        <f aca="false">L2026+M2026</f>
        <v>0.62</v>
      </c>
      <c r="U2026" s="60" t="n">
        <f aca="false">S2026+J2026</f>
        <v>0.67</v>
      </c>
      <c r="V2026" s="63" t="n">
        <f aca="false">IFERROR(S2026/F2026,0)</f>
        <v>0.0313376987839102</v>
      </c>
      <c r="W2026" s="63" t="n">
        <f aca="false">IFERROR(R2026/F2026,0)</f>
        <v>0.96866230121609</v>
      </c>
      <c r="X2026" s="63" t="n">
        <f aca="false">IFERROR(T2026/F2026,0)</f>
        <v>0.028999064546305</v>
      </c>
      <c r="Y2026" s="63" t="n">
        <f aca="false">IFERROR(G2026/F2026,0)</f>
        <v>0</v>
      </c>
      <c r="Z2026" s="59" t="n">
        <f aca="false">IF(E2026&gt;0,F2026*1000000000/E2026,"")</f>
        <v>1785.5266777562</v>
      </c>
      <c r="AA2026" s="63" t="n">
        <f aca="false">IFERROR((R2026+S2026+J2026)/F2026,0)</f>
        <v>1</v>
      </c>
      <c r="AB2026" s="0" t="str">
        <f aca="false">A2026&amp;"|"&amp;D2026</f>
        <v>Tunisia|2020</v>
      </c>
    </row>
    <row r="2027" customFormat="false" ht="15" hidden="false" customHeight="false" outlineLevel="0" collapsed="false">
      <c r="A2027" s="0" t="s">
        <v>374</v>
      </c>
      <c r="B2027" s="0" t="s">
        <v>613</v>
      </c>
      <c r="C2027" s="0" t="s">
        <v>127</v>
      </c>
      <c r="D2027" s="0" t="n">
        <v>2021</v>
      </c>
      <c r="E2027" s="59" t="n">
        <v>12048625</v>
      </c>
      <c r="F2027" s="60" t="n">
        <v>21.9</v>
      </c>
      <c r="G2027" s="61" t="n">
        <v>0</v>
      </c>
      <c r="H2027" s="61" t="n">
        <v>20.97</v>
      </c>
      <c r="I2027" s="61" t="n">
        <v>0.25</v>
      </c>
      <c r="J2027" s="61" t="n">
        <v>0</v>
      </c>
      <c r="K2027" s="61" t="n">
        <v>0.03</v>
      </c>
      <c r="L2027" s="61" t="n">
        <v>0.22</v>
      </c>
      <c r="M2027" s="61" t="n">
        <v>0.43</v>
      </c>
      <c r="N2027" s="61" t="n">
        <v>0</v>
      </c>
      <c r="O2027" s="61" t="n">
        <v>0</v>
      </c>
      <c r="P2027" s="62" t="n">
        <v>564.4</v>
      </c>
      <c r="Q2027" s="0" t="n">
        <v>0</v>
      </c>
      <c r="R2027" s="60" t="n">
        <f aca="false">G2027+H2027+I2027</f>
        <v>21.22</v>
      </c>
      <c r="S2027" s="60" t="n">
        <f aca="false">K2027+L2027+M2027+N2027+O2027</f>
        <v>0.68</v>
      </c>
      <c r="T2027" s="60" t="n">
        <f aca="false">L2027+M2027</f>
        <v>0.65</v>
      </c>
      <c r="U2027" s="60" t="n">
        <f aca="false">S2027+J2027</f>
        <v>0.68</v>
      </c>
      <c r="V2027" s="63" t="n">
        <f aca="false">IFERROR(S2027/F2027,0)</f>
        <v>0.0310502283105023</v>
      </c>
      <c r="W2027" s="63" t="n">
        <f aca="false">IFERROR(R2027/F2027,0)</f>
        <v>0.968949771689498</v>
      </c>
      <c r="X2027" s="63" t="n">
        <f aca="false">IFERROR(T2027/F2027,0)</f>
        <v>0.0296803652968037</v>
      </c>
      <c r="Y2027" s="63" t="n">
        <f aca="false">IFERROR(G2027/F2027,0)</f>
        <v>0</v>
      </c>
      <c r="Z2027" s="59" t="n">
        <f aca="false">IF(E2027&gt;0,F2027*1000000000/E2027,"")</f>
        <v>1817.63479235182</v>
      </c>
      <c r="AA2027" s="63" t="n">
        <f aca="false">IFERROR((R2027+S2027+J2027)/F2027,0)</f>
        <v>1</v>
      </c>
      <c r="AB2027" s="0" t="str">
        <f aca="false">A2027&amp;"|"&amp;D2027</f>
        <v>Tunisia|2021</v>
      </c>
    </row>
    <row r="2028" customFormat="false" ht="15" hidden="false" customHeight="false" outlineLevel="0" collapsed="false">
      <c r="A2028" s="0" t="s">
        <v>374</v>
      </c>
      <c r="B2028" s="0" t="s">
        <v>613</v>
      </c>
      <c r="C2028" s="0" t="s">
        <v>127</v>
      </c>
      <c r="D2028" s="0" t="n">
        <v>2022</v>
      </c>
      <c r="E2028" s="59" t="n">
        <v>12119338</v>
      </c>
      <c r="F2028" s="60" t="n">
        <v>21.41</v>
      </c>
      <c r="G2028" s="61" t="n">
        <v>0</v>
      </c>
      <c r="H2028" s="61" t="n">
        <v>20.52</v>
      </c>
      <c r="I2028" s="61" t="n">
        <v>0.24</v>
      </c>
      <c r="J2028" s="61" t="n">
        <v>0</v>
      </c>
      <c r="K2028" s="61" t="n">
        <v>0.01</v>
      </c>
      <c r="L2028" s="61" t="n">
        <v>0.32</v>
      </c>
      <c r="M2028" s="61" t="n">
        <v>0.32</v>
      </c>
      <c r="N2028" s="61" t="n">
        <v>0</v>
      </c>
      <c r="O2028" s="61" t="n">
        <v>0</v>
      </c>
      <c r="P2028" s="62" t="n">
        <v>565.6</v>
      </c>
      <c r="Q2028" s="0" t="n">
        <v>0</v>
      </c>
      <c r="R2028" s="60" t="n">
        <f aca="false">G2028+H2028+I2028</f>
        <v>20.76</v>
      </c>
      <c r="S2028" s="60" t="n">
        <f aca="false">K2028+L2028+M2028+N2028+O2028</f>
        <v>0.65</v>
      </c>
      <c r="T2028" s="60" t="n">
        <f aca="false">L2028+M2028</f>
        <v>0.64</v>
      </c>
      <c r="U2028" s="60" t="n">
        <f aca="false">S2028+J2028</f>
        <v>0.65</v>
      </c>
      <c r="V2028" s="63" t="n">
        <f aca="false">IFERROR(S2028/F2028,0)</f>
        <v>0.0303596450256889</v>
      </c>
      <c r="W2028" s="63" t="n">
        <f aca="false">IFERROR(R2028/F2028,0)</f>
        <v>0.969640354974311</v>
      </c>
      <c r="X2028" s="63" t="n">
        <f aca="false">IFERROR(T2028/F2028,0)</f>
        <v>0.0298925735637553</v>
      </c>
      <c r="Y2028" s="63" t="n">
        <f aca="false">IFERROR(G2028/F2028,0)</f>
        <v>0</v>
      </c>
      <c r="Z2028" s="59" t="n">
        <f aca="false">IF(E2028&gt;0,F2028*1000000000/E2028,"")</f>
        <v>1766.59814257181</v>
      </c>
      <c r="AA2028" s="63" t="n">
        <f aca="false">IFERROR((R2028+S2028+J2028)/F2028,0)</f>
        <v>1</v>
      </c>
      <c r="AB2028" s="0" t="str">
        <f aca="false">A2028&amp;"|"&amp;D2028</f>
        <v>Tunisia|2022</v>
      </c>
    </row>
    <row r="2029" customFormat="false" ht="15" hidden="false" customHeight="false" outlineLevel="0" collapsed="false">
      <c r="A2029" s="0" t="s">
        <v>374</v>
      </c>
      <c r="B2029" s="0" t="s">
        <v>613</v>
      </c>
      <c r="C2029" s="0" t="s">
        <v>127</v>
      </c>
      <c r="D2029" s="0" t="n">
        <v>2023</v>
      </c>
      <c r="E2029" s="59" t="n">
        <v>12200434</v>
      </c>
      <c r="F2029" s="60" t="n">
        <v>21.28</v>
      </c>
      <c r="G2029" s="61" t="n">
        <v>0</v>
      </c>
      <c r="H2029" s="61" t="n">
        <v>20.23</v>
      </c>
      <c r="I2029" s="61" t="n">
        <v>0.21</v>
      </c>
      <c r="J2029" s="61" t="n">
        <v>0</v>
      </c>
      <c r="K2029" s="61" t="n">
        <v>0.01</v>
      </c>
      <c r="L2029" s="61" t="n">
        <v>0.49</v>
      </c>
      <c r="M2029" s="61" t="n">
        <v>0.34</v>
      </c>
      <c r="N2029" s="61" t="n">
        <v>0</v>
      </c>
      <c r="O2029" s="61" t="n">
        <v>0</v>
      </c>
      <c r="P2029" s="62" t="n">
        <v>560.1</v>
      </c>
      <c r="Q2029" s="0" t="n">
        <v>0</v>
      </c>
      <c r="R2029" s="60" t="n">
        <f aca="false">G2029+H2029+I2029</f>
        <v>20.44</v>
      </c>
      <c r="S2029" s="60" t="n">
        <f aca="false">K2029+L2029+M2029+N2029+O2029</f>
        <v>0.84</v>
      </c>
      <c r="T2029" s="60" t="n">
        <f aca="false">L2029+M2029</f>
        <v>0.83</v>
      </c>
      <c r="U2029" s="60" t="n">
        <f aca="false">S2029+J2029</f>
        <v>0.84</v>
      </c>
      <c r="V2029" s="63" t="n">
        <f aca="false">IFERROR(S2029/F2029,0)</f>
        <v>0.0394736842105263</v>
      </c>
      <c r="W2029" s="63" t="n">
        <f aca="false">IFERROR(R2029/F2029,0)</f>
        <v>0.960526315789474</v>
      </c>
      <c r="X2029" s="63" t="n">
        <f aca="false">IFERROR(T2029/F2029,0)</f>
        <v>0.0390037593984962</v>
      </c>
      <c r="Y2029" s="63" t="n">
        <f aca="false">IFERROR(G2029/F2029,0)</f>
        <v>0</v>
      </c>
      <c r="Z2029" s="59" t="n">
        <f aca="false">IF(E2029&gt;0,F2029*1000000000/E2029,"")</f>
        <v>1744.20024730268</v>
      </c>
      <c r="AA2029" s="63" t="n">
        <f aca="false">IFERROR((R2029+S2029+J2029)/F2029,0)</f>
        <v>1</v>
      </c>
      <c r="AB2029" s="0" t="str">
        <f aca="false">A2029&amp;"|"&amp;D2029</f>
        <v>Tunisia|2023</v>
      </c>
    </row>
    <row r="2030" customFormat="false" ht="15" hidden="false" customHeight="false" outlineLevel="0" collapsed="false">
      <c r="A2030" s="0" t="s">
        <v>374</v>
      </c>
      <c r="B2030" s="0" t="s">
        <v>613</v>
      </c>
      <c r="C2030" s="0" t="s">
        <v>127</v>
      </c>
      <c r="D2030" s="0" t="n">
        <v>2024</v>
      </c>
      <c r="E2030" s="59" t="n">
        <v>12277103</v>
      </c>
      <c r="F2030" s="60" t="n">
        <v>21.37</v>
      </c>
      <c r="G2030" s="61" t="n">
        <v>0</v>
      </c>
      <c r="H2030" s="61" t="n">
        <v>20.2</v>
      </c>
      <c r="I2030" s="61" t="n">
        <v>0.23</v>
      </c>
      <c r="J2030" s="61" t="n">
        <v>0</v>
      </c>
      <c r="K2030" s="61" t="n">
        <v>0.01</v>
      </c>
      <c r="L2030" s="61" t="n">
        <v>0.56</v>
      </c>
      <c r="M2030" s="61" t="n">
        <v>0.37</v>
      </c>
      <c r="N2030" s="61" t="n">
        <v>0</v>
      </c>
      <c r="O2030" s="61" t="n">
        <v>0</v>
      </c>
      <c r="P2030" s="62" t="n">
        <v>558.3</v>
      </c>
      <c r="Q2030" s="0" t="n">
        <v>0</v>
      </c>
      <c r="R2030" s="60" t="n">
        <f aca="false">G2030+H2030+I2030</f>
        <v>20.43</v>
      </c>
      <c r="S2030" s="60" t="n">
        <f aca="false">K2030+L2030+M2030+N2030+O2030</f>
        <v>0.94</v>
      </c>
      <c r="T2030" s="60" t="n">
        <f aca="false">L2030+M2030</f>
        <v>0.93</v>
      </c>
      <c r="U2030" s="60" t="n">
        <f aca="false">S2030+J2030</f>
        <v>0.94</v>
      </c>
      <c r="V2030" s="63" t="n">
        <f aca="false">IFERROR(S2030/F2030,0)</f>
        <v>0.0439868975198877</v>
      </c>
      <c r="W2030" s="63" t="n">
        <f aca="false">IFERROR(R2030/F2030,0)</f>
        <v>0.956013102480112</v>
      </c>
      <c r="X2030" s="63" t="n">
        <f aca="false">IFERROR(T2030/F2030,0)</f>
        <v>0.043518951801591</v>
      </c>
      <c r="Y2030" s="63" t="n">
        <f aca="false">IFERROR(G2030/F2030,0)</f>
        <v>0</v>
      </c>
      <c r="Z2030" s="59" t="n">
        <f aca="false">IF(E2030&gt;0,F2030*1000000000/E2030,"")</f>
        <v>1740.63865066539</v>
      </c>
      <c r="AA2030" s="63" t="n">
        <f aca="false">IFERROR((R2030+S2030+J2030)/F2030,0)</f>
        <v>1</v>
      </c>
      <c r="AB2030" s="0" t="str">
        <f aca="false">A2030&amp;"|"&amp;D2030</f>
        <v>Tunisia|2024</v>
      </c>
    </row>
    <row r="2031" customFormat="false" ht="15" hidden="false" customHeight="false" outlineLevel="0" collapsed="false">
      <c r="A2031" s="0" t="s">
        <v>374</v>
      </c>
      <c r="B2031" s="0" t="s">
        <v>613</v>
      </c>
      <c r="C2031" s="0" t="s">
        <v>127</v>
      </c>
      <c r="D2031" s="0" t="n">
        <v>2025</v>
      </c>
      <c r="E2031" s="59" t="n">
        <v>12348576</v>
      </c>
      <c r="F2031" s="60" t="n">
        <v>22.31</v>
      </c>
      <c r="G2031" s="61" t="n">
        <v>0</v>
      </c>
      <c r="H2031" s="61" t="n">
        <v>21.18</v>
      </c>
      <c r="I2031" s="61" t="n">
        <v>0.23</v>
      </c>
      <c r="J2031" s="61" t="n">
        <v>0</v>
      </c>
      <c r="K2031" s="61" t="n">
        <v>0.01</v>
      </c>
      <c r="L2031" s="61" t="n">
        <v>0.56</v>
      </c>
      <c r="M2031" s="61" t="n">
        <v>0.33</v>
      </c>
      <c r="N2031" s="61" t="n">
        <v>0</v>
      </c>
      <c r="O2031" s="61" t="n">
        <v>0</v>
      </c>
      <c r="P2031" s="62" t="n">
        <v>560.3</v>
      </c>
      <c r="Q2031" s="0" t="n">
        <v>0</v>
      </c>
      <c r="R2031" s="60" t="n">
        <f aca="false">G2031+H2031+I2031</f>
        <v>21.41</v>
      </c>
      <c r="S2031" s="60" t="n">
        <f aca="false">K2031+L2031+M2031+N2031+O2031</f>
        <v>0.9</v>
      </c>
      <c r="T2031" s="60" t="n">
        <f aca="false">L2031+M2031</f>
        <v>0.89</v>
      </c>
      <c r="U2031" s="60" t="n">
        <f aca="false">S2031+J2031</f>
        <v>0.9</v>
      </c>
      <c r="V2031" s="63" t="n">
        <f aca="false">IFERROR(S2031/F2031,0)</f>
        <v>0.0403406544150605</v>
      </c>
      <c r="W2031" s="63" t="n">
        <f aca="false">IFERROR(R2031/F2031,0)</f>
        <v>0.95965934558494</v>
      </c>
      <c r="X2031" s="63" t="n">
        <f aca="false">IFERROR(T2031/F2031,0)</f>
        <v>0.0398924249215598</v>
      </c>
      <c r="Y2031" s="63" t="n">
        <f aca="false">IFERROR(G2031/F2031,0)</f>
        <v>0</v>
      </c>
      <c r="Z2031" s="59" t="n">
        <f aca="false">IF(E2031&gt;0,F2031*1000000000/E2031,"")</f>
        <v>1806.68605027819</v>
      </c>
      <c r="AA2031" s="63" t="n">
        <f aca="false">IFERROR((R2031+S2031+J2031)/F2031,0)</f>
        <v>1</v>
      </c>
      <c r="AB2031" s="0" t="str">
        <f aca="false">A2031&amp;"|"&amp;D2031</f>
        <v>Tunisia|2025</v>
      </c>
    </row>
    <row r="2032" customFormat="false" ht="15" hidden="false" customHeight="false" outlineLevel="0" collapsed="false">
      <c r="A2032" s="0" t="s">
        <v>375</v>
      </c>
      <c r="B2032" s="0" t="s">
        <v>614</v>
      </c>
      <c r="C2032" s="0" t="s">
        <v>127</v>
      </c>
      <c r="D2032" s="0" t="n">
        <v>2015</v>
      </c>
      <c r="E2032" s="59" t="n">
        <v>80014222</v>
      </c>
      <c r="F2032" s="60" t="n">
        <v>261.77</v>
      </c>
      <c r="G2032" s="61" t="n">
        <v>76.16</v>
      </c>
      <c r="H2032" s="61" t="n">
        <v>99.22</v>
      </c>
      <c r="I2032" s="61" t="n">
        <v>2.74</v>
      </c>
      <c r="J2032" s="61" t="n">
        <v>0</v>
      </c>
      <c r="K2032" s="61" t="n">
        <v>67.15</v>
      </c>
      <c r="L2032" s="61" t="n">
        <v>0.19</v>
      </c>
      <c r="M2032" s="61" t="n">
        <v>11.65</v>
      </c>
      <c r="N2032" s="61" t="n">
        <v>1.24</v>
      </c>
      <c r="O2032" s="61" t="n">
        <v>3.42</v>
      </c>
      <c r="P2032" s="62" t="n">
        <v>504.6</v>
      </c>
      <c r="Q2032" s="0" t="n">
        <v>0</v>
      </c>
      <c r="R2032" s="60" t="n">
        <f aca="false">G2032+H2032+I2032</f>
        <v>178.12</v>
      </c>
      <c r="S2032" s="60" t="n">
        <f aca="false">K2032+L2032+M2032+N2032+O2032</f>
        <v>83.65</v>
      </c>
      <c r="T2032" s="60" t="n">
        <f aca="false">L2032+M2032</f>
        <v>11.84</v>
      </c>
      <c r="U2032" s="60" t="n">
        <f aca="false">S2032+J2032</f>
        <v>83.65</v>
      </c>
      <c r="V2032" s="63" t="n">
        <f aca="false">IFERROR(S2032/F2032,0)</f>
        <v>0.319555334835925</v>
      </c>
      <c r="W2032" s="63" t="n">
        <f aca="false">IFERROR(R2032/F2032,0)</f>
        <v>0.680444665164075</v>
      </c>
      <c r="X2032" s="63" t="n">
        <f aca="false">IFERROR(T2032/F2032,0)</f>
        <v>0.0452305458990717</v>
      </c>
      <c r="Y2032" s="63" t="n">
        <f aca="false">IFERROR(G2032/F2032,0)</f>
        <v>0.290942430377813</v>
      </c>
      <c r="Z2032" s="59" t="n">
        <f aca="false">IF(E2032&gt;0,F2032*1000000000/E2032,"")</f>
        <v>3271.54340137182</v>
      </c>
      <c r="AA2032" s="63" t="n">
        <f aca="false">IFERROR((R2032+S2032+J2032)/F2032,0)</f>
        <v>1</v>
      </c>
      <c r="AB2032" s="0" t="str">
        <f aca="false">A2032&amp;"|"&amp;D2032</f>
        <v>Turkey|2015</v>
      </c>
    </row>
    <row r="2033" customFormat="false" ht="15" hidden="false" customHeight="false" outlineLevel="0" collapsed="false">
      <c r="A2033" s="0" t="s">
        <v>375</v>
      </c>
      <c r="B2033" s="0" t="s">
        <v>614</v>
      </c>
      <c r="C2033" s="0" t="s">
        <v>127</v>
      </c>
      <c r="D2033" s="0" t="n">
        <v>2016</v>
      </c>
      <c r="E2033" s="59" t="n">
        <v>81652087</v>
      </c>
      <c r="F2033" s="60" t="n">
        <v>274.4</v>
      </c>
      <c r="G2033" s="61" t="n">
        <v>92.27</v>
      </c>
      <c r="H2033" s="61" t="n">
        <v>89.23</v>
      </c>
      <c r="I2033" s="61" t="n">
        <v>2.66</v>
      </c>
      <c r="J2033" s="61" t="n">
        <v>0</v>
      </c>
      <c r="K2033" s="61" t="n">
        <v>67.23</v>
      </c>
      <c r="L2033" s="61" t="n">
        <v>1.04</v>
      </c>
      <c r="M2033" s="61" t="n">
        <v>15.52</v>
      </c>
      <c r="N2033" s="61" t="n">
        <v>1.63</v>
      </c>
      <c r="O2033" s="61" t="n">
        <v>4.82</v>
      </c>
      <c r="P2033" s="62" t="n">
        <v>522.8</v>
      </c>
      <c r="Q2033" s="0" t="n">
        <v>0</v>
      </c>
      <c r="R2033" s="60" t="n">
        <f aca="false">G2033+H2033+I2033</f>
        <v>184.16</v>
      </c>
      <c r="S2033" s="60" t="n">
        <f aca="false">K2033+L2033+M2033+N2033+O2033</f>
        <v>90.24</v>
      </c>
      <c r="T2033" s="60" t="n">
        <f aca="false">L2033+M2033</f>
        <v>16.56</v>
      </c>
      <c r="U2033" s="60" t="n">
        <f aca="false">S2033+J2033</f>
        <v>90.24</v>
      </c>
      <c r="V2033" s="63" t="n">
        <f aca="false">IFERROR(S2033/F2033,0)</f>
        <v>0.328862973760933</v>
      </c>
      <c r="W2033" s="63" t="n">
        <f aca="false">IFERROR(R2033/F2033,0)</f>
        <v>0.671137026239067</v>
      </c>
      <c r="X2033" s="63" t="n">
        <f aca="false">IFERROR(T2033/F2033,0)</f>
        <v>0.0603498542274053</v>
      </c>
      <c r="Y2033" s="63" t="n">
        <f aca="false">IFERROR(G2033/F2033,0)</f>
        <v>0.336260932944606</v>
      </c>
      <c r="Z2033" s="59" t="n">
        <f aca="false">IF(E2033&gt;0,F2033*1000000000/E2033,"")</f>
        <v>3360.59995625096</v>
      </c>
      <c r="AA2033" s="63" t="n">
        <f aca="false">IFERROR((R2033+S2033+J2033)/F2033,0)</f>
        <v>1</v>
      </c>
      <c r="AB2033" s="0" t="str">
        <f aca="false">A2033&amp;"|"&amp;D2033</f>
        <v>Turkey|2016</v>
      </c>
    </row>
    <row r="2034" customFormat="false" ht="15" hidden="false" customHeight="false" outlineLevel="0" collapsed="false">
      <c r="A2034" s="0" t="s">
        <v>375</v>
      </c>
      <c r="B2034" s="0" t="s">
        <v>614</v>
      </c>
      <c r="C2034" s="0" t="s">
        <v>127</v>
      </c>
      <c r="D2034" s="0" t="n">
        <v>2017</v>
      </c>
      <c r="E2034" s="59" t="n">
        <v>83083667</v>
      </c>
      <c r="F2034" s="60" t="n">
        <v>297.29</v>
      </c>
      <c r="G2034" s="61" t="n">
        <v>97.48</v>
      </c>
      <c r="H2034" s="61" t="n">
        <v>110.49</v>
      </c>
      <c r="I2034" s="61" t="n">
        <v>2.08</v>
      </c>
      <c r="J2034" s="61" t="n">
        <v>0</v>
      </c>
      <c r="K2034" s="61" t="n">
        <v>58.22</v>
      </c>
      <c r="L2034" s="61" t="n">
        <v>2.89</v>
      </c>
      <c r="M2034" s="61" t="n">
        <v>17.9</v>
      </c>
      <c r="N2034" s="61" t="n">
        <v>2.1</v>
      </c>
      <c r="O2034" s="61" t="n">
        <v>6.13</v>
      </c>
      <c r="P2034" s="62" t="n">
        <v>534.3</v>
      </c>
      <c r="Q2034" s="0" t="n">
        <v>0</v>
      </c>
      <c r="R2034" s="60" t="n">
        <f aca="false">G2034+H2034+I2034</f>
        <v>210.05</v>
      </c>
      <c r="S2034" s="60" t="n">
        <f aca="false">K2034+L2034+M2034+N2034+O2034</f>
        <v>87.24</v>
      </c>
      <c r="T2034" s="60" t="n">
        <f aca="false">L2034+M2034</f>
        <v>20.79</v>
      </c>
      <c r="U2034" s="60" t="n">
        <f aca="false">S2034+J2034</f>
        <v>87.24</v>
      </c>
      <c r="V2034" s="63" t="n">
        <f aca="false">IFERROR(S2034/F2034,0)</f>
        <v>0.293450839247872</v>
      </c>
      <c r="W2034" s="63" t="n">
        <f aca="false">IFERROR(R2034/F2034,0)</f>
        <v>0.706549160752128</v>
      </c>
      <c r="X2034" s="63" t="n">
        <f aca="false">IFERROR(T2034/F2034,0)</f>
        <v>0.0699317165057688</v>
      </c>
      <c r="Y2034" s="63" t="n">
        <f aca="false">IFERROR(G2034/F2034,0)</f>
        <v>0.327895321066972</v>
      </c>
      <c r="Z2034" s="59" t="n">
        <f aca="false">IF(E2034&gt;0,F2034*1000000000/E2034,"")</f>
        <v>3578.20027370723</v>
      </c>
      <c r="AA2034" s="63" t="n">
        <f aca="false">IFERROR((R2034+S2034+J2034)/F2034,0)</f>
        <v>1</v>
      </c>
      <c r="AB2034" s="0" t="str">
        <f aca="false">A2034&amp;"|"&amp;D2034</f>
        <v>Turkey|2017</v>
      </c>
    </row>
    <row r="2035" customFormat="false" ht="15" hidden="false" customHeight="false" outlineLevel="0" collapsed="false">
      <c r="A2035" s="0" t="s">
        <v>375</v>
      </c>
      <c r="B2035" s="0" t="s">
        <v>614</v>
      </c>
      <c r="C2035" s="0" t="s">
        <v>127</v>
      </c>
      <c r="D2035" s="0" t="n">
        <v>2018</v>
      </c>
      <c r="E2035" s="59" t="n">
        <v>84415966</v>
      </c>
      <c r="F2035" s="60" t="n">
        <v>300.15</v>
      </c>
      <c r="G2035" s="61" t="n">
        <v>111.8</v>
      </c>
      <c r="H2035" s="61" t="n">
        <v>90.09</v>
      </c>
      <c r="I2035" s="61" t="n">
        <v>1.44</v>
      </c>
      <c r="J2035" s="61" t="n">
        <v>0</v>
      </c>
      <c r="K2035" s="61" t="n">
        <v>59.75</v>
      </c>
      <c r="L2035" s="61" t="n">
        <v>7.8</v>
      </c>
      <c r="M2035" s="61" t="n">
        <v>19.86</v>
      </c>
      <c r="N2035" s="61" t="n">
        <v>2.5</v>
      </c>
      <c r="O2035" s="61" t="n">
        <v>6.91</v>
      </c>
      <c r="P2035" s="62" t="n">
        <v>541.8</v>
      </c>
      <c r="Q2035" s="0" t="n">
        <v>0</v>
      </c>
      <c r="R2035" s="60" t="n">
        <f aca="false">G2035+H2035+I2035</f>
        <v>203.33</v>
      </c>
      <c r="S2035" s="60" t="n">
        <f aca="false">K2035+L2035+M2035+N2035+O2035</f>
        <v>96.82</v>
      </c>
      <c r="T2035" s="60" t="n">
        <f aca="false">L2035+M2035</f>
        <v>27.66</v>
      </c>
      <c r="U2035" s="60" t="n">
        <f aca="false">S2035+J2035</f>
        <v>96.82</v>
      </c>
      <c r="V2035" s="63" t="n">
        <f aca="false">IFERROR(S2035/F2035,0)</f>
        <v>0.322572047309679</v>
      </c>
      <c r="W2035" s="63" t="n">
        <f aca="false">IFERROR(R2035/F2035,0)</f>
        <v>0.677427952690322</v>
      </c>
      <c r="X2035" s="63" t="n">
        <f aca="false">IFERROR(T2035/F2035,0)</f>
        <v>0.0921539230384808</v>
      </c>
      <c r="Y2035" s="63" t="n">
        <f aca="false">IFERROR(G2035/F2035,0)</f>
        <v>0.37248042645344</v>
      </c>
      <c r="Z2035" s="59" t="n">
        <f aca="false">IF(E2035&gt;0,F2035*1000000000/E2035,"")</f>
        <v>3555.60700448538</v>
      </c>
      <c r="AA2035" s="63" t="n">
        <f aca="false">IFERROR((R2035+S2035+J2035)/F2035,0)</f>
        <v>1</v>
      </c>
      <c r="AB2035" s="0" t="str">
        <f aca="false">A2035&amp;"|"&amp;D2035</f>
        <v>Turkey|2018</v>
      </c>
    </row>
    <row r="2036" customFormat="false" ht="15" hidden="false" customHeight="false" outlineLevel="0" collapsed="false">
      <c r="A2036" s="0" t="s">
        <v>375</v>
      </c>
      <c r="B2036" s="0" t="s">
        <v>614</v>
      </c>
      <c r="C2036" s="0" t="s">
        <v>127</v>
      </c>
      <c r="D2036" s="0" t="n">
        <v>2019</v>
      </c>
      <c r="E2036" s="59" t="n">
        <v>85357670</v>
      </c>
      <c r="F2036" s="60" t="n">
        <v>300.18</v>
      </c>
      <c r="G2036" s="61" t="n">
        <v>112.86</v>
      </c>
      <c r="H2036" s="61" t="n">
        <v>54.88</v>
      </c>
      <c r="I2036" s="61" t="n">
        <v>0.97</v>
      </c>
      <c r="J2036" s="61" t="n">
        <v>0</v>
      </c>
      <c r="K2036" s="61" t="n">
        <v>88.64</v>
      </c>
      <c r="L2036" s="61" t="n">
        <v>9.57</v>
      </c>
      <c r="M2036" s="61" t="n">
        <v>21.63</v>
      </c>
      <c r="N2036" s="61" t="n">
        <v>3.4</v>
      </c>
      <c r="O2036" s="61" t="n">
        <v>8.23</v>
      </c>
      <c r="P2036" s="62" t="n">
        <v>488.4</v>
      </c>
      <c r="Q2036" s="0" t="n">
        <v>0</v>
      </c>
      <c r="R2036" s="60" t="n">
        <f aca="false">G2036+H2036+I2036</f>
        <v>168.71</v>
      </c>
      <c r="S2036" s="60" t="n">
        <f aca="false">K2036+L2036+M2036+N2036+O2036</f>
        <v>131.47</v>
      </c>
      <c r="T2036" s="60" t="n">
        <f aca="false">L2036+M2036</f>
        <v>31.2</v>
      </c>
      <c r="U2036" s="60" t="n">
        <f aca="false">S2036+J2036</f>
        <v>131.47</v>
      </c>
      <c r="V2036" s="63" t="n">
        <f aca="false">IFERROR(S2036/F2036,0)</f>
        <v>0.437970551002732</v>
      </c>
      <c r="W2036" s="63" t="n">
        <f aca="false">IFERROR(R2036/F2036,0)</f>
        <v>0.562029448997268</v>
      </c>
      <c r="X2036" s="63" t="n">
        <f aca="false">IFERROR(T2036/F2036,0)</f>
        <v>0.103937637417549</v>
      </c>
      <c r="Y2036" s="63" t="n">
        <f aca="false">IFERROR(G2036/F2036,0)</f>
        <v>0.37597441535079</v>
      </c>
      <c r="Z2036" s="59" t="n">
        <f aca="false">IF(E2036&gt;0,F2036*1000000000/E2036,"")</f>
        <v>3516.73141968378</v>
      </c>
      <c r="AA2036" s="63" t="n">
        <f aca="false">IFERROR((R2036+S2036+J2036)/F2036,0)</f>
        <v>1</v>
      </c>
      <c r="AB2036" s="0" t="str">
        <f aca="false">A2036&amp;"|"&amp;D2036</f>
        <v>Turkey|2019</v>
      </c>
    </row>
    <row r="2037" customFormat="false" ht="15" hidden="false" customHeight="false" outlineLevel="0" collapsed="false">
      <c r="A2037" s="0" t="s">
        <v>375</v>
      </c>
      <c r="B2037" s="0" t="s">
        <v>614</v>
      </c>
      <c r="C2037" s="0" t="s">
        <v>127</v>
      </c>
      <c r="D2037" s="0" t="n">
        <v>2020</v>
      </c>
      <c r="E2037" s="59" t="n">
        <v>86091691</v>
      </c>
      <c r="F2037" s="60" t="n">
        <v>302</v>
      </c>
      <c r="G2037" s="61" t="n">
        <v>106.26</v>
      </c>
      <c r="H2037" s="61" t="n">
        <v>68.07</v>
      </c>
      <c r="I2037" s="61" t="n">
        <v>0.34</v>
      </c>
      <c r="J2037" s="61" t="n">
        <v>0</v>
      </c>
      <c r="K2037" s="61" t="n">
        <v>77.86</v>
      </c>
      <c r="L2037" s="61" t="n">
        <v>11.2</v>
      </c>
      <c r="M2037" s="61" t="n">
        <v>24.61</v>
      </c>
      <c r="N2037" s="61" t="n">
        <v>4.34</v>
      </c>
      <c r="O2037" s="61" t="n">
        <v>9.32</v>
      </c>
      <c r="P2037" s="62" t="n">
        <v>482.4</v>
      </c>
      <c r="Q2037" s="0" t="n">
        <v>0</v>
      </c>
      <c r="R2037" s="60" t="n">
        <f aca="false">G2037+H2037+I2037</f>
        <v>174.67</v>
      </c>
      <c r="S2037" s="60" t="n">
        <f aca="false">K2037+L2037+M2037+N2037+O2037</f>
        <v>127.33</v>
      </c>
      <c r="T2037" s="60" t="n">
        <f aca="false">L2037+M2037</f>
        <v>35.81</v>
      </c>
      <c r="U2037" s="60" t="n">
        <f aca="false">S2037+J2037</f>
        <v>127.33</v>
      </c>
      <c r="V2037" s="63" t="n">
        <f aca="false">IFERROR(S2037/F2037,0)</f>
        <v>0.421622516556291</v>
      </c>
      <c r="W2037" s="63" t="n">
        <f aca="false">IFERROR(R2037/F2037,0)</f>
        <v>0.578377483443709</v>
      </c>
      <c r="X2037" s="63" t="n">
        <f aca="false">IFERROR(T2037/F2037,0)</f>
        <v>0.118576158940397</v>
      </c>
      <c r="Y2037" s="63" t="n">
        <f aca="false">IFERROR(G2037/F2037,0)</f>
        <v>0.351854304635762</v>
      </c>
      <c r="Z2037" s="59" t="n">
        <f aca="false">IF(E2037&gt;0,F2037*1000000000/E2037,"")</f>
        <v>3507.88788664867</v>
      </c>
      <c r="AA2037" s="63" t="n">
        <f aca="false">IFERROR((R2037+S2037+J2037)/F2037,0)</f>
        <v>1</v>
      </c>
      <c r="AB2037" s="0" t="str">
        <f aca="false">A2037&amp;"|"&amp;D2037</f>
        <v>Turkey|2020</v>
      </c>
    </row>
    <row r="2038" customFormat="false" ht="15" hidden="false" customHeight="false" outlineLevel="0" collapsed="false">
      <c r="A2038" s="0" t="s">
        <v>375</v>
      </c>
      <c r="B2038" s="0" t="s">
        <v>614</v>
      </c>
      <c r="C2038" s="0" t="s">
        <v>127</v>
      </c>
      <c r="D2038" s="0" t="n">
        <v>2021</v>
      </c>
      <c r="E2038" s="59" t="n">
        <v>86686254</v>
      </c>
      <c r="F2038" s="60" t="n">
        <v>327.88</v>
      </c>
      <c r="G2038" s="61" t="n">
        <v>104.12</v>
      </c>
      <c r="H2038" s="61" t="n">
        <v>107.34</v>
      </c>
      <c r="I2038" s="61" t="n">
        <v>0.35</v>
      </c>
      <c r="J2038" s="61" t="n">
        <v>0</v>
      </c>
      <c r="K2038" s="61" t="n">
        <v>55.51</v>
      </c>
      <c r="L2038" s="61" t="n">
        <v>13.28</v>
      </c>
      <c r="M2038" s="61" t="n">
        <v>31.02</v>
      </c>
      <c r="N2038" s="61" t="n">
        <v>6.15</v>
      </c>
      <c r="O2038" s="61" t="n">
        <v>10.11</v>
      </c>
      <c r="P2038" s="62" t="n">
        <v>500.6</v>
      </c>
      <c r="Q2038" s="0" t="n">
        <v>0</v>
      </c>
      <c r="R2038" s="60" t="n">
        <f aca="false">G2038+H2038+I2038</f>
        <v>211.81</v>
      </c>
      <c r="S2038" s="60" t="n">
        <f aca="false">K2038+L2038+M2038+N2038+O2038</f>
        <v>116.07</v>
      </c>
      <c r="T2038" s="60" t="n">
        <f aca="false">L2038+M2038</f>
        <v>44.3</v>
      </c>
      <c r="U2038" s="60" t="n">
        <f aca="false">S2038+J2038</f>
        <v>116.07</v>
      </c>
      <c r="V2038" s="63" t="n">
        <f aca="false">IFERROR(S2038/F2038,0)</f>
        <v>0.354001463950226</v>
      </c>
      <c r="W2038" s="63" t="n">
        <f aca="false">IFERROR(R2038/F2038,0)</f>
        <v>0.645998536049774</v>
      </c>
      <c r="X2038" s="63" t="n">
        <f aca="false">IFERROR(T2038/F2038,0)</f>
        <v>0.135110406246188</v>
      </c>
      <c r="Y2038" s="63" t="n">
        <f aca="false">IFERROR(G2038/F2038,0)</f>
        <v>0.317555203123094</v>
      </c>
      <c r="Z2038" s="59" t="n">
        <f aca="false">IF(E2038&gt;0,F2038*1000000000/E2038,"")</f>
        <v>3782.37592317693</v>
      </c>
      <c r="AA2038" s="63" t="n">
        <f aca="false">IFERROR((R2038+S2038+J2038)/F2038,0)</f>
        <v>1</v>
      </c>
      <c r="AB2038" s="0" t="str">
        <f aca="false">A2038&amp;"|"&amp;D2038</f>
        <v>Turkey|2021</v>
      </c>
    </row>
    <row r="2039" customFormat="false" ht="15" hidden="false" customHeight="false" outlineLevel="0" collapsed="false">
      <c r="A2039" s="0" t="s">
        <v>375</v>
      </c>
      <c r="B2039" s="0" t="s">
        <v>614</v>
      </c>
      <c r="C2039" s="0" t="s">
        <v>127</v>
      </c>
      <c r="D2039" s="0" t="n">
        <v>2022</v>
      </c>
      <c r="E2039" s="59" t="n">
        <v>87058469</v>
      </c>
      <c r="F2039" s="60" t="n">
        <v>320.56</v>
      </c>
      <c r="G2039" s="61" t="n">
        <v>113.62</v>
      </c>
      <c r="H2039" s="61" t="n">
        <v>71.86</v>
      </c>
      <c r="I2039" s="61" t="n">
        <v>0.73</v>
      </c>
      <c r="J2039" s="61" t="n">
        <v>0</v>
      </c>
      <c r="K2039" s="61" t="n">
        <v>66.66</v>
      </c>
      <c r="L2039" s="61" t="n">
        <v>15.16</v>
      </c>
      <c r="M2039" s="61" t="n">
        <v>34.69</v>
      </c>
      <c r="N2039" s="61" t="n">
        <v>7.62</v>
      </c>
      <c r="O2039" s="61" t="n">
        <v>10.22</v>
      </c>
      <c r="P2039" s="62" t="n">
        <v>487.9</v>
      </c>
      <c r="Q2039" s="0" t="n">
        <v>0</v>
      </c>
      <c r="R2039" s="60" t="n">
        <f aca="false">G2039+H2039+I2039</f>
        <v>186.21</v>
      </c>
      <c r="S2039" s="60" t="n">
        <f aca="false">K2039+L2039+M2039+N2039+O2039</f>
        <v>134.35</v>
      </c>
      <c r="T2039" s="60" t="n">
        <f aca="false">L2039+M2039</f>
        <v>49.85</v>
      </c>
      <c r="U2039" s="60" t="n">
        <f aca="false">S2039+J2039</f>
        <v>134.35</v>
      </c>
      <c r="V2039" s="63" t="n">
        <f aca="false">IFERROR(S2039/F2039,0)</f>
        <v>0.419110306962815</v>
      </c>
      <c r="W2039" s="63" t="n">
        <f aca="false">IFERROR(R2039/F2039,0)</f>
        <v>0.580889693037185</v>
      </c>
      <c r="X2039" s="63" t="n">
        <f aca="false">IFERROR(T2039/F2039,0)</f>
        <v>0.155509109059146</v>
      </c>
      <c r="Y2039" s="63" t="n">
        <f aca="false">IFERROR(G2039/F2039,0)</f>
        <v>0.354442226104317</v>
      </c>
      <c r="Z2039" s="59" t="n">
        <f aca="false">IF(E2039&gt;0,F2039*1000000000/E2039,"")</f>
        <v>3682.12310280807</v>
      </c>
      <c r="AA2039" s="63" t="n">
        <f aca="false">IFERROR((R2039+S2039+J2039)/F2039,0)</f>
        <v>1</v>
      </c>
      <c r="AB2039" s="0" t="str">
        <f aca="false">A2039&amp;"|"&amp;D2039</f>
        <v>Turkey|2022</v>
      </c>
    </row>
    <row r="2040" customFormat="false" ht="15" hidden="false" customHeight="false" outlineLevel="0" collapsed="false">
      <c r="A2040" s="0" t="s">
        <v>375</v>
      </c>
      <c r="B2040" s="0" t="s">
        <v>614</v>
      </c>
      <c r="C2040" s="0" t="s">
        <v>127</v>
      </c>
      <c r="D2040" s="0" t="n">
        <v>2023</v>
      </c>
      <c r="E2040" s="59" t="n">
        <v>87270502</v>
      </c>
      <c r="F2040" s="60" t="n">
        <v>319.79</v>
      </c>
      <c r="G2040" s="61" t="n">
        <v>118.03</v>
      </c>
      <c r="H2040" s="61" t="n">
        <v>66.48</v>
      </c>
      <c r="I2040" s="61" t="n">
        <v>0.94</v>
      </c>
      <c r="J2040" s="61" t="n">
        <v>0</v>
      </c>
      <c r="K2040" s="61" t="n">
        <v>63.72</v>
      </c>
      <c r="L2040" s="61" t="n">
        <v>18.4</v>
      </c>
      <c r="M2040" s="61" t="n">
        <v>33.88</v>
      </c>
      <c r="N2040" s="61" t="n">
        <v>8.21</v>
      </c>
      <c r="O2040" s="61" t="n">
        <v>10.13</v>
      </c>
      <c r="P2040" s="62" t="n">
        <v>493.7</v>
      </c>
      <c r="Q2040" s="0" t="n">
        <v>0</v>
      </c>
      <c r="R2040" s="60" t="n">
        <f aca="false">G2040+H2040+I2040</f>
        <v>185.45</v>
      </c>
      <c r="S2040" s="60" t="n">
        <f aca="false">K2040+L2040+M2040+N2040+O2040</f>
        <v>134.34</v>
      </c>
      <c r="T2040" s="60" t="n">
        <f aca="false">L2040+M2040</f>
        <v>52.28</v>
      </c>
      <c r="U2040" s="60" t="n">
        <f aca="false">S2040+J2040</f>
        <v>134.34</v>
      </c>
      <c r="V2040" s="63" t="n">
        <f aca="false">IFERROR(S2040/F2040,0)</f>
        <v>0.420088182870008</v>
      </c>
      <c r="W2040" s="63" t="n">
        <f aca="false">IFERROR(R2040/F2040,0)</f>
        <v>0.579911817129992</v>
      </c>
      <c r="X2040" s="63" t="n">
        <f aca="false">IFERROR(T2040/F2040,0)</f>
        <v>0.163482285249695</v>
      </c>
      <c r="Y2040" s="63" t="n">
        <f aca="false">IFERROR(G2040/F2040,0)</f>
        <v>0.369085962662998</v>
      </c>
      <c r="Z2040" s="59" t="n">
        <f aca="false">IF(E2040&gt;0,F2040*1000000000/E2040,"")</f>
        <v>3664.35385005577</v>
      </c>
      <c r="AA2040" s="63" t="n">
        <f aca="false">IFERROR((R2040+S2040+J2040)/F2040,0)</f>
        <v>1</v>
      </c>
      <c r="AB2040" s="0" t="str">
        <f aca="false">A2040&amp;"|"&amp;D2040</f>
        <v>Turkey|2023</v>
      </c>
    </row>
    <row r="2041" customFormat="false" ht="15" hidden="false" customHeight="false" outlineLevel="0" collapsed="false">
      <c r="A2041" s="0" t="s">
        <v>375</v>
      </c>
      <c r="B2041" s="0" t="s">
        <v>614</v>
      </c>
      <c r="C2041" s="0" t="s">
        <v>127</v>
      </c>
      <c r="D2041" s="0" t="n">
        <v>2024</v>
      </c>
      <c r="E2041" s="59" t="n">
        <v>87473800</v>
      </c>
      <c r="F2041" s="60" t="n">
        <v>341.23</v>
      </c>
      <c r="G2041" s="61" t="n">
        <v>121.32</v>
      </c>
      <c r="H2041" s="61" t="n">
        <v>63.28</v>
      </c>
      <c r="I2041" s="61" t="n">
        <v>0.98</v>
      </c>
      <c r="J2041" s="61" t="n">
        <v>0</v>
      </c>
      <c r="K2041" s="61" t="n">
        <v>74.57</v>
      </c>
      <c r="L2041" s="61" t="n">
        <v>25.67</v>
      </c>
      <c r="M2041" s="61" t="n">
        <v>36.53</v>
      </c>
      <c r="N2041" s="61" t="n">
        <v>8.68</v>
      </c>
      <c r="O2041" s="61" t="n">
        <v>10.2</v>
      </c>
      <c r="P2041" s="62" t="n">
        <v>469.7</v>
      </c>
      <c r="Q2041" s="0" t="n">
        <v>0</v>
      </c>
      <c r="R2041" s="60" t="n">
        <f aca="false">G2041+H2041+I2041</f>
        <v>185.58</v>
      </c>
      <c r="S2041" s="60" t="n">
        <f aca="false">K2041+L2041+M2041+N2041+O2041</f>
        <v>155.65</v>
      </c>
      <c r="T2041" s="60" t="n">
        <f aca="false">L2041+M2041</f>
        <v>62.2</v>
      </c>
      <c r="U2041" s="60" t="n">
        <f aca="false">S2041+J2041</f>
        <v>155.65</v>
      </c>
      <c r="V2041" s="63" t="n">
        <f aca="false">IFERROR(S2041/F2041,0)</f>
        <v>0.456143949828561</v>
      </c>
      <c r="W2041" s="63" t="n">
        <f aca="false">IFERROR(R2041/F2041,0)</f>
        <v>0.543856050171439</v>
      </c>
      <c r="X2041" s="63" t="n">
        <f aca="false">IFERROR(T2041/F2041,0)</f>
        <v>0.182281745450283</v>
      </c>
      <c r="Y2041" s="63" t="n">
        <f aca="false">IFERROR(G2041/F2041,0)</f>
        <v>0.355537320868622</v>
      </c>
      <c r="Z2041" s="59" t="n">
        <f aca="false">IF(E2041&gt;0,F2041*1000000000/E2041,"")</f>
        <v>3900.93948130755</v>
      </c>
      <c r="AA2041" s="63" t="n">
        <f aca="false">IFERROR((R2041+S2041+J2041)/F2041,0)</f>
        <v>1</v>
      </c>
      <c r="AB2041" s="0" t="str">
        <f aca="false">A2041&amp;"|"&amp;D2041</f>
        <v>Turkey|2024</v>
      </c>
    </row>
    <row r="2042" customFormat="false" ht="15" hidden="false" customHeight="false" outlineLevel="0" collapsed="false">
      <c r="A2042" s="0" t="s">
        <v>375</v>
      </c>
      <c r="B2042" s="0" t="s">
        <v>614</v>
      </c>
      <c r="C2042" s="0" t="s">
        <v>127</v>
      </c>
      <c r="D2042" s="0" t="n">
        <v>2025</v>
      </c>
      <c r="E2042" s="59" t="n">
        <v>87685427</v>
      </c>
      <c r="F2042" s="60" t="n">
        <v>353.86</v>
      </c>
      <c r="G2042" s="61" t="n">
        <v>121.4</v>
      </c>
      <c r="H2042" s="61" t="n">
        <v>78.36</v>
      </c>
      <c r="I2042" s="61" t="n">
        <v>1.03</v>
      </c>
      <c r="J2042" s="61" t="n">
        <v>0</v>
      </c>
      <c r="K2042" s="61" t="n">
        <v>57.27</v>
      </c>
      <c r="L2042" s="61" t="n">
        <v>37.25</v>
      </c>
      <c r="M2042" s="61" t="n">
        <v>39.42</v>
      </c>
      <c r="N2042" s="61" t="n">
        <v>8.48</v>
      </c>
      <c r="O2042" s="61" t="n">
        <v>10.65</v>
      </c>
      <c r="P2042" s="62" t="n">
        <v>474.7</v>
      </c>
      <c r="Q2042" s="0" t="n">
        <v>0</v>
      </c>
      <c r="R2042" s="60" t="n">
        <f aca="false">G2042+H2042+I2042</f>
        <v>200.79</v>
      </c>
      <c r="S2042" s="60" t="n">
        <f aca="false">K2042+L2042+M2042+N2042+O2042</f>
        <v>153.07</v>
      </c>
      <c r="T2042" s="60" t="n">
        <f aca="false">L2042+M2042</f>
        <v>76.67</v>
      </c>
      <c r="U2042" s="60" t="n">
        <f aca="false">S2042+J2042</f>
        <v>153.07</v>
      </c>
      <c r="V2042" s="63" t="n">
        <f aca="false">IFERROR(S2042/F2042,0)</f>
        <v>0.432572203696377</v>
      </c>
      <c r="W2042" s="63" t="n">
        <f aca="false">IFERROR(R2042/F2042,0)</f>
        <v>0.567427796303623</v>
      </c>
      <c r="X2042" s="63" t="n">
        <f aca="false">IFERROR(T2042/F2042,0)</f>
        <v>0.216667608658792</v>
      </c>
      <c r="Y2042" s="63" t="n">
        <f aca="false">IFERROR(G2042/F2042,0)</f>
        <v>0.343073531905273</v>
      </c>
      <c r="Z2042" s="59" t="n">
        <f aca="false">IF(E2042&gt;0,F2042*1000000000/E2042,"")</f>
        <v>4035.5622605339</v>
      </c>
      <c r="AA2042" s="63" t="n">
        <f aca="false">IFERROR((R2042+S2042+J2042)/F2042,0)</f>
        <v>1</v>
      </c>
      <c r="AB2042" s="0" t="str">
        <f aca="false">A2042&amp;"|"&amp;D2042</f>
        <v>Turkey|2025</v>
      </c>
    </row>
    <row r="2043" customFormat="false" ht="15" hidden="false" customHeight="false" outlineLevel="0" collapsed="false">
      <c r="A2043" s="0" t="s">
        <v>376</v>
      </c>
      <c r="B2043" s="0" t="s">
        <v>615</v>
      </c>
      <c r="C2043" s="0" t="s">
        <v>127</v>
      </c>
      <c r="D2043" s="0" t="n">
        <v>2015</v>
      </c>
      <c r="E2043" s="59" t="n">
        <v>6215773</v>
      </c>
      <c r="F2043" s="60" t="n">
        <v>22.53</v>
      </c>
      <c r="G2043" s="61" t="n">
        <v>0</v>
      </c>
      <c r="H2043" s="61" t="n">
        <v>22.53</v>
      </c>
      <c r="I2043" s="61" t="n">
        <v>0</v>
      </c>
      <c r="J2043" s="61" t="n">
        <v>0</v>
      </c>
      <c r="K2043" s="61" t="n">
        <v>0</v>
      </c>
      <c r="L2043" s="61" t="n">
        <v>0</v>
      </c>
      <c r="M2043" s="61" t="n">
        <v>0</v>
      </c>
      <c r="N2043" s="61" t="n">
        <v>0</v>
      </c>
      <c r="O2043" s="61" t="n">
        <v>0</v>
      </c>
      <c r="P2043" s="62" t="n">
        <v>1306.7</v>
      </c>
      <c r="Q2043" s="0" t="n">
        <v>0</v>
      </c>
      <c r="R2043" s="60" t="n">
        <f aca="false">G2043+H2043+I2043</f>
        <v>22.53</v>
      </c>
      <c r="S2043" s="60" t="n">
        <f aca="false">K2043+L2043+M2043+N2043+O2043</f>
        <v>0</v>
      </c>
      <c r="T2043" s="60" t="n">
        <f aca="false">L2043+M2043</f>
        <v>0</v>
      </c>
      <c r="U2043" s="60" t="n">
        <f aca="false">S2043+J2043</f>
        <v>0</v>
      </c>
      <c r="V2043" s="63" t="n">
        <f aca="false">IFERROR(S2043/F2043,0)</f>
        <v>0</v>
      </c>
      <c r="W2043" s="63" t="n">
        <f aca="false">IFERROR(R2043/F2043,0)</f>
        <v>1</v>
      </c>
      <c r="X2043" s="63" t="n">
        <f aca="false">IFERROR(T2043/F2043,0)</f>
        <v>0</v>
      </c>
      <c r="Y2043" s="63" t="n">
        <f aca="false">IFERROR(G2043/F2043,0)</f>
        <v>0</v>
      </c>
      <c r="Z2043" s="59" t="n">
        <f aca="false">IF(E2043&gt;0,F2043*1000000000/E2043,"")</f>
        <v>3624.64974187442</v>
      </c>
      <c r="AA2043" s="63" t="n">
        <f aca="false">IFERROR((R2043+S2043+J2043)/F2043,0)</f>
        <v>1</v>
      </c>
      <c r="AB2043" s="0" t="str">
        <f aca="false">A2043&amp;"|"&amp;D2043</f>
        <v>Turkmenistan|2015</v>
      </c>
    </row>
    <row r="2044" customFormat="false" ht="15" hidden="false" customHeight="false" outlineLevel="0" collapsed="false">
      <c r="A2044" s="0" t="s">
        <v>376</v>
      </c>
      <c r="B2044" s="0" t="s">
        <v>615</v>
      </c>
      <c r="C2044" s="0" t="s">
        <v>127</v>
      </c>
      <c r="D2044" s="0" t="n">
        <v>2016</v>
      </c>
      <c r="E2044" s="59" t="n">
        <v>6360041</v>
      </c>
      <c r="F2044" s="60" t="n">
        <v>22.53</v>
      </c>
      <c r="G2044" s="61" t="n">
        <v>0</v>
      </c>
      <c r="H2044" s="61" t="n">
        <v>22.53</v>
      </c>
      <c r="I2044" s="61" t="n">
        <v>0</v>
      </c>
      <c r="J2044" s="61" t="n">
        <v>0</v>
      </c>
      <c r="K2044" s="61" t="n">
        <v>0</v>
      </c>
      <c r="L2044" s="61" t="n">
        <v>0</v>
      </c>
      <c r="M2044" s="61" t="n">
        <v>0</v>
      </c>
      <c r="N2044" s="61" t="n">
        <v>0</v>
      </c>
      <c r="O2044" s="61" t="n">
        <v>0</v>
      </c>
      <c r="P2044" s="62" t="n">
        <v>1306.7</v>
      </c>
      <c r="Q2044" s="0" t="n">
        <v>0</v>
      </c>
      <c r="R2044" s="60" t="n">
        <f aca="false">G2044+H2044+I2044</f>
        <v>22.53</v>
      </c>
      <c r="S2044" s="60" t="n">
        <f aca="false">K2044+L2044+M2044+N2044+O2044</f>
        <v>0</v>
      </c>
      <c r="T2044" s="60" t="n">
        <f aca="false">L2044+M2044</f>
        <v>0</v>
      </c>
      <c r="U2044" s="60" t="n">
        <f aca="false">S2044+J2044</f>
        <v>0</v>
      </c>
      <c r="V2044" s="63" t="n">
        <f aca="false">IFERROR(S2044/F2044,0)</f>
        <v>0</v>
      </c>
      <c r="W2044" s="63" t="n">
        <f aca="false">IFERROR(R2044/F2044,0)</f>
        <v>1</v>
      </c>
      <c r="X2044" s="63" t="n">
        <f aca="false">IFERROR(T2044/F2044,0)</f>
        <v>0</v>
      </c>
      <c r="Y2044" s="63" t="n">
        <f aca="false">IFERROR(G2044/F2044,0)</f>
        <v>0</v>
      </c>
      <c r="Z2044" s="59" t="n">
        <f aca="false">IF(E2044&gt;0,F2044*1000000000/E2044,"")</f>
        <v>3542.42999376891</v>
      </c>
      <c r="AA2044" s="63" t="n">
        <f aca="false">IFERROR((R2044+S2044+J2044)/F2044,0)</f>
        <v>1</v>
      </c>
      <c r="AB2044" s="0" t="str">
        <f aca="false">A2044&amp;"|"&amp;D2044</f>
        <v>Turkmenistan|2016</v>
      </c>
    </row>
    <row r="2045" customFormat="false" ht="15" hidden="false" customHeight="false" outlineLevel="0" collapsed="false">
      <c r="A2045" s="0" t="s">
        <v>376</v>
      </c>
      <c r="B2045" s="0" t="s">
        <v>615</v>
      </c>
      <c r="C2045" s="0" t="s">
        <v>127</v>
      </c>
      <c r="D2045" s="0" t="n">
        <v>2017</v>
      </c>
      <c r="E2045" s="59" t="n">
        <v>6507065</v>
      </c>
      <c r="F2045" s="60" t="n">
        <v>23.89</v>
      </c>
      <c r="G2045" s="61" t="n">
        <v>0</v>
      </c>
      <c r="H2045" s="61" t="n">
        <v>23.89</v>
      </c>
      <c r="I2045" s="61" t="n">
        <v>0</v>
      </c>
      <c r="J2045" s="61" t="n">
        <v>0</v>
      </c>
      <c r="K2045" s="61" t="n">
        <v>0</v>
      </c>
      <c r="L2045" s="61" t="n">
        <v>0</v>
      </c>
      <c r="M2045" s="61" t="n">
        <v>0</v>
      </c>
      <c r="N2045" s="61" t="n">
        <v>0</v>
      </c>
      <c r="O2045" s="61" t="n">
        <v>0</v>
      </c>
      <c r="P2045" s="62" t="n">
        <v>1306.4</v>
      </c>
      <c r="Q2045" s="0" t="n">
        <v>0</v>
      </c>
      <c r="R2045" s="60" t="n">
        <f aca="false">G2045+H2045+I2045</f>
        <v>23.89</v>
      </c>
      <c r="S2045" s="60" t="n">
        <f aca="false">K2045+L2045+M2045+N2045+O2045</f>
        <v>0</v>
      </c>
      <c r="T2045" s="60" t="n">
        <f aca="false">L2045+M2045</f>
        <v>0</v>
      </c>
      <c r="U2045" s="60" t="n">
        <f aca="false">S2045+J2045</f>
        <v>0</v>
      </c>
      <c r="V2045" s="63" t="n">
        <f aca="false">IFERROR(S2045/F2045,0)</f>
        <v>0</v>
      </c>
      <c r="W2045" s="63" t="n">
        <f aca="false">IFERROR(R2045/F2045,0)</f>
        <v>1</v>
      </c>
      <c r="X2045" s="63" t="n">
        <f aca="false">IFERROR(T2045/F2045,0)</f>
        <v>0</v>
      </c>
      <c r="Y2045" s="63" t="n">
        <f aca="false">IFERROR(G2045/F2045,0)</f>
        <v>0</v>
      </c>
      <c r="Z2045" s="59" t="n">
        <f aca="false">IF(E2045&gt;0,F2045*1000000000/E2045,"")</f>
        <v>3671.39409242108</v>
      </c>
      <c r="AA2045" s="63" t="n">
        <f aca="false">IFERROR((R2045+S2045+J2045)/F2045,0)</f>
        <v>1</v>
      </c>
      <c r="AB2045" s="0" t="str">
        <f aca="false">A2045&amp;"|"&amp;D2045</f>
        <v>Turkmenistan|2017</v>
      </c>
    </row>
    <row r="2046" customFormat="false" ht="15" hidden="false" customHeight="false" outlineLevel="0" collapsed="false">
      <c r="A2046" s="0" t="s">
        <v>376</v>
      </c>
      <c r="B2046" s="0" t="s">
        <v>615</v>
      </c>
      <c r="C2046" s="0" t="s">
        <v>127</v>
      </c>
      <c r="D2046" s="0" t="n">
        <v>2018</v>
      </c>
      <c r="E2046" s="59" t="n">
        <v>6655523</v>
      </c>
      <c r="F2046" s="60" t="n">
        <v>25.36</v>
      </c>
      <c r="G2046" s="61" t="n">
        <v>0</v>
      </c>
      <c r="H2046" s="61" t="n">
        <v>25.36</v>
      </c>
      <c r="I2046" s="61" t="n">
        <v>0</v>
      </c>
      <c r="J2046" s="61" t="n">
        <v>0</v>
      </c>
      <c r="K2046" s="61" t="n">
        <v>0</v>
      </c>
      <c r="L2046" s="61" t="n">
        <v>0</v>
      </c>
      <c r="M2046" s="61" t="n">
        <v>0</v>
      </c>
      <c r="N2046" s="61" t="n">
        <v>0</v>
      </c>
      <c r="O2046" s="61" t="n">
        <v>0</v>
      </c>
      <c r="P2046" s="62" t="n">
        <v>1306.4</v>
      </c>
      <c r="Q2046" s="0" t="n">
        <v>0</v>
      </c>
      <c r="R2046" s="60" t="n">
        <f aca="false">G2046+H2046+I2046</f>
        <v>25.36</v>
      </c>
      <c r="S2046" s="60" t="n">
        <f aca="false">K2046+L2046+M2046+N2046+O2046</f>
        <v>0</v>
      </c>
      <c r="T2046" s="60" t="n">
        <f aca="false">L2046+M2046</f>
        <v>0</v>
      </c>
      <c r="U2046" s="60" t="n">
        <f aca="false">S2046+J2046</f>
        <v>0</v>
      </c>
      <c r="V2046" s="63" t="n">
        <f aca="false">IFERROR(S2046/F2046,0)</f>
        <v>0</v>
      </c>
      <c r="W2046" s="63" t="n">
        <f aca="false">IFERROR(R2046/F2046,0)</f>
        <v>1</v>
      </c>
      <c r="X2046" s="63" t="n">
        <f aca="false">IFERROR(T2046/F2046,0)</f>
        <v>0</v>
      </c>
      <c r="Y2046" s="63" t="n">
        <f aca="false">IFERROR(G2046/F2046,0)</f>
        <v>0</v>
      </c>
      <c r="Z2046" s="59" t="n">
        <f aca="false">IF(E2046&gt;0,F2046*1000000000/E2046,"")</f>
        <v>3810.36922267416</v>
      </c>
      <c r="AA2046" s="63" t="n">
        <f aca="false">IFERROR((R2046+S2046+J2046)/F2046,0)</f>
        <v>1</v>
      </c>
      <c r="AB2046" s="0" t="str">
        <f aca="false">A2046&amp;"|"&amp;D2046</f>
        <v>Turkmenistan|2018</v>
      </c>
    </row>
    <row r="2047" customFormat="false" ht="15" hidden="false" customHeight="false" outlineLevel="0" collapsed="false">
      <c r="A2047" s="0" t="s">
        <v>376</v>
      </c>
      <c r="B2047" s="0" t="s">
        <v>615</v>
      </c>
      <c r="C2047" s="0" t="s">
        <v>127</v>
      </c>
      <c r="D2047" s="0" t="n">
        <v>2019</v>
      </c>
      <c r="E2047" s="59" t="n">
        <v>6803943</v>
      </c>
      <c r="F2047" s="60" t="n">
        <v>22.5</v>
      </c>
      <c r="G2047" s="61" t="n">
        <v>0</v>
      </c>
      <c r="H2047" s="61" t="n">
        <v>22.5</v>
      </c>
      <c r="I2047" s="61" t="n">
        <v>0</v>
      </c>
      <c r="J2047" s="61" t="n">
        <v>0</v>
      </c>
      <c r="K2047" s="61" t="n">
        <v>0</v>
      </c>
      <c r="L2047" s="61" t="n">
        <v>0</v>
      </c>
      <c r="M2047" s="61" t="n">
        <v>0</v>
      </c>
      <c r="N2047" s="61" t="n">
        <v>0</v>
      </c>
      <c r="O2047" s="61" t="n">
        <v>0</v>
      </c>
      <c r="P2047" s="62" t="n">
        <v>1306.7</v>
      </c>
      <c r="Q2047" s="0" t="n">
        <v>0</v>
      </c>
      <c r="R2047" s="60" t="n">
        <f aca="false">G2047+H2047+I2047</f>
        <v>22.5</v>
      </c>
      <c r="S2047" s="60" t="n">
        <f aca="false">K2047+L2047+M2047+N2047+O2047</f>
        <v>0</v>
      </c>
      <c r="T2047" s="60" t="n">
        <f aca="false">L2047+M2047</f>
        <v>0</v>
      </c>
      <c r="U2047" s="60" t="n">
        <f aca="false">S2047+J2047</f>
        <v>0</v>
      </c>
      <c r="V2047" s="63" t="n">
        <f aca="false">IFERROR(S2047/F2047,0)</f>
        <v>0</v>
      </c>
      <c r="W2047" s="63" t="n">
        <f aca="false">IFERROR(R2047/F2047,0)</f>
        <v>1</v>
      </c>
      <c r="X2047" s="63" t="n">
        <f aca="false">IFERROR(T2047/F2047,0)</f>
        <v>0</v>
      </c>
      <c r="Y2047" s="63" t="n">
        <f aca="false">IFERROR(G2047/F2047,0)</f>
        <v>0</v>
      </c>
      <c r="Z2047" s="59" t="n">
        <f aca="false">IF(E2047&gt;0,F2047*1000000000/E2047,"")</f>
        <v>3306.90601023554</v>
      </c>
      <c r="AA2047" s="63" t="n">
        <f aca="false">IFERROR((R2047+S2047+J2047)/F2047,0)</f>
        <v>1</v>
      </c>
      <c r="AB2047" s="0" t="str">
        <f aca="false">A2047&amp;"|"&amp;D2047</f>
        <v>Turkmenistan|2019</v>
      </c>
    </row>
    <row r="2048" customFormat="false" ht="15" hidden="false" customHeight="false" outlineLevel="0" collapsed="false">
      <c r="A2048" s="0" t="s">
        <v>376</v>
      </c>
      <c r="B2048" s="0" t="s">
        <v>615</v>
      </c>
      <c r="C2048" s="0" t="s">
        <v>127</v>
      </c>
      <c r="D2048" s="0" t="n">
        <v>2020</v>
      </c>
      <c r="E2048" s="59" t="n">
        <v>6949915</v>
      </c>
      <c r="F2048" s="60" t="n">
        <v>25.76</v>
      </c>
      <c r="G2048" s="61" t="n">
        <v>0</v>
      </c>
      <c r="H2048" s="61" t="n">
        <v>25.76</v>
      </c>
      <c r="I2048" s="61" t="n">
        <v>0</v>
      </c>
      <c r="J2048" s="61" t="n">
        <v>0</v>
      </c>
      <c r="K2048" s="61" t="n">
        <v>0</v>
      </c>
      <c r="L2048" s="61" t="n">
        <v>0</v>
      </c>
      <c r="M2048" s="61" t="n">
        <v>0</v>
      </c>
      <c r="N2048" s="61" t="n">
        <v>0</v>
      </c>
      <c r="O2048" s="61" t="n">
        <v>0</v>
      </c>
      <c r="P2048" s="62" t="n">
        <v>1306.7</v>
      </c>
      <c r="Q2048" s="0" t="n">
        <v>0</v>
      </c>
      <c r="R2048" s="60" t="n">
        <f aca="false">G2048+H2048+I2048</f>
        <v>25.76</v>
      </c>
      <c r="S2048" s="60" t="n">
        <f aca="false">K2048+L2048+M2048+N2048+O2048</f>
        <v>0</v>
      </c>
      <c r="T2048" s="60" t="n">
        <f aca="false">L2048+M2048</f>
        <v>0</v>
      </c>
      <c r="U2048" s="60" t="n">
        <f aca="false">S2048+J2048</f>
        <v>0</v>
      </c>
      <c r="V2048" s="63" t="n">
        <f aca="false">IFERROR(S2048/F2048,0)</f>
        <v>0</v>
      </c>
      <c r="W2048" s="63" t="n">
        <f aca="false">IFERROR(R2048/F2048,0)</f>
        <v>1</v>
      </c>
      <c r="X2048" s="63" t="n">
        <f aca="false">IFERROR(T2048/F2048,0)</f>
        <v>0</v>
      </c>
      <c r="Y2048" s="63" t="n">
        <f aca="false">IFERROR(G2048/F2048,0)</f>
        <v>0</v>
      </c>
      <c r="Z2048" s="59" t="n">
        <f aca="false">IF(E2048&gt;0,F2048*1000000000/E2048,"")</f>
        <v>3706.52015168531</v>
      </c>
      <c r="AA2048" s="63" t="n">
        <f aca="false">IFERROR((R2048+S2048+J2048)/F2048,0)</f>
        <v>1</v>
      </c>
      <c r="AB2048" s="0" t="str">
        <f aca="false">A2048&amp;"|"&amp;D2048</f>
        <v>Turkmenistan|2020</v>
      </c>
    </row>
    <row r="2049" customFormat="false" ht="15" hidden="false" customHeight="false" outlineLevel="0" collapsed="false">
      <c r="A2049" s="0" t="s">
        <v>376</v>
      </c>
      <c r="B2049" s="0" t="s">
        <v>615</v>
      </c>
      <c r="C2049" s="0" t="s">
        <v>127</v>
      </c>
      <c r="D2049" s="0" t="n">
        <v>2021</v>
      </c>
      <c r="E2049" s="59" t="n">
        <v>7092042</v>
      </c>
      <c r="F2049" s="60" t="n">
        <v>28.4</v>
      </c>
      <c r="G2049" s="61" t="n">
        <v>0</v>
      </c>
      <c r="H2049" s="61" t="n">
        <v>28.39</v>
      </c>
      <c r="I2049" s="61" t="n">
        <v>0</v>
      </c>
      <c r="J2049" s="61" t="n">
        <v>0</v>
      </c>
      <c r="K2049" s="61" t="n">
        <v>0.01</v>
      </c>
      <c r="L2049" s="61" t="n">
        <v>0</v>
      </c>
      <c r="M2049" s="61" t="n">
        <v>0</v>
      </c>
      <c r="N2049" s="61" t="n">
        <v>0</v>
      </c>
      <c r="O2049" s="61" t="n">
        <v>0</v>
      </c>
      <c r="P2049" s="62" t="n">
        <v>1306</v>
      </c>
      <c r="Q2049" s="0" t="n">
        <v>0</v>
      </c>
      <c r="R2049" s="60" t="n">
        <f aca="false">G2049+H2049+I2049</f>
        <v>28.39</v>
      </c>
      <c r="S2049" s="60" t="n">
        <f aca="false">K2049+L2049+M2049+N2049+O2049</f>
        <v>0.01</v>
      </c>
      <c r="T2049" s="60" t="n">
        <f aca="false">L2049+M2049</f>
        <v>0</v>
      </c>
      <c r="U2049" s="60" t="n">
        <f aca="false">S2049+J2049</f>
        <v>0.01</v>
      </c>
      <c r="V2049" s="63" t="n">
        <f aca="false">IFERROR(S2049/F2049,0)</f>
        <v>0.000352112676056338</v>
      </c>
      <c r="W2049" s="63" t="n">
        <f aca="false">IFERROR(R2049/F2049,0)</f>
        <v>0.999647887323944</v>
      </c>
      <c r="X2049" s="63" t="n">
        <f aca="false">IFERROR(T2049/F2049,0)</f>
        <v>0</v>
      </c>
      <c r="Y2049" s="63" t="n">
        <f aca="false">IFERROR(G2049/F2049,0)</f>
        <v>0</v>
      </c>
      <c r="Z2049" s="59" t="n">
        <f aca="false">IF(E2049&gt;0,F2049*1000000000/E2049,"")</f>
        <v>4004.48841109514</v>
      </c>
      <c r="AA2049" s="63" t="n">
        <f aca="false">IFERROR((R2049+S2049+J2049)/F2049,0)</f>
        <v>1</v>
      </c>
      <c r="AB2049" s="0" t="str">
        <f aca="false">A2049&amp;"|"&amp;D2049</f>
        <v>Turkmenistan|2021</v>
      </c>
    </row>
    <row r="2050" customFormat="false" ht="15" hidden="false" customHeight="false" outlineLevel="0" collapsed="false">
      <c r="A2050" s="0" t="s">
        <v>376</v>
      </c>
      <c r="B2050" s="0" t="s">
        <v>615</v>
      </c>
      <c r="C2050" s="0" t="s">
        <v>127</v>
      </c>
      <c r="D2050" s="0" t="n">
        <v>2022</v>
      </c>
      <c r="E2050" s="59" t="n">
        <v>7230197</v>
      </c>
      <c r="F2050" s="60" t="n">
        <v>32.6</v>
      </c>
      <c r="G2050" s="61" t="n">
        <v>0</v>
      </c>
      <c r="H2050" s="61" t="n">
        <v>32.59</v>
      </c>
      <c r="I2050" s="61" t="n">
        <v>0</v>
      </c>
      <c r="J2050" s="61" t="n">
        <v>0</v>
      </c>
      <c r="K2050" s="61" t="n">
        <v>0.01</v>
      </c>
      <c r="L2050" s="61" t="n">
        <v>0</v>
      </c>
      <c r="M2050" s="61" t="n">
        <v>0</v>
      </c>
      <c r="N2050" s="61" t="n">
        <v>0</v>
      </c>
      <c r="O2050" s="61" t="n">
        <v>0</v>
      </c>
      <c r="P2050" s="62" t="n">
        <v>1306.1</v>
      </c>
      <c r="Q2050" s="0" t="n">
        <v>0</v>
      </c>
      <c r="R2050" s="60" t="n">
        <f aca="false">G2050+H2050+I2050</f>
        <v>32.59</v>
      </c>
      <c r="S2050" s="60" t="n">
        <f aca="false">K2050+L2050+M2050+N2050+O2050</f>
        <v>0.01</v>
      </c>
      <c r="T2050" s="60" t="n">
        <f aca="false">L2050+M2050</f>
        <v>0</v>
      </c>
      <c r="U2050" s="60" t="n">
        <f aca="false">S2050+J2050</f>
        <v>0.01</v>
      </c>
      <c r="V2050" s="63" t="n">
        <f aca="false">IFERROR(S2050/F2050,0)</f>
        <v>0.000306748466257669</v>
      </c>
      <c r="W2050" s="63" t="n">
        <f aca="false">IFERROR(R2050/F2050,0)</f>
        <v>0.999693251533742</v>
      </c>
      <c r="X2050" s="63" t="n">
        <f aca="false">IFERROR(T2050/F2050,0)</f>
        <v>0</v>
      </c>
      <c r="Y2050" s="63" t="n">
        <f aca="false">IFERROR(G2050/F2050,0)</f>
        <v>0</v>
      </c>
      <c r="Z2050" s="59" t="n">
        <f aca="false">IF(E2050&gt;0,F2050*1000000000/E2050,"")</f>
        <v>4508.86746239418</v>
      </c>
      <c r="AA2050" s="63" t="n">
        <f aca="false">IFERROR((R2050+S2050+J2050)/F2050,0)</f>
        <v>1</v>
      </c>
      <c r="AB2050" s="0" t="str">
        <f aca="false">A2050&amp;"|"&amp;D2050</f>
        <v>Turkmenistan|2022</v>
      </c>
    </row>
    <row r="2051" customFormat="false" ht="15" hidden="false" customHeight="false" outlineLevel="0" collapsed="false">
      <c r="A2051" s="0" t="s">
        <v>376</v>
      </c>
      <c r="B2051" s="0" t="s">
        <v>615</v>
      </c>
      <c r="C2051" s="0" t="s">
        <v>127</v>
      </c>
      <c r="D2051" s="0" t="n">
        <v>2023</v>
      </c>
      <c r="E2051" s="59" t="n">
        <v>7364437</v>
      </c>
      <c r="F2051" s="60" t="n">
        <v>32.6</v>
      </c>
      <c r="G2051" s="61" t="n">
        <v>0</v>
      </c>
      <c r="H2051" s="61" t="n">
        <v>32.59</v>
      </c>
      <c r="I2051" s="61" t="n">
        <v>0</v>
      </c>
      <c r="J2051" s="61" t="n">
        <v>0</v>
      </c>
      <c r="K2051" s="61" t="n">
        <v>0.01</v>
      </c>
      <c r="L2051" s="61" t="n">
        <v>0</v>
      </c>
      <c r="M2051" s="61" t="n">
        <v>0</v>
      </c>
      <c r="N2051" s="61" t="n">
        <v>0</v>
      </c>
      <c r="O2051" s="61" t="n">
        <v>0</v>
      </c>
      <c r="P2051" s="62" t="n">
        <v>1306.1</v>
      </c>
      <c r="Q2051" s="0" t="n">
        <v>0</v>
      </c>
      <c r="R2051" s="60" t="n">
        <f aca="false">G2051+H2051+I2051</f>
        <v>32.59</v>
      </c>
      <c r="S2051" s="60" t="n">
        <f aca="false">K2051+L2051+M2051+N2051+O2051</f>
        <v>0.01</v>
      </c>
      <c r="T2051" s="60" t="n">
        <f aca="false">L2051+M2051</f>
        <v>0</v>
      </c>
      <c r="U2051" s="60" t="n">
        <f aca="false">S2051+J2051</f>
        <v>0.01</v>
      </c>
      <c r="V2051" s="63" t="n">
        <f aca="false">IFERROR(S2051/F2051,0)</f>
        <v>0.000306748466257669</v>
      </c>
      <c r="W2051" s="63" t="n">
        <f aca="false">IFERROR(R2051/F2051,0)</f>
        <v>0.999693251533742</v>
      </c>
      <c r="X2051" s="63" t="n">
        <f aca="false">IFERROR(T2051/F2051,0)</f>
        <v>0</v>
      </c>
      <c r="Y2051" s="63" t="n">
        <f aca="false">IFERROR(G2051/F2051,0)</f>
        <v>0</v>
      </c>
      <c r="Z2051" s="59" t="n">
        <f aca="false">IF(E2051&gt;0,F2051*1000000000/E2051,"")</f>
        <v>4426.67918810359</v>
      </c>
      <c r="AA2051" s="63" t="n">
        <f aca="false">IFERROR((R2051+S2051+J2051)/F2051,0)</f>
        <v>1</v>
      </c>
      <c r="AB2051" s="0" t="str">
        <f aca="false">A2051&amp;"|"&amp;D2051</f>
        <v>Turkmenistan|2023</v>
      </c>
    </row>
    <row r="2052" customFormat="false" ht="15" hidden="false" customHeight="false" outlineLevel="0" collapsed="false">
      <c r="A2052" s="0" t="s">
        <v>376</v>
      </c>
      <c r="B2052" s="0" t="s">
        <v>615</v>
      </c>
      <c r="C2052" s="0" t="s">
        <v>127</v>
      </c>
      <c r="D2052" s="0" t="n">
        <v>2024</v>
      </c>
      <c r="E2052" s="59" t="n">
        <v>7494494</v>
      </c>
      <c r="F2052" s="60" t="n">
        <v>33.01</v>
      </c>
      <c r="G2052" s="61" t="n">
        <v>0</v>
      </c>
      <c r="H2052" s="61" t="n">
        <v>33</v>
      </c>
      <c r="I2052" s="61" t="n">
        <v>0</v>
      </c>
      <c r="J2052" s="61" t="n">
        <v>0</v>
      </c>
      <c r="K2052" s="61" t="n">
        <v>0.01</v>
      </c>
      <c r="L2052" s="61" t="n">
        <v>0</v>
      </c>
      <c r="M2052" s="61" t="n">
        <v>0</v>
      </c>
      <c r="N2052" s="61" t="n">
        <v>0</v>
      </c>
      <c r="O2052" s="61" t="n">
        <v>0</v>
      </c>
      <c r="P2052" s="62" t="n">
        <v>1306.3</v>
      </c>
      <c r="Q2052" s="0" t="n">
        <v>0</v>
      </c>
      <c r="R2052" s="60" t="n">
        <f aca="false">G2052+H2052+I2052</f>
        <v>33</v>
      </c>
      <c r="S2052" s="60" t="n">
        <f aca="false">K2052+L2052+M2052+N2052+O2052</f>
        <v>0.01</v>
      </c>
      <c r="T2052" s="60" t="n">
        <f aca="false">L2052+M2052</f>
        <v>0</v>
      </c>
      <c r="U2052" s="60" t="n">
        <f aca="false">S2052+J2052</f>
        <v>0.01</v>
      </c>
      <c r="V2052" s="63" t="n">
        <f aca="false">IFERROR(S2052/F2052,0)</f>
        <v>0.000302938503483793</v>
      </c>
      <c r="W2052" s="63" t="n">
        <f aca="false">IFERROR(R2052/F2052,0)</f>
        <v>0.999697061496516</v>
      </c>
      <c r="X2052" s="63" t="n">
        <f aca="false">IFERROR(T2052/F2052,0)</f>
        <v>0</v>
      </c>
      <c r="Y2052" s="63" t="n">
        <f aca="false">IFERROR(G2052/F2052,0)</f>
        <v>0</v>
      </c>
      <c r="Z2052" s="59" t="n">
        <f aca="false">IF(E2052&gt;0,F2052*1000000000/E2052,"")</f>
        <v>4404.56687269347</v>
      </c>
      <c r="AA2052" s="63" t="n">
        <f aca="false">IFERROR((R2052+S2052+J2052)/F2052,0)</f>
        <v>1</v>
      </c>
      <c r="AB2052" s="0" t="str">
        <f aca="false">A2052&amp;"|"&amp;D2052</f>
        <v>Turkmenistan|2024</v>
      </c>
    </row>
    <row r="2053" customFormat="false" ht="15" hidden="false" customHeight="false" outlineLevel="0" collapsed="false">
      <c r="A2053" s="0" t="s">
        <v>377</v>
      </c>
      <c r="B2053" s="0" t="s">
        <v>616</v>
      </c>
      <c r="C2053" s="0" t="s">
        <v>127</v>
      </c>
      <c r="D2053" s="0" t="n">
        <v>2015</v>
      </c>
      <c r="E2053" s="59" t="n">
        <v>36632</v>
      </c>
      <c r="F2053" s="60" t="n">
        <v>0.23</v>
      </c>
      <c r="G2053" s="61" t="n">
        <v>0</v>
      </c>
      <c r="H2053" s="61" t="n">
        <v>0</v>
      </c>
      <c r="I2053" s="61" t="n">
        <v>0.23</v>
      </c>
      <c r="J2053" s="61" t="n">
        <v>0</v>
      </c>
      <c r="K2053" s="61" t="n">
        <v>0</v>
      </c>
      <c r="L2053" s="61" t="n">
        <v>0</v>
      </c>
      <c r="M2053" s="61" t="n">
        <v>0</v>
      </c>
      <c r="N2053" s="61" t="n">
        <v>0</v>
      </c>
      <c r="O2053" s="61" t="n">
        <v>0</v>
      </c>
      <c r="P2053" s="62" t="n">
        <v>652.2</v>
      </c>
      <c r="Q2053" s="0" t="n">
        <v>0</v>
      </c>
      <c r="R2053" s="60" t="n">
        <f aca="false">G2053+H2053+I2053</f>
        <v>0.23</v>
      </c>
      <c r="S2053" s="60" t="n">
        <f aca="false">K2053+L2053+M2053+N2053+O2053</f>
        <v>0</v>
      </c>
      <c r="T2053" s="60" t="n">
        <f aca="false">L2053+M2053</f>
        <v>0</v>
      </c>
      <c r="U2053" s="60" t="n">
        <f aca="false">S2053+J2053</f>
        <v>0</v>
      </c>
      <c r="V2053" s="63" t="n">
        <f aca="false">IFERROR(S2053/F2053,0)</f>
        <v>0</v>
      </c>
      <c r="W2053" s="63" t="n">
        <f aca="false">IFERROR(R2053/F2053,0)</f>
        <v>1</v>
      </c>
      <c r="X2053" s="63" t="n">
        <f aca="false">IFERROR(T2053/F2053,0)</f>
        <v>0</v>
      </c>
      <c r="Y2053" s="63" t="n">
        <f aca="false">IFERROR(G2053/F2053,0)</f>
        <v>0</v>
      </c>
      <c r="Z2053" s="59" t="n">
        <f aca="false">IF(E2053&gt;0,F2053*1000000000/E2053,"")</f>
        <v>6278.66346363835</v>
      </c>
      <c r="AA2053" s="63" t="n">
        <f aca="false">IFERROR((R2053+S2053+J2053)/F2053,0)</f>
        <v>1</v>
      </c>
      <c r="AB2053" s="0" t="str">
        <f aca="false">A2053&amp;"|"&amp;D2053</f>
        <v>Turks and Caicos Islands|2015</v>
      </c>
    </row>
    <row r="2054" customFormat="false" ht="15" hidden="false" customHeight="false" outlineLevel="0" collapsed="false">
      <c r="A2054" s="0" t="s">
        <v>377</v>
      </c>
      <c r="B2054" s="0" t="s">
        <v>616</v>
      </c>
      <c r="C2054" s="0" t="s">
        <v>127</v>
      </c>
      <c r="D2054" s="0" t="n">
        <v>2016</v>
      </c>
      <c r="E2054" s="59" t="n">
        <v>38342</v>
      </c>
      <c r="F2054" s="60" t="n">
        <v>0.25</v>
      </c>
      <c r="G2054" s="61" t="n">
        <v>0</v>
      </c>
      <c r="H2054" s="61" t="n">
        <v>0</v>
      </c>
      <c r="I2054" s="61" t="n">
        <v>0.25</v>
      </c>
      <c r="J2054" s="61" t="n">
        <v>0</v>
      </c>
      <c r="K2054" s="61" t="n">
        <v>0</v>
      </c>
      <c r="L2054" s="61" t="n">
        <v>0</v>
      </c>
      <c r="M2054" s="61" t="n">
        <v>0</v>
      </c>
      <c r="N2054" s="61" t="n">
        <v>0</v>
      </c>
      <c r="O2054" s="61" t="n">
        <v>0</v>
      </c>
      <c r="P2054" s="62" t="n">
        <v>640</v>
      </c>
      <c r="Q2054" s="0" t="n">
        <v>0</v>
      </c>
      <c r="R2054" s="60" t="n">
        <f aca="false">G2054+H2054+I2054</f>
        <v>0.25</v>
      </c>
      <c r="S2054" s="60" t="n">
        <f aca="false">K2054+L2054+M2054+N2054+O2054</f>
        <v>0</v>
      </c>
      <c r="T2054" s="60" t="n">
        <f aca="false">L2054+M2054</f>
        <v>0</v>
      </c>
      <c r="U2054" s="60" t="n">
        <f aca="false">S2054+J2054</f>
        <v>0</v>
      </c>
      <c r="V2054" s="63" t="n">
        <f aca="false">IFERROR(S2054/F2054,0)</f>
        <v>0</v>
      </c>
      <c r="W2054" s="63" t="n">
        <f aca="false">IFERROR(R2054/F2054,0)</f>
        <v>1</v>
      </c>
      <c r="X2054" s="63" t="n">
        <f aca="false">IFERROR(T2054/F2054,0)</f>
        <v>0</v>
      </c>
      <c r="Y2054" s="63" t="n">
        <f aca="false">IFERROR(G2054/F2054,0)</f>
        <v>0</v>
      </c>
      <c r="Z2054" s="59" t="n">
        <f aca="false">IF(E2054&gt;0,F2054*1000000000/E2054,"")</f>
        <v>6520.26498356893</v>
      </c>
      <c r="AA2054" s="63" t="n">
        <f aca="false">IFERROR((R2054+S2054+J2054)/F2054,0)</f>
        <v>1</v>
      </c>
      <c r="AB2054" s="0" t="str">
        <f aca="false">A2054&amp;"|"&amp;D2054</f>
        <v>Turks and Caicos Islands|2016</v>
      </c>
    </row>
    <row r="2055" customFormat="false" ht="15" hidden="false" customHeight="false" outlineLevel="0" collapsed="false">
      <c r="A2055" s="0" t="s">
        <v>377</v>
      </c>
      <c r="B2055" s="0" t="s">
        <v>616</v>
      </c>
      <c r="C2055" s="0" t="s">
        <v>127</v>
      </c>
      <c r="D2055" s="0" t="n">
        <v>2017</v>
      </c>
      <c r="E2055" s="59" t="n">
        <v>39931</v>
      </c>
      <c r="F2055" s="60" t="n">
        <v>0.29</v>
      </c>
      <c r="G2055" s="61" t="n">
        <v>0</v>
      </c>
      <c r="H2055" s="61" t="n">
        <v>0</v>
      </c>
      <c r="I2055" s="61" t="n">
        <v>0.29</v>
      </c>
      <c r="J2055" s="61" t="n">
        <v>0</v>
      </c>
      <c r="K2055" s="61" t="n">
        <v>0</v>
      </c>
      <c r="L2055" s="61" t="n">
        <v>0</v>
      </c>
      <c r="M2055" s="61" t="n">
        <v>0</v>
      </c>
      <c r="N2055" s="61" t="n">
        <v>0</v>
      </c>
      <c r="O2055" s="61" t="n">
        <v>0</v>
      </c>
      <c r="P2055" s="62" t="n">
        <v>655.2</v>
      </c>
      <c r="Q2055" s="0" t="n">
        <v>0</v>
      </c>
      <c r="R2055" s="60" t="n">
        <f aca="false">G2055+H2055+I2055</f>
        <v>0.29</v>
      </c>
      <c r="S2055" s="60" t="n">
        <f aca="false">K2055+L2055+M2055+N2055+O2055</f>
        <v>0</v>
      </c>
      <c r="T2055" s="60" t="n">
        <f aca="false">L2055+M2055</f>
        <v>0</v>
      </c>
      <c r="U2055" s="60" t="n">
        <f aca="false">S2055+J2055</f>
        <v>0</v>
      </c>
      <c r="V2055" s="63" t="n">
        <f aca="false">IFERROR(S2055/F2055,0)</f>
        <v>0</v>
      </c>
      <c r="W2055" s="63" t="n">
        <f aca="false">IFERROR(R2055/F2055,0)</f>
        <v>1</v>
      </c>
      <c r="X2055" s="63" t="n">
        <f aca="false">IFERROR(T2055/F2055,0)</f>
        <v>0</v>
      </c>
      <c r="Y2055" s="63" t="n">
        <f aca="false">IFERROR(G2055/F2055,0)</f>
        <v>0</v>
      </c>
      <c r="Z2055" s="59" t="n">
        <f aca="false">IF(E2055&gt;0,F2055*1000000000/E2055,"")</f>
        <v>7262.52786055947</v>
      </c>
      <c r="AA2055" s="63" t="n">
        <f aca="false">IFERROR((R2055+S2055+J2055)/F2055,0)</f>
        <v>1</v>
      </c>
      <c r="AB2055" s="0" t="str">
        <f aca="false">A2055&amp;"|"&amp;D2055</f>
        <v>Turks and Caicos Islands|2017</v>
      </c>
    </row>
    <row r="2056" customFormat="false" ht="15" hidden="false" customHeight="false" outlineLevel="0" collapsed="false">
      <c r="A2056" s="0" t="s">
        <v>377</v>
      </c>
      <c r="B2056" s="0" t="s">
        <v>616</v>
      </c>
      <c r="C2056" s="0" t="s">
        <v>127</v>
      </c>
      <c r="D2056" s="0" t="n">
        <v>2018</v>
      </c>
      <c r="E2056" s="59" t="n">
        <v>41580</v>
      </c>
      <c r="F2056" s="60" t="n">
        <v>0.26</v>
      </c>
      <c r="G2056" s="61" t="n">
        <v>0</v>
      </c>
      <c r="H2056" s="61" t="n">
        <v>0</v>
      </c>
      <c r="I2056" s="61" t="n">
        <v>0.26</v>
      </c>
      <c r="J2056" s="61" t="n">
        <v>0</v>
      </c>
      <c r="K2056" s="61" t="n">
        <v>0</v>
      </c>
      <c r="L2056" s="61" t="n">
        <v>0</v>
      </c>
      <c r="M2056" s="61" t="n">
        <v>0</v>
      </c>
      <c r="N2056" s="61" t="n">
        <v>0</v>
      </c>
      <c r="O2056" s="61" t="n">
        <v>0</v>
      </c>
      <c r="P2056" s="62" t="n">
        <v>653.9</v>
      </c>
      <c r="Q2056" s="0" t="n">
        <v>0</v>
      </c>
      <c r="R2056" s="60" t="n">
        <f aca="false">G2056+H2056+I2056</f>
        <v>0.26</v>
      </c>
      <c r="S2056" s="60" t="n">
        <f aca="false">K2056+L2056+M2056+N2056+O2056</f>
        <v>0</v>
      </c>
      <c r="T2056" s="60" t="n">
        <f aca="false">L2056+M2056</f>
        <v>0</v>
      </c>
      <c r="U2056" s="60" t="n">
        <f aca="false">S2056+J2056</f>
        <v>0</v>
      </c>
      <c r="V2056" s="63" t="n">
        <f aca="false">IFERROR(S2056/F2056,0)</f>
        <v>0</v>
      </c>
      <c r="W2056" s="63" t="n">
        <f aca="false">IFERROR(R2056/F2056,0)</f>
        <v>1</v>
      </c>
      <c r="X2056" s="63" t="n">
        <f aca="false">IFERROR(T2056/F2056,0)</f>
        <v>0</v>
      </c>
      <c r="Y2056" s="63" t="n">
        <f aca="false">IFERROR(G2056/F2056,0)</f>
        <v>0</v>
      </c>
      <c r="Z2056" s="59" t="n">
        <f aca="false">IF(E2056&gt;0,F2056*1000000000/E2056,"")</f>
        <v>6253.00625300625</v>
      </c>
      <c r="AA2056" s="63" t="n">
        <f aca="false">IFERROR((R2056+S2056+J2056)/F2056,0)</f>
        <v>1</v>
      </c>
      <c r="AB2056" s="0" t="str">
        <f aca="false">A2056&amp;"|"&amp;D2056</f>
        <v>Turks and Caicos Islands|2018</v>
      </c>
    </row>
    <row r="2057" customFormat="false" ht="15" hidden="false" customHeight="false" outlineLevel="0" collapsed="false">
      <c r="A2057" s="0" t="s">
        <v>377</v>
      </c>
      <c r="B2057" s="0" t="s">
        <v>616</v>
      </c>
      <c r="C2057" s="0" t="s">
        <v>127</v>
      </c>
      <c r="D2057" s="0" t="n">
        <v>2019</v>
      </c>
      <c r="E2057" s="59" t="n">
        <v>43191</v>
      </c>
      <c r="F2057" s="60" t="n">
        <v>0.26</v>
      </c>
      <c r="G2057" s="61" t="n">
        <v>0</v>
      </c>
      <c r="H2057" s="61" t="n">
        <v>0</v>
      </c>
      <c r="I2057" s="61" t="n">
        <v>0.26</v>
      </c>
      <c r="J2057" s="61" t="n">
        <v>0</v>
      </c>
      <c r="K2057" s="61" t="n">
        <v>0</v>
      </c>
      <c r="L2057" s="61" t="n">
        <v>0</v>
      </c>
      <c r="M2057" s="61" t="n">
        <v>0</v>
      </c>
      <c r="N2057" s="61" t="n">
        <v>0</v>
      </c>
      <c r="O2057" s="61" t="n">
        <v>0</v>
      </c>
      <c r="P2057" s="62" t="n">
        <v>653.9</v>
      </c>
      <c r="Q2057" s="0" t="n">
        <v>0</v>
      </c>
      <c r="R2057" s="60" t="n">
        <f aca="false">G2057+H2057+I2057</f>
        <v>0.26</v>
      </c>
      <c r="S2057" s="60" t="n">
        <f aca="false">K2057+L2057+M2057+N2057+O2057</f>
        <v>0</v>
      </c>
      <c r="T2057" s="60" t="n">
        <f aca="false">L2057+M2057</f>
        <v>0</v>
      </c>
      <c r="U2057" s="60" t="n">
        <f aca="false">S2057+J2057</f>
        <v>0</v>
      </c>
      <c r="V2057" s="63" t="n">
        <f aca="false">IFERROR(S2057/F2057,0)</f>
        <v>0</v>
      </c>
      <c r="W2057" s="63" t="n">
        <f aca="false">IFERROR(R2057/F2057,0)</f>
        <v>1</v>
      </c>
      <c r="X2057" s="63" t="n">
        <f aca="false">IFERROR(T2057/F2057,0)</f>
        <v>0</v>
      </c>
      <c r="Y2057" s="63" t="n">
        <f aca="false">IFERROR(G2057/F2057,0)</f>
        <v>0</v>
      </c>
      <c r="Z2057" s="59" t="n">
        <f aca="false">IF(E2057&gt;0,F2057*1000000000/E2057,"")</f>
        <v>6019.77263781806</v>
      </c>
      <c r="AA2057" s="63" t="n">
        <f aca="false">IFERROR((R2057+S2057+J2057)/F2057,0)</f>
        <v>1</v>
      </c>
      <c r="AB2057" s="0" t="str">
        <f aca="false">A2057&amp;"|"&amp;D2057</f>
        <v>Turks and Caicos Islands|2019</v>
      </c>
    </row>
    <row r="2058" customFormat="false" ht="15" hidden="false" customHeight="false" outlineLevel="0" collapsed="false">
      <c r="A2058" s="0" t="s">
        <v>377</v>
      </c>
      <c r="B2058" s="0" t="s">
        <v>616</v>
      </c>
      <c r="C2058" s="0" t="s">
        <v>127</v>
      </c>
      <c r="D2058" s="0" t="n">
        <v>2020</v>
      </c>
      <c r="E2058" s="59" t="n">
        <v>44405</v>
      </c>
      <c r="F2058" s="60" t="n">
        <v>0.25</v>
      </c>
      <c r="G2058" s="61" t="n">
        <v>0</v>
      </c>
      <c r="H2058" s="61" t="n">
        <v>0</v>
      </c>
      <c r="I2058" s="61" t="n">
        <v>0.25</v>
      </c>
      <c r="J2058" s="61" t="n">
        <v>0</v>
      </c>
      <c r="K2058" s="61" t="n">
        <v>0</v>
      </c>
      <c r="L2058" s="61" t="n">
        <v>0</v>
      </c>
      <c r="M2058" s="61" t="n">
        <v>0</v>
      </c>
      <c r="N2058" s="61" t="n">
        <v>0</v>
      </c>
      <c r="O2058" s="61" t="n">
        <v>0</v>
      </c>
      <c r="P2058" s="62" t="n">
        <v>640</v>
      </c>
      <c r="Q2058" s="0" t="n">
        <v>0</v>
      </c>
      <c r="R2058" s="60" t="n">
        <f aca="false">G2058+H2058+I2058</f>
        <v>0.25</v>
      </c>
      <c r="S2058" s="60" t="n">
        <f aca="false">K2058+L2058+M2058+N2058+O2058</f>
        <v>0</v>
      </c>
      <c r="T2058" s="60" t="n">
        <f aca="false">L2058+M2058</f>
        <v>0</v>
      </c>
      <c r="U2058" s="60" t="n">
        <f aca="false">S2058+J2058</f>
        <v>0</v>
      </c>
      <c r="V2058" s="63" t="n">
        <f aca="false">IFERROR(S2058/F2058,0)</f>
        <v>0</v>
      </c>
      <c r="W2058" s="63" t="n">
        <f aca="false">IFERROR(R2058/F2058,0)</f>
        <v>1</v>
      </c>
      <c r="X2058" s="63" t="n">
        <f aca="false">IFERROR(T2058/F2058,0)</f>
        <v>0</v>
      </c>
      <c r="Y2058" s="63" t="n">
        <f aca="false">IFERROR(G2058/F2058,0)</f>
        <v>0</v>
      </c>
      <c r="Z2058" s="59" t="n">
        <f aca="false">IF(E2058&gt;0,F2058*1000000000/E2058,"")</f>
        <v>5629.99662200203</v>
      </c>
      <c r="AA2058" s="63" t="n">
        <f aca="false">IFERROR((R2058+S2058+J2058)/F2058,0)</f>
        <v>1</v>
      </c>
      <c r="AB2058" s="0" t="str">
        <f aca="false">A2058&amp;"|"&amp;D2058</f>
        <v>Turks and Caicos Islands|2020</v>
      </c>
    </row>
    <row r="2059" customFormat="false" ht="15" hidden="false" customHeight="false" outlineLevel="0" collapsed="false">
      <c r="A2059" s="0" t="s">
        <v>377</v>
      </c>
      <c r="B2059" s="0" t="s">
        <v>616</v>
      </c>
      <c r="C2059" s="0" t="s">
        <v>127</v>
      </c>
      <c r="D2059" s="0" t="n">
        <v>2021</v>
      </c>
      <c r="E2059" s="59" t="n">
        <v>45262</v>
      </c>
      <c r="F2059" s="60" t="n">
        <v>0.26</v>
      </c>
      <c r="G2059" s="61" t="n">
        <v>0</v>
      </c>
      <c r="H2059" s="61" t="n">
        <v>0</v>
      </c>
      <c r="I2059" s="61" t="n">
        <v>0.26</v>
      </c>
      <c r="J2059" s="61" t="n">
        <v>0</v>
      </c>
      <c r="K2059" s="61" t="n">
        <v>0</v>
      </c>
      <c r="L2059" s="61" t="n">
        <v>0</v>
      </c>
      <c r="M2059" s="61" t="n">
        <v>0</v>
      </c>
      <c r="N2059" s="61" t="n">
        <v>0</v>
      </c>
      <c r="O2059" s="61" t="n">
        <v>0</v>
      </c>
      <c r="P2059" s="62" t="n">
        <v>653.9</v>
      </c>
      <c r="Q2059" s="0" t="n">
        <v>0</v>
      </c>
      <c r="R2059" s="60" t="n">
        <f aca="false">G2059+H2059+I2059</f>
        <v>0.26</v>
      </c>
      <c r="S2059" s="60" t="n">
        <f aca="false">K2059+L2059+M2059+N2059+O2059</f>
        <v>0</v>
      </c>
      <c r="T2059" s="60" t="n">
        <f aca="false">L2059+M2059</f>
        <v>0</v>
      </c>
      <c r="U2059" s="60" t="n">
        <f aca="false">S2059+J2059</f>
        <v>0</v>
      </c>
      <c r="V2059" s="63" t="n">
        <f aca="false">IFERROR(S2059/F2059,0)</f>
        <v>0</v>
      </c>
      <c r="W2059" s="63" t="n">
        <f aca="false">IFERROR(R2059/F2059,0)</f>
        <v>1</v>
      </c>
      <c r="X2059" s="63" t="n">
        <f aca="false">IFERROR(T2059/F2059,0)</f>
        <v>0</v>
      </c>
      <c r="Y2059" s="63" t="n">
        <f aca="false">IFERROR(G2059/F2059,0)</f>
        <v>0</v>
      </c>
      <c r="Z2059" s="59" t="n">
        <f aca="false">IF(E2059&gt;0,F2059*1000000000/E2059,"")</f>
        <v>5744.33299456498</v>
      </c>
      <c r="AA2059" s="63" t="n">
        <f aca="false">IFERROR((R2059+S2059+J2059)/F2059,0)</f>
        <v>1</v>
      </c>
      <c r="AB2059" s="0" t="str">
        <f aca="false">A2059&amp;"|"&amp;D2059</f>
        <v>Turks and Caicos Islands|2021</v>
      </c>
    </row>
    <row r="2060" customFormat="false" ht="15" hidden="false" customHeight="false" outlineLevel="0" collapsed="false">
      <c r="A2060" s="0" t="s">
        <v>377</v>
      </c>
      <c r="B2060" s="0" t="s">
        <v>616</v>
      </c>
      <c r="C2060" s="0" t="s">
        <v>127</v>
      </c>
      <c r="D2060" s="0" t="n">
        <v>2022</v>
      </c>
      <c r="E2060" s="59" t="n">
        <v>45869</v>
      </c>
      <c r="F2060" s="60" t="n">
        <v>0.26</v>
      </c>
      <c r="G2060" s="61" t="n">
        <v>0</v>
      </c>
      <c r="H2060" s="61" t="n">
        <v>0</v>
      </c>
      <c r="I2060" s="61" t="n">
        <v>0.26</v>
      </c>
      <c r="J2060" s="61" t="n">
        <v>0</v>
      </c>
      <c r="K2060" s="61" t="n">
        <v>0</v>
      </c>
      <c r="L2060" s="61" t="n">
        <v>0</v>
      </c>
      <c r="M2060" s="61" t="n">
        <v>0</v>
      </c>
      <c r="N2060" s="61" t="n">
        <v>0</v>
      </c>
      <c r="O2060" s="61" t="n">
        <v>0</v>
      </c>
      <c r="P2060" s="62" t="n">
        <v>653.9</v>
      </c>
      <c r="Q2060" s="0" t="n">
        <v>0</v>
      </c>
      <c r="R2060" s="60" t="n">
        <f aca="false">G2060+H2060+I2060</f>
        <v>0.26</v>
      </c>
      <c r="S2060" s="60" t="n">
        <f aca="false">K2060+L2060+M2060+N2060+O2060</f>
        <v>0</v>
      </c>
      <c r="T2060" s="60" t="n">
        <f aca="false">L2060+M2060</f>
        <v>0</v>
      </c>
      <c r="U2060" s="60" t="n">
        <f aca="false">S2060+J2060</f>
        <v>0</v>
      </c>
      <c r="V2060" s="63" t="n">
        <f aca="false">IFERROR(S2060/F2060,0)</f>
        <v>0</v>
      </c>
      <c r="W2060" s="63" t="n">
        <f aca="false">IFERROR(R2060/F2060,0)</f>
        <v>1</v>
      </c>
      <c r="X2060" s="63" t="n">
        <f aca="false">IFERROR(T2060/F2060,0)</f>
        <v>0</v>
      </c>
      <c r="Y2060" s="63" t="n">
        <f aca="false">IFERROR(G2060/F2060,0)</f>
        <v>0</v>
      </c>
      <c r="Z2060" s="59" t="n">
        <f aca="false">IF(E2060&gt;0,F2060*1000000000/E2060,"")</f>
        <v>5668.3162920491</v>
      </c>
      <c r="AA2060" s="63" t="n">
        <f aca="false">IFERROR((R2060+S2060+J2060)/F2060,0)</f>
        <v>1</v>
      </c>
      <c r="AB2060" s="0" t="str">
        <f aca="false">A2060&amp;"|"&amp;D2060</f>
        <v>Turks and Caicos Islands|2022</v>
      </c>
    </row>
    <row r="2061" customFormat="false" ht="15" hidden="false" customHeight="false" outlineLevel="0" collapsed="false">
      <c r="A2061" s="0" t="s">
        <v>377</v>
      </c>
      <c r="B2061" s="0" t="s">
        <v>616</v>
      </c>
      <c r="C2061" s="0" t="s">
        <v>127</v>
      </c>
      <c r="D2061" s="0" t="n">
        <v>2023</v>
      </c>
      <c r="E2061" s="59" t="n">
        <v>46221</v>
      </c>
      <c r="F2061" s="60" t="n">
        <v>0.26</v>
      </c>
      <c r="G2061" s="61" t="n">
        <v>0</v>
      </c>
      <c r="H2061" s="61" t="n">
        <v>0</v>
      </c>
      <c r="I2061" s="61" t="n">
        <v>0.26</v>
      </c>
      <c r="J2061" s="61" t="n">
        <v>0</v>
      </c>
      <c r="K2061" s="61" t="n">
        <v>0</v>
      </c>
      <c r="L2061" s="61" t="n">
        <v>0</v>
      </c>
      <c r="M2061" s="61" t="n">
        <v>0</v>
      </c>
      <c r="N2061" s="61" t="n">
        <v>0</v>
      </c>
      <c r="O2061" s="61" t="n">
        <v>0</v>
      </c>
      <c r="P2061" s="62" t="n">
        <v>653.9</v>
      </c>
      <c r="Q2061" s="0" t="n">
        <v>0</v>
      </c>
      <c r="R2061" s="60" t="n">
        <f aca="false">G2061+H2061+I2061</f>
        <v>0.26</v>
      </c>
      <c r="S2061" s="60" t="n">
        <f aca="false">K2061+L2061+M2061+N2061+O2061</f>
        <v>0</v>
      </c>
      <c r="T2061" s="60" t="n">
        <f aca="false">L2061+M2061</f>
        <v>0</v>
      </c>
      <c r="U2061" s="60" t="n">
        <f aca="false">S2061+J2061</f>
        <v>0</v>
      </c>
      <c r="V2061" s="63" t="n">
        <f aca="false">IFERROR(S2061/F2061,0)</f>
        <v>0</v>
      </c>
      <c r="W2061" s="63" t="n">
        <f aca="false">IFERROR(R2061/F2061,0)</f>
        <v>1</v>
      </c>
      <c r="X2061" s="63" t="n">
        <f aca="false">IFERROR(T2061/F2061,0)</f>
        <v>0</v>
      </c>
      <c r="Y2061" s="63" t="n">
        <f aca="false">IFERROR(G2061/F2061,0)</f>
        <v>0</v>
      </c>
      <c r="Z2061" s="59" t="n">
        <f aca="false">IF(E2061&gt;0,F2061*1000000000/E2061,"")</f>
        <v>5625.14874191385</v>
      </c>
      <c r="AA2061" s="63" t="n">
        <f aca="false">IFERROR((R2061+S2061+J2061)/F2061,0)</f>
        <v>1</v>
      </c>
      <c r="AB2061" s="0" t="str">
        <f aca="false">A2061&amp;"|"&amp;D2061</f>
        <v>Turks and Caicos Islands|2023</v>
      </c>
    </row>
    <row r="2062" customFormat="false" ht="15" hidden="false" customHeight="false" outlineLevel="0" collapsed="false">
      <c r="A2062" s="0" t="s">
        <v>377</v>
      </c>
      <c r="B2062" s="0" t="s">
        <v>616</v>
      </c>
      <c r="C2062" s="0" t="s">
        <v>127</v>
      </c>
      <c r="D2062" s="0" t="n">
        <v>2024</v>
      </c>
      <c r="E2062" s="59" t="n">
        <v>46563</v>
      </c>
      <c r="F2062" s="60" t="n">
        <v>0.27</v>
      </c>
      <c r="G2062" s="61" t="n">
        <v>0</v>
      </c>
      <c r="H2062" s="61" t="n">
        <v>0</v>
      </c>
      <c r="I2062" s="61" t="n">
        <v>0.26</v>
      </c>
      <c r="J2062" s="61" t="n">
        <v>0</v>
      </c>
      <c r="K2062" s="61" t="n">
        <v>0</v>
      </c>
      <c r="L2062" s="61" t="n">
        <v>0.01</v>
      </c>
      <c r="M2062" s="61" t="n">
        <v>0</v>
      </c>
      <c r="N2062" s="61" t="n">
        <v>0</v>
      </c>
      <c r="O2062" s="61" t="n">
        <v>0</v>
      </c>
      <c r="P2062" s="62" t="n">
        <v>629.6</v>
      </c>
      <c r="Q2062" s="0" t="n">
        <v>0</v>
      </c>
      <c r="R2062" s="60" t="n">
        <f aca="false">G2062+H2062+I2062</f>
        <v>0.26</v>
      </c>
      <c r="S2062" s="60" t="n">
        <f aca="false">K2062+L2062+M2062+N2062+O2062</f>
        <v>0.01</v>
      </c>
      <c r="T2062" s="60" t="n">
        <f aca="false">L2062+M2062</f>
        <v>0.01</v>
      </c>
      <c r="U2062" s="60" t="n">
        <f aca="false">S2062+J2062</f>
        <v>0.01</v>
      </c>
      <c r="V2062" s="63" t="n">
        <f aca="false">IFERROR(S2062/F2062,0)</f>
        <v>0.037037037037037</v>
      </c>
      <c r="W2062" s="63" t="n">
        <f aca="false">IFERROR(R2062/F2062,0)</f>
        <v>0.962962962962963</v>
      </c>
      <c r="X2062" s="63" t="n">
        <f aca="false">IFERROR(T2062/F2062,0)</f>
        <v>0.037037037037037</v>
      </c>
      <c r="Y2062" s="63" t="n">
        <f aca="false">IFERROR(G2062/F2062,0)</f>
        <v>0</v>
      </c>
      <c r="Z2062" s="59" t="n">
        <f aca="false">IF(E2062&gt;0,F2062*1000000000/E2062,"")</f>
        <v>5798.59545132401</v>
      </c>
      <c r="AA2062" s="63" t="n">
        <f aca="false">IFERROR((R2062+S2062+J2062)/F2062,0)</f>
        <v>1</v>
      </c>
      <c r="AB2062" s="0" t="str">
        <f aca="false">A2062&amp;"|"&amp;D2062</f>
        <v>Turks and Caicos Islands|2024</v>
      </c>
    </row>
    <row r="2063" customFormat="false" ht="15" hidden="false" customHeight="false" outlineLevel="0" collapsed="false">
      <c r="A2063" s="0" t="s">
        <v>378</v>
      </c>
      <c r="B2063" s="0" t="s">
        <v>617</v>
      </c>
      <c r="C2063" s="0" t="s">
        <v>127</v>
      </c>
      <c r="D2063" s="0" t="n">
        <v>2015</v>
      </c>
      <c r="E2063" s="59" t="n">
        <v>37531444</v>
      </c>
      <c r="F2063" s="60" t="n">
        <v>3.55</v>
      </c>
      <c r="G2063" s="61" t="n">
        <v>0</v>
      </c>
      <c r="H2063" s="61" t="n">
        <v>0</v>
      </c>
      <c r="I2063" s="61" t="n">
        <v>0.08</v>
      </c>
      <c r="J2063" s="61" t="n">
        <v>0</v>
      </c>
      <c r="K2063" s="61" t="n">
        <v>3.09</v>
      </c>
      <c r="L2063" s="61" t="n">
        <v>0.03</v>
      </c>
      <c r="M2063" s="61" t="n">
        <v>0</v>
      </c>
      <c r="N2063" s="61" t="n">
        <v>0.35</v>
      </c>
      <c r="O2063" s="61" t="n">
        <v>0</v>
      </c>
      <c r="P2063" s="62" t="n">
        <v>56.3</v>
      </c>
      <c r="Q2063" s="0" t="n">
        <v>0</v>
      </c>
      <c r="R2063" s="60" t="n">
        <f aca="false">G2063+H2063+I2063</f>
        <v>0.08</v>
      </c>
      <c r="S2063" s="60" t="n">
        <f aca="false">K2063+L2063+M2063+N2063+O2063</f>
        <v>3.47</v>
      </c>
      <c r="T2063" s="60" t="n">
        <f aca="false">L2063+M2063</f>
        <v>0.03</v>
      </c>
      <c r="U2063" s="60" t="n">
        <f aca="false">S2063+J2063</f>
        <v>3.47</v>
      </c>
      <c r="V2063" s="63" t="n">
        <f aca="false">IFERROR(S2063/F2063,0)</f>
        <v>0.977464788732394</v>
      </c>
      <c r="W2063" s="63" t="n">
        <f aca="false">IFERROR(R2063/F2063,0)</f>
        <v>0.0225352112676056</v>
      </c>
      <c r="X2063" s="63" t="n">
        <f aca="false">IFERROR(T2063/F2063,0)</f>
        <v>0.00845070422535211</v>
      </c>
      <c r="Y2063" s="63" t="n">
        <f aca="false">IFERROR(G2063/F2063,0)</f>
        <v>0</v>
      </c>
      <c r="Z2063" s="59" t="n">
        <f aca="false">IF(E2063&gt;0,F2063*1000000000/E2063,"")</f>
        <v>94.5873545393031</v>
      </c>
      <c r="AA2063" s="63" t="n">
        <f aca="false">IFERROR((R2063+S2063+J2063)/F2063,0)</f>
        <v>1</v>
      </c>
      <c r="AB2063" s="0" t="str">
        <f aca="false">A2063&amp;"|"&amp;D2063</f>
        <v>Uganda|2015</v>
      </c>
    </row>
    <row r="2064" customFormat="false" ht="15" hidden="false" customHeight="false" outlineLevel="0" collapsed="false">
      <c r="A2064" s="0" t="s">
        <v>378</v>
      </c>
      <c r="B2064" s="0" t="s">
        <v>617</v>
      </c>
      <c r="C2064" s="0" t="s">
        <v>127</v>
      </c>
      <c r="D2064" s="0" t="n">
        <v>2016</v>
      </c>
      <c r="E2064" s="59" t="n">
        <v>38799153</v>
      </c>
      <c r="F2064" s="60" t="n">
        <v>3.77</v>
      </c>
      <c r="G2064" s="61" t="n">
        <v>0</v>
      </c>
      <c r="H2064" s="61" t="n">
        <v>0</v>
      </c>
      <c r="I2064" s="61" t="n">
        <v>0.07</v>
      </c>
      <c r="J2064" s="61" t="n">
        <v>0</v>
      </c>
      <c r="K2064" s="61" t="n">
        <v>3.3</v>
      </c>
      <c r="L2064" s="61" t="n">
        <v>0.04</v>
      </c>
      <c r="M2064" s="61" t="n">
        <v>0</v>
      </c>
      <c r="N2064" s="61" t="n">
        <v>0.36</v>
      </c>
      <c r="O2064" s="61" t="n">
        <v>0</v>
      </c>
      <c r="P2064" s="62" t="n">
        <v>55.7</v>
      </c>
      <c r="Q2064" s="0" t="n">
        <v>0</v>
      </c>
      <c r="R2064" s="60" t="n">
        <f aca="false">G2064+H2064+I2064</f>
        <v>0.07</v>
      </c>
      <c r="S2064" s="60" t="n">
        <f aca="false">K2064+L2064+M2064+N2064+O2064</f>
        <v>3.7</v>
      </c>
      <c r="T2064" s="60" t="n">
        <f aca="false">L2064+M2064</f>
        <v>0.04</v>
      </c>
      <c r="U2064" s="60" t="n">
        <f aca="false">S2064+J2064</f>
        <v>3.7</v>
      </c>
      <c r="V2064" s="63" t="n">
        <f aca="false">IFERROR(S2064/F2064,0)</f>
        <v>0.981432360742706</v>
      </c>
      <c r="W2064" s="63" t="n">
        <f aca="false">IFERROR(R2064/F2064,0)</f>
        <v>0.0185676392572944</v>
      </c>
      <c r="X2064" s="63" t="n">
        <f aca="false">IFERROR(T2064/F2064,0)</f>
        <v>0.0106100795755968</v>
      </c>
      <c r="Y2064" s="63" t="n">
        <f aca="false">IFERROR(G2064/F2064,0)</f>
        <v>0</v>
      </c>
      <c r="Z2064" s="59" t="n">
        <f aca="false">IF(E2064&gt;0,F2064*1000000000/E2064,"")</f>
        <v>97.1670696007204</v>
      </c>
      <c r="AA2064" s="63" t="n">
        <f aca="false">IFERROR((R2064+S2064+J2064)/F2064,0)</f>
        <v>1</v>
      </c>
      <c r="AB2064" s="0" t="str">
        <f aca="false">A2064&amp;"|"&amp;D2064</f>
        <v>Uganda|2016</v>
      </c>
    </row>
    <row r="2065" customFormat="false" ht="15" hidden="false" customHeight="false" outlineLevel="0" collapsed="false">
      <c r="A2065" s="0" t="s">
        <v>378</v>
      </c>
      <c r="B2065" s="0" t="s">
        <v>617</v>
      </c>
      <c r="C2065" s="0" t="s">
        <v>127</v>
      </c>
      <c r="D2065" s="0" t="n">
        <v>2017</v>
      </c>
      <c r="E2065" s="59" t="n">
        <v>40177384</v>
      </c>
      <c r="F2065" s="60" t="n">
        <v>3.78</v>
      </c>
      <c r="G2065" s="61" t="n">
        <v>0</v>
      </c>
      <c r="H2065" s="61" t="n">
        <v>0</v>
      </c>
      <c r="I2065" s="61" t="n">
        <v>0.07</v>
      </c>
      <c r="J2065" s="61" t="n">
        <v>0</v>
      </c>
      <c r="K2065" s="61" t="n">
        <v>3.44</v>
      </c>
      <c r="L2065" s="61" t="n">
        <v>0.06</v>
      </c>
      <c r="M2065" s="61" t="n">
        <v>0</v>
      </c>
      <c r="N2065" s="61" t="n">
        <v>0.21</v>
      </c>
      <c r="O2065" s="61" t="n">
        <v>0</v>
      </c>
      <c r="P2065" s="62" t="n">
        <v>47.6</v>
      </c>
      <c r="Q2065" s="0" t="n">
        <v>0</v>
      </c>
      <c r="R2065" s="60" t="n">
        <f aca="false">G2065+H2065+I2065</f>
        <v>0.07</v>
      </c>
      <c r="S2065" s="60" t="n">
        <f aca="false">K2065+L2065+M2065+N2065+O2065</f>
        <v>3.71</v>
      </c>
      <c r="T2065" s="60" t="n">
        <f aca="false">L2065+M2065</f>
        <v>0.06</v>
      </c>
      <c r="U2065" s="60" t="n">
        <f aca="false">S2065+J2065</f>
        <v>3.71</v>
      </c>
      <c r="V2065" s="63" t="n">
        <f aca="false">IFERROR(S2065/F2065,0)</f>
        <v>0.981481481481482</v>
      </c>
      <c r="W2065" s="63" t="n">
        <f aca="false">IFERROR(R2065/F2065,0)</f>
        <v>0.0185185185185185</v>
      </c>
      <c r="X2065" s="63" t="n">
        <f aca="false">IFERROR(T2065/F2065,0)</f>
        <v>0.0158730158730159</v>
      </c>
      <c r="Y2065" s="63" t="n">
        <f aca="false">IFERROR(G2065/F2065,0)</f>
        <v>0</v>
      </c>
      <c r="Z2065" s="59" t="n">
        <f aca="false">IF(E2065&gt;0,F2065*1000000000/E2065,"")</f>
        <v>94.0827805015877</v>
      </c>
      <c r="AA2065" s="63" t="n">
        <f aca="false">IFERROR((R2065+S2065+J2065)/F2065,0)</f>
        <v>1</v>
      </c>
      <c r="AB2065" s="0" t="str">
        <f aca="false">A2065&amp;"|"&amp;D2065</f>
        <v>Uganda|2017</v>
      </c>
    </row>
    <row r="2066" customFormat="false" ht="15" hidden="false" customHeight="false" outlineLevel="0" collapsed="false">
      <c r="A2066" s="0" t="s">
        <v>378</v>
      </c>
      <c r="B2066" s="0" t="s">
        <v>617</v>
      </c>
      <c r="C2066" s="0" t="s">
        <v>127</v>
      </c>
      <c r="D2066" s="0" t="n">
        <v>2018</v>
      </c>
      <c r="E2066" s="59" t="n">
        <v>41565839</v>
      </c>
      <c r="F2066" s="60" t="n">
        <v>4.3</v>
      </c>
      <c r="G2066" s="61" t="n">
        <v>0</v>
      </c>
      <c r="H2066" s="61" t="n">
        <v>0</v>
      </c>
      <c r="I2066" s="61" t="n">
        <v>0.31</v>
      </c>
      <c r="J2066" s="61" t="n">
        <v>0</v>
      </c>
      <c r="K2066" s="61" t="n">
        <v>3.64</v>
      </c>
      <c r="L2066" s="61" t="n">
        <v>0.07</v>
      </c>
      <c r="M2066" s="61" t="n">
        <v>0</v>
      </c>
      <c r="N2066" s="61" t="n">
        <v>0.28</v>
      </c>
      <c r="O2066" s="61" t="n">
        <v>0</v>
      </c>
      <c r="P2066" s="62" t="n">
        <v>81.4</v>
      </c>
      <c r="Q2066" s="0" t="n">
        <v>0</v>
      </c>
      <c r="R2066" s="60" t="n">
        <f aca="false">G2066+H2066+I2066</f>
        <v>0.31</v>
      </c>
      <c r="S2066" s="60" t="n">
        <f aca="false">K2066+L2066+M2066+N2066+O2066</f>
        <v>3.99</v>
      </c>
      <c r="T2066" s="60" t="n">
        <f aca="false">L2066+M2066</f>
        <v>0.07</v>
      </c>
      <c r="U2066" s="60" t="n">
        <f aca="false">S2066+J2066</f>
        <v>3.99</v>
      </c>
      <c r="V2066" s="63" t="n">
        <f aca="false">IFERROR(S2066/F2066,0)</f>
        <v>0.927906976744186</v>
      </c>
      <c r="W2066" s="63" t="n">
        <f aca="false">IFERROR(R2066/F2066,0)</f>
        <v>0.072093023255814</v>
      </c>
      <c r="X2066" s="63" t="n">
        <f aca="false">IFERROR(T2066/F2066,0)</f>
        <v>0.0162790697674419</v>
      </c>
      <c r="Y2066" s="63" t="n">
        <f aca="false">IFERROR(G2066/F2066,0)</f>
        <v>0</v>
      </c>
      <c r="Z2066" s="59" t="n">
        <f aca="false">IF(E2066&gt;0,F2066*1000000000/E2066,"")</f>
        <v>103.450335743253</v>
      </c>
      <c r="AA2066" s="63" t="n">
        <f aca="false">IFERROR((R2066+S2066+J2066)/F2066,0)</f>
        <v>1</v>
      </c>
      <c r="AB2066" s="0" t="str">
        <f aca="false">A2066&amp;"|"&amp;D2066</f>
        <v>Uganda|2018</v>
      </c>
    </row>
    <row r="2067" customFormat="false" ht="15" hidden="false" customHeight="false" outlineLevel="0" collapsed="false">
      <c r="A2067" s="0" t="s">
        <v>378</v>
      </c>
      <c r="B2067" s="0" t="s">
        <v>617</v>
      </c>
      <c r="C2067" s="0" t="s">
        <v>127</v>
      </c>
      <c r="D2067" s="0" t="n">
        <v>2019</v>
      </c>
      <c r="E2067" s="59" t="n">
        <v>42999636</v>
      </c>
      <c r="F2067" s="60" t="n">
        <v>4.58</v>
      </c>
      <c r="G2067" s="61" t="n">
        <v>0</v>
      </c>
      <c r="H2067" s="61" t="n">
        <v>0</v>
      </c>
      <c r="I2067" s="61" t="n">
        <v>0.14</v>
      </c>
      <c r="J2067" s="61" t="n">
        <v>0</v>
      </c>
      <c r="K2067" s="61" t="n">
        <v>4.04</v>
      </c>
      <c r="L2067" s="61" t="n">
        <v>0.13</v>
      </c>
      <c r="M2067" s="61" t="n">
        <v>0</v>
      </c>
      <c r="N2067" s="61" t="n">
        <v>0.27</v>
      </c>
      <c r="O2067" s="61" t="n">
        <v>0</v>
      </c>
      <c r="P2067" s="62" t="n">
        <v>56.8</v>
      </c>
      <c r="Q2067" s="0" t="n">
        <v>0</v>
      </c>
      <c r="R2067" s="60" t="n">
        <f aca="false">G2067+H2067+I2067</f>
        <v>0.14</v>
      </c>
      <c r="S2067" s="60" t="n">
        <f aca="false">K2067+L2067+M2067+N2067+O2067</f>
        <v>4.44</v>
      </c>
      <c r="T2067" s="60" t="n">
        <f aca="false">L2067+M2067</f>
        <v>0.13</v>
      </c>
      <c r="U2067" s="60" t="n">
        <f aca="false">S2067+J2067</f>
        <v>4.44</v>
      </c>
      <c r="V2067" s="63" t="n">
        <f aca="false">IFERROR(S2067/F2067,0)</f>
        <v>0.96943231441048</v>
      </c>
      <c r="W2067" s="63" t="n">
        <f aca="false">IFERROR(R2067/F2067,0)</f>
        <v>0.0305676855895197</v>
      </c>
      <c r="X2067" s="63" t="n">
        <f aca="false">IFERROR(T2067/F2067,0)</f>
        <v>0.0283842794759825</v>
      </c>
      <c r="Y2067" s="63" t="n">
        <f aca="false">IFERROR(G2067/F2067,0)</f>
        <v>0</v>
      </c>
      <c r="Z2067" s="59" t="n">
        <f aca="false">IF(E2067&gt;0,F2067*1000000000/E2067,"")</f>
        <v>106.512529547925</v>
      </c>
      <c r="AA2067" s="63" t="n">
        <f aca="false">IFERROR((R2067+S2067+J2067)/F2067,0)</f>
        <v>1</v>
      </c>
      <c r="AB2067" s="0" t="str">
        <f aca="false">A2067&amp;"|"&amp;D2067</f>
        <v>Uganda|2019</v>
      </c>
    </row>
    <row r="2068" customFormat="false" ht="15" hidden="false" customHeight="false" outlineLevel="0" collapsed="false">
      <c r="A2068" s="0" t="s">
        <v>378</v>
      </c>
      <c r="B2068" s="0" t="s">
        <v>617</v>
      </c>
      <c r="C2068" s="0" t="s">
        <v>127</v>
      </c>
      <c r="D2068" s="0" t="n">
        <v>2020</v>
      </c>
      <c r="E2068" s="59" t="n">
        <v>44457148</v>
      </c>
      <c r="F2068" s="60" t="n">
        <v>4.6</v>
      </c>
      <c r="G2068" s="61" t="n">
        <v>0</v>
      </c>
      <c r="H2068" s="61" t="n">
        <v>0</v>
      </c>
      <c r="I2068" s="61" t="n">
        <v>0.12</v>
      </c>
      <c r="J2068" s="61" t="n">
        <v>0</v>
      </c>
      <c r="K2068" s="61" t="n">
        <v>4.08</v>
      </c>
      <c r="L2068" s="61" t="n">
        <v>0.14</v>
      </c>
      <c r="M2068" s="61" t="n">
        <v>0</v>
      </c>
      <c r="N2068" s="61" t="n">
        <v>0.26</v>
      </c>
      <c r="O2068" s="61" t="n">
        <v>0</v>
      </c>
      <c r="P2068" s="62" t="n">
        <v>54.4</v>
      </c>
      <c r="Q2068" s="0" t="n">
        <v>0</v>
      </c>
      <c r="R2068" s="60" t="n">
        <f aca="false">G2068+H2068+I2068</f>
        <v>0.12</v>
      </c>
      <c r="S2068" s="60" t="n">
        <f aca="false">K2068+L2068+M2068+N2068+O2068</f>
        <v>4.48</v>
      </c>
      <c r="T2068" s="60" t="n">
        <f aca="false">L2068+M2068</f>
        <v>0.14</v>
      </c>
      <c r="U2068" s="60" t="n">
        <f aca="false">S2068+J2068</f>
        <v>4.48</v>
      </c>
      <c r="V2068" s="63" t="n">
        <f aca="false">IFERROR(S2068/F2068,0)</f>
        <v>0.973913043478261</v>
      </c>
      <c r="W2068" s="63" t="n">
        <f aca="false">IFERROR(R2068/F2068,0)</f>
        <v>0.0260869565217391</v>
      </c>
      <c r="X2068" s="63" t="n">
        <f aca="false">IFERROR(T2068/F2068,0)</f>
        <v>0.0304347826086957</v>
      </c>
      <c r="Y2068" s="63" t="n">
        <f aca="false">IFERROR(G2068/F2068,0)</f>
        <v>0</v>
      </c>
      <c r="Z2068" s="59" t="n">
        <f aca="false">IF(E2068&gt;0,F2068*1000000000/E2068,"")</f>
        <v>103.470425048408</v>
      </c>
      <c r="AA2068" s="63" t="n">
        <f aca="false">IFERROR((R2068+S2068+J2068)/F2068,0)</f>
        <v>1</v>
      </c>
      <c r="AB2068" s="0" t="str">
        <f aca="false">A2068&amp;"|"&amp;D2068</f>
        <v>Uganda|2020</v>
      </c>
    </row>
    <row r="2069" customFormat="false" ht="15" hidden="false" customHeight="false" outlineLevel="0" collapsed="false">
      <c r="A2069" s="0" t="s">
        <v>378</v>
      </c>
      <c r="B2069" s="0" t="s">
        <v>617</v>
      </c>
      <c r="C2069" s="0" t="s">
        <v>127</v>
      </c>
      <c r="D2069" s="0" t="n">
        <v>2021</v>
      </c>
      <c r="E2069" s="59" t="n">
        <v>45910931</v>
      </c>
      <c r="F2069" s="60" t="n">
        <v>5.27</v>
      </c>
      <c r="G2069" s="61" t="n">
        <v>0</v>
      </c>
      <c r="H2069" s="61" t="n">
        <v>0</v>
      </c>
      <c r="I2069" s="61" t="n">
        <v>0.13</v>
      </c>
      <c r="J2069" s="61" t="n">
        <v>0</v>
      </c>
      <c r="K2069" s="61" t="n">
        <v>4.64</v>
      </c>
      <c r="L2069" s="61" t="n">
        <v>0.13</v>
      </c>
      <c r="M2069" s="61" t="n">
        <v>0</v>
      </c>
      <c r="N2069" s="61" t="n">
        <v>0.37</v>
      </c>
      <c r="O2069" s="61" t="n">
        <v>0</v>
      </c>
      <c r="P2069" s="62" t="n">
        <v>55</v>
      </c>
      <c r="Q2069" s="0" t="n">
        <v>0</v>
      </c>
      <c r="R2069" s="60" t="n">
        <f aca="false">G2069+H2069+I2069</f>
        <v>0.13</v>
      </c>
      <c r="S2069" s="60" t="n">
        <f aca="false">K2069+L2069+M2069+N2069+O2069</f>
        <v>5.14</v>
      </c>
      <c r="T2069" s="60" t="n">
        <f aca="false">L2069+M2069</f>
        <v>0.13</v>
      </c>
      <c r="U2069" s="60" t="n">
        <f aca="false">S2069+J2069</f>
        <v>5.14</v>
      </c>
      <c r="V2069" s="63" t="n">
        <f aca="false">IFERROR(S2069/F2069,0)</f>
        <v>0.975332068311196</v>
      </c>
      <c r="W2069" s="63" t="n">
        <f aca="false">IFERROR(R2069/F2069,0)</f>
        <v>0.0246679316888046</v>
      </c>
      <c r="X2069" s="63" t="n">
        <f aca="false">IFERROR(T2069/F2069,0)</f>
        <v>0.0246679316888046</v>
      </c>
      <c r="Y2069" s="63" t="n">
        <f aca="false">IFERROR(G2069/F2069,0)</f>
        <v>0</v>
      </c>
      <c r="Z2069" s="59" t="n">
        <f aca="false">IF(E2069&gt;0,F2069*1000000000/E2069,"")</f>
        <v>114.787478389406</v>
      </c>
      <c r="AA2069" s="63" t="n">
        <f aca="false">IFERROR((R2069+S2069+J2069)/F2069,0)</f>
        <v>1</v>
      </c>
      <c r="AB2069" s="0" t="str">
        <f aca="false">A2069&amp;"|"&amp;D2069</f>
        <v>Uganda|2021</v>
      </c>
    </row>
    <row r="2070" customFormat="false" ht="15" hidden="false" customHeight="false" outlineLevel="0" collapsed="false">
      <c r="A2070" s="0" t="s">
        <v>378</v>
      </c>
      <c r="B2070" s="0" t="s">
        <v>617</v>
      </c>
      <c r="C2070" s="0" t="s">
        <v>127</v>
      </c>
      <c r="D2070" s="0" t="n">
        <v>2022</v>
      </c>
      <c r="E2070" s="59" t="n">
        <v>47312718</v>
      </c>
      <c r="F2070" s="60" t="n">
        <v>5.75</v>
      </c>
      <c r="G2070" s="61" t="n">
        <v>0</v>
      </c>
      <c r="H2070" s="61" t="n">
        <v>0</v>
      </c>
      <c r="I2070" s="61" t="n">
        <v>0.15</v>
      </c>
      <c r="J2070" s="61" t="n">
        <v>0</v>
      </c>
      <c r="K2070" s="61" t="n">
        <v>4.98</v>
      </c>
      <c r="L2070" s="61" t="n">
        <v>0.15</v>
      </c>
      <c r="M2070" s="61" t="n">
        <v>0</v>
      </c>
      <c r="N2070" s="61" t="n">
        <v>0.47</v>
      </c>
      <c r="O2070" s="61" t="n">
        <v>0</v>
      </c>
      <c r="P2070" s="62" t="n">
        <v>57.4</v>
      </c>
      <c r="Q2070" s="0" t="n">
        <v>0</v>
      </c>
      <c r="R2070" s="60" t="n">
        <f aca="false">G2070+H2070+I2070</f>
        <v>0.15</v>
      </c>
      <c r="S2070" s="60" t="n">
        <f aca="false">K2070+L2070+M2070+N2070+O2070</f>
        <v>5.6</v>
      </c>
      <c r="T2070" s="60" t="n">
        <f aca="false">L2070+M2070</f>
        <v>0.15</v>
      </c>
      <c r="U2070" s="60" t="n">
        <f aca="false">S2070+J2070</f>
        <v>5.6</v>
      </c>
      <c r="V2070" s="63" t="n">
        <f aca="false">IFERROR(S2070/F2070,0)</f>
        <v>0.973913043478261</v>
      </c>
      <c r="W2070" s="63" t="n">
        <f aca="false">IFERROR(R2070/F2070,0)</f>
        <v>0.0260869565217391</v>
      </c>
      <c r="X2070" s="63" t="n">
        <f aca="false">IFERROR(T2070/F2070,0)</f>
        <v>0.0260869565217391</v>
      </c>
      <c r="Y2070" s="63" t="n">
        <f aca="false">IFERROR(G2070/F2070,0)</f>
        <v>0</v>
      </c>
      <c r="Z2070" s="59" t="n">
        <f aca="false">IF(E2070&gt;0,F2070*1000000000/E2070,"")</f>
        <v>121.531804619637</v>
      </c>
      <c r="AA2070" s="63" t="n">
        <f aca="false">IFERROR((R2070+S2070+J2070)/F2070,0)</f>
        <v>1</v>
      </c>
      <c r="AB2070" s="0" t="str">
        <f aca="false">A2070&amp;"|"&amp;D2070</f>
        <v>Uganda|2022</v>
      </c>
    </row>
    <row r="2071" customFormat="false" ht="15" hidden="false" customHeight="false" outlineLevel="0" collapsed="false">
      <c r="A2071" s="0" t="s">
        <v>378</v>
      </c>
      <c r="B2071" s="0" t="s">
        <v>617</v>
      </c>
      <c r="C2071" s="0" t="s">
        <v>127</v>
      </c>
      <c r="D2071" s="0" t="n">
        <v>2023</v>
      </c>
      <c r="E2071" s="59" t="n">
        <v>48656606</v>
      </c>
      <c r="F2071" s="60" t="n">
        <v>5.77</v>
      </c>
      <c r="G2071" s="61" t="n">
        <v>0</v>
      </c>
      <c r="H2071" s="61" t="n">
        <v>0</v>
      </c>
      <c r="I2071" s="61" t="n">
        <v>0.17</v>
      </c>
      <c r="J2071" s="61" t="n">
        <v>0</v>
      </c>
      <c r="K2071" s="61" t="n">
        <v>4.98</v>
      </c>
      <c r="L2071" s="61" t="n">
        <v>0.15</v>
      </c>
      <c r="M2071" s="61" t="n">
        <v>0</v>
      </c>
      <c r="N2071" s="61" t="n">
        <v>0.47</v>
      </c>
      <c r="O2071" s="61" t="n">
        <v>0</v>
      </c>
      <c r="P2071" s="62" t="n">
        <v>58.9</v>
      </c>
      <c r="Q2071" s="0" t="n">
        <v>0</v>
      </c>
      <c r="R2071" s="60" t="n">
        <f aca="false">G2071+H2071+I2071</f>
        <v>0.17</v>
      </c>
      <c r="S2071" s="60" t="n">
        <f aca="false">K2071+L2071+M2071+N2071+O2071</f>
        <v>5.6</v>
      </c>
      <c r="T2071" s="60" t="n">
        <f aca="false">L2071+M2071</f>
        <v>0.15</v>
      </c>
      <c r="U2071" s="60" t="n">
        <f aca="false">S2071+J2071</f>
        <v>5.6</v>
      </c>
      <c r="V2071" s="63" t="n">
        <f aca="false">IFERROR(S2071/F2071,0)</f>
        <v>0.97053726169844</v>
      </c>
      <c r="W2071" s="63" t="n">
        <f aca="false">IFERROR(R2071/F2071,0)</f>
        <v>0.0294627383015598</v>
      </c>
      <c r="X2071" s="63" t="n">
        <f aca="false">IFERROR(T2071/F2071,0)</f>
        <v>0.0259965337954939</v>
      </c>
      <c r="Y2071" s="63" t="n">
        <f aca="false">IFERROR(G2071/F2071,0)</f>
        <v>0</v>
      </c>
      <c r="Z2071" s="59" t="n">
        <f aca="false">IF(E2071&gt;0,F2071*1000000000/E2071,"")</f>
        <v>118.586158681105</v>
      </c>
      <c r="AA2071" s="63" t="n">
        <f aca="false">IFERROR((R2071+S2071+J2071)/F2071,0)</f>
        <v>1</v>
      </c>
      <c r="AB2071" s="0" t="str">
        <f aca="false">A2071&amp;"|"&amp;D2071</f>
        <v>Uganda|2023</v>
      </c>
    </row>
    <row r="2072" customFormat="false" ht="15" hidden="false" customHeight="false" outlineLevel="0" collapsed="false">
      <c r="A2072" s="0" t="s">
        <v>378</v>
      </c>
      <c r="B2072" s="0" t="s">
        <v>617</v>
      </c>
      <c r="C2072" s="0" t="s">
        <v>127</v>
      </c>
      <c r="D2072" s="0" t="n">
        <v>2024</v>
      </c>
      <c r="E2072" s="59" t="n">
        <v>50015091</v>
      </c>
      <c r="F2072" s="60" t="n">
        <v>5.81</v>
      </c>
      <c r="G2072" s="61" t="n">
        <v>0</v>
      </c>
      <c r="H2072" s="61" t="n">
        <v>0</v>
      </c>
      <c r="I2072" s="61" t="n">
        <v>0.17</v>
      </c>
      <c r="J2072" s="61" t="n">
        <v>0</v>
      </c>
      <c r="K2072" s="61" t="n">
        <v>5</v>
      </c>
      <c r="L2072" s="61" t="n">
        <v>0.17</v>
      </c>
      <c r="M2072" s="61" t="n">
        <v>0</v>
      </c>
      <c r="N2072" s="61" t="n">
        <v>0.47</v>
      </c>
      <c r="O2072" s="61" t="n">
        <v>0</v>
      </c>
      <c r="P2072" s="62" t="n">
        <v>58.5</v>
      </c>
      <c r="Q2072" s="0" t="n">
        <v>0</v>
      </c>
      <c r="R2072" s="60" t="n">
        <f aca="false">G2072+H2072+I2072</f>
        <v>0.17</v>
      </c>
      <c r="S2072" s="60" t="n">
        <f aca="false">K2072+L2072+M2072+N2072+O2072</f>
        <v>5.64</v>
      </c>
      <c r="T2072" s="60" t="n">
        <f aca="false">L2072+M2072</f>
        <v>0.17</v>
      </c>
      <c r="U2072" s="60" t="n">
        <f aca="false">S2072+J2072</f>
        <v>5.64</v>
      </c>
      <c r="V2072" s="63" t="n">
        <f aca="false">IFERROR(S2072/F2072,0)</f>
        <v>0.970740103270224</v>
      </c>
      <c r="W2072" s="63" t="n">
        <f aca="false">IFERROR(R2072/F2072,0)</f>
        <v>0.0292598967297763</v>
      </c>
      <c r="X2072" s="63" t="n">
        <f aca="false">IFERROR(T2072/F2072,0)</f>
        <v>0.0292598967297763</v>
      </c>
      <c r="Y2072" s="63" t="n">
        <f aca="false">IFERROR(G2072/F2072,0)</f>
        <v>0</v>
      </c>
      <c r="Z2072" s="59" t="n">
        <f aca="false">IF(E2072&gt;0,F2072*1000000000/E2072,"")</f>
        <v>116.164939098081</v>
      </c>
      <c r="AA2072" s="63" t="n">
        <f aca="false">IFERROR((R2072+S2072+J2072)/F2072,0)</f>
        <v>1</v>
      </c>
      <c r="AB2072" s="0" t="str">
        <f aca="false">A2072&amp;"|"&amp;D2072</f>
        <v>Uganda|2024</v>
      </c>
    </row>
    <row r="2073" customFormat="false" ht="15" hidden="false" customHeight="false" outlineLevel="0" collapsed="false">
      <c r="A2073" s="0" t="s">
        <v>379</v>
      </c>
      <c r="B2073" s="0" t="s">
        <v>618</v>
      </c>
      <c r="C2073" s="0" t="s">
        <v>127</v>
      </c>
      <c r="D2073" s="0" t="n">
        <v>2015</v>
      </c>
      <c r="E2073" s="59" t="n">
        <v>45784904</v>
      </c>
      <c r="F2073" s="60" t="n">
        <v>163.68</v>
      </c>
      <c r="G2073" s="61" t="n">
        <v>56.53</v>
      </c>
      <c r="H2073" s="61" t="n">
        <v>10.1</v>
      </c>
      <c r="I2073" s="61" t="n">
        <v>2.32</v>
      </c>
      <c r="J2073" s="61" t="n">
        <v>87.63</v>
      </c>
      <c r="K2073" s="61" t="n">
        <v>5.4</v>
      </c>
      <c r="L2073" s="61" t="n">
        <v>0.48</v>
      </c>
      <c r="M2073" s="61" t="n">
        <v>1.08</v>
      </c>
      <c r="N2073" s="61" t="n">
        <v>0.14</v>
      </c>
      <c r="O2073" s="61" t="n">
        <v>0</v>
      </c>
      <c r="P2073" s="62" t="n">
        <v>380.1</v>
      </c>
      <c r="Q2073" s="0" t="n">
        <v>0</v>
      </c>
      <c r="R2073" s="60" t="n">
        <f aca="false">G2073+H2073+I2073</f>
        <v>68.95</v>
      </c>
      <c r="S2073" s="60" t="n">
        <f aca="false">K2073+L2073+M2073+N2073+O2073</f>
        <v>7.1</v>
      </c>
      <c r="T2073" s="60" t="n">
        <f aca="false">L2073+M2073</f>
        <v>1.56</v>
      </c>
      <c r="U2073" s="60" t="n">
        <f aca="false">S2073+J2073</f>
        <v>94.73</v>
      </c>
      <c r="V2073" s="63" t="n">
        <f aca="false">IFERROR(S2073/F2073,0)</f>
        <v>0.0433773216031281</v>
      </c>
      <c r="W2073" s="63" t="n">
        <f aca="false">IFERROR(R2073/F2073,0)</f>
        <v>0.421248778103617</v>
      </c>
      <c r="X2073" s="63" t="n">
        <f aca="false">IFERROR(T2073/F2073,0)</f>
        <v>0.00953079178885631</v>
      </c>
      <c r="Y2073" s="63" t="n">
        <f aca="false">IFERROR(G2073/F2073,0)</f>
        <v>0.345369012707722</v>
      </c>
      <c r="Z2073" s="59" t="n">
        <f aca="false">IF(E2073&gt;0,F2073*1000000000/E2073,"")</f>
        <v>3574.97746418776</v>
      </c>
      <c r="AA2073" s="63" t="n">
        <f aca="false">IFERROR((R2073+S2073+J2073)/F2073,0)</f>
        <v>1</v>
      </c>
      <c r="AB2073" s="0" t="str">
        <f aca="false">A2073&amp;"|"&amp;D2073</f>
        <v>Ukraine|2015</v>
      </c>
    </row>
    <row r="2074" customFormat="false" ht="15" hidden="false" customHeight="false" outlineLevel="0" collapsed="false">
      <c r="A2074" s="0" t="s">
        <v>379</v>
      </c>
      <c r="B2074" s="0" t="s">
        <v>618</v>
      </c>
      <c r="C2074" s="0" t="s">
        <v>127</v>
      </c>
      <c r="D2074" s="0" t="n">
        <v>2016</v>
      </c>
      <c r="E2074" s="59" t="n">
        <v>45616831</v>
      </c>
      <c r="F2074" s="60" t="n">
        <v>164.58</v>
      </c>
      <c r="G2074" s="61" t="n">
        <v>61.29</v>
      </c>
      <c r="H2074" s="61" t="n">
        <v>9.83</v>
      </c>
      <c r="I2074" s="61" t="n">
        <v>3.25</v>
      </c>
      <c r="J2074" s="61" t="n">
        <v>80.95</v>
      </c>
      <c r="K2074" s="61" t="n">
        <v>7.68</v>
      </c>
      <c r="L2074" s="61" t="n">
        <v>0.49</v>
      </c>
      <c r="M2074" s="61" t="n">
        <v>0.95</v>
      </c>
      <c r="N2074" s="61" t="n">
        <v>0.14</v>
      </c>
      <c r="O2074" s="61" t="n">
        <v>0</v>
      </c>
      <c r="P2074" s="62" t="n">
        <v>408.5</v>
      </c>
      <c r="Q2074" s="0" t="n">
        <v>0</v>
      </c>
      <c r="R2074" s="60" t="n">
        <f aca="false">G2074+H2074+I2074</f>
        <v>74.37</v>
      </c>
      <c r="S2074" s="60" t="n">
        <f aca="false">K2074+L2074+M2074+N2074+O2074</f>
        <v>9.26</v>
      </c>
      <c r="T2074" s="60" t="n">
        <f aca="false">L2074+M2074</f>
        <v>1.44</v>
      </c>
      <c r="U2074" s="60" t="n">
        <f aca="false">S2074+J2074</f>
        <v>90.21</v>
      </c>
      <c r="V2074" s="63" t="n">
        <f aca="false">IFERROR(S2074/F2074,0)</f>
        <v>0.0562644306720136</v>
      </c>
      <c r="W2074" s="63" t="n">
        <f aca="false">IFERROR(R2074/F2074,0)</f>
        <v>0.451877506379876</v>
      </c>
      <c r="X2074" s="63" t="n">
        <f aca="false">IFERROR(T2074/F2074,0)</f>
        <v>0.00874954429456799</v>
      </c>
      <c r="Y2074" s="63" t="n">
        <f aca="false">IFERROR(G2074/F2074,0)</f>
        <v>0.37240247903755</v>
      </c>
      <c r="Z2074" s="59" t="n">
        <f aca="false">IF(E2074&gt;0,F2074*1000000000/E2074,"")</f>
        <v>3607.87885506558</v>
      </c>
      <c r="AA2074" s="63" t="n">
        <f aca="false">IFERROR((R2074+S2074+J2074)/F2074,0)</f>
        <v>1</v>
      </c>
      <c r="AB2074" s="0" t="str">
        <f aca="false">A2074&amp;"|"&amp;D2074</f>
        <v>Ukraine|2016</v>
      </c>
    </row>
    <row r="2075" customFormat="false" ht="15" hidden="false" customHeight="false" outlineLevel="0" collapsed="false">
      <c r="A2075" s="0" t="s">
        <v>379</v>
      </c>
      <c r="B2075" s="0" t="s">
        <v>618</v>
      </c>
      <c r="C2075" s="0" t="s">
        <v>127</v>
      </c>
      <c r="D2075" s="0" t="n">
        <v>2017</v>
      </c>
      <c r="E2075" s="59" t="n">
        <v>45436037</v>
      </c>
      <c r="F2075" s="60" t="n">
        <v>156.04</v>
      </c>
      <c r="G2075" s="61" t="n">
        <v>49.33</v>
      </c>
      <c r="H2075" s="61" t="n">
        <v>7.38</v>
      </c>
      <c r="I2075" s="61" t="n">
        <v>2.89</v>
      </c>
      <c r="J2075" s="61" t="n">
        <v>85.58</v>
      </c>
      <c r="K2075" s="61" t="n">
        <v>8.95</v>
      </c>
      <c r="L2075" s="61" t="n">
        <v>0.72</v>
      </c>
      <c r="M2075" s="61" t="n">
        <v>0.98</v>
      </c>
      <c r="N2075" s="61" t="n">
        <v>0.21</v>
      </c>
      <c r="O2075" s="61" t="n">
        <v>0</v>
      </c>
      <c r="P2075" s="62" t="n">
        <v>347.2</v>
      </c>
      <c r="Q2075" s="0" t="n">
        <v>0</v>
      </c>
      <c r="R2075" s="60" t="n">
        <f aca="false">G2075+H2075+I2075</f>
        <v>59.6</v>
      </c>
      <c r="S2075" s="60" t="n">
        <f aca="false">K2075+L2075+M2075+N2075+O2075</f>
        <v>10.86</v>
      </c>
      <c r="T2075" s="60" t="n">
        <f aca="false">L2075+M2075</f>
        <v>1.7</v>
      </c>
      <c r="U2075" s="60" t="n">
        <f aca="false">S2075+J2075</f>
        <v>96.44</v>
      </c>
      <c r="V2075" s="63" t="n">
        <f aca="false">IFERROR(S2075/F2075,0)</f>
        <v>0.0695975390925404</v>
      </c>
      <c r="W2075" s="63" t="n">
        <f aca="false">IFERROR(R2075/F2075,0)</f>
        <v>0.381953345296078</v>
      </c>
      <c r="X2075" s="63" t="n">
        <f aca="false">IFERROR(T2075/F2075,0)</f>
        <v>0.0108946423993848</v>
      </c>
      <c r="Y2075" s="63" t="n">
        <f aca="false">IFERROR(G2075/F2075,0)</f>
        <v>0.316136887977442</v>
      </c>
      <c r="Z2075" s="59" t="n">
        <f aca="false">IF(E2075&gt;0,F2075*1000000000/E2075,"")</f>
        <v>3434.27839008054</v>
      </c>
      <c r="AA2075" s="63" t="n">
        <f aca="false">IFERROR((R2075+S2075+J2075)/F2075,0)</f>
        <v>1</v>
      </c>
      <c r="AB2075" s="0" t="str">
        <f aca="false">A2075&amp;"|"&amp;D2075</f>
        <v>Ukraine|2017</v>
      </c>
    </row>
    <row r="2076" customFormat="false" ht="15" hidden="false" customHeight="false" outlineLevel="0" collapsed="false">
      <c r="A2076" s="0" t="s">
        <v>379</v>
      </c>
      <c r="B2076" s="0" t="s">
        <v>618</v>
      </c>
      <c r="C2076" s="0" t="s">
        <v>127</v>
      </c>
      <c r="D2076" s="0" t="n">
        <v>2018</v>
      </c>
      <c r="E2076" s="59" t="n">
        <v>45208903</v>
      </c>
      <c r="F2076" s="60" t="n">
        <v>159.86</v>
      </c>
      <c r="G2076" s="61" t="n">
        <v>49.06</v>
      </c>
      <c r="H2076" s="61" t="n">
        <v>10.57</v>
      </c>
      <c r="I2076" s="61" t="n">
        <v>2.8</v>
      </c>
      <c r="J2076" s="61" t="n">
        <v>84.4</v>
      </c>
      <c r="K2076" s="61" t="n">
        <v>10.43</v>
      </c>
      <c r="L2076" s="61" t="n">
        <v>1.11</v>
      </c>
      <c r="M2076" s="61" t="n">
        <v>1.19</v>
      </c>
      <c r="N2076" s="61" t="n">
        <v>0.3</v>
      </c>
      <c r="O2076" s="61" t="n">
        <v>0</v>
      </c>
      <c r="P2076" s="62" t="n">
        <v>349.3</v>
      </c>
      <c r="Q2076" s="0" t="n">
        <v>0</v>
      </c>
      <c r="R2076" s="60" t="n">
        <f aca="false">G2076+H2076+I2076</f>
        <v>62.43</v>
      </c>
      <c r="S2076" s="60" t="n">
        <f aca="false">K2076+L2076+M2076+N2076+O2076</f>
        <v>13.03</v>
      </c>
      <c r="T2076" s="60" t="n">
        <f aca="false">L2076+M2076</f>
        <v>2.3</v>
      </c>
      <c r="U2076" s="60" t="n">
        <f aca="false">S2076+J2076</f>
        <v>97.43</v>
      </c>
      <c r="V2076" s="63" t="n">
        <f aca="false">IFERROR(S2076/F2076,0)</f>
        <v>0.0815088202176905</v>
      </c>
      <c r="W2076" s="63" t="n">
        <f aca="false">IFERROR(R2076/F2076,0)</f>
        <v>0.390529213061429</v>
      </c>
      <c r="X2076" s="63" t="n">
        <f aca="false">IFERROR(T2076/F2076,0)</f>
        <v>0.0143875891404979</v>
      </c>
      <c r="Y2076" s="63" t="n">
        <f aca="false">IFERROR(G2076/F2076,0)</f>
        <v>0.30689353184036</v>
      </c>
      <c r="Z2076" s="59" t="n">
        <f aca="false">IF(E2076&gt;0,F2076*1000000000/E2076,"")</f>
        <v>3536.02917549227</v>
      </c>
      <c r="AA2076" s="63" t="n">
        <f aca="false">IFERROR((R2076+S2076+J2076)/F2076,0)</f>
        <v>1</v>
      </c>
      <c r="AB2076" s="0" t="str">
        <f aca="false">A2076&amp;"|"&amp;D2076</f>
        <v>Ukraine|2018</v>
      </c>
    </row>
    <row r="2077" customFormat="false" ht="15" hidden="false" customHeight="false" outlineLevel="0" collapsed="false">
      <c r="A2077" s="0" t="s">
        <v>379</v>
      </c>
      <c r="B2077" s="0" t="s">
        <v>618</v>
      </c>
      <c r="C2077" s="0" t="s">
        <v>127</v>
      </c>
      <c r="D2077" s="0" t="n">
        <v>2019</v>
      </c>
      <c r="E2077" s="59" t="n">
        <v>44957451</v>
      </c>
      <c r="F2077" s="60" t="n">
        <v>154.14</v>
      </c>
      <c r="G2077" s="61" t="n">
        <v>45.53</v>
      </c>
      <c r="H2077" s="61" t="n">
        <v>11.93</v>
      </c>
      <c r="I2077" s="61" t="n">
        <v>1.81</v>
      </c>
      <c r="J2077" s="61" t="n">
        <v>83</v>
      </c>
      <c r="K2077" s="61" t="n">
        <v>6.51</v>
      </c>
      <c r="L2077" s="61" t="n">
        <v>2.93</v>
      </c>
      <c r="M2077" s="61" t="n">
        <v>2.02</v>
      </c>
      <c r="N2077" s="61" t="n">
        <v>0.41</v>
      </c>
      <c r="O2077" s="61" t="n">
        <v>0</v>
      </c>
      <c r="P2077" s="62" t="n">
        <v>341.5</v>
      </c>
      <c r="Q2077" s="0" t="n">
        <v>0</v>
      </c>
      <c r="R2077" s="60" t="n">
        <f aca="false">G2077+H2077+I2077</f>
        <v>59.27</v>
      </c>
      <c r="S2077" s="60" t="n">
        <f aca="false">K2077+L2077+M2077+N2077+O2077</f>
        <v>11.87</v>
      </c>
      <c r="T2077" s="60" t="n">
        <f aca="false">L2077+M2077</f>
        <v>4.95</v>
      </c>
      <c r="U2077" s="60" t="n">
        <f aca="false">S2077+J2077</f>
        <v>94.87</v>
      </c>
      <c r="V2077" s="63" t="n">
        <f aca="false">IFERROR(S2077/F2077,0)</f>
        <v>0.0770079148825743</v>
      </c>
      <c r="W2077" s="63" t="n">
        <f aca="false">IFERROR(R2077/F2077,0)</f>
        <v>0.384520565719476</v>
      </c>
      <c r="X2077" s="63" t="n">
        <f aca="false">IFERROR(T2077/F2077,0)</f>
        <v>0.0321136629038536</v>
      </c>
      <c r="Y2077" s="63" t="n">
        <f aca="false">IFERROR(G2077/F2077,0)</f>
        <v>0.295380822628779</v>
      </c>
      <c r="Z2077" s="59" t="n">
        <f aca="false">IF(E2077&gt;0,F2077*1000000000/E2077,"")</f>
        <v>3428.57516543809</v>
      </c>
      <c r="AA2077" s="63" t="n">
        <f aca="false">IFERROR((R2077+S2077+J2077)/F2077,0)</f>
        <v>1</v>
      </c>
      <c r="AB2077" s="0" t="str">
        <f aca="false">A2077&amp;"|"&amp;D2077</f>
        <v>Ukraine|2019</v>
      </c>
    </row>
    <row r="2078" customFormat="false" ht="15" hidden="false" customHeight="false" outlineLevel="0" collapsed="false">
      <c r="A2078" s="0" t="s">
        <v>379</v>
      </c>
      <c r="B2078" s="0" t="s">
        <v>618</v>
      </c>
      <c r="C2078" s="0" t="s">
        <v>127</v>
      </c>
      <c r="D2078" s="0" t="n">
        <v>2020</v>
      </c>
      <c r="E2078" s="59" t="n">
        <v>44680008</v>
      </c>
      <c r="F2078" s="60" t="n">
        <v>147.79</v>
      </c>
      <c r="G2078" s="61" t="n">
        <v>40.2</v>
      </c>
      <c r="H2078" s="61" t="n">
        <v>14.19</v>
      </c>
      <c r="I2078" s="61" t="n">
        <v>0.25</v>
      </c>
      <c r="J2078" s="61" t="n">
        <v>76.2</v>
      </c>
      <c r="K2078" s="61" t="n">
        <v>7.56</v>
      </c>
      <c r="L2078" s="61" t="n">
        <v>5.37</v>
      </c>
      <c r="M2078" s="61" t="n">
        <v>3.26</v>
      </c>
      <c r="N2078" s="61" t="n">
        <v>0.76</v>
      </c>
      <c r="O2078" s="61" t="n">
        <v>0</v>
      </c>
      <c r="P2078" s="62" t="n">
        <v>325.4</v>
      </c>
      <c r="Q2078" s="0" t="n">
        <v>0</v>
      </c>
      <c r="R2078" s="60" t="n">
        <f aca="false">G2078+H2078+I2078</f>
        <v>54.64</v>
      </c>
      <c r="S2078" s="60" t="n">
        <f aca="false">K2078+L2078+M2078+N2078+O2078</f>
        <v>16.95</v>
      </c>
      <c r="T2078" s="60" t="n">
        <f aca="false">L2078+M2078</f>
        <v>8.63</v>
      </c>
      <c r="U2078" s="60" t="n">
        <f aca="false">S2078+J2078</f>
        <v>93.15</v>
      </c>
      <c r="V2078" s="63" t="n">
        <f aca="false">IFERROR(S2078/F2078,0)</f>
        <v>0.114689762500846</v>
      </c>
      <c r="W2078" s="63" t="n">
        <f aca="false">IFERROR(R2078/F2078,0)</f>
        <v>0.369713783070573</v>
      </c>
      <c r="X2078" s="63" t="n">
        <f aca="false">IFERROR(T2078/F2078,0)</f>
        <v>0.0583936666892212</v>
      </c>
      <c r="Y2078" s="63" t="n">
        <f aca="false">IFERROR(G2078/F2078,0)</f>
        <v>0.27200757832059</v>
      </c>
      <c r="Z2078" s="59" t="n">
        <f aca="false">IF(E2078&gt;0,F2078*1000000000/E2078,"")</f>
        <v>3307.7433647729</v>
      </c>
      <c r="AA2078" s="63" t="n">
        <f aca="false">IFERROR((R2078+S2078+J2078)/F2078,0)</f>
        <v>1</v>
      </c>
      <c r="AB2078" s="0" t="str">
        <f aca="false">A2078&amp;"|"&amp;D2078</f>
        <v>Ukraine|2020</v>
      </c>
    </row>
    <row r="2079" customFormat="false" ht="15" hidden="false" customHeight="false" outlineLevel="0" collapsed="false">
      <c r="A2079" s="0" t="s">
        <v>379</v>
      </c>
      <c r="B2079" s="0" t="s">
        <v>618</v>
      </c>
      <c r="C2079" s="0" t="s">
        <v>127</v>
      </c>
      <c r="D2079" s="0" t="n">
        <v>2021</v>
      </c>
      <c r="E2079" s="59" t="n">
        <v>44298642</v>
      </c>
      <c r="F2079" s="60" t="n">
        <v>156.44</v>
      </c>
      <c r="G2079" s="61" t="n">
        <v>37.49</v>
      </c>
      <c r="H2079" s="61" t="n">
        <v>10.32</v>
      </c>
      <c r="I2079" s="61" t="n">
        <v>0.75</v>
      </c>
      <c r="J2079" s="61" t="n">
        <v>86.21</v>
      </c>
      <c r="K2079" s="61" t="n">
        <v>10.44</v>
      </c>
      <c r="L2079" s="61" t="n">
        <v>6.5</v>
      </c>
      <c r="M2079" s="61" t="n">
        <v>3.82</v>
      </c>
      <c r="N2079" s="61" t="n">
        <v>0.91</v>
      </c>
      <c r="O2079" s="61" t="n">
        <v>0</v>
      </c>
      <c r="P2079" s="62" t="n">
        <v>279.5</v>
      </c>
      <c r="Q2079" s="0" t="n">
        <v>1</v>
      </c>
      <c r="R2079" s="60" t="n">
        <f aca="false">G2079+H2079+I2079</f>
        <v>48.56</v>
      </c>
      <c r="S2079" s="60" t="n">
        <f aca="false">K2079+L2079+M2079+N2079+O2079</f>
        <v>21.67</v>
      </c>
      <c r="T2079" s="60" t="n">
        <f aca="false">L2079+M2079</f>
        <v>10.32</v>
      </c>
      <c r="U2079" s="60" t="n">
        <f aca="false">S2079+J2079</f>
        <v>107.88</v>
      </c>
      <c r="V2079" s="63" t="n">
        <f aca="false">IFERROR(S2079/F2079,0)</f>
        <v>0.138519560214779</v>
      </c>
      <c r="W2079" s="63" t="n">
        <f aca="false">IFERROR(R2079/F2079,0)</f>
        <v>0.310406545640501</v>
      </c>
      <c r="X2079" s="63" t="n">
        <f aca="false">IFERROR(T2079/F2079,0)</f>
        <v>0.0659677831756584</v>
      </c>
      <c r="Y2079" s="63" t="n">
        <f aca="false">IFERROR(G2079/F2079,0)</f>
        <v>0.239644592175914</v>
      </c>
      <c r="Z2079" s="59" t="n">
        <f aca="false">IF(E2079&gt;0,F2079*1000000000/E2079,"")</f>
        <v>3531.48523153373</v>
      </c>
      <c r="AA2079" s="63" t="n">
        <f aca="false">IFERROR((R2079+S2079+J2079)/F2079,0)</f>
        <v>1</v>
      </c>
      <c r="AB2079" s="0" t="str">
        <f aca="false">A2079&amp;"|"&amp;D2079</f>
        <v>Ukraine|2021</v>
      </c>
    </row>
    <row r="2080" customFormat="false" ht="15" hidden="false" customHeight="false" outlineLevel="0" collapsed="false">
      <c r="A2080" s="0" t="s">
        <v>379</v>
      </c>
      <c r="B2080" s="0" t="s">
        <v>618</v>
      </c>
      <c r="C2080" s="0" t="s">
        <v>127</v>
      </c>
      <c r="D2080" s="0" t="n">
        <v>2022</v>
      </c>
      <c r="E2080" s="59" t="n">
        <v>41048768</v>
      </c>
      <c r="F2080" s="60" t="n">
        <v>111.51</v>
      </c>
      <c r="G2080" s="61" t="n">
        <v>23.32</v>
      </c>
      <c r="H2080" s="61" t="n">
        <v>7.18</v>
      </c>
      <c r="I2080" s="61" t="n">
        <v>0.53</v>
      </c>
      <c r="J2080" s="61" t="n">
        <v>62.18</v>
      </c>
      <c r="K2080" s="61" t="n">
        <v>11.02</v>
      </c>
      <c r="L2080" s="61" t="n">
        <v>5.08</v>
      </c>
      <c r="M2080" s="61" t="n">
        <v>1.42</v>
      </c>
      <c r="N2080" s="61" t="n">
        <v>0.78</v>
      </c>
      <c r="O2080" s="61" t="n">
        <v>0</v>
      </c>
      <c r="P2080" s="62" t="n">
        <v>250.5</v>
      </c>
      <c r="Q2080" s="0" t="n">
        <v>1</v>
      </c>
      <c r="R2080" s="60" t="n">
        <f aca="false">G2080+H2080+I2080</f>
        <v>31.03</v>
      </c>
      <c r="S2080" s="60" t="n">
        <f aca="false">K2080+L2080+M2080+N2080+O2080</f>
        <v>18.3</v>
      </c>
      <c r="T2080" s="60" t="n">
        <f aca="false">L2080+M2080</f>
        <v>6.5</v>
      </c>
      <c r="U2080" s="60" t="n">
        <f aca="false">S2080+J2080</f>
        <v>80.48</v>
      </c>
      <c r="V2080" s="63" t="n">
        <f aca="false">IFERROR(S2080/F2080,0)</f>
        <v>0.164110842076944</v>
      </c>
      <c r="W2080" s="63" t="n">
        <f aca="false">IFERROR(R2080/F2080,0)</f>
        <v>0.278271007084566</v>
      </c>
      <c r="X2080" s="63" t="n">
        <f aca="false">IFERROR(T2080/F2080,0)</f>
        <v>0.058290736256838</v>
      </c>
      <c r="Y2080" s="63" t="n">
        <f aca="false">IFERROR(G2080/F2080,0)</f>
        <v>0.209129226078379</v>
      </c>
      <c r="Z2080" s="59" t="n">
        <f aca="false">IF(E2080&gt;0,F2080*1000000000/E2080,"")</f>
        <v>2716.52489058868</v>
      </c>
      <c r="AA2080" s="63" t="n">
        <f aca="false">IFERROR((R2080+S2080+J2080)/F2080,0)</f>
        <v>1</v>
      </c>
      <c r="AB2080" s="0" t="str">
        <f aca="false">A2080&amp;"|"&amp;D2080</f>
        <v>Ukraine|2022</v>
      </c>
    </row>
    <row r="2081" customFormat="false" ht="15" hidden="false" customHeight="false" outlineLevel="0" collapsed="false">
      <c r="A2081" s="0" t="s">
        <v>380</v>
      </c>
      <c r="B2081" s="0" t="s">
        <v>619</v>
      </c>
      <c r="C2081" s="0" t="s">
        <v>127</v>
      </c>
      <c r="D2081" s="0" t="n">
        <v>2015</v>
      </c>
      <c r="E2081" s="59" t="n">
        <v>8674633</v>
      </c>
      <c r="F2081" s="60" t="n">
        <v>127.38</v>
      </c>
      <c r="G2081" s="61" t="n">
        <v>0</v>
      </c>
      <c r="H2081" s="61" t="n">
        <v>127.08</v>
      </c>
      <c r="I2081" s="61" t="n">
        <v>0</v>
      </c>
      <c r="J2081" s="61" t="n">
        <v>0</v>
      </c>
      <c r="K2081" s="61" t="n">
        <v>0</v>
      </c>
      <c r="L2081" s="61" t="n">
        <v>0.3</v>
      </c>
      <c r="M2081" s="61" t="n">
        <v>0</v>
      </c>
      <c r="N2081" s="61" t="n">
        <v>0</v>
      </c>
      <c r="O2081" s="61" t="n">
        <v>0</v>
      </c>
      <c r="P2081" s="62" t="n">
        <v>675.2</v>
      </c>
      <c r="Q2081" s="0" t="n">
        <v>2</v>
      </c>
      <c r="R2081" s="60" t="n">
        <f aca="false">G2081+H2081+I2081</f>
        <v>127.08</v>
      </c>
      <c r="S2081" s="60" t="n">
        <f aca="false">K2081+L2081+M2081+N2081+O2081</f>
        <v>0.3</v>
      </c>
      <c r="T2081" s="60" t="n">
        <f aca="false">L2081+M2081</f>
        <v>0.3</v>
      </c>
      <c r="U2081" s="60" t="n">
        <f aca="false">S2081+J2081</f>
        <v>0.3</v>
      </c>
      <c r="V2081" s="63" t="n">
        <f aca="false">IFERROR(S2081/F2081,0)</f>
        <v>0.0023551577955723</v>
      </c>
      <c r="W2081" s="63" t="n">
        <f aca="false">IFERROR(R2081/F2081,0)</f>
        <v>0.997644842204428</v>
      </c>
      <c r="X2081" s="63" t="n">
        <f aca="false">IFERROR(T2081/F2081,0)</f>
        <v>0.0023551577955723</v>
      </c>
      <c r="Y2081" s="63" t="n">
        <f aca="false">IFERROR(G2081/F2081,0)</f>
        <v>0</v>
      </c>
      <c r="Z2081" s="59" t="n">
        <f aca="false">IF(E2081&gt;0,F2081*1000000000/E2081,"")</f>
        <v>14684.1947088713</v>
      </c>
      <c r="AA2081" s="63" t="n">
        <f aca="false">IFERROR((R2081+S2081+J2081)/F2081,0)</f>
        <v>1</v>
      </c>
      <c r="AB2081" s="0" t="str">
        <f aca="false">A2081&amp;"|"&amp;D2081</f>
        <v>United Arab Emirates|2015</v>
      </c>
    </row>
    <row r="2082" customFormat="false" ht="15" hidden="false" customHeight="false" outlineLevel="0" collapsed="false">
      <c r="A2082" s="0" t="s">
        <v>380</v>
      </c>
      <c r="B2082" s="0" t="s">
        <v>619</v>
      </c>
      <c r="C2082" s="0" t="s">
        <v>127</v>
      </c>
      <c r="D2082" s="0" t="n">
        <v>2016</v>
      </c>
      <c r="E2082" s="59" t="n">
        <v>9030873</v>
      </c>
      <c r="F2082" s="60" t="n">
        <v>129.61</v>
      </c>
      <c r="G2082" s="61" t="n">
        <v>0</v>
      </c>
      <c r="H2082" s="61" t="n">
        <v>129.29</v>
      </c>
      <c r="I2082" s="61" t="n">
        <v>0</v>
      </c>
      <c r="J2082" s="61" t="n">
        <v>0</v>
      </c>
      <c r="K2082" s="61" t="n">
        <v>0</v>
      </c>
      <c r="L2082" s="61" t="n">
        <v>0.32</v>
      </c>
      <c r="M2082" s="61" t="n">
        <v>0</v>
      </c>
      <c r="N2082" s="61" t="n">
        <v>0</v>
      </c>
      <c r="O2082" s="61" t="n">
        <v>0</v>
      </c>
      <c r="P2082" s="62" t="n">
        <v>675.3</v>
      </c>
      <c r="Q2082" s="0" t="n">
        <v>2</v>
      </c>
      <c r="R2082" s="60" t="n">
        <f aca="false">G2082+H2082+I2082</f>
        <v>129.29</v>
      </c>
      <c r="S2082" s="60" t="n">
        <f aca="false">K2082+L2082+M2082+N2082+O2082</f>
        <v>0.32</v>
      </c>
      <c r="T2082" s="60" t="n">
        <f aca="false">L2082+M2082</f>
        <v>0.32</v>
      </c>
      <c r="U2082" s="60" t="n">
        <f aca="false">S2082+J2082</f>
        <v>0.32</v>
      </c>
      <c r="V2082" s="63" t="n">
        <f aca="false">IFERROR(S2082/F2082,0)</f>
        <v>0.00246894529743075</v>
      </c>
      <c r="W2082" s="63" t="n">
        <f aca="false">IFERROR(R2082/F2082,0)</f>
        <v>0.997531054702569</v>
      </c>
      <c r="X2082" s="63" t="n">
        <f aca="false">IFERROR(T2082/F2082,0)</f>
        <v>0.00246894529743075</v>
      </c>
      <c r="Y2082" s="63" t="n">
        <f aca="false">IFERROR(G2082/F2082,0)</f>
        <v>0</v>
      </c>
      <c r="Z2082" s="59" t="n">
        <f aca="false">IF(E2082&gt;0,F2082*1000000000/E2082,"")</f>
        <v>14351.8793808749</v>
      </c>
      <c r="AA2082" s="63" t="n">
        <f aca="false">IFERROR((R2082+S2082+J2082)/F2082,0)</f>
        <v>1</v>
      </c>
      <c r="AB2082" s="0" t="str">
        <f aca="false">A2082&amp;"|"&amp;D2082</f>
        <v>United Arab Emirates|2016</v>
      </c>
    </row>
    <row r="2083" customFormat="false" ht="15" hidden="false" customHeight="false" outlineLevel="0" collapsed="false">
      <c r="A2083" s="0" t="s">
        <v>380</v>
      </c>
      <c r="B2083" s="0" t="s">
        <v>619</v>
      </c>
      <c r="C2083" s="0" t="s">
        <v>127</v>
      </c>
      <c r="D2083" s="0" t="n">
        <v>2017</v>
      </c>
      <c r="E2083" s="59" t="n">
        <v>9234330</v>
      </c>
      <c r="F2083" s="60" t="n">
        <v>134.57</v>
      </c>
      <c r="G2083" s="61" t="n">
        <v>0</v>
      </c>
      <c r="H2083" s="61" t="n">
        <v>133.82</v>
      </c>
      <c r="I2083" s="61" t="n">
        <v>0</v>
      </c>
      <c r="J2083" s="61" t="n">
        <v>0</v>
      </c>
      <c r="K2083" s="61" t="n">
        <v>0</v>
      </c>
      <c r="L2083" s="61" t="n">
        <v>0.75</v>
      </c>
      <c r="M2083" s="61" t="n">
        <v>0</v>
      </c>
      <c r="N2083" s="61" t="n">
        <v>0</v>
      </c>
      <c r="O2083" s="61" t="n">
        <v>0</v>
      </c>
      <c r="P2083" s="62" t="n">
        <v>673.3</v>
      </c>
      <c r="Q2083" s="0" t="n">
        <v>2</v>
      </c>
      <c r="R2083" s="60" t="n">
        <f aca="false">G2083+H2083+I2083</f>
        <v>133.82</v>
      </c>
      <c r="S2083" s="60" t="n">
        <f aca="false">K2083+L2083+M2083+N2083+O2083</f>
        <v>0.75</v>
      </c>
      <c r="T2083" s="60" t="n">
        <f aca="false">L2083+M2083</f>
        <v>0.75</v>
      </c>
      <c r="U2083" s="60" t="n">
        <f aca="false">S2083+J2083</f>
        <v>0.75</v>
      </c>
      <c r="V2083" s="63" t="n">
        <f aca="false">IFERROR(S2083/F2083,0)</f>
        <v>0.00557330757226722</v>
      </c>
      <c r="W2083" s="63" t="n">
        <f aca="false">IFERROR(R2083/F2083,0)</f>
        <v>0.994426692427733</v>
      </c>
      <c r="X2083" s="63" t="n">
        <f aca="false">IFERROR(T2083/F2083,0)</f>
        <v>0.00557330757226722</v>
      </c>
      <c r="Y2083" s="63" t="n">
        <f aca="false">IFERROR(G2083/F2083,0)</f>
        <v>0</v>
      </c>
      <c r="Z2083" s="59" t="n">
        <f aca="false">IF(E2083&gt;0,F2083*1000000000/E2083,"")</f>
        <v>14572.7952109141</v>
      </c>
      <c r="AA2083" s="63" t="n">
        <f aca="false">IFERROR((R2083+S2083+J2083)/F2083,0)</f>
        <v>1</v>
      </c>
      <c r="AB2083" s="0" t="str">
        <f aca="false">A2083&amp;"|"&amp;D2083</f>
        <v>United Arab Emirates|2017</v>
      </c>
    </row>
    <row r="2084" customFormat="false" ht="15" hidden="false" customHeight="false" outlineLevel="0" collapsed="false">
      <c r="A2084" s="0" t="s">
        <v>380</v>
      </c>
      <c r="B2084" s="0" t="s">
        <v>619</v>
      </c>
      <c r="C2084" s="0" t="s">
        <v>127</v>
      </c>
      <c r="D2084" s="0" t="n">
        <v>2018</v>
      </c>
      <c r="E2084" s="59" t="n">
        <v>9346870</v>
      </c>
      <c r="F2084" s="60" t="n">
        <v>136.01</v>
      </c>
      <c r="G2084" s="61" t="n">
        <v>0</v>
      </c>
      <c r="H2084" s="61" t="n">
        <v>134.81</v>
      </c>
      <c r="I2084" s="61" t="n">
        <v>0</v>
      </c>
      <c r="J2084" s="61" t="n">
        <v>0</v>
      </c>
      <c r="K2084" s="61" t="n">
        <v>0</v>
      </c>
      <c r="L2084" s="61" t="n">
        <v>1.2</v>
      </c>
      <c r="M2084" s="61" t="n">
        <v>0</v>
      </c>
      <c r="N2084" s="61" t="n">
        <v>0</v>
      </c>
      <c r="O2084" s="61" t="n">
        <v>0</v>
      </c>
      <c r="P2084" s="62" t="n">
        <v>671.2</v>
      </c>
      <c r="Q2084" s="0" t="n">
        <v>2</v>
      </c>
      <c r="R2084" s="60" t="n">
        <f aca="false">G2084+H2084+I2084</f>
        <v>134.81</v>
      </c>
      <c r="S2084" s="60" t="n">
        <f aca="false">K2084+L2084+M2084+N2084+O2084</f>
        <v>1.2</v>
      </c>
      <c r="T2084" s="60" t="n">
        <f aca="false">L2084+M2084</f>
        <v>1.2</v>
      </c>
      <c r="U2084" s="60" t="n">
        <f aca="false">S2084+J2084</f>
        <v>1.2</v>
      </c>
      <c r="V2084" s="63" t="n">
        <f aca="false">IFERROR(S2084/F2084,0)</f>
        <v>0.00882288067053893</v>
      </c>
      <c r="W2084" s="63" t="n">
        <f aca="false">IFERROR(R2084/F2084,0)</f>
        <v>0.991177119329461</v>
      </c>
      <c r="X2084" s="63" t="n">
        <f aca="false">IFERROR(T2084/F2084,0)</f>
        <v>0.00882288067053893</v>
      </c>
      <c r="Y2084" s="63" t="n">
        <f aca="false">IFERROR(G2084/F2084,0)</f>
        <v>0</v>
      </c>
      <c r="Z2084" s="59" t="n">
        <f aca="false">IF(E2084&gt;0,F2084*1000000000/E2084,"")</f>
        <v>14551.3952799172</v>
      </c>
      <c r="AA2084" s="63" t="n">
        <f aca="false">IFERROR((R2084+S2084+J2084)/F2084,0)</f>
        <v>1</v>
      </c>
      <c r="AB2084" s="0" t="str">
        <f aca="false">A2084&amp;"|"&amp;D2084</f>
        <v>United Arab Emirates|2018</v>
      </c>
    </row>
    <row r="2085" customFormat="false" ht="15" hidden="false" customHeight="false" outlineLevel="0" collapsed="false">
      <c r="A2085" s="0" t="s">
        <v>380</v>
      </c>
      <c r="B2085" s="0" t="s">
        <v>619</v>
      </c>
      <c r="C2085" s="0" t="s">
        <v>127</v>
      </c>
      <c r="D2085" s="0" t="n">
        <v>2019</v>
      </c>
      <c r="E2085" s="59" t="n">
        <v>9377855</v>
      </c>
      <c r="F2085" s="60" t="n">
        <v>138.45</v>
      </c>
      <c r="G2085" s="61" t="n">
        <v>0</v>
      </c>
      <c r="H2085" s="61" t="n">
        <v>134.79</v>
      </c>
      <c r="I2085" s="61" t="n">
        <v>0</v>
      </c>
      <c r="J2085" s="61" t="n">
        <v>0</v>
      </c>
      <c r="K2085" s="61" t="n">
        <v>0</v>
      </c>
      <c r="L2085" s="61" t="n">
        <v>3.66</v>
      </c>
      <c r="M2085" s="61" t="n">
        <v>0</v>
      </c>
      <c r="N2085" s="61" t="n">
        <v>0</v>
      </c>
      <c r="O2085" s="61" t="n">
        <v>0</v>
      </c>
      <c r="P2085" s="62" t="n">
        <v>660.1</v>
      </c>
      <c r="Q2085" s="0" t="n">
        <v>2</v>
      </c>
      <c r="R2085" s="60" t="n">
        <f aca="false">G2085+H2085+I2085</f>
        <v>134.79</v>
      </c>
      <c r="S2085" s="60" t="n">
        <f aca="false">K2085+L2085+M2085+N2085+O2085</f>
        <v>3.66</v>
      </c>
      <c r="T2085" s="60" t="n">
        <f aca="false">L2085+M2085</f>
        <v>3.66</v>
      </c>
      <c r="U2085" s="60" t="n">
        <f aca="false">S2085+J2085</f>
        <v>3.66</v>
      </c>
      <c r="V2085" s="63" t="n">
        <f aca="false">IFERROR(S2085/F2085,0)</f>
        <v>0.0264355362946912</v>
      </c>
      <c r="W2085" s="63" t="n">
        <f aca="false">IFERROR(R2085/F2085,0)</f>
        <v>0.973564463705309</v>
      </c>
      <c r="X2085" s="63" t="n">
        <f aca="false">IFERROR(T2085/F2085,0)</f>
        <v>0.0264355362946912</v>
      </c>
      <c r="Y2085" s="63" t="n">
        <f aca="false">IFERROR(G2085/F2085,0)</f>
        <v>0</v>
      </c>
      <c r="Z2085" s="59" t="n">
        <f aca="false">IF(E2085&gt;0,F2085*1000000000/E2085,"")</f>
        <v>14763.5040209088</v>
      </c>
      <c r="AA2085" s="63" t="n">
        <f aca="false">IFERROR((R2085+S2085+J2085)/F2085,0)</f>
        <v>1</v>
      </c>
      <c r="AB2085" s="0" t="str">
        <f aca="false">A2085&amp;"|"&amp;D2085</f>
        <v>United Arab Emirates|2019</v>
      </c>
    </row>
    <row r="2086" customFormat="false" ht="15" hidden="false" customHeight="false" outlineLevel="0" collapsed="false">
      <c r="A2086" s="0" t="s">
        <v>380</v>
      </c>
      <c r="B2086" s="0" t="s">
        <v>619</v>
      </c>
      <c r="C2086" s="0" t="s">
        <v>127</v>
      </c>
      <c r="D2086" s="0" t="n">
        <v>2020</v>
      </c>
      <c r="E2086" s="59" t="n">
        <v>9448529</v>
      </c>
      <c r="F2086" s="60" t="n">
        <v>137.31</v>
      </c>
      <c r="G2086" s="61" t="n">
        <v>0.73</v>
      </c>
      <c r="H2086" s="61" t="n">
        <v>129.77</v>
      </c>
      <c r="I2086" s="61" t="n">
        <v>0</v>
      </c>
      <c r="J2086" s="61" t="n">
        <v>1.63</v>
      </c>
      <c r="K2086" s="61" t="n">
        <v>0</v>
      </c>
      <c r="L2086" s="61" t="n">
        <v>5.18</v>
      </c>
      <c r="M2086" s="61" t="n">
        <v>0</v>
      </c>
      <c r="N2086" s="61" t="n">
        <v>0</v>
      </c>
      <c r="O2086" s="61" t="n">
        <v>0</v>
      </c>
      <c r="P2086" s="62" t="n">
        <v>645.7</v>
      </c>
      <c r="Q2086" s="0" t="n">
        <v>2</v>
      </c>
      <c r="R2086" s="60" t="n">
        <f aca="false">G2086+H2086+I2086</f>
        <v>130.5</v>
      </c>
      <c r="S2086" s="60" t="n">
        <f aca="false">K2086+L2086+M2086+N2086+O2086</f>
        <v>5.18</v>
      </c>
      <c r="T2086" s="60" t="n">
        <f aca="false">L2086+M2086</f>
        <v>5.18</v>
      </c>
      <c r="U2086" s="60" t="n">
        <f aca="false">S2086+J2086</f>
        <v>6.81</v>
      </c>
      <c r="V2086" s="63" t="n">
        <f aca="false">IFERROR(S2086/F2086,0)</f>
        <v>0.0377248561648824</v>
      </c>
      <c r="W2086" s="63" t="n">
        <f aca="false">IFERROR(R2086/F2086,0)</f>
        <v>0.950404194887481</v>
      </c>
      <c r="X2086" s="63" t="n">
        <f aca="false">IFERROR(T2086/F2086,0)</f>
        <v>0.0377248561648824</v>
      </c>
      <c r="Y2086" s="63" t="n">
        <f aca="false">IFERROR(G2086/F2086,0)</f>
        <v>0.00531643725875756</v>
      </c>
      <c r="Z2086" s="59" t="n">
        <f aca="false">IF(E2086&gt;0,F2086*1000000000/E2086,"")</f>
        <v>14532.4208667825</v>
      </c>
      <c r="AA2086" s="63" t="n">
        <f aca="false">IFERROR((R2086+S2086+J2086)/F2086,0)</f>
        <v>1</v>
      </c>
      <c r="AB2086" s="0" t="str">
        <f aca="false">A2086&amp;"|"&amp;D2086</f>
        <v>United Arab Emirates|2020</v>
      </c>
    </row>
    <row r="2087" customFormat="false" ht="15" hidden="false" customHeight="false" outlineLevel="0" collapsed="false">
      <c r="A2087" s="0" t="s">
        <v>380</v>
      </c>
      <c r="B2087" s="0" t="s">
        <v>619</v>
      </c>
      <c r="C2087" s="0" t="s">
        <v>127</v>
      </c>
      <c r="D2087" s="0" t="n">
        <v>2021</v>
      </c>
      <c r="E2087" s="59" t="n">
        <v>9789055</v>
      </c>
      <c r="F2087" s="60" t="n">
        <v>149.05</v>
      </c>
      <c r="G2087" s="61" t="n">
        <v>3.01</v>
      </c>
      <c r="H2087" s="61" t="n">
        <v>129.24</v>
      </c>
      <c r="I2087" s="61" t="n">
        <v>0</v>
      </c>
      <c r="J2087" s="61" t="n">
        <v>10.55</v>
      </c>
      <c r="K2087" s="61" t="n">
        <v>0</v>
      </c>
      <c r="L2087" s="61" t="n">
        <v>6.25</v>
      </c>
      <c r="M2087" s="61" t="n">
        <v>0</v>
      </c>
      <c r="N2087" s="61" t="n">
        <v>0</v>
      </c>
      <c r="O2087" s="61" t="n">
        <v>0</v>
      </c>
      <c r="P2087" s="62" t="n">
        <v>605.3</v>
      </c>
      <c r="Q2087" s="0" t="n">
        <v>2</v>
      </c>
      <c r="R2087" s="60" t="n">
        <f aca="false">G2087+H2087+I2087</f>
        <v>132.25</v>
      </c>
      <c r="S2087" s="60" t="n">
        <f aca="false">K2087+L2087+M2087+N2087+O2087</f>
        <v>6.25</v>
      </c>
      <c r="T2087" s="60" t="n">
        <f aca="false">L2087+M2087</f>
        <v>6.25</v>
      </c>
      <c r="U2087" s="60" t="n">
        <f aca="false">S2087+J2087</f>
        <v>16.8</v>
      </c>
      <c r="V2087" s="63" t="n">
        <f aca="false">IFERROR(S2087/F2087,0)</f>
        <v>0.0419322375041932</v>
      </c>
      <c r="W2087" s="63" t="n">
        <f aca="false">IFERROR(R2087/F2087,0)</f>
        <v>0.887286145588729</v>
      </c>
      <c r="X2087" s="63" t="n">
        <f aca="false">IFERROR(T2087/F2087,0)</f>
        <v>0.0419322375041932</v>
      </c>
      <c r="Y2087" s="63" t="n">
        <f aca="false">IFERROR(G2087/F2087,0)</f>
        <v>0.0201945655820195</v>
      </c>
      <c r="Z2087" s="59" t="n">
        <f aca="false">IF(E2087&gt;0,F2087*1000000000/E2087,"")</f>
        <v>15226.1888404958</v>
      </c>
      <c r="AA2087" s="63" t="n">
        <f aca="false">IFERROR((R2087+S2087+J2087)/F2087,0)</f>
        <v>1</v>
      </c>
      <c r="AB2087" s="0" t="str">
        <f aca="false">A2087&amp;"|"&amp;D2087</f>
        <v>United Arab Emirates|2021</v>
      </c>
    </row>
    <row r="2088" customFormat="false" ht="15" hidden="false" customHeight="false" outlineLevel="0" collapsed="false">
      <c r="A2088" s="0" t="s">
        <v>380</v>
      </c>
      <c r="B2088" s="0" t="s">
        <v>619</v>
      </c>
      <c r="C2088" s="0" t="s">
        <v>127</v>
      </c>
      <c r="D2088" s="0" t="n">
        <v>2022</v>
      </c>
      <c r="E2088" s="59" t="n">
        <v>10242085</v>
      </c>
      <c r="F2088" s="60" t="n">
        <v>155.42</v>
      </c>
      <c r="G2088" s="61" t="n">
        <v>0</v>
      </c>
      <c r="H2088" s="61" t="n">
        <v>127.57</v>
      </c>
      <c r="I2088" s="61" t="n">
        <v>0</v>
      </c>
      <c r="J2088" s="61" t="n">
        <v>20.1</v>
      </c>
      <c r="K2088" s="61" t="n">
        <v>0</v>
      </c>
      <c r="L2088" s="61" t="n">
        <v>7.74</v>
      </c>
      <c r="M2088" s="61" t="n">
        <v>0</v>
      </c>
      <c r="N2088" s="61" t="n">
        <v>0.01</v>
      </c>
      <c r="O2088" s="61" t="n">
        <v>0</v>
      </c>
      <c r="P2088" s="62" t="n">
        <v>558.5</v>
      </c>
      <c r="Q2088" s="0" t="n">
        <v>2</v>
      </c>
      <c r="R2088" s="60" t="n">
        <f aca="false">G2088+H2088+I2088</f>
        <v>127.57</v>
      </c>
      <c r="S2088" s="60" t="n">
        <f aca="false">K2088+L2088+M2088+N2088+O2088</f>
        <v>7.75</v>
      </c>
      <c r="T2088" s="60" t="n">
        <f aca="false">L2088+M2088</f>
        <v>7.74</v>
      </c>
      <c r="U2088" s="60" t="n">
        <f aca="false">S2088+J2088</f>
        <v>27.85</v>
      </c>
      <c r="V2088" s="63" t="n">
        <f aca="false">IFERROR(S2088/F2088,0)</f>
        <v>0.0498648822545361</v>
      </c>
      <c r="W2088" s="63" t="n">
        <f aca="false">IFERROR(R2088/F2088,0)</f>
        <v>0.820808132801441</v>
      </c>
      <c r="X2088" s="63" t="n">
        <f aca="false">IFERROR(T2088/F2088,0)</f>
        <v>0.0498005404709819</v>
      </c>
      <c r="Y2088" s="63" t="n">
        <f aca="false">IFERROR(G2088/F2088,0)</f>
        <v>0</v>
      </c>
      <c r="Z2088" s="59" t="n">
        <f aca="false">IF(E2088&gt;0,F2088*1000000000/E2088,"")</f>
        <v>15174.644615818</v>
      </c>
      <c r="AA2088" s="63" t="n">
        <f aca="false">IFERROR((R2088+S2088+J2088)/F2088,0)</f>
        <v>1</v>
      </c>
      <c r="AB2088" s="0" t="str">
        <f aca="false">A2088&amp;"|"&amp;D2088</f>
        <v>United Arab Emirates|2022</v>
      </c>
    </row>
    <row r="2089" customFormat="false" ht="15" hidden="false" customHeight="false" outlineLevel="0" collapsed="false">
      <c r="A2089" s="0" t="s">
        <v>380</v>
      </c>
      <c r="B2089" s="0" t="s">
        <v>619</v>
      </c>
      <c r="C2089" s="0" t="s">
        <v>127</v>
      </c>
      <c r="D2089" s="0" t="n">
        <v>2023</v>
      </c>
      <c r="E2089" s="59" t="n">
        <v>10642089</v>
      </c>
      <c r="F2089" s="60" t="n">
        <v>167.53</v>
      </c>
      <c r="G2089" s="61" t="n">
        <v>0</v>
      </c>
      <c r="H2089" s="61" t="n">
        <v>118.42</v>
      </c>
      <c r="I2089" s="61" t="n">
        <v>0</v>
      </c>
      <c r="J2089" s="61" t="n">
        <v>34.44</v>
      </c>
      <c r="K2089" s="61" t="n">
        <v>0</v>
      </c>
      <c r="L2089" s="61" t="n">
        <v>14.4</v>
      </c>
      <c r="M2089" s="61" t="n">
        <v>0.06</v>
      </c>
      <c r="N2089" s="61" t="n">
        <v>0.21</v>
      </c>
      <c r="O2089" s="61" t="n">
        <v>0</v>
      </c>
      <c r="P2089" s="62" t="n">
        <v>483.8</v>
      </c>
      <c r="Q2089" s="0" t="n">
        <v>2</v>
      </c>
      <c r="R2089" s="60" t="n">
        <f aca="false">G2089+H2089+I2089</f>
        <v>118.42</v>
      </c>
      <c r="S2089" s="60" t="n">
        <f aca="false">K2089+L2089+M2089+N2089+O2089</f>
        <v>14.67</v>
      </c>
      <c r="T2089" s="60" t="n">
        <f aca="false">L2089+M2089</f>
        <v>14.46</v>
      </c>
      <c r="U2089" s="60" t="n">
        <f aca="false">S2089+J2089</f>
        <v>49.11</v>
      </c>
      <c r="V2089" s="63" t="n">
        <f aca="false">IFERROR(S2089/F2089,0)</f>
        <v>0.0875664060168328</v>
      </c>
      <c r="W2089" s="63" t="n">
        <f aca="false">IFERROR(R2089/F2089,0)</f>
        <v>0.706858473109294</v>
      </c>
      <c r="X2089" s="63" t="n">
        <f aca="false">IFERROR(T2089/F2089,0)</f>
        <v>0.086312899182236</v>
      </c>
      <c r="Y2089" s="63" t="n">
        <f aca="false">IFERROR(G2089/F2089,0)</f>
        <v>0</v>
      </c>
      <c r="Z2089" s="59" t="n">
        <f aca="false">IF(E2089&gt;0,F2089*1000000000/E2089,"")</f>
        <v>15742.210011587</v>
      </c>
      <c r="AA2089" s="63" t="n">
        <f aca="false">IFERROR((R2089+S2089+J2089)/F2089,0)</f>
        <v>1</v>
      </c>
      <c r="AB2089" s="0" t="str">
        <f aca="false">A2089&amp;"|"&amp;D2089</f>
        <v>United Arab Emirates|2023</v>
      </c>
    </row>
    <row r="2090" customFormat="false" ht="15" hidden="false" customHeight="false" outlineLevel="0" collapsed="false">
      <c r="A2090" s="0" t="s">
        <v>380</v>
      </c>
      <c r="B2090" s="0" t="s">
        <v>619</v>
      </c>
      <c r="C2090" s="0" t="s">
        <v>127</v>
      </c>
      <c r="D2090" s="0" t="n">
        <v>2024</v>
      </c>
      <c r="E2090" s="59" t="n">
        <v>11027135</v>
      </c>
      <c r="F2090" s="60" t="n">
        <v>177.26</v>
      </c>
      <c r="G2090" s="61" t="n">
        <v>0</v>
      </c>
      <c r="H2090" s="61" t="n">
        <v>121.01</v>
      </c>
      <c r="I2090" s="61" t="n">
        <v>0</v>
      </c>
      <c r="J2090" s="61" t="n">
        <v>40.63</v>
      </c>
      <c r="K2090" s="61" t="n">
        <v>0</v>
      </c>
      <c r="L2090" s="61" t="n">
        <v>15.21</v>
      </c>
      <c r="M2090" s="61" t="n">
        <v>0.2</v>
      </c>
      <c r="N2090" s="61" t="n">
        <v>0.21</v>
      </c>
      <c r="O2090" s="61" t="n">
        <v>0</v>
      </c>
      <c r="P2090" s="62" t="n">
        <v>467.5</v>
      </c>
      <c r="Q2090" s="0" t="n">
        <v>2</v>
      </c>
      <c r="R2090" s="60" t="n">
        <f aca="false">G2090+H2090+I2090</f>
        <v>121.01</v>
      </c>
      <c r="S2090" s="60" t="n">
        <f aca="false">K2090+L2090+M2090+N2090+O2090</f>
        <v>15.62</v>
      </c>
      <c r="T2090" s="60" t="n">
        <f aca="false">L2090+M2090</f>
        <v>15.41</v>
      </c>
      <c r="U2090" s="60" t="n">
        <f aca="false">S2090+J2090</f>
        <v>56.25</v>
      </c>
      <c r="V2090" s="63" t="n">
        <f aca="false">IFERROR(S2090/F2090,0)</f>
        <v>0.0881191470156832</v>
      </c>
      <c r="W2090" s="63" t="n">
        <f aca="false">IFERROR(R2090/F2090,0)</f>
        <v>0.682669524991538</v>
      </c>
      <c r="X2090" s="63" t="n">
        <f aca="false">IFERROR(T2090/F2090,0)</f>
        <v>0.0869344465756516</v>
      </c>
      <c r="Y2090" s="63" t="n">
        <f aca="false">IFERROR(G2090/F2090,0)</f>
        <v>0</v>
      </c>
      <c r="Z2090" s="59" t="n">
        <f aca="false">IF(E2090&gt;0,F2090*1000000000/E2090,"")</f>
        <v>16074.8916196274</v>
      </c>
      <c r="AA2090" s="63" t="n">
        <f aca="false">IFERROR((R2090+S2090+J2090)/F2090,0)</f>
        <v>1</v>
      </c>
      <c r="AB2090" s="0" t="str">
        <f aca="false">A2090&amp;"|"&amp;D2090</f>
        <v>United Arab Emirates|2024</v>
      </c>
    </row>
    <row r="2091" customFormat="false" ht="15" hidden="false" customHeight="false" outlineLevel="0" collapsed="false">
      <c r="A2091" s="0" t="s">
        <v>381</v>
      </c>
      <c r="B2091" s="0" t="s">
        <v>620</v>
      </c>
      <c r="C2091" s="0" t="s">
        <v>127</v>
      </c>
      <c r="D2091" s="0" t="n">
        <v>2015</v>
      </c>
      <c r="E2091" s="59" t="n">
        <v>65382107</v>
      </c>
      <c r="F2091" s="60" t="n">
        <v>338.87</v>
      </c>
      <c r="G2091" s="61" t="n">
        <v>75.88</v>
      </c>
      <c r="H2091" s="61" t="n">
        <v>99.88</v>
      </c>
      <c r="I2091" s="61" t="n">
        <v>9.41</v>
      </c>
      <c r="J2091" s="61" t="n">
        <v>70.34</v>
      </c>
      <c r="K2091" s="61" t="n">
        <v>6.3</v>
      </c>
      <c r="L2091" s="61" t="n">
        <v>7.53</v>
      </c>
      <c r="M2091" s="61" t="n">
        <v>40.27</v>
      </c>
      <c r="N2091" s="61" t="n">
        <v>29.26</v>
      </c>
      <c r="O2091" s="61" t="n">
        <v>0</v>
      </c>
      <c r="P2091" s="62" t="n">
        <v>397.8</v>
      </c>
      <c r="Q2091" s="0" t="n">
        <v>0</v>
      </c>
      <c r="R2091" s="60" t="n">
        <f aca="false">G2091+H2091+I2091</f>
        <v>185.17</v>
      </c>
      <c r="S2091" s="60" t="n">
        <f aca="false">K2091+L2091+M2091+N2091+O2091</f>
        <v>83.36</v>
      </c>
      <c r="T2091" s="60" t="n">
        <f aca="false">L2091+M2091</f>
        <v>47.8</v>
      </c>
      <c r="U2091" s="60" t="n">
        <f aca="false">S2091+J2091</f>
        <v>153.7</v>
      </c>
      <c r="V2091" s="63" t="n">
        <f aca="false">IFERROR(S2091/F2091,0)</f>
        <v>0.245994039012011</v>
      </c>
      <c r="W2091" s="63" t="n">
        <f aca="false">IFERROR(R2091/F2091,0)</f>
        <v>0.54643373565084</v>
      </c>
      <c r="X2091" s="63" t="n">
        <f aca="false">IFERROR(T2091/F2091,0)</f>
        <v>0.141057042523682</v>
      </c>
      <c r="Y2091" s="63" t="n">
        <f aca="false">IFERROR(G2091/F2091,0)</f>
        <v>0.223920677545962</v>
      </c>
      <c r="Z2091" s="59" t="n">
        <f aca="false">IF(E2091&gt;0,F2091*1000000000/E2091,"")</f>
        <v>5182.91648202772</v>
      </c>
      <c r="AA2091" s="63" t="n">
        <f aca="false">IFERROR((R2091+S2091+J2091)/F2091,0)</f>
        <v>1</v>
      </c>
      <c r="AB2091" s="0" t="str">
        <f aca="false">A2091&amp;"|"&amp;D2091</f>
        <v>United Kingdom|2015</v>
      </c>
    </row>
    <row r="2092" customFormat="false" ht="15" hidden="false" customHeight="false" outlineLevel="0" collapsed="false">
      <c r="A2092" s="0" t="s">
        <v>381</v>
      </c>
      <c r="B2092" s="0" t="s">
        <v>620</v>
      </c>
      <c r="C2092" s="0" t="s">
        <v>127</v>
      </c>
      <c r="D2092" s="0" t="n">
        <v>2016</v>
      </c>
      <c r="E2092" s="59" t="n">
        <v>65893359</v>
      </c>
      <c r="F2092" s="60" t="n">
        <v>339.18</v>
      </c>
      <c r="G2092" s="61" t="n">
        <v>30.67</v>
      </c>
      <c r="H2092" s="61" t="n">
        <v>143.13</v>
      </c>
      <c r="I2092" s="61" t="n">
        <v>10.64</v>
      </c>
      <c r="J2092" s="61" t="n">
        <v>71.73</v>
      </c>
      <c r="K2092" s="61" t="n">
        <v>5.37</v>
      </c>
      <c r="L2092" s="61" t="n">
        <v>10.41</v>
      </c>
      <c r="M2092" s="61" t="n">
        <v>37.16</v>
      </c>
      <c r="N2092" s="61" t="n">
        <v>30.07</v>
      </c>
      <c r="O2092" s="61" t="n">
        <v>0</v>
      </c>
      <c r="P2092" s="62" t="n">
        <v>333.4</v>
      </c>
      <c r="Q2092" s="0" t="n">
        <v>0</v>
      </c>
      <c r="R2092" s="60" t="n">
        <f aca="false">G2092+H2092+I2092</f>
        <v>184.44</v>
      </c>
      <c r="S2092" s="60" t="n">
        <f aca="false">K2092+L2092+M2092+N2092+O2092</f>
        <v>83.01</v>
      </c>
      <c r="T2092" s="60" t="n">
        <f aca="false">L2092+M2092</f>
        <v>47.57</v>
      </c>
      <c r="U2092" s="60" t="n">
        <f aca="false">S2092+J2092</f>
        <v>154.74</v>
      </c>
      <c r="V2092" s="63" t="n">
        <f aca="false">IFERROR(S2092/F2092,0)</f>
        <v>0.24473730762427</v>
      </c>
      <c r="W2092" s="63" t="n">
        <f aca="false">IFERROR(R2092/F2092,0)</f>
        <v>0.543782062621617</v>
      </c>
      <c r="X2092" s="63" t="n">
        <f aca="false">IFERROR(T2092/F2092,0)</f>
        <v>0.140250014741435</v>
      </c>
      <c r="Y2092" s="63" t="n">
        <f aca="false">IFERROR(G2092/F2092,0)</f>
        <v>0.0904239636771036</v>
      </c>
      <c r="Z2092" s="59" t="n">
        <f aca="false">IF(E2092&gt;0,F2092*1000000000/E2092,"")</f>
        <v>5147.40795047343</v>
      </c>
      <c r="AA2092" s="63" t="n">
        <f aca="false">IFERROR((R2092+S2092+J2092)/F2092,0)</f>
        <v>1</v>
      </c>
      <c r="AB2092" s="0" t="str">
        <f aca="false">A2092&amp;"|"&amp;D2092</f>
        <v>United Kingdom|2016</v>
      </c>
    </row>
    <row r="2093" customFormat="false" ht="15" hidden="false" customHeight="false" outlineLevel="0" collapsed="false">
      <c r="A2093" s="0" t="s">
        <v>381</v>
      </c>
      <c r="B2093" s="0" t="s">
        <v>620</v>
      </c>
      <c r="C2093" s="0" t="s">
        <v>127</v>
      </c>
      <c r="D2093" s="0" t="n">
        <v>2017</v>
      </c>
      <c r="E2093" s="59" t="n">
        <v>66354473</v>
      </c>
      <c r="F2093" s="60" t="n">
        <v>338.22</v>
      </c>
      <c r="G2093" s="61" t="n">
        <v>22.53</v>
      </c>
      <c r="H2093" s="61" t="n">
        <v>136.75</v>
      </c>
      <c r="I2093" s="61" t="n">
        <v>9.71</v>
      </c>
      <c r="J2093" s="61" t="n">
        <v>70.34</v>
      </c>
      <c r="K2093" s="61" t="n">
        <v>5.88</v>
      </c>
      <c r="L2093" s="61" t="n">
        <v>11.46</v>
      </c>
      <c r="M2093" s="61" t="n">
        <v>49.65</v>
      </c>
      <c r="N2093" s="61" t="n">
        <v>31.9</v>
      </c>
      <c r="O2093" s="61" t="n">
        <v>0</v>
      </c>
      <c r="P2093" s="62" t="n">
        <v>302.2</v>
      </c>
      <c r="Q2093" s="0" t="n">
        <v>0</v>
      </c>
      <c r="R2093" s="60" t="n">
        <f aca="false">G2093+H2093+I2093</f>
        <v>168.99</v>
      </c>
      <c r="S2093" s="60" t="n">
        <f aca="false">K2093+L2093+M2093+N2093+O2093</f>
        <v>98.89</v>
      </c>
      <c r="T2093" s="60" t="n">
        <f aca="false">L2093+M2093</f>
        <v>61.11</v>
      </c>
      <c r="U2093" s="60" t="n">
        <f aca="false">S2093+J2093</f>
        <v>169.23</v>
      </c>
      <c r="V2093" s="63" t="n">
        <f aca="false">IFERROR(S2093/F2093,0)</f>
        <v>0.292383655608775</v>
      </c>
      <c r="W2093" s="63" t="n">
        <f aca="false">IFERROR(R2093/F2093,0)</f>
        <v>0.499645201348235</v>
      </c>
      <c r="X2093" s="63" t="n">
        <f aca="false">IFERROR(T2093/F2093,0)</f>
        <v>0.180681213411389</v>
      </c>
      <c r="Y2093" s="63" t="n">
        <f aca="false">IFERROR(G2093/F2093,0)</f>
        <v>0.0666134468689019</v>
      </c>
      <c r="Z2093" s="59" t="n">
        <f aca="false">IF(E2093&gt;0,F2093*1000000000/E2093,"")</f>
        <v>5097.16956082222</v>
      </c>
      <c r="AA2093" s="63" t="n">
        <f aca="false">IFERROR((R2093+S2093+J2093)/F2093,0)</f>
        <v>1</v>
      </c>
      <c r="AB2093" s="0" t="str">
        <f aca="false">A2093&amp;"|"&amp;D2093</f>
        <v>United Kingdom|2017</v>
      </c>
    </row>
    <row r="2094" customFormat="false" ht="15" hidden="false" customHeight="false" outlineLevel="0" collapsed="false">
      <c r="A2094" s="0" t="s">
        <v>381</v>
      </c>
      <c r="B2094" s="0" t="s">
        <v>620</v>
      </c>
      <c r="C2094" s="0" t="s">
        <v>127</v>
      </c>
      <c r="D2094" s="0" t="n">
        <v>2018</v>
      </c>
      <c r="E2094" s="59" t="n">
        <v>66752473</v>
      </c>
      <c r="F2094" s="60" t="n">
        <v>333.76</v>
      </c>
      <c r="G2094" s="61" t="n">
        <v>16.83</v>
      </c>
      <c r="H2094" s="61" t="n">
        <v>131.49</v>
      </c>
      <c r="I2094" s="61" t="n">
        <v>10.24</v>
      </c>
      <c r="J2094" s="61" t="n">
        <v>65.06</v>
      </c>
      <c r="K2094" s="61" t="n">
        <v>5.44</v>
      </c>
      <c r="L2094" s="61" t="n">
        <v>12.67</v>
      </c>
      <c r="M2094" s="61" t="n">
        <v>56.91</v>
      </c>
      <c r="N2094" s="61" t="n">
        <v>35.11</v>
      </c>
      <c r="O2094" s="61" t="n">
        <v>0.01</v>
      </c>
      <c r="P2094" s="62" t="n">
        <v>285.6</v>
      </c>
      <c r="Q2094" s="0" t="n">
        <v>0</v>
      </c>
      <c r="R2094" s="60" t="n">
        <f aca="false">G2094+H2094+I2094</f>
        <v>158.56</v>
      </c>
      <c r="S2094" s="60" t="n">
        <f aca="false">K2094+L2094+M2094+N2094+O2094</f>
        <v>110.14</v>
      </c>
      <c r="T2094" s="60" t="n">
        <f aca="false">L2094+M2094</f>
        <v>69.58</v>
      </c>
      <c r="U2094" s="60" t="n">
        <f aca="false">S2094+J2094</f>
        <v>175.2</v>
      </c>
      <c r="V2094" s="63" t="n">
        <f aca="false">IFERROR(S2094/F2094,0)</f>
        <v>0.329997603068073</v>
      </c>
      <c r="W2094" s="63" t="n">
        <f aca="false">IFERROR(R2094/F2094,0)</f>
        <v>0.475071907957814</v>
      </c>
      <c r="X2094" s="63" t="n">
        <f aca="false">IFERROR(T2094/F2094,0)</f>
        <v>0.208473154362416</v>
      </c>
      <c r="Y2094" s="63" t="n">
        <f aca="false">IFERROR(G2094/F2094,0)</f>
        <v>0.0504254554170662</v>
      </c>
      <c r="Z2094" s="59" t="n">
        <f aca="false">IF(E2094&gt;0,F2094*1000000000/E2094,"")</f>
        <v>4999.964570601</v>
      </c>
      <c r="AA2094" s="63" t="n">
        <f aca="false">IFERROR((R2094+S2094+J2094)/F2094,0)</f>
        <v>1</v>
      </c>
      <c r="AB2094" s="0" t="str">
        <f aca="false">A2094&amp;"|"&amp;D2094</f>
        <v>United Kingdom|2018</v>
      </c>
    </row>
    <row r="2095" customFormat="false" ht="15" hidden="false" customHeight="false" outlineLevel="0" collapsed="false">
      <c r="A2095" s="0" t="s">
        <v>381</v>
      </c>
      <c r="B2095" s="0" t="s">
        <v>620</v>
      </c>
      <c r="C2095" s="0" t="s">
        <v>127</v>
      </c>
      <c r="D2095" s="0" t="n">
        <v>2019</v>
      </c>
      <c r="E2095" s="59" t="n">
        <v>67110958</v>
      </c>
      <c r="F2095" s="60" t="n">
        <v>327.19</v>
      </c>
      <c r="G2095" s="61" t="n">
        <v>6.92</v>
      </c>
      <c r="H2095" s="61" t="n">
        <v>133.09</v>
      </c>
      <c r="I2095" s="61" t="n">
        <v>11.26</v>
      </c>
      <c r="J2095" s="61" t="n">
        <v>56.18</v>
      </c>
      <c r="K2095" s="61" t="n">
        <v>5.93</v>
      </c>
      <c r="L2095" s="61" t="n">
        <v>12.42</v>
      </c>
      <c r="M2095" s="61" t="n">
        <v>63.84</v>
      </c>
      <c r="N2095" s="61" t="n">
        <v>37.54</v>
      </c>
      <c r="O2095" s="61" t="n">
        <v>0.01</v>
      </c>
      <c r="P2095" s="62" t="n">
        <v>268.4</v>
      </c>
      <c r="Q2095" s="0" t="n">
        <v>0</v>
      </c>
      <c r="R2095" s="60" t="n">
        <f aca="false">G2095+H2095+I2095</f>
        <v>151.27</v>
      </c>
      <c r="S2095" s="60" t="n">
        <f aca="false">K2095+L2095+M2095+N2095+O2095</f>
        <v>119.74</v>
      </c>
      <c r="T2095" s="60" t="n">
        <f aca="false">L2095+M2095</f>
        <v>76.26</v>
      </c>
      <c r="U2095" s="60" t="n">
        <f aca="false">S2095+J2095</f>
        <v>175.92</v>
      </c>
      <c r="V2095" s="63" t="n">
        <f aca="false">IFERROR(S2095/F2095,0)</f>
        <v>0.36596472997341</v>
      </c>
      <c r="W2095" s="63" t="n">
        <f aca="false">IFERROR(R2095/F2095,0)</f>
        <v>0.462330755829946</v>
      </c>
      <c r="X2095" s="63" t="n">
        <f aca="false">IFERROR(T2095/F2095,0)</f>
        <v>0.23307558299459</v>
      </c>
      <c r="Y2095" s="63" t="n">
        <f aca="false">IFERROR(G2095/F2095,0)</f>
        <v>0.0211497906415233</v>
      </c>
      <c r="Z2095" s="59" t="n">
        <f aca="false">IF(E2095&gt;0,F2095*1000000000/E2095,"")</f>
        <v>4875.35880504045</v>
      </c>
      <c r="AA2095" s="63" t="n">
        <f aca="false">IFERROR((R2095+S2095+J2095)/F2095,0)</f>
        <v>1</v>
      </c>
      <c r="AB2095" s="0" t="str">
        <f aca="false">A2095&amp;"|"&amp;D2095</f>
        <v>United Kingdom|2019</v>
      </c>
    </row>
    <row r="2096" customFormat="false" ht="15" hidden="false" customHeight="false" outlineLevel="0" collapsed="false">
      <c r="A2096" s="0" t="s">
        <v>381</v>
      </c>
      <c r="B2096" s="0" t="s">
        <v>620</v>
      </c>
      <c r="C2096" s="0" t="s">
        <v>127</v>
      </c>
      <c r="D2096" s="0" t="n">
        <v>2020</v>
      </c>
      <c r="E2096" s="59" t="n">
        <v>67351860</v>
      </c>
      <c r="F2096" s="60" t="n">
        <v>310.3</v>
      </c>
      <c r="G2096" s="61" t="n">
        <v>5.7</v>
      </c>
      <c r="H2096" s="61" t="n">
        <v>111.89</v>
      </c>
      <c r="I2096" s="61" t="n">
        <v>8.84</v>
      </c>
      <c r="J2096" s="61" t="n">
        <v>50.24</v>
      </c>
      <c r="K2096" s="61" t="n">
        <v>6.88</v>
      </c>
      <c r="L2096" s="61" t="n">
        <v>12.55</v>
      </c>
      <c r="M2096" s="61" t="n">
        <v>75.62</v>
      </c>
      <c r="N2096" s="61" t="n">
        <v>38.58</v>
      </c>
      <c r="O2096" s="61" t="n">
        <v>0</v>
      </c>
      <c r="P2096" s="62" t="n">
        <v>242.5</v>
      </c>
      <c r="Q2096" s="0" t="n">
        <v>1</v>
      </c>
      <c r="R2096" s="60" t="n">
        <f aca="false">G2096+H2096+I2096</f>
        <v>126.43</v>
      </c>
      <c r="S2096" s="60" t="n">
        <f aca="false">K2096+L2096+M2096+N2096+O2096</f>
        <v>133.63</v>
      </c>
      <c r="T2096" s="60" t="n">
        <f aca="false">L2096+M2096</f>
        <v>88.17</v>
      </c>
      <c r="U2096" s="60" t="n">
        <f aca="false">S2096+J2096</f>
        <v>183.87</v>
      </c>
      <c r="V2096" s="63" t="n">
        <f aca="false">IFERROR(S2096/F2096,0)</f>
        <v>0.430647760232034</v>
      </c>
      <c r="W2096" s="63" t="n">
        <f aca="false">IFERROR(R2096/F2096,0)</f>
        <v>0.407444408636803</v>
      </c>
      <c r="X2096" s="63" t="n">
        <f aca="false">IFERROR(T2096/F2096,0)</f>
        <v>0.284144376409926</v>
      </c>
      <c r="Y2096" s="63" t="n">
        <f aca="false">IFERROR(G2096/F2096,0)</f>
        <v>0.0183693200128908</v>
      </c>
      <c r="Z2096" s="59" t="n">
        <f aca="false">IF(E2096&gt;0,F2096*1000000000/E2096,"")</f>
        <v>4607.14819160154</v>
      </c>
      <c r="AA2096" s="63" t="n">
        <f aca="false">IFERROR((R2096+S2096+J2096)/F2096,0)</f>
        <v>1</v>
      </c>
      <c r="AB2096" s="0" t="str">
        <f aca="false">A2096&amp;"|"&amp;D2096</f>
        <v>United Kingdom|2020</v>
      </c>
    </row>
    <row r="2097" customFormat="false" ht="15" hidden="false" customHeight="false" outlineLevel="0" collapsed="false">
      <c r="A2097" s="0" t="s">
        <v>381</v>
      </c>
      <c r="B2097" s="0" t="s">
        <v>620</v>
      </c>
      <c r="C2097" s="0" t="s">
        <v>127</v>
      </c>
      <c r="D2097" s="0" t="n">
        <v>2021</v>
      </c>
      <c r="E2097" s="59" t="n">
        <v>67668788</v>
      </c>
      <c r="F2097" s="60" t="n">
        <v>307.9</v>
      </c>
      <c r="G2097" s="61" t="n">
        <v>6.79</v>
      </c>
      <c r="H2097" s="61" t="n">
        <v>122.84</v>
      </c>
      <c r="I2097" s="61" t="n">
        <v>9.68</v>
      </c>
      <c r="J2097" s="61" t="n">
        <v>46.1</v>
      </c>
      <c r="K2097" s="61" t="n">
        <v>5.42</v>
      </c>
      <c r="L2097" s="61" t="n">
        <v>12.13</v>
      </c>
      <c r="M2097" s="61" t="n">
        <v>64.93</v>
      </c>
      <c r="N2097" s="61" t="n">
        <v>40.01</v>
      </c>
      <c r="O2097" s="61" t="n">
        <v>0</v>
      </c>
      <c r="P2097" s="62" t="n">
        <v>267.1</v>
      </c>
      <c r="Q2097" s="0" t="n">
        <v>1</v>
      </c>
      <c r="R2097" s="60" t="n">
        <f aca="false">G2097+H2097+I2097</f>
        <v>139.31</v>
      </c>
      <c r="S2097" s="60" t="n">
        <f aca="false">K2097+L2097+M2097+N2097+O2097</f>
        <v>122.49</v>
      </c>
      <c r="T2097" s="60" t="n">
        <f aca="false">L2097+M2097</f>
        <v>77.06</v>
      </c>
      <c r="U2097" s="60" t="n">
        <f aca="false">S2097+J2097</f>
        <v>168.59</v>
      </c>
      <c r="V2097" s="63" t="n">
        <f aca="false">IFERROR(S2097/F2097,0)</f>
        <v>0.397823968821046</v>
      </c>
      <c r="W2097" s="63" t="n">
        <f aca="false">IFERROR(R2097/F2097,0)</f>
        <v>0.452452094835986</v>
      </c>
      <c r="X2097" s="63" t="n">
        <f aca="false">IFERROR(T2097/F2097,0)</f>
        <v>0.250276063657032</v>
      </c>
      <c r="Y2097" s="63" t="n">
        <f aca="false">IFERROR(G2097/F2097,0)</f>
        <v>0.0220526144852225</v>
      </c>
      <c r="Z2097" s="59" t="n">
        <f aca="false">IF(E2097&gt;0,F2097*1000000000/E2097,"")</f>
        <v>4550.10366078967</v>
      </c>
      <c r="AA2097" s="63" t="n">
        <f aca="false">IFERROR((R2097+S2097+J2097)/F2097,0)</f>
        <v>1</v>
      </c>
      <c r="AB2097" s="0" t="str">
        <f aca="false">A2097&amp;"|"&amp;D2097</f>
        <v>United Kingdom|2021</v>
      </c>
    </row>
    <row r="2098" customFormat="false" ht="15" hidden="false" customHeight="false" outlineLevel="0" collapsed="false">
      <c r="A2098" s="0" t="s">
        <v>381</v>
      </c>
      <c r="B2098" s="0" t="s">
        <v>620</v>
      </c>
      <c r="C2098" s="0" t="s">
        <v>127</v>
      </c>
      <c r="D2098" s="0" t="n">
        <v>2022</v>
      </c>
      <c r="E2098" s="59" t="n">
        <v>68179315</v>
      </c>
      <c r="F2098" s="60" t="n">
        <v>324.58</v>
      </c>
      <c r="G2098" s="61" t="n">
        <v>5.94</v>
      </c>
      <c r="H2098" s="61" t="n">
        <v>125.11</v>
      </c>
      <c r="I2098" s="61" t="n">
        <v>11.07</v>
      </c>
      <c r="J2098" s="61" t="n">
        <v>47.4</v>
      </c>
      <c r="K2098" s="61" t="n">
        <v>5.66</v>
      </c>
      <c r="L2098" s="61" t="n">
        <v>13.34</v>
      </c>
      <c r="M2098" s="61" t="n">
        <v>80.21</v>
      </c>
      <c r="N2098" s="61" t="n">
        <v>35.85</v>
      </c>
      <c r="O2098" s="61" t="n">
        <v>0</v>
      </c>
      <c r="P2098" s="62" t="n">
        <v>255</v>
      </c>
      <c r="Q2098" s="0" t="n">
        <v>1</v>
      </c>
      <c r="R2098" s="60" t="n">
        <f aca="false">G2098+H2098+I2098</f>
        <v>142.12</v>
      </c>
      <c r="S2098" s="60" t="n">
        <f aca="false">K2098+L2098+M2098+N2098+O2098</f>
        <v>135.06</v>
      </c>
      <c r="T2098" s="60" t="n">
        <f aca="false">L2098+M2098</f>
        <v>93.55</v>
      </c>
      <c r="U2098" s="60" t="n">
        <f aca="false">S2098+J2098</f>
        <v>182.46</v>
      </c>
      <c r="V2098" s="63" t="n">
        <f aca="false">IFERROR(S2098/F2098,0)</f>
        <v>0.4161069690061</v>
      </c>
      <c r="W2098" s="63" t="n">
        <f aca="false">IFERROR(R2098/F2098,0)</f>
        <v>0.437858155154353</v>
      </c>
      <c r="X2098" s="63" t="n">
        <f aca="false">IFERROR(T2098/F2098,0)</f>
        <v>0.288218620987122</v>
      </c>
      <c r="Y2098" s="63" t="n">
        <f aca="false">IFERROR(G2098/F2098,0)</f>
        <v>0.018300573048247</v>
      </c>
      <c r="Z2098" s="59" t="n">
        <f aca="false">IF(E2098&gt;0,F2098*1000000000/E2098,"")</f>
        <v>4760.68144715153</v>
      </c>
      <c r="AA2098" s="63" t="n">
        <f aca="false">IFERROR((R2098+S2098+J2098)/F2098,0)</f>
        <v>1</v>
      </c>
      <c r="AB2098" s="0" t="str">
        <f aca="false">A2098&amp;"|"&amp;D2098</f>
        <v>United Kingdom|2022</v>
      </c>
    </row>
    <row r="2099" customFormat="false" ht="15" hidden="false" customHeight="false" outlineLevel="0" collapsed="false">
      <c r="A2099" s="0" t="s">
        <v>381</v>
      </c>
      <c r="B2099" s="0" t="s">
        <v>620</v>
      </c>
      <c r="C2099" s="0" t="s">
        <v>127</v>
      </c>
      <c r="D2099" s="0" t="n">
        <v>2023</v>
      </c>
      <c r="E2099" s="59" t="n">
        <v>68682965</v>
      </c>
      <c r="F2099" s="60" t="n">
        <v>292.53</v>
      </c>
      <c r="G2099" s="61" t="n">
        <v>3.78</v>
      </c>
      <c r="H2099" s="61" t="n">
        <v>101.66</v>
      </c>
      <c r="I2099" s="61" t="n">
        <v>10.82</v>
      </c>
      <c r="J2099" s="61" t="n">
        <v>40.6</v>
      </c>
      <c r="K2099" s="61" t="n">
        <v>5.54</v>
      </c>
      <c r="L2099" s="61" t="n">
        <v>13.88</v>
      </c>
      <c r="M2099" s="61" t="n">
        <v>82.15</v>
      </c>
      <c r="N2099" s="61" t="n">
        <v>34.1</v>
      </c>
      <c r="O2099" s="61" t="n">
        <v>0</v>
      </c>
      <c r="P2099" s="62" t="n">
        <v>235.6</v>
      </c>
      <c r="Q2099" s="0" t="n">
        <v>1</v>
      </c>
      <c r="R2099" s="60" t="n">
        <f aca="false">G2099+H2099+I2099</f>
        <v>116.26</v>
      </c>
      <c r="S2099" s="60" t="n">
        <f aca="false">K2099+L2099+M2099+N2099+O2099</f>
        <v>135.67</v>
      </c>
      <c r="T2099" s="60" t="n">
        <f aca="false">L2099+M2099</f>
        <v>96.03</v>
      </c>
      <c r="U2099" s="60" t="n">
        <f aca="false">S2099+J2099</f>
        <v>176.27</v>
      </c>
      <c r="V2099" s="63" t="n">
        <f aca="false">IFERROR(S2099/F2099,0)</f>
        <v>0.463781492496496</v>
      </c>
      <c r="W2099" s="63" t="n">
        <f aca="false">IFERROR(R2099/F2099,0)</f>
        <v>0.397429323488189</v>
      </c>
      <c r="X2099" s="63" t="n">
        <f aca="false">IFERROR(T2099/F2099,0)</f>
        <v>0.32827402317711</v>
      </c>
      <c r="Y2099" s="63" t="n">
        <f aca="false">IFERROR(G2099/F2099,0)</f>
        <v>0.012921751615219</v>
      </c>
      <c r="Z2099" s="59" t="n">
        <f aca="false">IF(E2099&gt;0,F2099*1000000000/E2099,"")</f>
        <v>4259.13470683742</v>
      </c>
      <c r="AA2099" s="63" t="n">
        <f aca="false">IFERROR((R2099+S2099+J2099)/F2099,0)</f>
        <v>1</v>
      </c>
      <c r="AB2099" s="0" t="str">
        <f aca="false">A2099&amp;"|"&amp;D2099</f>
        <v>United Kingdom|2023</v>
      </c>
    </row>
    <row r="2100" customFormat="false" ht="15" hidden="false" customHeight="false" outlineLevel="0" collapsed="false">
      <c r="A2100" s="0" t="s">
        <v>381</v>
      </c>
      <c r="B2100" s="0" t="s">
        <v>620</v>
      </c>
      <c r="C2100" s="0" t="s">
        <v>127</v>
      </c>
      <c r="D2100" s="0" t="n">
        <v>2024</v>
      </c>
      <c r="E2100" s="59" t="n">
        <v>69138185</v>
      </c>
      <c r="F2100" s="60" t="n">
        <v>284.16</v>
      </c>
      <c r="G2100" s="61" t="n">
        <v>1.9</v>
      </c>
      <c r="H2100" s="61" t="n">
        <v>86.3</v>
      </c>
      <c r="I2100" s="61" t="n">
        <v>11.45</v>
      </c>
      <c r="J2100" s="61" t="n">
        <v>40.59</v>
      </c>
      <c r="K2100" s="61" t="n">
        <v>5.76</v>
      </c>
      <c r="L2100" s="61" t="n">
        <v>14.79</v>
      </c>
      <c r="M2100" s="61" t="n">
        <v>83.28</v>
      </c>
      <c r="N2100" s="61" t="n">
        <v>40.09</v>
      </c>
      <c r="O2100" s="61" t="n">
        <v>0</v>
      </c>
      <c r="P2100" s="62" t="n">
        <v>216.5</v>
      </c>
      <c r="Q2100" s="0" t="n">
        <v>1</v>
      </c>
      <c r="R2100" s="60" t="n">
        <f aca="false">G2100+H2100+I2100</f>
        <v>99.65</v>
      </c>
      <c r="S2100" s="60" t="n">
        <f aca="false">K2100+L2100+M2100+N2100+O2100</f>
        <v>143.92</v>
      </c>
      <c r="T2100" s="60" t="n">
        <f aca="false">L2100+M2100</f>
        <v>98.07</v>
      </c>
      <c r="U2100" s="60" t="n">
        <f aca="false">S2100+J2100</f>
        <v>184.51</v>
      </c>
      <c r="V2100" s="63" t="n">
        <f aca="false">IFERROR(S2100/F2100,0)</f>
        <v>0.506475225225225</v>
      </c>
      <c r="W2100" s="63" t="n">
        <f aca="false">IFERROR(R2100/F2100,0)</f>
        <v>0.350682713963964</v>
      </c>
      <c r="X2100" s="63" t="n">
        <f aca="false">IFERROR(T2100/F2100,0)</f>
        <v>0.345122466216216</v>
      </c>
      <c r="Y2100" s="63" t="n">
        <f aca="false">IFERROR(G2100/F2100,0)</f>
        <v>0.00668637387387387</v>
      </c>
      <c r="Z2100" s="59" t="n">
        <f aca="false">IF(E2100&gt;0,F2100*1000000000/E2100,"")</f>
        <v>4110.02979033945</v>
      </c>
      <c r="AA2100" s="63" t="n">
        <f aca="false">IFERROR((R2100+S2100+J2100)/F2100,0)</f>
        <v>1</v>
      </c>
      <c r="AB2100" s="0" t="str">
        <f aca="false">A2100&amp;"|"&amp;D2100</f>
        <v>United Kingdom|2024</v>
      </c>
    </row>
    <row r="2101" customFormat="false" ht="15" hidden="false" customHeight="false" outlineLevel="0" collapsed="false">
      <c r="A2101" s="0" t="s">
        <v>381</v>
      </c>
      <c r="B2101" s="0" t="s">
        <v>620</v>
      </c>
      <c r="C2101" s="0" t="s">
        <v>127</v>
      </c>
      <c r="D2101" s="0" t="n">
        <v>2025</v>
      </c>
      <c r="E2101" s="59" t="n">
        <v>69551334</v>
      </c>
      <c r="F2101" s="60" t="n">
        <v>292.31</v>
      </c>
      <c r="G2101" s="61" t="n">
        <v>0.33</v>
      </c>
      <c r="H2101" s="61" t="n">
        <v>90.91</v>
      </c>
      <c r="I2101" s="61" t="n">
        <v>12.77</v>
      </c>
      <c r="J2101" s="61" t="n">
        <v>36.38</v>
      </c>
      <c r="K2101" s="61" t="n">
        <v>5.55</v>
      </c>
      <c r="L2101" s="61" t="n">
        <v>19.32</v>
      </c>
      <c r="M2101" s="61" t="n">
        <v>85.84</v>
      </c>
      <c r="N2101" s="61" t="n">
        <v>41.21</v>
      </c>
      <c r="O2101" s="61" t="n">
        <v>0</v>
      </c>
      <c r="P2101" s="62" t="n">
        <v>217.4</v>
      </c>
      <c r="Q2101" s="0" t="n">
        <v>1</v>
      </c>
      <c r="R2101" s="60" t="n">
        <f aca="false">G2101+H2101+I2101</f>
        <v>104.01</v>
      </c>
      <c r="S2101" s="60" t="n">
        <f aca="false">K2101+L2101+M2101+N2101+O2101</f>
        <v>151.92</v>
      </c>
      <c r="T2101" s="60" t="n">
        <f aca="false">L2101+M2101</f>
        <v>105.16</v>
      </c>
      <c r="U2101" s="60" t="n">
        <f aca="false">S2101+J2101</f>
        <v>188.3</v>
      </c>
      <c r="V2101" s="63" t="n">
        <f aca="false">IFERROR(S2101/F2101,0)</f>
        <v>0.519722212719373</v>
      </c>
      <c r="W2101" s="63" t="n">
        <f aca="false">IFERROR(R2101/F2101,0)</f>
        <v>0.355820875098354</v>
      </c>
      <c r="X2101" s="63" t="n">
        <f aca="false">IFERROR(T2101/F2101,0)</f>
        <v>0.359755054565359</v>
      </c>
      <c r="Y2101" s="63" t="n">
        <f aca="false">IFERROR(G2101/F2101,0)</f>
        <v>0.00112893845574903</v>
      </c>
      <c r="Z2101" s="59" t="n">
        <f aca="false">IF(E2101&gt;0,F2101*1000000000/E2101,"")</f>
        <v>4202.79501756214</v>
      </c>
      <c r="AA2101" s="63" t="n">
        <f aca="false">IFERROR((R2101+S2101+J2101)/F2101,0)</f>
        <v>1</v>
      </c>
      <c r="AB2101" s="0" t="str">
        <f aca="false">A2101&amp;"|"&amp;D2101</f>
        <v>United Kingdom|2025</v>
      </c>
    </row>
    <row r="2102" customFormat="false" ht="15" hidden="false" customHeight="false" outlineLevel="0" collapsed="false">
      <c r="A2102" s="0" t="s">
        <v>382</v>
      </c>
      <c r="B2102" s="0" t="s">
        <v>621</v>
      </c>
      <c r="C2102" s="0" t="s">
        <v>127</v>
      </c>
      <c r="D2102" s="0" t="n">
        <v>2015</v>
      </c>
      <c r="E2102" s="59" t="n">
        <v>326126496</v>
      </c>
      <c r="F2102" s="60" t="n">
        <v>4083.99</v>
      </c>
      <c r="G2102" s="61" t="n">
        <v>1352.4</v>
      </c>
      <c r="H2102" s="61" t="n">
        <v>1333.48</v>
      </c>
      <c r="I2102" s="61" t="n">
        <v>44.44</v>
      </c>
      <c r="J2102" s="61" t="n">
        <v>797.18</v>
      </c>
      <c r="K2102" s="61" t="n">
        <v>243.99</v>
      </c>
      <c r="L2102" s="61" t="n">
        <v>39.03</v>
      </c>
      <c r="M2102" s="61" t="n">
        <v>190.72</v>
      </c>
      <c r="N2102" s="61" t="n">
        <v>63.63</v>
      </c>
      <c r="O2102" s="61" t="n">
        <v>19.12</v>
      </c>
      <c r="P2102" s="62" t="n">
        <v>504.9</v>
      </c>
      <c r="Q2102" s="0" t="n">
        <v>0</v>
      </c>
      <c r="R2102" s="60" t="n">
        <f aca="false">G2102+H2102+I2102</f>
        <v>2730.32</v>
      </c>
      <c r="S2102" s="60" t="n">
        <f aca="false">K2102+L2102+M2102+N2102+O2102</f>
        <v>556.49</v>
      </c>
      <c r="T2102" s="60" t="n">
        <f aca="false">L2102+M2102</f>
        <v>229.75</v>
      </c>
      <c r="U2102" s="60" t="n">
        <f aca="false">S2102+J2102</f>
        <v>1353.67</v>
      </c>
      <c r="V2102" s="63" t="n">
        <f aca="false">IFERROR(S2102/F2102,0)</f>
        <v>0.136261352256005</v>
      </c>
      <c r="W2102" s="63" t="n">
        <f aca="false">IFERROR(R2102/F2102,0)</f>
        <v>0.66854228340422</v>
      </c>
      <c r="X2102" s="63" t="n">
        <f aca="false">IFERROR(T2102/F2102,0)</f>
        <v>0.0562562591975005</v>
      </c>
      <c r="Y2102" s="63" t="n">
        <f aca="false">IFERROR(G2102/F2102,0)</f>
        <v>0.331146746196734</v>
      </c>
      <c r="Z2102" s="59" t="n">
        <f aca="false">IF(E2102&gt;0,F2102*1000000000/E2102,"")</f>
        <v>12522.7175653952</v>
      </c>
      <c r="AA2102" s="63" t="n">
        <f aca="false">IFERROR((R2102+S2102+J2102)/F2102,0)</f>
        <v>1</v>
      </c>
      <c r="AB2102" s="0" t="str">
        <f aca="false">A2102&amp;"|"&amp;D2102</f>
        <v>United States|2015</v>
      </c>
    </row>
    <row r="2103" customFormat="false" ht="15" hidden="false" customHeight="false" outlineLevel="0" collapsed="false">
      <c r="A2103" s="0" t="s">
        <v>382</v>
      </c>
      <c r="B2103" s="0" t="s">
        <v>621</v>
      </c>
      <c r="C2103" s="0" t="s">
        <v>127</v>
      </c>
      <c r="D2103" s="0" t="n">
        <v>2016</v>
      </c>
      <c r="E2103" s="59" t="n">
        <v>329179423</v>
      </c>
      <c r="F2103" s="60" t="n">
        <v>4087.56</v>
      </c>
      <c r="G2103" s="61" t="n">
        <v>1239.15</v>
      </c>
      <c r="H2103" s="61" t="n">
        <v>1378.31</v>
      </c>
      <c r="I2103" s="61" t="n">
        <v>39.5</v>
      </c>
      <c r="J2103" s="61" t="n">
        <v>805.69</v>
      </c>
      <c r="K2103" s="61" t="n">
        <v>261.13</v>
      </c>
      <c r="L2103" s="61" t="n">
        <v>54.87</v>
      </c>
      <c r="M2103" s="61" t="n">
        <v>226.99</v>
      </c>
      <c r="N2103" s="61" t="n">
        <v>62.76</v>
      </c>
      <c r="O2103" s="61" t="n">
        <v>19.16</v>
      </c>
      <c r="P2103" s="62" t="n">
        <v>483.4</v>
      </c>
      <c r="Q2103" s="0" t="n">
        <v>0</v>
      </c>
      <c r="R2103" s="60" t="n">
        <f aca="false">G2103+H2103+I2103</f>
        <v>2656.96</v>
      </c>
      <c r="S2103" s="60" t="n">
        <f aca="false">K2103+L2103+M2103+N2103+O2103</f>
        <v>624.91</v>
      </c>
      <c r="T2103" s="60" t="n">
        <f aca="false">L2103+M2103</f>
        <v>281.86</v>
      </c>
      <c r="U2103" s="60" t="n">
        <f aca="false">S2103+J2103</f>
        <v>1430.6</v>
      </c>
      <c r="V2103" s="63" t="n">
        <f aca="false">IFERROR(S2103/F2103,0)</f>
        <v>0.152880936304299</v>
      </c>
      <c r="W2103" s="63" t="n">
        <f aca="false">IFERROR(R2103/F2103,0)</f>
        <v>0.650011253657439</v>
      </c>
      <c r="X2103" s="63" t="n">
        <f aca="false">IFERROR(T2103/F2103,0)</f>
        <v>0.0689555627318009</v>
      </c>
      <c r="Y2103" s="63" t="n">
        <f aca="false">IFERROR(G2103/F2103,0)</f>
        <v>0.303151513372281</v>
      </c>
      <c r="Z2103" s="59" t="n">
        <f aca="false">IF(E2103&gt;0,F2103*1000000000/E2103,"")</f>
        <v>12417.4225799041</v>
      </c>
      <c r="AA2103" s="63" t="n">
        <f aca="false">IFERROR((R2103+S2103+J2103)/F2103,0)</f>
        <v>1</v>
      </c>
      <c r="AB2103" s="0" t="str">
        <f aca="false">A2103&amp;"|"&amp;D2103</f>
        <v>United States|2016</v>
      </c>
    </row>
    <row r="2104" customFormat="false" ht="15" hidden="false" customHeight="false" outlineLevel="0" collapsed="false">
      <c r="A2104" s="0" t="s">
        <v>382</v>
      </c>
      <c r="B2104" s="0" t="s">
        <v>621</v>
      </c>
      <c r="C2104" s="0" t="s">
        <v>127</v>
      </c>
      <c r="D2104" s="0" t="n">
        <v>2017</v>
      </c>
      <c r="E2104" s="59" t="n">
        <v>332204657</v>
      </c>
      <c r="F2104" s="60" t="n">
        <v>4052.31</v>
      </c>
      <c r="G2104" s="61" t="n">
        <v>1205.84</v>
      </c>
      <c r="H2104" s="61" t="n">
        <v>1296.44</v>
      </c>
      <c r="I2104" s="61" t="n">
        <v>37.89</v>
      </c>
      <c r="J2104" s="61" t="n">
        <v>804.95</v>
      </c>
      <c r="K2104" s="61" t="n">
        <v>293.84</v>
      </c>
      <c r="L2104" s="61" t="n">
        <v>77.28</v>
      </c>
      <c r="M2104" s="61" t="n">
        <v>254.3</v>
      </c>
      <c r="N2104" s="61" t="n">
        <v>62.73</v>
      </c>
      <c r="O2104" s="61" t="n">
        <v>19.04</v>
      </c>
      <c r="P2104" s="62" t="n">
        <v>469</v>
      </c>
      <c r="Q2104" s="0" t="n">
        <v>0</v>
      </c>
      <c r="R2104" s="60" t="n">
        <f aca="false">G2104+H2104+I2104</f>
        <v>2540.17</v>
      </c>
      <c r="S2104" s="60" t="n">
        <f aca="false">K2104+L2104+M2104+N2104+O2104</f>
        <v>707.19</v>
      </c>
      <c r="T2104" s="60" t="n">
        <f aca="false">L2104+M2104</f>
        <v>331.58</v>
      </c>
      <c r="U2104" s="60" t="n">
        <f aca="false">S2104+J2104</f>
        <v>1512.14</v>
      </c>
      <c r="V2104" s="63" t="n">
        <f aca="false">IFERROR(S2104/F2104,0)</f>
        <v>0.174515276471938</v>
      </c>
      <c r="W2104" s="63" t="n">
        <f aca="false">IFERROR(R2104/F2104,0)</f>
        <v>0.626844935357858</v>
      </c>
      <c r="X2104" s="63" t="n">
        <f aca="false">IFERROR(T2104/F2104,0)</f>
        <v>0.0818249344201209</v>
      </c>
      <c r="Y2104" s="63" t="n">
        <f aca="false">IFERROR(G2104/F2104,0)</f>
        <v>0.297568547322391</v>
      </c>
      <c r="Z2104" s="59" t="n">
        <f aca="false">IF(E2104&gt;0,F2104*1000000000/E2104,"")</f>
        <v>12198.2335726257</v>
      </c>
      <c r="AA2104" s="63" t="n">
        <f aca="false">IFERROR((R2104+S2104+J2104)/F2104,0)</f>
        <v>1</v>
      </c>
      <c r="AB2104" s="0" t="str">
        <f aca="false">A2104&amp;"|"&amp;D2104</f>
        <v>United States|2017</v>
      </c>
    </row>
    <row r="2105" customFormat="false" ht="15" hidden="false" customHeight="false" outlineLevel="0" collapsed="false">
      <c r="A2105" s="0" t="s">
        <v>382</v>
      </c>
      <c r="B2105" s="0" t="s">
        <v>621</v>
      </c>
      <c r="C2105" s="0" t="s">
        <v>127</v>
      </c>
      <c r="D2105" s="0" t="n">
        <v>2018</v>
      </c>
      <c r="E2105" s="59" t="n">
        <v>335056492</v>
      </c>
      <c r="F2105" s="60" t="n">
        <v>4201.55</v>
      </c>
      <c r="G2105" s="61" t="n">
        <v>1149.49</v>
      </c>
      <c r="H2105" s="61" t="n">
        <v>1469.13</v>
      </c>
      <c r="I2105" s="61" t="n">
        <v>42.68</v>
      </c>
      <c r="J2105" s="61" t="n">
        <v>807.08</v>
      </c>
      <c r="K2105" s="61" t="n">
        <v>286.62</v>
      </c>
      <c r="L2105" s="61" t="n">
        <v>93.36</v>
      </c>
      <c r="M2105" s="61" t="n">
        <v>272.67</v>
      </c>
      <c r="N2105" s="61" t="n">
        <v>61.83</v>
      </c>
      <c r="O2105" s="61" t="n">
        <v>18.69</v>
      </c>
      <c r="P2105" s="62" t="n">
        <v>462.6</v>
      </c>
      <c r="Q2105" s="0" t="n">
        <v>0</v>
      </c>
      <c r="R2105" s="60" t="n">
        <f aca="false">G2105+H2105+I2105</f>
        <v>2661.3</v>
      </c>
      <c r="S2105" s="60" t="n">
        <f aca="false">K2105+L2105+M2105+N2105+O2105</f>
        <v>733.17</v>
      </c>
      <c r="T2105" s="60" t="n">
        <f aca="false">L2105+M2105</f>
        <v>366.03</v>
      </c>
      <c r="U2105" s="60" t="n">
        <f aca="false">S2105+J2105</f>
        <v>1540.25</v>
      </c>
      <c r="V2105" s="63" t="n">
        <f aca="false">IFERROR(S2105/F2105,0)</f>
        <v>0.174499886946484</v>
      </c>
      <c r="W2105" s="63" t="n">
        <f aca="false">IFERROR(R2105/F2105,0)</f>
        <v>0.63340909902298</v>
      </c>
      <c r="X2105" s="63" t="n">
        <f aca="false">IFERROR(T2105/F2105,0)</f>
        <v>0.0871178493651153</v>
      </c>
      <c r="Y2105" s="63" t="n">
        <f aca="false">IFERROR(G2105/F2105,0)</f>
        <v>0.273587128559698</v>
      </c>
      <c r="Z2105" s="59" t="n">
        <f aca="false">IF(E2105&gt;0,F2105*1000000000/E2105,"")</f>
        <v>12539.8256721437</v>
      </c>
      <c r="AA2105" s="63" t="n">
        <f aca="false">IFERROR((R2105+S2105+J2105)/F2105,0)</f>
        <v>1</v>
      </c>
      <c r="AB2105" s="0" t="str">
        <f aca="false">A2105&amp;"|"&amp;D2105</f>
        <v>United States|2018</v>
      </c>
    </row>
    <row r="2106" customFormat="false" ht="15" hidden="false" customHeight="false" outlineLevel="0" collapsed="false">
      <c r="A2106" s="0" t="s">
        <v>382</v>
      </c>
      <c r="B2106" s="0" t="s">
        <v>621</v>
      </c>
      <c r="C2106" s="0" t="s">
        <v>127</v>
      </c>
      <c r="D2106" s="0" t="n">
        <v>2019</v>
      </c>
      <c r="E2106" s="59" t="n">
        <v>337790069</v>
      </c>
      <c r="F2106" s="60" t="n">
        <v>4158.38</v>
      </c>
      <c r="G2106" s="61" t="n">
        <v>964.96</v>
      </c>
      <c r="H2106" s="61" t="n">
        <v>1585.81</v>
      </c>
      <c r="I2106" s="61" t="n">
        <v>37.44</v>
      </c>
      <c r="J2106" s="61" t="n">
        <v>809.41</v>
      </c>
      <c r="K2106" s="61" t="n">
        <v>282.61</v>
      </c>
      <c r="L2106" s="61" t="n">
        <v>106.89</v>
      </c>
      <c r="M2106" s="61" t="n">
        <v>295.88</v>
      </c>
      <c r="N2106" s="61" t="n">
        <v>57.51</v>
      </c>
      <c r="O2106" s="61" t="n">
        <v>17.87</v>
      </c>
      <c r="P2106" s="62" t="n">
        <v>439.4</v>
      </c>
      <c r="Q2106" s="0" t="n">
        <v>0</v>
      </c>
      <c r="R2106" s="60" t="n">
        <f aca="false">G2106+H2106+I2106</f>
        <v>2588.21</v>
      </c>
      <c r="S2106" s="60" t="n">
        <f aca="false">K2106+L2106+M2106+N2106+O2106</f>
        <v>760.76</v>
      </c>
      <c r="T2106" s="60" t="n">
        <f aca="false">L2106+M2106</f>
        <v>402.77</v>
      </c>
      <c r="U2106" s="60" t="n">
        <f aca="false">S2106+J2106</f>
        <v>1570.17</v>
      </c>
      <c r="V2106" s="63" t="n">
        <f aca="false">IFERROR(S2106/F2106,0)</f>
        <v>0.182946243489051</v>
      </c>
      <c r="W2106" s="63" t="n">
        <f aca="false">IFERROR(R2106/F2106,0)</f>
        <v>0.622408245518688</v>
      </c>
      <c r="X2106" s="63" t="n">
        <f aca="false">IFERROR(T2106/F2106,0)</f>
        <v>0.0968574300568972</v>
      </c>
      <c r="Y2106" s="63" t="n">
        <f aca="false">IFERROR(G2106/F2106,0)</f>
        <v>0.232051904828323</v>
      </c>
      <c r="Z2106" s="59" t="n">
        <f aca="false">IF(E2106&gt;0,F2106*1000000000/E2106,"")</f>
        <v>12310.5454589312</v>
      </c>
      <c r="AA2106" s="63" t="n">
        <f aca="false">IFERROR((R2106+S2106+J2106)/F2106,0)</f>
        <v>1</v>
      </c>
      <c r="AB2106" s="0" t="str">
        <f aca="false">A2106&amp;"|"&amp;D2106</f>
        <v>United States|2019</v>
      </c>
    </row>
    <row r="2107" customFormat="false" ht="15" hidden="false" customHeight="false" outlineLevel="0" collapsed="false">
      <c r="A2107" s="0" t="s">
        <v>382</v>
      </c>
      <c r="B2107" s="0" t="s">
        <v>621</v>
      </c>
      <c r="C2107" s="0" t="s">
        <v>127</v>
      </c>
      <c r="D2107" s="0" t="n">
        <v>2020</v>
      </c>
      <c r="E2107" s="59" t="n">
        <v>339436156</v>
      </c>
      <c r="F2107" s="60" t="n">
        <v>4043.18</v>
      </c>
      <c r="G2107" s="61" t="n">
        <v>773.39</v>
      </c>
      <c r="H2107" s="61" t="n">
        <v>1624.17</v>
      </c>
      <c r="I2107" s="61" t="n">
        <v>34.34</v>
      </c>
      <c r="J2107" s="61" t="n">
        <v>789.88</v>
      </c>
      <c r="K2107" s="61" t="n">
        <v>279.95</v>
      </c>
      <c r="L2107" s="61" t="n">
        <v>130.72</v>
      </c>
      <c r="M2107" s="61" t="n">
        <v>337.94</v>
      </c>
      <c r="N2107" s="61" t="n">
        <v>54.7</v>
      </c>
      <c r="O2107" s="61" t="n">
        <v>18.09</v>
      </c>
      <c r="P2107" s="62" t="n">
        <v>411.7</v>
      </c>
      <c r="Q2107" s="0" t="n">
        <v>0</v>
      </c>
      <c r="R2107" s="60" t="n">
        <f aca="false">G2107+H2107+I2107</f>
        <v>2431.9</v>
      </c>
      <c r="S2107" s="60" t="n">
        <f aca="false">K2107+L2107+M2107+N2107+O2107</f>
        <v>821.4</v>
      </c>
      <c r="T2107" s="60" t="n">
        <f aca="false">L2107+M2107</f>
        <v>468.66</v>
      </c>
      <c r="U2107" s="60" t="n">
        <f aca="false">S2107+J2107</f>
        <v>1611.28</v>
      </c>
      <c r="V2107" s="63" t="n">
        <f aca="false">IFERROR(S2107/F2107,0)</f>
        <v>0.203156921037401</v>
      </c>
      <c r="W2107" s="63" t="n">
        <f aca="false">IFERROR(R2107/F2107,0)</f>
        <v>0.60148200179067</v>
      </c>
      <c r="X2107" s="63" t="n">
        <f aca="false">IFERROR(T2107/F2107,0)</f>
        <v>0.115913711484525</v>
      </c>
      <c r="Y2107" s="63" t="n">
        <f aca="false">IFERROR(G2107/F2107,0)</f>
        <v>0.191282604286725</v>
      </c>
      <c r="Z2107" s="59" t="n">
        <f aca="false">IF(E2107&gt;0,F2107*1000000000/E2107,"")</f>
        <v>11911.459426261</v>
      </c>
      <c r="AA2107" s="63" t="n">
        <f aca="false">IFERROR((R2107+S2107+J2107)/F2107,0)</f>
        <v>1</v>
      </c>
      <c r="AB2107" s="0" t="str">
        <f aca="false">A2107&amp;"|"&amp;D2107</f>
        <v>United States|2020</v>
      </c>
    </row>
    <row r="2108" customFormat="false" ht="15" hidden="false" customHeight="false" outlineLevel="0" collapsed="false">
      <c r="A2108" s="0" t="s">
        <v>382</v>
      </c>
      <c r="B2108" s="0" t="s">
        <v>621</v>
      </c>
      <c r="C2108" s="0" t="s">
        <v>127</v>
      </c>
      <c r="D2108" s="0" t="n">
        <v>2021</v>
      </c>
      <c r="E2108" s="59" t="n">
        <v>340161438</v>
      </c>
      <c r="F2108" s="60" t="n">
        <v>4153.62</v>
      </c>
      <c r="G2108" s="61" t="n">
        <v>898</v>
      </c>
      <c r="H2108" s="61" t="n">
        <v>1579.19</v>
      </c>
      <c r="I2108" s="61" t="n">
        <v>35.2</v>
      </c>
      <c r="J2108" s="61" t="n">
        <v>779.65</v>
      </c>
      <c r="K2108" s="61" t="n">
        <v>246.47</v>
      </c>
      <c r="L2108" s="61" t="n">
        <v>164.42</v>
      </c>
      <c r="M2108" s="61" t="n">
        <v>378.2</v>
      </c>
      <c r="N2108" s="61" t="n">
        <v>54.25</v>
      </c>
      <c r="O2108" s="61" t="n">
        <v>18.24</v>
      </c>
      <c r="P2108" s="62" t="n">
        <v>423.8</v>
      </c>
      <c r="Q2108" s="0" t="n">
        <v>0</v>
      </c>
      <c r="R2108" s="60" t="n">
        <f aca="false">G2108+H2108+I2108</f>
        <v>2512.39</v>
      </c>
      <c r="S2108" s="60" t="n">
        <f aca="false">K2108+L2108+M2108+N2108+O2108</f>
        <v>861.58</v>
      </c>
      <c r="T2108" s="60" t="n">
        <f aca="false">L2108+M2108</f>
        <v>542.62</v>
      </c>
      <c r="U2108" s="60" t="n">
        <f aca="false">S2108+J2108</f>
        <v>1641.23</v>
      </c>
      <c r="V2108" s="63" t="n">
        <f aca="false">IFERROR(S2108/F2108,0)</f>
        <v>0.207428700747781</v>
      </c>
      <c r="W2108" s="63" t="n">
        <f aca="false">IFERROR(R2108/F2108,0)</f>
        <v>0.604867561307968</v>
      </c>
      <c r="X2108" s="63" t="n">
        <f aca="false">IFERROR(T2108/F2108,0)</f>
        <v>0.130637853246084</v>
      </c>
      <c r="Y2108" s="63" t="n">
        <f aca="false">IFERROR(G2108/F2108,0)</f>
        <v>0.21619695590834</v>
      </c>
      <c r="Z2108" s="59" t="n">
        <f aca="false">IF(E2108&gt;0,F2108*1000000000/E2108,"")</f>
        <v>12210.7315409456</v>
      </c>
      <c r="AA2108" s="63" t="n">
        <f aca="false">IFERROR((R2108+S2108+J2108)/F2108,0)</f>
        <v>1</v>
      </c>
      <c r="AB2108" s="0" t="str">
        <f aca="false">A2108&amp;"|"&amp;D2108</f>
        <v>United States|2021</v>
      </c>
    </row>
    <row r="2109" customFormat="false" ht="15" hidden="false" customHeight="false" outlineLevel="0" collapsed="false">
      <c r="A2109" s="0" t="s">
        <v>382</v>
      </c>
      <c r="B2109" s="0" t="s">
        <v>621</v>
      </c>
      <c r="C2109" s="0" t="s">
        <v>127</v>
      </c>
      <c r="D2109" s="0" t="n">
        <v>2022</v>
      </c>
      <c r="E2109" s="59" t="n">
        <v>341534041</v>
      </c>
      <c r="F2109" s="60" t="n">
        <v>4286.89</v>
      </c>
      <c r="G2109" s="61" t="n">
        <v>831.51</v>
      </c>
      <c r="H2109" s="61" t="n">
        <v>1687.06</v>
      </c>
      <c r="I2109" s="61" t="n">
        <v>38.64</v>
      </c>
      <c r="J2109" s="61" t="n">
        <v>771.54</v>
      </c>
      <c r="K2109" s="61" t="n">
        <v>248.76</v>
      </c>
      <c r="L2109" s="61" t="n">
        <v>205.07</v>
      </c>
      <c r="M2109" s="61" t="n">
        <v>434.3</v>
      </c>
      <c r="N2109" s="61" t="n">
        <v>51.85</v>
      </c>
      <c r="O2109" s="61" t="n">
        <v>18.16</v>
      </c>
      <c r="P2109" s="62" t="n">
        <v>410.4</v>
      </c>
      <c r="Q2109" s="0" t="n">
        <v>0</v>
      </c>
      <c r="R2109" s="60" t="n">
        <f aca="false">G2109+H2109+I2109</f>
        <v>2557.21</v>
      </c>
      <c r="S2109" s="60" t="n">
        <f aca="false">K2109+L2109+M2109+N2109+O2109</f>
        <v>958.14</v>
      </c>
      <c r="T2109" s="60" t="n">
        <f aca="false">L2109+M2109</f>
        <v>639.37</v>
      </c>
      <c r="U2109" s="60" t="n">
        <f aca="false">S2109+J2109</f>
        <v>1729.68</v>
      </c>
      <c r="V2109" s="63" t="n">
        <f aca="false">IFERROR(S2109/F2109,0)</f>
        <v>0.223504685214689</v>
      </c>
      <c r="W2109" s="63" t="n">
        <f aca="false">IFERROR(R2109/F2109,0)</f>
        <v>0.596518688373156</v>
      </c>
      <c r="X2109" s="63" t="n">
        <f aca="false">IFERROR(T2109/F2109,0)</f>
        <v>0.149145417773724</v>
      </c>
      <c r="Y2109" s="63" t="n">
        <f aca="false">IFERROR(G2109/F2109,0)</f>
        <v>0.193965788718628</v>
      </c>
      <c r="Z2109" s="59" t="n">
        <f aca="false">IF(E2109&gt;0,F2109*1000000000/E2109,"")</f>
        <v>12551.8674140011</v>
      </c>
      <c r="AA2109" s="63" t="n">
        <f aca="false">IFERROR((R2109+S2109+J2109)/F2109,0)</f>
        <v>1</v>
      </c>
      <c r="AB2109" s="0" t="str">
        <f aca="false">A2109&amp;"|"&amp;D2109</f>
        <v>United States|2022</v>
      </c>
    </row>
    <row r="2110" customFormat="false" ht="15" hidden="false" customHeight="false" outlineLevel="0" collapsed="false">
      <c r="A2110" s="0" t="s">
        <v>382</v>
      </c>
      <c r="B2110" s="0" t="s">
        <v>621</v>
      </c>
      <c r="C2110" s="0" t="s">
        <v>127</v>
      </c>
      <c r="D2110" s="0" t="n">
        <v>2023</v>
      </c>
      <c r="E2110" s="59" t="n">
        <v>343477330</v>
      </c>
      <c r="F2110" s="60" t="n">
        <v>4253.91</v>
      </c>
      <c r="G2110" s="61" t="n">
        <v>675.11</v>
      </c>
      <c r="H2110" s="61" t="n">
        <v>1806.06</v>
      </c>
      <c r="I2110" s="61" t="n">
        <v>33.13</v>
      </c>
      <c r="J2110" s="61" t="n">
        <v>774.87</v>
      </c>
      <c r="K2110" s="61" t="n">
        <v>239.01</v>
      </c>
      <c r="L2110" s="61" t="n">
        <v>238.94</v>
      </c>
      <c r="M2110" s="61" t="n">
        <v>421.14</v>
      </c>
      <c r="N2110" s="61" t="n">
        <v>47.2</v>
      </c>
      <c r="O2110" s="61" t="n">
        <v>18.45</v>
      </c>
      <c r="P2110" s="62" t="n">
        <v>392.9</v>
      </c>
      <c r="Q2110" s="0" t="n">
        <v>0</v>
      </c>
      <c r="R2110" s="60" t="n">
        <f aca="false">G2110+H2110+I2110</f>
        <v>2514.3</v>
      </c>
      <c r="S2110" s="60" t="n">
        <f aca="false">K2110+L2110+M2110+N2110+O2110</f>
        <v>964.74</v>
      </c>
      <c r="T2110" s="60" t="n">
        <f aca="false">L2110+M2110</f>
        <v>660.08</v>
      </c>
      <c r="U2110" s="60" t="n">
        <f aca="false">S2110+J2110</f>
        <v>1739.61</v>
      </c>
      <c r="V2110" s="63" t="n">
        <f aca="false">IFERROR(S2110/F2110,0)</f>
        <v>0.22678900117774</v>
      </c>
      <c r="W2110" s="63" t="n">
        <f aca="false">IFERROR(R2110/F2110,0)</f>
        <v>0.591056228269992</v>
      </c>
      <c r="X2110" s="63" t="n">
        <f aca="false">IFERROR(T2110/F2110,0)</f>
        <v>0.155170184606632</v>
      </c>
      <c r="Y2110" s="63" t="n">
        <f aca="false">IFERROR(G2110/F2110,0)</f>
        <v>0.158703404632444</v>
      </c>
      <c r="Z2110" s="59" t="n">
        <f aca="false">IF(E2110&gt;0,F2110*1000000000/E2110,"")</f>
        <v>12384.8348302929</v>
      </c>
      <c r="AA2110" s="63" t="n">
        <f aca="false">IFERROR((R2110+S2110+J2110)/F2110,0)</f>
        <v>1</v>
      </c>
      <c r="AB2110" s="0" t="str">
        <f aca="false">A2110&amp;"|"&amp;D2110</f>
        <v>United States|2023</v>
      </c>
    </row>
    <row r="2111" customFormat="false" ht="15" hidden="false" customHeight="false" outlineLevel="0" collapsed="false">
      <c r="A2111" s="0" t="s">
        <v>382</v>
      </c>
      <c r="B2111" s="0" t="s">
        <v>621</v>
      </c>
      <c r="C2111" s="0" t="s">
        <v>127</v>
      </c>
      <c r="D2111" s="0" t="n">
        <v>2024</v>
      </c>
      <c r="E2111" s="59" t="n">
        <v>345426566</v>
      </c>
      <c r="F2111" s="60" t="n">
        <v>4391.02</v>
      </c>
      <c r="G2111" s="61" t="n">
        <v>652.16</v>
      </c>
      <c r="H2111" s="61" t="n">
        <v>1869.9</v>
      </c>
      <c r="I2111" s="61" t="n">
        <v>30.47</v>
      </c>
      <c r="J2111" s="61" t="n">
        <v>781.86</v>
      </c>
      <c r="K2111" s="61" t="n">
        <v>237.04</v>
      </c>
      <c r="L2111" s="61" t="n">
        <v>303.75</v>
      </c>
      <c r="M2111" s="61" t="n">
        <v>451.9</v>
      </c>
      <c r="N2111" s="61" t="n">
        <v>46.42</v>
      </c>
      <c r="O2111" s="61" t="n">
        <v>17.52</v>
      </c>
      <c r="P2111" s="62" t="n">
        <v>383.8</v>
      </c>
      <c r="Q2111" s="0" t="n">
        <v>0</v>
      </c>
      <c r="R2111" s="60" t="n">
        <f aca="false">G2111+H2111+I2111</f>
        <v>2552.53</v>
      </c>
      <c r="S2111" s="60" t="n">
        <f aca="false">K2111+L2111+M2111+N2111+O2111</f>
        <v>1056.63</v>
      </c>
      <c r="T2111" s="60" t="n">
        <f aca="false">L2111+M2111</f>
        <v>755.65</v>
      </c>
      <c r="U2111" s="60" t="n">
        <f aca="false">S2111+J2111</f>
        <v>1838.49</v>
      </c>
      <c r="V2111" s="63" t="n">
        <f aca="false">IFERROR(S2111/F2111,0)</f>
        <v>0.240634294537488</v>
      </c>
      <c r="W2111" s="63" t="n">
        <f aca="false">IFERROR(R2111/F2111,0)</f>
        <v>0.581306848978142</v>
      </c>
      <c r="X2111" s="63" t="n">
        <f aca="false">IFERROR(T2111/F2111,0)</f>
        <v>0.172089856115436</v>
      </c>
      <c r="Y2111" s="63" t="n">
        <f aca="false">IFERROR(G2111/F2111,0)</f>
        <v>0.148521300290138</v>
      </c>
      <c r="Z2111" s="59" t="n">
        <f aca="false">IF(E2111&gt;0,F2111*1000000000/E2111,"")</f>
        <v>12711.8769434775</v>
      </c>
      <c r="AA2111" s="63" t="n">
        <f aca="false">IFERROR((R2111+S2111+J2111)/F2111,0)</f>
        <v>1</v>
      </c>
      <c r="AB2111" s="0" t="str">
        <f aca="false">A2111&amp;"|"&amp;D2111</f>
        <v>United States|2024</v>
      </c>
    </row>
    <row r="2112" customFormat="false" ht="15" hidden="false" customHeight="false" outlineLevel="0" collapsed="false">
      <c r="A2112" s="0" t="s">
        <v>382</v>
      </c>
      <c r="B2112" s="0" t="s">
        <v>621</v>
      </c>
      <c r="C2112" s="0" t="s">
        <v>127</v>
      </c>
      <c r="D2112" s="0" t="n">
        <v>2025</v>
      </c>
      <c r="E2112" s="59" t="n">
        <v>347275809</v>
      </c>
      <c r="F2112" s="60" t="n">
        <v>4519.79</v>
      </c>
      <c r="G2112" s="61" t="n">
        <v>737.15</v>
      </c>
      <c r="H2112" s="61" t="n">
        <v>1807.34</v>
      </c>
      <c r="I2112" s="61" t="n">
        <v>31.72</v>
      </c>
      <c r="J2112" s="61" t="n">
        <v>784.78</v>
      </c>
      <c r="K2112" s="61" t="n">
        <v>241.7</v>
      </c>
      <c r="L2112" s="61" t="n">
        <v>388.82</v>
      </c>
      <c r="M2112" s="61" t="n">
        <v>464.39</v>
      </c>
      <c r="N2112" s="61" t="n">
        <v>46.19</v>
      </c>
      <c r="O2112" s="61" t="n">
        <v>17.7</v>
      </c>
      <c r="P2112" s="62" t="n">
        <v>384.4</v>
      </c>
      <c r="Q2112" s="0" t="n">
        <v>0</v>
      </c>
      <c r="R2112" s="60" t="n">
        <f aca="false">G2112+H2112+I2112</f>
        <v>2576.21</v>
      </c>
      <c r="S2112" s="60" t="n">
        <f aca="false">K2112+L2112+M2112+N2112+O2112</f>
        <v>1158.8</v>
      </c>
      <c r="T2112" s="60" t="n">
        <f aca="false">L2112+M2112</f>
        <v>853.21</v>
      </c>
      <c r="U2112" s="60" t="n">
        <f aca="false">S2112+J2112</f>
        <v>1943.58</v>
      </c>
      <c r="V2112" s="63" t="n">
        <f aca="false">IFERROR(S2112/F2112,0)</f>
        <v>0.25638359304304</v>
      </c>
      <c r="W2112" s="63" t="n">
        <f aca="false">IFERROR(R2112/F2112,0)</f>
        <v>0.569984446180022</v>
      </c>
      <c r="X2112" s="63" t="n">
        <f aca="false">IFERROR(T2112/F2112,0)</f>
        <v>0.188772044718892</v>
      </c>
      <c r="Y2112" s="63" t="n">
        <f aca="false">IFERROR(G2112/F2112,0)</f>
        <v>0.163093860555468</v>
      </c>
      <c r="Z2112" s="59" t="n">
        <f aca="false">IF(E2112&gt;0,F2112*1000000000/E2112,"")</f>
        <v>13014.9865981595</v>
      </c>
      <c r="AA2112" s="63" t="n">
        <f aca="false">IFERROR((R2112+S2112+J2112)/F2112,0)</f>
        <v>1</v>
      </c>
      <c r="AB2112" s="0" t="str">
        <f aca="false">A2112&amp;"|"&amp;D2112</f>
        <v>United States|2025</v>
      </c>
    </row>
    <row r="2113" customFormat="false" ht="15" hidden="false" customHeight="false" outlineLevel="0" collapsed="false">
      <c r="A2113" s="0" t="s">
        <v>383</v>
      </c>
      <c r="B2113" s="0" t="s">
        <v>622</v>
      </c>
      <c r="C2113" s="0" t="s">
        <v>127</v>
      </c>
      <c r="D2113" s="0" t="n">
        <v>2015</v>
      </c>
      <c r="E2113" s="59" t="n">
        <v>100251</v>
      </c>
      <c r="F2113" s="60" t="n">
        <v>0.78</v>
      </c>
      <c r="G2113" s="61" t="n">
        <v>0</v>
      </c>
      <c r="H2113" s="61" t="n">
        <v>0</v>
      </c>
      <c r="I2113" s="61" t="n">
        <v>0.77</v>
      </c>
      <c r="J2113" s="61" t="n">
        <v>0</v>
      </c>
      <c r="K2113" s="61" t="n">
        <v>0</v>
      </c>
      <c r="L2113" s="61" t="n">
        <v>0.01</v>
      </c>
      <c r="M2113" s="61" t="n">
        <v>0</v>
      </c>
      <c r="N2113" s="61" t="n">
        <v>0</v>
      </c>
      <c r="O2113" s="61" t="n">
        <v>0</v>
      </c>
      <c r="P2113" s="62" t="n">
        <v>653.9</v>
      </c>
      <c r="Q2113" s="0" t="n">
        <v>0</v>
      </c>
      <c r="R2113" s="60" t="n">
        <f aca="false">G2113+H2113+I2113</f>
        <v>0.77</v>
      </c>
      <c r="S2113" s="60" t="n">
        <f aca="false">K2113+L2113+M2113+N2113+O2113</f>
        <v>0.01</v>
      </c>
      <c r="T2113" s="60" t="n">
        <f aca="false">L2113+M2113</f>
        <v>0.01</v>
      </c>
      <c r="U2113" s="60" t="n">
        <f aca="false">S2113+J2113</f>
        <v>0.01</v>
      </c>
      <c r="V2113" s="63" t="n">
        <f aca="false">IFERROR(S2113/F2113,0)</f>
        <v>0.0128205128205128</v>
      </c>
      <c r="W2113" s="63" t="n">
        <f aca="false">IFERROR(R2113/F2113,0)</f>
        <v>0.987179487179487</v>
      </c>
      <c r="X2113" s="63" t="n">
        <f aca="false">IFERROR(T2113/F2113,0)</f>
        <v>0.0128205128205128</v>
      </c>
      <c r="Y2113" s="63" t="n">
        <f aca="false">IFERROR(G2113/F2113,0)</f>
        <v>0</v>
      </c>
      <c r="Z2113" s="59" t="n">
        <f aca="false">IF(E2113&gt;0,F2113*1000000000/E2113,"")</f>
        <v>7780.47101774546</v>
      </c>
      <c r="AA2113" s="63" t="n">
        <f aca="false">IFERROR((R2113+S2113+J2113)/F2113,0)</f>
        <v>1</v>
      </c>
      <c r="AB2113" s="0" t="str">
        <f aca="false">A2113&amp;"|"&amp;D2113</f>
        <v>United States Virgin Islands|2015</v>
      </c>
    </row>
    <row r="2114" customFormat="false" ht="15" hidden="false" customHeight="false" outlineLevel="0" collapsed="false">
      <c r="A2114" s="0" t="s">
        <v>383</v>
      </c>
      <c r="B2114" s="0" t="s">
        <v>622</v>
      </c>
      <c r="C2114" s="0" t="s">
        <v>127</v>
      </c>
      <c r="D2114" s="0" t="n">
        <v>2016</v>
      </c>
      <c r="E2114" s="59" t="n">
        <v>97795</v>
      </c>
      <c r="F2114" s="60" t="n">
        <v>0.77</v>
      </c>
      <c r="G2114" s="61" t="n">
        <v>0</v>
      </c>
      <c r="H2114" s="61" t="n">
        <v>0</v>
      </c>
      <c r="I2114" s="61" t="n">
        <v>0.76</v>
      </c>
      <c r="J2114" s="61" t="n">
        <v>0</v>
      </c>
      <c r="K2114" s="61" t="n">
        <v>0</v>
      </c>
      <c r="L2114" s="61" t="n">
        <v>0.01</v>
      </c>
      <c r="M2114" s="61" t="n">
        <v>0</v>
      </c>
      <c r="N2114" s="61" t="n">
        <v>0</v>
      </c>
      <c r="O2114" s="61" t="n">
        <v>0</v>
      </c>
      <c r="P2114" s="62" t="n">
        <v>649.4</v>
      </c>
      <c r="Q2114" s="0" t="n">
        <v>0</v>
      </c>
      <c r="R2114" s="60" t="n">
        <f aca="false">G2114+H2114+I2114</f>
        <v>0.76</v>
      </c>
      <c r="S2114" s="60" t="n">
        <f aca="false">K2114+L2114+M2114+N2114+O2114</f>
        <v>0.01</v>
      </c>
      <c r="T2114" s="60" t="n">
        <f aca="false">L2114+M2114</f>
        <v>0.01</v>
      </c>
      <c r="U2114" s="60" t="n">
        <f aca="false">S2114+J2114</f>
        <v>0.01</v>
      </c>
      <c r="V2114" s="63" t="n">
        <f aca="false">IFERROR(S2114/F2114,0)</f>
        <v>0.012987012987013</v>
      </c>
      <c r="W2114" s="63" t="n">
        <f aca="false">IFERROR(R2114/F2114,0)</f>
        <v>0.987012987012987</v>
      </c>
      <c r="X2114" s="63" t="n">
        <f aca="false">IFERROR(T2114/F2114,0)</f>
        <v>0.012987012987013</v>
      </c>
      <c r="Y2114" s="63" t="n">
        <f aca="false">IFERROR(G2114/F2114,0)</f>
        <v>0</v>
      </c>
      <c r="Z2114" s="59" t="n">
        <f aca="false">IF(E2114&gt;0,F2114*1000000000/E2114,"")</f>
        <v>7873.61317040749</v>
      </c>
      <c r="AA2114" s="63" t="n">
        <f aca="false">IFERROR((R2114+S2114+J2114)/F2114,0)</f>
        <v>1</v>
      </c>
      <c r="AB2114" s="0" t="str">
        <f aca="false">A2114&amp;"|"&amp;D2114</f>
        <v>United States Virgin Islands|2016</v>
      </c>
    </row>
    <row r="2115" customFormat="false" ht="15" hidden="false" customHeight="false" outlineLevel="0" collapsed="false">
      <c r="A2115" s="0" t="s">
        <v>383</v>
      </c>
      <c r="B2115" s="0" t="s">
        <v>622</v>
      </c>
      <c r="C2115" s="0" t="s">
        <v>127</v>
      </c>
      <c r="D2115" s="0" t="n">
        <v>2017</v>
      </c>
      <c r="E2115" s="59" t="n">
        <v>95124</v>
      </c>
      <c r="F2115" s="60" t="n">
        <v>0.6</v>
      </c>
      <c r="G2115" s="61" t="n">
        <v>0</v>
      </c>
      <c r="H2115" s="61" t="n">
        <v>0</v>
      </c>
      <c r="I2115" s="61" t="n">
        <v>0.59</v>
      </c>
      <c r="J2115" s="61" t="n">
        <v>0</v>
      </c>
      <c r="K2115" s="61" t="n">
        <v>0</v>
      </c>
      <c r="L2115" s="61" t="n">
        <v>0.01</v>
      </c>
      <c r="M2115" s="61" t="n">
        <v>0</v>
      </c>
      <c r="N2115" s="61" t="n">
        <v>0</v>
      </c>
      <c r="O2115" s="61" t="n">
        <v>0</v>
      </c>
      <c r="P2115" s="62" t="n">
        <v>650</v>
      </c>
      <c r="Q2115" s="0" t="n">
        <v>0</v>
      </c>
      <c r="R2115" s="60" t="n">
        <f aca="false">G2115+H2115+I2115</f>
        <v>0.59</v>
      </c>
      <c r="S2115" s="60" t="n">
        <f aca="false">K2115+L2115+M2115+N2115+O2115</f>
        <v>0.01</v>
      </c>
      <c r="T2115" s="60" t="n">
        <f aca="false">L2115+M2115</f>
        <v>0.01</v>
      </c>
      <c r="U2115" s="60" t="n">
        <f aca="false">S2115+J2115</f>
        <v>0.01</v>
      </c>
      <c r="V2115" s="63" t="n">
        <f aca="false">IFERROR(S2115/F2115,0)</f>
        <v>0.0166666666666667</v>
      </c>
      <c r="W2115" s="63" t="n">
        <f aca="false">IFERROR(R2115/F2115,0)</f>
        <v>0.983333333333333</v>
      </c>
      <c r="X2115" s="63" t="n">
        <f aca="false">IFERROR(T2115/F2115,0)</f>
        <v>0.0166666666666667</v>
      </c>
      <c r="Y2115" s="63" t="n">
        <f aca="false">IFERROR(G2115/F2115,0)</f>
        <v>0</v>
      </c>
      <c r="Z2115" s="59" t="n">
        <f aca="false">IF(E2115&gt;0,F2115*1000000000/E2115,"")</f>
        <v>6307.55645263025</v>
      </c>
      <c r="AA2115" s="63" t="n">
        <f aca="false">IFERROR((R2115+S2115+J2115)/F2115,0)</f>
        <v>1</v>
      </c>
      <c r="AB2115" s="0" t="str">
        <f aca="false">A2115&amp;"|"&amp;D2115</f>
        <v>United States Virgin Islands|2017</v>
      </c>
    </row>
    <row r="2116" customFormat="false" ht="15" hidden="false" customHeight="false" outlineLevel="0" collapsed="false">
      <c r="A2116" s="0" t="s">
        <v>383</v>
      </c>
      <c r="B2116" s="0" t="s">
        <v>622</v>
      </c>
      <c r="C2116" s="0" t="s">
        <v>127</v>
      </c>
      <c r="D2116" s="0" t="n">
        <v>2018</v>
      </c>
      <c r="E2116" s="59" t="n">
        <v>92317</v>
      </c>
      <c r="F2116" s="60" t="n">
        <v>0.62</v>
      </c>
      <c r="G2116" s="61" t="n">
        <v>0</v>
      </c>
      <c r="H2116" s="61" t="n">
        <v>0</v>
      </c>
      <c r="I2116" s="61" t="n">
        <v>0.61</v>
      </c>
      <c r="J2116" s="61" t="n">
        <v>0</v>
      </c>
      <c r="K2116" s="61" t="n">
        <v>0</v>
      </c>
      <c r="L2116" s="61" t="n">
        <v>0.01</v>
      </c>
      <c r="M2116" s="61" t="n">
        <v>0</v>
      </c>
      <c r="N2116" s="61" t="n">
        <v>0</v>
      </c>
      <c r="O2116" s="61" t="n">
        <v>0</v>
      </c>
      <c r="P2116" s="62" t="n">
        <v>645.2</v>
      </c>
      <c r="Q2116" s="0" t="n">
        <v>0</v>
      </c>
      <c r="R2116" s="60" t="n">
        <f aca="false">G2116+H2116+I2116</f>
        <v>0.61</v>
      </c>
      <c r="S2116" s="60" t="n">
        <f aca="false">K2116+L2116+M2116+N2116+O2116</f>
        <v>0.01</v>
      </c>
      <c r="T2116" s="60" t="n">
        <f aca="false">L2116+M2116</f>
        <v>0.01</v>
      </c>
      <c r="U2116" s="60" t="n">
        <f aca="false">S2116+J2116</f>
        <v>0.01</v>
      </c>
      <c r="V2116" s="63" t="n">
        <f aca="false">IFERROR(S2116/F2116,0)</f>
        <v>0.0161290322580645</v>
      </c>
      <c r="W2116" s="63" t="n">
        <f aca="false">IFERROR(R2116/F2116,0)</f>
        <v>0.983870967741936</v>
      </c>
      <c r="X2116" s="63" t="n">
        <f aca="false">IFERROR(T2116/F2116,0)</f>
        <v>0.0161290322580645</v>
      </c>
      <c r="Y2116" s="63" t="n">
        <f aca="false">IFERROR(G2116/F2116,0)</f>
        <v>0</v>
      </c>
      <c r="Z2116" s="59" t="n">
        <f aca="false">IF(E2116&gt;0,F2116*1000000000/E2116,"")</f>
        <v>6715.98947106167</v>
      </c>
      <c r="AA2116" s="63" t="n">
        <f aca="false">IFERROR((R2116+S2116+J2116)/F2116,0)</f>
        <v>1</v>
      </c>
      <c r="AB2116" s="0" t="str">
        <f aca="false">A2116&amp;"|"&amp;D2116</f>
        <v>United States Virgin Islands|2018</v>
      </c>
    </row>
    <row r="2117" customFormat="false" ht="15" hidden="false" customHeight="false" outlineLevel="0" collapsed="false">
      <c r="A2117" s="0" t="s">
        <v>383</v>
      </c>
      <c r="B2117" s="0" t="s">
        <v>622</v>
      </c>
      <c r="C2117" s="0" t="s">
        <v>127</v>
      </c>
      <c r="D2117" s="0" t="n">
        <v>2019</v>
      </c>
      <c r="E2117" s="59" t="n">
        <v>89390</v>
      </c>
      <c r="F2117" s="60" t="n">
        <v>0.66</v>
      </c>
      <c r="G2117" s="61" t="n">
        <v>0</v>
      </c>
      <c r="H2117" s="61" t="n">
        <v>0</v>
      </c>
      <c r="I2117" s="61" t="n">
        <v>0.65</v>
      </c>
      <c r="J2117" s="61" t="n">
        <v>0</v>
      </c>
      <c r="K2117" s="61" t="n">
        <v>0</v>
      </c>
      <c r="L2117" s="61" t="n">
        <v>0.01</v>
      </c>
      <c r="M2117" s="61" t="n">
        <v>0</v>
      </c>
      <c r="N2117" s="61" t="n">
        <v>0</v>
      </c>
      <c r="O2117" s="61" t="n">
        <v>0</v>
      </c>
      <c r="P2117" s="62" t="n">
        <v>651.5</v>
      </c>
      <c r="Q2117" s="0" t="n">
        <v>0</v>
      </c>
      <c r="R2117" s="60" t="n">
        <f aca="false">G2117+H2117+I2117</f>
        <v>0.65</v>
      </c>
      <c r="S2117" s="60" t="n">
        <f aca="false">K2117+L2117+M2117+N2117+O2117</f>
        <v>0.01</v>
      </c>
      <c r="T2117" s="60" t="n">
        <f aca="false">L2117+M2117</f>
        <v>0.01</v>
      </c>
      <c r="U2117" s="60" t="n">
        <f aca="false">S2117+J2117</f>
        <v>0.01</v>
      </c>
      <c r="V2117" s="63" t="n">
        <f aca="false">IFERROR(S2117/F2117,0)</f>
        <v>0.0151515151515152</v>
      </c>
      <c r="W2117" s="63" t="n">
        <f aca="false">IFERROR(R2117/F2117,0)</f>
        <v>0.984848484848485</v>
      </c>
      <c r="X2117" s="63" t="n">
        <f aca="false">IFERROR(T2117/F2117,0)</f>
        <v>0.0151515151515152</v>
      </c>
      <c r="Y2117" s="63" t="n">
        <f aca="false">IFERROR(G2117/F2117,0)</f>
        <v>0</v>
      </c>
      <c r="Z2117" s="59" t="n">
        <f aca="false">IF(E2117&gt;0,F2117*1000000000/E2117,"")</f>
        <v>7383.37621657904</v>
      </c>
      <c r="AA2117" s="63" t="n">
        <f aca="false">IFERROR((R2117+S2117+J2117)/F2117,0)</f>
        <v>1</v>
      </c>
      <c r="AB2117" s="0" t="str">
        <f aca="false">A2117&amp;"|"&amp;D2117</f>
        <v>United States Virgin Islands|2019</v>
      </c>
    </row>
    <row r="2118" customFormat="false" ht="15" hidden="false" customHeight="false" outlineLevel="0" collapsed="false">
      <c r="A2118" s="0" t="s">
        <v>383</v>
      </c>
      <c r="B2118" s="0" t="s">
        <v>622</v>
      </c>
      <c r="C2118" s="0" t="s">
        <v>127</v>
      </c>
      <c r="D2118" s="0" t="n">
        <v>2020</v>
      </c>
      <c r="E2118" s="59" t="n">
        <v>87724</v>
      </c>
      <c r="F2118" s="60" t="n">
        <v>0.64</v>
      </c>
      <c r="G2118" s="61" t="n">
        <v>0</v>
      </c>
      <c r="H2118" s="61" t="n">
        <v>0</v>
      </c>
      <c r="I2118" s="61" t="n">
        <v>0.63</v>
      </c>
      <c r="J2118" s="61" t="n">
        <v>0</v>
      </c>
      <c r="K2118" s="61" t="n">
        <v>0</v>
      </c>
      <c r="L2118" s="61" t="n">
        <v>0.01</v>
      </c>
      <c r="M2118" s="61" t="n">
        <v>0</v>
      </c>
      <c r="N2118" s="61" t="n">
        <v>0</v>
      </c>
      <c r="O2118" s="61" t="n">
        <v>0</v>
      </c>
      <c r="P2118" s="62" t="n">
        <v>640.6</v>
      </c>
      <c r="Q2118" s="0" t="n">
        <v>0</v>
      </c>
      <c r="R2118" s="60" t="n">
        <f aca="false">G2118+H2118+I2118</f>
        <v>0.63</v>
      </c>
      <c r="S2118" s="60" t="n">
        <f aca="false">K2118+L2118+M2118+N2118+O2118</f>
        <v>0.01</v>
      </c>
      <c r="T2118" s="60" t="n">
        <f aca="false">L2118+M2118</f>
        <v>0.01</v>
      </c>
      <c r="U2118" s="60" t="n">
        <f aca="false">S2118+J2118</f>
        <v>0.01</v>
      </c>
      <c r="V2118" s="63" t="n">
        <f aca="false">IFERROR(S2118/F2118,0)</f>
        <v>0.015625</v>
      </c>
      <c r="W2118" s="63" t="n">
        <f aca="false">IFERROR(R2118/F2118,0)</f>
        <v>0.984375</v>
      </c>
      <c r="X2118" s="63" t="n">
        <f aca="false">IFERROR(T2118/F2118,0)</f>
        <v>0.015625</v>
      </c>
      <c r="Y2118" s="63" t="n">
        <f aca="false">IFERROR(G2118/F2118,0)</f>
        <v>0</v>
      </c>
      <c r="Z2118" s="59" t="n">
        <f aca="false">IF(E2118&gt;0,F2118*1000000000/E2118,"")</f>
        <v>7295.60895535999</v>
      </c>
      <c r="AA2118" s="63" t="n">
        <f aca="false">IFERROR((R2118+S2118+J2118)/F2118,0)</f>
        <v>1</v>
      </c>
      <c r="AB2118" s="0" t="str">
        <f aca="false">A2118&amp;"|"&amp;D2118</f>
        <v>United States Virgin Islands|2020</v>
      </c>
    </row>
    <row r="2119" customFormat="false" ht="15" hidden="false" customHeight="false" outlineLevel="0" collapsed="false">
      <c r="A2119" s="0" t="s">
        <v>383</v>
      </c>
      <c r="B2119" s="0" t="s">
        <v>622</v>
      </c>
      <c r="C2119" s="0" t="s">
        <v>127</v>
      </c>
      <c r="D2119" s="0" t="n">
        <v>2021</v>
      </c>
      <c r="E2119" s="59" t="n">
        <v>87238</v>
      </c>
      <c r="F2119" s="60" t="n">
        <v>0.66</v>
      </c>
      <c r="G2119" s="61" t="n">
        <v>0</v>
      </c>
      <c r="H2119" s="61" t="n">
        <v>0</v>
      </c>
      <c r="I2119" s="61" t="n">
        <v>0.64</v>
      </c>
      <c r="J2119" s="61" t="n">
        <v>0</v>
      </c>
      <c r="K2119" s="61" t="n">
        <v>0</v>
      </c>
      <c r="L2119" s="61" t="n">
        <v>0.02</v>
      </c>
      <c r="M2119" s="61" t="n">
        <v>0</v>
      </c>
      <c r="N2119" s="61" t="n">
        <v>0</v>
      </c>
      <c r="O2119" s="61" t="n">
        <v>0</v>
      </c>
      <c r="P2119" s="62" t="n">
        <v>636.4</v>
      </c>
      <c r="Q2119" s="0" t="n">
        <v>0</v>
      </c>
      <c r="R2119" s="60" t="n">
        <f aca="false">G2119+H2119+I2119</f>
        <v>0.64</v>
      </c>
      <c r="S2119" s="60" t="n">
        <f aca="false">K2119+L2119+M2119+N2119+O2119</f>
        <v>0.02</v>
      </c>
      <c r="T2119" s="60" t="n">
        <f aca="false">L2119+M2119</f>
        <v>0.02</v>
      </c>
      <c r="U2119" s="60" t="n">
        <f aca="false">S2119+J2119</f>
        <v>0.02</v>
      </c>
      <c r="V2119" s="63" t="n">
        <f aca="false">IFERROR(S2119/F2119,0)</f>
        <v>0.0303030303030303</v>
      </c>
      <c r="W2119" s="63" t="n">
        <f aca="false">IFERROR(R2119/F2119,0)</f>
        <v>0.96969696969697</v>
      </c>
      <c r="X2119" s="63" t="n">
        <f aca="false">IFERROR(T2119/F2119,0)</f>
        <v>0.0303030303030303</v>
      </c>
      <c r="Y2119" s="63" t="n">
        <f aca="false">IFERROR(G2119/F2119,0)</f>
        <v>0</v>
      </c>
      <c r="Z2119" s="59" t="n">
        <f aca="false">IF(E2119&gt;0,F2119*1000000000/E2119,"")</f>
        <v>7565.51044269699</v>
      </c>
      <c r="AA2119" s="63" t="n">
        <f aca="false">IFERROR((R2119+S2119+J2119)/F2119,0)</f>
        <v>1</v>
      </c>
      <c r="AB2119" s="0" t="str">
        <f aca="false">A2119&amp;"|"&amp;D2119</f>
        <v>United States Virgin Islands|2021</v>
      </c>
    </row>
    <row r="2120" customFormat="false" ht="15" hidden="false" customHeight="false" outlineLevel="0" collapsed="false">
      <c r="A2120" s="0" t="s">
        <v>383</v>
      </c>
      <c r="B2120" s="0" t="s">
        <v>622</v>
      </c>
      <c r="C2120" s="0" t="s">
        <v>127</v>
      </c>
      <c r="D2120" s="0" t="n">
        <v>2022</v>
      </c>
      <c r="E2120" s="59" t="n">
        <v>86521</v>
      </c>
      <c r="F2120" s="60" t="n">
        <v>0.68</v>
      </c>
      <c r="G2120" s="61" t="n">
        <v>0</v>
      </c>
      <c r="H2120" s="61" t="n">
        <v>0</v>
      </c>
      <c r="I2120" s="61" t="n">
        <v>0.66</v>
      </c>
      <c r="J2120" s="61" t="n">
        <v>0</v>
      </c>
      <c r="K2120" s="61" t="n">
        <v>0</v>
      </c>
      <c r="L2120" s="61" t="n">
        <v>0.02</v>
      </c>
      <c r="M2120" s="61" t="n">
        <v>0</v>
      </c>
      <c r="N2120" s="61" t="n">
        <v>0</v>
      </c>
      <c r="O2120" s="61" t="n">
        <v>0</v>
      </c>
      <c r="P2120" s="62" t="n">
        <v>632.4</v>
      </c>
      <c r="Q2120" s="0" t="n">
        <v>0</v>
      </c>
      <c r="R2120" s="60" t="n">
        <f aca="false">G2120+H2120+I2120</f>
        <v>0.66</v>
      </c>
      <c r="S2120" s="60" t="n">
        <f aca="false">K2120+L2120+M2120+N2120+O2120</f>
        <v>0.02</v>
      </c>
      <c r="T2120" s="60" t="n">
        <f aca="false">L2120+M2120</f>
        <v>0.02</v>
      </c>
      <c r="U2120" s="60" t="n">
        <f aca="false">S2120+J2120</f>
        <v>0.02</v>
      </c>
      <c r="V2120" s="63" t="n">
        <f aca="false">IFERROR(S2120/F2120,0)</f>
        <v>0.0294117647058824</v>
      </c>
      <c r="W2120" s="63" t="n">
        <f aca="false">IFERROR(R2120/F2120,0)</f>
        <v>0.970588235294118</v>
      </c>
      <c r="X2120" s="63" t="n">
        <f aca="false">IFERROR(T2120/F2120,0)</f>
        <v>0.0294117647058824</v>
      </c>
      <c r="Y2120" s="63" t="n">
        <f aca="false">IFERROR(G2120/F2120,0)</f>
        <v>0</v>
      </c>
      <c r="Z2120" s="59" t="n">
        <f aca="false">IF(E2120&gt;0,F2120*1000000000/E2120,"")</f>
        <v>7859.36362270431</v>
      </c>
      <c r="AA2120" s="63" t="n">
        <f aca="false">IFERROR((R2120+S2120+J2120)/F2120,0)</f>
        <v>1</v>
      </c>
      <c r="AB2120" s="0" t="str">
        <f aca="false">A2120&amp;"|"&amp;D2120</f>
        <v>United States Virgin Islands|2022</v>
      </c>
    </row>
    <row r="2121" customFormat="false" ht="15" hidden="false" customHeight="false" outlineLevel="0" collapsed="false">
      <c r="A2121" s="0" t="s">
        <v>383</v>
      </c>
      <c r="B2121" s="0" t="s">
        <v>622</v>
      </c>
      <c r="C2121" s="0" t="s">
        <v>127</v>
      </c>
      <c r="D2121" s="0" t="n">
        <v>2023</v>
      </c>
      <c r="E2121" s="59" t="n">
        <v>85712</v>
      </c>
      <c r="F2121" s="60" t="n">
        <v>0.68</v>
      </c>
      <c r="G2121" s="61" t="n">
        <v>0</v>
      </c>
      <c r="H2121" s="61" t="n">
        <v>0</v>
      </c>
      <c r="I2121" s="61" t="n">
        <v>0.66</v>
      </c>
      <c r="J2121" s="61" t="n">
        <v>0</v>
      </c>
      <c r="K2121" s="61" t="n">
        <v>0</v>
      </c>
      <c r="L2121" s="61" t="n">
        <v>0.02</v>
      </c>
      <c r="M2121" s="61" t="n">
        <v>0</v>
      </c>
      <c r="N2121" s="61" t="n">
        <v>0</v>
      </c>
      <c r="O2121" s="61" t="n">
        <v>0</v>
      </c>
      <c r="P2121" s="62" t="n">
        <v>632.4</v>
      </c>
      <c r="Q2121" s="0" t="n">
        <v>0</v>
      </c>
      <c r="R2121" s="60" t="n">
        <f aca="false">G2121+H2121+I2121</f>
        <v>0.66</v>
      </c>
      <c r="S2121" s="60" t="n">
        <f aca="false">K2121+L2121+M2121+N2121+O2121</f>
        <v>0.02</v>
      </c>
      <c r="T2121" s="60" t="n">
        <f aca="false">L2121+M2121</f>
        <v>0.02</v>
      </c>
      <c r="U2121" s="60" t="n">
        <f aca="false">S2121+J2121</f>
        <v>0.02</v>
      </c>
      <c r="V2121" s="63" t="n">
        <f aca="false">IFERROR(S2121/F2121,0)</f>
        <v>0.0294117647058824</v>
      </c>
      <c r="W2121" s="63" t="n">
        <f aca="false">IFERROR(R2121/F2121,0)</f>
        <v>0.970588235294118</v>
      </c>
      <c r="X2121" s="63" t="n">
        <f aca="false">IFERROR(T2121/F2121,0)</f>
        <v>0.0294117647058824</v>
      </c>
      <c r="Y2121" s="63" t="n">
        <f aca="false">IFERROR(G2121/F2121,0)</f>
        <v>0</v>
      </c>
      <c r="Z2121" s="59" t="n">
        <f aca="false">IF(E2121&gt;0,F2121*1000000000/E2121,"")</f>
        <v>7933.54489453052</v>
      </c>
      <c r="AA2121" s="63" t="n">
        <f aca="false">IFERROR((R2121+S2121+J2121)/F2121,0)</f>
        <v>1</v>
      </c>
      <c r="AB2121" s="0" t="str">
        <f aca="false">A2121&amp;"|"&amp;D2121</f>
        <v>United States Virgin Islands|2023</v>
      </c>
    </row>
    <row r="2122" customFormat="false" ht="15" hidden="false" customHeight="false" outlineLevel="0" collapsed="false">
      <c r="A2122" s="0" t="s">
        <v>384</v>
      </c>
      <c r="B2122" s="0" t="s">
        <v>623</v>
      </c>
      <c r="C2122" s="0" t="s">
        <v>127</v>
      </c>
      <c r="D2122" s="0" t="n">
        <v>2015</v>
      </c>
      <c r="E2122" s="59" t="n">
        <v>3368022</v>
      </c>
      <c r="F2122" s="60" t="n">
        <v>13.74</v>
      </c>
      <c r="G2122" s="61" t="n">
        <v>0</v>
      </c>
      <c r="H2122" s="61" t="n">
        <v>0</v>
      </c>
      <c r="I2122" s="61" t="n">
        <v>0.94</v>
      </c>
      <c r="J2122" s="61" t="n">
        <v>0</v>
      </c>
      <c r="K2122" s="61" t="n">
        <v>8.27</v>
      </c>
      <c r="L2122" s="61" t="n">
        <v>0.05</v>
      </c>
      <c r="M2122" s="61" t="n">
        <v>2.07</v>
      </c>
      <c r="N2122" s="61" t="n">
        <v>2.41</v>
      </c>
      <c r="O2122" s="61" t="n">
        <v>0</v>
      </c>
      <c r="P2122" s="62" t="n">
        <v>99</v>
      </c>
      <c r="Q2122" s="0" t="n">
        <v>0</v>
      </c>
      <c r="R2122" s="60" t="n">
        <f aca="false">G2122+H2122+I2122</f>
        <v>0.94</v>
      </c>
      <c r="S2122" s="60" t="n">
        <f aca="false">K2122+L2122+M2122+N2122+O2122</f>
        <v>12.8</v>
      </c>
      <c r="T2122" s="60" t="n">
        <f aca="false">L2122+M2122</f>
        <v>2.12</v>
      </c>
      <c r="U2122" s="60" t="n">
        <f aca="false">S2122+J2122</f>
        <v>12.8</v>
      </c>
      <c r="V2122" s="63" t="n">
        <f aca="false">IFERROR(S2122/F2122,0)</f>
        <v>0.931586608442504</v>
      </c>
      <c r="W2122" s="63" t="n">
        <f aca="false">IFERROR(R2122/F2122,0)</f>
        <v>0.0684133915574964</v>
      </c>
      <c r="X2122" s="63" t="n">
        <f aca="false">IFERROR(T2122/F2122,0)</f>
        <v>0.15429403202329</v>
      </c>
      <c r="Y2122" s="63" t="n">
        <f aca="false">IFERROR(G2122/F2122,0)</f>
        <v>0</v>
      </c>
      <c r="Z2122" s="59" t="n">
        <f aca="false">IF(E2122&gt;0,F2122*1000000000/E2122,"")</f>
        <v>4079.54579869134</v>
      </c>
      <c r="AA2122" s="63" t="n">
        <f aca="false">IFERROR((R2122+S2122+J2122)/F2122,0)</f>
        <v>1</v>
      </c>
      <c r="AB2122" s="0" t="str">
        <f aca="false">A2122&amp;"|"&amp;D2122</f>
        <v>Uruguay|2015</v>
      </c>
    </row>
    <row r="2123" customFormat="false" ht="15" hidden="false" customHeight="false" outlineLevel="0" collapsed="false">
      <c r="A2123" s="0" t="s">
        <v>384</v>
      </c>
      <c r="B2123" s="0" t="s">
        <v>623</v>
      </c>
      <c r="C2123" s="0" t="s">
        <v>127</v>
      </c>
      <c r="D2123" s="0" t="n">
        <v>2016</v>
      </c>
      <c r="E2123" s="59" t="n">
        <v>3379279</v>
      </c>
      <c r="F2123" s="60" t="n">
        <v>13.87</v>
      </c>
      <c r="G2123" s="61" t="n">
        <v>0</v>
      </c>
      <c r="H2123" s="61" t="n">
        <v>0</v>
      </c>
      <c r="I2123" s="61" t="n">
        <v>0.44</v>
      </c>
      <c r="J2123" s="61" t="n">
        <v>0</v>
      </c>
      <c r="K2123" s="61" t="n">
        <v>7.84</v>
      </c>
      <c r="L2123" s="61" t="n">
        <v>0.15</v>
      </c>
      <c r="M2123" s="61" t="n">
        <v>2.99</v>
      </c>
      <c r="N2123" s="61" t="n">
        <v>2.45</v>
      </c>
      <c r="O2123" s="61" t="n">
        <v>0</v>
      </c>
      <c r="P2123" s="62" t="n">
        <v>75</v>
      </c>
      <c r="Q2123" s="0" t="n">
        <v>0</v>
      </c>
      <c r="R2123" s="60" t="n">
        <f aca="false">G2123+H2123+I2123</f>
        <v>0.44</v>
      </c>
      <c r="S2123" s="60" t="n">
        <f aca="false">K2123+L2123+M2123+N2123+O2123</f>
        <v>13.43</v>
      </c>
      <c r="T2123" s="60" t="n">
        <f aca="false">L2123+M2123</f>
        <v>3.14</v>
      </c>
      <c r="U2123" s="60" t="n">
        <f aca="false">S2123+J2123</f>
        <v>13.43</v>
      </c>
      <c r="V2123" s="63" t="n">
        <f aca="false">IFERROR(S2123/F2123,0)</f>
        <v>0.968276856524874</v>
      </c>
      <c r="W2123" s="63" t="n">
        <f aca="false">IFERROR(R2123/F2123,0)</f>
        <v>0.0317231434751262</v>
      </c>
      <c r="X2123" s="63" t="n">
        <f aca="false">IFERROR(T2123/F2123,0)</f>
        <v>0.226387887527037</v>
      </c>
      <c r="Y2123" s="63" t="n">
        <f aca="false">IFERROR(G2123/F2123,0)</f>
        <v>0</v>
      </c>
      <c r="Z2123" s="59" t="n">
        <f aca="false">IF(E2123&gt;0,F2123*1000000000/E2123,"")</f>
        <v>4104.42582574567</v>
      </c>
      <c r="AA2123" s="63" t="n">
        <f aca="false">IFERROR((R2123+S2123+J2123)/F2123,0)</f>
        <v>1</v>
      </c>
      <c r="AB2123" s="0" t="str">
        <f aca="false">A2123&amp;"|"&amp;D2123</f>
        <v>Uruguay|2016</v>
      </c>
    </row>
    <row r="2124" customFormat="false" ht="15" hidden="false" customHeight="false" outlineLevel="0" collapsed="false">
      <c r="A2124" s="0" t="s">
        <v>384</v>
      </c>
      <c r="B2124" s="0" t="s">
        <v>623</v>
      </c>
      <c r="C2124" s="0" t="s">
        <v>127</v>
      </c>
      <c r="D2124" s="0" t="n">
        <v>2017</v>
      </c>
      <c r="E2124" s="59" t="n">
        <v>3388444</v>
      </c>
      <c r="F2124" s="60" t="n">
        <v>14.35</v>
      </c>
      <c r="G2124" s="61" t="n">
        <v>0</v>
      </c>
      <c r="H2124" s="61" t="n">
        <v>0.03</v>
      </c>
      <c r="I2124" s="61" t="n">
        <v>0.19</v>
      </c>
      <c r="J2124" s="61" t="n">
        <v>0</v>
      </c>
      <c r="K2124" s="61" t="n">
        <v>7.52</v>
      </c>
      <c r="L2124" s="61" t="n">
        <v>0.27</v>
      </c>
      <c r="M2124" s="61" t="n">
        <v>3.77</v>
      </c>
      <c r="N2124" s="61" t="n">
        <v>2.57</v>
      </c>
      <c r="O2124" s="61" t="n">
        <v>0</v>
      </c>
      <c r="P2124" s="62" t="n">
        <v>64.8</v>
      </c>
      <c r="Q2124" s="0" t="n">
        <v>0</v>
      </c>
      <c r="R2124" s="60" t="n">
        <f aca="false">G2124+H2124+I2124</f>
        <v>0.22</v>
      </c>
      <c r="S2124" s="60" t="n">
        <f aca="false">K2124+L2124+M2124+N2124+O2124</f>
        <v>14.13</v>
      </c>
      <c r="T2124" s="60" t="n">
        <f aca="false">L2124+M2124</f>
        <v>4.04</v>
      </c>
      <c r="U2124" s="60" t="n">
        <f aca="false">S2124+J2124</f>
        <v>14.13</v>
      </c>
      <c r="V2124" s="63" t="n">
        <f aca="false">IFERROR(S2124/F2124,0)</f>
        <v>0.984668989547038</v>
      </c>
      <c r="W2124" s="63" t="n">
        <f aca="false">IFERROR(R2124/F2124,0)</f>
        <v>0.0153310104529617</v>
      </c>
      <c r="X2124" s="63" t="n">
        <f aca="false">IFERROR(T2124/F2124,0)</f>
        <v>0.281533101045296</v>
      </c>
      <c r="Y2124" s="63" t="n">
        <f aca="false">IFERROR(G2124/F2124,0)</f>
        <v>0</v>
      </c>
      <c r="Z2124" s="59" t="n">
        <f aca="false">IF(E2124&gt;0,F2124*1000000000/E2124,"")</f>
        <v>4234.98219241634</v>
      </c>
      <c r="AA2124" s="63" t="n">
        <f aca="false">IFERROR((R2124+S2124+J2124)/F2124,0)</f>
        <v>1</v>
      </c>
      <c r="AB2124" s="0" t="str">
        <f aca="false">A2124&amp;"|"&amp;D2124</f>
        <v>Uruguay|2017</v>
      </c>
    </row>
    <row r="2125" customFormat="false" ht="15" hidden="false" customHeight="false" outlineLevel="0" collapsed="false">
      <c r="A2125" s="0" t="s">
        <v>384</v>
      </c>
      <c r="B2125" s="0" t="s">
        <v>623</v>
      </c>
      <c r="C2125" s="0" t="s">
        <v>127</v>
      </c>
      <c r="D2125" s="0" t="n">
        <v>2018</v>
      </c>
      <c r="E2125" s="59" t="n">
        <v>3394538</v>
      </c>
      <c r="F2125" s="60" t="n">
        <v>14.61</v>
      </c>
      <c r="G2125" s="61" t="n">
        <v>0</v>
      </c>
      <c r="H2125" s="61" t="n">
        <v>0.01</v>
      </c>
      <c r="I2125" s="61" t="n">
        <v>0.35</v>
      </c>
      <c r="J2125" s="61" t="n">
        <v>0</v>
      </c>
      <c r="K2125" s="61" t="n">
        <v>6.56</v>
      </c>
      <c r="L2125" s="61" t="n">
        <v>0.41</v>
      </c>
      <c r="M2125" s="61" t="n">
        <v>4.73</v>
      </c>
      <c r="N2125" s="61" t="n">
        <v>2.55</v>
      </c>
      <c r="O2125" s="61" t="n">
        <v>0</v>
      </c>
      <c r="P2125" s="62" t="n">
        <v>69.1</v>
      </c>
      <c r="Q2125" s="0" t="n">
        <v>0</v>
      </c>
      <c r="R2125" s="60" t="n">
        <f aca="false">G2125+H2125+I2125</f>
        <v>0.36</v>
      </c>
      <c r="S2125" s="60" t="n">
        <f aca="false">K2125+L2125+M2125+N2125+O2125</f>
        <v>14.25</v>
      </c>
      <c r="T2125" s="60" t="n">
        <f aca="false">L2125+M2125</f>
        <v>5.14</v>
      </c>
      <c r="U2125" s="60" t="n">
        <f aca="false">S2125+J2125</f>
        <v>14.25</v>
      </c>
      <c r="V2125" s="63" t="n">
        <f aca="false">IFERROR(S2125/F2125,0)</f>
        <v>0.975359342915811</v>
      </c>
      <c r="W2125" s="63" t="n">
        <f aca="false">IFERROR(R2125/F2125,0)</f>
        <v>0.0246406570841889</v>
      </c>
      <c r="X2125" s="63" t="n">
        <f aca="false">IFERROR(T2125/F2125,0)</f>
        <v>0.351813826146475</v>
      </c>
      <c r="Y2125" s="63" t="n">
        <f aca="false">IFERROR(G2125/F2125,0)</f>
        <v>0</v>
      </c>
      <c r="Z2125" s="59" t="n">
        <f aca="false">IF(E2125&gt;0,F2125*1000000000/E2125,"")</f>
        <v>4303.97302961405</v>
      </c>
      <c r="AA2125" s="63" t="n">
        <f aca="false">IFERROR((R2125+S2125+J2125)/F2125,0)</f>
        <v>1</v>
      </c>
      <c r="AB2125" s="0" t="str">
        <f aca="false">A2125&amp;"|"&amp;D2125</f>
        <v>Uruguay|2018</v>
      </c>
    </row>
    <row r="2126" customFormat="false" ht="15" hidden="false" customHeight="false" outlineLevel="0" collapsed="false">
      <c r="A2126" s="0" t="s">
        <v>384</v>
      </c>
      <c r="B2126" s="0" t="s">
        <v>623</v>
      </c>
      <c r="C2126" s="0" t="s">
        <v>127</v>
      </c>
      <c r="D2126" s="0" t="n">
        <v>2019</v>
      </c>
      <c r="E2126" s="59" t="n">
        <v>3397206</v>
      </c>
      <c r="F2126" s="60" t="n">
        <v>16.07</v>
      </c>
      <c r="G2126" s="61" t="n">
        <v>0</v>
      </c>
      <c r="H2126" s="61" t="n">
        <v>0.12</v>
      </c>
      <c r="I2126" s="61" t="n">
        <v>0.16</v>
      </c>
      <c r="J2126" s="61" t="n">
        <v>0</v>
      </c>
      <c r="K2126" s="61" t="n">
        <v>8.11</v>
      </c>
      <c r="L2126" s="61" t="n">
        <v>0.42</v>
      </c>
      <c r="M2126" s="61" t="n">
        <v>4.75</v>
      </c>
      <c r="N2126" s="61" t="n">
        <v>2.51</v>
      </c>
      <c r="O2126" s="61" t="n">
        <v>0</v>
      </c>
      <c r="P2126" s="62" t="n">
        <v>61</v>
      </c>
      <c r="Q2126" s="0" t="n">
        <v>0</v>
      </c>
      <c r="R2126" s="60" t="n">
        <f aca="false">G2126+H2126+I2126</f>
        <v>0.28</v>
      </c>
      <c r="S2126" s="60" t="n">
        <f aca="false">K2126+L2126+M2126+N2126+O2126</f>
        <v>15.79</v>
      </c>
      <c r="T2126" s="60" t="n">
        <f aca="false">L2126+M2126</f>
        <v>5.17</v>
      </c>
      <c r="U2126" s="60" t="n">
        <f aca="false">S2126+J2126</f>
        <v>15.79</v>
      </c>
      <c r="V2126" s="63" t="n">
        <f aca="false">IFERROR(S2126/F2126,0)</f>
        <v>0.982576228998133</v>
      </c>
      <c r="W2126" s="63" t="n">
        <f aca="false">IFERROR(R2126/F2126,0)</f>
        <v>0.0174237710018668</v>
      </c>
      <c r="X2126" s="63" t="n">
        <f aca="false">IFERROR(T2126/F2126,0)</f>
        <v>0.321717485998755</v>
      </c>
      <c r="Y2126" s="63" t="n">
        <f aca="false">IFERROR(G2126/F2126,0)</f>
        <v>0</v>
      </c>
      <c r="Z2126" s="59" t="n">
        <f aca="false">IF(E2126&gt;0,F2126*1000000000/E2126,"")</f>
        <v>4730.35782934565</v>
      </c>
      <c r="AA2126" s="63" t="n">
        <f aca="false">IFERROR((R2126+S2126+J2126)/F2126,0)</f>
        <v>1</v>
      </c>
      <c r="AB2126" s="0" t="str">
        <f aca="false">A2126&amp;"|"&amp;D2126</f>
        <v>Uruguay|2019</v>
      </c>
    </row>
    <row r="2127" customFormat="false" ht="15" hidden="false" customHeight="false" outlineLevel="0" collapsed="false">
      <c r="A2127" s="0" t="s">
        <v>384</v>
      </c>
      <c r="B2127" s="0" t="s">
        <v>623</v>
      </c>
      <c r="C2127" s="0" t="s">
        <v>127</v>
      </c>
      <c r="D2127" s="0" t="n">
        <v>2020</v>
      </c>
      <c r="E2127" s="59" t="n">
        <v>3398966</v>
      </c>
      <c r="F2127" s="60" t="n">
        <v>13.57</v>
      </c>
      <c r="G2127" s="61" t="n">
        <v>0</v>
      </c>
      <c r="H2127" s="61" t="n">
        <v>0</v>
      </c>
      <c r="I2127" s="61" t="n">
        <v>0.81</v>
      </c>
      <c r="J2127" s="61" t="n">
        <v>0</v>
      </c>
      <c r="K2127" s="61" t="n">
        <v>4.09</v>
      </c>
      <c r="L2127" s="61" t="n">
        <v>0.46</v>
      </c>
      <c r="M2127" s="61" t="n">
        <v>5.48</v>
      </c>
      <c r="N2127" s="61" t="n">
        <v>2.73</v>
      </c>
      <c r="O2127" s="61" t="n">
        <v>0</v>
      </c>
      <c r="P2127" s="62" t="n">
        <v>94.3</v>
      </c>
      <c r="Q2127" s="0" t="n">
        <v>0</v>
      </c>
      <c r="R2127" s="60" t="n">
        <f aca="false">G2127+H2127+I2127</f>
        <v>0.81</v>
      </c>
      <c r="S2127" s="60" t="n">
        <f aca="false">K2127+L2127+M2127+N2127+O2127</f>
        <v>12.76</v>
      </c>
      <c r="T2127" s="60" t="n">
        <f aca="false">L2127+M2127</f>
        <v>5.94</v>
      </c>
      <c r="U2127" s="60" t="n">
        <f aca="false">S2127+J2127</f>
        <v>12.76</v>
      </c>
      <c r="V2127" s="63" t="n">
        <f aca="false">IFERROR(S2127/F2127,0)</f>
        <v>0.940309506263817</v>
      </c>
      <c r="W2127" s="63" t="n">
        <f aca="false">IFERROR(R2127/F2127,0)</f>
        <v>0.0596904937361828</v>
      </c>
      <c r="X2127" s="63" t="n">
        <f aca="false">IFERROR(T2127/F2127,0)</f>
        <v>0.437730287398674</v>
      </c>
      <c r="Y2127" s="63" t="n">
        <f aca="false">IFERROR(G2127/F2127,0)</f>
        <v>0</v>
      </c>
      <c r="Z2127" s="59" t="n">
        <f aca="false">IF(E2127&gt;0,F2127*1000000000/E2127,"")</f>
        <v>3992.39062703187</v>
      </c>
      <c r="AA2127" s="63" t="n">
        <f aca="false">IFERROR((R2127+S2127+J2127)/F2127,0)</f>
        <v>1</v>
      </c>
      <c r="AB2127" s="0" t="str">
        <f aca="false">A2127&amp;"|"&amp;D2127</f>
        <v>Uruguay|2020</v>
      </c>
    </row>
    <row r="2128" customFormat="false" ht="15" hidden="false" customHeight="false" outlineLevel="0" collapsed="false">
      <c r="A2128" s="0" t="s">
        <v>384</v>
      </c>
      <c r="B2128" s="0" t="s">
        <v>623</v>
      </c>
      <c r="C2128" s="0" t="s">
        <v>127</v>
      </c>
      <c r="D2128" s="0" t="n">
        <v>2021</v>
      </c>
      <c r="E2128" s="59" t="n">
        <v>3396693</v>
      </c>
      <c r="F2128" s="60" t="n">
        <v>15.99</v>
      </c>
      <c r="G2128" s="61" t="n">
        <v>0</v>
      </c>
      <c r="H2128" s="61" t="n">
        <v>0.01</v>
      </c>
      <c r="I2128" s="61" t="n">
        <v>2.45</v>
      </c>
      <c r="J2128" s="61" t="n">
        <v>0</v>
      </c>
      <c r="K2128" s="61" t="n">
        <v>5.27</v>
      </c>
      <c r="L2128" s="61" t="n">
        <v>0.48</v>
      </c>
      <c r="M2128" s="61" t="n">
        <v>4.99</v>
      </c>
      <c r="N2128" s="61" t="n">
        <v>2.79</v>
      </c>
      <c r="O2128" s="61" t="n">
        <v>0</v>
      </c>
      <c r="P2128" s="62" t="n">
        <v>150.7</v>
      </c>
      <c r="Q2128" s="0" t="n">
        <v>0</v>
      </c>
      <c r="R2128" s="60" t="n">
        <f aca="false">G2128+H2128+I2128</f>
        <v>2.46</v>
      </c>
      <c r="S2128" s="60" t="n">
        <f aca="false">K2128+L2128+M2128+N2128+O2128</f>
        <v>13.53</v>
      </c>
      <c r="T2128" s="60" t="n">
        <f aca="false">L2128+M2128</f>
        <v>5.47</v>
      </c>
      <c r="U2128" s="60" t="n">
        <f aca="false">S2128+J2128</f>
        <v>13.53</v>
      </c>
      <c r="V2128" s="63" t="n">
        <f aca="false">IFERROR(S2128/F2128,0)</f>
        <v>0.846153846153846</v>
      </c>
      <c r="W2128" s="63" t="n">
        <f aca="false">IFERROR(R2128/F2128,0)</f>
        <v>0.153846153846154</v>
      </c>
      <c r="X2128" s="63" t="n">
        <f aca="false">IFERROR(T2128/F2128,0)</f>
        <v>0.34208880550344</v>
      </c>
      <c r="Y2128" s="63" t="n">
        <f aca="false">IFERROR(G2128/F2128,0)</f>
        <v>0</v>
      </c>
      <c r="Z2128" s="59" t="n">
        <f aca="false">IF(E2128&gt;0,F2128*1000000000/E2128,"")</f>
        <v>4707.51993188669</v>
      </c>
      <c r="AA2128" s="63" t="n">
        <f aca="false">IFERROR((R2128+S2128+J2128)/F2128,0)</f>
        <v>1</v>
      </c>
      <c r="AB2128" s="0" t="str">
        <f aca="false">A2128&amp;"|"&amp;D2128</f>
        <v>Uruguay|2021</v>
      </c>
    </row>
    <row r="2129" customFormat="false" ht="15" hidden="false" customHeight="false" outlineLevel="0" collapsed="false">
      <c r="A2129" s="0" t="s">
        <v>384</v>
      </c>
      <c r="B2129" s="0" t="s">
        <v>623</v>
      </c>
      <c r="C2129" s="0" t="s">
        <v>127</v>
      </c>
      <c r="D2129" s="0" t="n">
        <v>2022</v>
      </c>
      <c r="E2129" s="59" t="n">
        <v>3390913</v>
      </c>
      <c r="F2129" s="60" t="n">
        <v>14.86</v>
      </c>
      <c r="G2129" s="61" t="n">
        <v>0</v>
      </c>
      <c r="H2129" s="61" t="n">
        <v>0</v>
      </c>
      <c r="I2129" s="61" t="n">
        <v>1.37</v>
      </c>
      <c r="J2129" s="61" t="n">
        <v>0</v>
      </c>
      <c r="K2129" s="61" t="n">
        <v>5.69</v>
      </c>
      <c r="L2129" s="61" t="n">
        <v>0.5</v>
      </c>
      <c r="M2129" s="61" t="n">
        <v>4.78</v>
      </c>
      <c r="N2129" s="61" t="n">
        <v>2.52</v>
      </c>
      <c r="O2129" s="61" t="n">
        <v>0</v>
      </c>
      <c r="P2129" s="62" t="n">
        <v>110.4</v>
      </c>
      <c r="Q2129" s="0" t="n">
        <v>0</v>
      </c>
      <c r="R2129" s="60" t="n">
        <f aca="false">G2129+H2129+I2129</f>
        <v>1.37</v>
      </c>
      <c r="S2129" s="60" t="n">
        <f aca="false">K2129+L2129+M2129+N2129+O2129</f>
        <v>13.49</v>
      </c>
      <c r="T2129" s="60" t="n">
        <f aca="false">L2129+M2129</f>
        <v>5.28</v>
      </c>
      <c r="U2129" s="60" t="n">
        <f aca="false">S2129+J2129</f>
        <v>13.49</v>
      </c>
      <c r="V2129" s="63" t="n">
        <f aca="false">IFERROR(S2129/F2129,0)</f>
        <v>0.907806191117093</v>
      </c>
      <c r="W2129" s="63" t="n">
        <f aca="false">IFERROR(R2129/F2129,0)</f>
        <v>0.0921938088829071</v>
      </c>
      <c r="X2129" s="63" t="n">
        <f aca="false">IFERROR(T2129/F2129,0)</f>
        <v>0.355316285329744</v>
      </c>
      <c r="Y2129" s="63" t="n">
        <f aca="false">IFERROR(G2129/F2129,0)</f>
        <v>0</v>
      </c>
      <c r="Z2129" s="59" t="n">
        <f aca="false">IF(E2129&gt;0,F2129*1000000000/E2129,"")</f>
        <v>4382.30057804491</v>
      </c>
      <c r="AA2129" s="63" t="n">
        <f aca="false">IFERROR((R2129+S2129+J2129)/F2129,0)</f>
        <v>1</v>
      </c>
      <c r="AB2129" s="0" t="str">
        <f aca="false">A2129&amp;"|"&amp;D2129</f>
        <v>Uruguay|2022</v>
      </c>
    </row>
    <row r="2130" customFormat="false" ht="15" hidden="false" customHeight="false" outlineLevel="0" collapsed="false">
      <c r="A2130" s="0" t="s">
        <v>384</v>
      </c>
      <c r="B2130" s="0" t="s">
        <v>623</v>
      </c>
      <c r="C2130" s="0" t="s">
        <v>127</v>
      </c>
      <c r="D2130" s="0" t="n">
        <v>2023</v>
      </c>
      <c r="E2130" s="59" t="n">
        <v>3388083</v>
      </c>
      <c r="F2130" s="60" t="n">
        <v>12.82</v>
      </c>
      <c r="G2130" s="61" t="n">
        <v>0</v>
      </c>
      <c r="H2130" s="61" t="n">
        <v>0</v>
      </c>
      <c r="I2130" s="61" t="n">
        <v>0.97</v>
      </c>
      <c r="J2130" s="61" t="n">
        <v>0</v>
      </c>
      <c r="K2130" s="61" t="n">
        <v>3.52</v>
      </c>
      <c r="L2130" s="61" t="n">
        <v>0.49</v>
      </c>
      <c r="M2130" s="61" t="n">
        <v>4.76</v>
      </c>
      <c r="N2130" s="61" t="n">
        <v>3.08</v>
      </c>
      <c r="O2130" s="61" t="n">
        <v>0</v>
      </c>
      <c r="P2130" s="62" t="n">
        <v>113.1</v>
      </c>
      <c r="Q2130" s="0" t="n">
        <v>0</v>
      </c>
      <c r="R2130" s="60" t="n">
        <f aca="false">G2130+H2130+I2130</f>
        <v>0.97</v>
      </c>
      <c r="S2130" s="60" t="n">
        <f aca="false">K2130+L2130+M2130+N2130+O2130</f>
        <v>11.85</v>
      </c>
      <c r="T2130" s="60" t="n">
        <f aca="false">L2130+M2130</f>
        <v>5.25</v>
      </c>
      <c r="U2130" s="60" t="n">
        <f aca="false">S2130+J2130</f>
        <v>11.85</v>
      </c>
      <c r="V2130" s="63" t="n">
        <f aca="false">IFERROR(S2130/F2130,0)</f>
        <v>0.924336973478939</v>
      </c>
      <c r="W2130" s="63" t="n">
        <f aca="false">IFERROR(R2130/F2130,0)</f>
        <v>0.0756630265210608</v>
      </c>
      <c r="X2130" s="63" t="n">
        <f aca="false">IFERROR(T2130/F2130,0)</f>
        <v>0.409516380655226</v>
      </c>
      <c r="Y2130" s="63" t="n">
        <f aca="false">IFERROR(G2130/F2130,0)</f>
        <v>0</v>
      </c>
      <c r="Z2130" s="59" t="n">
        <f aca="false">IF(E2130&gt;0,F2130*1000000000/E2130,"")</f>
        <v>3783.85063175843</v>
      </c>
      <c r="AA2130" s="63" t="n">
        <f aca="false">IFERROR((R2130+S2130+J2130)/F2130,0)</f>
        <v>1</v>
      </c>
      <c r="AB2130" s="0" t="str">
        <f aca="false">A2130&amp;"|"&amp;D2130</f>
        <v>Uruguay|2023</v>
      </c>
    </row>
    <row r="2131" customFormat="false" ht="15" hidden="false" customHeight="false" outlineLevel="0" collapsed="false">
      <c r="A2131" s="0" t="s">
        <v>384</v>
      </c>
      <c r="B2131" s="0" t="s">
        <v>623</v>
      </c>
      <c r="C2131" s="0" t="s">
        <v>127</v>
      </c>
      <c r="D2131" s="0" t="n">
        <v>2024</v>
      </c>
      <c r="E2131" s="59" t="n">
        <v>3386583</v>
      </c>
      <c r="F2131" s="60" t="n">
        <v>13.37</v>
      </c>
      <c r="G2131" s="61" t="n">
        <v>0</v>
      </c>
      <c r="H2131" s="61" t="n">
        <v>0</v>
      </c>
      <c r="I2131" s="61" t="n">
        <v>0.15</v>
      </c>
      <c r="J2131" s="61" t="n">
        <v>0</v>
      </c>
      <c r="K2131" s="61" t="n">
        <v>4.5</v>
      </c>
      <c r="L2131" s="61" t="n">
        <v>0.56</v>
      </c>
      <c r="M2131" s="61" t="n">
        <v>5.16</v>
      </c>
      <c r="N2131" s="61" t="n">
        <v>3</v>
      </c>
      <c r="O2131" s="61" t="n">
        <v>0</v>
      </c>
      <c r="P2131" s="62" t="n">
        <v>69.6</v>
      </c>
      <c r="Q2131" s="0" t="n">
        <v>0</v>
      </c>
      <c r="R2131" s="60" t="n">
        <f aca="false">G2131+H2131+I2131</f>
        <v>0.15</v>
      </c>
      <c r="S2131" s="60" t="n">
        <f aca="false">K2131+L2131+M2131+N2131+O2131</f>
        <v>13.22</v>
      </c>
      <c r="T2131" s="60" t="n">
        <f aca="false">L2131+M2131</f>
        <v>5.72</v>
      </c>
      <c r="U2131" s="60" t="n">
        <f aca="false">S2131+J2131</f>
        <v>13.22</v>
      </c>
      <c r="V2131" s="63" t="n">
        <f aca="false">IFERROR(S2131/F2131,0)</f>
        <v>0.988780852655198</v>
      </c>
      <c r="W2131" s="63" t="n">
        <f aca="false">IFERROR(R2131/F2131,0)</f>
        <v>0.0112191473448018</v>
      </c>
      <c r="X2131" s="63" t="n">
        <f aca="false">IFERROR(T2131/F2131,0)</f>
        <v>0.427823485415109</v>
      </c>
      <c r="Y2131" s="63" t="n">
        <f aca="false">IFERROR(G2131/F2131,0)</f>
        <v>0</v>
      </c>
      <c r="Z2131" s="59" t="n">
        <f aca="false">IF(E2131&gt;0,F2131*1000000000/E2131,"")</f>
        <v>3947.93217824574</v>
      </c>
      <c r="AA2131" s="63" t="n">
        <f aca="false">IFERROR((R2131+S2131+J2131)/F2131,0)</f>
        <v>1</v>
      </c>
      <c r="AB2131" s="0" t="str">
        <f aca="false">A2131&amp;"|"&amp;D2131</f>
        <v>Uruguay|2024</v>
      </c>
    </row>
    <row r="2132" customFormat="false" ht="15" hidden="false" customHeight="false" outlineLevel="0" collapsed="false">
      <c r="A2132" s="0" t="s">
        <v>384</v>
      </c>
      <c r="B2132" s="0" t="s">
        <v>623</v>
      </c>
      <c r="C2132" s="0" t="s">
        <v>127</v>
      </c>
      <c r="D2132" s="0" t="n">
        <v>2025</v>
      </c>
      <c r="E2132" s="59" t="n">
        <v>3384686</v>
      </c>
      <c r="F2132" s="60" t="n">
        <v>11.94</v>
      </c>
      <c r="G2132" s="61" t="n">
        <v>0</v>
      </c>
      <c r="H2132" s="61" t="n">
        <v>0</v>
      </c>
      <c r="I2132" s="61" t="n">
        <v>0.26</v>
      </c>
      <c r="J2132" s="61" t="n">
        <v>0</v>
      </c>
      <c r="K2132" s="61" t="n">
        <v>3.25</v>
      </c>
      <c r="L2132" s="61" t="n">
        <v>0.61</v>
      </c>
      <c r="M2132" s="61" t="n">
        <v>4.85</v>
      </c>
      <c r="N2132" s="61" t="n">
        <v>2.97</v>
      </c>
      <c r="O2132" s="61" t="n">
        <v>0</v>
      </c>
      <c r="P2132" s="62" t="n">
        <v>80.4</v>
      </c>
      <c r="Q2132" s="0" t="n">
        <v>0</v>
      </c>
      <c r="R2132" s="60" t="n">
        <f aca="false">G2132+H2132+I2132</f>
        <v>0.26</v>
      </c>
      <c r="S2132" s="60" t="n">
        <f aca="false">K2132+L2132+M2132+N2132+O2132</f>
        <v>11.68</v>
      </c>
      <c r="T2132" s="60" t="n">
        <f aca="false">L2132+M2132</f>
        <v>5.46</v>
      </c>
      <c r="U2132" s="60" t="n">
        <f aca="false">S2132+J2132</f>
        <v>11.68</v>
      </c>
      <c r="V2132" s="63" t="n">
        <f aca="false">IFERROR(S2132/F2132,0)</f>
        <v>0.97822445561139</v>
      </c>
      <c r="W2132" s="63" t="n">
        <f aca="false">IFERROR(R2132/F2132,0)</f>
        <v>0.0217755443886097</v>
      </c>
      <c r="X2132" s="63" t="n">
        <f aca="false">IFERROR(T2132/F2132,0)</f>
        <v>0.457286432160804</v>
      </c>
      <c r="Y2132" s="63" t="n">
        <f aca="false">IFERROR(G2132/F2132,0)</f>
        <v>0</v>
      </c>
      <c r="Z2132" s="59" t="n">
        <f aca="false">IF(E2132&gt;0,F2132*1000000000/E2132,"")</f>
        <v>3527.65367304382</v>
      </c>
      <c r="AA2132" s="63" t="n">
        <f aca="false">IFERROR((R2132+S2132+J2132)/F2132,0)</f>
        <v>1</v>
      </c>
      <c r="AB2132" s="0" t="str">
        <f aca="false">A2132&amp;"|"&amp;D2132</f>
        <v>Uruguay|2025</v>
      </c>
    </row>
    <row r="2133" customFormat="false" ht="15" hidden="false" customHeight="false" outlineLevel="0" collapsed="false">
      <c r="A2133" s="0" t="s">
        <v>385</v>
      </c>
      <c r="B2133" s="0" t="s">
        <v>624</v>
      </c>
      <c r="C2133" s="0" t="s">
        <v>127</v>
      </c>
      <c r="D2133" s="0" t="n">
        <v>2015</v>
      </c>
      <c r="E2133" s="59" t="n">
        <v>30749349</v>
      </c>
      <c r="F2133" s="60" t="n">
        <v>57.41</v>
      </c>
      <c r="G2133" s="61" t="n">
        <v>1.94</v>
      </c>
      <c r="H2133" s="61" t="n">
        <v>48.5</v>
      </c>
      <c r="I2133" s="61" t="n">
        <v>0.15</v>
      </c>
      <c r="J2133" s="61" t="n">
        <v>0</v>
      </c>
      <c r="K2133" s="61" t="n">
        <v>6.82</v>
      </c>
      <c r="L2133" s="61" t="n">
        <v>0</v>
      </c>
      <c r="M2133" s="61" t="n">
        <v>0</v>
      </c>
      <c r="N2133" s="61" t="n">
        <v>0</v>
      </c>
      <c r="O2133" s="61" t="n">
        <v>0</v>
      </c>
      <c r="P2133" s="62" t="n">
        <v>1111.7</v>
      </c>
      <c r="Q2133" s="0" t="n">
        <v>0</v>
      </c>
      <c r="R2133" s="60" t="n">
        <f aca="false">G2133+H2133+I2133</f>
        <v>50.59</v>
      </c>
      <c r="S2133" s="60" t="n">
        <f aca="false">K2133+L2133+M2133+N2133+O2133</f>
        <v>6.82</v>
      </c>
      <c r="T2133" s="60" t="n">
        <f aca="false">L2133+M2133</f>
        <v>0</v>
      </c>
      <c r="U2133" s="60" t="n">
        <f aca="false">S2133+J2133</f>
        <v>6.82</v>
      </c>
      <c r="V2133" s="63" t="n">
        <f aca="false">IFERROR(S2133/F2133,0)</f>
        <v>0.118794635080996</v>
      </c>
      <c r="W2133" s="63" t="n">
        <f aca="false">IFERROR(R2133/F2133,0)</f>
        <v>0.881205364919004</v>
      </c>
      <c r="X2133" s="63" t="n">
        <f aca="false">IFERROR(T2133/F2133,0)</f>
        <v>0</v>
      </c>
      <c r="Y2133" s="63" t="n">
        <f aca="false">IFERROR(G2133/F2133,0)</f>
        <v>0.0337920222957673</v>
      </c>
      <c r="Z2133" s="59" t="n">
        <f aca="false">IF(E2133&gt;0,F2133*1000000000/E2133,"")</f>
        <v>1867.03139633948</v>
      </c>
      <c r="AA2133" s="63" t="n">
        <f aca="false">IFERROR((R2133+S2133+J2133)/F2133,0)</f>
        <v>1</v>
      </c>
      <c r="AB2133" s="0" t="str">
        <f aca="false">A2133&amp;"|"&amp;D2133</f>
        <v>Uzbekistan|2015</v>
      </c>
    </row>
    <row r="2134" customFormat="false" ht="15" hidden="false" customHeight="false" outlineLevel="0" collapsed="false">
      <c r="A2134" s="0" t="s">
        <v>385</v>
      </c>
      <c r="B2134" s="0" t="s">
        <v>624</v>
      </c>
      <c r="C2134" s="0" t="s">
        <v>127</v>
      </c>
      <c r="D2134" s="0" t="n">
        <v>2016</v>
      </c>
      <c r="E2134" s="59" t="n">
        <v>31284565</v>
      </c>
      <c r="F2134" s="60" t="n">
        <v>58.71</v>
      </c>
      <c r="G2134" s="61" t="n">
        <v>1.99</v>
      </c>
      <c r="H2134" s="61" t="n">
        <v>49.71</v>
      </c>
      <c r="I2134" s="61" t="n">
        <v>0.15</v>
      </c>
      <c r="J2134" s="61" t="n">
        <v>0</v>
      </c>
      <c r="K2134" s="61" t="n">
        <v>6.86</v>
      </c>
      <c r="L2134" s="61" t="n">
        <v>0</v>
      </c>
      <c r="M2134" s="61" t="n">
        <v>0</v>
      </c>
      <c r="N2134" s="61" t="n">
        <v>0</v>
      </c>
      <c r="O2134" s="61" t="n">
        <v>0</v>
      </c>
      <c r="P2134" s="62" t="n">
        <v>1114.1</v>
      </c>
      <c r="Q2134" s="0" t="n">
        <v>0</v>
      </c>
      <c r="R2134" s="60" t="n">
        <f aca="false">G2134+H2134+I2134</f>
        <v>51.85</v>
      </c>
      <c r="S2134" s="60" t="n">
        <f aca="false">K2134+L2134+M2134+N2134+O2134</f>
        <v>6.86</v>
      </c>
      <c r="T2134" s="60" t="n">
        <f aca="false">L2134+M2134</f>
        <v>0</v>
      </c>
      <c r="U2134" s="60" t="n">
        <f aca="false">S2134+J2134</f>
        <v>6.86</v>
      </c>
      <c r="V2134" s="63" t="n">
        <f aca="false">IFERROR(S2134/F2134,0)</f>
        <v>0.116845511837847</v>
      </c>
      <c r="W2134" s="63" t="n">
        <f aca="false">IFERROR(R2134/F2134,0)</f>
        <v>0.883154488162153</v>
      </c>
      <c r="X2134" s="63" t="n">
        <f aca="false">IFERROR(T2134/F2134,0)</f>
        <v>0</v>
      </c>
      <c r="Y2134" s="63" t="n">
        <f aca="false">IFERROR(G2134/F2134,0)</f>
        <v>0.0338954181570431</v>
      </c>
      <c r="Z2134" s="59" t="n">
        <f aca="false">IF(E2134&gt;0,F2134*1000000000/E2134,"")</f>
        <v>1876.64428129335</v>
      </c>
      <c r="AA2134" s="63" t="n">
        <f aca="false">IFERROR((R2134+S2134+J2134)/F2134,0)</f>
        <v>1</v>
      </c>
      <c r="AB2134" s="0" t="str">
        <f aca="false">A2134&amp;"|"&amp;D2134</f>
        <v>Uzbekistan|2016</v>
      </c>
    </row>
    <row r="2135" customFormat="false" ht="15" hidden="false" customHeight="false" outlineLevel="0" collapsed="false">
      <c r="A2135" s="0" t="s">
        <v>385</v>
      </c>
      <c r="B2135" s="0" t="s">
        <v>624</v>
      </c>
      <c r="C2135" s="0" t="s">
        <v>127</v>
      </c>
      <c r="D2135" s="0" t="n">
        <v>2017</v>
      </c>
      <c r="E2135" s="59" t="n">
        <v>31819172</v>
      </c>
      <c r="F2135" s="60" t="n">
        <v>60.84</v>
      </c>
      <c r="G2135" s="61" t="n">
        <v>2.09</v>
      </c>
      <c r="H2135" s="61" t="n">
        <v>50.65</v>
      </c>
      <c r="I2135" s="61" t="n">
        <v>0.16</v>
      </c>
      <c r="J2135" s="61" t="n">
        <v>0</v>
      </c>
      <c r="K2135" s="61" t="n">
        <v>7.93</v>
      </c>
      <c r="L2135" s="61" t="n">
        <v>0.01</v>
      </c>
      <c r="M2135" s="61" t="n">
        <v>0</v>
      </c>
      <c r="N2135" s="61" t="n">
        <v>0</v>
      </c>
      <c r="O2135" s="61" t="n">
        <v>0</v>
      </c>
      <c r="P2135" s="62" t="n">
        <v>1097</v>
      </c>
      <c r="Q2135" s="0" t="n">
        <v>0</v>
      </c>
      <c r="R2135" s="60" t="n">
        <f aca="false">G2135+H2135+I2135</f>
        <v>52.9</v>
      </c>
      <c r="S2135" s="60" t="n">
        <f aca="false">K2135+L2135+M2135+N2135+O2135</f>
        <v>7.94</v>
      </c>
      <c r="T2135" s="60" t="n">
        <f aca="false">L2135+M2135</f>
        <v>0.01</v>
      </c>
      <c r="U2135" s="60" t="n">
        <f aca="false">S2135+J2135</f>
        <v>7.94</v>
      </c>
      <c r="V2135" s="63" t="n">
        <f aca="false">IFERROR(S2135/F2135,0)</f>
        <v>0.130506245890861</v>
      </c>
      <c r="W2135" s="63" t="n">
        <f aca="false">IFERROR(R2135/F2135,0)</f>
        <v>0.869493754109139</v>
      </c>
      <c r="X2135" s="63" t="n">
        <f aca="false">IFERROR(T2135/F2135,0)</f>
        <v>0.000164365548980934</v>
      </c>
      <c r="Y2135" s="63" t="n">
        <f aca="false">IFERROR(G2135/F2135,0)</f>
        <v>0.0343523997370151</v>
      </c>
      <c r="Z2135" s="59" t="n">
        <f aca="false">IF(E2135&gt;0,F2135*1000000000/E2135,"")</f>
        <v>1912.05478256945</v>
      </c>
      <c r="AA2135" s="63" t="n">
        <f aca="false">IFERROR((R2135+S2135+J2135)/F2135,0)</f>
        <v>1</v>
      </c>
      <c r="AB2135" s="0" t="str">
        <f aca="false">A2135&amp;"|"&amp;D2135</f>
        <v>Uzbekistan|2017</v>
      </c>
    </row>
    <row r="2136" customFormat="false" ht="15" hidden="false" customHeight="false" outlineLevel="0" collapsed="false">
      <c r="A2136" s="0" t="s">
        <v>385</v>
      </c>
      <c r="B2136" s="0" t="s">
        <v>624</v>
      </c>
      <c r="C2136" s="0" t="s">
        <v>127</v>
      </c>
      <c r="D2136" s="0" t="n">
        <v>2018</v>
      </c>
      <c r="E2136" s="59" t="n">
        <v>32373489</v>
      </c>
      <c r="F2136" s="60" t="n">
        <v>63.15</v>
      </c>
      <c r="G2136" s="61" t="n">
        <v>2.35</v>
      </c>
      <c r="H2136" s="61" t="n">
        <v>54.43</v>
      </c>
      <c r="I2136" s="61" t="n">
        <v>0.46</v>
      </c>
      <c r="J2136" s="61" t="n">
        <v>0</v>
      </c>
      <c r="K2136" s="61" t="n">
        <v>5.9</v>
      </c>
      <c r="L2136" s="61" t="n">
        <v>0.01</v>
      </c>
      <c r="M2136" s="61" t="n">
        <v>0</v>
      </c>
      <c r="N2136" s="61" t="n">
        <v>0</v>
      </c>
      <c r="O2136" s="61" t="n">
        <v>0</v>
      </c>
      <c r="P2136" s="62" t="n">
        <v>1139.2</v>
      </c>
      <c r="Q2136" s="0" t="n">
        <v>0</v>
      </c>
      <c r="R2136" s="60" t="n">
        <f aca="false">G2136+H2136+I2136</f>
        <v>57.24</v>
      </c>
      <c r="S2136" s="60" t="n">
        <f aca="false">K2136+L2136+M2136+N2136+O2136</f>
        <v>5.91</v>
      </c>
      <c r="T2136" s="60" t="n">
        <f aca="false">L2136+M2136</f>
        <v>0.01</v>
      </c>
      <c r="U2136" s="60" t="n">
        <f aca="false">S2136+J2136</f>
        <v>5.91</v>
      </c>
      <c r="V2136" s="63" t="n">
        <f aca="false">IFERROR(S2136/F2136,0)</f>
        <v>0.0935866983372922</v>
      </c>
      <c r="W2136" s="63" t="n">
        <f aca="false">IFERROR(R2136/F2136,0)</f>
        <v>0.906413301662708</v>
      </c>
      <c r="X2136" s="63" t="n">
        <f aca="false">IFERROR(T2136/F2136,0)</f>
        <v>0.000158353127474268</v>
      </c>
      <c r="Y2136" s="63" t="n">
        <f aca="false">IFERROR(G2136/F2136,0)</f>
        <v>0.0372129849564529</v>
      </c>
      <c r="Z2136" s="59" t="n">
        <f aca="false">IF(E2136&gt;0,F2136*1000000000/E2136,"")</f>
        <v>1950.67019189683</v>
      </c>
      <c r="AA2136" s="63" t="n">
        <f aca="false">IFERROR((R2136+S2136+J2136)/F2136,0)</f>
        <v>1</v>
      </c>
      <c r="AB2136" s="0" t="str">
        <f aca="false">A2136&amp;"|"&amp;D2136</f>
        <v>Uzbekistan|2018</v>
      </c>
    </row>
    <row r="2137" customFormat="false" ht="15" hidden="false" customHeight="false" outlineLevel="0" collapsed="false">
      <c r="A2137" s="0" t="s">
        <v>385</v>
      </c>
      <c r="B2137" s="0" t="s">
        <v>624</v>
      </c>
      <c r="C2137" s="0" t="s">
        <v>127</v>
      </c>
      <c r="D2137" s="0" t="n">
        <v>2019</v>
      </c>
      <c r="E2137" s="59" t="n">
        <v>32964700</v>
      </c>
      <c r="F2137" s="60" t="n">
        <v>63.56</v>
      </c>
      <c r="G2137" s="61" t="n">
        <v>3.82</v>
      </c>
      <c r="H2137" s="61" t="n">
        <v>52.56</v>
      </c>
      <c r="I2137" s="61" t="n">
        <v>0.71</v>
      </c>
      <c r="J2137" s="61" t="n">
        <v>0</v>
      </c>
      <c r="K2137" s="61" t="n">
        <v>6.46</v>
      </c>
      <c r="L2137" s="61" t="n">
        <v>0.01</v>
      </c>
      <c r="M2137" s="61" t="n">
        <v>0</v>
      </c>
      <c r="N2137" s="61" t="n">
        <v>0</v>
      </c>
      <c r="O2137" s="61" t="n">
        <v>0</v>
      </c>
      <c r="P2137" s="62" t="n">
        <v>1119.3</v>
      </c>
      <c r="Q2137" s="0" t="n">
        <v>0</v>
      </c>
      <c r="R2137" s="60" t="n">
        <f aca="false">G2137+H2137+I2137</f>
        <v>57.09</v>
      </c>
      <c r="S2137" s="60" t="n">
        <f aca="false">K2137+L2137+M2137+N2137+O2137</f>
        <v>6.47</v>
      </c>
      <c r="T2137" s="60" t="n">
        <f aca="false">L2137+M2137</f>
        <v>0.01</v>
      </c>
      <c r="U2137" s="60" t="n">
        <f aca="false">S2137+J2137</f>
        <v>6.47</v>
      </c>
      <c r="V2137" s="63" t="n">
        <f aca="false">IFERROR(S2137/F2137,0)</f>
        <v>0.101793580868471</v>
      </c>
      <c r="W2137" s="63" t="n">
        <f aca="false">IFERROR(R2137/F2137,0)</f>
        <v>0.898206419131529</v>
      </c>
      <c r="X2137" s="63" t="n">
        <f aca="false">IFERROR(T2137/F2137,0)</f>
        <v>0.000157331655129012</v>
      </c>
      <c r="Y2137" s="63" t="n">
        <f aca="false">IFERROR(G2137/F2137,0)</f>
        <v>0.0601006922592826</v>
      </c>
      <c r="Z2137" s="59" t="n">
        <f aca="false">IF(E2137&gt;0,F2137*1000000000/E2137,"")</f>
        <v>1928.12311351233</v>
      </c>
      <c r="AA2137" s="63" t="n">
        <f aca="false">IFERROR((R2137+S2137+J2137)/F2137,0)</f>
        <v>1</v>
      </c>
      <c r="AB2137" s="0" t="str">
        <f aca="false">A2137&amp;"|"&amp;D2137</f>
        <v>Uzbekistan|2019</v>
      </c>
    </row>
    <row r="2138" customFormat="false" ht="15" hidden="false" customHeight="false" outlineLevel="0" collapsed="false">
      <c r="A2138" s="0" t="s">
        <v>385</v>
      </c>
      <c r="B2138" s="0" t="s">
        <v>624</v>
      </c>
      <c r="C2138" s="0" t="s">
        <v>127</v>
      </c>
      <c r="D2138" s="0" t="n">
        <v>2020</v>
      </c>
      <c r="E2138" s="59" t="n">
        <v>33586373</v>
      </c>
      <c r="F2138" s="60" t="n">
        <v>66.53</v>
      </c>
      <c r="G2138" s="61" t="n">
        <v>5.2</v>
      </c>
      <c r="H2138" s="61" t="n">
        <v>55.84</v>
      </c>
      <c r="I2138" s="61" t="n">
        <v>0.48</v>
      </c>
      <c r="J2138" s="61" t="n">
        <v>0</v>
      </c>
      <c r="K2138" s="61" t="n">
        <v>5</v>
      </c>
      <c r="L2138" s="61" t="n">
        <v>0.01</v>
      </c>
      <c r="M2138" s="61" t="n">
        <v>0</v>
      </c>
      <c r="N2138" s="61" t="n">
        <v>0</v>
      </c>
      <c r="O2138" s="61" t="n">
        <v>0</v>
      </c>
      <c r="P2138" s="62" t="n">
        <v>1149.1</v>
      </c>
      <c r="Q2138" s="0" t="n">
        <v>0</v>
      </c>
      <c r="R2138" s="60" t="n">
        <f aca="false">G2138+H2138+I2138</f>
        <v>61.52</v>
      </c>
      <c r="S2138" s="60" t="n">
        <f aca="false">K2138+L2138+M2138+N2138+O2138</f>
        <v>5.01</v>
      </c>
      <c r="T2138" s="60" t="n">
        <f aca="false">L2138+M2138</f>
        <v>0.01</v>
      </c>
      <c r="U2138" s="60" t="n">
        <f aca="false">S2138+J2138</f>
        <v>5.01</v>
      </c>
      <c r="V2138" s="63" t="n">
        <f aca="false">IFERROR(S2138/F2138,0)</f>
        <v>0.0753043739666316</v>
      </c>
      <c r="W2138" s="63" t="n">
        <f aca="false">IFERROR(R2138/F2138,0)</f>
        <v>0.924695626033368</v>
      </c>
      <c r="X2138" s="63" t="n">
        <f aca="false">IFERROR(T2138/F2138,0)</f>
        <v>0.000150308131669923</v>
      </c>
      <c r="Y2138" s="63" t="n">
        <f aca="false">IFERROR(G2138/F2138,0)</f>
        <v>0.0781602284683601</v>
      </c>
      <c r="Z2138" s="59" t="n">
        <f aca="false">IF(E2138&gt;0,F2138*1000000000/E2138,"")</f>
        <v>1980.86289341216</v>
      </c>
      <c r="AA2138" s="63" t="n">
        <f aca="false">IFERROR((R2138+S2138+J2138)/F2138,0)</f>
        <v>1</v>
      </c>
      <c r="AB2138" s="0" t="str">
        <f aca="false">A2138&amp;"|"&amp;D2138</f>
        <v>Uzbekistan|2020</v>
      </c>
    </row>
    <row r="2139" customFormat="false" ht="15" hidden="false" customHeight="false" outlineLevel="0" collapsed="false">
      <c r="A2139" s="0" t="s">
        <v>385</v>
      </c>
      <c r="B2139" s="0" t="s">
        <v>624</v>
      </c>
      <c r="C2139" s="0" t="s">
        <v>127</v>
      </c>
      <c r="D2139" s="0" t="n">
        <v>2021</v>
      </c>
      <c r="E2139" s="59" t="n">
        <v>34243696</v>
      </c>
      <c r="F2139" s="60" t="n">
        <v>71.44</v>
      </c>
      <c r="G2139" s="61" t="n">
        <v>4.96</v>
      </c>
      <c r="H2139" s="61" t="n">
        <v>60.06</v>
      </c>
      <c r="I2139" s="61" t="n">
        <v>1.4</v>
      </c>
      <c r="J2139" s="61" t="n">
        <v>0</v>
      </c>
      <c r="K2139" s="61" t="n">
        <v>4.97</v>
      </c>
      <c r="L2139" s="61" t="n">
        <v>0.05</v>
      </c>
      <c r="M2139" s="61" t="n">
        <v>0</v>
      </c>
      <c r="N2139" s="61" t="n">
        <v>0</v>
      </c>
      <c r="O2139" s="61" t="n">
        <v>0</v>
      </c>
      <c r="P2139" s="62" t="n">
        <v>1150.5</v>
      </c>
      <c r="Q2139" s="0" t="n">
        <v>0</v>
      </c>
      <c r="R2139" s="60" t="n">
        <f aca="false">G2139+H2139+I2139</f>
        <v>66.42</v>
      </c>
      <c r="S2139" s="60" t="n">
        <f aca="false">K2139+L2139+M2139+N2139+O2139</f>
        <v>5.02</v>
      </c>
      <c r="T2139" s="60" t="n">
        <f aca="false">L2139+M2139</f>
        <v>0.05</v>
      </c>
      <c r="U2139" s="60" t="n">
        <f aca="false">S2139+J2139</f>
        <v>5.02</v>
      </c>
      <c r="V2139" s="63" t="n">
        <f aca="false">IFERROR(S2139/F2139,0)</f>
        <v>0.0702687569988802</v>
      </c>
      <c r="W2139" s="63" t="n">
        <f aca="false">IFERROR(R2139/F2139,0)</f>
        <v>0.92973124300112</v>
      </c>
      <c r="X2139" s="63" t="n">
        <f aca="false">IFERROR(T2139/F2139,0)</f>
        <v>0.000699888017917133</v>
      </c>
      <c r="Y2139" s="63" t="n">
        <f aca="false">IFERROR(G2139/F2139,0)</f>
        <v>0.0694288913773796</v>
      </c>
      <c r="Z2139" s="59" t="n">
        <f aca="false">IF(E2139&gt;0,F2139*1000000000/E2139,"")</f>
        <v>2086.22340298781</v>
      </c>
      <c r="AA2139" s="63" t="n">
        <f aca="false">IFERROR((R2139+S2139+J2139)/F2139,0)</f>
        <v>1</v>
      </c>
      <c r="AB2139" s="0" t="str">
        <f aca="false">A2139&amp;"|"&amp;D2139</f>
        <v>Uzbekistan|2021</v>
      </c>
    </row>
    <row r="2140" customFormat="false" ht="15" hidden="false" customHeight="false" outlineLevel="0" collapsed="false">
      <c r="A2140" s="0" t="s">
        <v>385</v>
      </c>
      <c r="B2140" s="0" t="s">
        <v>624</v>
      </c>
      <c r="C2140" s="0" t="s">
        <v>127</v>
      </c>
      <c r="D2140" s="0" t="n">
        <v>2022</v>
      </c>
      <c r="E2140" s="59" t="n">
        <v>34938953</v>
      </c>
      <c r="F2140" s="60" t="n">
        <v>75.07</v>
      </c>
      <c r="G2140" s="61" t="n">
        <v>5.64</v>
      </c>
      <c r="H2140" s="61" t="n">
        <v>61.03</v>
      </c>
      <c r="I2140" s="61" t="n">
        <v>1.48</v>
      </c>
      <c r="J2140" s="61" t="n">
        <v>0</v>
      </c>
      <c r="K2140" s="61" t="n">
        <v>6.48</v>
      </c>
      <c r="L2140" s="61" t="n">
        <v>0.44</v>
      </c>
      <c r="M2140" s="61" t="n">
        <v>0</v>
      </c>
      <c r="N2140" s="61" t="n">
        <v>0</v>
      </c>
      <c r="O2140" s="61" t="n">
        <v>0</v>
      </c>
      <c r="P2140" s="62" t="n">
        <v>1121.3</v>
      </c>
      <c r="Q2140" s="0" t="n">
        <v>0</v>
      </c>
      <c r="R2140" s="60" t="n">
        <f aca="false">G2140+H2140+I2140</f>
        <v>68.15</v>
      </c>
      <c r="S2140" s="60" t="n">
        <f aca="false">K2140+L2140+M2140+N2140+O2140</f>
        <v>6.92</v>
      </c>
      <c r="T2140" s="60" t="n">
        <f aca="false">L2140+M2140</f>
        <v>0.44</v>
      </c>
      <c r="U2140" s="60" t="n">
        <f aca="false">S2140+J2140</f>
        <v>6.92</v>
      </c>
      <c r="V2140" s="63" t="n">
        <f aca="false">IFERROR(S2140/F2140,0)</f>
        <v>0.0921806314106834</v>
      </c>
      <c r="W2140" s="63" t="n">
        <f aca="false">IFERROR(R2140/F2140,0)</f>
        <v>0.907819368589317</v>
      </c>
      <c r="X2140" s="63" t="n">
        <f aca="false">IFERROR(T2140/F2140,0)</f>
        <v>0.00586119621686426</v>
      </c>
      <c r="Y2140" s="63" t="n">
        <f aca="false">IFERROR(G2140/F2140,0)</f>
        <v>0.0751298787798055</v>
      </c>
      <c r="Z2140" s="59" t="n">
        <f aca="false">IF(E2140&gt;0,F2140*1000000000/E2140,"")</f>
        <v>2148.60473924333</v>
      </c>
      <c r="AA2140" s="63" t="n">
        <f aca="false">IFERROR((R2140+S2140+J2140)/F2140,0)</f>
        <v>1</v>
      </c>
      <c r="AB2140" s="0" t="str">
        <f aca="false">A2140&amp;"|"&amp;D2140</f>
        <v>Uzbekistan|2022</v>
      </c>
    </row>
    <row r="2141" customFormat="false" ht="15" hidden="false" customHeight="false" outlineLevel="0" collapsed="false">
      <c r="A2141" s="0" t="s">
        <v>385</v>
      </c>
      <c r="B2141" s="0" t="s">
        <v>624</v>
      </c>
      <c r="C2141" s="0" t="s">
        <v>127</v>
      </c>
      <c r="D2141" s="0" t="n">
        <v>2023</v>
      </c>
      <c r="E2141" s="59" t="n">
        <v>35652311</v>
      </c>
      <c r="F2141" s="60" t="n">
        <v>76.8</v>
      </c>
      <c r="G2141" s="61" t="n">
        <v>5.7</v>
      </c>
      <c r="H2141" s="61" t="n">
        <v>62</v>
      </c>
      <c r="I2141" s="61" t="n">
        <v>1.5</v>
      </c>
      <c r="J2141" s="61" t="n">
        <v>0</v>
      </c>
      <c r="K2141" s="61" t="n">
        <v>6.6</v>
      </c>
      <c r="L2141" s="61" t="n">
        <v>0.45</v>
      </c>
      <c r="M2141" s="61" t="n">
        <v>0.55</v>
      </c>
      <c r="N2141" s="61" t="n">
        <v>0</v>
      </c>
      <c r="O2141" s="61" t="n">
        <v>0</v>
      </c>
      <c r="P2141" s="62" t="n">
        <v>1113.3</v>
      </c>
      <c r="Q2141" s="0" t="n">
        <v>0</v>
      </c>
      <c r="R2141" s="60" t="n">
        <f aca="false">G2141+H2141+I2141</f>
        <v>69.2</v>
      </c>
      <c r="S2141" s="60" t="n">
        <f aca="false">K2141+L2141+M2141+N2141+O2141</f>
        <v>7.6</v>
      </c>
      <c r="T2141" s="60" t="n">
        <f aca="false">L2141+M2141</f>
        <v>1</v>
      </c>
      <c r="U2141" s="60" t="n">
        <f aca="false">S2141+J2141</f>
        <v>7.6</v>
      </c>
      <c r="V2141" s="63" t="n">
        <f aca="false">IFERROR(S2141/F2141,0)</f>
        <v>0.0989583333333333</v>
      </c>
      <c r="W2141" s="63" t="n">
        <f aca="false">IFERROR(R2141/F2141,0)</f>
        <v>0.901041666666667</v>
      </c>
      <c r="X2141" s="63" t="n">
        <f aca="false">IFERROR(T2141/F2141,0)</f>
        <v>0.0130208333333333</v>
      </c>
      <c r="Y2141" s="63" t="n">
        <f aca="false">IFERROR(G2141/F2141,0)</f>
        <v>0.07421875</v>
      </c>
      <c r="Z2141" s="59" t="n">
        <f aca="false">IF(E2141&gt;0,F2141*1000000000/E2141,"")</f>
        <v>2154.13805853988</v>
      </c>
      <c r="AA2141" s="63" t="n">
        <f aca="false">IFERROR((R2141+S2141+J2141)/F2141,0)</f>
        <v>1</v>
      </c>
      <c r="AB2141" s="0" t="str">
        <f aca="false">A2141&amp;"|"&amp;D2141</f>
        <v>Uzbekistan|2023</v>
      </c>
    </row>
    <row r="2142" customFormat="false" ht="15" hidden="false" customHeight="false" outlineLevel="0" collapsed="false">
      <c r="A2142" s="0" t="s">
        <v>385</v>
      </c>
      <c r="B2142" s="0" t="s">
        <v>624</v>
      </c>
      <c r="C2142" s="0" t="s">
        <v>127</v>
      </c>
      <c r="D2142" s="0" t="n">
        <v>2024</v>
      </c>
      <c r="E2142" s="59" t="n">
        <v>36361859</v>
      </c>
      <c r="F2142" s="60" t="n">
        <v>81.5</v>
      </c>
      <c r="G2142" s="61" t="n">
        <v>5.7</v>
      </c>
      <c r="H2142" s="61" t="n">
        <v>61.3</v>
      </c>
      <c r="I2142" s="61" t="n">
        <v>1.5</v>
      </c>
      <c r="J2142" s="61" t="n">
        <v>0</v>
      </c>
      <c r="K2142" s="61" t="n">
        <v>8.2</v>
      </c>
      <c r="L2142" s="61" t="n">
        <v>2.9</v>
      </c>
      <c r="M2142" s="61" t="n">
        <v>1.9</v>
      </c>
      <c r="N2142" s="61" t="n">
        <v>0</v>
      </c>
      <c r="O2142" s="61" t="n">
        <v>0</v>
      </c>
      <c r="P2142" s="62" t="n">
        <v>1040.1</v>
      </c>
      <c r="Q2142" s="0" t="n">
        <v>0</v>
      </c>
      <c r="R2142" s="60" t="n">
        <f aca="false">G2142+H2142+I2142</f>
        <v>68.5</v>
      </c>
      <c r="S2142" s="60" t="n">
        <f aca="false">K2142+L2142+M2142+N2142+O2142</f>
        <v>13</v>
      </c>
      <c r="T2142" s="60" t="n">
        <f aca="false">L2142+M2142</f>
        <v>4.8</v>
      </c>
      <c r="U2142" s="60" t="n">
        <f aca="false">S2142+J2142</f>
        <v>13</v>
      </c>
      <c r="V2142" s="63" t="n">
        <f aca="false">IFERROR(S2142/F2142,0)</f>
        <v>0.159509202453988</v>
      </c>
      <c r="W2142" s="63" t="n">
        <f aca="false">IFERROR(R2142/F2142,0)</f>
        <v>0.840490797546012</v>
      </c>
      <c r="X2142" s="63" t="n">
        <f aca="false">IFERROR(T2142/F2142,0)</f>
        <v>0.0588957055214724</v>
      </c>
      <c r="Y2142" s="63" t="n">
        <f aca="false">IFERROR(G2142/F2142,0)</f>
        <v>0.0699386503067485</v>
      </c>
      <c r="Z2142" s="59" t="n">
        <f aca="false">IF(E2142&gt;0,F2142*1000000000/E2142,"")</f>
        <v>2241.35955205151</v>
      </c>
      <c r="AA2142" s="63" t="n">
        <f aca="false">IFERROR((R2142+S2142+J2142)/F2142,0)</f>
        <v>1</v>
      </c>
      <c r="AB2142" s="0" t="str">
        <f aca="false">A2142&amp;"|"&amp;D2142</f>
        <v>Uzbekistan|2024</v>
      </c>
    </row>
    <row r="2143" customFormat="false" ht="15" hidden="false" customHeight="false" outlineLevel="0" collapsed="false">
      <c r="A2143" s="0" t="s">
        <v>385</v>
      </c>
      <c r="B2143" s="0" t="s">
        <v>624</v>
      </c>
      <c r="C2143" s="0" t="s">
        <v>127</v>
      </c>
      <c r="D2143" s="0" t="n">
        <v>2025</v>
      </c>
      <c r="E2143" s="59" t="n">
        <v>37053428</v>
      </c>
      <c r="F2143" s="60" t="n">
        <v>86.7</v>
      </c>
      <c r="G2143" s="61" t="n">
        <v>5.7</v>
      </c>
      <c r="H2143" s="61" t="n">
        <v>62.7</v>
      </c>
      <c r="I2143" s="61" t="n">
        <v>1.5</v>
      </c>
      <c r="J2143" s="61" t="n">
        <v>0</v>
      </c>
      <c r="K2143" s="61" t="n">
        <v>6.3</v>
      </c>
      <c r="L2143" s="61" t="n">
        <v>6.5</v>
      </c>
      <c r="M2143" s="61" t="n">
        <v>4</v>
      </c>
      <c r="N2143" s="61" t="n">
        <v>0</v>
      </c>
      <c r="O2143" s="61" t="n">
        <v>0</v>
      </c>
      <c r="P2143" s="62" t="n">
        <v>1000</v>
      </c>
      <c r="Q2143" s="0" t="n">
        <v>0</v>
      </c>
      <c r="R2143" s="60" t="n">
        <f aca="false">G2143+H2143+I2143</f>
        <v>69.9</v>
      </c>
      <c r="S2143" s="60" t="n">
        <f aca="false">K2143+L2143+M2143+N2143+O2143</f>
        <v>16.8</v>
      </c>
      <c r="T2143" s="60" t="n">
        <f aca="false">L2143+M2143</f>
        <v>10.5</v>
      </c>
      <c r="U2143" s="60" t="n">
        <f aca="false">S2143+J2143</f>
        <v>16.8</v>
      </c>
      <c r="V2143" s="63" t="n">
        <f aca="false">IFERROR(S2143/F2143,0)</f>
        <v>0.193771626297578</v>
      </c>
      <c r="W2143" s="63" t="n">
        <f aca="false">IFERROR(R2143/F2143,0)</f>
        <v>0.806228373702422</v>
      </c>
      <c r="X2143" s="63" t="n">
        <f aca="false">IFERROR(T2143/F2143,0)</f>
        <v>0.121107266435986</v>
      </c>
      <c r="Y2143" s="63" t="n">
        <f aca="false">IFERROR(G2143/F2143,0)</f>
        <v>0.0657439446366782</v>
      </c>
      <c r="Z2143" s="59" t="n">
        <f aca="false">IF(E2143&gt;0,F2143*1000000000/E2143,"")</f>
        <v>2339.86447893566</v>
      </c>
      <c r="AA2143" s="63" t="n">
        <f aca="false">IFERROR((R2143+S2143+J2143)/F2143,0)</f>
        <v>1</v>
      </c>
      <c r="AB2143" s="0" t="str">
        <f aca="false">A2143&amp;"|"&amp;D2143</f>
        <v>Uzbekistan|2025</v>
      </c>
    </row>
    <row r="2144" customFormat="false" ht="15" hidden="false" customHeight="false" outlineLevel="0" collapsed="false">
      <c r="A2144" s="0" t="s">
        <v>386</v>
      </c>
      <c r="B2144" s="0" t="s">
        <v>625</v>
      </c>
      <c r="C2144" s="0" t="s">
        <v>127</v>
      </c>
      <c r="D2144" s="0" t="n">
        <v>2015</v>
      </c>
      <c r="E2144" s="59" t="n">
        <v>266115</v>
      </c>
      <c r="F2144" s="60" t="n">
        <v>0.06</v>
      </c>
      <c r="G2144" s="61" t="n">
        <v>0</v>
      </c>
      <c r="H2144" s="61" t="n">
        <v>0</v>
      </c>
      <c r="I2144" s="61" t="n">
        <v>0.05</v>
      </c>
      <c r="J2144" s="61" t="n">
        <v>0</v>
      </c>
      <c r="K2144" s="61" t="n">
        <v>0</v>
      </c>
      <c r="L2144" s="61" t="n">
        <v>0</v>
      </c>
      <c r="M2144" s="61" t="n">
        <v>0.01</v>
      </c>
      <c r="N2144" s="61" t="n">
        <v>0</v>
      </c>
      <c r="O2144" s="61" t="n">
        <v>0</v>
      </c>
      <c r="P2144" s="62" t="n">
        <v>500</v>
      </c>
      <c r="Q2144" s="0" t="n">
        <v>0</v>
      </c>
      <c r="R2144" s="60" t="n">
        <f aca="false">G2144+H2144+I2144</f>
        <v>0.05</v>
      </c>
      <c r="S2144" s="60" t="n">
        <f aca="false">K2144+L2144+M2144+N2144+O2144</f>
        <v>0.01</v>
      </c>
      <c r="T2144" s="60" t="n">
        <f aca="false">L2144+M2144</f>
        <v>0.01</v>
      </c>
      <c r="U2144" s="60" t="n">
        <f aca="false">S2144+J2144</f>
        <v>0.01</v>
      </c>
      <c r="V2144" s="63" t="n">
        <f aca="false">IFERROR(S2144/F2144,0)</f>
        <v>0.166666666666667</v>
      </c>
      <c r="W2144" s="63" t="n">
        <f aca="false">IFERROR(R2144/F2144,0)</f>
        <v>0.833333333333333</v>
      </c>
      <c r="X2144" s="63" t="n">
        <f aca="false">IFERROR(T2144/F2144,0)</f>
        <v>0.166666666666667</v>
      </c>
      <c r="Y2144" s="63" t="n">
        <f aca="false">IFERROR(G2144/F2144,0)</f>
        <v>0</v>
      </c>
      <c r="Z2144" s="59" t="n">
        <f aca="false">IF(E2144&gt;0,F2144*1000000000/E2144,"")</f>
        <v>225.466433684685</v>
      </c>
      <c r="AA2144" s="63" t="n">
        <f aca="false">IFERROR((R2144+S2144+J2144)/F2144,0)</f>
        <v>1</v>
      </c>
      <c r="AB2144" s="0" t="str">
        <f aca="false">A2144&amp;"|"&amp;D2144</f>
        <v>Vanuatu|2015</v>
      </c>
    </row>
    <row r="2145" customFormat="false" ht="15" hidden="false" customHeight="false" outlineLevel="0" collapsed="false">
      <c r="A2145" s="0" t="s">
        <v>386</v>
      </c>
      <c r="B2145" s="0" t="s">
        <v>625</v>
      </c>
      <c r="C2145" s="0" t="s">
        <v>127</v>
      </c>
      <c r="D2145" s="0" t="n">
        <v>2016</v>
      </c>
      <c r="E2145" s="59" t="n">
        <v>272097</v>
      </c>
      <c r="F2145" s="60" t="n">
        <v>0.07</v>
      </c>
      <c r="G2145" s="61" t="n">
        <v>0</v>
      </c>
      <c r="H2145" s="61" t="n">
        <v>0</v>
      </c>
      <c r="I2145" s="61" t="n">
        <v>0.06</v>
      </c>
      <c r="J2145" s="61" t="n">
        <v>0</v>
      </c>
      <c r="K2145" s="61" t="n">
        <v>0</v>
      </c>
      <c r="L2145" s="61" t="n">
        <v>0</v>
      </c>
      <c r="M2145" s="61" t="n">
        <v>0.01</v>
      </c>
      <c r="N2145" s="61" t="n">
        <v>0</v>
      </c>
      <c r="O2145" s="61" t="n">
        <v>0</v>
      </c>
      <c r="P2145" s="62" t="n">
        <v>571.4</v>
      </c>
      <c r="Q2145" s="0" t="n">
        <v>0</v>
      </c>
      <c r="R2145" s="60" t="n">
        <f aca="false">G2145+H2145+I2145</f>
        <v>0.06</v>
      </c>
      <c r="S2145" s="60" t="n">
        <f aca="false">K2145+L2145+M2145+N2145+O2145</f>
        <v>0.01</v>
      </c>
      <c r="T2145" s="60" t="n">
        <f aca="false">L2145+M2145</f>
        <v>0.01</v>
      </c>
      <c r="U2145" s="60" t="n">
        <f aca="false">S2145+J2145</f>
        <v>0.01</v>
      </c>
      <c r="V2145" s="63" t="n">
        <f aca="false">IFERROR(S2145/F2145,0)</f>
        <v>0.142857142857143</v>
      </c>
      <c r="W2145" s="63" t="n">
        <f aca="false">IFERROR(R2145/F2145,0)</f>
        <v>0.857142857142857</v>
      </c>
      <c r="X2145" s="63" t="n">
        <f aca="false">IFERROR(T2145/F2145,0)</f>
        <v>0.142857142857143</v>
      </c>
      <c r="Y2145" s="63" t="n">
        <f aca="false">IFERROR(G2145/F2145,0)</f>
        <v>0</v>
      </c>
      <c r="Z2145" s="59" t="n">
        <f aca="false">IF(E2145&gt;0,F2145*1000000000/E2145,"")</f>
        <v>257.261197293612</v>
      </c>
      <c r="AA2145" s="63" t="n">
        <f aca="false">IFERROR((R2145+S2145+J2145)/F2145,0)</f>
        <v>1</v>
      </c>
      <c r="AB2145" s="0" t="str">
        <f aca="false">A2145&amp;"|"&amp;D2145</f>
        <v>Vanuatu|2016</v>
      </c>
    </row>
    <row r="2146" customFormat="false" ht="15" hidden="false" customHeight="false" outlineLevel="0" collapsed="false">
      <c r="A2146" s="0" t="s">
        <v>386</v>
      </c>
      <c r="B2146" s="0" t="s">
        <v>625</v>
      </c>
      <c r="C2146" s="0" t="s">
        <v>127</v>
      </c>
      <c r="D2146" s="0" t="n">
        <v>2017</v>
      </c>
      <c r="E2146" s="59" t="n">
        <v>278518</v>
      </c>
      <c r="F2146" s="60" t="n">
        <v>0.06</v>
      </c>
      <c r="G2146" s="61" t="n">
        <v>0</v>
      </c>
      <c r="H2146" s="61" t="n">
        <v>0</v>
      </c>
      <c r="I2146" s="61" t="n">
        <v>0.06</v>
      </c>
      <c r="J2146" s="61" t="n">
        <v>0</v>
      </c>
      <c r="K2146" s="61" t="n">
        <v>0</v>
      </c>
      <c r="L2146" s="61" t="n">
        <v>0</v>
      </c>
      <c r="M2146" s="61" t="n">
        <v>0</v>
      </c>
      <c r="N2146" s="61" t="n">
        <v>0</v>
      </c>
      <c r="O2146" s="61" t="n">
        <v>0</v>
      </c>
      <c r="P2146" s="62" t="n">
        <v>666.7</v>
      </c>
      <c r="Q2146" s="0" t="n">
        <v>0</v>
      </c>
      <c r="R2146" s="60" t="n">
        <f aca="false">G2146+H2146+I2146</f>
        <v>0.06</v>
      </c>
      <c r="S2146" s="60" t="n">
        <f aca="false">K2146+L2146+M2146+N2146+O2146</f>
        <v>0</v>
      </c>
      <c r="T2146" s="60" t="n">
        <f aca="false">L2146+M2146</f>
        <v>0</v>
      </c>
      <c r="U2146" s="60" t="n">
        <f aca="false">S2146+J2146</f>
        <v>0</v>
      </c>
      <c r="V2146" s="63" t="n">
        <f aca="false">IFERROR(S2146/F2146,0)</f>
        <v>0</v>
      </c>
      <c r="W2146" s="63" t="n">
        <f aca="false">IFERROR(R2146/F2146,0)</f>
        <v>1</v>
      </c>
      <c r="X2146" s="63" t="n">
        <f aca="false">IFERROR(T2146/F2146,0)</f>
        <v>0</v>
      </c>
      <c r="Y2146" s="63" t="n">
        <f aca="false">IFERROR(G2146/F2146,0)</f>
        <v>0</v>
      </c>
      <c r="Z2146" s="59" t="n">
        <f aca="false">IF(E2146&gt;0,F2146*1000000000/E2146,"")</f>
        <v>215.425932973811</v>
      </c>
      <c r="AA2146" s="63" t="n">
        <f aca="false">IFERROR((R2146+S2146+J2146)/F2146,0)</f>
        <v>1</v>
      </c>
      <c r="AB2146" s="0" t="str">
        <f aca="false">A2146&amp;"|"&amp;D2146</f>
        <v>Vanuatu|2017</v>
      </c>
    </row>
    <row r="2147" customFormat="false" ht="15" hidden="false" customHeight="false" outlineLevel="0" collapsed="false">
      <c r="A2147" s="0" t="s">
        <v>386</v>
      </c>
      <c r="B2147" s="0" t="s">
        <v>625</v>
      </c>
      <c r="C2147" s="0" t="s">
        <v>127</v>
      </c>
      <c r="D2147" s="0" t="n">
        <v>2018</v>
      </c>
      <c r="E2147" s="59" t="n">
        <v>285273</v>
      </c>
      <c r="F2147" s="60" t="n">
        <v>0.08</v>
      </c>
      <c r="G2147" s="61" t="n">
        <v>0</v>
      </c>
      <c r="H2147" s="61" t="n">
        <v>0</v>
      </c>
      <c r="I2147" s="61" t="n">
        <v>0.06</v>
      </c>
      <c r="J2147" s="61" t="n">
        <v>0</v>
      </c>
      <c r="K2147" s="61" t="n">
        <v>0.01</v>
      </c>
      <c r="L2147" s="61" t="n">
        <v>0.01</v>
      </c>
      <c r="M2147" s="61" t="n">
        <v>0</v>
      </c>
      <c r="N2147" s="61" t="n">
        <v>0</v>
      </c>
      <c r="O2147" s="61" t="n">
        <v>0</v>
      </c>
      <c r="P2147" s="62" t="n">
        <v>500</v>
      </c>
      <c r="Q2147" s="0" t="n">
        <v>0</v>
      </c>
      <c r="R2147" s="60" t="n">
        <f aca="false">G2147+H2147+I2147</f>
        <v>0.06</v>
      </c>
      <c r="S2147" s="60" t="n">
        <f aca="false">K2147+L2147+M2147+N2147+O2147</f>
        <v>0.02</v>
      </c>
      <c r="T2147" s="60" t="n">
        <f aca="false">L2147+M2147</f>
        <v>0.01</v>
      </c>
      <c r="U2147" s="60" t="n">
        <f aca="false">S2147+J2147</f>
        <v>0.02</v>
      </c>
      <c r="V2147" s="63" t="n">
        <f aca="false">IFERROR(S2147/F2147,0)</f>
        <v>0.25</v>
      </c>
      <c r="W2147" s="63" t="n">
        <f aca="false">IFERROR(R2147/F2147,0)</f>
        <v>0.75</v>
      </c>
      <c r="X2147" s="63" t="n">
        <f aca="false">IFERROR(T2147/F2147,0)</f>
        <v>0.125</v>
      </c>
      <c r="Y2147" s="63" t="n">
        <f aca="false">IFERROR(G2147/F2147,0)</f>
        <v>0</v>
      </c>
      <c r="Z2147" s="59" t="n">
        <f aca="false">IF(E2147&gt;0,F2147*1000000000/E2147,"")</f>
        <v>280.433128967691</v>
      </c>
      <c r="AA2147" s="63" t="n">
        <f aca="false">IFERROR((R2147+S2147+J2147)/F2147,0)</f>
        <v>1</v>
      </c>
      <c r="AB2147" s="0" t="str">
        <f aca="false">A2147&amp;"|"&amp;D2147</f>
        <v>Vanuatu|2018</v>
      </c>
    </row>
    <row r="2148" customFormat="false" ht="15" hidden="false" customHeight="false" outlineLevel="0" collapsed="false">
      <c r="A2148" s="0" t="s">
        <v>386</v>
      </c>
      <c r="B2148" s="0" t="s">
        <v>625</v>
      </c>
      <c r="C2148" s="0" t="s">
        <v>127</v>
      </c>
      <c r="D2148" s="0" t="n">
        <v>2019</v>
      </c>
      <c r="E2148" s="59" t="n">
        <v>291995</v>
      </c>
      <c r="F2148" s="60" t="n">
        <v>0.09</v>
      </c>
      <c r="G2148" s="61" t="n">
        <v>0</v>
      </c>
      <c r="H2148" s="61" t="n">
        <v>0</v>
      </c>
      <c r="I2148" s="61" t="n">
        <v>0.06</v>
      </c>
      <c r="J2148" s="61" t="n">
        <v>0</v>
      </c>
      <c r="K2148" s="61" t="n">
        <v>0.01</v>
      </c>
      <c r="L2148" s="61" t="n">
        <v>0.01</v>
      </c>
      <c r="M2148" s="61" t="n">
        <v>0.01</v>
      </c>
      <c r="N2148" s="61" t="n">
        <v>0</v>
      </c>
      <c r="O2148" s="61" t="n">
        <v>0</v>
      </c>
      <c r="P2148" s="62" t="n">
        <v>444.4</v>
      </c>
      <c r="Q2148" s="0" t="n">
        <v>0</v>
      </c>
      <c r="R2148" s="60" t="n">
        <f aca="false">G2148+H2148+I2148</f>
        <v>0.06</v>
      </c>
      <c r="S2148" s="60" t="n">
        <f aca="false">K2148+L2148+M2148+N2148+O2148</f>
        <v>0.03</v>
      </c>
      <c r="T2148" s="60" t="n">
        <f aca="false">L2148+M2148</f>
        <v>0.02</v>
      </c>
      <c r="U2148" s="60" t="n">
        <f aca="false">S2148+J2148</f>
        <v>0.03</v>
      </c>
      <c r="V2148" s="63" t="n">
        <f aca="false">IFERROR(S2148/F2148,0)</f>
        <v>0.333333333333333</v>
      </c>
      <c r="W2148" s="63" t="n">
        <f aca="false">IFERROR(R2148/F2148,0)</f>
        <v>0.666666666666667</v>
      </c>
      <c r="X2148" s="63" t="n">
        <f aca="false">IFERROR(T2148/F2148,0)</f>
        <v>0.222222222222222</v>
      </c>
      <c r="Y2148" s="63" t="n">
        <f aca="false">IFERROR(G2148/F2148,0)</f>
        <v>0</v>
      </c>
      <c r="Z2148" s="59" t="n">
        <f aca="false">IF(E2148&gt;0,F2148*1000000000/E2148,"")</f>
        <v>308.224455898217</v>
      </c>
      <c r="AA2148" s="63" t="n">
        <f aca="false">IFERROR((R2148+S2148+J2148)/F2148,0)</f>
        <v>1</v>
      </c>
      <c r="AB2148" s="0" t="str">
        <f aca="false">A2148&amp;"|"&amp;D2148</f>
        <v>Vanuatu|2019</v>
      </c>
    </row>
    <row r="2149" customFormat="false" ht="15" hidden="false" customHeight="false" outlineLevel="0" collapsed="false">
      <c r="A2149" s="0" t="s">
        <v>386</v>
      </c>
      <c r="B2149" s="0" t="s">
        <v>625</v>
      </c>
      <c r="C2149" s="0" t="s">
        <v>127</v>
      </c>
      <c r="D2149" s="0" t="n">
        <v>2020</v>
      </c>
      <c r="E2149" s="59" t="n">
        <v>298867</v>
      </c>
      <c r="F2149" s="60" t="n">
        <v>0.09</v>
      </c>
      <c r="G2149" s="61" t="n">
        <v>0</v>
      </c>
      <c r="H2149" s="61" t="n">
        <v>0</v>
      </c>
      <c r="I2149" s="61" t="n">
        <v>0.06</v>
      </c>
      <c r="J2149" s="61" t="n">
        <v>0</v>
      </c>
      <c r="K2149" s="61" t="n">
        <v>0.01</v>
      </c>
      <c r="L2149" s="61" t="n">
        <v>0.01</v>
      </c>
      <c r="M2149" s="61" t="n">
        <v>0.01</v>
      </c>
      <c r="N2149" s="61" t="n">
        <v>0</v>
      </c>
      <c r="O2149" s="61" t="n">
        <v>0</v>
      </c>
      <c r="P2149" s="62" t="n">
        <v>444.4</v>
      </c>
      <c r="Q2149" s="0" t="n">
        <v>0</v>
      </c>
      <c r="R2149" s="60" t="n">
        <f aca="false">G2149+H2149+I2149</f>
        <v>0.06</v>
      </c>
      <c r="S2149" s="60" t="n">
        <f aca="false">K2149+L2149+M2149+N2149+O2149</f>
        <v>0.03</v>
      </c>
      <c r="T2149" s="60" t="n">
        <f aca="false">L2149+M2149</f>
        <v>0.02</v>
      </c>
      <c r="U2149" s="60" t="n">
        <f aca="false">S2149+J2149</f>
        <v>0.03</v>
      </c>
      <c r="V2149" s="63" t="n">
        <f aca="false">IFERROR(S2149/F2149,0)</f>
        <v>0.333333333333333</v>
      </c>
      <c r="W2149" s="63" t="n">
        <f aca="false">IFERROR(R2149/F2149,0)</f>
        <v>0.666666666666667</v>
      </c>
      <c r="X2149" s="63" t="n">
        <f aca="false">IFERROR(T2149/F2149,0)</f>
        <v>0.222222222222222</v>
      </c>
      <c r="Y2149" s="63" t="n">
        <f aca="false">IFERROR(G2149/F2149,0)</f>
        <v>0</v>
      </c>
      <c r="Z2149" s="59" t="n">
        <f aca="false">IF(E2149&gt;0,F2149*1000000000/E2149,"")</f>
        <v>301.137295184815</v>
      </c>
      <c r="AA2149" s="63" t="n">
        <f aca="false">IFERROR((R2149+S2149+J2149)/F2149,0)</f>
        <v>1</v>
      </c>
      <c r="AB2149" s="0" t="str">
        <f aca="false">A2149&amp;"|"&amp;D2149</f>
        <v>Vanuatu|2020</v>
      </c>
    </row>
    <row r="2150" customFormat="false" ht="15" hidden="false" customHeight="false" outlineLevel="0" collapsed="false">
      <c r="A2150" s="0" t="s">
        <v>386</v>
      </c>
      <c r="B2150" s="0" t="s">
        <v>625</v>
      </c>
      <c r="C2150" s="0" t="s">
        <v>127</v>
      </c>
      <c r="D2150" s="0" t="n">
        <v>2021</v>
      </c>
      <c r="E2150" s="59" t="n">
        <v>305882</v>
      </c>
      <c r="F2150" s="60" t="n">
        <v>0.08</v>
      </c>
      <c r="G2150" s="61" t="n">
        <v>0</v>
      </c>
      <c r="H2150" s="61" t="n">
        <v>0</v>
      </c>
      <c r="I2150" s="61" t="n">
        <v>0.06</v>
      </c>
      <c r="J2150" s="61" t="n">
        <v>0</v>
      </c>
      <c r="K2150" s="61" t="n">
        <v>0.01</v>
      </c>
      <c r="L2150" s="61" t="n">
        <v>0.01</v>
      </c>
      <c r="M2150" s="61" t="n">
        <v>0</v>
      </c>
      <c r="N2150" s="61" t="n">
        <v>0</v>
      </c>
      <c r="O2150" s="61" t="n">
        <v>0</v>
      </c>
      <c r="P2150" s="62" t="n">
        <v>500</v>
      </c>
      <c r="Q2150" s="0" t="n">
        <v>0</v>
      </c>
      <c r="R2150" s="60" t="n">
        <f aca="false">G2150+H2150+I2150</f>
        <v>0.06</v>
      </c>
      <c r="S2150" s="60" t="n">
        <f aca="false">K2150+L2150+M2150+N2150+O2150</f>
        <v>0.02</v>
      </c>
      <c r="T2150" s="60" t="n">
        <f aca="false">L2150+M2150</f>
        <v>0.01</v>
      </c>
      <c r="U2150" s="60" t="n">
        <f aca="false">S2150+J2150</f>
        <v>0.02</v>
      </c>
      <c r="V2150" s="63" t="n">
        <f aca="false">IFERROR(S2150/F2150,0)</f>
        <v>0.25</v>
      </c>
      <c r="W2150" s="63" t="n">
        <f aca="false">IFERROR(R2150/F2150,0)</f>
        <v>0.75</v>
      </c>
      <c r="X2150" s="63" t="n">
        <f aca="false">IFERROR(T2150/F2150,0)</f>
        <v>0.125</v>
      </c>
      <c r="Y2150" s="63" t="n">
        <f aca="false">IFERROR(G2150/F2150,0)</f>
        <v>0</v>
      </c>
      <c r="Z2150" s="59" t="n">
        <f aca="false">IF(E2150&gt;0,F2150*1000000000/E2150,"")</f>
        <v>261.538763313958</v>
      </c>
      <c r="AA2150" s="63" t="n">
        <f aca="false">IFERROR((R2150+S2150+J2150)/F2150,0)</f>
        <v>1</v>
      </c>
      <c r="AB2150" s="0" t="str">
        <f aca="false">A2150&amp;"|"&amp;D2150</f>
        <v>Vanuatu|2021</v>
      </c>
    </row>
    <row r="2151" customFormat="false" ht="15" hidden="false" customHeight="false" outlineLevel="0" collapsed="false">
      <c r="A2151" s="0" t="s">
        <v>386</v>
      </c>
      <c r="B2151" s="0" t="s">
        <v>625</v>
      </c>
      <c r="C2151" s="0" t="s">
        <v>127</v>
      </c>
      <c r="D2151" s="0" t="n">
        <v>2022</v>
      </c>
      <c r="E2151" s="59" t="n">
        <v>313061</v>
      </c>
      <c r="F2151" s="60" t="n">
        <v>0.08</v>
      </c>
      <c r="G2151" s="61" t="n">
        <v>0</v>
      </c>
      <c r="H2151" s="61" t="n">
        <v>0</v>
      </c>
      <c r="I2151" s="61" t="n">
        <v>0.06</v>
      </c>
      <c r="J2151" s="61" t="n">
        <v>0</v>
      </c>
      <c r="K2151" s="61" t="n">
        <v>0.01</v>
      </c>
      <c r="L2151" s="61" t="n">
        <v>0.01</v>
      </c>
      <c r="M2151" s="61" t="n">
        <v>0</v>
      </c>
      <c r="N2151" s="61" t="n">
        <v>0</v>
      </c>
      <c r="O2151" s="61" t="n">
        <v>0</v>
      </c>
      <c r="P2151" s="62" t="n">
        <v>500</v>
      </c>
      <c r="Q2151" s="0" t="n">
        <v>0</v>
      </c>
      <c r="R2151" s="60" t="n">
        <f aca="false">G2151+H2151+I2151</f>
        <v>0.06</v>
      </c>
      <c r="S2151" s="60" t="n">
        <f aca="false">K2151+L2151+M2151+N2151+O2151</f>
        <v>0.02</v>
      </c>
      <c r="T2151" s="60" t="n">
        <f aca="false">L2151+M2151</f>
        <v>0.01</v>
      </c>
      <c r="U2151" s="60" t="n">
        <f aca="false">S2151+J2151</f>
        <v>0.02</v>
      </c>
      <c r="V2151" s="63" t="n">
        <f aca="false">IFERROR(S2151/F2151,0)</f>
        <v>0.25</v>
      </c>
      <c r="W2151" s="63" t="n">
        <f aca="false">IFERROR(R2151/F2151,0)</f>
        <v>0.75</v>
      </c>
      <c r="X2151" s="63" t="n">
        <f aca="false">IFERROR(T2151/F2151,0)</f>
        <v>0.125</v>
      </c>
      <c r="Y2151" s="63" t="n">
        <f aca="false">IFERROR(G2151/F2151,0)</f>
        <v>0</v>
      </c>
      <c r="Z2151" s="59" t="n">
        <f aca="false">IF(E2151&gt;0,F2151*1000000000/E2151,"")</f>
        <v>255.541252343792</v>
      </c>
      <c r="AA2151" s="63" t="n">
        <f aca="false">IFERROR((R2151+S2151+J2151)/F2151,0)</f>
        <v>1</v>
      </c>
      <c r="AB2151" s="0" t="str">
        <f aca="false">A2151&amp;"|"&amp;D2151</f>
        <v>Vanuatu|2022</v>
      </c>
    </row>
    <row r="2152" customFormat="false" ht="15" hidden="false" customHeight="false" outlineLevel="0" collapsed="false">
      <c r="A2152" s="0" t="s">
        <v>386</v>
      </c>
      <c r="B2152" s="0" t="s">
        <v>625</v>
      </c>
      <c r="C2152" s="0" t="s">
        <v>127</v>
      </c>
      <c r="D2152" s="0" t="n">
        <v>2023</v>
      </c>
      <c r="E2152" s="59" t="n">
        <v>320422</v>
      </c>
      <c r="F2152" s="60" t="n">
        <v>0.08</v>
      </c>
      <c r="G2152" s="61" t="n">
        <v>0</v>
      </c>
      <c r="H2152" s="61" t="n">
        <v>0</v>
      </c>
      <c r="I2152" s="61" t="n">
        <v>0.06</v>
      </c>
      <c r="J2152" s="61" t="n">
        <v>0</v>
      </c>
      <c r="K2152" s="61" t="n">
        <v>0.01</v>
      </c>
      <c r="L2152" s="61" t="n">
        <v>0.01</v>
      </c>
      <c r="M2152" s="61" t="n">
        <v>0</v>
      </c>
      <c r="N2152" s="61" t="n">
        <v>0</v>
      </c>
      <c r="O2152" s="61" t="n">
        <v>0</v>
      </c>
      <c r="P2152" s="62" t="n">
        <v>500</v>
      </c>
      <c r="Q2152" s="0" t="n">
        <v>0</v>
      </c>
      <c r="R2152" s="60" t="n">
        <f aca="false">G2152+H2152+I2152</f>
        <v>0.06</v>
      </c>
      <c r="S2152" s="60" t="n">
        <f aca="false">K2152+L2152+M2152+N2152+O2152</f>
        <v>0.02</v>
      </c>
      <c r="T2152" s="60" t="n">
        <f aca="false">L2152+M2152</f>
        <v>0.01</v>
      </c>
      <c r="U2152" s="60" t="n">
        <f aca="false">S2152+J2152</f>
        <v>0.02</v>
      </c>
      <c r="V2152" s="63" t="n">
        <f aca="false">IFERROR(S2152/F2152,0)</f>
        <v>0.25</v>
      </c>
      <c r="W2152" s="63" t="n">
        <f aca="false">IFERROR(R2152/F2152,0)</f>
        <v>0.75</v>
      </c>
      <c r="X2152" s="63" t="n">
        <f aca="false">IFERROR(T2152/F2152,0)</f>
        <v>0.125</v>
      </c>
      <c r="Y2152" s="63" t="n">
        <f aca="false">IFERROR(G2152/F2152,0)</f>
        <v>0</v>
      </c>
      <c r="Z2152" s="59" t="n">
        <f aca="false">IF(E2152&gt;0,F2152*1000000000/E2152,"")</f>
        <v>249.670746702786</v>
      </c>
      <c r="AA2152" s="63" t="n">
        <f aca="false">IFERROR((R2152+S2152+J2152)/F2152,0)</f>
        <v>1</v>
      </c>
      <c r="AB2152" s="0" t="str">
        <f aca="false">A2152&amp;"|"&amp;D2152</f>
        <v>Vanuatu|2023</v>
      </c>
    </row>
    <row r="2153" customFormat="false" ht="15" hidden="false" customHeight="false" outlineLevel="0" collapsed="false">
      <c r="A2153" s="0" t="s">
        <v>387</v>
      </c>
      <c r="B2153" s="0" t="s">
        <v>626</v>
      </c>
      <c r="C2153" s="0" t="s">
        <v>127</v>
      </c>
      <c r="D2153" s="0" t="n">
        <v>2015</v>
      </c>
      <c r="E2153" s="59" t="n">
        <v>30573968</v>
      </c>
      <c r="F2153" s="60" t="n">
        <v>127.52</v>
      </c>
      <c r="G2153" s="61" t="n">
        <v>0</v>
      </c>
      <c r="H2153" s="61" t="n">
        <v>32.66</v>
      </c>
      <c r="I2153" s="61" t="n">
        <v>19.86</v>
      </c>
      <c r="J2153" s="61" t="n">
        <v>0</v>
      </c>
      <c r="K2153" s="61" t="n">
        <v>74.9</v>
      </c>
      <c r="L2153" s="61" t="n">
        <v>0.01</v>
      </c>
      <c r="M2153" s="61" t="n">
        <v>0.09</v>
      </c>
      <c r="N2153" s="61" t="n">
        <v>0</v>
      </c>
      <c r="O2153" s="61" t="n">
        <v>0</v>
      </c>
      <c r="P2153" s="62" t="n">
        <v>318.9</v>
      </c>
      <c r="Q2153" s="0" t="n">
        <v>0</v>
      </c>
      <c r="R2153" s="60" t="n">
        <f aca="false">G2153+H2153+I2153</f>
        <v>52.52</v>
      </c>
      <c r="S2153" s="60" t="n">
        <f aca="false">K2153+L2153+M2153+N2153+O2153</f>
        <v>75</v>
      </c>
      <c r="T2153" s="60" t="n">
        <f aca="false">L2153+M2153</f>
        <v>0.1</v>
      </c>
      <c r="U2153" s="60" t="n">
        <f aca="false">S2153+J2153</f>
        <v>75</v>
      </c>
      <c r="V2153" s="63" t="n">
        <f aca="false">IFERROR(S2153/F2153,0)</f>
        <v>0.588143036386449</v>
      </c>
      <c r="W2153" s="63" t="n">
        <f aca="false">IFERROR(R2153/F2153,0)</f>
        <v>0.411856963613551</v>
      </c>
      <c r="X2153" s="63" t="n">
        <f aca="false">IFERROR(T2153/F2153,0)</f>
        <v>0.000784190715181932</v>
      </c>
      <c r="Y2153" s="63" t="n">
        <f aca="false">IFERROR(G2153/F2153,0)</f>
        <v>0</v>
      </c>
      <c r="Z2153" s="59" t="n">
        <f aca="false">IF(E2153&gt;0,F2153*1000000000/E2153,"")</f>
        <v>4170.86849832511</v>
      </c>
      <c r="AA2153" s="63" t="n">
        <f aca="false">IFERROR((R2153+S2153+J2153)/F2153,0)</f>
        <v>1</v>
      </c>
      <c r="AB2153" s="0" t="str">
        <f aca="false">A2153&amp;"|"&amp;D2153</f>
        <v>Venezuela|2015</v>
      </c>
    </row>
    <row r="2154" customFormat="false" ht="15" hidden="false" customHeight="false" outlineLevel="0" collapsed="false">
      <c r="A2154" s="0" t="s">
        <v>387</v>
      </c>
      <c r="B2154" s="0" t="s">
        <v>626</v>
      </c>
      <c r="C2154" s="0" t="s">
        <v>127</v>
      </c>
      <c r="D2154" s="0" t="n">
        <v>2016</v>
      </c>
      <c r="E2154" s="59" t="n">
        <v>30765719</v>
      </c>
      <c r="F2154" s="60" t="n">
        <v>116.94</v>
      </c>
      <c r="G2154" s="61" t="n">
        <v>0</v>
      </c>
      <c r="H2154" s="61" t="n">
        <v>35.95</v>
      </c>
      <c r="I2154" s="61" t="n">
        <v>17.93</v>
      </c>
      <c r="J2154" s="61" t="n">
        <v>0</v>
      </c>
      <c r="K2154" s="61" t="n">
        <v>62.96</v>
      </c>
      <c r="L2154" s="61" t="n">
        <v>0.01</v>
      </c>
      <c r="M2154" s="61" t="n">
        <v>0.09</v>
      </c>
      <c r="N2154" s="61" t="n">
        <v>0</v>
      </c>
      <c r="O2154" s="61" t="n">
        <v>0</v>
      </c>
      <c r="P2154" s="62" t="n">
        <v>356.8</v>
      </c>
      <c r="Q2154" s="0" t="n">
        <v>0</v>
      </c>
      <c r="R2154" s="60" t="n">
        <f aca="false">G2154+H2154+I2154</f>
        <v>53.88</v>
      </c>
      <c r="S2154" s="60" t="n">
        <f aca="false">K2154+L2154+M2154+N2154+O2154</f>
        <v>63.06</v>
      </c>
      <c r="T2154" s="60" t="n">
        <f aca="false">L2154+M2154</f>
        <v>0.1</v>
      </c>
      <c r="U2154" s="60" t="n">
        <f aca="false">S2154+J2154</f>
        <v>63.06</v>
      </c>
      <c r="V2154" s="63" t="n">
        <f aca="false">IFERROR(S2154/F2154,0)</f>
        <v>0.539250897896357</v>
      </c>
      <c r="W2154" s="63" t="n">
        <f aca="false">IFERROR(R2154/F2154,0)</f>
        <v>0.460749102103643</v>
      </c>
      <c r="X2154" s="63" t="n">
        <f aca="false">IFERROR(T2154/F2154,0)</f>
        <v>0.000855139387720198</v>
      </c>
      <c r="Y2154" s="63" t="n">
        <f aca="false">IFERROR(G2154/F2154,0)</f>
        <v>0</v>
      </c>
      <c r="Z2154" s="59" t="n">
        <f aca="false">IF(E2154&gt;0,F2154*1000000000/E2154,"")</f>
        <v>3800.98381578536</v>
      </c>
      <c r="AA2154" s="63" t="n">
        <f aca="false">IFERROR((R2154+S2154+J2154)/F2154,0)</f>
        <v>1</v>
      </c>
      <c r="AB2154" s="0" t="str">
        <f aca="false">A2154&amp;"|"&amp;D2154</f>
        <v>Venezuela|2016</v>
      </c>
    </row>
    <row r="2155" customFormat="false" ht="15" hidden="false" customHeight="false" outlineLevel="0" collapsed="false">
      <c r="A2155" s="0" t="s">
        <v>387</v>
      </c>
      <c r="B2155" s="0" t="s">
        <v>626</v>
      </c>
      <c r="C2155" s="0" t="s">
        <v>127</v>
      </c>
      <c r="D2155" s="0" t="n">
        <v>2017</v>
      </c>
      <c r="E2155" s="59" t="n">
        <v>30565331</v>
      </c>
      <c r="F2155" s="60" t="n">
        <v>103.8</v>
      </c>
      <c r="G2155" s="61" t="n">
        <v>0</v>
      </c>
      <c r="H2155" s="61" t="n">
        <v>25.96</v>
      </c>
      <c r="I2155" s="61" t="n">
        <v>17.23</v>
      </c>
      <c r="J2155" s="61" t="n">
        <v>0</v>
      </c>
      <c r="K2155" s="61" t="n">
        <v>60.51</v>
      </c>
      <c r="L2155" s="61" t="n">
        <v>0.01</v>
      </c>
      <c r="M2155" s="61" t="n">
        <v>0.09</v>
      </c>
      <c r="N2155" s="61" t="n">
        <v>0</v>
      </c>
      <c r="O2155" s="61" t="n">
        <v>0</v>
      </c>
      <c r="P2155" s="62" t="n">
        <v>320.8</v>
      </c>
      <c r="Q2155" s="0" t="n">
        <v>0</v>
      </c>
      <c r="R2155" s="60" t="n">
        <f aca="false">G2155+H2155+I2155</f>
        <v>43.19</v>
      </c>
      <c r="S2155" s="60" t="n">
        <f aca="false">K2155+L2155+M2155+N2155+O2155</f>
        <v>60.61</v>
      </c>
      <c r="T2155" s="60" t="n">
        <f aca="false">L2155+M2155</f>
        <v>0.1</v>
      </c>
      <c r="U2155" s="60" t="n">
        <f aca="false">S2155+J2155</f>
        <v>60.61</v>
      </c>
      <c r="V2155" s="63" t="n">
        <f aca="false">IFERROR(S2155/F2155,0)</f>
        <v>0.583911368015414</v>
      </c>
      <c r="W2155" s="63" t="n">
        <f aca="false">IFERROR(R2155/F2155,0)</f>
        <v>0.416088631984586</v>
      </c>
      <c r="X2155" s="63" t="n">
        <f aca="false">IFERROR(T2155/F2155,0)</f>
        <v>0.000963391136801541</v>
      </c>
      <c r="Y2155" s="63" t="n">
        <f aca="false">IFERROR(G2155/F2155,0)</f>
        <v>0</v>
      </c>
      <c r="Z2155" s="59" t="n">
        <f aca="false">IF(E2155&gt;0,F2155*1000000000/E2155,"")</f>
        <v>3396.00444699912</v>
      </c>
      <c r="AA2155" s="63" t="n">
        <f aca="false">IFERROR((R2155+S2155+J2155)/F2155,0)</f>
        <v>1</v>
      </c>
      <c r="AB2155" s="0" t="str">
        <f aca="false">A2155&amp;"|"&amp;D2155</f>
        <v>Venezuela|2017</v>
      </c>
    </row>
    <row r="2156" customFormat="false" ht="15" hidden="false" customHeight="false" outlineLevel="0" collapsed="false">
      <c r="A2156" s="0" t="s">
        <v>387</v>
      </c>
      <c r="B2156" s="0" t="s">
        <v>626</v>
      </c>
      <c r="C2156" s="0" t="s">
        <v>127</v>
      </c>
      <c r="D2156" s="0" t="n">
        <v>2018</v>
      </c>
      <c r="E2156" s="59" t="n">
        <v>29807591</v>
      </c>
      <c r="F2156" s="60" t="n">
        <v>99.71</v>
      </c>
      <c r="G2156" s="61" t="n">
        <v>0</v>
      </c>
      <c r="H2156" s="61" t="n">
        <v>24.95</v>
      </c>
      <c r="I2156" s="61" t="n">
        <v>16.56</v>
      </c>
      <c r="J2156" s="61" t="n">
        <v>0</v>
      </c>
      <c r="K2156" s="61" t="n">
        <v>58.15</v>
      </c>
      <c r="L2156" s="61" t="n">
        <v>0.01</v>
      </c>
      <c r="M2156" s="61" t="n">
        <v>0.04</v>
      </c>
      <c r="N2156" s="61" t="n">
        <v>0</v>
      </c>
      <c r="O2156" s="61" t="n">
        <v>0</v>
      </c>
      <c r="P2156" s="62" t="n">
        <v>320.9</v>
      </c>
      <c r="Q2156" s="0" t="n">
        <v>0</v>
      </c>
      <c r="R2156" s="60" t="n">
        <f aca="false">G2156+H2156+I2156</f>
        <v>41.51</v>
      </c>
      <c r="S2156" s="60" t="n">
        <f aca="false">K2156+L2156+M2156+N2156+O2156</f>
        <v>58.2</v>
      </c>
      <c r="T2156" s="60" t="n">
        <f aca="false">L2156+M2156</f>
        <v>0.05</v>
      </c>
      <c r="U2156" s="60" t="n">
        <f aca="false">S2156+J2156</f>
        <v>58.2</v>
      </c>
      <c r="V2156" s="63" t="n">
        <f aca="false">IFERROR(S2156/F2156,0)</f>
        <v>0.583692708855682</v>
      </c>
      <c r="W2156" s="63" t="n">
        <f aca="false">IFERROR(R2156/F2156,0)</f>
        <v>0.416307291144319</v>
      </c>
      <c r="X2156" s="63" t="n">
        <f aca="false">IFERROR(T2156/F2156,0)</f>
        <v>0.000501454217229967</v>
      </c>
      <c r="Y2156" s="63" t="n">
        <f aca="false">IFERROR(G2156/F2156,0)</f>
        <v>0</v>
      </c>
      <c r="Z2156" s="59" t="n">
        <f aca="false">IF(E2156&gt;0,F2156*1000000000/E2156,"")</f>
        <v>3345.12104651463</v>
      </c>
      <c r="AA2156" s="63" t="n">
        <f aca="false">IFERROR((R2156+S2156+J2156)/F2156,0)</f>
        <v>1</v>
      </c>
      <c r="AB2156" s="0" t="str">
        <f aca="false">A2156&amp;"|"&amp;D2156</f>
        <v>Venezuela|2018</v>
      </c>
    </row>
    <row r="2157" customFormat="false" ht="15" hidden="false" customHeight="false" outlineLevel="0" collapsed="false">
      <c r="A2157" s="0" t="s">
        <v>387</v>
      </c>
      <c r="B2157" s="0" t="s">
        <v>626</v>
      </c>
      <c r="C2157" s="0" t="s">
        <v>127</v>
      </c>
      <c r="D2157" s="0" t="n">
        <v>2019</v>
      </c>
      <c r="E2157" s="59" t="n">
        <v>28938096</v>
      </c>
      <c r="F2157" s="60" t="n">
        <v>85.15</v>
      </c>
      <c r="G2157" s="61" t="n">
        <v>0</v>
      </c>
      <c r="H2157" s="61" t="n">
        <v>21.3</v>
      </c>
      <c r="I2157" s="61" t="n">
        <v>14.14</v>
      </c>
      <c r="J2157" s="61" t="n">
        <v>0</v>
      </c>
      <c r="K2157" s="61" t="n">
        <v>49.64</v>
      </c>
      <c r="L2157" s="61" t="n">
        <v>0.01</v>
      </c>
      <c r="M2157" s="61" t="n">
        <v>0.06</v>
      </c>
      <c r="N2157" s="61" t="n">
        <v>0</v>
      </c>
      <c r="O2157" s="61" t="n">
        <v>0</v>
      </c>
      <c r="P2157" s="62" t="n">
        <v>320.9</v>
      </c>
      <c r="Q2157" s="0" t="n">
        <v>0</v>
      </c>
      <c r="R2157" s="60" t="n">
        <f aca="false">G2157+H2157+I2157</f>
        <v>35.44</v>
      </c>
      <c r="S2157" s="60" t="n">
        <f aca="false">K2157+L2157+M2157+N2157+O2157</f>
        <v>49.71</v>
      </c>
      <c r="T2157" s="60" t="n">
        <f aca="false">L2157+M2157</f>
        <v>0.07</v>
      </c>
      <c r="U2157" s="60" t="n">
        <f aca="false">S2157+J2157</f>
        <v>49.71</v>
      </c>
      <c r="V2157" s="63" t="n">
        <f aca="false">IFERROR(S2157/F2157,0)</f>
        <v>0.58379330593071</v>
      </c>
      <c r="W2157" s="63" t="n">
        <f aca="false">IFERROR(R2157/F2157,0)</f>
        <v>0.416206694069289</v>
      </c>
      <c r="X2157" s="63" t="n">
        <f aca="false">IFERROR(T2157/F2157,0)</f>
        <v>0.000822078684674104</v>
      </c>
      <c r="Y2157" s="63" t="n">
        <f aca="false">IFERROR(G2157/F2157,0)</f>
        <v>0</v>
      </c>
      <c r="Z2157" s="59" t="n">
        <f aca="false">IF(E2157&gt;0,F2157*1000000000/E2157,"")</f>
        <v>2942.48799229915</v>
      </c>
      <c r="AA2157" s="63" t="n">
        <f aca="false">IFERROR((R2157+S2157+J2157)/F2157,0)</f>
        <v>1</v>
      </c>
      <c r="AB2157" s="0" t="str">
        <f aca="false">A2157&amp;"|"&amp;D2157</f>
        <v>Venezuela|2019</v>
      </c>
    </row>
    <row r="2158" customFormat="false" ht="15" hidden="false" customHeight="false" outlineLevel="0" collapsed="false">
      <c r="A2158" s="0" t="s">
        <v>387</v>
      </c>
      <c r="B2158" s="0" t="s">
        <v>626</v>
      </c>
      <c r="C2158" s="0" t="s">
        <v>127</v>
      </c>
      <c r="D2158" s="0" t="n">
        <v>2020</v>
      </c>
      <c r="E2158" s="59" t="n">
        <v>28444080</v>
      </c>
      <c r="F2158" s="60" t="n">
        <v>80.51</v>
      </c>
      <c r="G2158" s="61" t="n">
        <v>0</v>
      </c>
      <c r="H2158" s="61" t="n">
        <v>11.66</v>
      </c>
      <c r="I2158" s="61" t="n">
        <v>6.31</v>
      </c>
      <c r="J2158" s="61" t="n">
        <v>0</v>
      </c>
      <c r="K2158" s="61" t="n">
        <v>62.51</v>
      </c>
      <c r="L2158" s="61" t="n">
        <v>0.01</v>
      </c>
      <c r="M2158" s="61" t="n">
        <v>0.02</v>
      </c>
      <c r="N2158" s="61" t="n">
        <v>0</v>
      </c>
      <c r="O2158" s="61" t="n">
        <v>0</v>
      </c>
      <c r="P2158" s="62" t="n">
        <v>184.6</v>
      </c>
      <c r="Q2158" s="0" t="n">
        <v>0</v>
      </c>
      <c r="R2158" s="60" t="n">
        <f aca="false">G2158+H2158+I2158</f>
        <v>17.97</v>
      </c>
      <c r="S2158" s="60" t="n">
        <f aca="false">K2158+L2158+M2158+N2158+O2158</f>
        <v>62.54</v>
      </c>
      <c r="T2158" s="60" t="n">
        <f aca="false">L2158+M2158</f>
        <v>0.03</v>
      </c>
      <c r="U2158" s="60" t="n">
        <f aca="false">S2158+J2158</f>
        <v>62.54</v>
      </c>
      <c r="V2158" s="63" t="n">
        <f aca="false">IFERROR(S2158/F2158,0)</f>
        <v>0.776797913302695</v>
      </c>
      <c r="W2158" s="63" t="n">
        <f aca="false">IFERROR(R2158/F2158,0)</f>
        <v>0.223202086697305</v>
      </c>
      <c r="X2158" s="63" t="n">
        <f aca="false">IFERROR(T2158/F2158,0)</f>
        <v>0.00037262451869333</v>
      </c>
      <c r="Y2158" s="63" t="n">
        <f aca="false">IFERROR(G2158/F2158,0)</f>
        <v>0</v>
      </c>
      <c r="Z2158" s="59" t="n">
        <f aca="false">IF(E2158&gt;0,F2158*1000000000/E2158,"")</f>
        <v>2830.46595284502</v>
      </c>
      <c r="AA2158" s="63" t="n">
        <f aca="false">IFERROR((R2158+S2158+J2158)/F2158,0)</f>
        <v>1</v>
      </c>
      <c r="AB2158" s="0" t="str">
        <f aca="false">A2158&amp;"|"&amp;D2158</f>
        <v>Venezuela|2020</v>
      </c>
    </row>
    <row r="2159" customFormat="false" ht="15" hidden="false" customHeight="false" outlineLevel="0" collapsed="false">
      <c r="A2159" s="0" t="s">
        <v>387</v>
      </c>
      <c r="B2159" s="0" t="s">
        <v>626</v>
      </c>
      <c r="C2159" s="0" t="s">
        <v>127</v>
      </c>
      <c r="D2159" s="0" t="n">
        <v>2021</v>
      </c>
      <c r="E2159" s="59" t="n">
        <v>28237830</v>
      </c>
      <c r="F2159" s="60" t="n">
        <v>82.93</v>
      </c>
      <c r="G2159" s="61" t="n">
        <v>0</v>
      </c>
      <c r="H2159" s="61" t="n">
        <v>11.78</v>
      </c>
      <c r="I2159" s="61" t="n">
        <v>5.44</v>
      </c>
      <c r="J2159" s="61" t="n">
        <v>0</v>
      </c>
      <c r="K2159" s="61" t="n">
        <v>65.68</v>
      </c>
      <c r="L2159" s="61" t="n">
        <v>0.01</v>
      </c>
      <c r="M2159" s="61" t="n">
        <v>0.02</v>
      </c>
      <c r="N2159" s="61" t="n">
        <v>0</v>
      </c>
      <c r="O2159" s="61" t="n">
        <v>0</v>
      </c>
      <c r="P2159" s="62" t="n">
        <v>174.2</v>
      </c>
      <c r="Q2159" s="0" t="n">
        <v>0</v>
      </c>
      <c r="R2159" s="60" t="n">
        <f aca="false">G2159+H2159+I2159</f>
        <v>17.22</v>
      </c>
      <c r="S2159" s="60" t="n">
        <f aca="false">K2159+L2159+M2159+N2159+O2159</f>
        <v>65.71</v>
      </c>
      <c r="T2159" s="60" t="n">
        <f aca="false">L2159+M2159</f>
        <v>0.03</v>
      </c>
      <c r="U2159" s="60" t="n">
        <f aca="false">S2159+J2159</f>
        <v>65.71</v>
      </c>
      <c r="V2159" s="63" t="n">
        <f aca="false">IFERROR(S2159/F2159,0)</f>
        <v>0.792354998191246</v>
      </c>
      <c r="W2159" s="63" t="n">
        <f aca="false">IFERROR(R2159/F2159,0)</f>
        <v>0.207645001808754</v>
      </c>
      <c r="X2159" s="63" t="n">
        <f aca="false">IFERROR(T2159/F2159,0)</f>
        <v>0.000361750874231279</v>
      </c>
      <c r="Y2159" s="63" t="n">
        <f aca="false">IFERROR(G2159/F2159,0)</f>
        <v>0</v>
      </c>
      <c r="Z2159" s="59" t="n">
        <f aca="false">IF(E2159&gt;0,F2159*1000000000/E2159,"")</f>
        <v>2936.84040168809</v>
      </c>
      <c r="AA2159" s="63" t="n">
        <f aca="false">IFERROR((R2159+S2159+J2159)/F2159,0)</f>
        <v>1</v>
      </c>
      <c r="AB2159" s="0" t="str">
        <f aca="false">A2159&amp;"|"&amp;D2159</f>
        <v>Venezuela|2021</v>
      </c>
    </row>
    <row r="2160" customFormat="false" ht="15" hidden="false" customHeight="false" outlineLevel="0" collapsed="false">
      <c r="A2160" s="0" t="s">
        <v>387</v>
      </c>
      <c r="B2160" s="0" t="s">
        <v>626</v>
      </c>
      <c r="C2160" s="0" t="s">
        <v>127</v>
      </c>
      <c r="D2160" s="0" t="n">
        <v>2022</v>
      </c>
      <c r="E2160" s="59" t="n">
        <v>28213015</v>
      </c>
      <c r="F2160" s="60" t="n">
        <v>82.36</v>
      </c>
      <c r="G2160" s="61" t="n">
        <v>0</v>
      </c>
      <c r="H2160" s="61" t="n">
        <v>12.11</v>
      </c>
      <c r="I2160" s="61" t="n">
        <v>5.71</v>
      </c>
      <c r="J2160" s="61" t="n">
        <v>0</v>
      </c>
      <c r="K2160" s="61" t="n">
        <v>64.51</v>
      </c>
      <c r="L2160" s="61" t="n">
        <v>0.01</v>
      </c>
      <c r="M2160" s="61" t="n">
        <v>0.02</v>
      </c>
      <c r="N2160" s="61" t="n">
        <v>0</v>
      </c>
      <c r="O2160" s="61" t="n">
        <v>0</v>
      </c>
      <c r="P2160" s="62" t="n">
        <v>180.4</v>
      </c>
      <c r="Q2160" s="0" t="n">
        <v>0</v>
      </c>
      <c r="R2160" s="60" t="n">
        <f aca="false">G2160+H2160+I2160</f>
        <v>17.82</v>
      </c>
      <c r="S2160" s="60" t="n">
        <f aca="false">K2160+L2160+M2160+N2160+O2160</f>
        <v>64.54</v>
      </c>
      <c r="T2160" s="60" t="n">
        <f aca="false">L2160+M2160</f>
        <v>0.03</v>
      </c>
      <c r="U2160" s="60" t="n">
        <f aca="false">S2160+J2160</f>
        <v>64.54</v>
      </c>
      <c r="V2160" s="63" t="n">
        <f aca="false">IFERROR(S2160/F2160,0)</f>
        <v>0.783632831471588</v>
      </c>
      <c r="W2160" s="63" t="n">
        <f aca="false">IFERROR(R2160/F2160,0)</f>
        <v>0.216367168528412</v>
      </c>
      <c r="X2160" s="63" t="n">
        <f aca="false">IFERROR(T2160/F2160,0)</f>
        <v>0.000364254492472074</v>
      </c>
      <c r="Y2160" s="63" t="n">
        <f aca="false">IFERROR(G2160/F2160,0)</f>
        <v>0</v>
      </c>
      <c r="Z2160" s="59" t="n">
        <f aca="false">IF(E2160&gt;0,F2160*1000000000/E2160,"")</f>
        <v>2919.22008335515</v>
      </c>
      <c r="AA2160" s="63" t="n">
        <f aca="false">IFERROR((R2160+S2160+J2160)/F2160,0)</f>
        <v>1</v>
      </c>
      <c r="AB2160" s="0" t="str">
        <f aca="false">A2160&amp;"|"&amp;D2160</f>
        <v>Venezuela|2022</v>
      </c>
    </row>
    <row r="2161" customFormat="false" ht="15" hidden="false" customHeight="false" outlineLevel="0" collapsed="false">
      <c r="A2161" s="0" t="s">
        <v>387</v>
      </c>
      <c r="B2161" s="0" t="s">
        <v>626</v>
      </c>
      <c r="C2161" s="0" t="s">
        <v>127</v>
      </c>
      <c r="D2161" s="0" t="n">
        <v>2023</v>
      </c>
      <c r="E2161" s="59" t="n">
        <v>28300861</v>
      </c>
      <c r="F2161" s="60" t="n">
        <v>71.96</v>
      </c>
      <c r="G2161" s="61" t="n">
        <v>0</v>
      </c>
      <c r="H2161" s="61" t="n">
        <v>3.69</v>
      </c>
      <c r="I2161" s="61" t="n">
        <v>3.26</v>
      </c>
      <c r="J2161" s="61" t="n">
        <v>0</v>
      </c>
      <c r="K2161" s="61" t="n">
        <v>64.98</v>
      </c>
      <c r="L2161" s="61" t="n">
        <v>0.01</v>
      </c>
      <c r="M2161" s="61" t="n">
        <v>0.02</v>
      </c>
      <c r="N2161" s="61" t="n">
        <v>0</v>
      </c>
      <c r="O2161" s="61" t="n">
        <v>0</v>
      </c>
      <c r="P2161" s="62" t="n">
        <v>91.9</v>
      </c>
      <c r="Q2161" s="0" t="n">
        <v>0</v>
      </c>
      <c r="R2161" s="60" t="n">
        <f aca="false">G2161+H2161+I2161</f>
        <v>6.95</v>
      </c>
      <c r="S2161" s="60" t="n">
        <f aca="false">K2161+L2161+M2161+N2161+O2161</f>
        <v>65.01</v>
      </c>
      <c r="T2161" s="60" t="n">
        <f aca="false">L2161+M2161</f>
        <v>0.03</v>
      </c>
      <c r="U2161" s="60" t="n">
        <f aca="false">S2161+J2161</f>
        <v>65.01</v>
      </c>
      <c r="V2161" s="63" t="n">
        <f aca="false">IFERROR(S2161/F2161,0)</f>
        <v>0.903418565869928</v>
      </c>
      <c r="W2161" s="63" t="n">
        <f aca="false">IFERROR(R2161/F2161,0)</f>
        <v>0.0965814341300723</v>
      </c>
      <c r="X2161" s="63" t="n">
        <f aca="false">IFERROR(T2161/F2161,0)</f>
        <v>0.000416898276820456</v>
      </c>
      <c r="Y2161" s="63" t="n">
        <f aca="false">IFERROR(G2161/F2161,0)</f>
        <v>0</v>
      </c>
      <c r="Z2161" s="59" t="n">
        <f aca="false">IF(E2161&gt;0,F2161*1000000000/E2161,"")</f>
        <v>2542.67882521313</v>
      </c>
      <c r="AA2161" s="63" t="n">
        <f aca="false">IFERROR((R2161+S2161+J2161)/F2161,0)</f>
        <v>1</v>
      </c>
      <c r="AB2161" s="0" t="str">
        <f aca="false">A2161&amp;"|"&amp;D2161</f>
        <v>Venezuela|2023</v>
      </c>
    </row>
    <row r="2162" customFormat="false" ht="15" hidden="false" customHeight="false" outlineLevel="0" collapsed="false">
      <c r="A2162" s="0" t="s">
        <v>387</v>
      </c>
      <c r="B2162" s="0" t="s">
        <v>626</v>
      </c>
      <c r="C2162" s="0" t="s">
        <v>127</v>
      </c>
      <c r="D2162" s="0" t="n">
        <v>2024</v>
      </c>
      <c r="E2162" s="59" t="n">
        <v>28405544</v>
      </c>
      <c r="F2162" s="60" t="n">
        <v>80.13</v>
      </c>
      <c r="G2162" s="61" t="n">
        <v>0</v>
      </c>
      <c r="H2162" s="61" t="n">
        <v>3.6</v>
      </c>
      <c r="I2162" s="61" t="n">
        <v>3.5</v>
      </c>
      <c r="J2162" s="61" t="n">
        <v>0</v>
      </c>
      <c r="K2162" s="61" t="n">
        <v>73</v>
      </c>
      <c r="L2162" s="61" t="n">
        <v>0.01</v>
      </c>
      <c r="M2162" s="61" t="n">
        <v>0.02</v>
      </c>
      <c r="N2162" s="61" t="n">
        <v>0</v>
      </c>
      <c r="O2162" s="61" t="n">
        <v>0</v>
      </c>
      <c r="P2162" s="62" t="n">
        <v>85.9</v>
      </c>
      <c r="Q2162" s="0" t="n">
        <v>0</v>
      </c>
      <c r="R2162" s="60" t="n">
        <f aca="false">G2162+H2162+I2162</f>
        <v>7.1</v>
      </c>
      <c r="S2162" s="60" t="n">
        <f aca="false">K2162+L2162+M2162+N2162+O2162</f>
        <v>73.03</v>
      </c>
      <c r="T2162" s="60" t="n">
        <f aca="false">L2162+M2162</f>
        <v>0.03</v>
      </c>
      <c r="U2162" s="60" t="n">
        <f aca="false">S2162+J2162</f>
        <v>73.03</v>
      </c>
      <c r="V2162" s="63" t="n">
        <f aca="false">IFERROR(S2162/F2162,0)</f>
        <v>0.911393984774741</v>
      </c>
      <c r="W2162" s="63" t="n">
        <f aca="false">IFERROR(R2162/F2162,0)</f>
        <v>0.088606015225259</v>
      </c>
      <c r="X2162" s="63" t="n">
        <f aca="false">IFERROR(T2162/F2162,0)</f>
        <v>0.000374391613627855</v>
      </c>
      <c r="Y2162" s="63" t="n">
        <f aca="false">IFERROR(G2162/F2162,0)</f>
        <v>0</v>
      </c>
      <c r="Z2162" s="59" t="n">
        <f aca="false">IF(E2162&gt;0,F2162*1000000000/E2162,"")</f>
        <v>2820.92819627042</v>
      </c>
      <c r="AA2162" s="63" t="n">
        <f aca="false">IFERROR((R2162+S2162+J2162)/F2162,0)</f>
        <v>1</v>
      </c>
      <c r="AB2162" s="0" t="str">
        <f aca="false">A2162&amp;"|"&amp;D2162</f>
        <v>Venezuela|2024</v>
      </c>
    </row>
    <row r="2163" customFormat="false" ht="15" hidden="false" customHeight="false" outlineLevel="0" collapsed="false">
      <c r="A2163" s="0" t="s">
        <v>388</v>
      </c>
      <c r="B2163" s="0" t="s">
        <v>627</v>
      </c>
      <c r="C2163" s="0" t="s">
        <v>127</v>
      </c>
      <c r="D2163" s="0" t="n">
        <v>2015</v>
      </c>
      <c r="E2163" s="59" t="n">
        <v>92823254</v>
      </c>
      <c r="F2163" s="60" t="n">
        <v>161.93</v>
      </c>
      <c r="G2163" s="61" t="n">
        <v>56.47</v>
      </c>
      <c r="H2163" s="61" t="n">
        <v>48.15</v>
      </c>
      <c r="I2163" s="61" t="n">
        <v>0.99</v>
      </c>
      <c r="J2163" s="61" t="n">
        <v>0</v>
      </c>
      <c r="K2163" s="61" t="n">
        <v>56.12</v>
      </c>
      <c r="L2163" s="61" t="n">
        <v>0.01</v>
      </c>
      <c r="M2163" s="61" t="n">
        <v>0.12</v>
      </c>
      <c r="N2163" s="61" t="n">
        <v>0.07</v>
      </c>
      <c r="O2163" s="61" t="n">
        <v>0</v>
      </c>
      <c r="P2163" s="62" t="n">
        <v>483.7</v>
      </c>
      <c r="Q2163" s="0" t="n">
        <v>1</v>
      </c>
      <c r="R2163" s="60" t="n">
        <f aca="false">G2163+H2163+I2163</f>
        <v>105.61</v>
      </c>
      <c r="S2163" s="60" t="n">
        <f aca="false">K2163+L2163+M2163+N2163+O2163</f>
        <v>56.32</v>
      </c>
      <c r="T2163" s="60" t="n">
        <f aca="false">L2163+M2163</f>
        <v>0.13</v>
      </c>
      <c r="U2163" s="60" t="n">
        <f aca="false">S2163+J2163</f>
        <v>56.32</v>
      </c>
      <c r="V2163" s="63" t="n">
        <f aca="false">IFERROR(S2163/F2163,0)</f>
        <v>0.34780460692892</v>
      </c>
      <c r="W2163" s="63" t="n">
        <f aca="false">IFERROR(R2163/F2163,0)</f>
        <v>0.65219539307108</v>
      </c>
      <c r="X2163" s="63" t="n">
        <f aca="false">IFERROR(T2163/F2163,0)</f>
        <v>0.000802816031618601</v>
      </c>
      <c r="Y2163" s="63" t="n">
        <f aca="false">IFERROR(G2163/F2163,0)</f>
        <v>0.348730933119249</v>
      </c>
      <c r="Z2163" s="59" t="n">
        <f aca="false">IF(E2163&gt;0,F2163*1000000000/E2163,"")</f>
        <v>1744.49820515881</v>
      </c>
      <c r="AA2163" s="63" t="n">
        <f aca="false">IFERROR((R2163+S2163+J2163)/F2163,0)</f>
        <v>1</v>
      </c>
      <c r="AB2163" s="0" t="str">
        <f aca="false">A2163&amp;"|"&amp;D2163</f>
        <v>Vietnam|2015</v>
      </c>
    </row>
    <row r="2164" customFormat="false" ht="15" hidden="false" customHeight="false" outlineLevel="0" collapsed="false">
      <c r="A2164" s="0" t="s">
        <v>388</v>
      </c>
      <c r="B2164" s="0" t="s">
        <v>627</v>
      </c>
      <c r="C2164" s="0" t="s">
        <v>127</v>
      </c>
      <c r="D2164" s="0" t="n">
        <v>2016</v>
      </c>
      <c r="E2164" s="59" t="n">
        <v>94000115</v>
      </c>
      <c r="F2164" s="60" t="n">
        <v>179.17</v>
      </c>
      <c r="G2164" s="61" t="n">
        <v>68.35</v>
      </c>
      <c r="H2164" s="61" t="n">
        <v>45.37</v>
      </c>
      <c r="I2164" s="61" t="n">
        <v>1.18</v>
      </c>
      <c r="J2164" s="61" t="n">
        <v>0</v>
      </c>
      <c r="K2164" s="61" t="n">
        <v>63.94</v>
      </c>
      <c r="L2164" s="61" t="n">
        <v>0.01</v>
      </c>
      <c r="M2164" s="61" t="n">
        <v>0.2</v>
      </c>
      <c r="N2164" s="61" t="n">
        <v>0.12</v>
      </c>
      <c r="O2164" s="61" t="n">
        <v>0</v>
      </c>
      <c r="P2164" s="62" t="n">
        <v>489.1</v>
      </c>
      <c r="Q2164" s="0" t="n">
        <v>1</v>
      </c>
      <c r="R2164" s="60" t="n">
        <f aca="false">G2164+H2164+I2164</f>
        <v>114.9</v>
      </c>
      <c r="S2164" s="60" t="n">
        <f aca="false">K2164+L2164+M2164+N2164+O2164</f>
        <v>64.27</v>
      </c>
      <c r="T2164" s="60" t="n">
        <f aca="false">L2164+M2164</f>
        <v>0.21</v>
      </c>
      <c r="U2164" s="60" t="n">
        <f aca="false">S2164+J2164</f>
        <v>64.27</v>
      </c>
      <c r="V2164" s="63" t="n">
        <f aca="false">IFERROR(S2164/F2164,0)</f>
        <v>0.35870960540269</v>
      </c>
      <c r="W2164" s="63" t="n">
        <f aca="false">IFERROR(R2164/F2164,0)</f>
        <v>0.64129039459731</v>
      </c>
      <c r="X2164" s="63" t="n">
        <f aca="false">IFERROR(T2164/F2164,0)</f>
        <v>0.00117207121727968</v>
      </c>
      <c r="Y2164" s="63" t="n">
        <f aca="false">IFERROR(G2164/F2164,0)</f>
        <v>0.381481274766981</v>
      </c>
      <c r="Z2164" s="59" t="n">
        <f aca="false">IF(E2164&gt;0,F2164*1000000000/E2164,"")</f>
        <v>1906.06149790349</v>
      </c>
      <c r="AA2164" s="63" t="n">
        <f aca="false">IFERROR((R2164+S2164+J2164)/F2164,0)</f>
        <v>1</v>
      </c>
      <c r="AB2164" s="0" t="str">
        <f aca="false">A2164&amp;"|"&amp;D2164</f>
        <v>Vietnam|2016</v>
      </c>
    </row>
    <row r="2165" customFormat="false" ht="15" hidden="false" customHeight="false" outlineLevel="0" collapsed="false">
      <c r="A2165" s="0" t="s">
        <v>388</v>
      </c>
      <c r="B2165" s="0" t="s">
        <v>627</v>
      </c>
      <c r="C2165" s="0" t="s">
        <v>127</v>
      </c>
      <c r="D2165" s="0" t="n">
        <v>2017</v>
      </c>
      <c r="E2165" s="59" t="n">
        <v>95176978</v>
      </c>
      <c r="F2165" s="60" t="n">
        <v>194.72</v>
      </c>
      <c r="G2165" s="61" t="n">
        <v>67.71</v>
      </c>
      <c r="H2165" s="61" t="n">
        <v>40.35</v>
      </c>
      <c r="I2165" s="61" t="n">
        <v>0.15</v>
      </c>
      <c r="J2165" s="61" t="n">
        <v>0</v>
      </c>
      <c r="K2165" s="61" t="n">
        <v>85.94</v>
      </c>
      <c r="L2165" s="61" t="n">
        <v>0.01</v>
      </c>
      <c r="M2165" s="61" t="n">
        <v>0.35</v>
      </c>
      <c r="N2165" s="61" t="n">
        <v>0.21</v>
      </c>
      <c r="O2165" s="61" t="n">
        <v>0</v>
      </c>
      <c r="P2165" s="62" t="n">
        <v>430.5</v>
      </c>
      <c r="Q2165" s="0" t="n">
        <v>1</v>
      </c>
      <c r="R2165" s="60" t="n">
        <f aca="false">G2165+H2165+I2165</f>
        <v>108.21</v>
      </c>
      <c r="S2165" s="60" t="n">
        <f aca="false">K2165+L2165+M2165+N2165+O2165</f>
        <v>86.51</v>
      </c>
      <c r="T2165" s="60" t="n">
        <f aca="false">L2165+M2165</f>
        <v>0.36</v>
      </c>
      <c r="U2165" s="60" t="n">
        <f aca="false">S2165+J2165</f>
        <v>86.51</v>
      </c>
      <c r="V2165" s="63" t="n">
        <f aca="false">IFERROR(S2165/F2165,0)</f>
        <v>0.444278964667214</v>
      </c>
      <c r="W2165" s="63" t="n">
        <f aca="false">IFERROR(R2165/F2165,0)</f>
        <v>0.555721035332786</v>
      </c>
      <c r="X2165" s="63" t="n">
        <f aca="false">IFERROR(T2165/F2165,0)</f>
        <v>0.00184880854560394</v>
      </c>
      <c r="Y2165" s="63" t="n">
        <f aca="false">IFERROR(G2165/F2165,0)</f>
        <v>0.347730073952342</v>
      </c>
      <c r="Z2165" s="59" t="n">
        <f aca="false">IF(E2165&gt;0,F2165*1000000000/E2165,"")</f>
        <v>2045.87290006203</v>
      </c>
      <c r="AA2165" s="63" t="n">
        <f aca="false">IFERROR((R2165+S2165+J2165)/F2165,0)</f>
        <v>1</v>
      </c>
      <c r="AB2165" s="0" t="str">
        <f aca="false">A2165&amp;"|"&amp;D2165</f>
        <v>Vietnam|2017</v>
      </c>
    </row>
    <row r="2166" customFormat="false" ht="15" hidden="false" customHeight="false" outlineLevel="0" collapsed="false">
      <c r="A2166" s="0" t="s">
        <v>388</v>
      </c>
      <c r="B2166" s="0" t="s">
        <v>627</v>
      </c>
      <c r="C2166" s="0" t="s">
        <v>127</v>
      </c>
      <c r="D2166" s="0" t="n">
        <v>2018</v>
      </c>
      <c r="E2166" s="59" t="n">
        <v>96237319</v>
      </c>
      <c r="F2166" s="60" t="n">
        <v>217.18</v>
      </c>
      <c r="G2166" s="61" t="n">
        <v>91.65</v>
      </c>
      <c r="H2166" s="61" t="n">
        <v>40.7</v>
      </c>
      <c r="I2166" s="61" t="n">
        <v>0.75</v>
      </c>
      <c r="J2166" s="61" t="n">
        <v>0</v>
      </c>
      <c r="K2166" s="61" t="n">
        <v>83.08</v>
      </c>
      <c r="L2166" s="61" t="n">
        <v>0.02</v>
      </c>
      <c r="M2166" s="61" t="n">
        <v>0.49</v>
      </c>
      <c r="N2166" s="61" t="n">
        <v>0.49</v>
      </c>
      <c r="O2166" s="61" t="n">
        <v>0</v>
      </c>
      <c r="P2166" s="62" t="n">
        <v>482.9</v>
      </c>
      <c r="Q2166" s="0" t="n">
        <v>1</v>
      </c>
      <c r="R2166" s="60" t="n">
        <f aca="false">G2166+H2166+I2166</f>
        <v>133.1</v>
      </c>
      <c r="S2166" s="60" t="n">
        <f aca="false">K2166+L2166+M2166+N2166+O2166</f>
        <v>84.08</v>
      </c>
      <c r="T2166" s="60" t="n">
        <f aca="false">L2166+M2166</f>
        <v>0.51</v>
      </c>
      <c r="U2166" s="60" t="n">
        <f aca="false">S2166+J2166</f>
        <v>84.08</v>
      </c>
      <c r="V2166" s="63" t="n">
        <f aca="false">IFERROR(S2166/F2166,0)</f>
        <v>0.387144304263744</v>
      </c>
      <c r="W2166" s="63" t="n">
        <f aca="false">IFERROR(R2166/F2166,0)</f>
        <v>0.612855695736256</v>
      </c>
      <c r="X2166" s="63" t="n">
        <f aca="false">IFERROR(T2166/F2166,0)</f>
        <v>0.00234828253061976</v>
      </c>
      <c r="Y2166" s="63" t="n">
        <f aca="false">IFERROR(G2166/F2166,0)</f>
        <v>0.422000184179022</v>
      </c>
      <c r="Z2166" s="59" t="n">
        <f aca="false">IF(E2166&gt;0,F2166*1000000000/E2166,"")</f>
        <v>2256.71290780659</v>
      </c>
      <c r="AA2166" s="63" t="n">
        <f aca="false">IFERROR((R2166+S2166+J2166)/F2166,0)</f>
        <v>1</v>
      </c>
      <c r="AB2166" s="0" t="str">
        <f aca="false">A2166&amp;"|"&amp;D2166</f>
        <v>Vietnam|2018</v>
      </c>
    </row>
    <row r="2167" customFormat="false" ht="15" hidden="false" customHeight="false" outlineLevel="0" collapsed="false">
      <c r="A2167" s="0" t="s">
        <v>388</v>
      </c>
      <c r="B2167" s="0" t="s">
        <v>627</v>
      </c>
      <c r="C2167" s="0" t="s">
        <v>127</v>
      </c>
      <c r="D2167" s="0" t="n">
        <v>2019</v>
      </c>
      <c r="E2167" s="59" t="n">
        <v>97173778</v>
      </c>
      <c r="F2167" s="60" t="n">
        <v>236.89</v>
      </c>
      <c r="G2167" s="61" t="n">
        <v>120.16</v>
      </c>
      <c r="H2167" s="61" t="n">
        <v>42.51</v>
      </c>
      <c r="I2167" s="61" t="n">
        <v>2.21</v>
      </c>
      <c r="J2167" s="61" t="n">
        <v>0</v>
      </c>
      <c r="K2167" s="61" t="n">
        <v>66.12</v>
      </c>
      <c r="L2167" s="61" t="n">
        <v>4.82</v>
      </c>
      <c r="M2167" s="61" t="n">
        <v>0.72</v>
      </c>
      <c r="N2167" s="61" t="n">
        <v>0.35</v>
      </c>
      <c r="O2167" s="61" t="n">
        <v>0</v>
      </c>
      <c r="P2167" s="62" t="n">
        <v>553.9</v>
      </c>
      <c r="Q2167" s="0" t="n">
        <v>1</v>
      </c>
      <c r="R2167" s="60" t="n">
        <f aca="false">G2167+H2167+I2167</f>
        <v>164.88</v>
      </c>
      <c r="S2167" s="60" t="n">
        <f aca="false">K2167+L2167+M2167+N2167+O2167</f>
        <v>72.01</v>
      </c>
      <c r="T2167" s="60" t="n">
        <f aca="false">L2167+M2167</f>
        <v>5.54</v>
      </c>
      <c r="U2167" s="60" t="n">
        <f aca="false">S2167+J2167</f>
        <v>72.01</v>
      </c>
      <c r="V2167" s="63" t="n">
        <f aca="false">IFERROR(S2167/F2167,0)</f>
        <v>0.303980750559331</v>
      </c>
      <c r="W2167" s="63" t="n">
        <f aca="false">IFERROR(R2167/F2167,0)</f>
        <v>0.696019249440669</v>
      </c>
      <c r="X2167" s="63" t="n">
        <f aca="false">IFERROR(T2167/F2167,0)</f>
        <v>0.0233863818650006</v>
      </c>
      <c r="Y2167" s="63" t="n">
        <f aca="false">IFERROR(G2167/F2167,0)</f>
        <v>0.507239647093588</v>
      </c>
      <c r="Z2167" s="59" t="n">
        <f aca="false">IF(E2167&gt;0,F2167*1000000000/E2167,"")</f>
        <v>2437.79757127484</v>
      </c>
      <c r="AA2167" s="63" t="n">
        <f aca="false">IFERROR((R2167+S2167+J2167)/F2167,0)</f>
        <v>1</v>
      </c>
      <c r="AB2167" s="0" t="str">
        <f aca="false">A2167&amp;"|"&amp;D2167</f>
        <v>Vietnam|2019</v>
      </c>
    </row>
    <row r="2168" customFormat="false" ht="15" hidden="false" customHeight="false" outlineLevel="0" collapsed="false">
      <c r="A2168" s="0" t="s">
        <v>388</v>
      </c>
      <c r="B2168" s="0" t="s">
        <v>627</v>
      </c>
      <c r="C2168" s="0" t="s">
        <v>127</v>
      </c>
      <c r="D2168" s="0" t="n">
        <v>2020</v>
      </c>
      <c r="E2168" s="59" t="n">
        <v>98079196</v>
      </c>
      <c r="F2168" s="60" t="n">
        <v>244</v>
      </c>
      <c r="G2168" s="61" t="n">
        <v>122.53</v>
      </c>
      <c r="H2168" s="61" t="n">
        <v>34.66</v>
      </c>
      <c r="I2168" s="61" t="n">
        <v>1.86</v>
      </c>
      <c r="J2168" s="61" t="n">
        <v>0</v>
      </c>
      <c r="K2168" s="61" t="n">
        <v>72.87</v>
      </c>
      <c r="L2168" s="61" t="n">
        <v>10.76</v>
      </c>
      <c r="M2168" s="61" t="n">
        <v>0.98</v>
      </c>
      <c r="N2168" s="61" t="n">
        <v>0.34</v>
      </c>
      <c r="O2168" s="61" t="n">
        <v>0</v>
      </c>
      <c r="P2168" s="62" t="n">
        <v>528.4</v>
      </c>
      <c r="Q2168" s="0" t="n">
        <v>1</v>
      </c>
      <c r="R2168" s="60" t="n">
        <f aca="false">G2168+H2168+I2168</f>
        <v>159.05</v>
      </c>
      <c r="S2168" s="60" t="n">
        <f aca="false">K2168+L2168+M2168+N2168+O2168</f>
        <v>84.95</v>
      </c>
      <c r="T2168" s="60" t="n">
        <f aca="false">L2168+M2168</f>
        <v>11.74</v>
      </c>
      <c r="U2168" s="60" t="n">
        <f aca="false">S2168+J2168</f>
        <v>84.95</v>
      </c>
      <c r="V2168" s="63" t="n">
        <f aca="false">IFERROR(S2168/F2168,0)</f>
        <v>0.348155737704918</v>
      </c>
      <c r="W2168" s="63" t="n">
        <f aca="false">IFERROR(R2168/F2168,0)</f>
        <v>0.651844262295082</v>
      </c>
      <c r="X2168" s="63" t="n">
        <f aca="false">IFERROR(T2168/F2168,0)</f>
        <v>0.0481147540983607</v>
      </c>
      <c r="Y2168" s="63" t="n">
        <f aca="false">IFERROR(G2168/F2168,0)</f>
        <v>0.502172131147541</v>
      </c>
      <c r="Z2168" s="59" t="n">
        <f aca="false">IF(E2168&gt;0,F2168*1000000000/E2168,"")</f>
        <v>2487.78548307023</v>
      </c>
      <c r="AA2168" s="63" t="n">
        <f aca="false">IFERROR((R2168+S2168+J2168)/F2168,0)</f>
        <v>1</v>
      </c>
      <c r="AB2168" s="0" t="str">
        <f aca="false">A2168&amp;"|"&amp;D2168</f>
        <v>Vietnam|2020</v>
      </c>
    </row>
    <row r="2169" customFormat="false" ht="15" hidden="false" customHeight="false" outlineLevel="0" collapsed="false">
      <c r="A2169" s="0" t="s">
        <v>388</v>
      </c>
      <c r="B2169" s="0" t="s">
        <v>627</v>
      </c>
      <c r="C2169" s="0" t="s">
        <v>127</v>
      </c>
      <c r="D2169" s="0" t="n">
        <v>2021</v>
      </c>
      <c r="E2169" s="59" t="n">
        <v>98935101</v>
      </c>
      <c r="F2169" s="60" t="n">
        <v>253.61</v>
      </c>
      <c r="G2169" s="61" t="n">
        <v>118.03</v>
      </c>
      <c r="H2169" s="61" t="n">
        <v>26.31</v>
      </c>
      <c r="I2169" s="61" t="n">
        <v>0.79</v>
      </c>
      <c r="J2169" s="61" t="n">
        <v>0</v>
      </c>
      <c r="K2169" s="61" t="n">
        <v>78.67</v>
      </c>
      <c r="L2169" s="61" t="n">
        <v>26.15</v>
      </c>
      <c r="M2169" s="61" t="n">
        <v>3.34</v>
      </c>
      <c r="N2169" s="61" t="n">
        <v>0.32</v>
      </c>
      <c r="O2169" s="61" t="n">
        <v>0</v>
      </c>
      <c r="P2169" s="62" t="n">
        <v>475.1</v>
      </c>
      <c r="Q2169" s="0" t="n">
        <v>1</v>
      </c>
      <c r="R2169" s="60" t="n">
        <f aca="false">G2169+H2169+I2169</f>
        <v>145.13</v>
      </c>
      <c r="S2169" s="60" t="n">
        <f aca="false">K2169+L2169+M2169+N2169+O2169</f>
        <v>108.48</v>
      </c>
      <c r="T2169" s="60" t="n">
        <f aca="false">L2169+M2169</f>
        <v>29.49</v>
      </c>
      <c r="U2169" s="60" t="n">
        <f aca="false">S2169+J2169</f>
        <v>108.48</v>
      </c>
      <c r="V2169" s="63" t="n">
        <f aca="false">IFERROR(S2169/F2169,0)</f>
        <v>0.427743385513189</v>
      </c>
      <c r="W2169" s="63" t="n">
        <f aca="false">IFERROR(R2169/F2169,0)</f>
        <v>0.57225661448681</v>
      </c>
      <c r="X2169" s="63" t="n">
        <f aca="false">IFERROR(T2169/F2169,0)</f>
        <v>0.116280903749852</v>
      </c>
      <c r="Y2169" s="63" t="n">
        <f aca="false">IFERROR(G2169/F2169,0)</f>
        <v>0.465399629352155</v>
      </c>
      <c r="Z2169" s="59" t="n">
        <f aca="false">IF(E2169&gt;0,F2169*1000000000/E2169,"")</f>
        <v>2563.397595359</v>
      </c>
      <c r="AA2169" s="63" t="n">
        <f aca="false">IFERROR((R2169+S2169+J2169)/F2169,0)</f>
        <v>1</v>
      </c>
      <c r="AB2169" s="0" t="str">
        <f aca="false">A2169&amp;"|"&amp;D2169</f>
        <v>Vietnam|2021</v>
      </c>
    </row>
    <row r="2170" customFormat="false" ht="15" hidden="false" customHeight="false" outlineLevel="0" collapsed="false">
      <c r="A2170" s="0" t="s">
        <v>388</v>
      </c>
      <c r="B2170" s="0" t="s">
        <v>627</v>
      </c>
      <c r="C2170" s="0" t="s">
        <v>127</v>
      </c>
      <c r="D2170" s="0" t="n">
        <v>2022</v>
      </c>
      <c r="E2170" s="59" t="n">
        <v>99680656</v>
      </c>
      <c r="F2170" s="60" t="n">
        <v>265.11</v>
      </c>
      <c r="G2170" s="61" t="n">
        <v>104.04</v>
      </c>
      <c r="H2170" s="61" t="n">
        <v>29.22</v>
      </c>
      <c r="I2170" s="61" t="n">
        <v>0.72</v>
      </c>
      <c r="J2170" s="61" t="n">
        <v>0</v>
      </c>
      <c r="K2170" s="61" t="n">
        <v>95.91</v>
      </c>
      <c r="L2170" s="61" t="n">
        <v>25.75</v>
      </c>
      <c r="M2170" s="61" t="n">
        <v>9.09</v>
      </c>
      <c r="N2170" s="61" t="n">
        <v>0.38</v>
      </c>
      <c r="O2170" s="61" t="n">
        <v>0</v>
      </c>
      <c r="P2170" s="62" t="n">
        <v>415.4</v>
      </c>
      <c r="Q2170" s="0" t="n">
        <v>1</v>
      </c>
      <c r="R2170" s="60" t="n">
        <f aca="false">G2170+H2170+I2170</f>
        <v>133.98</v>
      </c>
      <c r="S2170" s="60" t="n">
        <f aca="false">K2170+L2170+M2170+N2170+O2170</f>
        <v>131.13</v>
      </c>
      <c r="T2170" s="60" t="n">
        <f aca="false">L2170+M2170</f>
        <v>34.84</v>
      </c>
      <c r="U2170" s="60" t="n">
        <f aca="false">S2170+J2170</f>
        <v>131.13</v>
      </c>
      <c r="V2170" s="63" t="n">
        <f aca="false">IFERROR(S2170/F2170,0)</f>
        <v>0.494624872694353</v>
      </c>
      <c r="W2170" s="63" t="n">
        <f aca="false">IFERROR(R2170/F2170,0)</f>
        <v>0.505375127305647</v>
      </c>
      <c r="X2170" s="63" t="n">
        <f aca="false">IFERROR(T2170/F2170,0)</f>
        <v>0.13141714759911</v>
      </c>
      <c r="Y2170" s="63" t="n">
        <f aca="false">IFERROR(G2170/F2170,0)</f>
        <v>0.392440873599638</v>
      </c>
      <c r="Z2170" s="59" t="n">
        <f aca="false">IF(E2170&gt;0,F2170*1000000000/E2170,"")</f>
        <v>2659.59325147298</v>
      </c>
      <c r="AA2170" s="63" t="n">
        <f aca="false">IFERROR((R2170+S2170+J2170)/F2170,0)</f>
        <v>1</v>
      </c>
      <c r="AB2170" s="0" t="str">
        <f aca="false">A2170&amp;"|"&amp;D2170</f>
        <v>Vietnam|2022</v>
      </c>
    </row>
    <row r="2171" customFormat="false" ht="15" hidden="false" customHeight="false" outlineLevel="0" collapsed="false">
      <c r="A2171" s="0" t="s">
        <v>388</v>
      </c>
      <c r="B2171" s="0" t="s">
        <v>627</v>
      </c>
      <c r="C2171" s="0" t="s">
        <v>127</v>
      </c>
      <c r="D2171" s="0" t="n">
        <v>2023</v>
      </c>
      <c r="E2171" s="59" t="n">
        <v>100352189</v>
      </c>
      <c r="F2171" s="60" t="n">
        <v>276.59</v>
      </c>
      <c r="G2171" s="61" t="n">
        <v>129.76</v>
      </c>
      <c r="H2171" s="61" t="n">
        <v>26.36</v>
      </c>
      <c r="I2171" s="61" t="n">
        <v>1.7</v>
      </c>
      <c r="J2171" s="61" t="n">
        <v>0</v>
      </c>
      <c r="K2171" s="61" t="n">
        <v>80.62</v>
      </c>
      <c r="L2171" s="61" t="n">
        <v>25.69</v>
      </c>
      <c r="M2171" s="61" t="n">
        <v>11.59</v>
      </c>
      <c r="N2171" s="61" t="n">
        <v>0.87</v>
      </c>
      <c r="O2171" s="61" t="n">
        <v>0</v>
      </c>
      <c r="P2171" s="62" t="n">
        <v>472.4</v>
      </c>
      <c r="Q2171" s="0" t="n">
        <v>1</v>
      </c>
      <c r="R2171" s="60" t="n">
        <f aca="false">G2171+H2171+I2171</f>
        <v>157.82</v>
      </c>
      <c r="S2171" s="60" t="n">
        <f aca="false">K2171+L2171+M2171+N2171+O2171</f>
        <v>118.77</v>
      </c>
      <c r="T2171" s="60" t="n">
        <f aca="false">L2171+M2171</f>
        <v>37.28</v>
      </c>
      <c r="U2171" s="60" t="n">
        <f aca="false">S2171+J2171</f>
        <v>118.77</v>
      </c>
      <c r="V2171" s="63" t="n">
        <f aca="false">IFERROR(S2171/F2171,0)</f>
        <v>0.429408149246177</v>
      </c>
      <c r="W2171" s="63" t="n">
        <f aca="false">IFERROR(R2171/F2171,0)</f>
        <v>0.570591850753823</v>
      </c>
      <c r="X2171" s="63" t="n">
        <f aca="false">IFERROR(T2171/F2171,0)</f>
        <v>0.134784337828555</v>
      </c>
      <c r="Y2171" s="63" t="n">
        <f aca="false">IFERROR(G2171/F2171,0)</f>
        <v>0.469142051411837</v>
      </c>
      <c r="Z2171" s="59" t="n">
        <f aca="false">IF(E2171&gt;0,F2171*1000000000/E2171,"")</f>
        <v>2756.19299146529</v>
      </c>
      <c r="AA2171" s="63" t="n">
        <f aca="false">IFERROR((R2171+S2171+J2171)/F2171,0)</f>
        <v>1</v>
      </c>
      <c r="AB2171" s="0" t="str">
        <f aca="false">A2171&amp;"|"&amp;D2171</f>
        <v>Vietnam|2023</v>
      </c>
    </row>
    <row r="2172" customFormat="false" ht="15" hidden="false" customHeight="false" outlineLevel="0" collapsed="false">
      <c r="A2172" s="0" t="s">
        <v>388</v>
      </c>
      <c r="B2172" s="0" t="s">
        <v>627</v>
      </c>
      <c r="C2172" s="0" t="s">
        <v>127</v>
      </c>
      <c r="D2172" s="0" t="n">
        <v>2024</v>
      </c>
      <c r="E2172" s="59" t="n">
        <v>100987685</v>
      </c>
      <c r="F2172" s="60" t="n">
        <v>303.58</v>
      </c>
      <c r="G2172" s="61" t="n">
        <v>152.77</v>
      </c>
      <c r="H2172" s="61" t="n">
        <v>21.83</v>
      </c>
      <c r="I2172" s="61" t="n">
        <v>0.62</v>
      </c>
      <c r="J2172" s="61" t="n">
        <v>0</v>
      </c>
      <c r="K2172" s="61" t="n">
        <v>88.72</v>
      </c>
      <c r="L2172" s="61" t="n">
        <v>25.86</v>
      </c>
      <c r="M2172" s="61" t="n">
        <v>12.75</v>
      </c>
      <c r="N2172" s="61" t="n">
        <v>1.03</v>
      </c>
      <c r="O2172" s="61" t="n">
        <v>0</v>
      </c>
      <c r="P2172" s="62" t="n">
        <v>484.3</v>
      </c>
      <c r="Q2172" s="0" t="n">
        <v>1</v>
      </c>
      <c r="R2172" s="60" t="n">
        <f aca="false">G2172+H2172+I2172</f>
        <v>175.22</v>
      </c>
      <c r="S2172" s="60" t="n">
        <f aca="false">K2172+L2172+M2172+N2172+O2172</f>
        <v>128.36</v>
      </c>
      <c r="T2172" s="60" t="n">
        <f aca="false">L2172+M2172</f>
        <v>38.61</v>
      </c>
      <c r="U2172" s="60" t="n">
        <f aca="false">S2172+J2172</f>
        <v>128.36</v>
      </c>
      <c r="V2172" s="63" t="n">
        <f aca="false">IFERROR(S2172/F2172,0)</f>
        <v>0.4228210027011</v>
      </c>
      <c r="W2172" s="63" t="n">
        <f aca="false">IFERROR(R2172/F2172,0)</f>
        <v>0.5771789972989</v>
      </c>
      <c r="X2172" s="63" t="n">
        <f aca="false">IFERROR(T2172/F2172,0)</f>
        <v>0.127182291323539</v>
      </c>
      <c r="Y2172" s="63" t="n">
        <f aca="false">IFERROR(G2172/F2172,0)</f>
        <v>0.503228144146518</v>
      </c>
      <c r="Z2172" s="59" t="n">
        <f aca="false">IF(E2172&gt;0,F2172*1000000000/E2172,"")</f>
        <v>3006.1091112248</v>
      </c>
      <c r="AA2172" s="63" t="n">
        <f aca="false">IFERROR((R2172+S2172+J2172)/F2172,0)</f>
        <v>1</v>
      </c>
      <c r="AB2172" s="0" t="str">
        <f aca="false">A2172&amp;"|"&amp;D2172</f>
        <v>Vietnam|2024</v>
      </c>
    </row>
    <row r="2173" customFormat="false" ht="15" hidden="false" customHeight="false" outlineLevel="0" collapsed="false">
      <c r="A2173" s="0" t="s">
        <v>388</v>
      </c>
      <c r="B2173" s="0" t="s">
        <v>627</v>
      </c>
      <c r="C2173" s="0" t="s">
        <v>127</v>
      </c>
      <c r="D2173" s="0" t="n">
        <v>2025</v>
      </c>
      <c r="E2173" s="59" t="n">
        <v>101598530</v>
      </c>
      <c r="F2173" s="60" t="n">
        <v>309.99</v>
      </c>
      <c r="G2173" s="61" t="n">
        <v>149.24</v>
      </c>
      <c r="H2173" s="61" t="n">
        <v>19.34</v>
      </c>
      <c r="I2173" s="61" t="n">
        <v>0.62</v>
      </c>
      <c r="J2173" s="61" t="n">
        <v>0</v>
      </c>
      <c r="K2173" s="61" t="n">
        <v>102.35</v>
      </c>
      <c r="L2173" s="61" t="n">
        <v>23.04</v>
      </c>
      <c r="M2173" s="61" t="n">
        <v>14.37</v>
      </c>
      <c r="N2173" s="61" t="n">
        <v>1.03</v>
      </c>
      <c r="O2173" s="61" t="n">
        <v>0</v>
      </c>
      <c r="P2173" s="62" t="n">
        <v>460.7</v>
      </c>
      <c r="Q2173" s="0" t="n">
        <v>1</v>
      </c>
      <c r="R2173" s="60" t="n">
        <f aca="false">G2173+H2173+I2173</f>
        <v>169.2</v>
      </c>
      <c r="S2173" s="60" t="n">
        <f aca="false">K2173+L2173+M2173+N2173+O2173</f>
        <v>140.79</v>
      </c>
      <c r="T2173" s="60" t="n">
        <f aca="false">L2173+M2173</f>
        <v>37.41</v>
      </c>
      <c r="U2173" s="60" t="n">
        <f aca="false">S2173+J2173</f>
        <v>140.79</v>
      </c>
      <c r="V2173" s="63" t="n">
        <f aca="false">IFERROR(S2173/F2173,0)</f>
        <v>0.454175941159392</v>
      </c>
      <c r="W2173" s="63" t="n">
        <f aca="false">IFERROR(R2173/F2173,0)</f>
        <v>0.545824058840608</v>
      </c>
      <c r="X2173" s="63" t="n">
        <f aca="false">IFERROR(T2173/F2173,0)</f>
        <v>0.120681312300397</v>
      </c>
      <c r="Y2173" s="63" t="n">
        <f aca="false">IFERROR(G2173/F2173,0)</f>
        <v>0.48143488499629</v>
      </c>
      <c r="Z2173" s="59" t="n">
        <f aca="false">IF(E2173&gt;0,F2173*1000000000/E2173,"")</f>
        <v>3051.1268224058</v>
      </c>
      <c r="AA2173" s="63" t="n">
        <f aca="false">IFERROR((R2173+S2173+J2173)/F2173,0)</f>
        <v>1</v>
      </c>
      <c r="AB2173" s="0" t="str">
        <f aca="false">A2173&amp;"|"&amp;D2173</f>
        <v>Vietnam|2025</v>
      </c>
    </row>
    <row r="2174" customFormat="false" ht="15" hidden="false" customHeight="false" outlineLevel="0" collapsed="false">
      <c r="A2174" s="0" t="s">
        <v>389</v>
      </c>
      <c r="B2174" s="0" t="s">
        <v>628</v>
      </c>
      <c r="C2174" s="0" t="s">
        <v>127</v>
      </c>
      <c r="D2174" s="0" t="n">
        <v>2015</v>
      </c>
      <c r="E2174" s="59" t="n">
        <v>31159378</v>
      </c>
      <c r="F2174" s="60" t="n">
        <v>5.76</v>
      </c>
      <c r="G2174" s="61" t="n">
        <v>0</v>
      </c>
      <c r="H2174" s="61" t="n">
        <v>2.26</v>
      </c>
      <c r="I2174" s="61" t="n">
        <v>3.38</v>
      </c>
      <c r="J2174" s="61" t="n">
        <v>0</v>
      </c>
      <c r="K2174" s="61" t="n">
        <v>0</v>
      </c>
      <c r="L2174" s="61" t="n">
        <v>0.12</v>
      </c>
      <c r="M2174" s="61" t="n">
        <v>0</v>
      </c>
      <c r="N2174" s="61" t="n">
        <v>0</v>
      </c>
      <c r="O2174" s="61" t="n">
        <v>0</v>
      </c>
      <c r="P2174" s="62" t="n">
        <v>713.5</v>
      </c>
      <c r="Q2174" s="0" t="n">
        <v>0</v>
      </c>
      <c r="R2174" s="60" t="n">
        <f aca="false">G2174+H2174+I2174</f>
        <v>5.64</v>
      </c>
      <c r="S2174" s="60" t="n">
        <f aca="false">K2174+L2174+M2174+N2174+O2174</f>
        <v>0.12</v>
      </c>
      <c r="T2174" s="60" t="n">
        <f aca="false">L2174+M2174</f>
        <v>0.12</v>
      </c>
      <c r="U2174" s="60" t="n">
        <f aca="false">S2174+J2174</f>
        <v>0.12</v>
      </c>
      <c r="V2174" s="63" t="n">
        <f aca="false">IFERROR(S2174/F2174,0)</f>
        <v>0.0208333333333333</v>
      </c>
      <c r="W2174" s="63" t="n">
        <f aca="false">IFERROR(R2174/F2174,0)</f>
        <v>0.979166666666667</v>
      </c>
      <c r="X2174" s="63" t="n">
        <f aca="false">IFERROR(T2174/F2174,0)</f>
        <v>0.0208333333333333</v>
      </c>
      <c r="Y2174" s="63" t="n">
        <f aca="false">IFERROR(G2174/F2174,0)</f>
        <v>0</v>
      </c>
      <c r="Z2174" s="59" t="n">
        <f aca="false">IF(E2174&gt;0,F2174*1000000000/E2174,"")</f>
        <v>184.856064841859</v>
      </c>
      <c r="AA2174" s="63" t="n">
        <f aca="false">IFERROR((R2174+S2174+J2174)/F2174,0)</f>
        <v>1</v>
      </c>
      <c r="AB2174" s="0" t="str">
        <f aca="false">A2174&amp;"|"&amp;D2174</f>
        <v>Yemen|2015</v>
      </c>
    </row>
    <row r="2175" customFormat="false" ht="15" hidden="false" customHeight="false" outlineLevel="0" collapsed="false">
      <c r="A2175" s="0" t="s">
        <v>389</v>
      </c>
      <c r="B2175" s="0" t="s">
        <v>628</v>
      </c>
      <c r="C2175" s="0" t="s">
        <v>127</v>
      </c>
      <c r="D2175" s="0" t="n">
        <v>2016</v>
      </c>
      <c r="E2175" s="59" t="n">
        <v>32109023</v>
      </c>
      <c r="F2175" s="60" t="n">
        <v>4.81</v>
      </c>
      <c r="G2175" s="61" t="n">
        <v>0</v>
      </c>
      <c r="H2175" s="61" t="n">
        <v>1.58</v>
      </c>
      <c r="I2175" s="61" t="n">
        <v>3.07</v>
      </c>
      <c r="J2175" s="61" t="n">
        <v>0</v>
      </c>
      <c r="K2175" s="61" t="n">
        <v>0</v>
      </c>
      <c r="L2175" s="61" t="n">
        <v>0.16</v>
      </c>
      <c r="M2175" s="61" t="n">
        <v>0</v>
      </c>
      <c r="N2175" s="61" t="n">
        <v>0</v>
      </c>
      <c r="O2175" s="61" t="n">
        <v>0</v>
      </c>
      <c r="P2175" s="62" t="n">
        <v>694.4</v>
      </c>
      <c r="Q2175" s="0" t="n">
        <v>0</v>
      </c>
      <c r="R2175" s="60" t="n">
        <f aca="false">G2175+H2175+I2175</f>
        <v>4.65</v>
      </c>
      <c r="S2175" s="60" t="n">
        <f aca="false">K2175+L2175+M2175+N2175+O2175</f>
        <v>0.16</v>
      </c>
      <c r="T2175" s="60" t="n">
        <f aca="false">L2175+M2175</f>
        <v>0.16</v>
      </c>
      <c r="U2175" s="60" t="n">
        <f aca="false">S2175+J2175</f>
        <v>0.16</v>
      </c>
      <c r="V2175" s="63" t="n">
        <f aca="false">IFERROR(S2175/F2175,0)</f>
        <v>0.0332640332640333</v>
      </c>
      <c r="W2175" s="63" t="n">
        <f aca="false">IFERROR(R2175/F2175,0)</f>
        <v>0.966735966735967</v>
      </c>
      <c r="X2175" s="63" t="n">
        <f aca="false">IFERROR(T2175/F2175,0)</f>
        <v>0.0332640332640333</v>
      </c>
      <c r="Y2175" s="63" t="n">
        <f aca="false">IFERROR(G2175/F2175,0)</f>
        <v>0</v>
      </c>
      <c r="Z2175" s="59" t="n">
        <f aca="false">IF(E2175&gt;0,F2175*1000000000/E2175,"")</f>
        <v>149.802128828398</v>
      </c>
      <c r="AA2175" s="63" t="n">
        <f aca="false">IFERROR((R2175+S2175+J2175)/F2175,0)</f>
        <v>1</v>
      </c>
      <c r="AB2175" s="0" t="str">
        <f aca="false">A2175&amp;"|"&amp;D2175</f>
        <v>Yemen|2016</v>
      </c>
    </row>
    <row r="2176" customFormat="false" ht="15" hidden="false" customHeight="false" outlineLevel="0" collapsed="false">
      <c r="A2176" s="0" t="s">
        <v>389</v>
      </c>
      <c r="B2176" s="0" t="s">
        <v>628</v>
      </c>
      <c r="C2176" s="0" t="s">
        <v>127</v>
      </c>
      <c r="D2176" s="0" t="n">
        <v>2017</v>
      </c>
      <c r="E2176" s="59" t="n">
        <v>33090923</v>
      </c>
      <c r="F2176" s="60" t="n">
        <v>4.05</v>
      </c>
      <c r="G2176" s="61" t="n">
        <v>0</v>
      </c>
      <c r="H2176" s="61" t="n">
        <v>0.95</v>
      </c>
      <c r="I2176" s="61" t="n">
        <v>2.91</v>
      </c>
      <c r="J2176" s="61" t="n">
        <v>0</v>
      </c>
      <c r="K2176" s="61" t="n">
        <v>0</v>
      </c>
      <c r="L2176" s="61" t="n">
        <v>0.19</v>
      </c>
      <c r="M2176" s="61" t="n">
        <v>0</v>
      </c>
      <c r="N2176" s="61" t="n">
        <v>0</v>
      </c>
      <c r="O2176" s="61" t="n">
        <v>0</v>
      </c>
      <c r="P2176" s="62" t="n">
        <v>669.1</v>
      </c>
      <c r="Q2176" s="0" t="n">
        <v>0</v>
      </c>
      <c r="R2176" s="60" t="n">
        <f aca="false">G2176+H2176+I2176</f>
        <v>3.86</v>
      </c>
      <c r="S2176" s="60" t="n">
        <f aca="false">K2176+L2176+M2176+N2176+O2176</f>
        <v>0.19</v>
      </c>
      <c r="T2176" s="60" t="n">
        <f aca="false">L2176+M2176</f>
        <v>0.19</v>
      </c>
      <c r="U2176" s="60" t="n">
        <f aca="false">S2176+J2176</f>
        <v>0.19</v>
      </c>
      <c r="V2176" s="63" t="n">
        <f aca="false">IFERROR(S2176/F2176,0)</f>
        <v>0.0469135802469136</v>
      </c>
      <c r="W2176" s="63" t="n">
        <f aca="false">IFERROR(R2176/F2176,0)</f>
        <v>0.953086419753087</v>
      </c>
      <c r="X2176" s="63" t="n">
        <f aca="false">IFERROR(T2176/F2176,0)</f>
        <v>0.0469135802469136</v>
      </c>
      <c r="Y2176" s="63" t="n">
        <f aca="false">IFERROR(G2176/F2176,0)</f>
        <v>0</v>
      </c>
      <c r="Z2176" s="59" t="n">
        <f aca="false">IF(E2176&gt;0,F2176*1000000000/E2176,"")</f>
        <v>122.390058445937</v>
      </c>
      <c r="AA2176" s="63" t="n">
        <f aca="false">IFERROR((R2176+S2176+J2176)/F2176,0)</f>
        <v>1</v>
      </c>
      <c r="AB2176" s="0" t="str">
        <f aca="false">A2176&amp;"|"&amp;D2176</f>
        <v>Yemen|2017</v>
      </c>
    </row>
    <row r="2177" customFormat="false" ht="15" hidden="false" customHeight="false" outlineLevel="0" collapsed="false">
      <c r="A2177" s="0" t="s">
        <v>389</v>
      </c>
      <c r="B2177" s="0" t="s">
        <v>628</v>
      </c>
      <c r="C2177" s="0" t="s">
        <v>127</v>
      </c>
      <c r="D2177" s="0" t="n">
        <v>2018</v>
      </c>
      <c r="E2177" s="59" t="n">
        <v>34085181</v>
      </c>
      <c r="F2177" s="60" t="n">
        <v>3.49</v>
      </c>
      <c r="G2177" s="61" t="n">
        <v>0</v>
      </c>
      <c r="H2177" s="61" t="n">
        <v>0.32</v>
      </c>
      <c r="I2177" s="61" t="n">
        <v>2.69</v>
      </c>
      <c r="J2177" s="61" t="n">
        <v>0</v>
      </c>
      <c r="K2177" s="61" t="n">
        <v>0</v>
      </c>
      <c r="L2177" s="61" t="n">
        <v>0.48</v>
      </c>
      <c r="M2177" s="61" t="n">
        <v>0</v>
      </c>
      <c r="N2177" s="61" t="n">
        <v>0</v>
      </c>
      <c r="O2177" s="61" t="n">
        <v>0</v>
      </c>
      <c r="P2177" s="62" t="n">
        <v>590.3</v>
      </c>
      <c r="Q2177" s="0" t="n">
        <v>0</v>
      </c>
      <c r="R2177" s="60" t="n">
        <f aca="false">G2177+H2177+I2177</f>
        <v>3.01</v>
      </c>
      <c r="S2177" s="60" t="n">
        <f aca="false">K2177+L2177+M2177+N2177+O2177</f>
        <v>0.48</v>
      </c>
      <c r="T2177" s="60" t="n">
        <f aca="false">L2177+M2177</f>
        <v>0.48</v>
      </c>
      <c r="U2177" s="60" t="n">
        <f aca="false">S2177+J2177</f>
        <v>0.48</v>
      </c>
      <c r="V2177" s="63" t="n">
        <f aca="false">IFERROR(S2177/F2177,0)</f>
        <v>0.137535816618911</v>
      </c>
      <c r="W2177" s="63" t="n">
        <f aca="false">IFERROR(R2177/F2177,0)</f>
        <v>0.862464183381089</v>
      </c>
      <c r="X2177" s="63" t="n">
        <f aca="false">IFERROR(T2177/F2177,0)</f>
        <v>0.137535816618911</v>
      </c>
      <c r="Y2177" s="63" t="n">
        <f aca="false">IFERROR(G2177/F2177,0)</f>
        <v>0</v>
      </c>
      <c r="Z2177" s="59" t="n">
        <f aca="false">IF(E2177&gt;0,F2177*1000000000/E2177,"")</f>
        <v>102.39053740099</v>
      </c>
      <c r="AA2177" s="63" t="n">
        <f aca="false">IFERROR((R2177+S2177+J2177)/F2177,0)</f>
        <v>1</v>
      </c>
      <c r="AB2177" s="0" t="str">
        <f aca="false">A2177&amp;"|"&amp;D2177</f>
        <v>Yemen|2018</v>
      </c>
    </row>
    <row r="2178" customFormat="false" ht="15" hidden="false" customHeight="false" outlineLevel="0" collapsed="false">
      <c r="A2178" s="0" t="s">
        <v>389</v>
      </c>
      <c r="B2178" s="0" t="s">
        <v>628</v>
      </c>
      <c r="C2178" s="0" t="s">
        <v>127</v>
      </c>
      <c r="D2178" s="0" t="n">
        <v>2019</v>
      </c>
      <c r="E2178" s="59" t="n">
        <v>35111416</v>
      </c>
      <c r="F2178" s="60" t="n">
        <v>3.28</v>
      </c>
      <c r="G2178" s="61" t="n">
        <v>0</v>
      </c>
      <c r="H2178" s="61" t="n">
        <v>0.32</v>
      </c>
      <c r="I2178" s="61" t="n">
        <v>2.48</v>
      </c>
      <c r="J2178" s="61" t="n">
        <v>0</v>
      </c>
      <c r="K2178" s="61" t="n">
        <v>0</v>
      </c>
      <c r="L2178" s="61" t="n">
        <v>0.48</v>
      </c>
      <c r="M2178" s="61" t="n">
        <v>0</v>
      </c>
      <c r="N2178" s="61" t="n">
        <v>0</v>
      </c>
      <c r="O2178" s="61" t="n">
        <v>0</v>
      </c>
      <c r="P2178" s="62" t="n">
        <v>585.4</v>
      </c>
      <c r="Q2178" s="0" t="n">
        <v>0</v>
      </c>
      <c r="R2178" s="60" t="n">
        <f aca="false">G2178+H2178+I2178</f>
        <v>2.8</v>
      </c>
      <c r="S2178" s="60" t="n">
        <f aca="false">K2178+L2178+M2178+N2178+O2178</f>
        <v>0.48</v>
      </c>
      <c r="T2178" s="60" t="n">
        <f aca="false">L2178+M2178</f>
        <v>0.48</v>
      </c>
      <c r="U2178" s="60" t="n">
        <f aca="false">S2178+J2178</f>
        <v>0.48</v>
      </c>
      <c r="V2178" s="63" t="n">
        <f aca="false">IFERROR(S2178/F2178,0)</f>
        <v>0.146341463414634</v>
      </c>
      <c r="W2178" s="63" t="n">
        <f aca="false">IFERROR(R2178/F2178,0)</f>
        <v>0.853658536585366</v>
      </c>
      <c r="X2178" s="63" t="n">
        <f aca="false">IFERROR(T2178/F2178,0)</f>
        <v>0.146341463414634</v>
      </c>
      <c r="Y2178" s="63" t="n">
        <f aca="false">IFERROR(G2178/F2178,0)</f>
        <v>0</v>
      </c>
      <c r="Z2178" s="59" t="n">
        <f aca="false">IF(E2178&gt;0,F2178*1000000000/E2178,"")</f>
        <v>93.4169103291078</v>
      </c>
      <c r="AA2178" s="63" t="n">
        <f aca="false">IFERROR((R2178+S2178+J2178)/F2178,0)</f>
        <v>1</v>
      </c>
      <c r="AB2178" s="0" t="str">
        <f aca="false">A2178&amp;"|"&amp;D2178</f>
        <v>Yemen|2019</v>
      </c>
    </row>
    <row r="2179" customFormat="false" ht="15" hidden="false" customHeight="false" outlineLevel="0" collapsed="false">
      <c r="A2179" s="0" t="s">
        <v>389</v>
      </c>
      <c r="B2179" s="0" t="s">
        <v>628</v>
      </c>
      <c r="C2179" s="0" t="s">
        <v>127</v>
      </c>
      <c r="D2179" s="0" t="n">
        <v>2020</v>
      </c>
      <c r="E2179" s="59" t="n">
        <v>36134867</v>
      </c>
      <c r="F2179" s="60" t="n">
        <v>2.94</v>
      </c>
      <c r="G2179" s="61" t="n">
        <v>0</v>
      </c>
      <c r="H2179" s="61" t="n">
        <v>0.41</v>
      </c>
      <c r="I2179" s="61" t="n">
        <v>2.04</v>
      </c>
      <c r="J2179" s="61" t="n">
        <v>0</v>
      </c>
      <c r="K2179" s="61" t="n">
        <v>0</v>
      </c>
      <c r="L2179" s="61" t="n">
        <v>0.49</v>
      </c>
      <c r="M2179" s="61" t="n">
        <v>0</v>
      </c>
      <c r="N2179" s="61" t="n">
        <v>0</v>
      </c>
      <c r="O2179" s="61" t="n">
        <v>0</v>
      </c>
      <c r="P2179" s="62" t="n">
        <v>578.2</v>
      </c>
      <c r="Q2179" s="0" t="n">
        <v>0</v>
      </c>
      <c r="R2179" s="60" t="n">
        <f aca="false">G2179+H2179+I2179</f>
        <v>2.45</v>
      </c>
      <c r="S2179" s="60" t="n">
        <f aca="false">K2179+L2179+M2179+N2179+O2179</f>
        <v>0.49</v>
      </c>
      <c r="T2179" s="60" t="n">
        <f aca="false">L2179+M2179</f>
        <v>0.49</v>
      </c>
      <c r="U2179" s="60" t="n">
        <f aca="false">S2179+J2179</f>
        <v>0.49</v>
      </c>
      <c r="V2179" s="63" t="n">
        <f aca="false">IFERROR(S2179/F2179,0)</f>
        <v>0.166666666666667</v>
      </c>
      <c r="W2179" s="63" t="n">
        <f aca="false">IFERROR(R2179/F2179,0)</f>
        <v>0.833333333333333</v>
      </c>
      <c r="X2179" s="63" t="n">
        <f aca="false">IFERROR(T2179/F2179,0)</f>
        <v>0.166666666666667</v>
      </c>
      <c r="Y2179" s="63" t="n">
        <f aca="false">IFERROR(G2179/F2179,0)</f>
        <v>0</v>
      </c>
      <c r="Z2179" s="59" t="n">
        <f aca="false">IF(E2179&gt;0,F2179*1000000000/E2179,"")</f>
        <v>81.3618602774987</v>
      </c>
      <c r="AA2179" s="63" t="n">
        <f aca="false">IFERROR((R2179+S2179+J2179)/F2179,0)</f>
        <v>1</v>
      </c>
      <c r="AB2179" s="0" t="str">
        <f aca="false">A2179&amp;"|"&amp;D2179</f>
        <v>Yemen|2020</v>
      </c>
    </row>
    <row r="2180" customFormat="false" ht="15" hidden="false" customHeight="false" outlineLevel="0" collapsed="false">
      <c r="A2180" s="0" t="s">
        <v>389</v>
      </c>
      <c r="B2180" s="0" t="s">
        <v>628</v>
      </c>
      <c r="C2180" s="0" t="s">
        <v>127</v>
      </c>
      <c r="D2180" s="0" t="n">
        <v>2021</v>
      </c>
      <c r="E2180" s="59" t="n">
        <v>37140234</v>
      </c>
      <c r="F2180" s="60" t="n">
        <v>2.92</v>
      </c>
      <c r="G2180" s="61" t="n">
        <v>0</v>
      </c>
      <c r="H2180" s="61" t="n">
        <v>0.63</v>
      </c>
      <c r="I2180" s="61" t="n">
        <v>1.79</v>
      </c>
      <c r="J2180" s="61" t="n">
        <v>0</v>
      </c>
      <c r="K2180" s="61" t="n">
        <v>0</v>
      </c>
      <c r="L2180" s="61" t="n">
        <v>0.5</v>
      </c>
      <c r="M2180" s="61" t="n">
        <v>0</v>
      </c>
      <c r="N2180" s="61" t="n">
        <v>0</v>
      </c>
      <c r="O2180" s="61" t="n">
        <v>0</v>
      </c>
      <c r="P2180" s="62" t="n">
        <v>589</v>
      </c>
      <c r="Q2180" s="0" t="n">
        <v>0</v>
      </c>
      <c r="R2180" s="60" t="n">
        <f aca="false">G2180+H2180+I2180</f>
        <v>2.42</v>
      </c>
      <c r="S2180" s="60" t="n">
        <f aca="false">K2180+L2180+M2180+N2180+O2180</f>
        <v>0.5</v>
      </c>
      <c r="T2180" s="60" t="n">
        <f aca="false">L2180+M2180</f>
        <v>0.5</v>
      </c>
      <c r="U2180" s="60" t="n">
        <f aca="false">S2180+J2180</f>
        <v>0.5</v>
      </c>
      <c r="V2180" s="63" t="n">
        <f aca="false">IFERROR(S2180/F2180,0)</f>
        <v>0.171232876712329</v>
      </c>
      <c r="W2180" s="63" t="n">
        <f aca="false">IFERROR(R2180/F2180,0)</f>
        <v>0.828767123287671</v>
      </c>
      <c r="X2180" s="63" t="n">
        <f aca="false">IFERROR(T2180/F2180,0)</f>
        <v>0.171232876712329</v>
      </c>
      <c r="Y2180" s="63" t="n">
        <f aca="false">IFERROR(G2180/F2180,0)</f>
        <v>0</v>
      </c>
      <c r="Z2180" s="59" t="n">
        <f aca="false">IF(E2180&gt;0,F2180*1000000000/E2180,"")</f>
        <v>78.6209370678709</v>
      </c>
      <c r="AA2180" s="63" t="n">
        <f aca="false">IFERROR((R2180+S2180+J2180)/F2180,0)</f>
        <v>1</v>
      </c>
      <c r="AB2180" s="0" t="str">
        <f aca="false">A2180&amp;"|"&amp;D2180</f>
        <v>Yemen|2021</v>
      </c>
    </row>
    <row r="2181" customFormat="false" ht="15" hidden="false" customHeight="false" outlineLevel="0" collapsed="false">
      <c r="A2181" s="0" t="s">
        <v>389</v>
      </c>
      <c r="B2181" s="0" t="s">
        <v>628</v>
      </c>
      <c r="C2181" s="0" t="s">
        <v>127</v>
      </c>
      <c r="D2181" s="0" t="n">
        <v>2022</v>
      </c>
      <c r="E2181" s="59" t="n">
        <v>38222878</v>
      </c>
      <c r="F2181" s="60" t="n">
        <v>3.03</v>
      </c>
      <c r="G2181" s="61" t="n">
        <v>0</v>
      </c>
      <c r="H2181" s="61" t="n">
        <v>0.54</v>
      </c>
      <c r="I2181" s="61" t="n">
        <v>1.98</v>
      </c>
      <c r="J2181" s="61" t="n">
        <v>0</v>
      </c>
      <c r="K2181" s="61" t="n">
        <v>0</v>
      </c>
      <c r="L2181" s="61" t="n">
        <v>0.51</v>
      </c>
      <c r="M2181" s="61" t="n">
        <v>0</v>
      </c>
      <c r="N2181" s="61" t="n">
        <v>0</v>
      </c>
      <c r="O2181" s="61" t="n">
        <v>0</v>
      </c>
      <c r="P2181" s="62" t="n">
        <v>584.2</v>
      </c>
      <c r="Q2181" s="0" t="n">
        <v>0</v>
      </c>
      <c r="R2181" s="60" t="n">
        <f aca="false">G2181+H2181+I2181</f>
        <v>2.52</v>
      </c>
      <c r="S2181" s="60" t="n">
        <f aca="false">K2181+L2181+M2181+N2181+O2181</f>
        <v>0.51</v>
      </c>
      <c r="T2181" s="60" t="n">
        <f aca="false">L2181+M2181</f>
        <v>0.51</v>
      </c>
      <c r="U2181" s="60" t="n">
        <f aca="false">S2181+J2181</f>
        <v>0.51</v>
      </c>
      <c r="V2181" s="63" t="n">
        <f aca="false">IFERROR(S2181/F2181,0)</f>
        <v>0.168316831683168</v>
      </c>
      <c r="W2181" s="63" t="n">
        <f aca="false">IFERROR(R2181/F2181,0)</f>
        <v>0.831683168316832</v>
      </c>
      <c r="X2181" s="63" t="n">
        <f aca="false">IFERROR(T2181/F2181,0)</f>
        <v>0.168316831683168</v>
      </c>
      <c r="Y2181" s="63" t="n">
        <f aca="false">IFERROR(G2181/F2181,0)</f>
        <v>0</v>
      </c>
      <c r="Z2181" s="59" t="n">
        <f aca="false">IF(E2181&gt;0,F2181*1000000000/E2181,"")</f>
        <v>79.2718957478817</v>
      </c>
      <c r="AA2181" s="63" t="n">
        <f aca="false">IFERROR((R2181+S2181+J2181)/F2181,0)</f>
        <v>1</v>
      </c>
      <c r="AB2181" s="0" t="str">
        <f aca="false">A2181&amp;"|"&amp;D2181</f>
        <v>Yemen|2022</v>
      </c>
    </row>
    <row r="2182" customFormat="false" ht="15" hidden="false" customHeight="false" outlineLevel="0" collapsed="false">
      <c r="A2182" s="0" t="s">
        <v>389</v>
      </c>
      <c r="B2182" s="0" t="s">
        <v>628</v>
      </c>
      <c r="C2182" s="0" t="s">
        <v>127</v>
      </c>
      <c r="D2182" s="0" t="n">
        <v>2023</v>
      </c>
      <c r="E2182" s="59" t="n">
        <v>39390800</v>
      </c>
      <c r="F2182" s="60" t="n">
        <v>5.12</v>
      </c>
      <c r="G2182" s="61" t="n">
        <v>0</v>
      </c>
      <c r="H2182" s="61" t="n">
        <v>0.06</v>
      </c>
      <c r="I2182" s="61" t="n">
        <v>4.54</v>
      </c>
      <c r="J2182" s="61" t="n">
        <v>0</v>
      </c>
      <c r="K2182" s="61" t="n">
        <v>0</v>
      </c>
      <c r="L2182" s="61" t="n">
        <v>0.52</v>
      </c>
      <c r="M2182" s="61" t="n">
        <v>0</v>
      </c>
      <c r="N2182" s="61" t="n">
        <v>0</v>
      </c>
      <c r="O2182" s="61" t="n">
        <v>0</v>
      </c>
      <c r="P2182" s="62" t="n">
        <v>597.7</v>
      </c>
      <c r="Q2182" s="0" t="n">
        <v>0</v>
      </c>
      <c r="R2182" s="60" t="n">
        <f aca="false">G2182+H2182+I2182</f>
        <v>4.6</v>
      </c>
      <c r="S2182" s="60" t="n">
        <f aca="false">K2182+L2182+M2182+N2182+O2182</f>
        <v>0.52</v>
      </c>
      <c r="T2182" s="60" t="n">
        <f aca="false">L2182+M2182</f>
        <v>0.52</v>
      </c>
      <c r="U2182" s="60" t="n">
        <f aca="false">S2182+J2182</f>
        <v>0.52</v>
      </c>
      <c r="V2182" s="63" t="n">
        <f aca="false">IFERROR(S2182/F2182,0)</f>
        <v>0.1015625</v>
      </c>
      <c r="W2182" s="63" t="n">
        <f aca="false">IFERROR(R2182/F2182,0)</f>
        <v>0.8984375</v>
      </c>
      <c r="X2182" s="63" t="n">
        <f aca="false">IFERROR(T2182/F2182,0)</f>
        <v>0.1015625</v>
      </c>
      <c r="Y2182" s="63" t="n">
        <f aca="false">IFERROR(G2182/F2182,0)</f>
        <v>0</v>
      </c>
      <c r="Z2182" s="59" t="n">
        <f aca="false">IF(E2182&gt;0,F2182*1000000000/E2182,"")</f>
        <v>129.979589142642</v>
      </c>
      <c r="AA2182" s="63" t="n">
        <f aca="false">IFERROR((R2182+S2182+J2182)/F2182,0)</f>
        <v>1</v>
      </c>
      <c r="AB2182" s="0" t="str">
        <f aca="false">A2182&amp;"|"&amp;D2182</f>
        <v>Yemen|2023</v>
      </c>
    </row>
    <row r="2183" customFormat="false" ht="15" hidden="false" customHeight="false" outlineLevel="0" collapsed="false">
      <c r="A2183" s="0" t="s">
        <v>389</v>
      </c>
      <c r="B2183" s="0" t="s">
        <v>628</v>
      </c>
      <c r="C2183" s="0" t="s">
        <v>127</v>
      </c>
      <c r="D2183" s="0" t="n">
        <v>2024</v>
      </c>
      <c r="E2183" s="59" t="n">
        <v>40583173</v>
      </c>
      <c r="F2183" s="60" t="n">
        <v>5.25</v>
      </c>
      <c r="G2183" s="61" t="n">
        <v>0</v>
      </c>
      <c r="H2183" s="61" t="n">
        <v>0.06</v>
      </c>
      <c r="I2183" s="61" t="n">
        <v>4.6</v>
      </c>
      <c r="J2183" s="61" t="n">
        <v>0</v>
      </c>
      <c r="K2183" s="61" t="n">
        <v>0</v>
      </c>
      <c r="L2183" s="61" t="n">
        <v>0.59</v>
      </c>
      <c r="M2183" s="61" t="n">
        <v>0</v>
      </c>
      <c r="N2183" s="61" t="n">
        <v>0</v>
      </c>
      <c r="O2183" s="61" t="n">
        <v>0</v>
      </c>
      <c r="P2183" s="62" t="n">
        <v>592.4</v>
      </c>
      <c r="Q2183" s="0" t="n">
        <v>0</v>
      </c>
      <c r="R2183" s="60" t="n">
        <f aca="false">G2183+H2183+I2183</f>
        <v>4.66</v>
      </c>
      <c r="S2183" s="60" t="n">
        <f aca="false">K2183+L2183+M2183+N2183+O2183</f>
        <v>0.59</v>
      </c>
      <c r="T2183" s="60" t="n">
        <f aca="false">L2183+M2183</f>
        <v>0.59</v>
      </c>
      <c r="U2183" s="60" t="n">
        <f aca="false">S2183+J2183</f>
        <v>0.59</v>
      </c>
      <c r="V2183" s="63" t="n">
        <f aca="false">IFERROR(S2183/F2183,0)</f>
        <v>0.112380952380952</v>
      </c>
      <c r="W2183" s="63" t="n">
        <f aca="false">IFERROR(R2183/F2183,0)</f>
        <v>0.887619047619048</v>
      </c>
      <c r="X2183" s="63" t="n">
        <f aca="false">IFERROR(T2183/F2183,0)</f>
        <v>0.112380952380952</v>
      </c>
      <c r="Y2183" s="63" t="n">
        <f aca="false">IFERROR(G2183/F2183,0)</f>
        <v>0</v>
      </c>
      <c r="Z2183" s="59" t="n">
        <f aca="false">IF(E2183&gt;0,F2183*1000000000/E2183,"")</f>
        <v>129.363960772609</v>
      </c>
      <c r="AA2183" s="63" t="n">
        <f aca="false">IFERROR((R2183+S2183+J2183)/F2183,0)</f>
        <v>1</v>
      </c>
      <c r="AB2183" s="0" t="str">
        <f aca="false">A2183&amp;"|"&amp;D2183</f>
        <v>Yemen|2024</v>
      </c>
    </row>
    <row r="2184" customFormat="false" ht="15" hidden="false" customHeight="false" outlineLevel="0" collapsed="false">
      <c r="A2184" s="0" t="s">
        <v>390</v>
      </c>
      <c r="B2184" s="0" t="s">
        <v>629</v>
      </c>
      <c r="C2184" s="0" t="s">
        <v>127</v>
      </c>
      <c r="D2184" s="0" t="n">
        <v>2015</v>
      </c>
      <c r="E2184" s="59" t="n">
        <v>16399092</v>
      </c>
      <c r="F2184" s="60" t="n">
        <v>13.51</v>
      </c>
      <c r="G2184" s="61" t="n">
        <v>0</v>
      </c>
      <c r="H2184" s="61" t="n">
        <v>0</v>
      </c>
      <c r="I2184" s="61" t="n">
        <v>0.4</v>
      </c>
      <c r="J2184" s="61" t="n">
        <v>0</v>
      </c>
      <c r="K2184" s="61" t="n">
        <v>13.04</v>
      </c>
      <c r="L2184" s="61" t="n">
        <v>0</v>
      </c>
      <c r="M2184" s="61" t="n">
        <v>0</v>
      </c>
      <c r="N2184" s="61" t="n">
        <v>0.07</v>
      </c>
      <c r="O2184" s="61" t="n">
        <v>0</v>
      </c>
      <c r="P2184" s="62" t="n">
        <v>43.7</v>
      </c>
      <c r="Q2184" s="0" t="n">
        <v>0</v>
      </c>
      <c r="R2184" s="60" t="n">
        <f aca="false">G2184+H2184+I2184</f>
        <v>0.4</v>
      </c>
      <c r="S2184" s="60" t="n">
        <f aca="false">K2184+L2184+M2184+N2184+O2184</f>
        <v>13.11</v>
      </c>
      <c r="T2184" s="60" t="n">
        <f aca="false">L2184+M2184</f>
        <v>0</v>
      </c>
      <c r="U2184" s="60" t="n">
        <f aca="false">S2184+J2184</f>
        <v>13.11</v>
      </c>
      <c r="V2184" s="63" t="n">
        <f aca="false">IFERROR(S2184/F2184,0)</f>
        <v>0.97039230199852</v>
      </c>
      <c r="W2184" s="63" t="n">
        <f aca="false">IFERROR(R2184/F2184,0)</f>
        <v>0.0296076980014804</v>
      </c>
      <c r="X2184" s="63" t="n">
        <f aca="false">IFERROR(T2184/F2184,0)</f>
        <v>0</v>
      </c>
      <c r="Y2184" s="63" t="n">
        <f aca="false">IFERROR(G2184/F2184,0)</f>
        <v>0</v>
      </c>
      <c r="Z2184" s="59" t="n">
        <f aca="false">IF(E2184&gt;0,F2184*1000000000/E2184,"")</f>
        <v>823.826099640151</v>
      </c>
      <c r="AA2184" s="63" t="n">
        <f aca="false">IFERROR((R2184+S2184+J2184)/F2184,0)</f>
        <v>1</v>
      </c>
      <c r="AB2184" s="0" t="str">
        <f aca="false">A2184&amp;"|"&amp;D2184</f>
        <v>Zambia|2015</v>
      </c>
    </row>
    <row r="2185" customFormat="false" ht="15" hidden="false" customHeight="false" outlineLevel="0" collapsed="false">
      <c r="A2185" s="0" t="s">
        <v>390</v>
      </c>
      <c r="B2185" s="0" t="s">
        <v>629</v>
      </c>
      <c r="C2185" s="0" t="s">
        <v>127</v>
      </c>
      <c r="D2185" s="0" t="n">
        <v>2016</v>
      </c>
      <c r="E2185" s="59" t="n">
        <v>16914428</v>
      </c>
      <c r="F2185" s="60" t="n">
        <v>11.77</v>
      </c>
      <c r="G2185" s="61" t="n">
        <v>0.33</v>
      </c>
      <c r="H2185" s="61" t="n">
        <v>0</v>
      </c>
      <c r="I2185" s="61" t="n">
        <v>0.34</v>
      </c>
      <c r="J2185" s="61" t="n">
        <v>0</v>
      </c>
      <c r="K2185" s="61" t="n">
        <v>11.02</v>
      </c>
      <c r="L2185" s="61" t="n">
        <v>0</v>
      </c>
      <c r="M2185" s="61" t="n">
        <v>0</v>
      </c>
      <c r="N2185" s="61" t="n">
        <v>0.08</v>
      </c>
      <c r="O2185" s="61" t="n">
        <v>0</v>
      </c>
      <c r="P2185" s="62" t="n">
        <v>65.4</v>
      </c>
      <c r="Q2185" s="0" t="n">
        <v>0</v>
      </c>
      <c r="R2185" s="60" t="n">
        <f aca="false">G2185+H2185+I2185</f>
        <v>0.67</v>
      </c>
      <c r="S2185" s="60" t="n">
        <f aca="false">K2185+L2185+M2185+N2185+O2185</f>
        <v>11.1</v>
      </c>
      <c r="T2185" s="60" t="n">
        <f aca="false">L2185+M2185</f>
        <v>0</v>
      </c>
      <c r="U2185" s="60" t="n">
        <f aca="false">S2185+J2185</f>
        <v>11.1</v>
      </c>
      <c r="V2185" s="63" t="n">
        <f aca="false">IFERROR(S2185/F2185,0)</f>
        <v>0.943075615972812</v>
      </c>
      <c r="W2185" s="63" t="n">
        <f aca="false">IFERROR(R2185/F2185,0)</f>
        <v>0.0569243840271878</v>
      </c>
      <c r="X2185" s="63" t="n">
        <f aca="false">IFERROR(T2185/F2185,0)</f>
        <v>0</v>
      </c>
      <c r="Y2185" s="63" t="n">
        <f aca="false">IFERROR(G2185/F2185,0)</f>
        <v>0.0280373831775701</v>
      </c>
      <c r="Z2185" s="59" t="n">
        <f aca="false">IF(E2185&gt;0,F2185*1000000000/E2185,"")</f>
        <v>695.855632836062</v>
      </c>
      <c r="AA2185" s="63" t="n">
        <f aca="false">IFERROR((R2185+S2185+J2185)/F2185,0)</f>
        <v>1</v>
      </c>
      <c r="AB2185" s="0" t="str">
        <f aca="false">A2185&amp;"|"&amp;D2185</f>
        <v>Zambia|2016</v>
      </c>
    </row>
    <row r="2186" customFormat="false" ht="15" hidden="false" customHeight="false" outlineLevel="0" collapsed="false">
      <c r="A2186" s="0" t="s">
        <v>390</v>
      </c>
      <c r="B2186" s="0" t="s">
        <v>629</v>
      </c>
      <c r="C2186" s="0" t="s">
        <v>127</v>
      </c>
      <c r="D2186" s="0" t="n">
        <v>2017</v>
      </c>
      <c r="E2186" s="59" t="n">
        <v>17441328</v>
      </c>
      <c r="F2186" s="60" t="n">
        <v>14.56</v>
      </c>
      <c r="G2186" s="61" t="n">
        <v>1.28</v>
      </c>
      <c r="H2186" s="61" t="n">
        <v>0</v>
      </c>
      <c r="I2186" s="61" t="n">
        <v>0.71</v>
      </c>
      <c r="J2186" s="61" t="n">
        <v>0</v>
      </c>
      <c r="K2186" s="61" t="n">
        <v>12.49</v>
      </c>
      <c r="L2186" s="61" t="n">
        <v>0</v>
      </c>
      <c r="M2186" s="61" t="n">
        <v>0</v>
      </c>
      <c r="N2186" s="61" t="n">
        <v>0.08</v>
      </c>
      <c r="O2186" s="61" t="n">
        <v>0</v>
      </c>
      <c r="P2186" s="62" t="n">
        <v>125</v>
      </c>
      <c r="Q2186" s="0" t="n">
        <v>0</v>
      </c>
      <c r="R2186" s="60" t="n">
        <f aca="false">G2186+H2186+I2186</f>
        <v>1.99</v>
      </c>
      <c r="S2186" s="60" t="n">
        <f aca="false">K2186+L2186+M2186+N2186+O2186</f>
        <v>12.57</v>
      </c>
      <c r="T2186" s="60" t="n">
        <f aca="false">L2186+M2186</f>
        <v>0</v>
      </c>
      <c r="U2186" s="60" t="n">
        <f aca="false">S2186+J2186</f>
        <v>12.57</v>
      </c>
      <c r="V2186" s="63" t="n">
        <f aca="false">IFERROR(S2186/F2186,0)</f>
        <v>0.863324175824176</v>
      </c>
      <c r="W2186" s="63" t="n">
        <f aca="false">IFERROR(R2186/F2186,0)</f>
        <v>0.136675824175824</v>
      </c>
      <c r="X2186" s="63" t="n">
        <f aca="false">IFERROR(T2186/F2186,0)</f>
        <v>0</v>
      </c>
      <c r="Y2186" s="63" t="n">
        <f aca="false">IFERROR(G2186/F2186,0)</f>
        <v>0.0879120879120879</v>
      </c>
      <c r="Z2186" s="59" t="n">
        <f aca="false">IF(E2186&gt;0,F2186*1000000000/E2186,"")</f>
        <v>834.798818071652</v>
      </c>
      <c r="AA2186" s="63" t="n">
        <f aca="false">IFERROR((R2186+S2186+J2186)/F2186,0)</f>
        <v>1</v>
      </c>
      <c r="AB2186" s="0" t="str">
        <f aca="false">A2186&amp;"|"&amp;D2186</f>
        <v>Zambia|2017</v>
      </c>
    </row>
    <row r="2187" customFormat="false" ht="15" hidden="false" customHeight="false" outlineLevel="0" collapsed="false">
      <c r="A2187" s="0" t="s">
        <v>390</v>
      </c>
      <c r="B2187" s="0" t="s">
        <v>629</v>
      </c>
      <c r="C2187" s="0" t="s">
        <v>127</v>
      </c>
      <c r="D2187" s="0" t="n">
        <v>2018</v>
      </c>
      <c r="E2187" s="59" t="n">
        <v>17973574</v>
      </c>
      <c r="F2187" s="60" t="n">
        <v>16.28</v>
      </c>
      <c r="G2187" s="61" t="n">
        <v>2.04</v>
      </c>
      <c r="H2187" s="61" t="n">
        <v>0</v>
      </c>
      <c r="I2187" s="61" t="n">
        <v>0.46</v>
      </c>
      <c r="J2187" s="61" t="n">
        <v>0</v>
      </c>
      <c r="K2187" s="61" t="n">
        <v>13.71</v>
      </c>
      <c r="L2187" s="61" t="n">
        <v>0</v>
      </c>
      <c r="M2187" s="61" t="n">
        <v>0</v>
      </c>
      <c r="N2187" s="61" t="n">
        <v>0.07</v>
      </c>
      <c r="O2187" s="61" t="n">
        <v>0</v>
      </c>
      <c r="P2187" s="62" t="n">
        <v>140.7</v>
      </c>
      <c r="Q2187" s="0" t="n">
        <v>0</v>
      </c>
      <c r="R2187" s="60" t="n">
        <f aca="false">G2187+H2187+I2187</f>
        <v>2.5</v>
      </c>
      <c r="S2187" s="60" t="n">
        <f aca="false">K2187+L2187+M2187+N2187+O2187</f>
        <v>13.78</v>
      </c>
      <c r="T2187" s="60" t="n">
        <f aca="false">L2187+M2187</f>
        <v>0</v>
      </c>
      <c r="U2187" s="60" t="n">
        <f aca="false">S2187+J2187</f>
        <v>13.78</v>
      </c>
      <c r="V2187" s="63" t="n">
        <f aca="false">IFERROR(S2187/F2187,0)</f>
        <v>0.846437346437347</v>
      </c>
      <c r="W2187" s="63" t="n">
        <f aca="false">IFERROR(R2187/F2187,0)</f>
        <v>0.153562653562654</v>
      </c>
      <c r="X2187" s="63" t="n">
        <f aca="false">IFERROR(T2187/F2187,0)</f>
        <v>0</v>
      </c>
      <c r="Y2187" s="63" t="n">
        <f aca="false">IFERROR(G2187/F2187,0)</f>
        <v>0.125307125307125</v>
      </c>
      <c r="Z2187" s="59" t="n">
        <f aca="false">IF(E2187&gt;0,F2187*1000000000/E2187,"")</f>
        <v>905.774221643397</v>
      </c>
      <c r="AA2187" s="63" t="n">
        <f aca="false">IFERROR((R2187+S2187+J2187)/F2187,0)</f>
        <v>1</v>
      </c>
      <c r="AB2187" s="0" t="str">
        <f aca="false">A2187&amp;"|"&amp;D2187</f>
        <v>Zambia|2018</v>
      </c>
    </row>
    <row r="2188" customFormat="false" ht="15" hidden="false" customHeight="false" outlineLevel="0" collapsed="false">
      <c r="A2188" s="0" t="s">
        <v>390</v>
      </c>
      <c r="B2188" s="0" t="s">
        <v>629</v>
      </c>
      <c r="C2188" s="0" t="s">
        <v>127</v>
      </c>
      <c r="D2188" s="0" t="n">
        <v>2019</v>
      </c>
      <c r="E2188" s="59" t="n">
        <v>18513839</v>
      </c>
      <c r="F2188" s="60" t="n">
        <v>14.79</v>
      </c>
      <c r="G2188" s="61" t="n">
        <v>1.67</v>
      </c>
      <c r="H2188" s="61" t="n">
        <v>0</v>
      </c>
      <c r="I2188" s="61" t="n">
        <v>0.6</v>
      </c>
      <c r="J2188" s="61" t="n">
        <v>0</v>
      </c>
      <c r="K2188" s="61" t="n">
        <v>12.33</v>
      </c>
      <c r="L2188" s="61" t="n">
        <v>0.12</v>
      </c>
      <c r="M2188" s="61" t="n">
        <v>0</v>
      </c>
      <c r="N2188" s="61" t="n">
        <v>0.07</v>
      </c>
      <c r="O2188" s="61" t="n">
        <v>0</v>
      </c>
      <c r="P2188" s="62" t="n">
        <v>138.6</v>
      </c>
      <c r="Q2188" s="0" t="n">
        <v>0</v>
      </c>
      <c r="R2188" s="60" t="n">
        <f aca="false">G2188+H2188+I2188</f>
        <v>2.27</v>
      </c>
      <c r="S2188" s="60" t="n">
        <f aca="false">K2188+L2188+M2188+N2188+O2188</f>
        <v>12.52</v>
      </c>
      <c r="T2188" s="60" t="n">
        <f aca="false">L2188+M2188</f>
        <v>0.12</v>
      </c>
      <c r="U2188" s="60" t="n">
        <f aca="false">S2188+J2188</f>
        <v>12.52</v>
      </c>
      <c r="V2188" s="63" t="n">
        <f aca="false">IFERROR(S2188/F2188,0)</f>
        <v>0.846517917511832</v>
      </c>
      <c r="W2188" s="63" t="n">
        <f aca="false">IFERROR(R2188/F2188,0)</f>
        <v>0.153482082488168</v>
      </c>
      <c r="X2188" s="63" t="n">
        <f aca="false">IFERROR(T2188/F2188,0)</f>
        <v>0.00811359026369168</v>
      </c>
      <c r="Y2188" s="63" t="n">
        <f aca="false">IFERROR(G2188/F2188,0)</f>
        <v>0.112914131169709</v>
      </c>
      <c r="Z2188" s="59" t="n">
        <f aca="false">IF(E2188&gt;0,F2188*1000000000/E2188,"")</f>
        <v>798.861867600772</v>
      </c>
      <c r="AA2188" s="63" t="n">
        <f aca="false">IFERROR((R2188+S2188+J2188)/F2188,0)</f>
        <v>1</v>
      </c>
      <c r="AB2188" s="0" t="str">
        <f aca="false">A2188&amp;"|"&amp;D2188</f>
        <v>Zambia|2019</v>
      </c>
    </row>
    <row r="2189" customFormat="false" ht="15" hidden="false" customHeight="false" outlineLevel="0" collapsed="false">
      <c r="A2189" s="0" t="s">
        <v>390</v>
      </c>
      <c r="B2189" s="0" t="s">
        <v>629</v>
      </c>
      <c r="C2189" s="0" t="s">
        <v>127</v>
      </c>
      <c r="D2189" s="0" t="n">
        <v>2020</v>
      </c>
      <c r="E2189" s="59" t="n">
        <v>19059394</v>
      </c>
      <c r="F2189" s="60" t="n">
        <v>15.23</v>
      </c>
      <c r="G2189" s="61" t="n">
        <v>1.89</v>
      </c>
      <c r="H2189" s="61" t="n">
        <v>0</v>
      </c>
      <c r="I2189" s="61" t="n">
        <v>0.32</v>
      </c>
      <c r="J2189" s="61" t="n">
        <v>0</v>
      </c>
      <c r="K2189" s="61" t="n">
        <v>12.79</v>
      </c>
      <c r="L2189" s="61" t="n">
        <v>0.15</v>
      </c>
      <c r="M2189" s="61" t="n">
        <v>0</v>
      </c>
      <c r="N2189" s="61" t="n">
        <v>0.08</v>
      </c>
      <c r="O2189" s="61" t="n">
        <v>0</v>
      </c>
      <c r="P2189" s="62" t="n">
        <v>135.3</v>
      </c>
      <c r="Q2189" s="0" t="n">
        <v>0</v>
      </c>
      <c r="R2189" s="60" t="n">
        <f aca="false">G2189+H2189+I2189</f>
        <v>2.21</v>
      </c>
      <c r="S2189" s="60" t="n">
        <f aca="false">K2189+L2189+M2189+N2189+O2189</f>
        <v>13.02</v>
      </c>
      <c r="T2189" s="60" t="n">
        <f aca="false">L2189+M2189</f>
        <v>0.15</v>
      </c>
      <c r="U2189" s="60" t="n">
        <f aca="false">S2189+J2189</f>
        <v>13.02</v>
      </c>
      <c r="V2189" s="63" t="n">
        <f aca="false">IFERROR(S2189/F2189,0)</f>
        <v>0.85489166119501</v>
      </c>
      <c r="W2189" s="63" t="n">
        <f aca="false">IFERROR(R2189/F2189,0)</f>
        <v>0.14510833880499</v>
      </c>
      <c r="X2189" s="63" t="n">
        <f aca="false">IFERROR(T2189/F2189,0)</f>
        <v>0.00984898227183191</v>
      </c>
      <c r="Y2189" s="63" t="n">
        <f aca="false">IFERROR(G2189/F2189,0)</f>
        <v>0.124097176625082</v>
      </c>
      <c r="Z2189" s="59" t="n">
        <f aca="false">IF(E2189&gt;0,F2189*1000000000/E2189,"")</f>
        <v>799.08102009959</v>
      </c>
      <c r="AA2189" s="63" t="n">
        <f aca="false">IFERROR((R2189+S2189+J2189)/F2189,0)</f>
        <v>1</v>
      </c>
      <c r="AB2189" s="0" t="str">
        <f aca="false">A2189&amp;"|"&amp;D2189</f>
        <v>Zambia|2020</v>
      </c>
    </row>
    <row r="2190" customFormat="false" ht="15" hidden="false" customHeight="false" outlineLevel="0" collapsed="false">
      <c r="A2190" s="0" t="s">
        <v>390</v>
      </c>
      <c r="B2190" s="0" t="s">
        <v>629</v>
      </c>
      <c r="C2190" s="0" t="s">
        <v>127</v>
      </c>
      <c r="D2190" s="0" t="n">
        <v>2021</v>
      </c>
      <c r="E2190" s="59" t="n">
        <v>19603610</v>
      </c>
      <c r="F2190" s="60" t="n">
        <v>17.72</v>
      </c>
      <c r="G2190" s="61" t="n">
        <v>1.3</v>
      </c>
      <c r="H2190" s="61" t="n">
        <v>0</v>
      </c>
      <c r="I2190" s="61" t="n">
        <v>0.12</v>
      </c>
      <c r="J2190" s="61" t="n">
        <v>0</v>
      </c>
      <c r="K2190" s="61" t="n">
        <v>16.07</v>
      </c>
      <c r="L2190" s="61" t="n">
        <v>0.15</v>
      </c>
      <c r="M2190" s="61" t="n">
        <v>0</v>
      </c>
      <c r="N2190" s="61" t="n">
        <v>0.08</v>
      </c>
      <c r="O2190" s="61" t="n">
        <v>0</v>
      </c>
      <c r="P2190" s="62" t="n">
        <v>86.9</v>
      </c>
      <c r="Q2190" s="0" t="n">
        <v>0</v>
      </c>
      <c r="R2190" s="60" t="n">
        <f aca="false">G2190+H2190+I2190</f>
        <v>1.42</v>
      </c>
      <c r="S2190" s="60" t="n">
        <f aca="false">K2190+L2190+M2190+N2190+O2190</f>
        <v>16.3</v>
      </c>
      <c r="T2190" s="60" t="n">
        <f aca="false">L2190+M2190</f>
        <v>0.15</v>
      </c>
      <c r="U2190" s="60" t="n">
        <f aca="false">S2190+J2190</f>
        <v>16.3</v>
      </c>
      <c r="V2190" s="63" t="n">
        <f aca="false">IFERROR(S2190/F2190,0)</f>
        <v>0.919864559819413</v>
      </c>
      <c r="W2190" s="63" t="n">
        <f aca="false">IFERROR(R2190/F2190,0)</f>
        <v>0.0801354401805869</v>
      </c>
      <c r="X2190" s="63" t="n">
        <f aca="false">IFERROR(T2190/F2190,0)</f>
        <v>0.00846501128668172</v>
      </c>
      <c r="Y2190" s="63" t="n">
        <f aca="false">IFERROR(G2190/F2190,0)</f>
        <v>0.0733634311512415</v>
      </c>
      <c r="Z2190" s="59" t="n">
        <f aca="false">IF(E2190&gt;0,F2190*1000000000/E2190,"")</f>
        <v>903.915146240922</v>
      </c>
      <c r="AA2190" s="63" t="n">
        <f aca="false">IFERROR((R2190+S2190+J2190)/F2190,0)</f>
        <v>1</v>
      </c>
      <c r="AB2190" s="0" t="str">
        <f aca="false">A2190&amp;"|"&amp;D2190</f>
        <v>Zambia|2021</v>
      </c>
    </row>
    <row r="2191" customFormat="false" ht="15" hidden="false" customHeight="false" outlineLevel="0" collapsed="false">
      <c r="A2191" s="0" t="s">
        <v>390</v>
      </c>
      <c r="B2191" s="0" t="s">
        <v>629</v>
      </c>
      <c r="C2191" s="0" t="s">
        <v>127</v>
      </c>
      <c r="D2191" s="0" t="n">
        <v>2022</v>
      </c>
      <c r="E2191" s="59" t="n">
        <v>20152935</v>
      </c>
      <c r="F2191" s="60" t="n">
        <v>19.47</v>
      </c>
      <c r="G2191" s="61" t="n">
        <v>2.16</v>
      </c>
      <c r="H2191" s="61" t="n">
        <v>0</v>
      </c>
      <c r="I2191" s="61" t="n">
        <v>0</v>
      </c>
      <c r="J2191" s="61" t="n">
        <v>0</v>
      </c>
      <c r="K2191" s="61" t="n">
        <v>17.09</v>
      </c>
      <c r="L2191" s="61" t="n">
        <v>0.14</v>
      </c>
      <c r="M2191" s="61" t="n">
        <v>0</v>
      </c>
      <c r="N2191" s="61" t="n">
        <v>0.08</v>
      </c>
      <c r="O2191" s="61" t="n">
        <v>0</v>
      </c>
      <c r="P2191" s="62" t="n">
        <v>112</v>
      </c>
      <c r="Q2191" s="0" t="n">
        <v>0</v>
      </c>
      <c r="R2191" s="60" t="n">
        <f aca="false">G2191+H2191+I2191</f>
        <v>2.16</v>
      </c>
      <c r="S2191" s="60" t="n">
        <f aca="false">K2191+L2191+M2191+N2191+O2191</f>
        <v>17.31</v>
      </c>
      <c r="T2191" s="60" t="n">
        <f aca="false">L2191+M2191</f>
        <v>0.14</v>
      </c>
      <c r="U2191" s="60" t="n">
        <f aca="false">S2191+J2191</f>
        <v>17.31</v>
      </c>
      <c r="V2191" s="63" t="n">
        <f aca="false">IFERROR(S2191/F2191,0)</f>
        <v>0.889060092449923</v>
      </c>
      <c r="W2191" s="63" t="n">
        <f aca="false">IFERROR(R2191/F2191,0)</f>
        <v>0.110939907550077</v>
      </c>
      <c r="X2191" s="63" t="n">
        <f aca="false">IFERROR(T2191/F2191,0)</f>
        <v>0.00719054956343092</v>
      </c>
      <c r="Y2191" s="63" t="n">
        <f aca="false">IFERROR(G2191/F2191,0)</f>
        <v>0.110939907550077</v>
      </c>
      <c r="Z2191" s="59" t="n">
        <f aca="false">IF(E2191&gt;0,F2191*1000000000/E2191,"")</f>
        <v>966.112380157034</v>
      </c>
      <c r="AA2191" s="63" t="n">
        <f aca="false">IFERROR((R2191+S2191+J2191)/F2191,0)</f>
        <v>1</v>
      </c>
      <c r="AB2191" s="0" t="str">
        <f aca="false">A2191&amp;"|"&amp;D2191</f>
        <v>Zambia|2022</v>
      </c>
    </row>
    <row r="2192" customFormat="false" ht="15" hidden="false" customHeight="false" outlineLevel="0" collapsed="false">
      <c r="A2192" s="0" t="s">
        <v>390</v>
      </c>
      <c r="B2192" s="0" t="s">
        <v>629</v>
      </c>
      <c r="C2192" s="0" t="s">
        <v>127</v>
      </c>
      <c r="D2192" s="0" t="n">
        <v>2023</v>
      </c>
      <c r="E2192" s="59" t="n">
        <v>20723967</v>
      </c>
      <c r="F2192" s="60" t="n">
        <v>19.46</v>
      </c>
      <c r="G2192" s="61" t="n">
        <v>2.13</v>
      </c>
      <c r="H2192" s="61" t="n">
        <v>0</v>
      </c>
      <c r="I2192" s="61" t="n">
        <v>0.01</v>
      </c>
      <c r="J2192" s="61" t="n">
        <v>0</v>
      </c>
      <c r="K2192" s="61" t="n">
        <v>17.09</v>
      </c>
      <c r="L2192" s="61" t="n">
        <v>0.15</v>
      </c>
      <c r="M2192" s="61" t="n">
        <v>0</v>
      </c>
      <c r="N2192" s="61" t="n">
        <v>0.08</v>
      </c>
      <c r="O2192" s="61" t="n">
        <v>0</v>
      </c>
      <c r="P2192" s="62" t="n">
        <v>111</v>
      </c>
      <c r="Q2192" s="0" t="n">
        <v>0</v>
      </c>
      <c r="R2192" s="60" t="n">
        <f aca="false">G2192+H2192+I2192</f>
        <v>2.14</v>
      </c>
      <c r="S2192" s="60" t="n">
        <f aca="false">K2192+L2192+M2192+N2192+O2192</f>
        <v>17.32</v>
      </c>
      <c r="T2192" s="60" t="n">
        <f aca="false">L2192+M2192</f>
        <v>0.15</v>
      </c>
      <c r="U2192" s="60" t="n">
        <f aca="false">S2192+J2192</f>
        <v>17.32</v>
      </c>
      <c r="V2192" s="63" t="n">
        <f aca="false">IFERROR(S2192/F2192,0)</f>
        <v>0.890030832476875</v>
      </c>
      <c r="W2192" s="63" t="n">
        <f aca="false">IFERROR(R2192/F2192,0)</f>
        <v>0.109969167523124</v>
      </c>
      <c r="X2192" s="63" t="n">
        <f aca="false">IFERROR(T2192/F2192,0)</f>
        <v>0.00770811921891059</v>
      </c>
      <c r="Y2192" s="63" t="n">
        <f aca="false">IFERROR(G2192/F2192,0)</f>
        <v>0.10945529290853</v>
      </c>
      <c r="Z2192" s="59" t="n">
        <f aca="false">IF(E2192&gt;0,F2192*1000000000/E2192,"")</f>
        <v>939.009408768119</v>
      </c>
      <c r="AA2192" s="63" t="n">
        <f aca="false">IFERROR((R2192+S2192+J2192)/F2192,0)</f>
        <v>1</v>
      </c>
      <c r="AB2192" s="0" t="str">
        <f aca="false">A2192&amp;"|"&amp;D2192</f>
        <v>Zambia|2023</v>
      </c>
    </row>
    <row r="2193" customFormat="false" ht="15" hidden="false" customHeight="false" outlineLevel="0" collapsed="false">
      <c r="A2193" s="0" t="s">
        <v>390</v>
      </c>
      <c r="B2193" s="0" t="s">
        <v>629</v>
      </c>
      <c r="C2193" s="0" t="s">
        <v>127</v>
      </c>
      <c r="D2193" s="0" t="n">
        <v>2024</v>
      </c>
      <c r="E2193" s="59" t="n">
        <v>21314962</v>
      </c>
      <c r="F2193" s="60" t="n">
        <v>19.72</v>
      </c>
      <c r="G2193" s="61" t="n">
        <v>2.13</v>
      </c>
      <c r="H2193" s="61" t="n">
        <v>0</v>
      </c>
      <c r="I2193" s="61" t="n">
        <v>0.34</v>
      </c>
      <c r="J2193" s="61" t="n">
        <v>0</v>
      </c>
      <c r="K2193" s="61" t="n">
        <v>17</v>
      </c>
      <c r="L2193" s="61" t="n">
        <v>0.17</v>
      </c>
      <c r="M2193" s="61" t="n">
        <v>0</v>
      </c>
      <c r="N2193" s="61" t="n">
        <v>0.08</v>
      </c>
      <c r="O2193" s="61" t="n">
        <v>0</v>
      </c>
      <c r="P2193" s="62" t="n">
        <v>119.7</v>
      </c>
      <c r="Q2193" s="0" t="n">
        <v>0</v>
      </c>
      <c r="R2193" s="60" t="n">
        <f aca="false">G2193+H2193+I2193</f>
        <v>2.47</v>
      </c>
      <c r="S2193" s="60" t="n">
        <f aca="false">K2193+L2193+M2193+N2193+O2193</f>
        <v>17.25</v>
      </c>
      <c r="T2193" s="60" t="n">
        <f aca="false">L2193+M2193</f>
        <v>0.17</v>
      </c>
      <c r="U2193" s="60" t="n">
        <f aca="false">S2193+J2193</f>
        <v>17.25</v>
      </c>
      <c r="V2193" s="63" t="n">
        <f aca="false">IFERROR(S2193/F2193,0)</f>
        <v>0.87474645030426</v>
      </c>
      <c r="W2193" s="63" t="n">
        <f aca="false">IFERROR(R2193/F2193,0)</f>
        <v>0.12525354969574</v>
      </c>
      <c r="X2193" s="63" t="n">
        <f aca="false">IFERROR(T2193/F2193,0)</f>
        <v>0.00862068965517242</v>
      </c>
      <c r="Y2193" s="63" t="n">
        <f aca="false">IFERROR(G2193/F2193,0)</f>
        <v>0.108012170385396</v>
      </c>
      <c r="Z2193" s="59" t="n">
        <f aca="false">IF(E2193&gt;0,F2193*1000000000/E2193,"")</f>
        <v>925.171717406768</v>
      </c>
      <c r="AA2193" s="63" t="n">
        <f aca="false">IFERROR((R2193+S2193+J2193)/F2193,0)</f>
        <v>1</v>
      </c>
      <c r="AB2193" s="0" t="str">
        <f aca="false">A2193&amp;"|"&amp;D2193</f>
        <v>Zambia|2024</v>
      </c>
    </row>
    <row r="2194" customFormat="false" ht="15" hidden="false" customHeight="false" outlineLevel="0" collapsed="false">
      <c r="A2194" s="0" t="s">
        <v>391</v>
      </c>
      <c r="B2194" s="0" t="s">
        <v>630</v>
      </c>
      <c r="C2194" s="0" t="s">
        <v>127</v>
      </c>
      <c r="D2194" s="0" t="n">
        <v>2015</v>
      </c>
      <c r="E2194" s="59" t="n">
        <v>14399008</v>
      </c>
      <c r="F2194" s="60" t="n">
        <v>9.59</v>
      </c>
      <c r="G2194" s="61" t="n">
        <v>4.54</v>
      </c>
      <c r="H2194" s="61" t="n">
        <v>0</v>
      </c>
      <c r="I2194" s="61" t="n">
        <v>0.01</v>
      </c>
      <c r="J2194" s="61" t="n">
        <v>0</v>
      </c>
      <c r="K2194" s="61" t="n">
        <v>4.99</v>
      </c>
      <c r="L2194" s="61" t="n">
        <v>0.01</v>
      </c>
      <c r="M2194" s="61" t="n">
        <v>0</v>
      </c>
      <c r="N2194" s="61" t="n">
        <v>0.04</v>
      </c>
      <c r="O2194" s="61" t="n">
        <v>0</v>
      </c>
      <c r="P2194" s="62" t="n">
        <v>420.2</v>
      </c>
      <c r="Q2194" s="0" t="n">
        <v>0</v>
      </c>
      <c r="R2194" s="60" t="n">
        <f aca="false">G2194+H2194+I2194</f>
        <v>4.55</v>
      </c>
      <c r="S2194" s="60" t="n">
        <f aca="false">K2194+L2194+M2194+N2194+O2194</f>
        <v>5.04</v>
      </c>
      <c r="T2194" s="60" t="n">
        <f aca="false">L2194+M2194</f>
        <v>0.01</v>
      </c>
      <c r="U2194" s="60" t="n">
        <f aca="false">S2194+J2194</f>
        <v>5.04</v>
      </c>
      <c r="V2194" s="63" t="n">
        <f aca="false">IFERROR(S2194/F2194,0)</f>
        <v>0.525547445255475</v>
      </c>
      <c r="W2194" s="63" t="n">
        <f aca="false">IFERROR(R2194/F2194,0)</f>
        <v>0.474452554744526</v>
      </c>
      <c r="X2194" s="63" t="n">
        <f aca="false">IFERROR(T2194/F2194,0)</f>
        <v>0.00104275286757039</v>
      </c>
      <c r="Y2194" s="63" t="n">
        <f aca="false">IFERROR(G2194/F2194,0)</f>
        <v>0.473409801876955</v>
      </c>
      <c r="Z2194" s="59" t="n">
        <f aca="false">IF(E2194&gt;0,F2194*1000000000/E2194,"")</f>
        <v>666.01810346935</v>
      </c>
      <c r="AA2194" s="63" t="n">
        <f aca="false">IFERROR((R2194+S2194+J2194)/F2194,0)</f>
        <v>1</v>
      </c>
      <c r="AB2194" s="0" t="str">
        <f aca="false">A2194&amp;"|"&amp;D2194</f>
        <v>Zimbabwe|2015</v>
      </c>
    </row>
    <row r="2195" customFormat="false" ht="15" hidden="false" customHeight="false" outlineLevel="0" collapsed="false">
      <c r="A2195" s="0" t="s">
        <v>391</v>
      </c>
      <c r="B2195" s="0" t="s">
        <v>630</v>
      </c>
      <c r="C2195" s="0" t="s">
        <v>127</v>
      </c>
      <c r="D2195" s="0" t="n">
        <v>2016</v>
      </c>
      <c r="E2195" s="59" t="n">
        <v>14600297</v>
      </c>
      <c r="F2195" s="60" t="n">
        <v>7.17</v>
      </c>
      <c r="G2195" s="61" t="n">
        <v>3.91</v>
      </c>
      <c r="H2195" s="61" t="n">
        <v>0</v>
      </c>
      <c r="I2195" s="61" t="n">
        <v>0.04</v>
      </c>
      <c r="J2195" s="61" t="n">
        <v>0</v>
      </c>
      <c r="K2195" s="61" t="n">
        <v>2.98</v>
      </c>
      <c r="L2195" s="61" t="n">
        <v>0.01</v>
      </c>
      <c r="M2195" s="61" t="n">
        <v>0</v>
      </c>
      <c r="N2195" s="61" t="n">
        <v>0.23</v>
      </c>
      <c r="O2195" s="61" t="n">
        <v>0</v>
      </c>
      <c r="P2195" s="62" t="n">
        <v>488.1</v>
      </c>
      <c r="Q2195" s="0" t="n">
        <v>0</v>
      </c>
      <c r="R2195" s="60" t="n">
        <f aca="false">G2195+H2195+I2195</f>
        <v>3.95</v>
      </c>
      <c r="S2195" s="60" t="n">
        <f aca="false">K2195+L2195+M2195+N2195+O2195</f>
        <v>3.22</v>
      </c>
      <c r="T2195" s="60" t="n">
        <f aca="false">L2195+M2195</f>
        <v>0.01</v>
      </c>
      <c r="U2195" s="60" t="n">
        <f aca="false">S2195+J2195</f>
        <v>3.22</v>
      </c>
      <c r="V2195" s="63" t="n">
        <f aca="false">IFERROR(S2195/F2195,0)</f>
        <v>0.449093444909344</v>
      </c>
      <c r="W2195" s="63" t="n">
        <f aca="false">IFERROR(R2195/F2195,0)</f>
        <v>0.550906555090656</v>
      </c>
      <c r="X2195" s="63" t="n">
        <f aca="false">IFERROR(T2195/F2195,0)</f>
        <v>0.00139470013947001</v>
      </c>
      <c r="Y2195" s="63" t="n">
        <f aca="false">IFERROR(G2195/F2195,0)</f>
        <v>0.545327754532776</v>
      </c>
      <c r="Z2195" s="59" t="n">
        <f aca="false">IF(E2195&gt;0,F2195*1000000000/E2195,"")</f>
        <v>491.085900512846</v>
      </c>
      <c r="AA2195" s="63" t="n">
        <f aca="false">IFERROR((R2195+S2195+J2195)/F2195,0)</f>
        <v>1</v>
      </c>
      <c r="AB2195" s="0" t="str">
        <f aca="false">A2195&amp;"|"&amp;D2195</f>
        <v>Zimbabwe|2016</v>
      </c>
    </row>
    <row r="2196" customFormat="false" ht="15" hidden="false" customHeight="false" outlineLevel="0" collapsed="false">
      <c r="A2196" s="0" t="s">
        <v>391</v>
      </c>
      <c r="B2196" s="0" t="s">
        <v>630</v>
      </c>
      <c r="C2196" s="0" t="s">
        <v>127</v>
      </c>
      <c r="D2196" s="0" t="n">
        <v>2017</v>
      </c>
      <c r="E2196" s="59" t="n">
        <v>14812484</v>
      </c>
      <c r="F2196" s="60" t="n">
        <v>7.55</v>
      </c>
      <c r="G2196" s="61" t="n">
        <v>3.38</v>
      </c>
      <c r="H2196" s="61" t="n">
        <v>0</v>
      </c>
      <c r="I2196" s="61" t="n">
        <v>0.04</v>
      </c>
      <c r="J2196" s="61" t="n">
        <v>0</v>
      </c>
      <c r="K2196" s="61" t="n">
        <v>3.97</v>
      </c>
      <c r="L2196" s="61" t="n">
        <v>0.01</v>
      </c>
      <c r="M2196" s="61" t="n">
        <v>0</v>
      </c>
      <c r="N2196" s="61" t="n">
        <v>0.15</v>
      </c>
      <c r="O2196" s="61" t="n">
        <v>0</v>
      </c>
      <c r="P2196" s="62" t="n">
        <v>404</v>
      </c>
      <c r="Q2196" s="0" t="n">
        <v>0</v>
      </c>
      <c r="R2196" s="60" t="n">
        <f aca="false">G2196+H2196+I2196</f>
        <v>3.42</v>
      </c>
      <c r="S2196" s="60" t="n">
        <f aca="false">K2196+L2196+M2196+N2196+O2196</f>
        <v>4.13</v>
      </c>
      <c r="T2196" s="60" t="n">
        <f aca="false">L2196+M2196</f>
        <v>0.01</v>
      </c>
      <c r="U2196" s="60" t="n">
        <f aca="false">S2196+J2196</f>
        <v>4.13</v>
      </c>
      <c r="V2196" s="63" t="n">
        <f aca="false">IFERROR(S2196/F2196,0)</f>
        <v>0.547019867549669</v>
      </c>
      <c r="W2196" s="63" t="n">
        <f aca="false">IFERROR(R2196/F2196,0)</f>
        <v>0.452980132450331</v>
      </c>
      <c r="X2196" s="63" t="n">
        <f aca="false">IFERROR(T2196/F2196,0)</f>
        <v>0.00132450331125828</v>
      </c>
      <c r="Y2196" s="63" t="n">
        <f aca="false">IFERROR(G2196/F2196,0)</f>
        <v>0.447682119205298</v>
      </c>
      <c r="Z2196" s="59" t="n">
        <f aca="false">IF(E2196&gt;0,F2196*1000000000/E2196,"")</f>
        <v>509.705191917844</v>
      </c>
      <c r="AA2196" s="63" t="n">
        <f aca="false">IFERROR((R2196+S2196+J2196)/F2196,0)</f>
        <v>1</v>
      </c>
      <c r="AB2196" s="0" t="str">
        <f aca="false">A2196&amp;"|"&amp;D2196</f>
        <v>Zimbabwe|2017</v>
      </c>
    </row>
    <row r="2197" customFormat="false" ht="15" hidden="false" customHeight="false" outlineLevel="0" collapsed="false">
      <c r="A2197" s="0" t="s">
        <v>391</v>
      </c>
      <c r="B2197" s="0" t="s">
        <v>630</v>
      </c>
      <c r="C2197" s="0" t="s">
        <v>127</v>
      </c>
      <c r="D2197" s="0" t="n">
        <v>2018</v>
      </c>
      <c r="E2197" s="59" t="n">
        <v>15034457</v>
      </c>
      <c r="F2197" s="60" t="n">
        <v>9.43</v>
      </c>
      <c r="G2197" s="61" t="n">
        <v>4.13</v>
      </c>
      <c r="H2197" s="61" t="n">
        <v>0</v>
      </c>
      <c r="I2197" s="61" t="n">
        <v>0.05</v>
      </c>
      <c r="J2197" s="61" t="n">
        <v>0</v>
      </c>
      <c r="K2197" s="61" t="n">
        <v>5.05</v>
      </c>
      <c r="L2197" s="61" t="n">
        <v>0.01</v>
      </c>
      <c r="M2197" s="61" t="n">
        <v>0</v>
      </c>
      <c r="N2197" s="61" t="n">
        <v>0.19</v>
      </c>
      <c r="O2197" s="61" t="n">
        <v>0</v>
      </c>
      <c r="P2197" s="62" t="n">
        <v>395.6</v>
      </c>
      <c r="Q2197" s="0" t="n">
        <v>0</v>
      </c>
      <c r="R2197" s="60" t="n">
        <f aca="false">G2197+H2197+I2197</f>
        <v>4.18</v>
      </c>
      <c r="S2197" s="60" t="n">
        <f aca="false">K2197+L2197+M2197+N2197+O2197</f>
        <v>5.25</v>
      </c>
      <c r="T2197" s="60" t="n">
        <f aca="false">L2197+M2197</f>
        <v>0.01</v>
      </c>
      <c r="U2197" s="60" t="n">
        <f aca="false">S2197+J2197</f>
        <v>5.25</v>
      </c>
      <c r="V2197" s="63" t="n">
        <f aca="false">IFERROR(S2197/F2197,0)</f>
        <v>0.556733828207847</v>
      </c>
      <c r="W2197" s="63" t="n">
        <f aca="false">IFERROR(R2197/F2197,0)</f>
        <v>0.443266171792153</v>
      </c>
      <c r="X2197" s="63" t="n">
        <f aca="false">IFERROR(T2197/F2197,0)</f>
        <v>0.00106044538706257</v>
      </c>
      <c r="Y2197" s="63" t="n">
        <f aca="false">IFERROR(G2197/F2197,0)</f>
        <v>0.43796394485684</v>
      </c>
      <c r="Z2197" s="59" t="n">
        <f aca="false">IF(E2197&gt;0,F2197*1000000000/E2197,"")</f>
        <v>627.225845269969</v>
      </c>
      <c r="AA2197" s="63" t="n">
        <f aca="false">IFERROR((R2197+S2197+J2197)/F2197,0)</f>
        <v>1</v>
      </c>
      <c r="AB2197" s="0" t="str">
        <f aca="false">A2197&amp;"|"&amp;D2197</f>
        <v>Zimbabwe|2018</v>
      </c>
    </row>
    <row r="2198" customFormat="false" ht="15" hidden="false" customHeight="false" outlineLevel="0" collapsed="false">
      <c r="A2198" s="0" t="s">
        <v>391</v>
      </c>
      <c r="B2198" s="0" t="s">
        <v>630</v>
      </c>
      <c r="C2198" s="0" t="s">
        <v>127</v>
      </c>
      <c r="D2198" s="0" t="n">
        <v>2019</v>
      </c>
      <c r="E2198" s="59" t="n">
        <v>15271377</v>
      </c>
      <c r="F2198" s="60" t="n">
        <v>8.48</v>
      </c>
      <c r="G2198" s="61" t="n">
        <v>4.05</v>
      </c>
      <c r="H2198" s="61" t="n">
        <v>0</v>
      </c>
      <c r="I2198" s="61" t="n">
        <v>0.05</v>
      </c>
      <c r="J2198" s="61" t="n">
        <v>0</v>
      </c>
      <c r="K2198" s="61" t="n">
        <v>4.17</v>
      </c>
      <c r="L2198" s="61" t="n">
        <v>0.02</v>
      </c>
      <c r="M2198" s="61" t="n">
        <v>0</v>
      </c>
      <c r="N2198" s="61" t="n">
        <v>0.19</v>
      </c>
      <c r="O2198" s="61" t="n">
        <v>0</v>
      </c>
      <c r="P2198" s="62" t="n">
        <v>429.2</v>
      </c>
      <c r="Q2198" s="0" t="n">
        <v>0</v>
      </c>
      <c r="R2198" s="60" t="n">
        <f aca="false">G2198+H2198+I2198</f>
        <v>4.1</v>
      </c>
      <c r="S2198" s="60" t="n">
        <f aca="false">K2198+L2198+M2198+N2198+O2198</f>
        <v>4.38</v>
      </c>
      <c r="T2198" s="60" t="n">
        <f aca="false">L2198+M2198</f>
        <v>0.02</v>
      </c>
      <c r="U2198" s="60" t="n">
        <f aca="false">S2198+J2198</f>
        <v>4.38</v>
      </c>
      <c r="V2198" s="63" t="n">
        <f aca="false">IFERROR(S2198/F2198,0)</f>
        <v>0.516509433962264</v>
      </c>
      <c r="W2198" s="63" t="n">
        <f aca="false">IFERROR(R2198/F2198,0)</f>
        <v>0.483490566037736</v>
      </c>
      <c r="X2198" s="63" t="n">
        <f aca="false">IFERROR(T2198/F2198,0)</f>
        <v>0.00235849056603774</v>
      </c>
      <c r="Y2198" s="63" t="n">
        <f aca="false">IFERROR(G2198/F2198,0)</f>
        <v>0.477594339622642</v>
      </c>
      <c r="Z2198" s="59" t="n">
        <f aca="false">IF(E2198&gt;0,F2198*1000000000/E2198,"")</f>
        <v>555.287188575071</v>
      </c>
      <c r="AA2198" s="63" t="n">
        <f aca="false">IFERROR((R2198+S2198+J2198)/F2198,0)</f>
        <v>1</v>
      </c>
      <c r="AB2198" s="0" t="str">
        <f aca="false">A2198&amp;"|"&amp;D2198</f>
        <v>Zimbabwe|2019</v>
      </c>
    </row>
    <row r="2199" customFormat="false" ht="15" hidden="false" customHeight="false" outlineLevel="0" collapsed="false">
      <c r="A2199" s="0" t="s">
        <v>391</v>
      </c>
      <c r="B2199" s="0" t="s">
        <v>630</v>
      </c>
      <c r="C2199" s="0" t="s">
        <v>127</v>
      </c>
      <c r="D2199" s="0" t="n">
        <v>2020</v>
      </c>
      <c r="E2199" s="59" t="n">
        <v>15526887</v>
      </c>
      <c r="F2199" s="60" t="n">
        <v>6.71</v>
      </c>
      <c r="G2199" s="61" t="n">
        <v>2.74</v>
      </c>
      <c r="H2199" s="61" t="n">
        <v>0</v>
      </c>
      <c r="I2199" s="61" t="n">
        <v>0.04</v>
      </c>
      <c r="J2199" s="61" t="n">
        <v>0</v>
      </c>
      <c r="K2199" s="61" t="n">
        <v>3.81</v>
      </c>
      <c r="L2199" s="61" t="n">
        <v>0.02</v>
      </c>
      <c r="M2199" s="61" t="n">
        <v>0</v>
      </c>
      <c r="N2199" s="61" t="n">
        <v>0.1</v>
      </c>
      <c r="O2199" s="61" t="n">
        <v>0</v>
      </c>
      <c r="P2199" s="62" t="n">
        <v>371.1</v>
      </c>
      <c r="Q2199" s="0" t="n">
        <v>0</v>
      </c>
      <c r="R2199" s="60" t="n">
        <f aca="false">G2199+H2199+I2199</f>
        <v>2.78</v>
      </c>
      <c r="S2199" s="60" t="n">
        <f aca="false">K2199+L2199+M2199+N2199+O2199</f>
        <v>3.93</v>
      </c>
      <c r="T2199" s="60" t="n">
        <f aca="false">L2199+M2199</f>
        <v>0.02</v>
      </c>
      <c r="U2199" s="60" t="n">
        <f aca="false">S2199+J2199</f>
        <v>3.93</v>
      </c>
      <c r="V2199" s="63" t="n">
        <f aca="false">IFERROR(S2199/F2199,0)</f>
        <v>0.585692995529061</v>
      </c>
      <c r="W2199" s="63" t="n">
        <f aca="false">IFERROR(R2199/F2199,0)</f>
        <v>0.414307004470939</v>
      </c>
      <c r="X2199" s="63" t="n">
        <f aca="false">IFERROR(T2199/F2199,0)</f>
        <v>0.0029806259314456</v>
      </c>
      <c r="Y2199" s="63" t="n">
        <f aca="false">IFERROR(G2199/F2199,0)</f>
        <v>0.408345752608048</v>
      </c>
      <c r="Z2199" s="59" t="n">
        <f aca="false">IF(E2199&gt;0,F2199*1000000000/E2199,"")</f>
        <v>432.153592667996</v>
      </c>
      <c r="AA2199" s="63" t="n">
        <f aca="false">IFERROR((R2199+S2199+J2199)/F2199,0)</f>
        <v>1</v>
      </c>
      <c r="AB2199" s="0" t="str">
        <f aca="false">A2199&amp;"|"&amp;D2199</f>
        <v>Zimbabwe|2020</v>
      </c>
    </row>
    <row r="2200" customFormat="false" ht="15" hidden="false" customHeight="false" outlineLevel="0" collapsed="false">
      <c r="A2200" s="0" t="s">
        <v>391</v>
      </c>
      <c r="B2200" s="0" t="s">
        <v>630</v>
      </c>
      <c r="C2200" s="0" t="s">
        <v>127</v>
      </c>
      <c r="D2200" s="0" t="n">
        <v>2021</v>
      </c>
      <c r="E2200" s="59" t="n">
        <v>15797220</v>
      </c>
      <c r="F2200" s="60" t="n">
        <v>8.57</v>
      </c>
      <c r="G2200" s="61" t="n">
        <v>2.51</v>
      </c>
      <c r="H2200" s="61" t="n">
        <v>0</v>
      </c>
      <c r="I2200" s="61" t="n">
        <v>0</v>
      </c>
      <c r="J2200" s="61" t="n">
        <v>0</v>
      </c>
      <c r="K2200" s="61" t="n">
        <v>5.93</v>
      </c>
      <c r="L2200" s="61" t="n">
        <v>0.02</v>
      </c>
      <c r="M2200" s="61" t="n">
        <v>0</v>
      </c>
      <c r="N2200" s="61" t="n">
        <v>0.11</v>
      </c>
      <c r="O2200" s="61" t="n">
        <v>0</v>
      </c>
      <c r="P2200" s="62" t="n">
        <v>269.6</v>
      </c>
      <c r="Q2200" s="0" t="n">
        <v>0</v>
      </c>
      <c r="R2200" s="60" t="n">
        <f aca="false">G2200+H2200+I2200</f>
        <v>2.51</v>
      </c>
      <c r="S2200" s="60" t="n">
        <f aca="false">K2200+L2200+M2200+N2200+O2200</f>
        <v>6.06</v>
      </c>
      <c r="T2200" s="60" t="n">
        <f aca="false">L2200+M2200</f>
        <v>0.02</v>
      </c>
      <c r="U2200" s="60" t="n">
        <f aca="false">S2200+J2200</f>
        <v>6.06</v>
      </c>
      <c r="V2200" s="63" t="n">
        <f aca="false">IFERROR(S2200/F2200,0)</f>
        <v>0.707117852975496</v>
      </c>
      <c r="W2200" s="63" t="n">
        <f aca="false">IFERROR(R2200/F2200,0)</f>
        <v>0.292882147024504</v>
      </c>
      <c r="X2200" s="63" t="n">
        <f aca="false">IFERROR(T2200/F2200,0)</f>
        <v>0.00233372228704784</v>
      </c>
      <c r="Y2200" s="63" t="n">
        <f aca="false">IFERROR(G2200/F2200,0)</f>
        <v>0.292882147024504</v>
      </c>
      <c r="Z2200" s="59" t="n">
        <f aca="false">IF(E2200&gt;0,F2200*1000000000/E2200,"")</f>
        <v>542.50051591356</v>
      </c>
      <c r="AA2200" s="63" t="n">
        <f aca="false">IFERROR((R2200+S2200+J2200)/F2200,0)</f>
        <v>1</v>
      </c>
      <c r="AB2200" s="0" t="str">
        <f aca="false">A2200&amp;"|"&amp;D2200</f>
        <v>Zimbabwe|2021</v>
      </c>
    </row>
    <row r="2201" customFormat="false" ht="15" hidden="false" customHeight="false" outlineLevel="0" collapsed="false">
      <c r="A2201" s="0" t="s">
        <v>391</v>
      </c>
      <c r="B2201" s="0" t="s">
        <v>630</v>
      </c>
      <c r="C2201" s="0" t="s">
        <v>127</v>
      </c>
      <c r="D2201" s="0" t="n">
        <v>2022</v>
      </c>
      <c r="E2201" s="59" t="n">
        <v>16069061</v>
      </c>
      <c r="F2201" s="60" t="n">
        <v>8.94</v>
      </c>
      <c r="G2201" s="61" t="n">
        <v>2.92</v>
      </c>
      <c r="H2201" s="61" t="n">
        <v>0</v>
      </c>
      <c r="I2201" s="61" t="n">
        <v>0</v>
      </c>
      <c r="J2201" s="61" t="n">
        <v>0</v>
      </c>
      <c r="K2201" s="61" t="n">
        <v>5.88</v>
      </c>
      <c r="L2201" s="61" t="n">
        <v>0.03</v>
      </c>
      <c r="M2201" s="61" t="n">
        <v>0</v>
      </c>
      <c r="N2201" s="61" t="n">
        <v>0.11</v>
      </c>
      <c r="O2201" s="61" t="n">
        <v>0</v>
      </c>
      <c r="P2201" s="62" t="n">
        <v>297.5</v>
      </c>
      <c r="Q2201" s="0" t="n">
        <v>0</v>
      </c>
      <c r="R2201" s="60" t="n">
        <f aca="false">G2201+H2201+I2201</f>
        <v>2.92</v>
      </c>
      <c r="S2201" s="60" t="n">
        <f aca="false">K2201+L2201+M2201+N2201+O2201</f>
        <v>6.02</v>
      </c>
      <c r="T2201" s="60" t="n">
        <f aca="false">L2201+M2201</f>
        <v>0.03</v>
      </c>
      <c r="U2201" s="60" t="n">
        <f aca="false">S2201+J2201</f>
        <v>6.02</v>
      </c>
      <c r="V2201" s="63" t="n">
        <f aca="false">IFERROR(S2201/F2201,0)</f>
        <v>0.67337807606264</v>
      </c>
      <c r="W2201" s="63" t="n">
        <f aca="false">IFERROR(R2201/F2201,0)</f>
        <v>0.32662192393736</v>
      </c>
      <c r="X2201" s="63" t="n">
        <f aca="false">IFERROR(T2201/F2201,0)</f>
        <v>0.00335570469798658</v>
      </c>
      <c r="Y2201" s="63" t="n">
        <f aca="false">IFERROR(G2201/F2201,0)</f>
        <v>0.32662192393736</v>
      </c>
      <c r="Z2201" s="59" t="n">
        <f aca="false">IF(E2201&gt;0,F2201*1000000000/E2201,"")</f>
        <v>556.348625473511</v>
      </c>
      <c r="AA2201" s="63" t="n">
        <f aca="false">IFERROR((R2201+S2201+J2201)/F2201,0)</f>
        <v>1</v>
      </c>
      <c r="AB2201" s="0" t="str">
        <f aca="false">A2201&amp;"|"&amp;D2201</f>
        <v>Zimbabwe|2022</v>
      </c>
    </row>
    <row r="2202" customFormat="false" ht="15" hidden="false" customHeight="false" outlineLevel="0" collapsed="false">
      <c r="A2202" s="0" t="s">
        <v>391</v>
      </c>
      <c r="B2202" s="0" t="s">
        <v>630</v>
      </c>
      <c r="C2202" s="0" t="s">
        <v>127</v>
      </c>
      <c r="D2202" s="0" t="n">
        <v>2023</v>
      </c>
      <c r="E2202" s="59" t="n">
        <v>16340829</v>
      </c>
      <c r="F2202" s="60" t="n">
        <v>9.99</v>
      </c>
      <c r="G2202" s="61" t="n">
        <v>4.38</v>
      </c>
      <c r="H2202" s="61" t="n">
        <v>0</v>
      </c>
      <c r="I2202" s="61" t="n">
        <v>0</v>
      </c>
      <c r="J2202" s="61" t="n">
        <v>0</v>
      </c>
      <c r="K2202" s="61" t="n">
        <v>5.46</v>
      </c>
      <c r="L2202" s="61" t="n">
        <v>0.03</v>
      </c>
      <c r="M2202" s="61" t="n">
        <v>0</v>
      </c>
      <c r="N2202" s="61" t="n">
        <v>0.12</v>
      </c>
      <c r="O2202" s="61" t="n">
        <v>0</v>
      </c>
      <c r="P2202" s="62" t="n">
        <v>392.4</v>
      </c>
      <c r="Q2202" s="0" t="n">
        <v>0</v>
      </c>
      <c r="R2202" s="60" t="n">
        <f aca="false">G2202+H2202+I2202</f>
        <v>4.38</v>
      </c>
      <c r="S2202" s="60" t="n">
        <f aca="false">K2202+L2202+M2202+N2202+O2202</f>
        <v>5.61</v>
      </c>
      <c r="T2202" s="60" t="n">
        <f aca="false">L2202+M2202</f>
        <v>0.03</v>
      </c>
      <c r="U2202" s="60" t="n">
        <f aca="false">S2202+J2202</f>
        <v>5.61</v>
      </c>
      <c r="V2202" s="63" t="n">
        <f aca="false">IFERROR(S2202/F2202,0)</f>
        <v>0.561561561561562</v>
      </c>
      <c r="W2202" s="63" t="n">
        <f aca="false">IFERROR(R2202/F2202,0)</f>
        <v>0.438438438438438</v>
      </c>
      <c r="X2202" s="63" t="n">
        <f aca="false">IFERROR(T2202/F2202,0)</f>
        <v>0.003003003003003</v>
      </c>
      <c r="Y2202" s="63" t="n">
        <f aca="false">IFERROR(G2202/F2202,0)</f>
        <v>0.438438438438438</v>
      </c>
      <c r="Z2202" s="59" t="n">
        <f aca="false">IF(E2202&gt;0,F2202*1000000000/E2202,"")</f>
        <v>611.352092357126</v>
      </c>
      <c r="AA2202" s="63" t="n">
        <f aca="false">IFERROR((R2202+S2202+J2202)/F2202,0)</f>
        <v>1</v>
      </c>
      <c r="AB2202" s="0" t="str">
        <f aca="false">A2202&amp;"|"&amp;D2202</f>
        <v>Zimbabwe|2023</v>
      </c>
    </row>
    <row r="2203" customFormat="false" ht="15" hidden="false" customHeight="false" outlineLevel="0" collapsed="false">
      <c r="A2203" s="0" t="s">
        <v>391</v>
      </c>
      <c r="B2203" s="0" t="s">
        <v>630</v>
      </c>
      <c r="C2203" s="0" t="s">
        <v>127</v>
      </c>
      <c r="D2203" s="0" t="n">
        <v>2024</v>
      </c>
      <c r="E2203" s="59" t="n">
        <v>16634366</v>
      </c>
      <c r="F2203" s="60" t="n">
        <v>10.26</v>
      </c>
      <c r="G2203" s="61" t="n">
        <v>4.4</v>
      </c>
      <c r="H2203" s="61" t="n">
        <v>0</v>
      </c>
      <c r="I2203" s="61" t="n">
        <v>0</v>
      </c>
      <c r="J2203" s="61" t="n">
        <v>0</v>
      </c>
      <c r="K2203" s="61" t="n">
        <v>5.7</v>
      </c>
      <c r="L2203" s="61" t="n">
        <v>0.04</v>
      </c>
      <c r="M2203" s="61" t="n">
        <v>0</v>
      </c>
      <c r="N2203" s="61" t="n">
        <v>0.12</v>
      </c>
      <c r="O2203" s="61" t="n">
        <v>0</v>
      </c>
      <c r="P2203" s="62" t="n">
        <v>384</v>
      </c>
      <c r="Q2203" s="0" t="n">
        <v>0</v>
      </c>
      <c r="R2203" s="60" t="n">
        <f aca="false">G2203+H2203+I2203</f>
        <v>4.4</v>
      </c>
      <c r="S2203" s="60" t="n">
        <f aca="false">K2203+L2203+M2203+N2203+O2203</f>
        <v>5.86</v>
      </c>
      <c r="T2203" s="60" t="n">
        <f aca="false">L2203+M2203</f>
        <v>0.04</v>
      </c>
      <c r="U2203" s="60" t="n">
        <f aca="false">S2203+J2203</f>
        <v>5.86</v>
      </c>
      <c r="V2203" s="63" t="n">
        <f aca="false">IFERROR(S2203/F2203,0)</f>
        <v>0.571150097465887</v>
      </c>
      <c r="W2203" s="63" t="n">
        <f aca="false">IFERROR(R2203/F2203,0)</f>
        <v>0.428849902534113</v>
      </c>
      <c r="X2203" s="63" t="n">
        <f aca="false">IFERROR(T2203/F2203,0)</f>
        <v>0.00389863547758285</v>
      </c>
      <c r="Y2203" s="63" t="n">
        <f aca="false">IFERROR(G2203/F2203,0)</f>
        <v>0.428849902534113</v>
      </c>
      <c r="Z2203" s="59" t="n">
        <f aca="false">IF(E2203&gt;0,F2203*1000000000/E2203,"")</f>
        <v>616.795374106834</v>
      </c>
      <c r="AA2203" s="63" t="n">
        <f aca="false">IFERROR((R2203+S2203+J2203)/F2203,0)</f>
        <v>1</v>
      </c>
      <c r="AB2203" s="0" t="str">
        <f aca="false">A2203&amp;"|"&amp;D2203</f>
        <v>Zimbabwe|2024</v>
      </c>
    </row>
  </sheetData>
  <conditionalFormatting sqref="AA2:AA2203">
    <cfRule type="cellIs" priority="2" operator="notBetween" aboveAverage="0" equalAverage="0" bottom="0" percent="0" rank="0" text="" dxfId="139">
      <formula>0.99</formula>
      <formula>1.01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O30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15" min="3" style="0" width="14"/>
  </cols>
  <sheetData>
    <row r="1" customFormat="false" ht="46.25" hidden="false" customHeight="false" outlineLevel="0" collapsed="false">
      <c r="A1" s="15" t="s">
        <v>631</v>
      </c>
      <c r="B1" s="15" t="s">
        <v>632</v>
      </c>
      <c r="C1" s="15" t="s">
        <v>633</v>
      </c>
      <c r="D1" s="15" t="s">
        <v>634</v>
      </c>
      <c r="E1" s="15" t="s">
        <v>635</v>
      </c>
      <c r="F1" s="15" t="s">
        <v>636</v>
      </c>
      <c r="G1" s="15" t="s">
        <v>637</v>
      </c>
      <c r="H1" s="15" t="s">
        <v>638</v>
      </c>
      <c r="I1" s="15" t="s">
        <v>639</v>
      </c>
      <c r="J1" s="15" t="s">
        <v>640</v>
      </c>
      <c r="K1" s="15" t="s">
        <v>641</v>
      </c>
      <c r="L1" s="15" t="s">
        <v>642</v>
      </c>
      <c r="M1" s="15" t="s">
        <v>643</v>
      </c>
      <c r="N1" s="15" t="s">
        <v>644</v>
      </c>
      <c r="O1" s="15" t="s">
        <v>645</v>
      </c>
    </row>
    <row r="2" customFormat="false" ht="15" hidden="false" customHeight="false" outlineLevel="0" collapsed="false">
      <c r="A2" s="0" t="s">
        <v>646</v>
      </c>
      <c r="C2" s="0" t="n">
        <v>2015</v>
      </c>
      <c r="E2" s="0" t="n">
        <v>907.23</v>
      </c>
      <c r="F2" s="0" t="n">
        <v>321.14</v>
      </c>
      <c r="G2" s="0" t="n">
        <v>377.93</v>
      </c>
      <c r="H2" s="0" t="n">
        <v>41.39</v>
      </c>
      <c r="I2" s="0" t="n">
        <v>0</v>
      </c>
      <c r="J2" s="0" t="n">
        <v>121.66</v>
      </c>
      <c r="K2" s="0" t="n">
        <v>2.84</v>
      </c>
      <c r="L2" s="0" t="n">
        <v>1.2</v>
      </c>
      <c r="M2" s="0" t="n">
        <v>19.97</v>
      </c>
      <c r="N2" s="0" t="n">
        <v>21.1</v>
      </c>
      <c r="O2" s="0" t="n">
        <v>594.8</v>
      </c>
    </row>
    <row r="3" customFormat="false" ht="15" hidden="false" customHeight="false" outlineLevel="0" collapsed="false">
      <c r="A3" s="0" t="s">
        <v>646</v>
      </c>
      <c r="C3" s="0" t="n">
        <v>2016</v>
      </c>
      <c r="E3" s="0" t="n">
        <v>969.34</v>
      </c>
      <c r="F3" s="0" t="n">
        <v>364.27</v>
      </c>
      <c r="G3" s="0" t="n">
        <v>379.77</v>
      </c>
      <c r="H3" s="0" t="n">
        <v>30.67</v>
      </c>
      <c r="I3" s="0" t="n">
        <v>0</v>
      </c>
      <c r="J3" s="0" t="n">
        <v>144.13</v>
      </c>
      <c r="K3" s="0" t="n">
        <v>5.13</v>
      </c>
      <c r="L3" s="0" t="n">
        <v>1.57</v>
      </c>
      <c r="M3" s="0" t="n">
        <v>22.07</v>
      </c>
      <c r="N3" s="0" t="n">
        <v>21.73</v>
      </c>
      <c r="O3" s="0" t="n">
        <v>591.28</v>
      </c>
    </row>
    <row r="4" customFormat="false" ht="15" hidden="false" customHeight="false" outlineLevel="0" collapsed="false">
      <c r="A4" s="0" t="s">
        <v>646</v>
      </c>
      <c r="C4" s="0" t="n">
        <v>2017</v>
      </c>
      <c r="E4" s="0" t="n">
        <v>1007.89</v>
      </c>
      <c r="F4" s="0" t="n">
        <v>383.71</v>
      </c>
      <c r="G4" s="0" t="n">
        <v>362.07</v>
      </c>
      <c r="H4" s="0" t="n">
        <v>26.03</v>
      </c>
      <c r="I4" s="0" t="n">
        <v>0</v>
      </c>
      <c r="J4" s="0" t="n">
        <v>179.46</v>
      </c>
      <c r="K4" s="0" t="n">
        <v>6.3</v>
      </c>
      <c r="L4" s="0" t="n">
        <v>2.55</v>
      </c>
      <c r="M4" s="0" t="n">
        <v>24.44</v>
      </c>
      <c r="N4" s="0" t="n">
        <v>23.33</v>
      </c>
      <c r="O4" s="0" t="n">
        <v>571.9</v>
      </c>
    </row>
    <row r="5" customFormat="false" ht="15" hidden="false" customHeight="false" outlineLevel="0" collapsed="false">
      <c r="A5" s="0" t="s">
        <v>646</v>
      </c>
      <c r="C5" s="0" t="n">
        <v>2018</v>
      </c>
      <c r="E5" s="0" t="n">
        <v>1071.01</v>
      </c>
      <c r="F5" s="0" t="n">
        <v>433.99</v>
      </c>
      <c r="G5" s="0" t="n">
        <v>361.94</v>
      </c>
      <c r="H5" s="0" t="n">
        <v>24.18</v>
      </c>
      <c r="I5" s="0" t="n">
        <v>0</v>
      </c>
      <c r="J5" s="0" t="n">
        <v>187.37</v>
      </c>
      <c r="K5" s="0" t="n">
        <v>6.78</v>
      </c>
      <c r="L5" s="0" t="n">
        <v>3.47</v>
      </c>
      <c r="M5" s="0" t="n">
        <v>28.51</v>
      </c>
      <c r="N5" s="0" t="n">
        <v>24.77</v>
      </c>
      <c r="O5" s="0" t="n">
        <v>577.85</v>
      </c>
    </row>
    <row r="6" customFormat="false" ht="15" hidden="false" customHeight="false" outlineLevel="0" collapsed="false">
      <c r="A6" s="0" t="s">
        <v>646</v>
      </c>
      <c r="C6" s="0" t="n">
        <v>2019</v>
      </c>
      <c r="E6" s="0" t="n">
        <v>1122.19</v>
      </c>
      <c r="F6" s="0" t="n">
        <v>483.31</v>
      </c>
      <c r="G6" s="0" t="n">
        <v>383.54</v>
      </c>
      <c r="H6" s="0" t="n">
        <v>20.31</v>
      </c>
      <c r="I6" s="0" t="n">
        <v>0</v>
      </c>
      <c r="J6" s="0" t="n">
        <v>162.11</v>
      </c>
      <c r="K6" s="0" t="n">
        <v>13.21</v>
      </c>
      <c r="L6" s="0" t="n">
        <v>5.91</v>
      </c>
      <c r="M6" s="0" t="n">
        <v>29</v>
      </c>
      <c r="N6" s="0" t="n">
        <v>24.8</v>
      </c>
      <c r="O6" s="0" t="n">
        <v>597.66</v>
      </c>
    </row>
    <row r="7" customFormat="false" ht="15" hidden="false" customHeight="false" outlineLevel="0" collapsed="false">
      <c r="A7" s="0" t="s">
        <v>646</v>
      </c>
      <c r="C7" s="0" t="n">
        <v>2020</v>
      </c>
      <c r="E7" s="0" t="n">
        <v>1113.63</v>
      </c>
      <c r="F7" s="0" t="n">
        <v>505.77</v>
      </c>
      <c r="G7" s="0" t="n">
        <v>335.29</v>
      </c>
      <c r="H7" s="0" t="n">
        <v>14.07</v>
      </c>
      <c r="I7" s="0" t="n">
        <v>0</v>
      </c>
      <c r="J7" s="0" t="n">
        <v>177.4</v>
      </c>
      <c r="K7" s="0" t="n">
        <v>20.1</v>
      </c>
      <c r="L7" s="0" t="n">
        <v>5.7</v>
      </c>
      <c r="M7" s="0" t="n">
        <v>28.97</v>
      </c>
      <c r="N7" s="0" t="n">
        <v>26.33</v>
      </c>
      <c r="O7" s="0" t="n">
        <v>589.23</v>
      </c>
    </row>
    <row r="8" customFormat="false" ht="15" hidden="false" customHeight="false" outlineLevel="0" collapsed="false">
      <c r="A8" s="0" t="s">
        <v>646</v>
      </c>
      <c r="C8" s="0" t="n">
        <v>2021</v>
      </c>
      <c r="E8" s="0" t="n">
        <v>1156.89</v>
      </c>
      <c r="F8" s="0" t="n">
        <v>504.85</v>
      </c>
      <c r="G8" s="0" t="n">
        <v>340.83</v>
      </c>
      <c r="H8" s="0" t="n">
        <v>12.72</v>
      </c>
      <c r="I8" s="0" t="n">
        <v>0</v>
      </c>
      <c r="J8" s="0" t="n">
        <v>194.75</v>
      </c>
      <c r="K8" s="0" t="n">
        <v>36.27</v>
      </c>
      <c r="L8" s="0" t="n">
        <v>8.59</v>
      </c>
      <c r="M8" s="0" t="n">
        <v>32.95</v>
      </c>
      <c r="N8" s="0" t="n">
        <v>25.93</v>
      </c>
      <c r="O8" s="0" t="n">
        <v>571.41</v>
      </c>
    </row>
    <row r="9" customFormat="false" ht="15" hidden="false" customHeight="false" outlineLevel="0" collapsed="false">
      <c r="A9" s="0" t="s">
        <v>646</v>
      </c>
      <c r="C9" s="0" t="n">
        <v>2022</v>
      </c>
      <c r="E9" s="0" t="n">
        <v>1221.62</v>
      </c>
      <c r="F9" s="0" t="n">
        <v>508.35</v>
      </c>
      <c r="G9" s="0" t="n">
        <v>355.25</v>
      </c>
      <c r="H9" s="0" t="n">
        <v>15.22</v>
      </c>
      <c r="I9" s="0" t="n">
        <v>0</v>
      </c>
      <c r="J9" s="0" t="n">
        <v>225.39</v>
      </c>
      <c r="K9" s="0" t="n">
        <v>37.4</v>
      </c>
      <c r="L9" s="0" t="n">
        <v>13.5</v>
      </c>
      <c r="M9" s="0" t="n">
        <v>39.39</v>
      </c>
      <c r="N9" s="0" t="n">
        <v>27.12</v>
      </c>
      <c r="O9" s="0" t="n">
        <v>554.19</v>
      </c>
    </row>
    <row r="10" customFormat="false" ht="15" hidden="false" customHeight="false" outlineLevel="0" collapsed="false">
      <c r="A10" s="0" t="s">
        <v>646</v>
      </c>
      <c r="C10" s="0" t="n">
        <v>2023</v>
      </c>
      <c r="E10" s="0" t="n">
        <v>1272.63</v>
      </c>
      <c r="F10" s="0" t="n">
        <v>554.95</v>
      </c>
      <c r="G10" s="0" t="n">
        <v>371.22</v>
      </c>
      <c r="H10" s="0" t="n">
        <v>13.48</v>
      </c>
      <c r="I10" s="0" t="n">
        <v>0</v>
      </c>
      <c r="J10" s="0" t="n">
        <v>207.67</v>
      </c>
      <c r="K10" s="0" t="n">
        <v>38.55</v>
      </c>
      <c r="L10" s="0" t="n">
        <v>17.16</v>
      </c>
      <c r="M10" s="0" t="n">
        <v>42.23</v>
      </c>
      <c r="N10" s="0" t="n">
        <v>27.37</v>
      </c>
      <c r="O10" s="0" t="n">
        <v>568.73</v>
      </c>
    </row>
    <row r="11" customFormat="false" ht="15" hidden="false" customHeight="false" outlineLevel="0" collapsed="false">
      <c r="A11" s="0" t="s">
        <v>646</v>
      </c>
      <c r="C11" s="0" t="n">
        <v>2024</v>
      </c>
      <c r="E11" s="0" t="n">
        <v>1352.11</v>
      </c>
      <c r="F11" s="0" t="n">
        <v>603.6</v>
      </c>
      <c r="G11" s="0" t="n">
        <v>385.68</v>
      </c>
      <c r="H11" s="0" t="n">
        <v>12.89</v>
      </c>
      <c r="I11" s="0" t="n">
        <v>0</v>
      </c>
      <c r="J11" s="0" t="n">
        <v>221.4</v>
      </c>
      <c r="K11" s="0" t="n">
        <v>41.41</v>
      </c>
      <c r="L11" s="0" t="n">
        <v>18.1</v>
      </c>
      <c r="M11" s="0" t="n">
        <v>41.83</v>
      </c>
      <c r="N11" s="0" t="n">
        <v>27.2</v>
      </c>
      <c r="O11" s="0" t="n">
        <v>571.72</v>
      </c>
    </row>
    <row r="12" customFormat="false" ht="15" hidden="false" customHeight="false" outlineLevel="0" collapsed="false">
      <c r="A12" s="0" t="s">
        <v>646</v>
      </c>
      <c r="C12" s="0" t="n">
        <v>2025</v>
      </c>
      <c r="E12" s="0" t="n">
        <v>1369.85</v>
      </c>
      <c r="F12" s="0" t="n">
        <v>610.43</v>
      </c>
      <c r="G12" s="0" t="n">
        <v>375.12</v>
      </c>
      <c r="H12" s="0" t="n">
        <v>15.18</v>
      </c>
      <c r="I12" s="0" t="n">
        <v>0</v>
      </c>
      <c r="J12" s="0" t="n">
        <v>238.88</v>
      </c>
      <c r="K12" s="0" t="n">
        <v>46.33</v>
      </c>
      <c r="L12" s="0" t="n">
        <v>19.73</v>
      </c>
      <c r="M12" s="0" t="n">
        <v>37.39</v>
      </c>
      <c r="N12" s="0" t="n">
        <v>26.79</v>
      </c>
      <c r="O12" s="0" t="n">
        <v>565.01</v>
      </c>
    </row>
    <row r="13" customFormat="false" ht="15" hidden="false" customHeight="false" outlineLevel="0" collapsed="false">
      <c r="A13" s="0" t="s">
        <v>181</v>
      </c>
      <c r="B13" s="0" t="s">
        <v>419</v>
      </c>
      <c r="C13" s="0" t="n">
        <v>2015</v>
      </c>
      <c r="D13" s="0" t="n">
        <v>33831767</v>
      </c>
      <c r="E13" s="0" t="n">
        <v>1.18</v>
      </c>
      <c r="F13" s="0" t="n">
        <v>0.1</v>
      </c>
      <c r="G13" s="0" t="n">
        <v>0</v>
      </c>
      <c r="H13" s="0" t="n">
        <v>0.05</v>
      </c>
      <c r="I13" s="0" t="n">
        <v>0</v>
      </c>
      <c r="J13" s="0" t="n">
        <v>1</v>
      </c>
      <c r="K13" s="0" t="n">
        <v>0.03</v>
      </c>
      <c r="L13" s="0" t="n">
        <v>0</v>
      </c>
      <c r="M13" s="0" t="n">
        <v>0</v>
      </c>
      <c r="N13" s="0" t="n">
        <v>0</v>
      </c>
      <c r="O13" s="0" t="n">
        <v>118.64</v>
      </c>
    </row>
    <row r="14" customFormat="false" ht="15" hidden="false" customHeight="false" outlineLevel="0" collapsed="false">
      <c r="A14" s="0" t="s">
        <v>181</v>
      </c>
      <c r="B14" s="0" t="s">
        <v>419</v>
      </c>
      <c r="C14" s="0" t="n">
        <v>2016</v>
      </c>
      <c r="D14" s="0" t="n">
        <v>34700613</v>
      </c>
      <c r="E14" s="0" t="n">
        <v>1.21</v>
      </c>
      <c r="F14" s="0" t="n">
        <v>0.09</v>
      </c>
      <c r="G14" s="0" t="n">
        <v>0</v>
      </c>
      <c r="H14" s="0" t="n">
        <v>0.06</v>
      </c>
      <c r="I14" s="0" t="n">
        <v>0</v>
      </c>
      <c r="J14" s="0" t="n">
        <v>1.02</v>
      </c>
      <c r="K14" s="0" t="n">
        <v>0.04</v>
      </c>
      <c r="L14" s="0" t="n">
        <v>0</v>
      </c>
      <c r="M14" s="0" t="n">
        <v>0</v>
      </c>
      <c r="N14" s="0" t="n">
        <v>0</v>
      </c>
      <c r="O14" s="0" t="n">
        <v>115.7</v>
      </c>
    </row>
    <row r="15" customFormat="false" ht="15" hidden="false" customHeight="false" outlineLevel="0" collapsed="false">
      <c r="A15" s="0" t="s">
        <v>181</v>
      </c>
      <c r="B15" s="0" t="s">
        <v>419</v>
      </c>
      <c r="C15" s="0" t="n">
        <v>2017</v>
      </c>
      <c r="D15" s="0" t="n">
        <v>35688941</v>
      </c>
      <c r="E15" s="0" t="n">
        <v>1.26</v>
      </c>
      <c r="F15" s="0" t="n">
        <v>0.11</v>
      </c>
      <c r="G15" s="0" t="n">
        <v>0</v>
      </c>
      <c r="H15" s="0" t="n">
        <v>0.06</v>
      </c>
      <c r="I15" s="0" t="n">
        <v>0</v>
      </c>
      <c r="J15" s="0" t="n">
        <v>1.05</v>
      </c>
      <c r="K15" s="0" t="n">
        <v>0.04</v>
      </c>
      <c r="L15" s="0" t="n">
        <v>0</v>
      </c>
      <c r="M15" s="0" t="n">
        <v>0</v>
      </c>
      <c r="N15" s="0" t="n">
        <v>0</v>
      </c>
      <c r="O15" s="0" t="n">
        <v>126.98</v>
      </c>
    </row>
    <row r="16" customFormat="false" ht="15" hidden="false" customHeight="false" outlineLevel="0" collapsed="false">
      <c r="A16" s="0" t="s">
        <v>181</v>
      </c>
      <c r="B16" s="0" t="s">
        <v>419</v>
      </c>
      <c r="C16" s="0" t="n">
        <v>2018</v>
      </c>
      <c r="D16" s="0" t="n">
        <v>36743040</v>
      </c>
      <c r="E16" s="0" t="n">
        <v>1.17</v>
      </c>
      <c r="F16" s="0" t="n">
        <v>0.12</v>
      </c>
      <c r="G16" s="0" t="n">
        <v>0</v>
      </c>
      <c r="H16" s="0" t="n">
        <v>0.08</v>
      </c>
      <c r="I16" s="0" t="n">
        <v>0</v>
      </c>
      <c r="J16" s="0" t="n">
        <v>0.93</v>
      </c>
      <c r="K16" s="0" t="n">
        <v>0.04</v>
      </c>
      <c r="L16" s="0" t="n">
        <v>0</v>
      </c>
      <c r="M16" s="0" t="n">
        <v>0</v>
      </c>
      <c r="N16" s="0" t="n">
        <v>0</v>
      </c>
      <c r="O16" s="0" t="n">
        <v>153.85</v>
      </c>
    </row>
    <row r="17" customFormat="false" ht="15" hidden="false" customHeight="false" outlineLevel="0" collapsed="false">
      <c r="A17" s="0" t="s">
        <v>181</v>
      </c>
      <c r="B17" s="0" t="s">
        <v>419</v>
      </c>
      <c r="C17" s="0" t="n">
        <v>2019</v>
      </c>
      <c r="D17" s="0" t="n">
        <v>37856125</v>
      </c>
      <c r="E17" s="0" t="n">
        <v>1.46</v>
      </c>
      <c r="F17" s="0" t="n">
        <v>0.08</v>
      </c>
      <c r="G17" s="0" t="n">
        <v>0</v>
      </c>
      <c r="H17" s="0" t="n">
        <v>0.1</v>
      </c>
      <c r="I17" s="0" t="n">
        <v>0</v>
      </c>
      <c r="J17" s="0" t="n">
        <v>1.22</v>
      </c>
      <c r="K17" s="0" t="n">
        <v>0.06</v>
      </c>
      <c r="L17" s="0" t="n">
        <v>0</v>
      </c>
      <c r="M17" s="0" t="n">
        <v>0</v>
      </c>
      <c r="N17" s="0" t="n">
        <v>0</v>
      </c>
      <c r="O17" s="0" t="n">
        <v>116.44</v>
      </c>
    </row>
    <row r="18" customFormat="false" ht="15" hidden="false" customHeight="false" outlineLevel="0" collapsed="false">
      <c r="A18" s="0" t="s">
        <v>181</v>
      </c>
      <c r="B18" s="0" t="s">
        <v>419</v>
      </c>
      <c r="C18" s="0" t="n">
        <v>2020</v>
      </c>
      <c r="D18" s="0" t="n">
        <v>39068977</v>
      </c>
      <c r="E18" s="0" t="n">
        <v>1.18</v>
      </c>
      <c r="F18" s="0" t="n">
        <v>0.02</v>
      </c>
      <c r="G18" s="0" t="n">
        <v>0</v>
      </c>
      <c r="H18" s="0" t="n">
        <v>0.1</v>
      </c>
      <c r="I18" s="0" t="n">
        <v>0</v>
      </c>
      <c r="J18" s="0" t="n">
        <v>0.99</v>
      </c>
      <c r="K18" s="0" t="n">
        <v>0.07</v>
      </c>
      <c r="L18" s="0" t="n">
        <v>0</v>
      </c>
      <c r="M18" s="0" t="n">
        <v>0</v>
      </c>
      <c r="N18" s="0" t="n">
        <v>0</v>
      </c>
      <c r="O18" s="0" t="n">
        <v>93.22</v>
      </c>
    </row>
    <row r="19" customFormat="false" ht="15" hidden="false" customHeight="false" outlineLevel="0" collapsed="false">
      <c r="A19" s="0" t="s">
        <v>181</v>
      </c>
      <c r="B19" s="0" t="s">
        <v>419</v>
      </c>
      <c r="C19" s="0" t="n">
        <v>2021</v>
      </c>
      <c r="D19" s="0" t="n">
        <v>40000410</v>
      </c>
      <c r="E19" s="0" t="n">
        <v>1.06</v>
      </c>
      <c r="F19" s="0" t="n">
        <v>0.03</v>
      </c>
      <c r="G19" s="0" t="n">
        <v>0</v>
      </c>
      <c r="H19" s="0" t="n">
        <v>0.1</v>
      </c>
      <c r="I19" s="0" t="n">
        <v>0</v>
      </c>
      <c r="J19" s="0" t="n">
        <v>0.85</v>
      </c>
      <c r="K19" s="0" t="n">
        <v>0.08</v>
      </c>
      <c r="L19" s="0" t="n">
        <v>0</v>
      </c>
      <c r="M19" s="0" t="n">
        <v>0</v>
      </c>
      <c r="N19" s="0" t="n">
        <v>0</v>
      </c>
      <c r="O19" s="0" t="n">
        <v>113.21</v>
      </c>
    </row>
    <row r="20" customFormat="false" ht="15" hidden="false" customHeight="false" outlineLevel="0" collapsed="false">
      <c r="A20" s="0" t="s">
        <v>181</v>
      </c>
      <c r="B20" s="0" t="s">
        <v>419</v>
      </c>
      <c r="C20" s="0" t="n">
        <v>2022</v>
      </c>
      <c r="D20" s="0" t="n">
        <v>40578847</v>
      </c>
      <c r="E20" s="0" t="n">
        <v>0.96</v>
      </c>
      <c r="F20" s="0" t="n">
        <v>0.03</v>
      </c>
      <c r="G20" s="0" t="n">
        <v>0</v>
      </c>
      <c r="H20" s="0" t="n">
        <v>0.1</v>
      </c>
      <c r="I20" s="0" t="n">
        <v>0</v>
      </c>
      <c r="J20" s="0" t="n">
        <v>0.74</v>
      </c>
      <c r="K20" s="0" t="n">
        <v>0.09</v>
      </c>
      <c r="L20" s="0" t="n">
        <v>0</v>
      </c>
      <c r="M20" s="0" t="n">
        <v>0</v>
      </c>
      <c r="N20" s="0" t="n">
        <v>0</v>
      </c>
      <c r="O20" s="0" t="n">
        <v>125</v>
      </c>
    </row>
    <row r="21" customFormat="false" ht="15" hidden="false" customHeight="false" outlineLevel="0" collapsed="false">
      <c r="A21" s="0" t="s">
        <v>181</v>
      </c>
      <c r="B21" s="0" t="s">
        <v>419</v>
      </c>
      <c r="C21" s="0" t="n">
        <v>2023</v>
      </c>
      <c r="D21" s="0" t="n">
        <v>41454762</v>
      </c>
      <c r="E21" s="0" t="n">
        <v>0.97</v>
      </c>
      <c r="F21" s="0" t="n">
        <v>0.03</v>
      </c>
      <c r="G21" s="0" t="n">
        <v>0</v>
      </c>
      <c r="H21" s="0" t="n">
        <v>0.1</v>
      </c>
      <c r="I21" s="0" t="n">
        <v>0</v>
      </c>
      <c r="J21" s="0" t="n">
        <v>0.75</v>
      </c>
      <c r="K21" s="0" t="n">
        <v>0.09</v>
      </c>
      <c r="L21" s="0" t="n">
        <v>0</v>
      </c>
      <c r="M21" s="0" t="n">
        <v>0</v>
      </c>
      <c r="N21" s="0" t="n">
        <v>0</v>
      </c>
      <c r="O21" s="0" t="n">
        <v>123.71</v>
      </c>
    </row>
    <row r="22" customFormat="false" ht="15" hidden="false" customHeight="false" outlineLevel="0" collapsed="false">
      <c r="A22" s="0" t="s">
        <v>181</v>
      </c>
      <c r="B22" s="0" t="s">
        <v>419</v>
      </c>
      <c r="C22" s="0" t="n">
        <v>2024</v>
      </c>
      <c r="D22" s="0" t="n">
        <v>42647502</v>
      </c>
      <c r="E22" s="0" t="n">
        <v>0.99</v>
      </c>
      <c r="F22" s="0" t="n">
        <v>0.03</v>
      </c>
      <c r="G22" s="0" t="n">
        <v>0</v>
      </c>
      <c r="H22" s="0" t="n">
        <v>0.1</v>
      </c>
      <c r="I22" s="0" t="n">
        <v>0</v>
      </c>
      <c r="J22" s="0" t="n">
        <v>0.75</v>
      </c>
      <c r="K22" s="0" t="n">
        <v>0.11</v>
      </c>
      <c r="L22" s="0" t="n">
        <v>0</v>
      </c>
      <c r="M22" s="0" t="n">
        <v>0</v>
      </c>
      <c r="N22" s="0" t="n">
        <v>0</v>
      </c>
      <c r="O22" s="0" t="n">
        <v>131.31</v>
      </c>
    </row>
    <row r="23" customFormat="false" ht="15" hidden="false" customHeight="false" outlineLevel="0" collapsed="false">
      <c r="A23" s="0" t="s">
        <v>647</v>
      </c>
      <c r="C23" s="0" t="n">
        <v>2015</v>
      </c>
      <c r="D23" s="0" t="n">
        <v>1219484027</v>
      </c>
      <c r="E23" s="0" t="n">
        <v>790.03</v>
      </c>
      <c r="F23" s="0" t="n">
        <v>254.69</v>
      </c>
      <c r="G23" s="0" t="n">
        <v>289.11</v>
      </c>
      <c r="H23" s="0" t="n">
        <v>91.89</v>
      </c>
      <c r="I23" s="0" t="n">
        <v>12.24</v>
      </c>
      <c r="J23" s="0" t="n">
        <v>122.39</v>
      </c>
      <c r="K23" s="0" t="n">
        <v>3.25</v>
      </c>
      <c r="L23" s="0" t="n">
        <v>8.98</v>
      </c>
      <c r="M23" s="0" t="n">
        <v>3</v>
      </c>
      <c r="N23" s="0" t="n">
        <v>4.48</v>
      </c>
      <c r="O23" s="0" t="n">
        <v>597.534</v>
      </c>
    </row>
    <row r="24" customFormat="false" ht="15" hidden="false" customHeight="false" outlineLevel="0" collapsed="false">
      <c r="A24" s="0" t="s">
        <v>647</v>
      </c>
      <c r="C24" s="0" t="n">
        <v>2016</v>
      </c>
      <c r="D24" s="0" t="n">
        <v>1250551239</v>
      </c>
      <c r="E24" s="0" t="n">
        <v>805.8</v>
      </c>
      <c r="F24" s="0" t="n">
        <v>256.68</v>
      </c>
      <c r="G24" s="0" t="n">
        <v>309.09</v>
      </c>
      <c r="H24" s="0" t="n">
        <v>80.26</v>
      </c>
      <c r="I24" s="0" t="n">
        <v>15.03</v>
      </c>
      <c r="J24" s="0" t="n">
        <v>120.82</v>
      </c>
      <c r="K24" s="0" t="n">
        <v>4.72</v>
      </c>
      <c r="L24" s="0" t="n">
        <v>11.21</v>
      </c>
      <c r="M24" s="0" t="n">
        <v>3.3</v>
      </c>
      <c r="N24" s="0" t="n">
        <v>4.69</v>
      </c>
      <c r="O24" s="0" t="n">
        <v>594.825</v>
      </c>
    </row>
    <row r="25" customFormat="false" ht="15" hidden="false" customHeight="false" outlineLevel="0" collapsed="false">
      <c r="A25" s="0" t="s">
        <v>647</v>
      </c>
      <c r="C25" s="0" t="n">
        <v>2017</v>
      </c>
      <c r="D25" s="0" t="n">
        <v>1282169538</v>
      </c>
      <c r="E25" s="0" t="n">
        <v>825.62</v>
      </c>
      <c r="F25" s="0" t="n">
        <v>257.12</v>
      </c>
      <c r="G25" s="0" t="n">
        <v>324.7</v>
      </c>
      <c r="H25" s="0" t="n">
        <v>74.82</v>
      </c>
      <c r="I25" s="0" t="n">
        <v>14.19</v>
      </c>
      <c r="J25" s="0" t="n">
        <v>126.4</v>
      </c>
      <c r="K25" s="0" t="n">
        <v>6.78</v>
      </c>
      <c r="L25" s="0" t="n">
        <v>13.44</v>
      </c>
      <c r="M25" s="0" t="n">
        <v>3.41</v>
      </c>
      <c r="N25" s="0" t="n">
        <v>4.76</v>
      </c>
      <c r="O25" s="0" t="n">
        <v>588.576</v>
      </c>
    </row>
    <row r="26" customFormat="false" ht="15" hidden="false" customHeight="false" outlineLevel="0" collapsed="false">
      <c r="A26" s="0" t="s">
        <v>647</v>
      </c>
      <c r="C26" s="0" t="n">
        <v>2018</v>
      </c>
      <c r="D26" s="0" t="n">
        <v>1314609397</v>
      </c>
      <c r="E26" s="0" t="n">
        <v>855.75</v>
      </c>
      <c r="F26" s="0" t="n">
        <v>265.06</v>
      </c>
      <c r="G26" s="0" t="n">
        <v>345.95</v>
      </c>
      <c r="H26" s="0" t="n">
        <v>65.12</v>
      </c>
      <c r="I26" s="0" t="n">
        <v>11.58</v>
      </c>
      <c r="J26" s="0" t="n">
        <v>136.66</v>
      </c>
      <c r="K26" s="0" t="n">
        <v>8.45</v>
      </c>
      <c r="L26" s="0" t="n">
        <v>14.88</v>
      </c>
      <c r="M26" s="0" t="n">
        <v>2.92</v>
      </c>
      <c r="N26" s="0" t="n">
        <v>5.13</v>
      </c>
      <c r="O26" s="0" t="n">
        <v>583.932</v>
      </c>
    </row>
    <row r="27" customFormat="false" ht="15" hidden="false" customHeight="false" outlineLevel="0" collapsed="false">
      <c r="A27" s="0" t="s">
        <v>647</v>
      </c>
      <c r="C27" s="0" t="n">
        <v>2019</v>
      </c>
      <c r="D27" s="0" t="n">
        <v>1347162538</v>
      </c>
      <c r="E27" s="0" t="n">
        <v>875.96</v>
      </c>
      <c r="F27" s="0" t="n">
        <v>264.18</v>
      </c>
      <c r="G27" s="0" t="n">
        <v>361.87</v>
      </c>
      <c r="H27" s="0" t="n">
        <v>56.43</v>
      </c>
      <c r="I27" s="0" t="n">
        <v>13.25</v>
      </c>
      <c r="J27" s="0" t="n">
        <v>140.92</v>
      </c>
      <c r="K27" s="0" t="n">
        <v>11.55</v>
      </c>
      <c r="L27" s="0" t="n">
        <v>19.52</v>
      </c>
      <c r="M27" s="0" t="n">
        <v>3</v>
      </c>
      <c r="N27" s="0" t="n">
        <v>5.24</v>
      </c>
      <c r="O27" s="0" t="n">
        <v>574.912</v>
      </c>
    </row>
    <row r="28" customFormat="false" ht="15" hidden="false" customHeight="false" outlineLevel="0" collapsed="false">
      <c r="A28" s="0" t="s">
        <v>647</v>
      </c>
      <c r="C28" s="0" t="n">
        <v>2020</v>
      </c>
      <c r="D28" s="0" t="n">
        <v>1379939686</v>
      </c>
      <c r="E28" s="0" t="n">
        <v>861.09</v>
      </c>
      <c r="F28" s="0" t="n">
        <v>251.77</v>
      </c>
      <c r="G28" s="0" t="n">
        <v>358.24</v>
      </c>
      <c r="H28" s="0" t="n">
        <v>49.12</v>
      </c>
      <c r="I28" s="0" t="n">
        <v>9.9</v>
      </c>
      <c r="J28" s="0" t="n">
        <v>148.36</v>
      </c>
      <c r="K28" s="0" t="n">
        <v>16.55</v>
      </c>
      <c r="L28" s="0" t="n">
        <v>19.13</v>
      </c>
      <c r="M28" s="0" t="n">
        <v>2.96</v>
      </c>
      <c r="N28" s="0" t="n">
        <v>5.06</v>
      </c>
      <c r="O28" s="0" t="n">
        <v>564.68</v>
      </c>
    </row>
    <row r="29" customFormat="false" ht="15" hidden="false" customHeight="false" outlineLevel="0" collapsed="false">
      <c r="A29" s="0" t="s">
        <v>647</v>
      </c>
      <c r="C29" s="0" t="n">
        <v>2021</v>
      </c>
      <c r="D29" s="0" t="n">
        <v>1412811077</v>
      </c>
      <c r="E29" s="0" t="n">
        <v>905.76</v>
      </c>
      <c r="F29" s="0" t="n">
        <v>248.74</v>
      </c>
      <c r="G29" s="0" t="n">
        <v>387.33</v>
      </c>
      <c r="H29" s="0" t="n">
        <v>50.64</v>
      </c>
      <c r="I29" s="0" t="n">
        <v>12.35</v>
      </c>
      <c r="J29" s="0" t="n">
        <v>155.55</v>
      </c>
      <c r="K29" s="0" t="n">
        <v>19.87</v>
      </c>
      <c r="L29" s="0" t="n">
        <v>23.2</v>
      </c>
      <c r="M29" s="0" t="n">
        <v>3.04</v>
      </c>
      <c r="N29" s="0" t="n">
        <v>5.04</v>
      </c>
      <c r="O29" s="0" t="n">
        <v>556.991</v>
      </c>
    </row>
    <row r="30" customFormat="false" ht="15" hidden="false" customHeight="false" outlineLevel="0" collapsed="false">
      <c r="A30" s="0" t="s">
        <v>647</v>
      </c>
      <c r="C30" s="0" t="n">
        <v>2022</v>
      </c>
      <c r="D30" s="0" t="n">
        <v>1445862695</v>
      </c>
      <c r="E30" s="0" t="n">
        <v>923.17</v>
      </c>
      <c r="F30" s="0" t="n">
        <v>241.11</v>
      </c>
      <c r="G30" s="0" t="n">
        <v>393.98</v>
      </c>
      <c r="H30" s="0" t="n">
        <v>56.93</v>
      </c>
      <c r="I30" s="0" t="n">
        <v>10.1</v>
      </c>
      <c r="J30" s="0" t="n">
        <v>163.33</v>
      </c>
      <c r="K30" s="0" t="n">
        <v>24.41</v>
      </c>
      <c r="L30" s="0" t="n">
        <v>24.7</v>
      </c>
      <c r="M30" s="0" t="n">
        <v>3.06</v>
      </c>
      <c r="N30" s="0" t="n">
        <v>5.55</v>
      </c>
      <c r="O30" s="0" t="n">
        <v>549.119</v>
      </c>
    </row>
    <row r="31" customFormat="false" ht="15" hidden="false" customHeight="false" outlineLevel="0" collapsed="false">
      <c r="A31" s="0" t="s">
        <v>647</v>
      </c>
      <c r="C31" s="0" t="n">
        <v>2023</v>
      </c>
      <c r="D31" s="0" t="n">
        <v>1479690254</v>
      </c>
      <c r="E31" s="0" t="n">
        <v>930.89</v>
      </c>
      <c r="F31" s="0" t="n">
        <v>231.63</v>
      </c>
      <c r="G31" s="0" t="n">
        <v>398.2</v>
      </c>
      <c r="H31" s="0" t="n">
        <v>64.8</v>
      </c>
      <c r="I31" s="0" t="n">
        <v>8.1</v>
      </c>
      <c r="J31" s="0" t="n">
        <v>160.49</v>
      </c>
      <c r="K31" s="0" t="n">
        <v>29.89</v>
      </c>
      <c r="L31" s="0" t="n">
        <v>27.77</v>
      </c>
      <c r="M31" s="0" t="n">
        <v>3.95</v>
      </c>
      <c r="N31" s="0" t="n">
        <v>6.06</v>
      </c>
      <c r="O31" s="0" t="n">
        <v>543.867</v>
      </c>
    </row>
    <row r="32" customFormat="false" ht="15" hidden="false" customHeight="false" outlineLevel="0" collapsed="false">
      <c r="A32" s="0" t="s">
        <v>647</v>
      </c>
      <c r="C32" s="0" t="n">
        <v>2024</v>
      </c>
      <c r="D32" s="0" t="n">
        <v>1514032368</v>
      </c>
      <c r="E32" s="0" t="n">
        <v>961.77</v>
      </c>
      <c r="F32" s="0" t="n">
        <v>245.23</v>
      </c>
      <c r="G32" s="0" t="n">
        <v>408.56</v>
      </c>
      <c r="H32" s="0" t="n">
        <v>62.28</v>
      </c>
      <c r="I32" s="0" t="n">
        <v>7.8</v>
      </c>
      <c r="J32" s="0" t="n">
        <v>164.99</v>
      </c>
      <c r="K32" s="0" t="n">
        <v>35.65</v>
      </c>
      <c r="L32" s="0" t="n">
        <v>28.31</v>
      </c>
      <c r="M32" s="0" t="n">
        <v>2.92</v>
      </c>
      <c r="N32" s="0" t="n">
        <v>6.03</v>
      </c>
      <c r="O32" s="0" t="n">
        <v>544.132</v>
      </c>
    </row>
    <row r="33" customFormat="false" ht="15" hidden="false" customHeight="false" outlineLevel="0" collapsed="false">
      <c r="A33" s="0" t="s">
        <v>648</v>
      </c>
      <c r="C33" s="0" t="n">
        <v>2015</v>
      </c>
      <c r="E33" s="0" t="n">
        <v>790.712</v>
      </c>
      <c r="F33" s="0" t="n">
        <v>251.597</v>
      </c>
      <c r="G33" s="0" t="n">
        <v>288.234</v>
      </c>
      <c r="H33" s="0" t="n">
        <v>94.424</v>
      </c>
      <c r="I33" s="0" t="n">
        <v>12.237</v>
      </c>
      <c r="J33" s="0" t="n">
        <v>120.966</v>
      </c>
      <c r="K33" s="0" t="n">
        <v>3.546</v>
      </c>
      <c r="L33" s="0" t="n">
        <v>8.913</v>
      </c>
    </row>
    <row r="34" customFormat="false" ht="15" hidden="false" customHeight="false" outlineLevel="0" collapsed="false">
      <c r="A34" s="0" t="s">
        <v>648</v>
      </c>
      <c r="C34" s="0" t="n">
        <v>2016</v>
      </c>
      <c r="E34" s="0" t="n">
        <v>799.935</v>
      </c>
      <c r="F34" s="0" t="n">
        <v>253.272</v>
      </c>
      <c r="G34" s="0" t="n">
        <v>303.157</v>
      </c>
      <c r="H34" s="0" t="n">
        <v>81.469</v>
      </c>
      <c r="I34" s="0" t="n">
        <v>15.026</v>
      </c>
      <c r="J34" s="0" t="n">
        <v>119.332</v>
      </c>
      <c r="K34" s="0" t="n">
        <v>5.259</v>
      </c>
      <c r="L34" s="0" t="n">
        <v>11.179</v>
      </c>
    </row>
    <row r="35" customFormat="false" ht="15" hidden="false" customHeight="false" outlineLevel="0" collapsed="false">
      <c r="A35" s="0" t="s">
        <v>648</v>
      </c>
      <c r="C35" s="0" t="n">
        <v>2017</v>
      </c>
      <c r="E35" s="0" t="n">
        <v>827.068</v>
      </c>
      <c r="F35" s="0" t="n">
        <v>253.154</v>
      </c>
      <c r="G35" s="0" t="n">
        <v>327.435</v>
      </c>
      <c r="H35" s="0" t="n">
        <v>73.604</v>
      </c>
      <c r="I35" s="0" t="n">
        <v>14.193</v>
      </c>
      <c r="J35" s="0" t="n">
        <v>125.531</v>
      </c>
      <c r="K35" s="0" t="n">
        <v>6.911</v>
      </c>
      <c r="L35" s="0" t="n">
        <v>13.614</v>
      </c>
    </row>
    <row r="36" customFormat="false" ht="15" hidden="false" customHeight="false" outlineLevel="0" collapsed="false">
      <c r="A36" s="0" t="s">
        <v>648</v>
      </c>
      <c r="C36" s="0" t="n">
        <v>2018</v>
      </c>
      <c r="E36" s="0" t="n">
        <v>849.991</v>
      </c>
      <c r="F36" s="0" t="n">
        <v>260.211</v>
      </c>
      <c r="G36" s="0" t="n">
        <v>343.153</v>
      </c>
      <c r="H36" s="0" t="n">
        <v>64.134</v>
      </c>
      <c r="I36" s="0" t="n">
        <v>11.58</v>
      </c>
      <c r="J36" s="0" t="n">
        <v>134.414</v>
      </c>
      <c r="K36" s="0" t="n">
        <v>8.334</v>
      </c>
      <c r="L36" s="0" t="n">
        <v>14.764</v>
      </c>
    </row>
    <row r="37" customFormat="false" ht="15" hidden="false" customHeight="false" outlineLevel="0" collapsed="false">
      <c r="A37" s="0" t="s">
        <v>648</v>
      </c>
      <c r="C37" s="0" t="n">
        <v>2019</v>
      </c>
      <c r="E37" s="0" t="n">
        <v>870.895</v>
      </c>
      <c r="F37" s="0" t="n">
        <v>258.523</v>
      </c>
      <c r="G37" s="0" t="n">
        <v>358.867</v>
      </c>
      <c r="H37" s="0" t="n">
        <v>58.056</v>
      </c>
      <c r="I37" s="0" t="n">
        <v>13.252</v>
      </c>
      <c r="J37" s="0" t="n">
        <v>137.838</v>
      </c>
      <c r="K37" s="0" t="n">
        <v>11.033</v>
      </c>
      <c r="L37" s="0" t="n">
        <v>19.283</v>
      </c>
    </row>
    <row r="38" customFormat="false" ht="15" hidden="false" customHeight="false" outlineLevel="0" collapsed="false">
      <c r="A38" s="0" t="s">
        <v>648</v>
      </c>
      <c r="C38" s="0" t="n">
        <v>2020</v>
      </c>
      <c r="E38" s="0" t="n">
        <v>853.838</v>
      </c>
      <c r="F38" s="0" t="n">
        <v>245.817</v>
      </c>
      <c r="G38" s="0" t="n">
        <v>353.279</v>
      </c>
      <c r="H38" s="0" t="n">
        <v>49.734</v>
      </c>
      <c r="I38" s="0" t="n">
        <v>9.903</v>
      </c>
      <c r="J38" s="0" t="n">
        <v>147.409</v>
      </c>
      <c r="K38" s="0" t="n">
        <v>15.182</v>
      </c>
      <c r="L38" s="0" t="n">
        <v>19.111</v>
      </c>
    </row>
    <row r="39" customFormat="false" ht="15" hidden="false" customHeight="false" outlineLevel="0" collapsed="false">
      <c r="A39" s="0" t="s">
        <v>648</v>
      </c>
      <c r="C39" s="0" t="n">
        <v>2021</v>
      </c>
      <c r="E39" s="0" t="n">
        <v>900.059</v>
      </c>
      <c r="F39" s="0" t="n">
        <v>243.797</v>
      </c>
      <c r="G39" s="0" t="n">
        <v>382.35</v>
      </c>
      <c r="H39" s="0" t="n">
        <v>52.207</v>
      </c>
      <c r="I39" s="0" t="n">
        <v>12.355</v>
      </c>
      <c r="J39" s="0" t="n">
        <v>155.507</v>
      </c>
      <c r="K39" s="0" t="n">
        <v>17.458</v>
      </c>
      <c r="L39" s="0" t="n">
        <v>22.96</v>
      </c>
    </row>
    <row r="40" customFormat="false" ht="15" hidden="false" customHeight="false" outlineLevel="0" collapsed="false">
      <c r="A40" s="0" t="s">
        <v>648</v>
      </c>
      <c r="C40" s="0" t="n">
        <v>2022</v>
      </c>
      <c r="E40" s="0" t="n">
        <v>911.739</v>
      </c>
      <c r="F40" s="0" t="n">
        <v>237.693</v>
      </c>
      <c r="G40" s="0" t="n">
        <v>388.806</v>
      </c>
      <c r="H40" s="0" t="n">
        <v>57.745</v>
      </c>
      <c r="I40" s="0" t="n">
        <v>10.1</v>
      </c>
      <c r="J40" s="0" t="n">
        <v>161.926</v>
      </c>
      <c r="K40" s="0" t="n">
        <v>17.227</v>
      </c>
      <c r="L40" s="0" t="n">
        <v>24.724</v>
      </c>
    </row>
    <row r="41" customFormat="false" ht="15" hidden="false" customHeight="false" outlineLevel="0" collapsed="false">
      <c r="A41" s="0" t="s">
        <v>648</v>
      </c>
      <c r="C41" s="0" t="n">
        <v>2023</v>
      </c>
      <c r="E41" s="0" t="n">
        <v>924.325</v>
      </c>
      <c r="F41" s="0" t="n">
        <v>228.3</v>
      </c>
      <c r="G41" s="0" t="n">
        <v>395.409</v>
      </c>
      <c r="H41" s="0" t="n">
        <v>63.462</v>
      </c>
      <c r="I41" s="0" t="n">
        <v>8.1</v>
      </c>
      <c r="J41" s="0" t="n">
        <v>167.117</v>
      </c>
      <c r="K41" s="0" t="n">
        <v>18.963</v>
      </c>
      <c r="L41" s="0" t="n">
        <v>28.41</v>
      </c>
    </row>
    <row r="42" customFormat="false" ht="15" hidden="false" customHeight="false" outlineLevel="0" collapsed="false">
      <c r="A42" s="0" t="s">
        <v>648</v>
      </c>
      <c r="C42" s="0" t="n">
        <v>2024</v>
      </c>
      <c r="E42" s="0" t="n">
        <v>963.931</v>
      </c>
      <c r="F42" s="0" t="n">
        <v>244.57</v>
      </c>
      <c r="G42" s="0" t="n">
        <v>412.227</v>
      </c>
      <c r="H42" s="0" t="n">
        <v>63.395</v>
      </c>
      <c r="I42" s="0" t="n">
        <v>7.8</v>
      </c>
      <c r="J42" s="0" t="n">
        <v>170.076</v>
      </c>
      <c r="K42" s="0" t="n">
        <v>20.864</v>
      </c>
      <c r="L42" s="0" t="n">
        <v>29.071</v>
      </c>
    </row>
    <row r="43" customFormat="false" ht="15" hidden="false" customHeight="false" outlineLevel="0" collapsed="false">
      <c r="A43" s="0" t="s">
        <v>649</v>
      </c>
      <c r="C43" s="0" t="n">
        <v>2015</v>
      </c>
    </row>
    <row r="44" customFormat="false" ht="15" hidden="false" customHeight="false" outlineLevel="0" collapsed="false">
      <c r="A44" s="0" t="s">
        <v>649</v>
      </c>
      <c r="C44" s="0" t="n">
        <v>2016</v>
      </c>
    </row>
    <row r="45" customFormat="false" ht="15" hidden="false" customHeight="false" outlineLevel="0" collapsed="false">
      <c r="A45" s="0" t="s">
        <v>649</v>
      </c>
      <c r="C45" s="0" t="n">
        <v>2017</v>
      </c>
    </row>
    <row r="46" customFormat="false" ht="15" hidden="false" customHeight="false" outlineLevel="0" collapsed="false">
      <c r="A46" s="0" t="s">
        <v>649</v>
      </c>
      <c r="C46" s="0" t="n">
        <v>2018</v>
      </c>
    </row>
    <row r="47" customFormat="false" ht="15" hidden="false" customHeight="false" outlineLevel="0" collapsed="false">
      <c r="A47" s="0" t="s">
        <v>649</v>
      </c>
      <c r="C47" s="0" t="n">
        <v>2019</v>
      </c>
    </row>
    <row r="48" customFormat="false" ht="15" hidden="false" customHeight="false" outlineLevel="0" collapsed="false">
      <c r="A48" s="0" t="s">
        <v>649</v>
      </c>
      <c r="C48" s="0" t="n">
        <v>2020</v>
      </c>
    </row>
    <row r="49" customFormat="false" ht="15" hidden="false" customHeight="false" outlineLevel="0" collapsed="false">
      <c r="A49" s="0" t="s">
        <v>649</v>
      </c>
      <c r="C49" s="0" t="n">
        <v>2021</v>
      </c>
    </row>
    <row r="50" customFormat="false" ht="15" hidden="false" customHeight="false" outlineLevel="0" collapsed="false">
      <c r="A50" s="0" t="s">
        <v>649</v>
      </c>
      <c r="C50" s="0" t="n">
        <v>2022</v>
      </c>
    </row>
    <row r="51" customFormat="false" ht="15" hidden="false" customHeight="false" outlineLevel="0" collapsed="false">
      <c r="A51" s="0" t="s">
        <v>649</v>
      </c>
      <c r="C51" s="0" t="n">
        <v>2023</v>
      </c>
    </row>
    <row r="52" customFormat="false" ht="15" hidden="false" customHeight="false" outlineLevel="0" collapsed="false">
      <c r="A52" s="0" t="s">
        <v>650</v>
      </c>
      <c r="C52" s="0" t="n">
        <v>2015</v>
      </c>
      <c r="E52" s="0" t="n">
        <v>790.12</v>
      </c>
      <c r="F52" s="0" t="n">
        <v>254.69</v>
      </c>
      <c r="G52" s="0" t="n">
        <v>289.11</v>
      </c>
      <c r="H52" s="0" t="n">
        <v>91.98</v>
      </c>
      <c r="I52" s="0" t="n">
        <v>12.24</v>
      </c>
      <c r="J52" s="0" t="n">
        <v>122.39</v>
      </c>
      <c r="K52" s="0" t="n">
        <v>3.25</v>
      </c>
      <c r="L52" s="0" t="n">
        <v>8.98</v>
      </c>
      <c r="M52" s="0" t="n">
        <v>3</v>
      </c>
      <c r="N52" s="0" t="n">
        <v>4.48</v>
      </c>
      <c r="O52" s="0" t="n">
        <v>597.63</v>
      </c>
    </row>
    <row r="53" customFormat="false" ht="15" hidden="false" customHeight="false" outlineLevel="0" collapsed="false">
      <c r="A53" s="0" t="s">
        <v>650</v>
      </c>
      <c r="C53" s="0" t="n">
        <v>2016</v>
      </c>
      <c r="E53" s="0" t="n">
        <v>805.89</v>
      </c>
      <c r="F53" s="0" t="n">
        <v>256.68</v>
      </c>
      <c r="G53" s="0" t="n">
        <v>309.09</v>
      </c>
      <c r="H53" s="0" t="n">
        <v>80.35</v>
      </c>
      <c r="I53" s="0" t="n">
        <v>15.03</v>
      </c>
      <c r="J53" s="0" t="n">
        <v>120.82</v>
      </c>
      <c r="K53" s="0" t="n">
        <v>4.72</v>
      </c>
      <c r="L53" s="0" t="n">
        <v>11.21</v>
      </c>
      <c r="M53" s="0" t="n">
        <v>3.3</v>
      </c>
      <c r="N53" s="0" t="n">
        <v>4.69</v>
      </c>
      <c r="O53" s="0" t="n">
        <v>594.86</v>
      </c>
    </row>
    <row r="54" customFormat="false" ht="15" hidden="false" customHeight="false" outlineLevel="0" collapsed="false">
      <c r="A54" s="0" t="s">
        <v>650</v>
      </c>
      <c r="C54" s="0" t="n">
        <v>2017</v>
      </c>
      <c r="E54" s="0" t="n">
        <v>825.71</v>
      </c>
      <c r="F54" s="0" t="n">
        <v>257.12</v>
      </c>
      <c r="G54" s="0" t="n">
        <v>324.7</v>
      </c>
      <c r="H54" s="0" t="n">
        <v>74.91</v>
      </c>
      <c r="I54" s="0" t="n">
        <v>14.19</v>
      </c>
      <c r="J54" s="0" t="n">
        <v>126.4</v>
      </c>
      <c r="K54" s="0" t="n">
        <v>6.78</v>
      </c>
      <c r="L54" s="0" t="n">
        <v>13.44</v>
      </c>
      <c r="M54" s="0" t="n">
        <v>3.41</v>
      </c>
      <c r="N54" s="0" t="n">
        <v>4.76</v>
      </c>
      <c r="O54" s="0" t="n">
        <v>588.62</v>
      </c>
    </row>
    <row r="55" customFormat="false" ht="15" hidden="false" customHeight="false" outlineLevel="0" collapsed="false">
      <c r="A55" s="0" t="s">
        <v>650</v>
      </c>
      <c r="C55" s="0" t="n">
        <v>2018</v>
      </c>
      <c r="E55" s="0" t="n">
        <v>855.84</v>
      </c>
      <c r="F55" s="0" t="n">
        <v>265.06</v>
      </c>
      <c r="G55" s="0" t="n">
        <v>345.95</v>
      </c>
      <c r="H55" s="0" t="n">
        <v>65.21</v>
      </c>
      <c r="I55" s="0" t="n">
        <v>11.58</v>
      </c>
      <c r="J55" s="0" t="n">
        <v>136.66</v>
      </c>
      <c r="K55" s="0" t="n">
        <v>8.45</v>
      </c>
      <c r="L55" s="0" t="n">
        <v>14.88</v>
      </c>
      <c r="M55" s="0" t="n">
        <v>2.92</v>
      </c>
      <c r="N55" s="0" t="n">
        <v>5.13</v>
      </c>
      <c r="O55" s="0" t="n">
        <v>584.02</v>
      </c>
    </row>
    <row r="56" customFormat="false" ht="15" hidden="false" customHeight="false" outlineLevel="0" collapsed="false">
      <c r="A56" s="0" t="s">
        <v>650</v>
      </c>
      <c r="C56" s="0" t="n">
        <v>2019</v>
      </c>
      <c r="E56" s="0" t="n">
        <v>876.05</v>
      </c>
      <c r="F56" s="0" t="n">
        <v>264.18</v>
      </c>
      <c r="G56" s="0" t="n">
        <v>361.87</v>
      </c>
      <c r="H56" s="0" t="n">
        <v>56.52</v>
      </c>
      <c r="I56" s="0" t="n">
        <v>13.25</v>
      </c>
      <c r="J56" s="0" t="n">
        <v>140.92</v>
      </c>
      <c r="K56" s="0" t="n">
        <v>11.55</v>
      </c>
      <c r="L56" s="0" t="n">
        <v>19.52</v>
      </c>
      <c r="M56" s="0" t="n">
        <v>3</v>
      </c>
      <c r="N56" s="0" t="n">
        <v>5.24</v>
      </c>
      <c r="O56" s="0" t="n">
        <v>575</v>
      </c>
    </row>
    <row r="57" customFormat="false" ht="15" hidden="false" customHeight="false" outlineLevel="0" collapsed="false">
      <c r="A57" s="0" t="s">
        <v>650</v>
      </c>
      <c r="C57" s="0" t="n">
        <v>2020</v>
      </c>
      <c r="E57" s="0" t="n">
        <v>861.18</v>
      </c>
      <c r="F57" s="0" t="n">
        <v>251.77</v>
      </c>
      <c r="G57" s="0" t="n">
        <v>358.24</v>
      </c>
      <c r="H57" s="0" t="n">
        <v>49.21</v>
      </c>
      <c r="I57" s="0" t="n">
        <v>9.9</v>
      </c>
      <c r="J57" s="0" t="n">
        <v>148.36</v>
      </c>
      <c r="K57" s="0" t="n">
        <v>16.55</v>
      </c>
      <c r="L57" s="0" t="n">
        <v>19.13</v>
      </c>
      <c r="M57" s="0" t="n">
        <v>2.96</v>
      </c>
      <c r="N57" s="0" t="n">
        <v>5.06</v>
      </c>
      <c r="O57" s="0" t="n">
        <v>564.78</v>
      </c>
    </row>
    <row r="58" customFormat="false" ht="15" hidden="false" customHeight="false" outlineLevel="0" collapsed="false">
      <c r="A58" s="0" t="s">
        <v>650</v>
      </c>
      <c r="C58" s="0" t="n">
        <v>2021</v>
      </c>
      <c r="E58" s="0" t="n">
        <v>905.85</v>
      </c>
      <c r="F58" s="0" t="n">
        <v>248.74</v>
      </c>
      <c r="G58" s="0" t="n">
        <v>387.33</v>
      </c>
      <c r="H58" s="0" t="n">
        <v>50.73</v>
      </c>
      <c r="I58" s="0" t="n">
        <v>12.35</v>
      </c>
      <c r="J58" s="0" t="n">
        <v>155.55</v>
      </c>
      <c r="K58" s="0" t="n">
        <v>19.87</v>
      </c>
      <c r="L58" s="0" t="n">
        <v>23.2</v>
      </c>
      <c r="M58" s="0" t="n">
        <v>3.04</v>
      </c>
      <c r="N58" s="0" t="n">
        <v>5.04</v>
      </c>
      <c r="O58" s="0" t="n">
        <v>557.1</v>
      </c>
    </row>
    <row r="59" customFormat="false" ht="15" hidden="false" customHeight="false" outlineLevel="0" collapsed="false">
      <c r="A59" s="0" t="s">
        <v>650</v>
      </c>
      <c r="C59" s="0" t="n">
        <v>2022</v>
      </c>
      <c r="E59" s="0" t="n">
        <v>923.26</v>
      </c>
      <c r="F59" s="0" t="n">
        <v>241.11</v>
      </c>
      <c r="G59" s="0" t="n">
        <v>393.98</v>
      </c>
      <c r="H59" s="0" t="n">
        <v>57.02</v>
      </c>
      <c r="I59" s="0" t="n">
        <v>10.1</v>
      </c>
      <c r="J59" s="0" t="n">
        <v>163.33</v>
      </c>
      <c r="K59" s="0" t="n">
        <v>24.41</v>
      </c>
      <c r="L59" s="0" t="n">
        <v>24.7</v>
      </c>
      <c r="M59" s="0" t="n">
        <v>3.06</v>
      </c>
      <c r="N59" s="0" t="n">
        <v>5.55</v>
      </c>
      <c r="O59" s="0" t="n">
        <v>549.13</v>
      </c>
    </row>
    <row r="60" customFormat="false" ht="15" hidden="false" customHeight="false" outlineLevel="0" collapsed="false">
      <c r="A60" s="0" t="s">
        <v>650</v>
      </c>
      <c r="C60" s="0" t="n">
        <v>2023</v>
      </c>
      <c r="E60" s="0" t="n">
        <v>930.98</v>
      </c>
      <c r="F60" s="0" t="n">
        <v>231.63</v>
      </c>
      <c r="G60" s="0" t="n">
        <v>398.2</v>
      </c>
      <c r="H60" s="0" t="n">
        <v>64.89</v>
      </c>
      <c r="I60" s="0" t="n">
        <v>8.1</v>
      </c>
      <c r="J60" s="0" t="n">
        <v>160.49</v>
      </c>
      <c r="K60" s="0" t="n">
        <v>29.89</v>
      </c>
      <c r="L60" s="0" t="n">
        <v>27.77</v>
      </c>
      <c r="M60" s="0" t="n">
        <v>3.95</v>
      </c>
      <c r="N60" s="0" t="n">
        <v>6.06</v>
      </c>
      <c r="O60" s="0" t="n">
        <v>543.91</v>
      </c>
    </row>
    <row r="61" customFormat="false" ht="15" hidden="false" customHeight="false" outlineLevel="0" collapsed="false">
      <c r="A61" s="0" t="s">
        <v>650</v>
      </c>
      <c r="C61" s="0" t="n">
        <v>2024</v>
      </c>
      <c r="E61" s="0" t="n">
        <v>965.35</v>
      </c>
      <c r="F61" s="0" t="n">
        <v>245.61</v>
      </c>
      <c r="G61" s="0" t="n">
        <v>408.56</v>
      </c>
      <c r="H61" s="0" t="n">
        <v>63.53</v>
      </c>
      <c r="I61" s="0" t="n">
        <v>7.8</v>
      </c>
      <c r="J61" s="0" t="n">
        <v>165.61</v>
      </c>
      <c r="K61" s="0" t="n">
        <v>35.96</v>
      </c>
      <c r="L61" s="0" t="n">
        <v>28.33</v>
      </c>
      <c r="M61" s="0" t="n">
        <v>3.92</v>
      </c>
      <c r="N61" s="0" t="n">
        <v>6.03</v>
      </c>
      <c r="O61" s="0" t="n">
        <v>543.62</v>
      </c>
    </row>
    <row r="62" customFormat="false" ht="15" hidden="false" customHeight="false" outlineLevel="0" collapsed="false">
      <c r="A62" s="0" t="s">
        <v>650</v>
      </c>
      <c r="C62" s="0" t="n">
        <v>2025</v>
      </c>
      <c r="E62" s="0" t="n">
        <v>998.12</v>
      </c>
      <c r="F62" s="0" t="n">
        <v>237.57</v>
      </c>
      <c r="G62" s="0" t="n">
        <v>419.44</v>
      </c>
      <c r="H62" s="0" t="n">
        <v>69.29</v>
      </c>
      <c r="I62" s="0" t="n">
        <v>10.21</v>
      </c>
      <c r="J62" s="0" t="n">
        <v>179.08</v>
      </c>
      <c r="K62" s="0" t="n">
        <v>39.83</v>
      </c>
      <c r="L62" s="0" t="n">
        <v>32.3</v>
      </c>
      <c r="M62" s="0" t="n">
        <v>3.92</v>
      </c>
      <c r="N62" s="0" t="n">
        <v>6.48</v>
      </c>
      <c r="O62" s="0" t="n">
        <v>529.88</v>
      </c>
    </row>
    <row r="63" customFormat="false" ht="15" hidden="false" customHeight="false" outlineLevel="0" collapsed="false">
      <c r="A63" s="0" t="s">
        <v>651</v>
      </c>
      <c r="C63" s="0" t="n">
        <v>2015</v>
      </c>
    </row>
    <row r="64" customFormat="false" ht="15" hidden="false" customHeight="false" outlineLevel="0" collapsed="false">
      <c r="A64" s="0" t="s">
        <v>651</v>
      </c>
      <c r="C64" s="0" t="n">
        <v>2016</v>
      </c>
    </row>
    <row r="65" customFormat="false" ht="15" hidden="false" customHeight="false" outlineLevel="0" collapsed="false">
      <c r="A65" s="0" t="s">
        <v>182</v>
      </c>
      <c r="B65" s="0" t="s">
        <v>420</v>
      </c>
      <c r="C65" s="0" t="n">
        <v>2015</v>
      </c>
      <c r="D65" s="0" t="n">
        <v>2898634</v>
      </c>
      <c r="E65" s="0" t="n">
        <v>5.89</v>
      </c>
      <c r="F65" s="0" t="n">
        <v>0</v>
      </c>
      <c r="G65" s="0" t="n">
        <v>0</v>
      </c>
      <c r="H65" s="0" t="n">
        <v>0</v>
      </c>
      <c r="I65" s="0" t="n">
        <v>0</v>
      </c>
      <c r="J65" s="0" t="n">
        <v>5.89</v>
      </c>
      <c r="K65" s="0" t="n">
        <v>0</v>
      </c>
      <c r="L65" s="0" t="n">
        <v>0</v>
      </c>
      <c r="M65" s="0" t="n">
        <v>0</v>
      </c>
      <c r="N65" s="0" t="n">
        <v>0</v>
      </c>
      <c r="O65" s="0" t="n">
        <v>23.77</v>
      </c>
    </row>
    <row r="66" customFormat="false" ht="15" hidden="false" customHeight="false" outlineLevel="0" collapsed="false">
      <c r="A66" s="0" t="s">
        <v>182</v>
      </c>
      <c r="B66" s="0" t="s">
        <v>420</v>
      </c>
      <c r="C66" s="0" t="n">
        <v>2016</v>
      </c>
      <c r="D66" s="0" t="n">
        <v>2897868</v>
      </c>
      <c r="E66" s="0" t="n">
        <v>7.78</v>
      </c>
      <c r="F66" s="0" t="n">
        <v>0</v>
      </c>
      <c r="G66" s="0" t="n">
        <v>0</v>
      </c>
      <c r="H66" s="0" t="n">
        <v>0</v>
      </c>
      <c r="I66" s="0" t="n">
        <v>0</v>
      </c>
      <c r="J66" s="0" t="n">
        <v>7.78</v>
      </c>
      <c r="K66" s="0" t="n">
        <v>0</v>
      </c>
      <c r="L66" s="0" t="n">
        <v>0</v>
      </c>
      <c r="M66" s="0" t="n">
        <v>0</v>
      </c>
      <c r="N66" s="0" t="n">
        <v>0</v>
      </c>
      <c r="O66" s="0" t="n">
        <v>23.14</v>
      </c>
    </row>
    <row r="67" customFormat="false" ht="15" hidden="false" customHeight="false" outlineLevel="0" collapsed="false">
      <c r="A67" s="0" t="s">
        <v>182</v>
      </c>
      <c r="B67" s="0" t="s">
        <v>420</v>
      </c>
      <c r="C67" s="0" t="n">
        <v>2017</v>
      </c>
      <c r="D67" s="0" t="n">
        <v>2898245</v>
      </c>
      <c r="E67" s="0" t="n">
        <v>4.53</v>
      </c>
      <c r="F67" s="0" t="n">
        <v>0</v>
      </c>
      <c r="G67" s="0" t="n">
        <v>0</v>
      </c>
      <c r="H67" s="0" t="n">
        <v>0</v>
      </c>
      <c r="I67" s="0" t="n">
        <v>0</v>
      </c>
      <c r="J67" s="0" t="n">
        <v>4.53</v>
      </c>
      <c r="K67" s="0" t="n">
        <v>0</v>
      </c>
      <c r="L67" s="0" t="n">
        <v>0</v>
      </c>
      <c r="M67" s="0" t="n">
        <v>0</v>
      </c>
      <c r="N67" s="0" t="n">
        <v>0</v>
      </c>
      <c r="O67" s="0" t="n">
        <v>24.28</v>
      </c>
    </row>
    <row r="68" customFormat="false" ht="15" hidden="false" customHeight="false" outlineLevel="0" collapsed="false">
      <c r="A68" s="0" t="s">
        <v>182</v>
      </c>
      <c r="B68" s="0" t="s">
        <v>420</v>
      </c>
      <c r="C68" s="0" t="n">
        <v>2018</v>
      </c>
      <c r="D68" s="0" t="n">
        <v>2894229</v>
      </c>
      <c r="E68" s="0" t="n">
        <v>8.55</v>
      </c>
      <c r="F68" s="0" t="n">
        <v>0</v>
      </c>
      <c r="G68" s="0" t="n">
        <v>0</v>
      </c>
      <c r="H68" s="0" t="n">
        <v>0</v>
      </c>
      <c r="I68" s="0" t="n">
        <v>0</v>
      </c>
      <c r="J68" s="0" t="n">
        <v>8.55</v>
      </c>
      <c r="K68" s="0" t="n">
        <v>0</v>
      </c>
      <c r="L68" s="0" t="n">
        <v>0</v>
      </c>
      <c r="M68" s="0" t="n">
        <v>0</v>
      </c>
      <c r="N68" s="0" t="n">
        <v>0</v>
      </c>
      <c r="O68" s="0" t="n">
        <v>23.39</v>
      </c>
    </row>
    <row r="69" customFormat="false" ht="15" hidden="false" customHeight="false" outlineLevel="0" collapsed="false">
      <c r="A69" s="0" t="s">
        <v>182</v>
      </c>
      <c r="B69" s="0" t="s">
        <v>420</v>
      </c>
      <c r="C69" s="0" t="n">
        <v>2019</v>
      </c>
      <c r="D69" s="0" t="n">
        <v>2885011</v>
      </c>
      <c r="E69" s="0" t="n">
        <v>5.2</v>
      </c>
      <c r="F69" s="0" t="n">
        <v>0</v>
      </c>
      <c r="G69" s="0" t="n">
        <v>0</v>
      </c>
      <c r="H69" s="0" t="n">
        <v>0</v>
      </c>
      <c r="I69" s="0" t="n">
        <v>0</v>
      </c>
      <c r="J69" s="0" t="n">
        <v>5.18</v>
      </c>
      <c r="K69" s="0" t="n">
        <v>0.02</v>
      </c>
      <c r="L69" s="0" t="n">
        <v>0</v>
      </c>
      <c r="M69" s="0" t="n">
        <v>0</v>
      </c>
      <c r="N69" s="0" t="n">
        <v>0</v>
      </c>
      <c r="O69" s="0" t="n">
        <v>23.08</v>
      </c>
    </row>
    <row r="70" customFormat="false" ht="15" hidden="false" customHeight="false" outlineLevel="0" collapsed="false">
      <c r="A70" s="0" t="s">
        <v>182</v>
      </c>
      <c r="B70" s="0" t="s">
        <v>420</v>
      </c>
      <c r="C70" s="0" t="n">
        <v>2020</v>
      </c>
      <c r="D70" s="0" t="n">
        <v>2871950</v>
      </c>
      <c r="E70" s="0" t="n">
        <v>5.31</v>
      </c>
      <c r="F70" s="0" t="n">
        <v>0</v>
      </c>
      <c r="G70" s="0" t="n">
        <v>0</v>
      </c>
      <c r="H70" s="0" t="n">
        <v>0</v>
      </c>
      <c r="I70" s="0" t="n">
        <v>0</v>
      </c>
      <c r="J70" s="0" t="n">
        <v>5.28</v>
      </c>
      <c r="K70" s="0" t="n">
        <v>0.03</v>
      </c>
      <c r="L70" s="0" t="n">
        <v>0</v>
      </c>
      <c r="M70" s="0" t="n">
        <v>0</v>
      </c>
      <c r="N70" s="0" t="n">
        <v>0</v>
      </c>
      <c r="O70" s="0" t="n">
        <v>24.48</v>
      </c>
    </row>
    <row r="71" customFormat="false" ht="15" hidden="false" customHeight="false" outlineLevel="0" collapsed="false">
      <c r="A71" s="0" t="s">
        <v>182</v>
      </c>
      <c r="B71" s="0" t="s">
        <v>420</v>
      </c>
      <c r="C71" s="0" t="n">
        <v>2021</v>
      </c>
      <c r="D71" s="0" t="n">
        <v>2849641</v>
      </c>
      <c r="E71" s="0" t="n">
        <v>8.94</v>
      </c>
      <c r="F71" s="0" t="n">
        <v>0</v>
      </c>
      <c r="G71" s="0" t="n">
        <v>0</v>
      </c>
      <c r="H71" s="0" t="n">
        <v>0</v>
      </c>
      <c r="I71" s="0" t="n">
        <v>0</v>
      </c>
      <c r="J71" s="0" t="n">
        <v>8.9</v>
      </c>
      <c r="K71" s="0" t="n">
        <v>0.04</v>
      </c>
      <c r="L71" s="0" t="n">
        <v>0</v>
      </c>
      <c r="M71" s="0" t="n">
        <v>0</v>
      </c>
      <c r="N71" s="0" t="n">
        <v>0</v>
      </c>
      <c r="O71" s="0" t="n">
        <v>23.49</v>
      </c>
    </row>
    <row r="72" customFormat="false" ht="15" hidden="false" customHeight="false" outlineLevel="0" collapsed="false">
      <c r="A72" s="0" t="s">
        <v>182</v>
      </c>
      <c r="B72" s="0" t="s">
        <v>420</v>
      </c>
      <c r="C72" s="0" t="n">
        <v>2022</v>
      </c>
      <c r="D72" s="0" t="n">
        <v>2827614</v>
      </c>
      <c r="E72" s="0" t="n">
        <v>6.97</v>
      </c>
      <c r="F72" s="0" t="n">
        <v>0</v>
      </c>
      <c r="G72" s="0" t="n">
        <v>0</v>
      </c>
      <c r="H72" s="0" t="n">
        <v>0</v>
      </c>
      <c r="I72" s="0" t="n">
        <v>0</v>
      </c>
      <c r="J72" s="0" t="n">
        <v>6.81</v>
      </c>
      <c r="K72" s="0" t="n">
        <v>0.16</v>
      </c>
      <c r="L72" s="0" t="n">
        <v>0</v>
      </c>
      <c r="M72" s="0" t="n">
        <v>0</v>
      </c>
      <c r="N72" s="0" t="n">
        <v>0</v>
      </c>
      <c r="O72" s="0" t="n">
        <v>24.39</v>
      </c>
    </row>
    <row r="73" customFormat="false" ht="15" hidden="false" customHeight="false" outlineLevel="0" collapsed="false">
      <c r="A73" s="0" t="s">
        <v>182</v>
      </c>
      <c r="B73" s="0" t="s">
        <v>420</v>
      </c>
      <c r="C73" s="0" t="n">
        <v>2023</v>
      </c>
      <c r="D73" s="0" t="n">
        <v>2811660</v>
      </c>
      <c r="E73" s="0" t="n">
        <v>9.01</v>
      </c>
      <c r="F73" s="0" t="n">
        <v>0</v>
      </c>
      <c r="G73" s="0" t="n">
        <v>0</v>
      </c>
      <c r="H73" s="0" t="n">
        <v>0</v>
      </c>
      <c r="I73" s="0" t="n">
        <v>0</v>
      </c>
      <c r="J73" s="0" t="n">
        <v>8.71</v>
      </c>
      <c r="K73" s="0" t="n">
        <v>0.3</v>
      </c>
      <c r="L73" s="0" t="n">
        <v>0</v>
      </c>
      <c r="M73" s="0" t="n">
        <v>0</v>
      </c>
      <c r="N73" s="0" t="n">
        <v>0</v>
      </c>
      <c r="O73" s="0" t="n">
        <v>24.42</v>
      </c>
    </row>
    <row r="74" customFormat="false" ht="15" hidden="false" customHeight="false" outlineLevel="0" collapsed="false">
      <c r="A74" s="0" t="s">
        <v>182</v>
      </c>
      <c r="B74" s="0" t="s">
        <v>420</v>
      </c>
      <c r="C74" s="0" t="n">
        <v>2024</v>
      </c>
      <c r="D74" s="0" t="n">
        <v>2791756</v>
      </c>
      <c r="E74" s="0" t="n">
        <v>8.34</v>
      </c>
      <c r="F74" s="0" t="n">
        <v>0</v>
      </c>
      <c r="G74" s="0" t="n">
        <v>0</v>
      </c>
      <c r="H74" s="0" t="n">
        <v>0</v>
      </c>
      <c r="I74" s="0" t="n">
        <v>0</v>
      </c>
      <c r="J74" s="0" t="n">
        <v>8</v>
      </c>
      <c r="K74" s="0" t="n">
        <v>0.34</v>
      </c>
      <c r="L74" s="0" t="n">
        <v>0</v>
      </c>
      <c r="M74" s="0" t="n">
        <v>0</v>
      </c>
      <c r="N74" s="0" t="n">
        <v>0</v>
      </c>
      <c r="O74" s="0" t="n">
        <v>25.18</v>
      </c>
    </row>
    <row r="75" customFormat="false" ht="15" hidden="false" customHeight="false" outlineLevel="0" collapsed="false">
      <c r="A75" s="0" t="s">
        <v>183</v>
      </c>
      <c r="B75" s="0" t="s">
        <v>421</v>
      </c>
      <c r="C75" s="0" t="n">
        <v>2015</v>
      </c>
      <c r="D75" s="0" t="n">
        <v>40019528</v>
      </c>
      <c r="E75" s="0" t="n">
        <v>68.84</v>
      </c>
      <c r="F75" s="0" t="n">
        <v>0</v>
      </c>
      <c r="G75" s="0" t="n">
        <v>67.67</v>
      </c>
      <c r="H75" s="0" t="n">
        <v>0.95</v>
      </c>
      <c r="I75" s="0" t="n">
        <v>0</v>
      </c>
      <c r="J75" s="0" t="n">
        <v>0.14</v>
      </c>
      <c r="K75" s="0" t="n">
        <v>0.06</v>
      </c>
      <c r="L75" s="0" t="n">
        <v>0.02</v>
      </c>
      <c r="M75" s="0" t="n">
        <v>0</v>
      </c>
      <c r="N75" s="0" t="n">
        <v>0</v>
      </c>
      <c r="O75" s="0" t="n">
        <v>637.42</v>
      </c>
    </row>
    <row r="76" customFormat="false" ht="15" hidden="false" customHeight="false" outlineLevel="0" collapsed="false">
      <c r="A76" s="0" t="s">
        <v>183</v>
      </c>
      <c r="B76" s="0" t="s">
        <v>421</v>
      </c>
      <c r="C76" s="0" t="n">
        <v>2016</v>
      </c>
      <c r="D76" s="0" t="n">
        <v>40850719</v>
      </c>
      <c r="E76" s="0" t="n">
        <v>71.04</v>
      </c>
      <c r="F76" s="0" t="n">
        <v>0</v>
      </c>
      <c r="G76" s="0" t="n">
        <v>69.69</v>
      </c>
      <c r="H76" s="0" t="n">
        <v>1.01</v>
      </c>
      <c r="I76" s="0" t="n">
        <v>0</v>
      </c>
      <c r="J76" s="0" t="n">
        <v>0.22</v>
      </c>
      <c r="K76" s="0" t="n">
        <v>0.09</v>
      </c>
      <c r="L76" s="0" t="n">
        <v>0.03</v>
      </c>
      <c r="M76" s="0" t="n">
        <v>0</v>
      </c>
      <c r="N76" s="0" t="n">
        <v>0</v>
      </c>
      <c r="O76" s="0" t="n">
        <v>636.4</v>
      </c>
    </row>
    <row r="77" customFormat="false" ht="15" hidden="false" customHeight="false" outlineLevel="0" collapsed="false">
      <c r="A77" s="0" t="s">
        <v>183</v>
      </c>
      <c r="B77" s="0" t="s">
        <v>421</v>
      </c>
      <c r="C77" s="0" t="n">
        <v>2017</v>
      </c>
      <c r="D77" s="0" t="n">
        <v>41689302</v>
      </c>
      <c r="E77" s="0" t="n">
        <v>76.07</v>
      </c>
      <c r="F77" s="0" t="n">
        <v>0</v>
      </c>
      <c r="G77" s="0" t="n">
        <v>75.06</v>
      </c>
      <c r="H77" s="0" t="n">
        <v>0.37</v>
      </c>
      <c r="I77" s="0" t="n">
        <v>0</v>
      </c>
      <c r="J77" s="0" t="n">
        <v>0.06</v>
      </c>
      <c r="K77" s="0" t="n">
        <v>0.57</v>
      </c>
      <c r="L77" s="0" t="n">
        <v>0.01</v>
      </c>
      <c r="M77" s="0" t="n">
        <v>0</v>
      </c>
      <c r="N77" s="0" t="n">
        <v>0</v>
      </c>
      <c r="O77" s="0" t="n">
        <v>634.15</v>
      </c>
    </row>
    <row r="78" customFormat="false" ht="15" hidden="false" customHeight="false" outlineLevel="0" collapsed="false">
      <c r="A78" s="0" t="s">
        <v>183</v>
      </c>
      <c r="B78" s="0" t="s">
        <v>421</v>
      </c>
      <c r="C78" s="0" t="n">
        <v>2018</v>
      </c>
      <c r="D78" s="0" t="n">
        <v>42505033</v>
      </c>
      <c r="E78" s="0" t="n">
        <v>76.75</v>
      </c>
      <c r="F78" s="0" t="n">
        <v>0</v>
      </c>
      <c r="G78" s="0" t="n">
        <v>75.5</v>
      </c>
      <c r="H78" s="0" t="n">
        <v>0.43</v>
      </c>
      <c r="I78" s="0" t="n">
        <v>0</v>
      </c>
      <c r="J78" s="0" t="n">
        <v>0.12</v>
      </c>
      <c r="K78" s="0" t="n">
        <v>0.69</v>
      </c>
      <c r="L78" s="0" t="n">
        <v>0.01</v>
      </c>
      <c r="M78" s="0" t="n">
        <v>0</v>
      </c>
      <c r="N78" s="0" t="n">
        <v>0</v>
      </c>
      <c r="O78" s="0" t="n">
        <v>632.7</v>
      </c>
    </row>
    <row r="79" customFormat="false" ht="15" hidden="false" customHeight="false" outlineLevel="0" collapsed="false">
      <c r="A79" s="0" t="s">
        <v>183</v>
      </c>
      <c r="B79" s="0" t="s">
        <v>421</v>
      </c>
      <c r="C79" s="0" t="n">
        <v>2019</v>
      </c>
      <c r="D79" s="0" t="n">
        <v>43294551</v>
      </c>
      <c r="E79" s="0" t="n">
        <v>81.61</v>
      </c>
      <c r="F79" s="0" t="n">
        <v>0</v>
      </c>
      <c r="G79" s="0" t="n">
        <v>80.36</v>
      </c>
      <c r="H79" s="0" t="n">
        <v>0.38</v>
      </c>
      <c r="I79" s="0" t="n">
        <v>0</v>
      </c>
      <c r="J79" s="0" t="n">
        <v>0.15</v>
      </c>
      <c r="K79" s="0" t="n">
        <v>0.71</v>
      </c>
      <c r="L79" s="0" t="n">
        <v>0.01</v>
      </c>
      <c r="M79" s="0" t="n">
        <v>0</v>
      </c>
      <c r="N79" s="0" t="n">
        <v>0</v>
      </c>
      <c r="O79" s="0" t="n">
        <v>632.77</v>
      </c>
    </row>
    <row r="80" customFormat="false" ht="15" hidden="false" customHeight="false" outlineLevel="0" collapsed="false">
      <c r="A80" s="0" t="s">
        <v>183</v>
      </c>
      <c r="B80" s="0" t="s">
        <v>421</v>
      </c>
      <c r="C80" s="0" t="n">
        <v>2020</v>
      </c>
      <c r="D80" s="0" t="n">
        <v>44042094</v>
      </c>
      <c r="E80" s="0" t="n">
        <v>79.37</v>
      </c>
      <c r="F80" s="0" t="n">
        <v>0</v>
      </c>
      <c r="G80" s="0" t="n">
        <v>78.13</v>
      </c>
      <c r="H80" s="0" t="n">
        <v>0.36</v>
      </c>
      <c r="I80" s="0" t="n">
        <v>0</v>
      </c>
      <c r="J80" s="0" t="n">
        <v>0.05</v>
      </c>
      <c r="K80" s="0" t="n">
        <v>0.82</v>
      </c>
      <c r="L80" s="0" t="n">
        <v>0.01</v>
      </c>
      <c r="M80" s="0" t="n">
        <v>0</v>
      </c>
      <c r="N80" s="0" t="n">
        <v>0</v>
      </c>
      <c r="O80" s="0" t="n">
        <v>632.61</v>
      </c>
    </row>
    <row r="81" customFormat="false" ht="15" hidden="false" customHeight="false" outlineLevel="0" collapsed="false">
      <c r="A81" s="0" t="s">
        <v>183</v>
      </c>
      <c r="B81" s="0" t="s">
        <v>421</v>
      </c>
      <c r="C81" s="0" t="n">
        <v>2021</v>
      </c>
      <c r="D81" s="0" t="n">
        <v>44761099</v>
      </c>
      <c r="E81" s="0" t="n">
        <v>85.6</v>
      </c>
      <c r="F81" s="0" t="n">
        <v>0</v>
      </c>
      <c r="G81" s="0" t="n">
        <v>84.42</v>
      </c>
      <c r="H81" s="0" t="n">
        <v>0.37</v>
      </c>
      <c r="I81" s="0" t="n">
        <v>0</v>
      </c>
      <c r="J81" s="0" t="n">
        <v>0.01</v>
      </c>
      <c r="K81" s="0" t="n">
        <v>0.79</v>
      </c>
      <c r="L81" s="0" t="n">
        <v>0.01</v>
      </c>
      <c r="M81" s="0" t="n">
        <v>0</v>
      </c>
      <c r="N81" s="0" t="n">
        <v>0</v>
      </c>
      <c r="O81" s="0" t="n">
        <v>633.53</v>
      </c>
    </row>
    <row r="82" customFormat="false" ht="15" hidden="false" customHeight="false" outlineLevel="0" collapsed="false">
      <c r="A82" s="0" t="s">
        <v>183</v>
      </c>
      <c r="B82" s="0" t="s">
        <v>421</v>
      </c>
      <c r="C82" s="0" t="n">
        <v>2022</v>
      </c>
      <c r="D82" s="0" t="n">
        <v>45477391</v>
      </c>
      <c r="E82" s="0" t="n">
        <v>91.47</v>
      </c>
      <c r="F82" s="0" t="n">
        <v>0</v>
      </c>
      <c r="G82" s="0" t="n">
        <v>90.22</v>
      </c>
      <c r="H82" s="0" t="n">
        <v>0.39</v>
      </c>
      <c r="I82" s="0" t="n">
        <v>0</v>
      </c>
      <c r="J82" s="0" t="n">
        <v>0.02</v>
      </c>
      <c r="K82" s="0" t="n">
        <v>0.83</v>
      </c>
      <c r="L82" s="0" t="n">
        <v>0.01</v>
      </c>
      <c r="M82" s="0" t="n">
        <v>0</v>
      </c>
      <c r="N82" s="0" t="n">
        <v>0</v>
      </c>
      <c r="O82" s="0" t="n">
        <v>633.65</v>
      </c>
    </row>
    <row r="83" customFormat="false" ht="15" hidden="false" customHeight="false" outlineLevel="0" collapsed="false">
      <c r="A83" s="0" t="s">
        <v>183</v>
      </c>
      <c r="B83" s="0" t="s">
        <v>421</v>
      </c>
      <c r="C83" s="0" t="n">
        <v>2023</v>
      </c>
      <c r="D83" s="0" t="n">
        <v>46164222</v>
      </c>
      <c r="E83" s="0" t="n">
        <v>95.88</v>
      </c>
      <c r="F83" s="0" t="n">
        <v>0</v>
      </c>
      <c r="G83" s="0" t="n">
        <v>94.64</v>
      </c>
      <c r="H83" s="0" t="n">
        <v>0.33</v>
      </c>
      <c r="I83" s="0" t="n">
        <v>0</v>
      </c>
      <c r="J83" s="0" t="n">
        <v>0.02</v>
      </c>
      <c r="K83" s="0" t="n">
        <v>0.87</v>
      </c>
      <c r="L83" s="0" t="n">
        <v>0.02</v>
      </c>
      <c r="M83" s="0" t="n">
        <v>0</v>
      </c>
      <c r="N83" s="0" t="n">
        <v>0</v>
      </c>
      <c r="O83" s="0" t="n">
        <v>633.61</v>
      </c>
    </row>
    <row r="84" customFormat="false" ht="15" hidden="false" customHeight="false" outlineLevel="0" collapsed="false">
      <c r="A84" s="0" t="s">
        <v>183</v>
      </c>
      <c r="B84" s="0" t="s">
        <v>421</v>
      </c>
      <c r="C84" s="0" t="n">
        <v>2024</v>
      </c>
      <c r="D84" s="0" t="n">
        <v>46814302</v>
      </c>
      <c r="E84" s="0" t="n">
        <v>96.36</v>
      </c>
      <c r="F84" s="0" t="n">
        <v>0</v>
      </c>
      <c r="G84" s="0" t="n">
        <v>95</v>
      </c>
      <c r="H84" s="0" t="n">
        <v>0.33</v>
      </c>
      <c r="I84" s="0" t="n">
        <v>0</v>
      </c>
      <c r="J84" s="0" t="n">
        <v>0.02</v>
      </c>
      <c r="K84" s="0" t="n">
        <v>0.99</v>
      </c>
      <c r="L84" s="0" t="n">
        <v>0.02</v>
      </c>
      <c r="M84" s="0" t="n">
        <v>0</v>
      </c>
      <c r="N84" s="0" t="n">
        <v>0</v>
      </c>
      <c r="O84" s="0" t="n">
        <v>632.94</v>
      </c>
    </row>
    <row r="85" customFormat="false" ht="15" hidden="false" customHeight="false" outlineLevel="0" collapsed="false">
      <c r="A85" s="0" t="s">
        <v>184</v>
      </c>
      <c r="B85" s="0" t="s">
        <v>422</v>
      </c>
      <c r="C85" s="0" t="n">
        <v>2015</v>
      </c>
      <c r="D85" s="0" t="n">
        <v>52896</v>
      </c>
      <c r="E85" s="0" t="n">
        <v>0.16</v>
      </c>
      <c r="F85" s="0" t="n">
        <v>0</v>
      </c>
      <c r="G85" s="0" t="n">
        <v>0</v>
      </c>
      <c r="H85" s="0" t="n">
        <v>0.16</v>
      </c>
      <c r="I85" s="0" t="n">
        <v>0</v>
      </c>
      <c r="J85" s="0" t="n">
        <v>0</v>
      </c>
      <c r="K85" s="0" t="n">
        <v>0</v>
      </c>
      <c r="L85" s="0" t="n">
        <v>0</v>
      </c>
      <c r="M85" s="0" t="n">
        <v>0</v>
      </c>
      <c r="N85" s="0" t="n">
        <v>0</v>
      </c>
      <c r="O85" s="0" t="n">
        <v>687.5</v>
      </c>
    </row>
    <row r="86" customFormat="false" ht="15" hidden="false" customHeight="false" outlineLevel="0" collapsed="false">
      <c r="A86" s="0" t="s">
        <v>184</v>
      </c>
      <c r="B86" s="0" t="s">
        <v>422</v>
      </c>
      <c r="C86" s="0" t="n">
        <v>2016</v>
      </c>
      <c r="D86" s="0" t="n">
        <v>52260</v>
      </c>
      <c r="E86" s="0" t="n">
        <v>0.17</v>
      </c>
      <c r="F86" s="0" t="n">
        <v>0</v>
      </c>
      <c r="G86" s="0" t="n">
        <v>0</v>
      </c>
      <c r="H86" s="0" t="n">
        <v>0.17</v>
      </c>
      <c r="I86" s="0" t="n">
        <v>0</v>
      </c>
      <c r="J86" s="0" t="n">
        <v>0</v>
      </c>
      <c r="K86" s="0" t="n">
        <v>0</v>
      </c>
      <c r="L86" s="0" t="n">
        <v>0</v>
      </c>
      <c r="M86" s="0" t="n">
        <v>0</v>
      </c>
      <c r="N86" s="0" t="n">
        <v>0</v>
      </c>
      <c r="O86" s="0" t="n">
        <v>647.06</v>
      </c>
    </row>
    <row r="87" customFormat="false" ht="15" hidden="false" customHeight="false" outlineLevel="0" collapsed="false">
      <c r="A87" s="0" t="s">
        <v>184</v>
      </c>
      <c r="B87" s="0" t="s">
        <v>422</v>
      </c>
      <c r="C87" s="0" t="n">
        <v>2017</v>
      </c>
      <c r="D87" s="0" t="n">
        <v>51605</v>
      </c>
      <c r="E87" s="0" t="n">
        <v>0.16</v>
      </c>
      <c r="F87" s="0" t="n">
        <v>0</v>
      </c>
      <c r="G87" s="0" t="n">
        <v>0</v>
      </c>
      <c r="H87" s="0" t="n">
        <v>0.16</v>
      </c>
      <c r="I87" s="0" t="n">
        <v>0</v>
      </c>
      <c r="J87" s="0" t="n">
        <v>0</v>
      </c>
      <c r="K87" s="0" t="n">
        <v>0</v>
      </c>
      <c r="L87" s="0" t="n">
        <v>0</v>
      </c>
      <c r="M87" s="0" t="n">
        <v>0</v>
      </c>
      <c r="N87" s="0" t="n">
        <v>0</v>
      </c>
      <c r="O87" s="0" t="n">
        <v>687.5</v>
      </c>
    </row>
    <row r="88" customFormat="false" ht="15" hidden="false" customHeight="false" outlineLevel="0" collapsed="false">
      <c r="A88" s="0" t="s">
        <v>184</v>
      </c>
      <c r="B88" s="0" t="s">
        <v>422</v>
      </c>
      <c r="C88" s="0" t="n">
        <v>2018</v>
      </c>
      <c r="D88" s="0" t="n">
        <v>50927</v>
      </c>
      <c r="E88" s="0" t="n">
        <v>0.16</v>
      </c>
      <c r="F88" s="0" t="n">
        <v>0</v>
      </c>
      <c r="G88" s="0" t="n">
        <v>0</v>
      </c>
      <c r="H88" s="0" t="n">
        <v>0.16</v>
      </c>
      <c r="I88" s="0" t="n">
        <v>0</v>
      </c>
      <c r="J88" s="0" t="n">
        <v>0</v>
      </c>
      <c r="K88" s="0" t="n">
        <v>0</v>
      </c>
      <c r="L88" s="0" t="n">
        <v>0</v>
      </c>
      <c r="M88" s="0" t="n">
        <v>0</v>
      </c>
      <c r="N88" s="0" t="n">
        <v>0</v>
      </c>
      <c r="O88" s="0" t="n">
        <v>687.5</v>
      </c>
    </row>
    <row r="89" customFormat="false" ht="15" hidden="false" customHeight="false" outlineLevel="0" collapsed="false">
      <c r="A89" s="0" t="s">
        <v>184</v>
      </c>
      <c r="B89" s="0" t="s">
        <v>422</v>
      </c>
      <c r="C89" s="0" t="n">
        <v>2019</v>
      </c>
      <c r="D89" s="0" t="n">
        <v>50230</v>
      </c>
      <c r="E89" s="0" t="n">
        <v>0.16</v>
      </c>
      <c r="F89" s="0" t="n">
        <v>0</v>
      </c>
      <c r="G89" s="0" t="n">
        <v>0</v>
      </c>
      <c r="H89" s="0" t="n">
        <v>0.16</v>
      </c>
      <c r="I89" s="0" t="n">
        <v>0</v>
      </c>
      <c r="J89" s="0" t="n">
        <v>0</v>
      </c>
      <c r="K89" s="0" t="n">
        <v>0</v>
      </c>
      <c r="L89" s="0" t="n">
        <v>0</v>
      </c>
      <c r="M89" s="0" t="n">
        <v>0</v>
      </c>
      <c r="N89" s="0" t="n">
        <v>0</v>
      </c>
      <c r="O89" s="0" t="n">
        <v>687.5</v>
      </c>
    </row>
    <row r="90" customFormat="false" ht="15" hidden="false" customHeight="false" outlineLevel="0" collapsed="false">
      <c r="A90" s="0" t="s">
        <v>184</v>
      </c>
      <c r="B90" s="0" t="s">
        <v>422</v>
      </c>
      <c r="C90" s="0" t="n">
        <v>2020</v>
      </c>
      <c r="D90" s="0" t="n">
        <v>49779</v>
      </c>
      <c r="E90" s="0" t="n">
        <v>0.17</v>
      </c>
      <c r="F90" s="0" t="n">
        <v>0</v>
      </c>
      <c r="G90" s="0" t="n">
        <v>0</v>
      </c>
      <c r="H90" s="0" t="n">
        <v>0.17</v>
      </c>
      <c r="I90" s="0" t="n">
        <v>0</v>
      </c>
      <c r="J90" s="0" t="n">
        <v>0</v>
      </c>
      <c r="K90" s="0" t="n">
        <v>0</v>
      </c>
      <c r="L90" s="0" t="n">
        <v>0</v>
      </c>
      <c r="M90" s="0" t="n">
        <v>0</v>
      </c>
      <c r="N90" s="0" t="n">
        <v>0</v>
      </c>
      <c r="O90" s="0" t="n">
        <v>647.06</v>
      </c>
    </row>
    <row r="91" customFormat="false" ht="15" hidden="false" customHeight="false" outlineLevel="0" collapsed="false">
      <c r="A91" s="0" t="s">
        <v>184</v>
      </c>
      <c r="B91" s="0" t="s">
        <v>422</v>
      </c>
      <c r="C91" s="0" t="n">
        <v>2021</v>
      </c>
      <c r="D91" s="0" t="n">
        <v>49249</v>
      </c>
      <c r="E91" s="0" t="n">
        <v>0.17</v>
      </c>
      <c r="F91" s="0" t="n">
        <v>0</v>
      </c>
      <c r="G91" s="0" t="n">
        <v>0</v>
      </c>
      <c r="H91" s="0" t="n">
        <v>0.17</v>
      </c>
      <c r="I91" s="0" t="n">
        <v>0</v>
      </c>
      <c r="J91" s="0" t="n">
        <v>0</v>
      </c>
      <c r="K91" s="0" t="n">
        <v>0</v>
      </c>
      <c r="L91" s="0" t="n">
        <v>0</v>
      </c>
      <c r="M91" s="0" t="n">
        <v>0</v>
      </c>
      <c r="N91" s="0" t="n">
        <v>0</v>
      </c>
      <c r="O91" s="0" t="n">
        <v>647.06</v>
      </c>
    </row>
    <row r="92" customFormat="false" ht="15" hidden="false" customHeight="false" outlineLevel="0" collapsed="false">
      <c r="A92" s="0" t="s">
        <v>184</v>
      </c>
      <c r="B92" s="0" t="s">
        <v>422</v>
      </c>
      <c r="C92" s="0" t="n">
        <v>2022</v>
      </c>
      <c r="D92" s="0" t="n">
        <v>48365</v>
      </c>
      <c r="E92" s="0" t="n">
        <v>0.18</v>
      </c>
      <c r="F92" s="0" t="n">
        <v>0</v>
      </c>
      <c r="G92" s="0" t="n">
        <v>0</v>
      </c>
      <c r="H92" s="0" t="n">
        <v>0.17</v>
      </c>
      <c r="I92" s="0" t="n">
        <v>0</v>
      </c>
      <c r="J92" s="0" t="n">
        <v>0</v>
      </c>
      <c r="K92" s="0" t="n">
        <v>0.01</v>
      </c>
      <c r="L92" s="0" t="n">
        <v>0</v>
      </c>
      <c r="M92" s="0" t="n">
        <v>0</v>
      </c>
      <c r="N92" s="0" t="n">
        <v>0</v>
      </c>
      <c r="O92" s="0" t="n">
        <v>611.11</v>
      </c>
    </row>
    <row r="93" customFormat="false" ht="15" hidden="false" customHeight="false" outlineLevel="0" collapsed="false">
      <c r="A93" s="0" t="s">
        <v>184</v>
      </c>
      <c r="B93" s="0" t="s">
        <v>422</v>
      </c>
      <c r="C93" s="0" t="n">
        <v>2023</v>
      </c>
      <c r="D93" s="0" t="n">
        <v>47544</v>
      </c>
      <c r="E93" s="0" t="n">
        <v>0.17</v>
      </c>
      <c r="F93" s="0" t="n">
        <v>0</v>
      </c>
      <c r="G93" s="0" t="n">
        <v>0</v>
      </c>
      <c r="H93" s="0" t="n">
        <v>0.17</v>
      </c>
      <c r="I93" s="0" t="n">
        <v>0</v>
      </c>
      <c r="J93" s="0" t="n">
        <v>0</v>
      </c>
      <c r="K93" s="0" t="n">
        <v>0</v>
      </c>
      <c r="L93" s="0" t="n">
        <v>0</v>
      </c>
      <c r="M93" s="0" t="n">
        <v>0</v>
      </c>
      <c r="N93" s="0" t="n">
        <v>0</v>
      </c>
      <c r="O93" s="0" t="n">
        <v>647.06</v>
      </c>
    </row>
    <row r="94" customFormat="false" ht="15" hidden="false" customHeight="false" outlineLevel="0" collapsed="false">
      <c r="A94" s="0" t="s">
        <v>184</v>
      </c>
      <c r="B94" s="0" t="s">
        <v>422</v>
      </c>
      <c r="C94" s="0" t="n">
        <v>2024</v>
      </c>
      <c r="D94" s="0" t="n">
        <v>46792</v>
      </c>
      <c r="E94" s="0" t="n">
        <v>0.18</v>
      </c>
      <c r="F94" s="0" t="n">
        <v>0</v>
      </c>
      <c r="G94" s="0" t="n">
        <v>0</v>
      </c>
      <c r="H94" s="0" t="n">
        <v>0.17</v>
      </c>
      <c r="I94" s="0" t="n">
        <v>0</v>
      </c>
      <c r="J94" s="0" t="n">
        <v>0</v>
      </c>
      <c r="K94" s="0" t="n">
        <v>0.01</v>
      </c>
      <c r="L94" s="0" t="n">
        <v>0</v>
      </c>
      <c r="M94" s="0" t="n">
        <v>0</v>
      </c>
      <c r="N94" s="0" t="n">
        <v>0</v>
      </c>
      <c r="O94" s="0" t="n">
        <v>611.11</v>
      </c>
    </row>
    <row r="95" customFormat="false" ht="15" hidden="false" customHeight="false" outlineLevel="0" collapsed="false">
      <c r="A95" s="0" t="s">
        <v>185</v>
      </c>
      <c r="B95" s="0" t="s">
        <v>423</v>
      </c>
      <c r="C95" s="0" t="n">
        <v>2015</v>
      </c>
      <c r="D95" s="0" t="n">
        <v>28157802</v>
      </c>
      <c r="E95" s="0" t="n">
        <v>9.78</v>
      </c>
      <c r="F95" s="0" t="n">
        <v>0</v>
      </c>
      <c r="G95" s="0" t="n">
        <v>0</v>
      </c>
      <c r="H95" s="0" t="n">
        <v>4.44</v>
      </c>
      <c r="I95" s="0" t="n">
        <v>0</v>
      </c>
      <c r="J95" s="0" t="n">
        <v>5.28</v>
      </c>
      <c r="K95" s="0" t="n">
        <v>0.02</v>
      </c>
      <c r="L95" s="0" t="n">
        <v>0</v>
      </c>
      <c r="M95" s="0" t="n">
        <v>0.04</v>
      </c>
      <c r="N95" s="0" t="n">
        <v>0</v>
      </c>
      <c r="O95" s="0" t="n">
        <v>312.88</v>
      </c>
    </row>
    <row r="96" customFormat="false" ht="15" hidden="false" customHeight="false" outlineLevel="0" collapsed="false">
      <c r="A96" s="0" t="s">
        <v>185</v>
      </c>
      <c r="B96" s="0" t="s">
        <v>423</v>
      </c>
      <c r="C96" s="0" t="n">
        <v>2016</v>
      </c>
      <c r="D96" s="0" t="n">
        <v>29183072</v>
      </c>
      <c r="E96" s="0" t="n">
        <v>10.98</v>
      </c>
      <c r="F96" s="0" t="n">
        <v>0</v>
      </c>
      <c r="G96" s="0" t="n">
        <v>0</v>
      </c>
      <c r="H96" s="0" t="n">
        <v>4.55</v>
      </c>
      <c r="I96" s="0" t="n">
        <v>0</v>
      </c>
      <c r="J96" s="0" t="n">
        <v>6.36</v>
      </c>
      <c r="K96" s="0" t="n">
        <v>0.02</v>
      </c>
      <c r="L96" s="0" t="n">
        <v>0</v>
      </c>
      <c r="M96" s="0" t="n">
        <v>0.05</v>
      </c>
      <c r="N96" s="0" t="n">
        <v>0</v>
      </c>
      <c r="O96" s="0" t="n">
        <v>286.89</v>
      </c>
    </row>
    <row r="97" customFormat="false" ht="15" hidden="false" customHeight="false" outlineLevel="0" collapsed="false">
      <c r="A97" s="0" t="s">
        <v>185</v>
      </c>
      <c r="B97" s="0" t="s">
        <v>423</v>
      </c>
      <c r="C97" s="0" t="n">
        <v>2017</v>
      </c>
      <c r="D97" s="0" t="n">
        <v>30234836</v>
      </c>
      <c r="E97" s="0" t="n">
        <v>10.81</v>
      </c>
      <c r="F97" s="0" t="n">
        <v>0</v>
      </c>
      <c r="G97" s="0" t="n">
        <v>0.04</v>
      </c>
      <c r="H97" s="0" t="n">
        <v>3.05</v>
      </c>
      <c r="I97" s="0" t="n">
        <v>0</v>
      </c>
      <c r="J97" s="0" t="n">
        <v>7.65</v>
      </c>
      <c r="K97" s="0" t="n">
        <v>0.02</v>
      </c>
      <c r="L97" s="0" t="n">
        <v>0</v>
      </c>
      <c r="M97" s="0" t="n">
        <v>0.05</v>
      </c>
      <c r="N97" s="0" t="n">
        <v>0</v>
      </c>
      <c r="O97" s="0" t="n">
        <v>205.37</v>
      </c>
    </row>
    <row r="98" customFormat="false" ht="15" hidden="false" customHeight="false" outlineLevel="0" collapsed="false">
      <c r="A98" s="0" t="s">
        <v>185</v>
      </c>
      <c r="B98" s="0" t="s">
        <v>423</v>
      </c>
      <c r="C98" s="0" t="n">
        <v>2018</v>
      </c>
      <c r="D98" s="0" t="n">
        <v>31297160</v>
      </c>
      <c r="E98" s="0" t="n">
        <v>13.14</v>
      </c>
      <c r="F98" s="0" t="n">
        <v>0</v>
      </c>
      <c r="G98" s="0" t="n">
        <v>0.08</v>
      </c>
      <c r="H98" s="0" t="n">
        <v>2.62</v>
      </c>
      <c r="I98" s="0" t="n">
        <v>0</v>
      </c>
      <c r="J98" s="0" t="n">
        <v>10.37</v>
      </c>
      <c r="K98" s="0" t="n">
        <v>0.02</v>
      </c>
      <c r="L98" s="0" t="n">
        <v>0</v>
      </c>
      <c r="M98" s="0" t="n">
        <v>0.05</v>
      </c>
      <c r="N98" s="0" t="n">
        <v>0</v>
      </c>
      <c r="O98" s="0" t="n">
        <v>154.49</v>
      </c>
    </row>
    <row r="99" customFormat="false" ht="15" hidden="false" customHeight="false" outlineLevel="0" collapsed="false">
      <c r="A99" s="0" t="s">
        <v>185</v>
      </c>
      <c r="B99" s="0" t="s">
        <v>423</v>
      </c>
      <c r="C99" s="0" t="n">
        <v>2019</v>
      </c>
      <c r="D99" s="0" t="n">
        <v>32375633</v>
      </c>
      <c r="E99" s="0" t="n">
        <v>15.82</v>
      </c>
      <c r="F99" s="0" t="n">
        <v>0</v>
      </c>
      <c r="G99" s="0" t="n">
        <v>1.64</v>
      </c>
      <c r="H99" s="0" t="n">
        <v>2.6</v>
      </c>
      <c r="I99" s="0" t="n">
        <v>0</v>
      </c>
      <c r="J99" s="0" t="n">
        <v>11.51</v>
      </c>
      <c r="K99" s="0" t="n">
        <v>0.02</v>
      </c>
      <c r="L99" s="0" t="n">
        <v>0</v>
      </c>
      <c r="M99" s="0" t="n">
        <v>0.05</v>
      </c>
      <c r="N99" s="0" t="n">
        <v>0</v>
      </c>
      <c r="O99" s="0" t="n">
        <v>186.47</v>
      </c>
    </row>
    <row r="100" customFormat="false" ht="15" hidden="false" customHeight="false" outlineLevel="0" collapsed="false">
      <c r="A100" s="0" t="s">
        <v>185</v>
      </c>
      <c r="B100" s="0" t="s">
        <v>423</v>
      </c>
      <c r="C100" s="0" t="n">
        <v>2020</v>
      </c>
      <c r="D100" s="0" t="n">
        <v>33451139</v>
      </c>
      <c r="E100" s="0" t="n">
        <v>16.81</v>
      </c>
      <c r="F100" s="0" t="n">
        <v>0</v>
      </c>
      <c r="G100" s="0" t="n">
        <v>1.65</v>
      </c>
      <c r="H100" s="0" t="n">
        <v>2.45</v>
      </c>
      <c r="I100" s="0" t="n">
        <v>0</v>
      </c>
      <c r="J100" s="0" t="n">
        <v>12.64</v>
      </c>
      <c r="K100" s="0" t="n">
        <v>0.02</v>
      </c>
      <c r="L100" s="0" t="n">
        <v>0</v>
      </c>
      <c r="M100" s="0" t="n">
        <v>0.05</v>
      </c>
      <c r="N100" s="0" t="n">
        <v>0</v>
      </c>
      <c r="O100" s="0" t="n">
        <v>171.33</v>
      </c>
    </row>
    <row r="101" customFormat="false" ht="15" hidden="false" customHeight="false" outlineLevel="0" collapsed="false">
      <c r="A101" s="0" t="s">
        <v>185</v>
      </c>
      <c r="B101" s="0" t="s">
        <v>423</v>
      </c>
      <c r="C101" s="0" t="n">
        <v>2021</v>
      </c>
      <c r="D101" s="0" t="n">
        <v>34532427</v>
      </c>
      <c r="E101" s="0" t="n">
        <v>16.85</v>
      </c>
      <c r="F101" s="0" t="n">
        <v>0</v>
      </c>
      <c r="G101" s="0" t="n">
        <v>1.66</v>
      </c>
      <c r="H101" s="0" t="n">
        <v>2.48</v>
      </c>
      <c r="I101" s="0" t="n">
        <v>0</v>
      </c>
      <c r="J101" s="0" t="n">
        <v>12.64</v>
      </c>
      <c r="K101" s="0" t="n">
        <v>0.02</v>
      </c>
      <c r="L101" s="0" t="n">
        <v>0</v>
      </c>
      <c r="M101" s="0" t="n">
        <v>0.05</v>
      </c>
      <c r="N101" s="0" t="n">
        <v>0</v>
      </c>
      <c r="O101" s="0" t="n">
        <v>172.7</v>
      </c>
    </row>
    <row r="102" customFormat="false" ht="15" hidden="false" customHeight="false" outlineLevel="0" collapsed="false">
      <c r="A102" s="0" t="s">
        <v>185</v>
      </c>
      <c r="B102" s="0" t="s">
        <v>423</v>
      </c>
      <c r="C102" s="0" t="n">
        <v>2022</v>
      </c>
      <c r="D102" s="0" t="n">
        <v>35635028</v>
      </c>
      <c r="E102" s="0" t="n">
        <v>17.31</v>
      </c>
      <c r="F102" s="0" t="n">
        <v>0</v>
      </c>
      <c r="G102" s="0" t="n">
        <v>1.67</v>
      </c>
      <c r="H102" s="0" t="n">
        <v>2.56</v>
      </c>
      <c r="I102" s="0" t="n">
        <v>0</v>
      </c>
      <c r="J102" s="0" t="n">
        <v>12.64</v>
      </c>
      <c r="K102" s="0" t="n">
        <v>0.39</v>
      </c>
      <c r="L102" s="0" t="n">
        <v>0</v>
      </c>
      <c r="M102" s="0" t="n">
        <v>0.05</v>
      </c>
      <c r="N102" s="0" t="n">
        <v>0</v>
      </c>
      <c r="O102" s="0" t="n">
        <v>172.16</v>
      </c>
    </row>
    <row r="103" customFormat="false" ht="15" hidden="false" customHeight="false" outlineLevel="0" collapsed="false">
      <c r="A103" s="0" t="s">
        <v>185</v>
      </c>
      <c r="B103" s="0" t="s">
        <v>423</v>
      </c>
      <c r="C103" s="0" t="n">
        <v>2023</v>
      </c>
      <c r="D103" s="0" t="n">
        <v>36749909</v>
      </c>
      <c r="E103" s="0" t="n">
        <v>15.75</v>
      </c>
      <c r="F103" s="0" t="n">
        <v>0</v>
      </c>
      <c r="G103" s="0" t="n">
        <v>1.39</v>
      </c>
      <c r="H103" s="0" t="n">
        <v>2.7</v>
      </c>
      <c r="I103" s="0" t="n">
        <v>0</v>
      </c>
      <c r="J103" s="0" t="n">
        <v>11.22</v>
      </c>
      <c r="K103" s="0" t="n">
        <v>0.39</v>
      </c>
      <c r="L103" s="0" t="n">
        <v>0</v>
      </c>
      <c r="M103" s="0" t="n">
        <v>0.05</v>
      </c>
      <c r="N103" s="0" t="n">
        <v>0</v>
      </c>
      <c r="O103" s="0" t="n">
        <v>183.49</v>
      </c>
    </row>
    <row r="104" customFormat="false" ht="15" hidden="false" customHeight="false" outlineLevel="0" collapsed="false">
      <c r="A104" s="0" t="s">
        <v>185</v>
      </c>
      <c r="B104" s="0" t="s">
        <v>423</v>
      </c>
      <c r="C104" s="0" t="n">
        <v>2024</v>
      </c>
      <c r="D104" s="0" t="n">
        <v>37885854</v>
      </c>
      <c r="E104" s="0" t="n">
        <v>15.59</v>
      </c>
      <c r="F104" s="0" t="n">
        <v>0</v>
      </c>
      <c r="G104" s="0" t="n">
        <v>1.4</v>
      </c>
      <c r="H104" s="0" t="n">
        <v>2.7</v>
      </c>
      <c r="I104" s="0" t="n">
        <v>0</v>
      </c>
      <c r="J104" s="0" t="n">
        <v>11</v>
      </c>
      <c r="K104" s="0" t="n">
        <v>0.44</v>
      </c>
      <c r="L104" s="0" t="n">
        <v>0</v>
      </c>
      <c r="M104" s="0" t="n">
        <v>0.05</v>
      </c>
      <c r="N104" s="0" t="n">
        <v>0</v>
      </c>
      <c r="O104" s="0" t="n">
        <v>185.38</v>
      </c>
    </row>
    <row r="105" customFormat="false" ht="15" hidden="false" customHeight="false" outlineLevel="0" collapsed="false">
      <c r="A105" s="0" t="s">
        <v>652</v>
      </c>
      <c r="B105" s="0" t="s">
        <v>653</v>
      </c>
      <c r="C105" s="0" t="n">
        <v>2015</v>
      </c>
    </row>
    <row r="106" customFormat="false" ht="15" hidden="false" customHeight="false" outlineLevel="0" collapsed="false">
      <c r="A106" s="0" t="s">
        <v>652</v>
      </c>
      <c r="B106" s="0" t="s">
        <v>653</v>
      </c>
      <c r="C106" s="0" t="n">
        <v>2016</v>
      </c>
    </row>
    <row r="107" customFormat="false" ht="15" hidden="false" customHeight="false" outlineLevel="0" collapsed="false">
      <c r="A107" s="0" t="s">
        <v>652</v>
      </c>
      <c r="B107" s="0" t="s">
        <v>653</v>
      </c>
      <c r="C107" s="0" t="n">
        <v>2017</v>
      </c>
    </row>
    <row r="108" customFormat="false" ht="15" hidden="false" customHeight="false" outlineLevel="0" collapsed="false">
      <c r="A108" s="0" t="s">
        <v>652</v>
      </c>
      <c r="B108" s="0" t="s">
        <v>653</v>
      </c>
      <c r="C108" s="0" t="n">
        <v>2018</v>
      </c>
    </row>
    <row r="109" customFormat="false" ht="15" hidden="false" customHeight="false" outlineLevel="0" collapsed="false">
      <c r="A109" s="0" t="s">
        <v>652</v>
      </c>
      <c r="B109" s="0" t="s">
        <v>653</v>
      </c>
      <c r="C109" s="0" t="n">
        <v>2019</v>
      </c>
    </row>
    <row r="110" customFormat="false" ht="15" hidden="false" customHeight="false" outlineLevel="0" collapsed="false">
      <c r="A110" s="0" t="s">
        <v>652</v>
      </c>
      <c r="B110" s="0" t="s">
        <v>653</v>
      </c>
      <c r="C110" s="0" t="n">
        <v>2020</v>
      </c>
    </row>
    <row r="111" customFormat="false" ht="15" hidden="false" customHeight="false" outlineLevel="0" collapsed="false">
      <c r="A111" s="0" t="s">
        <v>652</v>
      </c>
      <c r="B111" s="0" t="s">
        <v>653</v>
      </c>
      <c r="C111" s="0" t="n">
        <v>2021</v>
      </c>
    </row>
    <row r="112" customFormat="false" ht="15" hidden="false" customHeight="false" outlineLevel="0" collapsed="false">
      <c r="A112" s="0" t="s">
        <v>652</v>
      </c>
      <c r="B112" s="0" t="s">
        <v>653</v>
      </c>
      <c r="C112" s="0" t="n">
        <v>2022</v>
      </c>
    </row>
    <row r="113" customFormat="false" ht="15" hidden="false" customHeight="false" outlineLevel="0" collapsed="false">
      <c r="A113" s="0" t="s">
        <v>652</v>
      </c>
      <c r="B113" s="0" t="s">
        <v>653</v>
      </c>
      <c r="C113" s="0" t="n">
        <v>2023</v>
      </c>
    </row>
    <row r="114" customFormat="false" ht="15" hidden="false" customHeight="false" outlineLevel="0" collapsed="false">
      <c r="A114" s="0" t="s">
        <v>186</v>
      </c>
      <c r="B114" s="0" t="s">
        <v>424</v>
      </c>
      <c r="C114" s="0" t="n">
        <v>2015</v>
      </c>
      <c r="D114" s="0" t="n">
        <v>89421</v>
      </c>
      <c r="E114" s="0" t="n">
        <v>0.35</v>
      </c>
      <c r="F114" s="0" t="n">
        <v>0</v>
      </c>
      <c r="G114" s="0" t="n">
        <v>0</v>
      </c>
      <c r="H114" s="0" t="n">
        <v>0.34</v>
      </c>
      <c r="I114" s="0" t="n">
        <v>0</v>
      </c>
      <c r="J114" s="0" t="n">
        <v>0</v>
      </c>
      <c r="K114" s="0" t="n">
        <v>0.01</v>
      </c>
      <c r="L114" s="0" t="n">
        <v>0</v>
      </c>
      <c r="M114" s="0" t="n">
        <v>0</v>
      </c>
      <c r="N114" s="0" t="n">
        <v>0</v>
      </c>
      <c r="O114" s="0" t="n">
        <v>628.57</v>
      </c>
    </row>
    <row r="115" customFormat="false" ht="15" hidden="false" customHeight="false" outlineLevel="0" collapsed="false">
      <c r="A115" s="0" t="s">
        <v>186</v>
      </c>
      <c r="B115" s="0" t="s">
        <v>424</v>
      </c>
      <c r="C115" s="0" t="n">
        <v>2016</v>
      </c>
      <c r="D115" s="0" t="n">
        <v>89980</v>
      </c>
      <c r="E115" s="0" t="n">
        <v>0.34</v>
      </c>
      <c r="F115" s="0" t="n">
        <v>0</v>
      </c>
      <c r="G115" s="0" t="n">
        <v>0</v>
      </c>
      <c r="H115" s="0" t="n">
        <v>0.34</v>
      </c>
      <c r="I115" s="0" t="n">
        <v>0</v>
      </c>
      <c r="J115" s="0" t="n">
        <v>0</v>
      </c>
      <c r="K115" s="0" t="n">
        <v>0</v>
      </c>
      <c r="L115" s="0" t="n">
        <v>0</v>
      </c>
      <c r="M115" s="0" t="n">
        <v>0</v>
      </c>
      <c r="N115" s="0" t="n">
        <v>0</v>
      </c>
      <c r="O115" s="0" t="n">
        <v>647.06</v>
      </c>
    </row>
    <row r="116" customFormat="false" ht="15" hidden="false" customHeight="false" outlineLevel="0" collapsed="false">
      <c r="A116" s="0" t="s">
        <v>186</v>
      </c>
      <c r="B116" s="0" t="s">
        <v>424</v>
      </c>
      <c r="C116" s="0" t="n">
        <v>2017</v>
      </c>
      <c r="D116" s="0" t="n">
        <v>90483</v>
      </c>
      <c r="E116" s="0" t="n">
        <v>0.35</v>
      </c>
      <c r="F116" s="0" t="n">
        <v>0</v>
      </c>
      <c r="G116" s="0" t="n">
        <v>0</v>
      </c>
      <c r="H116" s="0" t="n">
        <v>0.34</v>
      </c>
      <c r="I116" s="0" t="n">
        <v>0</v>
      </c>
      <c r="J116" s="0" t="n">
        <v>0</v>
      </c>
      <c r="K116" s="0" t="n">
        <v>0.01</v>
      </c>
      <c r="L116" s="0" t="n">
        <v>0</v>
      </c>
      <c r="M116" s="0" t="n">
        <v>0</v>
      </c>
      <c r="N116" s="0" t="n">
        <v>0</v>
      </c>
      <c r="O116" s="0" t="n">
        <v>628.57</v>
      </c>
    </row>
    <row r="117" customFormat="false" ht="15" hidden="false" customHeight="false" outlineLevel="0" collapsed="false">
      <c r="A117" s="0" t="s">
        <v>186</v>
      </c>
      <c r="B117" s="0" t="s">
        <v>424</v>
      </c>
      <c r="C117" s="0" t="n">
        <v>2018</v>
      </c>
      <c r="D117" s="0" t="n">
        <v>90942</v>
      </c>
      <c r="E117" s="0" t="n">
        <v>0.36</v>
      </c>
      <c r="F117" s="0" t="n">
        <v>0</v>
      </c>
      <c r="G117" s="0" t="n">
        <v>0</v>
      </c>
      <c r="H117" s="0" t="n">
        <v>0.35</v>
      </c>
      <c r="I117" s="0" t="n">
        <v>0</v>
      </c>
      <c r="J117" s="0" t="n">
        <v>0</v>
      </c>
      <c r="K117" s="0" t="n">
        <v>0.01</v>
      </c>
      <c r="L117" s="0" t="n">
        <v>0</v>
      </c>
      <c r="M117" s="0" t="n">
        <v>0</v>
      </c>
      <c r="N117" s="0" t="n">
        <v>0</v>
      </c>
      <c r="O117" s="0" t="n">
        <v>638.89</v>
      </c>
    </row>
    <row r="118" customFormat="false" ht="15" hidden="false" customHeight="false" outlineLevel="0" collapsed="false">
      <c r="A118" s="0" t="s">
        <v>186</v>
      </c>
      <c r="B118" s="0" t="s">
        <v>424</v>
      </c>
      <c r="C118" s="0" t="n">
        <v>2019</v>
      </c>
      <c r="D118" s="0" t="n">
        <v>91377</v>
      </c>
      <c r="E118" s="0" t="n">
        <v>0.36</v>
      </c>
      <c r="F118" s="0" t="n">
        <v>0</v>
      </c>
      <c r="G118" s="0" t="n">
        <v>0</v>
      </c>
      <c r="H118" s="0" t="n">
        <v>0.35</v>
      </c>
      <c r="I118" s="0" t="n">
        <v>0</v>
      </c>
      <c r="J118" s="0" t="n">
        <v>0</v>
      </c>
      <c r="K118" s="0" t="n">
        <v>0.01</v>
      </c>
      <c r="L118" s="0" t="n">
        <v>0</v>
      </c>
      <c r="M118" s="0" t="n">
        <v>0</v>
      </c>
      <c r="N118" s="0" t="n">
        <v>0</v>
      </c>
      <c r="O118" s="0" t="n">
        <v>638.89</v>
      </c>
    </row>
    <row r="119" customFormat="false" ht="15" hidden="false" customHeight="false" outlineLevel="0" collapsed="false">
      <c r="A119" s="0" t="s">
        <v>186</v>
      </c>
      <c r="B119" s="0" t="s">
        <v>424</v>
      </c>
      <c r="C119" s="0" t="n">
        <v>2020</v>
      </c>
      <c r="D119" s="0" t="n">
        <v>91864</v>
      </c>
      <c r="E119" s="0" t="n">
        <v>0.35</v>
      </c>
      <c r="F119" s="0" t="n">
        <v>0</v>
      </c>
      <c r="G119" s="0" t="n">
        <v>0</v>
      </c>
      <c r="H119" s="0" t="n">
        <v>0.33</v>
      </c>
      <c r="I119" s="0" t="n">
        <v>0</v>
      </c>
      <c r="J119" s="0" t="n">
        <v>0</v>
      </c>
      <c r="K119" s="0" t="n">
        <v>0.02</v>
      </c>
      <c r="L119" s="0" t="n">
        <v>0</v>
      </c>
      <c r="M119" s="0" t="n">
        <v>0</v>
      </c>
      <c r="N119" s="0" t="n">
        <v>0</v>
      </c>
      <c r="O119" s="0" t="n">
        <v>628.57</v>
      </c>
    </row>
    <row r="120" customFormat="false" ht="15" hidden="false" customHeight="false" outlineLevel="0" collapsed="false">
      <c r="A120" s="0" t="s">
        <v>186</v>
      </c>
      <c r="B120" s="0" t="s">
        <v>424</v>
      </c>
      <c r="C120" s="0" t="n">
        <v>2021</v>
      </c>
      <c r="D120" s="0" t="n">
        <v>92358</v>
      </c>
      <c r="E120" s="0" t="n">
        <v>0.35</v>
      </c>
      <c r="F120" s="0" t="n">
        <v>0</v>
      </c>
      <c r="G120" s="0" t="n">
        <v>0</v>
      </c>
      <c r="H120" s="0" t="n">
        <v>0.33</v>
      </c>
      <c r="I120" s="0" t="n">
        <v>0</v>
      </c>
      <c r="J120" s="0" t="n">
        <v>0</v>
      </c>
      <c r="K120" s="0" t="n">
        <v>0.02</v>
      </c>
      <c r="L120" s="0" t="n">
        <v>0</v>
      </c>
      <c r="M120" s="0" t="n">
        <v>0</v>
      </c>
      <c r="N120" s="0" t="n">
        <v>0</v>
      </c>
      <c r="O120" s="0" t="n">
        <v>628.57</v>
      </c>
    </row>
    <row r="121" customFormat="false" ht="15" hidden="false" customHeight="false" outlineLevel="0" collapsed="false">
      <c r="A121" s="0" t="s">
        <v>186</v>
      </c>
      <c r="B121" s="0" t="s">
        <v>424</v>
      </c>
      <c r="C121" s="0" t="n">
        <v>2022</v>
      </c>
      <c r="D121" s="0" t="n">
        <v>92850</v>
      </c>
      <c r="E121" s="0" t="n">
        <v>0.36</v>
      </c>
      <c r="F121" s="0" t="n">
        <v>0</v>
      </c>
      <c r="G121" s="0" t="n">
        <v>0</v>
      </c>
      <c r="H121" s="0" t="n">
        <v>0.34</v>
      </c>
      <c r="I121" s="0" t="n">
        <v>0</v>
      </c>
      <c r="J121" s="0" t="n">
        <v>0</v>
      </c>
      <c r="K121" s="0" t="n">
        <v>0.02</v>
      </c>
      <c r="L121" s="0" t="n">
        <v>0</v>
      </c>
      <c r="M121" s="0" t="n">
        <v>0</v>
      </c>
      <c r="N121" s="0" t="n">
        <v>0</v>
      </c>
      <c r="O121" s="0" t="n">
        <v>611.11</v>
      </c>
    </row>
    <row r="122" customFormat="false" ht="15" hidden="false" customHeight="false" outlineLevel="0" collapsed="false">
      <c r="A122" s="0" t="s">
        <v>186</v>
      </c>
      <c r="B122" s="0" t="s">
        <v>424</v>
      </c>
      <c r="C122" s="0" t="n">
        <v>2023</v>
      </c>
      <c r="D122" s="0" t="n">
        <v>93331</v>
      </c>
      <c r="E122" s="0" t="n">
        <v>0.36</v>
      </c>
      <c r="F122" s="0" t="n">
        <v>0</v>
      </c>
      <c r="G122" s="0" t="n">
        <v>0</v>
      </c>
      <c r="H122" s="0" t="n">
        <v>0.34</v>
      </c>
      <c r="I122" s="0" t="n">
        <v>0</v>
      </c>
      <c r="J122" s="0" t="n">
        <v>0</v>
      </c>
      <c r="K122" s="0" t="n">
        <v>0.02</v>
      </c>
      <c r="L122" s="0" t="n">
        <v>0</v>
      </c>
      <c r="M122" s="0" t="n">
        <v>0</v>
      </c>
      <c r="N122" s="0" t="n">
        <v>0</v>
      </c>
      <c r="O122" s="0" t="n">
        <v>611.11</v>
      </c>
    </row>
    <row r="123" customFormat="false" ht="15" hidden="false" customHeight="false" outlineLevel="0" collapsed="false">
      <c r="A123" s="0" t="s">
        <v>186</v>
      </c>
      <c r="B123" s="0" t="s">
        <v>424</v>
      </c>
      <c r="C123" s="0" t="n">
        <v>2024</v>
      </c>
      <c r="D123" s="0" t="n">
        <v>93782</v>
      </c>
      <c r="E123" s="0" t="n">
        <v>0.37</v>
      </c>
      <c r="F123" s="0" t="n">
        <v>0</v>
      </c>
      <c r="G123" s="0" t="n">
        <v>0</v>
      </c>
      <c r="H123" s="0" t="n">
        <v>0.34</v>
      </c>
      <c r="I123" s="0" t="n">
        <v>0</v>
      </c>
      <c r="J123" s="0" t="n">
        <v>0</v>
      </c>
      <c r="K123" s="0" t="n">
        <v>0.03</v>
      </c>
      <c r="L123" s="0" t="n">
        <v>0</v>
      </c>
      <c r="M123" s="0" t="n">
        <v>0</v>
      </c>
      <c r="N123" s="0" t="n">
        <v>0</v>
      </c>
      <c r="O123" s="0" t="n">
        <v>594.6</v>
      </c>
    </row>
    <row r="124" customFormat="false" ht="15" hidden="false" customHeight="false" outlineLevel="0" collapsed="false">
      <c r="A124" s="0" t="s">
        <v>187</v>
      </c>
      <c r="B124" s="0" t="s">
        <v>425</v>
      </c>
      <c r="C124" s="0" t="n">
        <v>2015</v>
      </c>
      <c r="D124" s="0" t="n">
        <v>43477011</v>
      </c>
      <c r="E124" s="0" t="n">
        <v>145.42</v>
      </c>
      <c r="F124" s="0" t="n">
        <v>2.39</v>
      </c>
      <c r="G124" s="0" t="n">
        <v>79.11</v>
      </c>
      <c r="H124" s="0" t="n">
        <v>22.45</v>
      </c>
      <c r="I124" s="0" t="n">
        <v>7.04</v>
      </c>
      <c r="J124" s="0" t="n">
        <v>32.34</v>
      </c>
      <c r="K124" s="0" t="n">
        <v>0.01</v>
      </c>
      <c r="L124" s="0" t="n">
        <v>0.59</v>
      </c>
      <c r="M124" s="0" t="n">
        <v>1.49</v>
      </c>
      <c r="O124" s="0" t="n">
        <v>426.56</v>
      </c>
    </row>
    <row r="125" customFormat="false" ht="15" hidden="false" customHeight="false" outlineLevel="0" collapsed="false">
      <c r="A125" s="0" t="s">
        <v>187</v>
      </c>
      <c r="B125" s="0" t="s">
        <v>425</v>
      </c>
      <c r="C125" s="0" t="n">
        <v>2016</v>
      </c>
      <c r="D125" s="0" t="n">
        <v>43900312</v>
      </c>
      <c r="E125" s="0" t="n">
        <v>147.18</v>
      </c>
      <c r="F125" s="0" t="n">
        <v>1.93</v>
      </c>
      <c r="G125" s="0" t="n">
        <v>84.28</v>
      </c>
      <c r="H125" s="0" t="n">
        <v>21.2</v>
      </c>
      <c r="I125" s="0" t="n">
        <v>8.28</v>
      </c>
      <c r="J125" s="0" t="n">
        <v>29.75</v>
      </c>
      <c r="K125" s="0" t="n">
        <v>0.01</v>
      </c>
      <c r="L125" s="0" t="n">
        <v>0.55</v>
      </c>
      <c r="M125" s="0" t="n">
        <v>1.18</v>
      </c>
      <c r="O125" s="0" t="n">
        <v>431.92</v>
      </c>
    </row>
    <row r="126" customFormat="false" ht="15" hidden="false" customHeight="false" outlineLevel="0" collapsed="false">
      <c r="A126" s="0" t="s">
        <v>187</v>
      </c>
      <c r="B126" s="0" t="s">
        <v>425</v>
      </c>
      <c r="C126" s="0" t="n">
        <v>2017</v>
      </c>
      <c r="D126" s="0" t="n">
        <v>44288898</v>
      </c>
      <c r="E126" s="0" t="n">
        <v>145.61</v>
      </c>
      <c r="F126" s="0" t="n">
        <v>2.01</v>
      </c>
      <c r="G126" s="0" t="n">
        <v>91.21</v>
      </c>
      <c r="H126" s="0" t="n">
        <v>12.62</v>
      </c>
      <c r="I126" s="0" t="n">
        <v>6.09</v>
      </c>
      <c r="J126" s="0" t="n">
        <v>31.59</v>
      </c>
      <c r="K126" s="0" t="n">
        <v>0.02</v>
      </c>
      <c r="L126" s="0" t="n">
        <v>0.61</v>
      </c>
      <c r="M126" s="0" t="n">
        <v>1.46</v>
      </c>
      <c r="O126" s="0" t="n">
        <v>425.38</v>
      </c>
    </row>
    <row r="127" customFormat="false" ht="15" hidden="false" customHeight="false" outlineLevel="0" collapsed="false">
      <c r="A127" s="0" t="s">
        <v>187</v>
      </c>
      <c r="B127" s="0" t="s">
        <v>425</v>
      </c>
      <c r="C127" s="0" t="n">
        <v>2018</v>
      </c>
      <c r="D127" s="0" t="n">
        <v>44654876</v>
      </c>
      <c r="E127" s="0" t="n">
        <v>146.78</v>
      </c>
      <c r="F127" s="0" t="n">
        <v>2.03</v>
      </c>
      <c r="G127" s="0" t="n">
        <v>95.35</v>
      </c>
      <c r="H127" s="0" t="n">
        <v>7.31</v>
      </c>
      <c r="I127" s="0" t="n">
        <v>6.87</v>
      </c>
      <c r="J127" s="0" t="n">
        <v>32.28</v>
      </c>
      <c r="K127" s="0" t="n">
        <v>0.11</v>
      </c>
      <c r="L127" s="0" t="n">
        <v>1.41</v>
      </c>
      <c r="M127" s="0" t="n">
        <v>1.42</v>
      </c>
      <c r="O127" s="0" t="n">
        <v>414.29</v>
      </c>
    </row>
    <row r="128" customFormat="false" ht="15" hidden="false" customHeight="false" outlineLevel="0" collapsed="false">
      <c r="A128" s="0" t="s">
        <v>187</v>
      </c>
      <c r="B128" s="0" t="s">
        <v>425</v>
      </c>
      <c r="C128" s="0" t="n">
        <v>2019</v>
      </c>
      <c r="D128" s="0" t="n">
        <v>44973469</v>
      </c>
      <c r="E128" s="0" t="n">
        <v>139.53</v>
      </c>
      <c r="F128" s="0" t="n">
        <v>1.17</v>
      </c>
      <c r="G128" s="0" t="n">
        <v>91.31</v>
      </c>
      <c r="H128" s="0" t="n">
        <v>3.83</v>
      </c>
      <c r="I128" s="0" t="n">
        <v>8.44</v>
      </c>
      <c r="J128" s="0" t="n">
        <v>27.5</v>
      </c>
      <c r="K128" s="0" t="n">
        <v>0.8</v>
      </c>
      <c r="L128" s="0" t="n">
        <v>5</v>
      </c>
      <c r="M128" s="0" t="n">
        <v>1.48</v>
      </c>
      <c r="O128" s="0" t="n">
        <v>397.62</v>
      </c>
    </row>
    <row r="129" customFormat="false" ht="15" hidden="false" customHeight="false" outlineLevel="0" collapsed="false">
      <c r="A129" s="0" t="s">
        <v>187</v>
      </c>
      <c r="B129" s="0" t="s">
        <v>425</v>
      </c>
      <c r="C129" s="0" t="n">
        <v>2020</v>
      </c>
      <c r="D129" s="0" t="n">
        <v>45191960</v>
      </c>
      <c r="E129" s="0" t="n">
        <v>144.64</v>
      </c>
      <c r="F129" s="0" t="n">
        <v>1.64</v>
      </c>
      <c r="G129" s="0" t="n">
        <v>88.72</v>
      </c>
      <c r="H129" s="0" t="n">
        <v>7.65</v>
      </c>
      <c r="I129" s="0" t="n">
        <v>10.01</v>
      </c>
      <c r="J129" s="0" t="n">
        <v>23.67</v>
      </c>
      <c r="K129" s="0" t="n">
        <v>1.34</v>
      </c>
      <c r="L129" s="0" t="n">
        <v>9.41</v>
      </c>
      <c r="M129" s="0" t="n">
        <v>2.2</v>
      </c>
      <c r="O129" s="0" t="n">
        <v>394.7</v>
      </c>
    </row>
    <row r="130" customFormat="false" ht="15" hidden="false" customHeight="false" outlineLevel="0" collapsed="false">
      <c r="A130" s="0" t="s">
        <v>187</v>
      </c>
      <c r="B130" s="0" t="s">
        <v>425</v>
      </c>
      <c r="C130" s="0" t="n">
        <v>2021</v>
      </c>
      <c r="D130" s="0" t="n">
        <v>45312282</v>
      </c>
      <c r="E130" s="0" t="n">
        <v>153.15</v>
      </c>
      <c r="F130" s="0" t="n">
        <v>2.38</v>
      </c>
      <c r="G130" s="0" t="n">
        <v>89.93</v>
      </c>
      <c r="H130" s="0" t="n">
        <v>13.63</v>
      </c>
      <c r="I130" s="0" t="n">
        <v>10.17</v>
      </c>
      <c r="J130" s="0" t="n">
        <v>19.65</v>
      </c>
      <c r="K130" s="0" t="n">
        <v>2.2</v>
      </c>
      <c r="L130" s="0" t="n">
        <v>12.94</v>
      </c>
      <c r="M130" s="0" t="n">
        <v>2.25</v>
      </c>
      <c r="O130" s="0" t="n">
        <v>406.99</v>
      </c>
    </row>
    <row r="131" customFormat="false" ht="15" hidden="false" customHeight="false" outlineLevel="0" collapsed="false">
      <c r="A131" s="0" t="s">
        <v>187</v>
      </c>
      <c r="B131" s="0" t="s">
        <v>425</v>
      </c>
      <c r="C131" s="0" t="n">
        <v>2022</v>
      </c>
      <c r="D131" s="0" t="n">
        <v>45407904</v>
      </c>
      <c r="E131" s="0" t="n">
        <v>145.61</v>
      </c>
      <c r="F131" s="0" t="n">
        <v>2.34</v>
      </c>
      <c r="G131" s="0" t="n">
        <v>76.6</v>
      </c>
      <c r="H131" s="0" t="n">
        <v>16.93</v>
      </c>
      <c r="I131" s="0" t="n">
        <v>7.47</v>
      </c>
      <c r="J131" s="0" t="n">
        <v>22.77</v>
      </c>
      <c r="K131" s="0" t="n">
        <v>2.94</v>
      </c>
      <c r="L131" s="0" t="n">
        <v>14.16</v>
      </c>
      <c r="M131" s="0" t="n">
        <v>2.4</v>
      </c>
      <c r="O131" s="0" t="n">
        <v>392.69</v>
      </c>
    </row>
    <row r="132" customFormat="false" ht="15" hidden="false" customHeight="false" outlineLevel="0" collapsed="false">
      <c r="A132" s="0" t="s">
        <v>187</v>
      </c>
      <c r="B132" s="0" t="s">
        <v>425</v>
      </c>
      <c r="C132" s="0" t="n">
        <v>2023</v>
      </c>
      <c r="D132" s="0" t="n">
        <v>45538402</v>
      </c>
      <c r="E132" s="0" t="n">
        <v>148.56</v>
      </c>
      <c r="F132" s="0" t="n">
        <v>1.83</v>
      </c>
      <c r="G132" s="0" t="n">
        <v>76.32</v>
      </c>
      <c r="H132" s="0" t="n">
        <v>9.8</v>
      </c>
      <c r="I132" s="0" t="n">
        <v>8.96</v>
      </c>
      <c r="J132" s="0" t="n">
        <v>31.49</v>
      </c>
      <c r="K132" s="0" t="n">
        <v>3.28</v>
      </c>
      <c r="L132" s="0" t="n">
        <v>14.48</v>
      </c>
      <c r="M132" s="0" t="n">
        <v>2.4</v>
      </c>
      <c r="O132" s="0" t="n">
        <v>350.9</v>
      </c>
    </row>
    <row r="133" customFormat="false" ht="15" hidden="false" customHeight="false" outlineLevel="0" collapsed="false">
      <c r="A133" s="0" t="s">
        <v>187</v>
      </c>
      <c r="B133" s="0" t="s">
        <v>425</v>
      </c>
      <c r="C133" s="0" t="n">
        <v>2024</v>
      </c>
      <c r="D133" s="0" t="n">
        <v>45696153</v>
      </c>
      <c r="E133" s="0" t="n">
        <v>152.51</v>
      </c>
      <c r="F133" s="0" t="n">
        <v>1.31</v>
      </c>
      <c r="G133" s="0" t="n">
        <v>81.95</v>
      </c>
      <c r="H133" s="0" t="n">
        <v>6.36</v>
      </c>
      <c r="I133" s="0" t="n">
        <v>10.45</v>
      </c>
      <c r="J133" s="0" t="n">
        <v>29.67</v>
      </c>
      <c r="K133" s="0" t="n">
        <v>3.97</v>
      </c>
      <c r="L133" s="0" t="n">
        <v>16.17</v>
      </c>
      <c r="M133" s="0" t="n">
        <v>2.63</v>
      </c>
      <c r="O133" s="0" t="n">
        <v>344.83</v>
      </c>
    </row>
    <row r="134" customFormat="false" ht="15" hidden="false" customHeight="false" outlineLevel="0" collapsed="false">
      <c r="A134" s="0" t="s">
        <v>187</v>
      </c>
      <c r="B134" s="0" t="s">
        <v>425</v>
      </c>
      <c r="C134" s="0" t="n">
        <v>2025</v>
      </c>
      <c r="D134" s="0" t="n">
        <v>45851379</v>
      </c>
      <c r="E134" s="0" t="n">
        <v>153.15</v>
      </c>
      <c r="F134" s="0" t="n">
        <v>2.82</v>
      </c>
      <c r="G134" s="0" t="n">
        <v>80.69</v>
      </c>
      <c r="H134" s="0" t="n">
        <v>5.92</v>
      </c>
      <c r="I134" s="0" t="n">
        <v>10.76</v>
      </c>
      <c r="J134" s="0" t="n">
        <v>26.25</v>
      </c>
      <c r="K134" s="0" t="n">
        <v>5.14</v>
      </c>
      <c r="L134" s="0" t="n">
        <v>18.62</v>
      </c>
      <c r="M134" s="0" t="n">
        <v>2.95</v>
      </c>
      <c r="O134" s="0" t="n">
        <v>346</v>
      </c>
    </row>
    <row r="135" customFormat="false" ht="15" hidden="false" customHeight="false" outlineLevel="0" collapsed="false">
      <c r="A135" s="0" t="s">
        <v>188</v>
      </c>
      <c r="B135" s="0" t="s">
        <v>426</v>
      </c>
      <c r="C135" s="0" t="n">
        <v>2015</v>
      </c>
      <c r="D135" s="0" t="n">
        <v>2921179</v>
      </c>
      <c r="E135" s="0" t="n">
        <v>7.55</v>
      </c>
      <c r="F135" s="0" t="n">
        <v>0</v>
      </c>
      <c r="G135" s="0" t="n">
        <v>2.8</v>
      </c>
      <c r="H135" s="0" t="n">
        <v>0</v>
      </c>
      <c r="I135" s="0" t="n">
        <v>2.57</v>
      </c>
      <c r="J135" s="0" t="n">
        <v>2.18</v>
      </c>
      <c r="K135" s="0" t="n">
        <v>0</v>
      </c>
      <c r="L135" s="0" t="n">
        <v>0</v>
      </c>
      <c r="M135" s="0" t="n">
        <v>0</v>
      </c>
      <c r="N135" s="0" t="n">
        <v>0</v>
      </c>
      <c r="O135" s="0" t="n">
        <v>225.17</v>
      </c>
    </row>
    <row r="136" customFormat="false" ht="15" hidden="false" customHeight="false" outlineLevel="0" collapsed="false">
      <c r="A136" s="0" t="s">
        <v>188</v>
      </c>
      <c r="B136" s="0" t="s">
        <v>426</v>
      </c>
      <c r="C136" s="0" t="n">
        <v>2016</v>
      </c>
      <c r="D136" s="0" t="n">
        <v>2918796</v>
      </c>
      <c r="E136" s="0" t="n">
        <v>7.1</v>
      </c>
      <c r="F136" s="0" t="n">
        <v>0</v>
      </c>
      <c r="G136" s="0" t="n">
        <v>2.58</v>
      </c>
      <c r="H136" s="0" t="n">
        <v>0</v>
      </c>
      <c r="I136" s="0" t="n">
        <v>2.19</v>
      </c>
      <c r="J136" s="0" t="n">
        <v>2.33</v>
      </c>
      <c r="K136" s="0" t="n">
        <v>0</v>
      </c>
      <c r="L136" s="0" t="n">
        <v>0</v>
      </c>
      <c r="M136" s="0" t="n">
        <v>0</v>
      </c>
      <c r="N136" s="0" t="n">
        <v>0</v>
      </c>
      <c r="O136" s="0" t="n">
        <v>222.54</v>
      </c>
    </row>
    <row r="137" customFormat="false" ht="15" hidden="false" customHeight="false" outlineLevel="0" collapsed="false">
      <c r="A137" s="0" t="s">
        <v>188</v>
      </c>
      <c r="B137" s="0" t="s">
        <v>426</v>
      </c>
      <c r="C137" s="0" t="n">
        <v>2017</v>
      </c>
      <c r="D137" s="0" t="n">
        <v>2914966</v>
      </c>
      <c r="E137" s="0" t="n">
        <v>7.53</v>
      </c>
      <c r="F137" s="0" t="n">
        <v>0</v>
      </c>
      <c r="G137" s="0" t="n">
        <v>2.87</v>
      </c>
      <c r="H137" s="0" t="n">
        <v>0</v>
      </c>
      <c r="I137" s="0" t="n">
        <v>2.41</v>
      </c>
      <c r="J137" s="0" t="n">
        <v>2.25</v>
      </c>
      <c r="K137" s="0" t="n">
        <v>0</v>
      </c>
      <c r="L137" s="0" t="n">
        <v>0</v>
      </c>
      <c r="M137" s="0" t="n">
        <v>0</v>
      </c>
      <c r="N137" s="0" t="n">
        <v>0</v>
      </c>
      <c r="O137" s="0" t="n">
        <v>231.08</v>
      </c>
    </row>
    <row r="138" customFormat="false" ht="15" hidden="false" customHeight="false" outlineLevel="0" collapsed="false">
      <c r="A138" s="0" t="s">
        <v>188</v>
      </c>
      <c r="B138" s="0" t="s">
        <v>426</v>
      </c>
      <c r="C138" s="0" t="n">
        <v>2018</v>
      </c>
      <c r="D138" s="0" t="n">
        <v>2909971</v>
      </c>
      <c r="E138" s="0" t="n">
        <v>7.59</v>
      </c>
      <c r="F138" s="0" t="n">
        <v>0</v>
      </c>
      <c r="G138" s="0" t="n">
        <v>3.38</v>
      </c>
      <c r="H138" s="0" t="n">
        <v>0</v>
      </c>
      <c r="I138" s="0" t="n">
        <v>1.9</v>
      </c>
      <c r="J138" s="0" t="n">
        <v>2.29</v>
      </c>
      <c r="K138" s="0" t="n">
        <v>0.02</v>
      </c>
      <c r="L138" s="0" t="n">
        <v>0</v>
      </c>
      <c r="M138" s="0" t="n">
        <v>0</v>
      </c>
      <c r="N138" s="0" t="n">
        <v>0</v>
      </c>
      <c r="O138" s="0" t="n">
        <v>268.78</v>
      </c>
    </row>
    <row r="139" customFormat="false" ht="15" hidden="false" customHeight="false" outlineLevel="0" collapsed="false">
      <c r="A139" s="0" t="s">
        <v>188</v>
      </c>
      <c r="B139" s="0" t="s">
        <v>426</v>
      </c>
      <c r="C139" s="0" t="n">
        <v>2019</v>
      </c>
      <c r="D139" s="0" t="n">
        <v>2903975</v>
      </c>
      <c r="E139" s="0" t="n">
        <v>7.49</v>
      </c>
      <c r="F139" s="0" t="n">
        <v>0</v>
      </c>
      <c r="G139" s="0" t="n">
        <v>3.05</v>
      </c>
      <c r="H139" s="0" t="n">
        <v>0</v>
      </c>
      <c r="I139" s="0" t="n">
        <v>2.03</v>
      </c>
      <c r="J139" s="0" t="n">
        <v>2.35</v>
      </c>
      <c r="K139" s="0" t="n">
        <v>0.06</v>
      </c>
      <c r="L139" s="0" t="n">
        <v>0</v>
      </c>
      <c r="M139" s="0" t="n">
        <v>0</v>
      </c>
      <c r="N139" s="0" t="n">
        <v>0</v>
      </c>
      <c r="O139" s="0" t="n">
        <v>248.33</v>
      </c>
    </row>
    <row r="140" customFormat="false" ht="15" hidden="false" customHeight="false" outlineLevel="0" collapsed="false">
      <c r="A140" s="0" t="s">
        <v>188</v>
      </c>
      <c r="B140" s="0" t="s">
        <v>426</v>
      </c>
      <c r="C140" s="0" t="n">
        <v>2020</v>
      </c>
      <c r="D140" s="0" t="n">
        <v>2890893</v>
      </c>
      <c r="E140" s="0" t="n">
        <v>7.64</v>
      </c>
      <c r="F140" s="0" t="n">
        <v>0</v>
      </c>
      <c r="G140" s="0" t="n">
        <v>3.17</v>
      </c>
      <c r="H140" s="0" t="n">
        <v>0</v>
      </c>
      <c r="I140" s="0" t="n">
        <v>2.55</v>
      </c>
      <c r="J140" s="0" t="n">
        <v>1.78</v>
      </c>
      <c r="K140" s="0" t="n">
        <v>0.14</v>
      </c>
      <c r="L140" s="0" t="n">
        <v>0</v>
      </c>
      <c r="M140" s="0" t="n">
        <v>0</v>
      </c>
      <c r="N140" s="0" t="n">
        <v>0</v>
      </c>
      <c r="O140" s="0" t="n">
        <v>251.31</v>
      </c>
    </row>
    <row r="141" customFormat="false" ht="15" hidden="false" customHeight="false" outlineLevel="0" collapsed="false">
      <c r="A141" s="0" t="s">
        <v>188</v>
      </c>
      <c r="B141" s="0" t="s">
        <v>426</v>
      </c>
      <c r="C141" s="0" t="n">
        <v>2021</v>
      </c>
      <c r="D141" s="0" t="n">
        <v>2870339</v>
      </c>
      <c r="E141" s="0" t="n">
        <v>7.72</v>
      </c>
      <c r="F141" s="0" t="n">
        <v>0</v>
      </c>
      <c r="G141" s="0" t="n">
        <v>3.38</v>
      </c>
      <c r="H141" s="0" t="n">
        <v>0</v>
      </c>
      <c r="I141" s="0" t="n">
        <v>1.85</v>
      </c>
      <c r="J141" s="0" t="n">
        <v>2.2</v>
      </c>
      <c r="K141" s="0" t="n">
        <v>0.29</v>
      </c>
      <c r="L141" s="0" t="n">
        <v>0</v>
      </c>
      <c r="M141" s="0" t="n">
        <v>0</v>
      </c>
      <c r="N141" s="0" t="n">
        <v>0</v>
      </c>
      <c r="O141" s="0" t="n">
        <v>265.54</v>
      </c>
    </row>
    <row r="142" customFormat="false" ht="15" hidden="false" customHeight="false" outlineLevel="0" collapsed="false">
      <c r="A142" s="0" t="s">
        <v>188</v>
      </c>
      <c r="B142" s="0" t="s">
        <v>426</v>
      </c>
      <c r="C142" s="0" t="n">
        <v>2022</v>
      </c>
      <c r="D142" s="0" t="n">
        <v>2880880</v>
      </c>
      <c r="E142" s="0" t="n">
        <v>9.88</v>
      </c>
      <c r="F142" s="0" t="n">
        <v>0</v>
      </c>
      <c r="G142" s="0" t="n">
        <v>3.88</v>
      </c>
      <c r="H142" s="0" t="n">
        <v>0</v>
      </c>
      <c r="I142" s="0" t="n">
        <v>2.63</v>
      </c>
      <c r="J142" s="0" t="n">
        <v>2.85</v>
      </c>
      <c r="K142" s="0" t="n">
        <v>0.52</v>
      </c>
      <c r="L142" s="0" t="n">
        <v>0</v>
      </c>
      <c r="M142" s="0" t="n">
        <v>0</v>
      </c>
      <c r="N142" s="0" t="n">
        <v>0</v>
      </c>
      <c r="O142" s="0" t="n">
        <v>240.89</v>
      </c>
    </row>
    <row r="143" customFormat="false" ht="15" hidden="false" customHeight="false" outlineLevel="0" collapsed="false">
      <c r="A143" s="0" t="s">
        <v>188</v>
      </c>
      <c r="B143" s="0" t="s">
        <v>426</v>
      </c>
      <c r="C143" s="0" t="n">
        <v>2023</v>
      </c>
      <c r="D143" s="0" t="n">
        <v>2943398</v>
      </c>
      <c r="E143" s="0" t="n">
        <v>8.65</v>
      </c>
      <c r="F143" s="0" t="n">
        <v>0</v>
      </c>
      <c r="G143" s="0" t="n">
        <v>3.72</v>
      </c>
      <c r="H143" s="0" t="n">
        <v>0</v>
      </c>
      <c r="I143" s="0" t="n">
        <v>2.51</v>
      </c>
      <c r="J143" s="0" t="n">
        <v>1.65</v>
      </c>
      <c r="K143" s="0" t="n">
        <v>0.77</v>
      </c>
      <c r="L143" s="0" t="n">
        <v>0</v>
      </c>
      <c r="M143" s="0" t="n">
        <v>0</v>
      </c>
      <c r="N143" s="0" t="n">
        <v>0</v>
      </c>
      <c r="O143" s="0" t="n">
        <v>262.43</v>
      </c>
    </row>
    <row r="144" customFormat="false" ht="15" hidden="false" customHeight="false" outlineLevel="0" collapsed="false">
      <c r="A144" s="0" t="s">
        <v>188</v>
      </c>
      <c r="B144" s="0" t="s">
        <v>426</v>
      </c>
      <c r="C144" s="0" t="n">
        <v>2024</v>
      </c>
      <c r="D144" s="0" t="n">
        <v>2973843</v>
      </c>
      <c r="E144" s="0" t="n">
        <v>9.03</v>
      </c>
      <c r="F144" s="0" t="n">
        <v>0</v>
      </c>
      <c r="G144" s="0" t="n">
        <v>3.52</v>
      </c>
      <c r="H144" s="0" t="n">
        <v>0</v>
      </c>
      <c r="I144" s="0" t="n">
        <v>2.63</v>
      </c>
      <c r="J144" s="0" t="n">
        <v>2</v>
      </c>
      <c r="K144" s="0" t="n">
        <v>0.88</v>
      </c>
      <c r="L144" s="0" t="n">
        <v>0</v>
      </c>
      <c r="M144" s="0" t="n">
        <v>0</v>
      </c>
      <c r="N144" s="0" t="n">
        <v>0</v>
      </c>
      <c r="O144" s="0" t="n">
        <v>240.31</v>
      </c>
    </row>
    <row r="145" customFormat="false" ht="15" hidden="false" customHeight="false" outlineLevel="0" collapsed="false">
      <c r="A145" s="0" t="s">
        <v>188</v>
      </c>
      <c r="B145" s="0" t="s">
        <v>426</v>
      </c>
      <c r="C145" s="0" t="n">
        <v>2025</v>
      </c>
      <c r="D145" s="0" t="n">
        <v>2952355</v>
      </c>
      <c r="E145" s="0" t="n">
        <v>9.72</v>
      </c>
      <c r="F145" s="0" t="n">
        <v>0</v>
      </c>
      <c r="G145" s="0" t="n">
        <v>3.31</v>
      </c>
      <c r="H145" s="0" t="n">
        <v>0</v>
      </c>
      <c r="I145" s="0" t="n">
        <v>2.62</v>
      </c>
      <c r="J145" s="0" t="n">
        <v>2.72</v>
      </c>
      <c r="K145" s="0" t="n">
        <v>1.07</v>
      </c>
      <c r="L145" s="0" t="n">
        <v>0</v>
      </c>
      <c r="M145" s="0" t="n">
        <v>0</v>
      </c>
      <c r="N145" s="0" t="n">
        <v>0</v>
      </c>
      <c r="O145" s="0" t="n">
        <v>211.93</v>
      </c>
    </row>
    <row r="146" customFormat="false" ht="15" hidden="false" customHeight="false" outlineLevel="0" collapsed="false">
      <c r="A146" s="0" t="s">
        <v>189</v>
      </c>
      <c r="B146" s="0" t="s">
        <v>427</v>
      </c>
      <c r="C146" s="0" t="n">
        <v>2015</v>
      </c>
      <c r="D146" s="0" t="n">
        <v>104200</v>
      </c>
      <c r="E146" s="0" t="n">
        <v>0.97</v>
      </c>
      <c r="F146" s="0" t="n">
        <v>0</v>
      </c>
      <c r="G146" s="0" t="n">
        <v>0</v>
      </c>
      <c r="H146" s="0" t="n">
        <v>0.79</v>
      </c>
      <c r="I146" s="0" t="n">
        <v>0</v>
      </c>
      <c r="J146" s="0" t="n">
        <v>0</v>
      </c>
      <c r="K146" s="0" t="n">
        <v>0.01</v>
      </c>
      <c r="L146" s="0" t="n">
        <v>0.17</v>
      </c>
      <c r="M146" s="0" t="n">
        <v>0</v>
      </c>
      <c r="N146" s="0" t="n">
        <v>0</v>
      </c>
      <c r="O146" s="0" t="n">
        <v>536.08</v>
      </c>
    </row>
    <row r="147" customFormat="false" ht="15" hidden="false" customHeight="false" outlineLevel="0" collapsed="false">
      <c r="A147" s="0" t="s">
        <v>189</v>
      </c>
      <c r="B147" s="0" t="s">
        <v>427</v>
      </c>
      <c r="C147" s="0" t="n">
        <v>2016</v>
      </c>
      <c r="D147" s="0" t="n">
        <v>104989</v>
      </c>
      <c r="E147" s="0" t="n">
        <v>0.94</v>
      </c>
      <c r="F147" s="0" t="n">
        <v>0</v>
      </c>
      <c r="G147" s="0" t="n">
        <v>0</v>
      </c>
      <c r="H147" s="0" t="n">
        <v>0.8</v>
      </c>
      <c r="I147" s="0" t="n">
        <v>0</v>
      </c>
      <c r="J147" s="0" t="n">
        <v>0</v>
      </c>
      <c r="K147" s="0" t="n">
        <v>0.01</v>
      </c>
      <c r="L147" s="0" t="n">
        <v>0.13</v>
      </c>
      <c r="M147" s="0" t="n">
        <v>0</v>
      </c>
      <c r="N147" s="0" t="n">
        <v>0</v>
      </c>
      <c r="O147" s="0" t="n">
        <v>563.83</v>
      </c>
    </row>
    <row r="148" customFormat="false" ht="15" hidden="false" customHeight="false" outlineLevel="0" collapsed="false">
      <c r="A148" s="0" t="s">
        <v>189</v>
      </c>
      <c r="B148" s="0" t="s">
        <v>427</v>
      </c>
      <c r="C148" s="0" t="n">
        <v>2017</v>
      </c>
      <c r="D148" s="0" t="n">
        <v>105737</v>
      </c>
      <c r="E148" s="0" t="n">
        <v>0.97</v>
      </c>
      <c r="F148" s="0" t="n">
        <v>0</v>
      </c>
      <c r="G148" s="0" t="n">
        <v>0</v>
      </c>
      <c r="H148" s="0" t="n">
        <v>0.83</v>
      </c>
      <c r="I148" s="0" t="n">
        <v>0</v>
      </c>
      <c r="J148" s="0" t="n">
        <v>0</v>
      </c>
      <c r="K148" s="0" t="n">
        <v>0.01</v>
      </c>
      <c r="L148" s="0" t="n">
        <v>0.13</v>
      </c>
      <c r="M148" s="0" t="n">
        <v>0</v>
      </c>
      <c r="N148" s="0" t="n">
        <v>0</v>
      </c>
      <c r="O148" s="0" t="n">
        <v>567.01</v>
      </c>
    </row>
    <row r="149" customFormat="false" ht="15" hidden="false" customHeight="false" outlineLevel="0" collapsed="false">
      <c r="A149" s="0" t="s">
        <v>189</v>
      </c>
      <c r="B149" s="0" t="s">
        <v>427</v>
      </c>
      <c r="C149" s="0" t="n">
        <v>2018</v>
      </c>
      <c r="D149" s="0" t="n">
        <v>106447</v>
      </c>
      <c r="E149" s="0" t="n">
        <v>0.97</v>
      </c>
      <c r="F149" s="0" t="n">
        <v>0</v>
      </c>
      <c r="G149" s="0" t="n">
        <v>0</v>
      </c>
      <c r="H149" s="0" t="n">
        <v>0.81</v>
      </c>
      <c r="I149" s="0" t="n">
        <v>0</v>
      </c>
      <c r="J149" s="0" t="n">
        <v>0</v>
      </c>
      <c r="K149" s="0" t="n">
        <v>0.02</v>
      </c>
      <c r="L149" s="0" t="n">
        <v>0.14</v>
      </c>
      <c r="M149" s="0" t="n">
        <v>0</v>
      </c>
      <c r="N149" s="0" t="n">
        <v>0</v>
      </c>
      <c r="O149" s="0" t="n">
        <v>546.39</v>
      </c>
    </row>
    <row r="150" customFormat="false" ht="15" hidden="false" customHeight="false" outlineLevel="0" collapsed="false">
      <c r="A150" s="0" t="s">
        <v>189</v>
      </c>
      <c r="B150" s="0" t="s">
        <v>427</v>
      </c>
      <c r="C150" s="0" t="n">
        <v>2019</v>
      </c>
      <c r="D150" s="0" t="n">
        <v>107089</v>
      </c>
      <c r="E150" s="0" t="n">
        <v>0.99</v>
      </c>
      <c r="F150" s="0" t="n">
        <v>0</v>
      </c>
      <c r="G150" s="0" t="n">
        <v>0</v>
      </c>
      <c r="H150" s="0" t="n">
        <v>0.82</v>
      </c>
      <c r="I150" s="0" t="n">
        <v>0</v>
      </c>
      <c r="J150" s="0" t="n">
        <v>0</v>
      </c>
      <c r="K150" s="0" t="n">
        <v>0.03</v>
      </c>
      <c r="L150" s="0" t="n">
        <v>0.14</v>
      </c>
      <c r="M150" s="0" t="n">
        <v>0</v>
      </c>
      <c r="N150" s="0" t="n">
        <v>0</v>
      </c>
      <c r="O150" s="0" t="n">
        <v>545.46</v>
      </c>
    </row>
    <row r="151" customFormat="false" ht="15" hidden="false" customHeight="false" outlineLevel="0" collapsed="false">
      <c r="A151" s="0" t="s">
        <v>189</v>
      </c>
      <c r="B151" s="0" t="s">
        <v>427</v>
      </c>
      <c r="C151" s="0" t="n">
        <v>2020</v>
      </c>
      <c r="D151" s="0" t="n">
        <v>107411</v>
      </c>
      <c r="E151" s="0" t="n">
        <v>0.99</v>
      </c>
      <c r="F151" s="0" t="n">
        <v>0</v>
      </c>
      <c r="G151" s="0" t="n">
        <v>0</v>
      </c>
      <c r="H151" s="0" t="n">
        <v>0.82</v>
      </c>
      <c r="I151" s="0" t="n">
        <v>0</v>
      </c>
      <c r="J151" s="0" t="n">
        <v>0</v>
      </c>
      <c r="K151" s="0" t="n">
        <v>0.03</v>
      </c>
      <c r="L151" s="0" t="n">
        <v>0.14</v>
      </c>
      <c r="M151" s="0" t="n">
        <v>0</v>
      </c>
      <c r="N151" s="0" t="n">
        <v>0</v>
      </c>
      <c r="O151" s="0" t="n">
        <v>545.46</v>
      </c>
    </row>
    <row r="152" customFormat="false" ht="15" hidden="false" customHeight="false" outlineLevel="0" collapsed="false">
      <c r="A152" s="0" t="s">
        <v>189</v>
      </c>
      <c r="B152" s="0" t="s">
        <v>427</v>
      </c>
      <c r="C152" s="0" t="n">
        <v>2021</v>
      </c>
      <c r="D152" s="0" t="n">
        <v>107565</v>
      </c>
      <c r="E152" s="0" t="n">
        <v>1</v>
      </c>
      <c r="F152" s="0" t="n">
        <v>0</v>
      </c>
      <c r="G152" s="0" t="n">
        <v>0</v>
      </c>
      <c r="H152" s="0" t="n">
        <v>0.83</v>
      </c>
      <c r="I152" s="0" t="n">
        <v>0</v>
      </c>
      <c r="J152" s="0" t="n">
        <v>0</v>
      </c>
      <c r="K152" s="0" t="n">
        <v>0.03</v>
      </c>
      <c r="L152" s="0" t="n">
        <v>0.14</v>
      </c>
      <c r="M152" s="0" t="n">
        <v>0</v>
      </c>
      <c r="N152" s="0" t="n">
        <v>0</v>
      </c>
      <c r="O152" s="0" t="n">
        <v>550</v>
      </c>
    </row>
    <row r="153" customFormat="false" ht="15" hidden="false" customHeight="false" outlineLevel="0" collapsed="false">
      <c r="A153" s="0" t="s">
        <v>189</v>
      </c>
      <c r="B153" s="0" t="s">
        <v>427</v>
      </c>
      <c r="C153" s="0" t="n">
        <v>2022</v>
      </c>
      <c r="D153" s="0" t="n">
        <v>107792</v>
      </c>
      <c r="E153" s="0" t="n">
        <v>1</v>
      </c>
      <c r="F153" s="0" t="n">
        <v>0</v>
      </c>
      <c r="G153" s="0" t="n">
        <v>0</v>
      </c>
      <c r="H153" s="0" t="n">
        <v>0.83</v>
      </c>
      <c r="I153" s="0" t="n">
        <v>0</v>
      </c>
      <c r="J153" s="0" t="n">
        <v>0</v>
      </c>
      <c r="K153" s="0" t="n">
        <v>0.03</v>
      </c>
      <c r="L153" s="0" t="n">
        <v>0.14</v>
      </c>
      <c r="M153" s="0" t="n">
        <v>0</v>
      </c>
      <c r="N153" s="0" t="n">
        <v>0</v>
      </c>
      <c r="O153" s="0" t="n">
        <v>550</v>
      </c>
    </row>
    <row r="154" customFormat="false" ht="15" hidden="false" customHeight="false" outlineLevel="0" collapsed="false">
      <c r="A154" s="0" t="s">
        <v>189</v>
      </c>
      <c r="B154" s="0" t="s">
        <v>427</v>
      </c>
      <c r="C154" s="0" t="n">
        <v>2023</v>
      </c>
      <c r="D154" s="0" t="n">
        <v>107946</v>
      </c>
      <c r="E154" s="0" t="n">
        <v>1</v>
      </c>
      <c r="F154" s="0" t="n">
        <v>0</v>
      </c>
      <c r="G154" s="0" t="n">
        <v>0</v>
      </c>
      <c r="H154" s="0" t="n">
        <v>0.83</v>
      </c>
      <c r="I154" s="0" t="n">
        <v>0</v>
      </c>
      <c r="J154" s="0" t="n">
        <v>0</v>
      </c>
      <c r="K154" s="0" t="n">
        <v>0.03</v>
      </c>
      <c r="L154" s="0" t="n">
        <v>0.14</v>
      </c>
      <c r="M154" s="0" t="n">
        <v>0</v>
      </c>
      <c r="N154" s="0" t="n">
        <v>0</v>
      </c>
      <c r="O154" s="0" t="n">
        <v>550</v>
      </c>
    </row>
    <row r="155" customFormat="false" ht="15" hidden="false" customHeight="false" outlineLevel="0" collapsed="false">
      <c r="A155" s="0" t="s">
        <v>189</v>
      </c>
      <c r="B155" s="0" t="s">
        <v>427</v>
      </c>
      <c r="C155" s="0" t="n">
        <v>2024</v>
      </c>
      <c r="D155" s="0" t="n">
        <v>108076</v>
      </c>
      <c r="E155" s="0" t="n">
        <v>1</v>
      </c>
      <c r="F155" s="0" t="n">
        <v>0</v>
      </c>
      <c r="G155" s="0" t="n">
        <v>0</v>
      </c>
      <c r="H155" s="0" t="n">
        <v>0.83</v>
      </c>
      <c r="I155" s="0" t="n">
        <v>0</v>
      </c>
      <c r="J155" s="0" t="n">
        <v>0</v>
      </c>
      <c r="K155" s="0" t="n">
        <v>0.03</v>
      </c>
      <c r="L155" s="0" t="n">
        <v>0.14</v>
      </c>
      <c r="M155" s="0" t="n">
        <v>0</v>
      </c>
      <c r="N155" s="0" t="n">
        <v>0</v>
      </c>
      <c r="O155" s="0" t="n">
        <v>550</v>
      </c>
    </row>
    <row r="156" customFormat="false" ht="15" hidden="false" customHeight="false" outlineLevel="0" collapsed="false">
      <c r="A156" s="0" t="s">
        <v>654</v>
      </c>
      <c r="C156" s="0" t="n">
        <v>2015</v>
      </c>
      <c r="D156" s="0" t="n">
        <v>4482088489</v>
      </c>
      <c r="E156" s="0" t="n">
        <v>11762.561</v>
      </c>
      <c r="F156" s="0" t="n">
        <v>6294.18</v>
      </c>
      <c r="G156" s="0" t="n">
        <v>2254.99</v>
      </c>
      <c r="H156" s="0" t="n">
        <v>630.39</v>
      </c>
      <c r="I156" s="0" t="n">
        <v>425.84</v>
      </c>
      <c r="J156" s="0" t="n">
        <v>1665.54</v>
      </c>
      <c r="K156" s="0" t="n">
        <v>91.74</v>
      </c>
      <c r="L156" s="0" t="n">
        <v>240.99</v>
      </c>
      <c r="M156" s="0" t="n">
        <v>134.37</v>
      </c>
      <c r="N156" s="0" t="n">
        <v>24.52</v>
      </c>
      <c r="O156" s="0" t="n">
        <v>651.142</v>
      </c>
    </row>
    <row r="157" customFormat="false" ht="15" hidden="false" customHeight="false" outlineLevel="0" collapsed="false">
      <c r="A157" s="0" t="s">
        <v>654</v>
      </c>
      <c r="C157" s="0" t="n">
        <v>2016</v>
      </c>
      <c r="D157" s="0" t="n">
        <v>4527178153</v>
      </c>
      <c r="E157" s="0" t="n">
        <v>12359.39</v>
      </c>
      <c r="F157" s="0" t="n">
        <v>6521.31</v>
      </c>
      <c r="G157" s="0" t="n">
        <v>2407.04</v>
      </c>
      <c r="H157" s="0" t="n">
        <v>612.06</v>
      </c>
      <c r="I157" s="0" t="n">
        <v>476.51</v>
      </c>
      <c r="J157" s="0" t="n">
        <v>1725.41</v>
      </c>
      <c r="K157" s="0" t="n">
        <v>138.73</v>
      </c>
      <c r="L157" s="0" t="n">
        <v>312.65</v>
      </c>
      <c r="M157" s="0" t="n">
        <v>139.13</v>
      </c>
      <c r="N157" s="0" t="n">
        <v>26.55</v>
      </c>
      <c r="O157" s="0" t="n">
        <v>642.652</v>
      </c>
    </row>
    <row r="158" customFormat="false" ht="15" hidden="false" customHeight="false" outlineLevel="0" collapsed="false">
      <c r="A158" s="0" t="s">
        <v>654</v>
      </c>
      <c r="C158" s="0" t="n">
        <v>2017</v>
      </c>
      <c r="D158" s="0" t="n">
        <v>4571224645</v>
      </c>
      <c r="E158" s="0" t="n">
        <v>13101.64</v>
      </c>
      <c r="F158" s="0" t="n">
        <v>6936.36</v>
      </c>
      <c r="G158" s="0" t="n">
        <v>2544.46</v>
      </c>
      <c r="H158" s="0" t="n">
        <v>551.25</v>
      </c>
      <c r="I158" s="0" t="n">
        <v>502.94</v>
      </c>
      <c r="J158" s="0" t="n">
        <v>1768.29</v>
      </c>
      <c r="K158" s="0" t="n">
        <v>218.23</v>
      </c>
      <c r="L158" s="0" t="n">
        <v>391.86</v>
      </c>
      <c r="M158" s="0" t="n">
        <v>158.79</v>
      </c>
      <c r="N158" s="0" t="n">
        <v>29.46</v>
      </c>
      <c r="O158" s="0" t="n">
        <v>638.334</v>
      </c>
    </row>
    <row r="159" customFormat="false" ht="15" hidden="false" customHeight="false" outlineLevel="0" collapsed="false">
      <c r="A159" s="0" t="s">
        <v>654</v>
      </c>
      <c r="C159" s="0" t="n">
        <v>2018</v>
      </c>
      <c r="D159" s="0" t="n">
        <v>4612352852</v>
      </c>
      <c r="E159" s="0" t="n">
        <v>13890.53</v>
      </c>
      <c r="F159" s="0" t="n">
        <v>7424.9</v>
      </c>
      <c r="G159" s="0" t="n">
        <v>2610.56</v>
      </c>
      <c r="H159" s="0" t="n">
        <v>487.87</v>
      </c>
      <c r="I159" s="0" t="n">
        <v>562.43</v>
      </c>
      <c r="J159" s="0" t="n">
        <v>1810.42</v>
      </c>
      <c r="K159" s="0" t="n">
        <v>310.35</v>
      </c>
      <c r="L159" s="0" t="n">
        <v>467.03</v>
      </c>
      <c r="M159" s="0" t="n">
        <v>185.29</v>
      </c>
      <c r="N159" s="0" t="n">
        <v>31.68</v>
      </c>
      <c r="O159" s="0" t="n">
        <v>634.525</v>
      </c>
    </row>
    <row r="160" customFormat="false" ht="15" hidden="false" customHeight="false" outlineLevel="0" collapsed="false">
      <c r="A160" s="0" t="s">
        <v>654</v>
      </c>
      <c r="C160" s="0" t="n">
        <v>2019</v>
      </c>
      <c r="D160" s="0" t="n">
        <v>4651098724</v>
      </c>
      <c r="E160" s="0" t="n">
        <v>14320.72</v>
      </c>
      <c r="F160" s="0" t="n">
        <v>7551.14</v>
      </c>
      <c r="G160" s="0" t="n">
        <v>2569.6</v>
      </c>
      <c r="H160" s="0" t="n">
        <v>465.89</v>
      </c>
      <c r="I160" s="0" t="n">
        <v>655.24</v>
      </c>
      <c r="J160" s="0" t="n">
        <v>1936.78</v>
      </c>
      <c r="K160" s="0" t="n">
        <v>384.65</v>
      </c>
      <c r="L160" s="0" t="n">
        <v>514.67</v>
      </c>
      <c r="M160" s="0" t="n">
        <v>209.72</v>
      </c>
      <c r="N160" s="0" t="n">
        <v>33.03</v>
      </c>
      <c r="O160" s="0" t="n">
        <v>620.551</v>
      </c>
    </row>
    <row r="161" customFormat="false" ht="15" hidden="false" customHeight="false" outlineLevel="0" collapsed="false">
      <c r="A161" s="0" t="s">
        <v>654</v>
      </c>
      <c r="C161" s="0" t="n">
        <v>2020</v>
      </c>
      <c r="D161" s="0" t="n">
        <v>4686811214</v>
      </c>
      <c r="E161" s="0" t="n">
        <v>14545.22</v>
      </c>
      <c r="F161" s="0" t="n">
        <v>7521.93</v>
      </c>
      <c r="G161" s="0" t="n">
        <v>2616.13</v>
      </c>
      <c r="H161" s="0" t="n">
        <v>437.12</v>
      </c>
      <c r="I161" s="0" t="n">
        <v>665.58</v>
      </c>
      <c r="J161" s="0" t="n">
        <v>1983.83</v>
      </c>
      <c r="K161" s="0" t="n">
        <v>468.25</v>
      </c>
      <c r="L161" s="0" t="n">
        <v>578.82</v>
      </c>
      <c r="M161" s="0" t="n">
        <v>237.91</v>
      </c>
      <c r="N161" s="0" t="n">
        <v>35.65</v>
      </c>
      <c r="O161" s="0" t="n">
        <v>609.931</v>
      </c>
    </row>
    <row r="162" customFormat="false" ht="15" hidden="false" customHeight="false" outlineLevel="0" collapsed="false">
      <c r="A162" s="0" t="s">
        <v>654</v>
      </c>
      <c r="C162" s="0" t="n">
        <v>2021</v>
      </c>
      <c r="D162" s="0" t="n">
        <v>4716999164</v>
      </c>
      <c r="E162" s="0" t="n">
        <v>15656.38</v>
      </c>
      <c r="F162" s="0" t="n">
        <v>8060.53</v>
      </c>
      <c r="G162" s="0" t="n">
        <v>2746.94</v>
      </c>
      <c r="H162" s="0" t="n">
        <v>468.85</v>
      </c>
      <c r="I162" s="0" t="n">
        <v>730.12</v>
      </c>
      <c r="J162" s="0" t="n">
        <v>1953.92</v>
      </c>
      <c r="K162" s="0" t="n">
        <v>587.64</v>
      </c>
      <c r="L162" s="0" t="n">
        <v>789.34</v>
      </c>
      <c r="M162" s="0" t="n">
        <v>282.96</v>
      </c>
      <c r="N162" s="0" t="n">
        <v>36.08</v>
      </c>
      <c r="O162" s="0" t="n">
        <v>604.84</v>
      </c>
    </row>
    <row r="163" customFormat="false" ht="15" hidden="false" customHeight="false" outlineLevel="0" collapsed="false">
      <c r="A163" s="0" t="s">
        <v>654</v>
      </c>
      <c r="C163" s="0" t="n">
        <v>2022</v>
      </c>
      <c r="D163" s="0" t="n">
        <v>4746329727</v>
      </c>
      <c r="E163" s="0" t="n">
        <v>16257.72</v>
      </c>
      <c r="F163" s="0" t="n">
        <v>8228.96</v>
      </c>
      <c r="G163" s="0" t="n">
        <v>2740.59</v>
      </c>
      <c r="H163" s="0" t="n">
        <v>499.48</v>
      </c>
      <c r="I163" s="0" t="n">
        <v>767.12</v>
      </c>
      <c r="J163" s="0" t="n">
        <v>2011.19</v>
      </c>
      <c r="K163" s="0" t="n">
        <v>746.54</v>
      </c>
      <c r="L163" s="0" t="n">
        <v>913.16</v>
      </c>
      <c r="M163" s="0" t="n">
        <v>313.31</v>
      </c>
      <c r="N163" s="0" t="n">
        <v>37.37</v>
      </c>
      <c r="O163" s="0" t="n">
        <v>594.34</v>
      </c>
    </row>
    <row r="164" customFormat="false" ht="15" hidden="false" customHeight="false" outlineLevel="0" collapsed="false">
      <c r="A164" s="0" t="s">
        <v>654</v>
      </c>
      <c r="C164" s="0" t="n">
        <v>2023</v>
      </c>
      <c r="D164" s="0" t="n">
        <v>4776659631</v>
      </c>
      <c r="E164" s="0" t="n">
        <v>17060.699</v>
      </c>
      <c r="F164" s="0" t="n">
        <v>8679.55</v>
      </c>
      <c r="G164" s="0" t="n">
        <v>2767.96</v>
      </c>
      <c r="H164" s="0" t="n">
        <v>502.88</v>
      </c>
      <c r="I164" s="0" t="n">
        <v>824.7</v>
      </c>
      <c r="J164" s="0" t="n">
        <v>1899.71</v>
      </c>
      <c r="K164" s="0" t="n">
        <v>953.65</v>
      </c>
      <c r="L164" s="0" t="n">
        <v>1057.4</v>
      </c>
      <c r="M164" s="0" t="n">
        <v>337.31</v>
      </c>
      <c r="N164" s="0" t="n">
        <v>37.54</v>
      </c>
      <c r="O164" s="0" t="n">
        <v>591.731</v>
      </c>
    </row>
    <row r="165" customFormat="false" ht="15" hidden="false" customHeight="false" outlineLevel="0" collapsed="false">
      <c r="A165" s="0" t="s">
        <v>654</v>
      </c>
      <c r="C165" s="0" t="n">
        <v>2024</v>
      </c>
      <c r="D165" s="0" t="n">
        <v>4805539800</v>
      </c>
      <c r="E165" s="0" t="n">
        <v>18014.91</v>
      </c>
      <c r="F165" s="0" t="n">
        <v>8868.03</v>
      </c>
      <c r="G165" s="0" t="n">
        <v>2879.37</v>
      </c>
      <c r="H165" s="0" t="n">
        <v>491.34</v>
      </c>
      <c r="I165" s="0" t="n">
        <v>864.88</v>
      </c>
      <c r="J165" s="0" t="n">
        <v>2073.31</v>
      </c>
      <c r="K165" s="0" t="n">
        <v>1269.19</v>
      </c>
      <c r="L165" s="0" t="n">
        <v>1179.2</v>
      </c>
      <c r="M165" s="0" t="n">
        <v>352.15</v>
      </c>
      <c r="N165" s="0" t="n">
        <v>37.44</v>
      </c>
      <c r="O165" s="0" t="n">
        <v>573.357</v>
      </c>
    </row>
    <row r="166" customFormat="false" ht="15" hidden="false" customHeight="false" outlineLevel="0" collapsed="false">
      <c r="A166" s="0" t="s">
        <v>655</v>
      </c>
      <c r="C166" s="0" t="n">
        <v>2015</v>
      </c>
      <c r="E166" s="0" t="n">
        <v>10374.5</v>
      </c>
      <c r="F166" s="0" t="n">
        <v>6188.4</v>
      </c>
      <c r="G166" s="0" t="n">
        <v>1439.15</v>
      </c>
      <c r="H166" s="0" t="n">
        <v>270.14</v>
      </c>
      <c r="I166" s="0" t="n">
        <v>422.34</v>
      </c>
      <c r="J166" s="0" t="n">
        <v>1581.64</v>
      </c>
      <c r="K166" s="0" t="n">
        <v>89.8</v>
      </c>
      <c r="L166" s="0" t="n">
        <v>229.05</v>
      </c>
      <c r="M166" s="0" t="n">
        <v>132.88</v>
      </c>
      <c r="N166" s="0" t="n">
        <v>21.1</v>
      </c>
      <c r="O166" s="0" t="n">
        <v>652.44</v>
      </c>
    </row>
    <row r="167" customFormat="false" ht="15" hidden="false" customHeight="false" outlineLevel="0" collapsed="false">
      <c r="A167" s="0" t="s">
        <v>655</v>
      </c>
      <c r="C167" s="0" t="n">
        <v>2016</v>
      </c>
      <c r="E167" s="0" t="n">
        <v>10924.76</v>
      </c>
      <c r="F167" s="0" t="n">
        <v>6404.39</v>
      </c>
      <c r="G167" s="0" t="n">
        <v>1539.17</v>
      </c>
      <c r="H167" s="0" t="n">
        <v>282.64</v>
      </c>
      <c r="I167" s="0" t="n">
        <v>470.04</v>
      </c>
      <c r="J167" s="0" t="n">
        <v>1638.04</v>
      </c>
      <c r="K167" s="0" t="n">
        <v>135.02</v>
      </c>
      <c r="L167" s="0" t="n">
        <v>296.51</v>
      </c>
      <c r="M167" s="0" t="n">
        <v>137.22</v>
      </c>
      <c r="N167" s="0" t="n">
        <v>21.73</v>
      </c>
      <c r="O167" s="0" t="n">
        <v>642.85</v>
      </c>
    </row>
    <row r="168" customFormat="false" ht="15" hidden="false" customHeight="false" outlineLevel="0" collapsed="false">
      <c r="A168" s="0" t="s">
        <v>655</v>
      </c>
      <c r="C168" s="0" t="n">
        <v>2017</v>
      </c>
      <c r="E168" s="0" t="n">
        <v>11563.56</v>
      </c>
      <c r="F168" s="0" t="n">
        <v>6816.16</v>
      </c>
      <c r="G168" s="0" t="n">
        <v>1574.02</v>
      </c>
      <c r="H168" s="0" t="n">
        <v>223.53</v>
      </c>
      <c r="I168" s="0" t="n">
        <v>495.98</v>
      </c>
      <c r="J168" s="0" t="n">
        <v>1689.46</v>
      </c>
      <c r="K168" s="0" t="n">
        <v>211.6</v>
      </c>
      <c r="L168" s="0" t="n">
        <v>372.97</v>
      </c>
      <c r="M168" s="0" t="n">
        <v>156.51</v>
      </c>
      <c r="N168" s="0" t="n">
        <v>23.33</v>
      </c>
      <c r="O168" s="0" t="n">
        <v>637.58</v>
      </c>
    </row>
    <row r="169" customFormat="false" ht="15" hidden="false" customHeight="false" outlineLevel="0" collapsed="false">
      <c r="A169" s="0" t="s">
        <v>655</v>
      </c>
      <c r="C169" s="0" t="n">
        <v>2018</v>
      </c>
      <c r="E169" s="0" t="n">
        <v>12342.44</v>
      </c>
      <c r="F169" s="0" t="n">
        <v>7291.86</v>
      </c>
      <c r="G169" s="0" t="n">
        <v>1611.96</v>
      </c>
      <c r="H169" s="0" t="n">
        <v>195.33</v>
      </c>
      <c r="I169" s="0" t="n">
        <v>555.54</v>
      </c>
      <c r="J169" s="0" t="n">
        <v>1737.9</v>
      </c>
      <c r="K169" s="0" t="n">
        <v>297.16</v>
      </c>
      <c r="L169" s="0" t="n">
        <v>445.48</v>
      </c>
      <c r="M169" s="0" t="n">
        <v>182.44</v>
      </c>
      <c r="N169" s="0" t="n">
        <v>24.77</v>
      </c>
      <c r="O169" s="0" t="n">
        <v>632.78</v>
      </c>
    </row>
    <row r="170" customFormat="false" ht="15" hidden="false" customHeight="false" outlineLevel="0" collapsed="false">
      <c r="A170" s="0" t="s">
        <v>655</v>
      </c>
      <c r="C170" s="0" t="n">
        <v>2019</v>
      </c>
      <c r="E170" s="0" t="n">
        <v>12731.17</v>
      </c>
      <c r="F170" s="0" t="n">
        <v>7415.57</v>
      </c>
      <c r="G170" s="0" t="n">
        <v>1609.22</v>
      </c>
      <c r="H170" s="0" t="n">
        <v>163.46</v>
      </c>
      <c r="I170" s="0" t="n">
        <v>648.83</v>
      </c>
      <c r="J170" s="0" t="n">
        <v>1807.58</v>
      </c>
      <c r="K170" s="0" t="n">
        <v>364.51</v>
      </c>
      <c r="L170" s="0" t="n">
        <v>491.18</v>
      </c>
      <c r="M170" s="0" t="n">
        <v>206.02</v>
      </c>
      <c r="N170" s="0" t="n">
        <v>24.8</v>
      </c>
      <c r="O170" s="0" t="n">
        <v>619.86</v>
      </c>
    </row>
    <row r="171" customFormat="false" ht="15" hidden="false" customHeight="false" outlineLevel="0" collapsed="false">
      <c r="A171" s="0" t="s">
        <v>655</v>
      </c>
      <c r="C171" s="0" t="n">
        <v>2020</v>
      </c>
      <c r="E171" s="0" t="n">
        <v>12938.56</v>
      </c>
      <c r="F171" s="0" t="n">
        <v>7395.14</v>
      </c>
      <c r="G171" s="0" t="n">
        <v>1613.91</v>
      </c>
      <c r="H171" s="0" t="n">
        <v>141.74</v>
      </c>
      <c r="I171" s="0" t="n">
        <v>657.62</v>
      </c>
      <c r="J171" s="0" t="n">
        <v>1876.77</v>
      </c>
      <c r="K171" s="0" t="n">
        <v>442.36</v>
      </c>
      <c r="L171" s="0" t="n">
        <v>551.45</v>
      </c>
      <c r="M171" s="0" t="n">
        <v>233.24</v>
      </c>
      <c r="N171" s="0" t="n">
        <v>26.33</v>
      </c>
      <c r="O171" s="0" t="n">
        <v>607.73</v>
      </c>
    </row>
    <row r="172" customFormat="false" ht="15" hidden="false" customHeight="false" outlineLevel="0" collapsed="false">
      <c r="A172" s="0" t="s">
        <v>655</v>
      </c>
      <c r="C172" s="0" t="n">
        <v>2021</v>
      </c>
      <c r="E172" s="0" t="n">
        <v>13970.77</v>
      </c>
      <c r="F172" s="0" t="n">
        <v>7935.77</v>
      </c>
      <c r="G172" s="0" t="n">
        <v>1653.26</v>
      </c>
      <c r="H172" s="0" t="n">
        <v>172.77</v>
      </c>
      <c r="I172" s="0" t="n">
        <v>716.03</v>
      </c>
      <c r="J172" s="0" t="n">
        <v>1879.83</v>
      </c>
      <c r="K172" s="0" t="n">
        <v>555.43</v>
      </c>
      <c r="L172" s="0" t="n">
        <v>755.22</v>
      </c>
      <c r="M172" s="0" t="n">
        <v>276.49</v>
      </c>
      <c r="N172" s="0" t="n">
        <v>25.97</v>
      </c>
      <c r="O172" s="0" t="n">
        <v>601.68</v>
      </c>
    </row>
    <row r="173" customFormat="false" ht="15" hidden="false" customHeight="false" outlineLevel="0" collapsed="false">
      <c r="A173" s="0" t="s">
        <v>655</v>
      </c>
      <c r="C173" s="0" t="n">
        <v>2022</v>
      </c>
      <c r="E173" s="0" t="n">
        <v>14524.92</v>
      </c>
      <c r="F173" s="0" t="n">
        <v>8097.93</v>
      </c>
      <c r="G173" s="0" t="n">
        <v>1640.69</v>
      </c>
      <c r="H173" s="0" t="n">
        <v>208.2</v>
      </c>
      <c r="I173" s="0" t="n">
        <v>740.45</v>
      </c>
      <c r="J173" s="0" t="n">
        <v>1926.4</v>
      </c>
      <c r="K173" s="0" t="n">
        <v>706.06</v>
      </c>
      <c r="L173" s="0" t="n">
        <v>872.68</v>
      </c>
      <c r="M173" s="0" t="n">
        <v>305.36</v>
      </c>
      <c r="N173" s="0" t="n">
        <v>27.15</v>
      </c>
      <c r="O173" s="0" t="n">
        <v>590.9</v>
      </c>
    </row>
    <row r="174" customFormat="false" ht="15" hidden="false" customHeight="false" outlineLevel="0" collapsed="false">
      <c r="A174" s="0" t="s">
        <v>655</v>
      </c>
      <c r="C174" s="0" t="n">
        <v>2023</v>
      </c>
      <c r="E174" s="0" t="n">
        <v>15250.02</v>
      </c>
      <c r="F174" s="0" t="n">
        <v>8547.71</v>
      </c>
      <c r="G174" s="0" t="n">
        <v>1649.53</v>
      </c>
      <c r="H174" s="0" t="n">
        <v>188.21</v>
      </c>
      <c r="I174" s="0" t="n">
        <v>783.62</v>
      </c>
      <c r="J174" s="0" t="n">
        <v>1810.32</v>
      </c>
      <c r="K174" s="0" t="n">
        <v>898.03</v>
      </c>
      <c r="L174" s="0" t="n">
        <v>1016.62</v>
      </c>
      <c r="M174" s="0" t="n">
        <v>328.57</v>
      </c>
      <c r="N174" s="0" t="n">
        <v>27.41</v>
      </c>
      <c r="O174" s="0" t="n">
        <v>589.14</v>
      </c>
    </row>
    <row r="175" customFormat="false" ht="15" hidden="false" customHeight="false" outlineLevel="0" collapsed="false">
      <c r="A175" s="0" t="s">
        <v>655</v>
      </c>
      <c r="C175" s="0" t="n">
        <v>2024</v>
      </c>
      <c r="E175" s="0" t="n">
        <v>16119.51</v>
      </c>
      <c r="F175" s="0" t="n">
        <v>8734.48</v>
      </c>
      <c r="G175" s="0" t="n">
        <v>1708.15</v>
      </c>
      <c r="H175" s="0" t="n">
        <v>181.11</v>
      </c>
      <c r="I175" s="0" t="n">
        <v>816.9</v>
      </c>
      <c r="J175" s="0" t="n">
        <v>1976.39</v>
      </c>
      <c r="K175" s="0" t="n">
        <v>1196.86</v>
      </c>
      <c r="L175" s="0" t="n">
        <v>1135.45</v>
      </c>
      <c r="M175" s="0" t="n">
        <v>342.93</v>
      </c>
      <c r="N175" s="0" t="n">
        <v>27.24</v>
      </c>
      <c r="O175" s="0" t="n">
        <v>569.52</v>
      </c>
    </row>
    <row r="176" customFormat="false" ht="15" hidden="false" customHeight="false" outlineLevel="0" collapsed="false">
      <c r="A176" s="0" t="s">
        <v>655</v>
      </c>
      <c r="C176" s="0" t="n">
        <v>2025</v>
      </c>
      <c r="E176" s="0" t="n">
        <v>16728.881</v>
      </c>
      <c r="F176" s="0" t="n">
        <v>8625.72</v>
      </c>
      <c r="G176" s="0" t="n">
        <v>1708.95</v>
      </c>
      <c r="H176" s="0" t="n">
        <v>183.24</v>
      </c>
      <c r="I176" s="0" t="n">
        <v>849.78</v>
      </c>
      <c r="J176" s="0" t="n">
        <v>2053.25</v>
      </c>
      <c r="K176" s="0" t="n">
        <v>1623.46</v>
      </c>
      <c r="L176" s="0" t="n">
        <v>1304.87</v>
      </c>
      <c r="M176" s="0" t="n">
        <v>352.78</v>
      </c>
      <c r="N176" s="0" t="n">
        <v>26.83</v>
      </c>
      <c r="O176" s="0" t="n">
        <v>544.4</v>
      </c>
    </row>
    <row r="177" customFormat="false" ht="15" hidden="false" customHeight="false" outlineLevel="0" collapsed="false">
      <c r="A177" s="0" t="s">
        <v>656</v>
      </c>
      <c r="C177" s="0" t="n">
        <v>2015</v>
      </c>
      <c r="E177" s="0" t="n">
        <v>10433.888</v>
      </c>
      <c r="F177" s="0" t="n">
        <v>6275.99</v>
      </c>
      <c r="G177" s="0" t="n">
        <v>1380.459</v>
      </c>
      <c r="H177" s="0" t="n">
        <v>253.151</v>
      </c>
      <c r="I177" s="0" t="n">
        <v>419.749</v>
      </c>
      <c r="J177" s="0" t="n">
        <v>1565.903</v>
      </c>
      <c r="K177" s="0" t="n">
        <v>96.215</v>
      </c>
      <c r="L177" s="0" t="n">
        <v>243.003</v>
      </c>
    </row>
    <row r="178" customFormat="false" ht="15" hidden="false" customHeight="false" outlineLevel="0" collapsed="false">
      <c r="A178" s="0" t="s">
        <v>656</v>
      </c>
      <c r="C178" s="0" t="n">
        <v>2016</v>
      </c>
      <c r="E178" s="0" t="n">
        <v>10975.852</v>
      </c>
      <c r="F178" s="0" t="n">
        <v>6477.281</v>
      </c>
      <c r="G178" s="0" t="n">
        <v>1445.653</v>
      </c>
      <c r="H178" s="0" t="n">
        <v>243.259</v>
      </c>
      <c r="I178" s="0" t="n">
        <v>467.701</v>
      </c>
      <c r="J178" s="0" t="n">
        <v>1628.491</v>
      </c>
      <c r="K178" s="0" t="n">
        <v>142.35</v>
      </c>
      <c r="L178" s="0" t="n">
        <v>311.227</v>
      </c>
    </row>
    <row r="179" customFormat="false" ht="15" hidden="false" customHeight="false" outlineLevel="0" collapsed="false">
      <c r="A179" s="0" t="s">
        <v>656</v>
      </c>
      <c r="C179" s="0" t="n">
        <v>2017</v>
      </c>
      <c r="E179" s="0" t="n">
        <v>11603.016</v>
      </c>
      <c r="F179" s="0" t="n">
        <v>6869.49</v>
      </c>
      <c r="G179" s="0" t="n">
        <v>1478.087</v>
      </c>
      <c r="H179" s="0" t="n">
        <v>194.542</v>
      </c>
      <c r="I179" s="0" t="n">
        <v>493.577</v>
      </c>
      <c r="J179" s="0" t="n">
        <v>1672.056</v>
      </c>
      <c r="K179" s="0" t="n">
        <v>220.509</v>
      </c>
      <c r="L179" s="0" t="n">
        <v>387.547</v>
      </c>
    </row>
    <row r="180" customFormat="false" ht="15" hidden="false" customHeight="false" outlineLevel="0" collapsed="false">
      <c r="A180" s="0" t="s">
        <v>656</v>
      </c>
      <c r="C180" s="0" t="n">
        <v>2018</v>
      </c>
      <c r="E180" s="0" t="n">
        <v>12399.812</v>
      </c>
      <c r="F180" s="0" t="n">
        <v>7344.55</v>
      </c>
      <c r="G180" s="0" t="n">
        <v>1512.217</v>
      </c>
      <c r="H180" s="0" t="n">
        <v>164.715</v>
      </c>
      <c r="I180" s="0" t="n">
        <v>553.589</v>
      </c>
      <c r="J180" s="0" t="n">
        <v>1725.89</v>
      </c>
      <c r="K180" s="0" t="n">
        <v>309.566</v>
      </c>
      <c r="L180" s="0" t="n">
        <v>463.018</v>
      </c>
    </row>
    <row r="181" customFormat="false" ht="15" hidden="false" customHeight="false" outlineLevel="0" collapsed="false">
      <c r="A181" s="0" t="s">
        <v>656</v>
      </c>
      <c r="C181" s="0" t="n">
        <v>2019</v>
      </c>
      <c r="E181" s="0" t="n">
        <v>12800.716</v>
      </c>
      <c r="F181" s="0" t="n">
        <v>7460.324</v>
      </c>
      <c r="G181" s="0" t="n">
        <v>1529.29</v>
      </c>
      <c r="H181" s="0" t="n">
        <v>126.954</v>
      </c>
      <c r="I181" s="0" t="n">
        <v>646.915</v>
      </c>
      <c r="J181" s="0" t="n">
        <v>1791.154</v>
      </c>
      <c r="K181" s="0" t="n">
        <v>391.154</v>
      </c>
      <c r="L181" s="0" t="n">
        <v>512.325</v>
      </c>
    </row>
    <row r="182" customFormat="false" ht="15" hidden="false" customHeight="false" outlineLevel="0" collapsed="false">
      <c r="A182" s="0" t="s">
        <v>656</v>
      </c>
      <c r="C182" s="0" t="n">
        <v>2020</v>
      </c>
      <c r="E182" s="0" t="n">
        <v>12986.742</v>
      </c>
      <c r="F182" s="0" t="n">
        <v>7435.862</v>
      </c>
      <c r="G182" s="0" t="n">
        <v>1505.181</v>
      </c>
      <c r="H182" s="0" t="n">
        <v>103.147</v>
      </c>
      <c r="I182" s="0" t="n">
        <v>654.986</v>
      </c>
      <c r="J182" s="0" t="n">
        <v>1865.898</v>
      </c>
      <c r="K182" s="0" t="n">
        <v>469.768</v>
      </c>
      <c r="L182" s="0" t="n">
        <v>574.995</v>
      </c>
    </row>
    <row r="183" customFormat="false" ht="15" hidden="false" customHeight="false" outlineLevel="0" collapsed="false">
      <c r="A183" s="0" t="s">
        <v>656</v>
      </c>
      <c r="C183" s="0" t="n">
        <v>2021</v>
      </c>
      <c r="E183" s="0" t="n">
        <v>13994.504</v>
      </c>
      <c r="F183" s="0" t="n">
        <v>7974.474</v>
      </c>
      <c r="G183" s="0" t="n">
        <v>1529.357</v>
      </c>
      <c r="H183" s="0" t="n">
        <v>119.341</v>
      </c>
      <c r="I183" s="0" t="n">
        <v>714.138</v>
      </c>
      <c r="J183" s="0" t="n">
        <v>1864.579</v>
      </c>
      <c r="K183" s="0" t="n">
        <v>584.985</v>
      </c>
      <c r="L183" s="0" t="n">
        <v>781.61</v>
      </c>
    </row>
    <row r="184" customFormat="false" ht="15" hidden="false" customHeight="false" outlineLevel="0" collapsed="false">
      <c r="A184" s="0" t="s">
        <v>656</v>
      </c>
      <c r="C184" s="0" t="n">
        <v>2022</v>
      </c>
      <c r="E184" s="0" t="n">
        <v>14533.493</v>
      </c>
      <c r="F184" s="0" t="n">
        <v>8129.431</v>
      </c>
      <c r="G184" s="0" t="n">
        <v>1501.359</v>
      </c>
      <c r="H184" s="0" t="n">
        <v>141.178</v>
      </c>
      <c r="I184" s="0" t="n">
        <v>737.808</v>
      </c>
      <c r="J184" s="0" t="n">
        <v>1911.576</v>
      </c>
      <c r="K184" s="0" t="n">
        <v>736.622</v>
      </c>
      <c r="L184" s="0" t="n">
        <v>901.405</v>
      </c>
    </row>
    <row r="185" customFormat="false" ht="15" hidden="false" customHeight="false" outlineLevel="0" collapsed="false">
      <c r="A185" s="0" t="s">
        <v>656</v>
      </c>
      <c r="C185" s="0" t="n">
        <v>2023</v>
      </c>
      <c r="E185" s="0" t="n">
        <v>15258.936</v>
      </c>
      <c r="F185" s="0" t="n">
        <v>8586.434</v>
      </c>
      <c r="G185" s="0" t="n">
        <v>1511.505</v>
      </c>
      <c r="H185" s="0" t="n">
        <v>105.534</v>
      </c>
      <c r="I185" s="0" t="n">
        <v>781.054</v>
      </c>
      <c r="J185" s="0" t="n">
        <v>1794.188</v>
      </c>
      <c r="K185" s="0" t="n">
        <v>932.968</v>
      </c>
      <c r="L185" s="0" t="n">
        <v>1045.561</v>
      </c>
    </row>
    <row r="186" customFormat="false" ht="15" hidden="false" customHeight="false" outlineLevel="0" collapsed="false">
      <c r="A186" s="0" t="s">
        <v>656</v>
      </c>
      <c r="C186" s="0" t="n">
        <v>2024</v>
      </c>
      <c r="E186" s="0" t="n">
        <v>16132.352</v>
      </c>
      <c r="F186" s="0" t="n">
        <v>8776.034</v>
      </c>
      <c r="G186" s="0" t="n">
        <v>1575.546</v>
      </c>
      <c r="H186" s="0" t="n">
        <v>91.551</v>
      </c>
      <c r="I186" s="0" t="n">
        <v>814.189</v>
      </c>
      <c r="J186" s="0" t="n">
        <v>1952.599</v>
      </c>
      <c r="K186" s="0" t="n">
        <v>1220.304</v>
      </c>
      <c r="L186" s="0" t="n">
        <v>1163.384</v>
      </c>
    </row>
    <row r="187" customFormat="false" ht="15" hidden="false" customHeight="false" outlineLevel="0" collapsed="false">
      <c r="A187" s="0" t="s">
        <v>657</v>
      </c>
      <c r="C187" s="0" t="n">
        <v>2015</v>
      </c>
    </row>
    <row r="188" customFormat="false" ht="15" hidden="false" customHeight="false" outlineLevel="0" collapsed="false">
      <c r="A188" s="0" t="s">
        <v>657</v>
      </c>
      <c r="C188" s="0" t="n">
        <v>2016</v>
      </c>
    </row>
    <row r="189" customFormat="false" ht="15" hidden="false" customHeight="false" outlineLevel="0" collapsed="false">
      <c r="A189" s="0" t="s">
        <v>657</v>
      </c>
      <c r="C189" s="0" t="n">
        <v>2017</v>
      </c>
    </row>
    <row r="190" customFormat="false" ht="15" hidden="false" customHeight="false" outlineLevel="0" collapsed="false">
      <c r="A190" s="0" t="s">
        <v>657</v>
      </c>
      <c r="C190" s="0" t="n">
        <v>2018</v>
      </c>
    </row>
    <row r="191" customFormat="false" ht="15" hidden="false" customHeight="false" outlineLevel="0" collapsed="false">
      <c r="A191" s="0" t="s">
        <v>657</v>
      </c>
      <c r="C191" s="0" t="n">
        <v>2019</v>
      </c>
    </row>
    <row r="192" customFormat="false" ht="15" hidden="false" customHeight="false" outlineLevel="0" collapsed="false">
      <c r="A192" s="0" t="s">
        <v>657</v>
      </c>
      <c r="C192" s="0" t="n">
        <v>2020</v>
      </c>
    </row>
    <row r="193" customFormat="false" ht="15" hidden="false" customHeight="false" outlineLevel="0" collapsed="false">
      <c r="A193" s="0" t="s">
        <v>657</v>
      </c>
      <c r="C193" s="0" t="n">
        <v>2021</v>
      </c>
    </row>
    <row r="194" customFormat="false" ht="15" hidden="false" customHeight="false" outlineLevel="0" collapsed="false">
      <c r="A194" s="0" t="s">
        <v>657</v>
      </c>
      <c r="C194" s="0" t="n">
        <v>2022</v>
      </c>
    </row>
    <row r="195" customFormat="false" ht="15" hidden="false" customHeight="false" outlineLevel="0" collapsed="false">
      <c r="A195" s="0" t="s">
        <v>657</v>
      </c>
      <c r="C195" s="0" t="n">
        <v>2023</v>
      </c>
    </row>
    <row r="196" customFormat="false" ht="15" hidden="false" customHeight="false" outlineLevel="0" collapsed="false">
      <c r="A196" s="0" t="s">
        <v>658</v>
      </c>
      <c r="C196" s="0" t="n">
        <v>2015</v>
      </c>
    </row>
    <row r="197" customFormat="false" ht="15" hidden="false" customHeight="false" outlineLevel="0" collapsed="false">
      <c r="A197" s="0" t="s">
        <v>658</v>
      </c>
      <c r="C197" s="0" t="n">
        <v>2016</v>
      </c>
    </row>
    <row r="198" customFormat="false" ht="15" hidden="false" customHeight="false" outlineLevel="0" collapsed="false">
      <c r="A198" s="0" t="s">
        <v>190</v>
      </c>
      <c r="B198" s="0" t="s">
        <v>428</v>
      </c>
      <c r="C198" s="0" t="n">
        <v>2015</v>
      </c>
      <c r="D198" s="0" t="n">
        <v>23947997</v>
      </c>
      <c r="E198" s="0" t="n">
        <v>253.99</v>
      </c>
      <c r="F198" s="0" t="n">
        <v>162.2</v>
      </c>
      <c r="G198" s="0" t="n">
        <v>49.71</v>
      </c>
      <c r="H198" s="0" t="n">
        <v>6.28</v>
      </c>
      <c r="I198" s="0" t="n">
        <v>0</v>
      </c>
      <c r="J198" s="0" t="n">
        <v>14.09</v>
      </c>
      <c r="K198" s="0" t="n">
        <v>6.2</v>
      </c>
      <c r="L198" s="0" t="n">
        <v>11.83</v>
      </c>
      <c r="M198" s="0" t="n">
        <v>3.68</v>
      </c>
      <c r="O198" s="0" t="n">
        <v>729.71</v>
      </c>
    </row>
    <row r="199" customFormat="false" ht="15" hidden="false" customHeight="false" outlineLevel="0" collapsed="false">
      <c r="A199" s="0" t="s">
        <v>190</v>
      </c>
      <c r="B199" s="0" t="s">
        <v>428</v>
      </c>
      <c r="C199" s="0" t="n">
        <v>2016</v>
      </c>
      <c r="D199" s="0" t="n">
        <v>24329963</v>
      </c>
      <c r="E199" s="0" t="n">
        <v>258.23</v>
      </c>
      <c r="F199" s="0" t="n">
        <v>162.36</v>
      </c>
      <c r="G199" s="0" t="n">
        <v>48.11</v>
      </c>
      <c r="H199" s="0" t="n">
        <v>6.02</v>
      </c>
      <c r="I199" s="0" t="n">
        <v>0</v>
      </c>
      <c r="J199" s="0" t="n">
        <v>17.63</v>
      </c>
      <c r="K199" s="0" t="n">
        <v>7.44</v>
      </c>
      <c r="L199" s="0" t="n">
        <v>13.04</v>
      </c>
      <c r="M199" s="0" t="n">
        <v>3.63</v>
      </c>
      <c r="O199" s="0" t="n">
        <v>713.51</v>
      </c>
    </row>
    <row r="200" customFormat="false" ht="15" hidden="false" customHeight="false" outlineLevel="0" collapsed="false">
      <c r="A200" s="0" t="s">
        <v>190</v>
      </c>
      <c r="B200" s="0" t="s">
        <v>428</v>
      </c>
      <c r="C200" s="0" t="n">
        <v>2017</v>
      </c>
      <c r="D200" s="0" t="n">
        <v>24731044</v>
      </c>
      <c r="E200" s="0" t="n">
        <v>258.97</v>
      </c>
      <c r="F200" s="0" t="n">
        <v>159.17</v>
      </c>
      <c r="G200" s="0" t="n">
        <v>55.09</v>
      </c>
      <c r="H200" s="0" t="n">
        <v>5.52</v>
      </c>
      <c r="I200" s="0" t="n">
        <v>0</v>
      </c>
      <c r="J200" s="0" t="n">
        <v>13.5</v>
      </c>
      <c r="K200" s="0" t="n">
        <v>8.92</v>
      </c>
      <c r="L200" s="0" t="n">
        <v>13.21</v>
      </c>
      <c r="M200" s="0" t="n">
        <v>3.56</v>
      </c>
      <c r="O200" s="0" t="n">
        <v>718.08</v>
      </c>
    </row>
    <row r="201" customFormat="false" ht="15" hidden="false" customHeight="false" outlineLevel="0" collapsed="false">
      <c r="A201" s="0" t="s">
        <v>190</v>
      </c>
      <c r="B201" s="0" t="s">
        <v>428</v>
      </c>
      <c r="C201" s="0" t="n">
        <v>2018</v>
      </c>
      <c r="D201" s="0" t="n">
        <v>25119700</v>
      </c>
      <c r="E201" s="0" t="n">
        <v>262.63</v>
      </c>
      <c r="F201" s="0" t="n">
        <v>156.56</v>
      </c>
      <c r="G201" s="0" t="n">
        <v>51.46</v>
      </c>
      <c r="H201" s="0" t="n">
        <v>5.12</v>
      </c>
      <c r="I201" s="0" t="n">
        <v>0</v>
      </c>
      <c r="J201" s="0" t="n">
        <v>17.31</v>
      </c>
      <c r="K201" s="0" t="n">
        <v>12.33</v>
      </c>
      <c r="L201" s="0" t="n">
        <v>16.26</v>
      </c>
      <c r="M201" s="0" t="n">
        <v>3.59</v>
      </c>
      <c r="O201" s="0" t="n">
        <v>688.42</v>
      </c>
    </row>
    <row r="202" customFormat="false" ht="15" hidden="false" customHeight="false" outlineLevel="0" collapsed="false">
      <c r="A202" s="0" t="s">
        <v>190</v>
      </c>
      <c r="B202" s="0" t="s">
        <v>428</v>
      </c>
      <c r="C202" s="0" t="n">
        <v>2019</v>
      </c>
      <c r="D202" s="0" t="n">
        <v>25482714</v>
      </c>
      <c r="E202" s="0" t="n">
        <v>265.9</v>
      </c>
      <c r="F202" s="0" t="n">
        <v>149.84</v>
      </c>
      <c r="G202" s="0" t="n">
        <v>55.71</v>
      </c>
      <c r="H202" s="0" t="n">
        <v>5.09</v>
      </c>
      <c r="I202" s="0" t="n">
        <v>0</v>
      </c>
      <c r="J202" s="0" t="n">
        <v>14.02</v>
      </c>
      <c r="K202" s="0" t="n">
        <v>18.3</v>
      </c>
      <c r="L202" s="0" t="n">
        <v>19.47</v>
      </c>
      <c r="M202" s="0" t="n">
        <v>3.47</v>
      </c>
      <c r="O202" s="0" t="n">
        <v>670.1</v>
      </c>
    </row>
    <row r="203" customFormat="false" ht="15" hidden="false" customHeight="false" outlineLevel="0" collapsed="false">
      <c r="A203" s="0" t="s">
        <v>190</v>
      </c>
      <c r="B203" s="0" t="s">
        <v>428</v>
      </c>
      <c r="C203" s="0" t="n">
        <v>2020</v>
      </c>
      <c r="D203" s="0" t="n">
        <v>25743787</v>
      </c>
      <c r="E203" s="0" t="n">
        <v>265.15</v>
      </c>
      <c r="F203" s="0" t="n">
        <v>142.93</v>
      </c>
      <c r="G203" s="0" t="n">
        <v>53.05</v>
      </c>
      <c r="H203" s="0" t="n">
        <v>4.89</v>
      </c>
      <c r="I203" s="0" t="n">
        <v>0</v>
      </c>
      <c r="J203" s="0" t="n">
        <v>14.42</v>
      </c>
      <c r="K203" s="0" t="n">
        <v>23.84</v>
      </c>
      <c r="L203" s="0" t="n">
        <v>22.61</v>
      </c>
      <c r="M203" s="0" t="n">
        <v>3.41</v>
      </c>
      <c r="O203" s="0" t="n">
        <v>642.32</v>
      </c>
    </row>
    <row r="204" customFormat="false" ht="15" hidden="false" customHeight="false" outlineLevel="0" collapsed="false">
      <c r="A204" s="0" t="s">
        <v>190</v>
      </c>
      <c r="B204" s="0" t="s">
        <v>428</v>
      </c>
      <c r="C204" s="0" t="n">
        <v>2021</v>
      </c>
      <c r="D204" s="0" t="n">
        <v>25956417</v>
      </c>
      <c r="E204" s="0" t="n">
        <v>267.45</v>
      </c>
      <c r="F204" s="0" t="n">
        <v>137.4</v>
      </c>
      <c r="G204" s="0" t="n">
        <v>47.63</v>
      </c>
      <c r="H204" s="0" t="n">
        <v>5.15</v>
      </c>
      <c r="I204" s="0" t="n">
        <v>0</v>
      </c>
      <c r="J204" s="0" t="n">
        <v>15.94</v>
      </c>
      <c r="K204" s="0" t="n">
        <v>31.19</v>
      </c>
      <c r="L204" s="0" t="n">
        <v>26.8</v>
      </c>
      <c r="M204" s="0" t="n">
        <v>3.34</v>
      </c>
      <c r="O204" s="0" t="n">
        <v>605.91</v>
      </c>
    </row>
    <row r="205" customFormat="false" ht="15" hidden="false" customHeight="false" outlineLevel="0" collapsed="false">
      <c r="A205" s="0" t="s">
        <v>190</v>
      </c>
      <c r="B205" s="0" t="s">
        <v>428</v>
      </c>
      <c r="C205" s="0" t="n">
        <v>2022</v>
      </c>
      <c r="D205" s="0" t="n">
        <v>26200987</v>
      </c>
      <c r="E205" s="0" t="n">
        <v>272.92</v>
      </c>
      <c r="F205" s="0" t="n">
        <v>129.21</v>
      </c>
      <c r="G205" s="0" t="n">
        <v>50.82</v>
      </c>
      <c r="H205" s="0" t="n">
        <v>5.45</v>
      </c>
      <c r="I205" s="0" t="n">
        <v>0</v>
      </c>
      <c r="J205" s="0" t="n">
        <v>16.66</v>
      </c>
      <c r="K205" s="0" t="n">
        <v>37.54</v>
      </c>
      <c r="L205" s="0" t="n">
        <v>30.05</v>
      </c>
      <c r="M205" s="0" t="n">
        <v>3.19</v>
      </c>
      <c r="O205" s="0" t="n">
        <v>577.86</v>
      </c>
    </row>
    <row r="206" customFormat="false" ht="15" hidden="false" customHeight="false" outlineLevel="0" collapsed="false">
      <c r="A206" s="0" t="s">
        <v>190</v>
      </c>
      <c r="B206" s="0" t="s">
        <v>428</v>
      </c>
      <c r="C206" s="0" t="n">
        <v>2023</v>
      </c>
      <c r="D206" s="0" t="n">
        <v>26451126</v>
      </c>
      <c r="E206" s="0" t="n">
        <v>273.11</v>
      </c>
      <c r="F206" s="0" t="n">
        <v>125.61</v>
      </c>
      <c r="G206" s="0" t="n">
        <v>46.67</v>
      </c>
      <c r="H206" s="0" t="n">
        <v>5.76</v>
      </c>
      <c r="I206" s="0" t="n">
        <v>0</v>
      </c>
      <c r="J206" s="0" t="n">
        <v>15.08</v>
      </c>
      <c r="K206" s="0" t="n">
        <v>44.99</v>
      </c>
      <c r="L206" s="0" t="n">
        <v>31.87</v>
      </c>
      <c r="M206" s="0" t="n">
        <v>3.13</v>
      </c>
      <c r="O206" s="0" t="n">
        <v>556.7</v>
      </c>
    </row>
    <row r="207" customFormat="false" ht="15" hidden="false" customHeight="false" outlineLevel="0" collapsed="false">
      <c r="A207" s="0" t="s">
        <v>190</v>
      </c>
      <c r="B207" s="0" t="s">
        <v>428</v>
      </c>
      <c r="C207" s="0" t="n">
        <v>2024</v>
      </c>
      <c r="D207" s="0" t="n">
        <v>26713206</v>
      </c>
      <c r="E207" s="0" t="n">
        <v>281.64</v>
      </c>
      <c r="F207" s="0" t="n">
        <v>127.33</v>
      </c>
      <c r="G207" s="0" t="n">
        <v>49.1</v>
      </c>
      <c r="H207" s="0" t="n">
        <v>6.42</v>
      </c>
      <c r="I207" s="0" t="n">
        <v>0</v>
      </c>
      <c r="J207" s="0" t="n">
        <v>12.85</v>
      </c>
      <c r="K207" s="0" t="n">
        <v>50.21</v>
      </c>
      <c r="L207" s="0" t="n">
        <v>32.74</v>
      </c>
      <c r="M207" s="0" t="n">
        <v>2.99</v>
      </c>
      <c r="O207" s="0" t="n">
        <v>553.83</v>
      </c>
    </row>
    <row r="208" customFormat="false" ht="15" hidden="false" customHeight="false" outlineLevel="0" collapsed="false">
      <c r="A208" s="0" t="s">
        <v>190</v>
      </c>
      <c r="B208" s="0" t="s">
        <v>428</v>
      </c>
      <c r="C208" s="0" t="n">
        <v>2025</v>
      </c>
      <c r="D208" s="0" t="n">
        <v>26974024</v>
      </c>
      <c r="E208" s="0" t="n">
        <v>286.34</v>
      </c>
      <c r="F208" s="0" t="n">
        <v>122.35</v>
      </c>
      <c r="G208" s="0" t="n">
        <v>47.05</v>
      </c>
      <c r="H208" s="0" t="n">
        <v>6.36</v>
      </c>
      <c r="J208" s="0" t="n">
        <v>12.22</v>
      </c>
      <c r="K208" s="0" t="n">
        <v>56.09</v>
      </c>
      <c r="L208" s="0" t="n">
        <v>39.23</v>
      </c>
      <c r="M208" s="0" t="n">
        <v>3.04</v>
      </c>
      <c r="O208" s="0" t="n">
        <v>525.18</v>
      </c>
    </row>
    <row r="209" customFormat="false" ht="15" hidden="false" customHeight="false" outlineLevel="0" collapsed="false">
      <c r="A209" s="0" t="s">
        <v>659</v>
      </c>
      <c r="C209" s="0" t="n">
        <v>2015</v>
      </c>
    </row>
    <row r="210" customFormat="false" ht="15" hidden="false" customHeight="false" outlineLevel="0" collapsed="false">
      <c r="A210" s="0" t="s">
        <v>659</v>
      </c>
      <c r="C210" s="0" t="n">
        <v>2016</v>
      </c>
    </row>
    <row r="211" customFormat="false" ht="15" hidden="false" customHeight="false" outlineLevel="0" collapsed="false">
      <c r="A211" s="0" t="s">
        <v>659</v>
      </c>
      <c r="C211" s="0" t="n">
        <v>2017</v>
      </c>
    </row>
    <row r="212" customFormat="false" ht="15" hidden="false" customHeight="false" outlineLevel="0" collapsed="false">
      <c r="A212" s="0" t="s">
        <v>659</v>
      </c>
      <c r="C212" s="0" t="n">
        <v>2018</v>
      </c>
    </row>
    <row r="213" customFormat="false" ht="15" hidden="false" customHeight="false" outlineLevel="0" collapsed="false">
      <c r="A213" s="0" t="s">
        <v>659</v>
      </c>
      <c r="C213" s="0" t="n">
        <v>2019</v>
      </c>
    </row>
    <row r="214" customFormat="false" ht="15" hidden="false" customHeight="false" outlineLevel="0" collapsed="false">
      <c r="A214" s="0" t="s">
        <v>659</v>
      </c>
      <c r="C214" s="0" t="n">
        <v>2020</v>
      </c>
    </row>
    <row r="215" customFormat="false" ht="15" hidden="false" customHeight="false" outlineLevel="0" collapsed="false">
      <c r="A215" s="0" t="s">
        <v>659</v>
      </c>
      <c r="C215" s="0" t="n">
        <v>2021</v>
      </c>
    </row>
    <row r="216" customFormat="false" ht="15" hidden="false" customHeight="false" outlineLevel="0" collapsed="false">
      <c r="A216" s="0" t="s">
        <v>659</v>
      </c>
      <c r="C216" s="0" t="n">
        <v>2022</v>
      </c>
    </row>
    <row r="217" customFormat="false" ht="15" hidden="false" customHeight="false" outlineLevel="0" collapsed="false">
      <c r="A217" s="0" t="s">
        <v>659</v>
      </c>
      <c r="C217" s="0" t="n">
        <v>2023</v>
      </c>
    </row>
    <row r="218" customFormat="false" ht="15" hidden="false" customHeight="false" outlineLevel="0" collapsed="false">
      <c r="A218" s="0" t="s">
        <v>191</v>
      </c>
      <c r="B218" s="0" t="s">
        <v>429</v>
      </c>
      <c r="C218" s="0" t="n">
        <v>2015</v>
      </c>
      <c r="D218" s="0" t="n">
        <v>8644037</v>
      </c>
      <c r="E218" s="0" t="n">
        <v>61.78</v>
      </c>
      <c r="F218" s="0" t="n">
        <v>2.95</v>
      </c>
      <c r="G218" s="0" t="n">
        <v>7.66</v>
      </c>
      <c r="H218" s="0" t="n">
        <v>3.58</v>
      </c>
      <c r="I218" s="0" t="n">
        <v>0</v>
      </c>
      <c r="J218" s="0" t="n">
        <v>37.16</v>
      </c>
      <c r="K218" s="0" t="n">
        <v>0.94</v>
      </c>
      <c r="L218" s="0" t="n">
        <v>4.84</v>
      </c>
      <c r="M218" s="0" t="n">
        <v>4.65</v>
      </c>
      <c r="N218" s="0" t="n">
        <v>0</v>
      </c>
      <c r="O218" s="0" t="n">
        <v>172.06</v>
      </c>
    </row>
    <row r="219" customFormat="false" ht="15" hidden="false" customHeight="false" outlineLevel="0" collapsed="false">
      <c r="A219" s="0" t="s">
        <v>191</v>
      </c>
      <c r="B219" s="0" t="s">
        <v>429</v>
      </c>
      <c r="C219" s="0" t="n">
        <v>2016</v>
      </c>
      <c r="D219" s="0" t="n">
        <v>8737920</v>
      </c>
      <c r="E219" s="0" t="n">
        <v>64.87</v>
      </c>
      <c r="F219" s="0" t="n">
        <v>2.04</v>
      </c>
      <c r="G219" s="0" t="n">
        <v>8.49</v>
      </c>
      <c r="H219" s="0" t="n">
        <v>3.26</v>
      </c>
      <c r="I219" s="0" t="n">
        <v>0</v>
      </c>
      <c r="J219" s="0" t="n">
        <v>39.97</v>
      </c>
      <c r="K219" s="0" t="n">
        <v>1.1</v>
      </c>
      <c r="L219" s="0" t="n">
        <v>5.23</v>
      </c>
      <c r="M219" s="0" t="n">
        <v>4.78</v>
      </c>
      <c r="N219" s="0" t="n">
        <v>0</v>
      </c>
      <c r="O219" s="0" t="n">
        <v>154.62</v>
      </c>
    </row>
    <row r="220" customFormat="false" ht="15" hidden="false" customHeight="false" outlineLevel="0" collapsed="false">
      <c r="A220" s="0" t="s">
        <v>191</v>
      </c>
      <c r="B220" s="0" t="s">
        <v>429</v>
      </c>
      <c r="C220" s="0" t="n">
        <v>2017</v>
      </c>
      <c r="D220" s="0" t="n">
        <v>8798779</v>
      </c>
      <c r="E220" s="0" t="n">
        <v>67.09</v>
      </c>
      <c r="F220" s="0" t="n">
        <v>1.76</v>
      </c>
      <c r="G220" s="0" t="n">
        <v>10.91</v>
      </c>
      <c r="H220" s="0" t="n">
        <v>3.37</v>
      </c>
      <c r="I220" s="0" t="n">
        <v>0</v>
      </c>
      <c r="J220" s="0" t="n">
        <v>38.29</v>
      </c>
      <c r="K220" s="0" t="n">
        <v>1.27</v>
      </c>
      <c r="L220" s="0" t="n">
        <v>6.57</v>
      </c>
      <c r="M220" s="0" t="n">
        <v>4.92</v>
      </c>
      <c r="N220" s="0" t="n">
        <v>0</v>
      </c>
      <c r="O220" s="0" t="n">
        <v>162.92</v>
      </c>
    </row>
    <row r="221" customFormat="false" ht="15" hidden="false" customHeight="false" outlineLevel="0" collapsed="false">
      <c r="A221" s="0" t="s">
        <v>191</v>
      </c>
      <c r="B221" s="0" t="s">
        <v>429</v>
      </c>
      <c r="C221" s="0" t="n">
        <v>2018</v>
      </c>
      <c r="D221" s="0" t="n">
        <v>8841653</v>
      </c>
      <c r="E221" s="0" t="n">
        <v>64.67</v>
      </c>
      <c r="F221" s="0" t="n">
        <v>1.81</v>
      </c>
      <c r="G221" s="0" t="n">
        <v>9.92</v>
      </c>
      <c r="H221" s="0" t="n">
        <v>2.88</v>
      </c>
      <c r="I221" s="0" t="n">
        <v>0</v>
      </c>
      <c r="J221" s="0" t="n">
        <v>37.64</v>
      </c>
      <c r="K221" s="0" t="n">
        <v>1.46</v>
      </c>
      <c r="L221" s="0" t="n">
        <v>6.03</v>
      </c>
      <c r="M221" s="0" t="n">
        <v>4.93</v>
      </c>
      <c r="N221" s="0" t="n">
        <v>0</v>
      </c>
      <c r="O221" s="0" t="n">
        <v>157.88</v>
      </c>
    </row>
    <row r="222" customFormat="false" ht="15" hidden="false" customHeight="false" outlineLevel="0" collapsed="false">
      <c r="A222" s="0" t="s">
        <v>191</v>
      </c>
      <c r="B222" s="0" t="s">
        <v>429</v>
      </c>
      <c r="C222" s="0" t="n">
        <v>2019</v>
      </c>
      <c r="D222" s="0" t="n">
        <v>8880876</v>
      </c>
      <c r="E222" s="0" t="n">
        <v>70.69</v>
      </c>
      <c r="F222" s="0" t="n">
        <v>1.5</v>
      </c>
      <c r="G222" s="0" t="n">
        <v>11.32</v>
      </c>
      <c r="H222" s="0" t="n">
        <v>3.23</v>
      </c>
      <c r="I222" s="0" t="n">
        <v>0</v>
      </c>
      <c r="J222" s="0" t="n">
        <v>40.83</v>
      </c>
      <c r="K222" s="0" t="n">
        <v>1.7</v>
      </c>
      <c r="L222" s="0" t="n">
        <v>7.45</v>
      </c>
      <c r="M222" s="0" t="n">
        <v>4.66</v>
      </c>
      <c r="N222" s="0" t="n">
        <v>0</v>
      </c>
      <c r="O222" s="0" t="n">
        <v>152.78</v>
      </c>
    </row>
    <row r="223" customFormat="false" ht="15" hidden="false" customHeight="false" outlineLevel="0" collapsed="false">
      <c r="A223" s="0" t="s">
        <v>191</v>
      </c>
      <c r="B223" s="0" t="s">
        <v>429</v>
      </c>
      <c r="C223" s="0" t="n">
        <v>2020</v>
      </c>
      <c r="D223" s="0" t="n">
        <v>8921402</v>
      </c>
      <c r="E223" s="0" t="n">
        <v>69.03</v>
      </c>
      <c r="F223" s="0" t="n">
        <v>0.56</v>
      </c>
      <c r="G223" s="0" t="n">
        <v>9.95</v>
      </c>
      <c r="H223" s="0" t="n">
        <v>3.1</v>
      </c>
      <c r="I223" s="0" t="n">
        <v>0</v>
      </c>
      <c r="J223" s="0" t="n">
        <v>42</v>
      </c>
      <c r="K223" s="0" t="n">
        <v>2.04</v>
      </c>
      <c r="L223" s="0" t="n">
        <v>6.79</v>
      </c>
      <c r="M223" s="0" t="n">
        <v>4.59</v>
      </c>
      <c r="N223" s="0" t="n">
        <v>0</v>
      </c>
      <c r="O223" s="0" t="n">
        <v>133.28</v>
      </c>
    </row>
    <row r="224" customFormat="false" ht="15" hidden="false" customHeight="false" outlineLevel="0" collapsed="false">
      <c r="A224" s="0" t="s">
        <v>191</v>
      </c>
      <c r="B224" s="0" t="s">
        <v>429</v>
      </c>
      <c r="C224" s="0" t="n">
        <v>2021</v>
      </c>
      <c r="D224" s="0" t="n">
        <v>8967053</v>
      </c>
      <c r="E224" s="0" t="n">
        <v>66.67</v>
      </c>
      <c r="F224" s="0" t="n">
        <v>0</v>
      </c>
      <c r="G224" s="0" t="n">
        <v>10.62</v>
      </c>
      <c r="H224" s="0" t="n">
        <v>3.3</v>
      </c>
      <c r="I224" s="0" t="n">
        <v>0</v>
      </c>
      <c r="J224" s="0" t="n">
        <v>38.75</v>
      </c>
      <c r="K224" s="0" t="n">
        <v>2.78</v>
      </c>
      <c r="L224" s="0" t="n">
        <v>6.74</v>
      </c>
      <c r="M224" s="0" t="n">
        <v>4.48</v>
      </c>
      <c r="N224" s="0" t="n">
        <v>0</v>
      </c>
      <c r="O224" s="0" t="n">
        <v>135.29</v>
      </c>
    </row>
    <row r="225" customFormat="false" ht="15" hidden="false" customHeight="false" outlineLevel="0" collapsed="false">
      <c r="A225" s="0" t="s">
        <v>191</v>
      </c>
      <c r="B225" s="0" t="s">
        <v>429</v>
      </c>
      <c r="C225" s="0" t="n">
        <v>2022</v>
      </c>
      <c r="D225" s="0" t="n">
        <v>9064678</v>
      </c>
      <c r="E225" s="0" t="n">
        <v>64.47</v>
      </c>
      <c r="F225" s="0" t="n">
        <v>0</v>
      </c>
      <c r="G225" s="0" t="n">
        <v>10.85</v>
      </c>
      <c r="H225" s="0" t="n">
        <v>3.21</v>
      </c>
      <c r="I225" s="0" t="n">
        <v>0</v>
      </c>
      <c r="J225" s="0" t="n">
        <v>34.63</v>
      </c>
      <c r="K225" s="0" t="n">
        <v>3.79</v>
      </c>
      <c r="L225" s="0" t="n">
        <v>7.24</v>
      </c>
      <c r="M225" s="0" t="n">
        <v>4.75</v>
      </c>
      <c r="N225" s="0" t="n">
        <v>0</v>
      </c>
      <c r="O225" s="0" t="n">
        <v>140.84</v>
      </c>
    </row>
    <row r="226" customFormat="false" ht="15" hidden="false" customHeight="false" outlineLevel="0" collapsed="false">
      <c r="A226" s="0" t="s">
        <v>191</v>
      </c>
      <c r="B226" s="0" t="s">
        <v>429</v>
      </c>
      <c r="C226" s="0" t="n">
        <v>2023</v>
      </c>
      <c r="D226" s="0" t="n">
        <v>9130434</v>
      </c>
      <c r="E226" s="0" t="n">
        <v>70.98</v>
      </c>
      <c r="F226" s="0" t="n">
        <v>0</v>
      </c>
      <c r="G226" s="0" t="n">
        <v>7.5</v>
      </c>
      <c r="H226" s="0" t="n">
        <v>3.32</v>
      </c>
      <c r="I226" s="0" t="n">
        <v>0</v>
      </c>
      <c r="J226" s="0" t="n">
        <v>40.67</v>
      </c>
      <c r="K226" s="0" t="n">
        <v>6.89</v>
      </c>
      <c r="L226" s="0" t="n">
        <v>8.04</v>
      </c>
      <c r="M226" s="0" t="n">
        <v>4.56</v>
      </c>
      <c r="N226" s="0" t="n">
        <v>0</v>
      </c>
      <c r="O226" s="0" t="n">
        <v>111.72</v>
      </c>
    </row>
    <row r="227" customFormat="false" ht="15" hidden="false" customHeight="false" outlineLevel="0" collapsed="false">
      <c r="A227" s="0" t="s">
        <v>191</v>
      </c>
      <c r="B227" s="0" t="s">
        <v>429</v>
      </c>
      <c r="C227" s="0" t="n">
        <v>2024</v>
      </c>
      <c r="D227" s="0" t="n">
        <v>9120815</v>
      </c>
      <c r="E227" s="0" t="n">
        <v>78.47</v>
      </c>
      <c r="F227" s="0" t="n">
        <v>0</v>
      </c>
      <c r="G227" s="0" t="n">
        <v>7.54</v>
      </c>
      <c r="H227" s="0" t="n">
        <v>3.27</v>
      </c>
      <c r="I227" s="0" t="n">
        <v>0</v>
      </c>
      <c r="J227" s="0" t="n">
        <v>45.71</v>
      </c>
      <c r="K227" s="0" t="n">
        <v>8.14</v>
      </c>
      <c r="L227" s="0" t="n">
        <v>9.14</v>
      </c>
      <c r="M227" s="0" t="n">
        <v>4.67</v>
      </c>
      <c r="N227" s="0" t="n">
        <v>0</v>
      </c>
      <c r="O227" s="0" t="n">
        <v>103.48</v>
      </c>
    </row>
    <row r="228" customFormat="false" ht="15" hidden="false" customHeight="false" outlineLevel="0" collapsed="false">
      <c r="A228" s="0" t="s">
        <v>191</v>
      </c>
      <c r="B228" s="0" t="s">
        <v>429</v>
      </c>
      <c r="C228" s="0" t="n">
        <v>2025</v>
      </c>
      <c r="D228" s="0" t="n">
        <v>9113578</v>
      </c>
      <c r="E228" s="0" t="n">
        <v>73.22</v>
      </c>
      <c r="F228" s="0" t="n">
        <v>0</v>
      </c>
      <c r="G228" s="0" t="n">
        <v>8.74</v>
      </c>
      <c r="H228" s="0" t="n">
        <v>3.27</v>
      </c>
      <c r="I228" s="0" t="n">
        <v>0</v>
      </c>
      <c r="J228" s="0" t="n">
        <v>37.93</v>
      </c>
      <c r="K228" s="0" t="n">
        <v>10.31</v>
      </c>
      <c r="L228" s="0" t="n">
        <v>8.31</v>
      </c>
      <c r="M228" s="0" t="n">
        <v>4.66</v>
      </c>
      <c r="N228" s="0" t="n">
        <v>0</v>
      </c>
      <c r="O228" s="0" t="n">
        <v>116.91</v>
      </c>
    </row>
    <row r="229" customFormat="false" ht="15" hidden="false" customHeight="false" outlineLevel="0" collapsed="false">
      <c r="A229" s="0" t="s">
        <v>192</v>
      </c>
      <c r="B229" s="0" t="s">
        <v>430</v>
      </c>
      <c r="C229" s="0" t="n">
        <v>2015</v>
      </c>
      <c r="D229" s="0" t="n">
        <v>9752859</v>
      </c>
      <c r="E229" s="0" t="n">
        <v>24.57</v>
      </c>
      <c r="F229" s="0" t="n">
        <v>0</v>
      </c>
      <c r="G229" s="0" t="n">
        <v>21.25</v>
      </c>
      <c r="H229" s="0" t="n">
        <v>1.61</v>
      </c>
      <c r="I229" s="0" t="n">
        <v>0</v>
      </c>
      <c r="J229" s="0" t="n">
        <v>1.62</v>
      </c>
      <c r="K229" s="0" t="n">
        <v>0</v>
      </c>
      <c r="L229" s="0" t="n">
        <v>0</v>
      </c>
      <c r="M229" s="0" t="n">
        <v>0.09</v>
      </c>
      <c r="N229" s="0" t="n">
        <v>0</v>
      </c>
      <c r="O229" s="0" t="n">
        <v>663.82</v>
      </c>
    </row>
    <row r="230" customFormat="false" ht="15" hidden="false" customHeight="false" outlineLevel="0" collapsed="false">
      <c r="A230" s="0" t="s">
        <v>192</v>
      </c>
      <c r="B230" s="0" t="s">
        <v>430</v>
      </c>
      <c r="C230" s="0" t="n">
        <v>2016</v>
      </c>
      <c r="D230" s="0" t="n">
        <v>9868434</v>
      </c>
      <c r="E230" s="0" t="n">
        <v>24.85</v>
      </c>
      <c r="F230" s="0" t="n">
        <v>0</v>
      </c>
      <c r="G230" s="0" t="n">
        <v>20.17</v>
      </c>
      <c r="H230" s="0" t="n">
        <v>2.59</v>
      </c>
      <c r="I230" s="0" t="n">
        <v>0</v>
      </c>
      <c r="J230" s="0" t="n">
        <v>1.94</v>
      </c>
      <c r="K230" s="0" t="n">
        <v>0.04</v>
      </c>
      <c r="L230" s="0" t="n">
        <v>0.02</v>
      </c>
      <c r="M230" s="0" t="n">
        <v>0.09</v>
      </c>
      <c r="N230" s="0" t="n">
        <v>0</v>
      </c>
      <c r="O230" s="0" t="n">
        <v>651.51</v>
      </c>
    </row>
    <row r="231" customFormat="false" ht="15" hidden="false" customHeight="false" outlineLevel="0" collapsed="false">
      <c r="A231" s="0" t="s">
        <v>192</v>
      </c>
      <c r="B231" s="0" t="s">
        <v>430</v>
      </c>
      <c r="C231" s="0" t="n">
        <v>2017</v>
      </c>
      <c r="D231" s="0" t="n">
        <v>9968510</v>
      </c>
      <c r="E231" s="0" t="n">
        <v>24.22</v>
      </c>
      <c r="F231" s="0" t="n">
        <v>0</v>
      </c>
      <c r="G231" s="0" t="n">
        <v>21.02</v>
      </c>
      <c r="H231" s="0" t="n">
        <v>1.32</v>
      </c>
      <c r="I231" s="0" t="n">
        <v>0</v>
      </c>
      <c r="J231" s="0" t="n">
        <v>1.73</v>
      </c>
      <c r="K231" s="0" t="n">
        <v>0.04</v>
      </c>
      <c r="L231" s="0" t="n">
        <v>0.02</v>
      </c>
      <c r="M231" s="0" t="n">
        <v>0.09</v>
      </c>
      <c r="N231" s="0" t="n">
        <v>0</v>
      </c>
      <c r="O231" s="0" t="n">
        <v>658.96</v>
      </c>
    </row>
    <row r="232" customFormat="false" ht="15" hidden="false" customHeight="false" outlineLevel="0" collapsed="false">
      <c r="A232" s="0" t="s">
        <v>192</v>
      </c>
      <c r="B232" s="0" t="s">
        <v>430</v>
      </c>
      <c r="C232" s="0" t="n">
        <v>2018</v>
      </c>
      <c r="D232" s="0" t="n">
        <v>10039782</v>
      </c>
      <c r="E232" s="0" t="n">
        <v>25.13</v>
      </c>
      <c r="F232" s="0" t="n">
        <v>0</v>
      </c>
      <c r="G232" s="0" t="n">
        <v>23.13</v>
      </c>
      <c r="H232" s="0" t="n">
        <v>0.05</v>
      </c>
      <c r="I232" s="0" t="n">
        <v>0</v>
      </c>
      <c r="J232" s="0" t="n">
        <v>1.75</v>
      </c>
      <c r="K232" s="0" t="n">
        <v>0.04</v>
      </c>
      <c r="L232" s="0" t="n">
        <v>0.08</v>
      </c>
      <c r="M232" s="0" t="n">
        <v>0.08</v>
      </c>
      <c r="N232" s="0" t="n">
        <v>0</v>
      </c>
      <c r="O232" s="0" t="n">
        <v>661.76</v>
      </c>
    </row>
    <row r="233" customFormat="false" ht="15" hidden="false" customHeight="false" outlineLevel="0" collapsed="false">
      <c r="A233" s="0" t="s">
        <v>192</v>
      </c>
      <c r="B233" s="0" t="s">
        <v>430</v>
      </c>
      <c r="C233" s="0" t="n">
        <v>2019</v>
      </c>
      <c r="D233" s="0" t="n">
        <v>10110483</v>
      </c>
      <c r="E233" s="0" t="n">
        <v>25.95</v>
      </c>
      <c r="F233" s="0" t="n">
        <v>0</v>
      </c>
      <c r="G233" s="0" t="n">
        <v>24.11</v>
      </c>
      <c r="H233" s="0" t="n">
        <v>0.05</v>
      </c>
      <c r="I233" s="0" t="n">
        <v>0</v>
      </c>
      <c r="J233" s="0" t="n">
        <v>1.55</v>
      </c>
      <c r="K233" s="0" t="n">
        <v>0.04</v>
      </c>
      <c r="L233" s="0" t="n">
        <v>0.1</v>
      </c>
      <c r="M233" s="0" t="n">
        <v>0.1</v>
      </c>
      <c r="N233" s="0" t="n">
        <v>0</v>
      </c>
      <c r="O233" s="0" t="n">
        <v>667.82</v>
      </c>
    </row>
    <row r="234" customFormat="false" ht="15" hidden="false" customHeight="false" outlineLevel="0" collapsed="false">
      <c r="A234" s="0" t="s">
        <v>192</v>
      </c>
      <c r="B234" s="0" t="s">
        <v>430</v>
      </c>
      <c r="C234" s="0" t="n">
        <v>2020</v>
      </c>
      <c r="D234" s="0" t="n">
        <v>10181736</v>
      </c>
      <c r="E234" s="0" t="n">
        <v>25.75</v>
      </c>
      <c r="F234" s="0" t="n">
        <v>0</v>
      </c>
      <c r="G234" s="0" t="n">
        <v>24.38</v>
      </c>
      <c r="H234" s="0" t="n">
        <v>0.05</v>
      </c>
      <c r="I234" s="0" t="n">
        <v>0</v>
      </c>
      <c r="J234" s="0" t="n">
        <v>1.07</v>
      </c>
      <c r="K234" s="0" t="n">
        <v>0.05</v>
      </c>
      <c r="L234" s="0" t="n">
        <v>0.1</v>
      </c>
      <c r="M234" s="0" t="n">
        <v>0.1</v>
      </c>
      <c r="N234" s="0" t="n">
        <v>0</v>
      </c>
      <c r="O234" s="0" t="n">
        <v>680</v>
      </c>
    </row>
    <row r="235" customFormat="false" ht="15" hidden="false" customHeight="false" outlineLevel="0" collapsed="false">
      <c r="A235" s="0" t="s">
        <v>192</v>
      </c>
      <c r="B235" s="0" t="s">
        <v>430</v>
      </c>
      <c r="C235" s="0" t="n">
        <v>2021</v>
      </c>
      <c r="D235" s="0" t="n">
        <v>10234372</v>
      </c>
      <c r="E235" s="0" t="n">
        <v>27.79</v>
      </c>
      <c r="F235" s="0" t="n">
        <v>0</v>
      </c>
      <c r="G235" s="0" t="n">
        <v>25.64</v>
      </c>
      <c r="H235" s="0" t="n">
        <v>0.63</v>
      </c>
      <c r="I235" s="0" t="n">
        <v>0</v>
      </c>
      <c r="J235" s="0" t="n">
        <v>1.28</v>
      </c>
      <c r="K235" s="0" t="n">
        <v>0.05</v>
      </c>
      <c r="L235" s="0" t="n">
        <v>0.09</v>
      </c>
      <c r="M235" s="0" t="n">
        <v>0.1</v>
      </c>
      <c r="N235" s="0" t="n">
        <v>0</v>
      </c>
      <c r="O235" s="0" t="n">
        <v>676.14</v>
      </c>
    </row>
    <row r="236" customFormat="false" ht="15" hidden="false" customHeight="false" outlineLevel="0" collapsed="false">
      <c r="A236" s="0" t="s">
        <v>192</v>
      </c>
      <c r="B236" s="0" t="s">
        <v>430</v>
      </c>
      <c r="C236" s="0" t="n">
        <v>2022</v>
      </c>
      <c r="D236" s="0" t="n">
        <v>10295307</v>
      </c>
      <c r="E236" s="0" t="n">
        <v>28.94</v>
      </c>
      <c r="F236" s="0" t="n">
        <v>0</v>
      </c>
      <c r="G236" s="0" t="n">
        <v>27.01</v>
      </c>
      <c r="H236" s="0" t="n">
        <v>0.09</v>
      </c>
      <c r="I236" s="0" t="n">
        <v>0</v>
      </c>
      <c r="J236" s="0" t="n">
        <v>1.6</v>
      </c>
      <c r="K236" s="0" t="n">
        <v>0.06</v>
      </c>
      <c r="L236" s="0" t="n">
        <v>0.08</v>
      </c>
      <c r="M236" s="0" t="n">
        <v>0.1</v>
      </c>
      <c r="N236" s="0" t="n">
        <v>0</v>
      </c>
      <c r="O236" s="0" t="n">
        <v>671.39</v>
      </c>
    </row>
    <row r="237" customFormat="false" ht="15" hidden="false" customHeight="false" outlineLevel="0" collapsed="false">
      <c r="A237" s="0" t="s">
        <v>192</v>
      </c>
      <c r="B237" s="0" t="s">
        <v>430</v>
      </c>
      <c r="C237" s="0" t="n">
        <v>2023</v>
      </c>
      <c r="D237" s="0" t="n">
        <v>10318209</v>
      </c>
      <c r="E237" s="0" t="n">
        <v>29.09</v>
      </c>
      <c r="F237" s="0" t="n">
        <v>0</v>
      </c>
      <c r="G237" s="0" t="n">
        <v>27.08</v>
      </c>
      <c r="H237" s="0" t="n">
        <v>0.11</v>
      </c>
      <c r="I237" s="0" t="n">
        <v>0</v>
      </c>
      <c r="J237" s="0" t="n">
        <v>1.64</v>
      </c>
      <c r="K237" s="0" t="n">
        <v>0.07</v>
      </c>
      <c r="L237" s="0" t="n">
        <v>0.08</v>
      </c>
      <c r="M237" s="0" t="n">
        <v>0.11</v>
      </c>
      <c r="N237" s="0" t="n">
        <v>0</v>
      </c>
      <c r="O237" s="0" t="n">
        <v>669.99</v>
      </c>
    </row>
    <row r="238" customFormat="false" ht="15" hidden="false" customHeight="false" outlineLevel="0" collapsed="false">
      <c r="A238" s="0" t="s">
        <v>192</v>
      </c>
      <c r="B238" s="0" t="s">
        <v>430</v>
      </c>
      <c r="C238" s="0" t="n">
        <v>2024</v>
      </c>
      <c r="D238" s="0" t="n">
        <v>10336577</v>
      </c>
      <c r="E238" s="0" t="n">
        <v>27.84</v>
      </c>
      <c r="F238" s="0" t="n">
        <v>0</v>
      </c>
      <c r="G238" s="0" t="n">
        <v>24.5</v>
      </c>
      <c r="H238" s="0" t="n">
        <v>0.07</v>
      </c>
      <c r="I238" s="0" t="n">
        <v>0</v>
      </c>
      <c r="J238" s="0" t="n">
        <v>3</v>
      </c>
      <c r="K238" s="0" t="n">
        <v>0.08</v>
      </c>
      <c r="L238" s="0" t="n">
        <v>0.09</v>
      </c>
      <c r="M238" s="0" t="n">
        <v>0.1</v>
      </c>
      <c r="N238" s="0" t="n">
        <v>0</v>
      </c>
      <c r="O238" s="0" t="n">
        <v>634.34</v>
      </c>
    </row>
    <row r="239" customFormat="false" ht="15" hidden="false" customHeight="false" outlineLevel="0" collapsed="false">
      <c r="A239" s="0" t="s">
        <v>192</v>
      </c>
      <c r="B239" s="0" t="s">
        <v>430</v>
      </c>
      <c r="C239" s="0" t="n">
        <v>2025</v>
      </c>
      <c r="D239" s="0" t="n">
        <v>10397712</v>
      </c>
      <c r="E239" s="0" t="n">
        <v>28.09</v>
      </c>
      <c r="F239" s="0" t="n">
        <v>0</v>
      </c>
      <c r="G239" s="0" t="n">
        <v>24.61</v>
      </c>
      <c r="H239" s="0" t="n">
        <v>0.07</v>
      </c>
      <c r="I239" s="0" t="n">
        <v>0</v>
      </c>
      <c r="J239" s="0" t="n">
        <v>3.22</v>
      </c>
      <c r="K239" s="0" t="n">
        <v>0</v>
      </c>
      <c r="L239" s="0" t="n">
        <v>0.09</v>
      </c>
      <c r="M239" s="0" t="n">
        <v>0.1</v>
      </c>
      <c r="N239" s="0" t="n">
        <v>0</v>
      </c>
      <c r="O239" s="0" t="n">
        <v>631.9</v>
      </c>
    </row>
    <row r="240" customFormat="false" ht="15" hidden="false" customHeight="false" outlineLevel="0" collapsed="false">
      <c r="A240" s="0" t="s">
        <v>193</v>
      </c>
      <c r="B240" s="0" t="s">
        <v>431</v>
      </c>
      <c r="C240" s="0" t="n">
        <v>2015</v>
      </c>
      <c r="D240" s="0" t="n">
        <v>385355</v>
      </c>
      <c r="E240" s="0" t="n">
        <v>2</v>
      </c>
      <c r="F240" s="0" t="n">
        <v>0</v>
      </c>
      <c r="G240" s="0" t="n">
        <v>0</v>
      </c>
      <c r="H240" s="0" t="n">
        <v>2</v>
      </c>
      <c r="I240" s="0" t="n">
        <v>0</v>
      </c>
      <c r="J240" s="0" t="n">
        <v>0</v>
      </c>
      <c r="K240" s="0" t="n">
        <v>0</v>
      </c>
      <c r="L240" s="0" t="n">
        <v>0</v>
      </c>
      <c r="M240" s="0" t="n">
        <v>0</v>
      </c>
      <c r="N240" s="0" t="n">
        <v>0</v>
      </c>
      <c r="O240" s="0" t="n">
        <v>660</v>
      </c>
    </row>
    <row r="241" customFormat="false" ht="15" hidden="false" customHeight="false" outlineLevel="0" collapsed="false">
      <c r="A241" s="0" t="s">
        <v>193</v>
      </c>
      <c r="B241" s="0" t="s">
        <v>431</v>
      </c>
      <c r="C241" s="0" t="n">
        <v>2016</v>
      </c>
      <c r="D241" s="0" t="n">
        <v>388060</v>
      </c>
      <c r="E241" s="0" t="n">
        <v>1.97</v>
      </c>
      <c r="F241" s="0" t="n">
        <v>0</v>
      </c>
      <c r="G241" s="0" t="n">
        <v>0</v>
      </c>
      <c r="H241" s="0" t="n">
        <v>1.97</v>
      </c>
      <c r="I241" s="0" t="n">
        <v>0</v>
      </c>
      <c r="J241" s="0" t="n">
        <v>0</v>
      </c>
      <c r="K241" s="0" t="n">
        <v>0</v>
      </c>
      <c r="L241" s="0" t="n">
        <v>0</v>
      </c>
      <c r="M241" s="0" t="n">
        <v>0</v>
      </c>
      <c r="N241" s="0" t="n">
        <v>0</v>
      </c>
      <c r="O241" s="0" t="n">
        <v>659.9</v>
      </c>
    </row>
    <row r="242" customFormat="false" ht="15" hidden="false" customHeight="false" outlineLevel="0" collapsed="false">
      <c r="A242" s="0" t="s">
        <v>193</v>
      </c>
      <c r="B242" s="0" t="s">
        <v>431</v>
      </c>
      <c r="C242" s="0" t="n">
        <v>2017</v>
      </c>
      <c r="D242" s="0" t="n">
        <v>390496</v>
      </c>
      <c r="E242" s="0" t="n">
        <v>1.99</v>
      </c>
      <c r="F242" s="0" t="n">
        <v>0</v>
      </c>
      <c r="G242" s="0" t="n">
        <v>0</v>
      </c>
      <c r="H242" s="0" t="n">
        <v>1.99</v>
      </c>
      <c r="I242" s="0" t="n">
        <v>0</v>
      </c>
      <c r="J242" s="0" t="n">
        <v>0</v>
      </c>
      <c r="K242" s="0" t="n">
        <v>0</v>
      </c>
      <c r="L242" s="0" t="n">
        <v>0</v>
      </c>
      <c r="M242" s="0" t="n">
        <v>0</v>
      </c>
      <c r="N242" s="0" t="n">
        <v>0</v>
      </c>
      <c r="O242" s="0" t="n">
        <v>658.29</v>
      </c>
    </row>
    <row r="243" customFormat="false" ht="15" hidden="false" customHeight="false" outlineLevel="0" collapsed="false">
      <c r="A243" s="0" t="s">
        <v>193</v>
      </c>
      <c r="B243" s="0" t="s">
        <v>431</v>
      </c>
      <c r="C243" s="0" t="n">
        <v>2018</v>
      </c>
      <c r="D243" s="0" t="n">
        <v>392718</v>
      </c>
      <c r="E243" s="0" t="n">
        <v>2</v>
      </c>
      <c r="F243" s="0" t="n">
        <v>0</v>
      </c>
      <c r="G243" s="0" t="n">
        <v>0</v>
      </c>
      <c r="H243" s="0" t="n">
        <v>2</v>
      </c>
      <c r="I243" s="0" t="n">
        <v>0</v>
      </c>
      <c r="J243" s="0" t="n">
        <v>0</v>
      </c>
      <c r="K243" s="0" t="n">
        <v>0</v>
      </c>
      <c r="L243" s="0" t="n">
        <v>0</v>
      </c>
      <c r="M243" s="0" t="n">
        <v>0</v>
      </c>
      <c r="N243" s="0" t="n">
        <v>0</v>
      </c>
      <c r="O243" s="0" t="n">
        <v>660</v>
      </c>
    </row>
    <row r="244" customFormat="false" ht="15" hidden="false" customHeight="false" outlineLevel="0" collapsed="false">
      <c r="A244" s="0" t="s">
        <v>193</v>
      </c>
      <c r="B244" s="0" t="s">
        <v>431</v>
      </c>
      <c r="C244" s="0" t="n">
        <v>2019</v>
      </c>
      <c r="D244" s="0" t="n">
        <v>394684</v>
      </c>
      <c r="E244" s="0" t="n">
        <v>2.01</v>
      </c>
      <c r="F244" s="0" t="n">
        <v>0</v>
      </c>
      <c r="G244" s="0" t="n">
        <v>0</v>
      </c>
      <c r="H244" s="0" t="n">
        <v>2.01</v>
      </c>
      <c r="I244" s="0" t="n">
        <v>0</v>
      </c>
      <c r="J244" s="0" t="n">
        <v>0</v>
      </c>
      <c r="K244" s="0" t="n">
        <v>0</v>
      </c>
      <c r="L244" s="0" t="n">
        <v>0</v>
      </c>
      <c r="M244" s="0" t="n">
        <v>0</v>
      </c>
      <c r="N244" s="0" t="n">
        <v>0</v>
      </c>
      <c r="O244" s="0" t="n">
        <v>656.72</v>
      </c>
    </row>
    <row r="245" customFormat="false" ht="15" hidden="false" customHeight="false" outlineLevel="0" collapsed="false">
      <c r="A245" s="0" t="s">
        <v>193</v>
      </c>
      <c r="B245" s="0" t="s">
        <v>431</v>
      </c>
      <c r="C245" s="0" t="n">
        <v>2020</v>
      </c>
      <c r="D245" s="0" t="n">
        <v>395874</v>
      </c>
      <c r="E245" s="0" t="n">
        <v>2.03</v>
      </c>
      <c r="F245" s="0" t="n">
        <v>0</v>
      </c>
      <c r="G245" s="0" t="n">
        <v>0</v>
      </c>
      <c r="H245" s="0" t="n">
        <v>2.02</v>
      </c>
      <c r="I245" s="0" t="n">
        <v>0</v>
      </c>
      <c r="J245" s="0" t="n">
        <v>0</v>
      </c>
      <c r="K245" s="0" t="n">
        <v>0.01</v>
      </c>
      <c r="L245" s="0" t="n">
        <v>0</v>
      </c>
      <c r="M245" s="0" t="n">
        <v>0</v>
      </c>
      <c r="N245" s="0" t="n">
        <v>0</v>
      </c>
      <c r="O245" s="0" t="n">
        <v>655.17</v>
      </c>
    </row>
    <row r="246" customFormat="false" ht="15" hidden="false" customHeight="false" outlineLevel="0" collapsed="false">
      <c r="A246" s="0" t="s">
        <v>193</v>
      </c>
      <c r="B246" s="0" t="s">
        <v>431</v>
      </c>
      <c r="C246" s="0" t="n">
        <v>2021</v>
      </c>
      <c r="D246" s="0" t="n">
        <v>396381</v>
      </c>
      <c r="E246" s="0" t="n">
        <v>2.04</v>
      </c>
      <c r="F246" s="0" t="n">
        <v>0</v>
      </c>
      <c r="G246" s="0" t="n">
        <v>0</v>
      </c>
      <c r="H246" s="0" t="n">
        <v>2.03</v>
      </c>
      <c r="I246" s="0" t="n">
        <v>0</v>
      </c>
      <c r="J246" s="0" t="n">
        <v>0</v>
      </c>
      <c r="K246" s="0" t="n">
        <v>0.01</v>
      </c>
      <c r="L246" s="0" t="n">
        <v>0</v>
      </c>
      <c r="M246" s="0" t="n">
        <v>0</v>
      </c>
      <c r="N246" s="0" t="n">
        <v>0</v>
      </c>
      <c r="O246" s="0" t="n">
        <v>656.86</v>
      </c>
    </row>
    <row r="247" customFormat="false" ht="15" hidden="false" customHeight="false" outlineLevel="0" collapsed="false">
      <c r="A247" s="0" t="s">
        <v>193</v>
      </c>
      <c r="B247" s="0" t="s">
        <v>431</v>
      </c>
      <c r="C247" s="0" t="n">
        <v>2022</v>
      </c>
      <c r="D247" s="0" t="n">
        <v>397542</v>
      </c>
      <c r="E247" s="0" t="n">
        <v>2.05</v>
      </c>
      <c r="F247" s="0" t="n">
        <v>0</v>
      </c>
      <c r="G247" s="0" t="n">
        <v>0</v>
      </c>
      <c r="H247" s="0" t="n">
        <v>2.03</v>
      </c>
      <c r="I247" s="0" t="n">
        <v>0</v>
      </c>
      <c r="J247" s="0" t="n">
        <v>0</v>
      </c>
      <c r="K247" s="0" t="n">
        <v>0.02</v>
      </c>
      <c r="L247" s="0" t="n">
        <v>0</v>
      </c>
      <c r="M247" s="0" t="n">
        <v>0</v>
      </c>
      <c r="N247" s="0" t="n">
        <v>0</v>
      </c>
      <c r="O247" s="0" t="n">
        <v>653.66</v>
      </c>
    </row>
    <row r="248" customFormat="false" ht="15" hidden="false" customHeight="false" outlineLevel="0" collapsed="false">
      <c r="A248" s="0" t="s">
        <v>193</v>
      </c>
      <c r="B248" s="0" t="s">
        <v>431</v>
      </c>
      <c r="C248" s="0" t="n">
        <v>2023</v>
      </c>
      <c r="D248" s="0" t="n">
        <v>399452</v>
      </c>
      <c r="E248" s="0" t="n">
        <v>2.21</v>
      </c>
      <c r="F248" s="0" t="n">
        <v>0</v>
      </c>
      <c r="G248" s="0" t="n">
        <v>0</v>
      </c>
      <c r="H248" s="0" t="n">
        <v>2.19</v>
      </c>
      <c r="I248" s="0" t="n">
        <v>0</v>
      </c>
      <c r="J248" s="0" t="n">
        <v>0</v>
      </c>
      <c r="K248" s="0" t="n">
        <v>0.02</v>
      </c>
      <c r="L248" s="0" t="n">
        <v>0</v>
      </c>
      <c r="M248" s="0" t="n">
        <v>0</v>
      </c>
      <c r="N248" s="0" t="n">
        <v>0</v>
      </c>
      <c r="O248" s="0" t="n">
        <v>651.58</v>
      </c>
    </row>
    <row r="249" customFormat="false" ht="15" hidden="false" customHeight="false" outlineLevel="0" collapsed="false">
      <c r="A249" s="0" t="s">
        <v>193</v>
      </c>
      <c r="B249" s="0" t="s">
        <v>431</v>
      </c>
      <c r="C249" s="0" t="n">
        <v>2024</v>
      </c>
      <c r="D249" s="0" t="n">
        <v>401282</v>
      </c>
      <c r="E249" s="0" t="n">
        <v>2.25</v>
      </c>
      <c r="F249" s="0" t="n">
        <v>0</v>
      </c>
      <c r="G249" s="0" t="n">
        <v>0</v>
      </c>
      <c r="H249" s="0" t="n">
        <v>2.23</v>
      </c>
      <c r="I249" s="0" t="n">
        <v>0</v>
      </c>
      <c r="J249" s="0" t="n">
        <v>0</v>
      </c>
      <c r="K249" s="0" t="n">
        <v>0.02</v>
      </c>
      <c r="L249" s="0" t="n">
        <v>0</v>
      </c>
      <c r="M249" s="0" t="n">
        <v>0</v>
      </c>
      <c r="N249" s="0" t="n">
        <v>0</v>
      </c>
      <c r="O249" s="0" t="n">
        <v>653.33</v>
      </c>
    </row>
    <row r="250" customFormat="false" ht="15" hidden="false" customHeight="false" outlineLevel="0" collapsed="false">
      <c r="A250" s="0" t="s">
        <v>194</v>
      </c>
      <c r="B250" s="0" t="s">
        <v>432</v>
      </c>
      <c r="C250" s="0" t="n">
        <v>2015</v>
      </c>
      <c r="D250" s="0" t="n">
        <v>1369656</v>
      </c>
      <c r="E250" s="0" t="n">
        <v>28.49</v>
      </c>
      <c r="F250" s="0" t="n">
        <v>0</v>
      </c>
      <c r="G250" s="0" t="n">
        <v>28.48</v>
      </c>
      <c r="H250" s="0" t="n">
        <v>0</v>
      </c>
      <c r="I250" s="0" t="n">
        <v>0</v>
      </c>
      <c r="J250" s="0" t="n">
        <v>0</v>
      </c>
      <c r="K250" s="0" t="n">
        <v>0.01</v>
      </c>
      <c r="L250" s="0" t="n">
        <v>0</v>
      </c>
      <c r="M250" s="0" t="n">
        <v>0</v>
      </c>
      <c r="N250" s="0" t="n">
        <v>0</v>
      </c>
      <c r="O250" s="0" t="n">
        <v>904.53</v>
      </c>
    </row>
    <row r="251" customFormat="false" ht="15" hidden="false" customHeight="false" outlineLevel="0" collapsed="false">
      <c r="A251" s="0" t="s">
        <v>194</v>
      </c>
      <c r="B251" s="0" t="s">
        <v>432</v>
      </c>
      <c r="C251" s="0" t="n">
        <v>2016</v>
      </c>
      <c r="D251" s="0" t="n">
        <v>1429609</v>
      </c>
      <c r="E251" s="0" t="n">
        <v>28.52</v>
      </c>
      <c r="F251" s="0" t="n">
        <v>0</v>
      </c>
      <c r="G251" s="0" t="n">
        <v>28.51</v>
      </c>
      <c r="H251" s="0" t="n">
        <v>0</v>
      </c>
      <c r="I251" s="0" t="n">
        <v>0</v>
      </c>
      <c r="J251" s="0" t="n">
        <v>0</v>
      </c>
      <c r="K251" s="0" t="n">
        <v>0.01</v>
      </c>
      <c r="L251" s="0" t="n">
        <v>0</v>
      </c>
      <c r="M251" s="0" t="n">
        <v>0</v>
      </c>
      <c r="N251" s="0" t="n">
        <v>0</v>
      </c>
      <c r="O251" s="0" t="n">
        <v>904.28</v>
      </c>
    </row>
    <row r="252" customFormat="false" ht="15" hidden="false" customHeight="false" outlineLevel="0" collapsed="false">
      <c r="A252" s="0" t="s">
        <v>194</v>
      </c>
      <c r="B252" s="0" t="s">
        <v>432</v>
      </c>
      <c r="C252" s="0" t="n">
        <v>2017</v>
      </c>
      <c r="D252" s="0" t="n">
        <v>1482003</v>
      </c>
      <c r="E252" s="0" t="n">
        <v>29.23</v>
      </c>
      <c r="F252" s="0" t="n">
        <v>0</v>
      </c>
      <c r="G252" s="0" t="n">
        <v>29.22</v>
      </c>
      <c r="H252" s="0" t="n">
        <v>0</v>
      </c>
      <c r="I252" s="0" t="n">
        <v>0</v>
      </c>
      <c r="J252" s="0" t="n">
        <v>0</v>
      </c>
      <c r="K252" s="0" t="n">
        <v>0.01</v>
      </c>
      <c r="L252" s="0" t="n">
        <v>0</v>
      </c>
      <c r="M252" s="0" t="n">
        <v>0</v>
      </c>
      <c r="N252" s="0" t="n">
        <v>0</v>
      </c>
      <c r="O252" s="0" t="n">
        <v>904.55</v>
      </c>
    </row>
    <row r="253" customFormat="false" ht="15" hidden="false" customHeight="false" outlineLevel="0" collapsed="false">
      <c r="A253" s="0" t="s">
        <v>194</v>
      </c>
      <c r="B253" s="0" t="s">
        <v>432</v>
      </c>
      <c r="C253" s="0" t="n">
        <v>2018</v>
      </c>
      <c r="D253" s="0" t="n">
        <v>1497634</v>
      </c>
      <c r="E253" s="0" t="n">
        <v>29.55</v>
      </c>
      <c r="F253" s="0" t="n">
        <v>0</v>
      </c>
      <c r="G253" s="0" t="n">
        <v>29.54</v>
      </c>
      <c r="H253" s="0" t="n">
        <v>0</v>
      </c>
      <c r="I253" s="0" t="n">
        <v>0</v>
      </c>
      <c r="J253" s="0" t="n">
        <v>0</v>
      </c>
      <c r="K253" s="0" t="n">
        <v>0.01</v>
      </c>
      <c r="L253" s="0" t="n">
        <v>0</v>
      </c>
      <c r="M253" s="0" t="n">
        <v>0</v>
      </c>
      <c r="N253" s="0" t="n">
        <v>0</v>
      </c>
      <c r="O253" s="0" t="n">
        <v>904.57</v>
      </c>
    </row>
    <row r="254" customFormat="false" ht="15" hidden="false" customHeight="false" outlineLevel="0" collapsed="false">
      <c r="A254" s="0" t="s">
        <v>194</v>
      </c>
      <c r="B254" s="0" t="s">
        <v>432</v>
      </c>
      <c r="C254" s="0" t="n">
        <v>2019</v>
      </c>
      <c r="D254" s="0" t="n">
        <v>1485675</v>
      </c>
      <c r="E254" s="0" t="n">
        <v>33.11</v>
      </c>
      <c r="F254" s="0" t="n">
        <v>0</v>
      </c>
      <c r="G254" s="0" t="n">
        <v>33.09</v>
      </c>
      <c r="H254" s="0" t="n">
        <v>0</v>
      </c>
      <c r="I254" s="0" t="n">
        <v>0</v>
      </c>
      <c r="J254" s="0" t="n">
        <v>0</v>
      </c>
      <c r="K254" s="0" t="n">
        <v>0.02</v>
      </c>
      <c r="L254" s="0" t="n">
        <v>0</v>
      </c>
      <c r="M254" s="0" t="n">
        <v>0</v>
      </c>
      <c r="N254" s="0" t="n">
        <v>0</v>
      </c>
      <c r="O254" s="0" t="n">
        <v>904.26</v>
      </c>
    </row>
    <row r="255" customFormat="false" ht="15" hidden="false" customHeight="false" outlineLevel="0" collapsed="false">
      <c r="A255" s="0" t="s">
        <v>194</v>
      </c>
      <c r="B255" s="0" t="s">
        <v>432</v>
      </c>
      <c r="C255" s="0" t="n">
        <v>2020</v>
      </c>
      <c r="D255" s="0" t="n">
        <v>1483081</v>
      </c>
      <c r="E255" s="0" t="n">
        <v>33.38</v>
      </c>
      <c r="F255" s="0" t="n">
        <v>0</v>
      </c>
      <c r="G255" s="0" t="n">
        <v>33.36</v>
      </c>
      <c r="H255" s="0" t="n">
        <v>0</v>
      </c>
      <c r="I255" s="0" t="n">
        <v>0</v>
      </c>
      <c r="J255" s="0" t="n">
        <v>0</v>
      </c>
      <c r="K255" s="0" t="n">
        <v>0.02</v>
      </c>
      <c r="L255" s="0" t="n">
        <v>0</v>
      </c>
      <c r="M255" s="0" t="n">
        <v>0</v>
      </c>
      <c r="N255" s="0" t="n">
        <v>0</v>
      </c>
      <c r="O255" s="0" t="n">
        <v>904.13</v>
      </c>
    </row>
    <row r="256" customFormat="false" ht="15" hidden="false" customHeight="false" outlineLevel="0" collapsed="false">
      <c r="A256" s="0" t="s">
        <v>194</v>
      </c>
      <c r="B256" s="0" t="s">
        <v>432</v>
      </c>
      <c r="C256" s="0" t="n">
        <v>2021</v>
      </c>
      <c r="D256" s="0" t="n">
        <v>1501762</v>
      </c>
      <c r="E256" s="0" t="n">
        <v>33.91</v>
      </c>
      <c r="F256" s="0" t="n">
        <v>0</v>
      </c>
      <c r="G256" s="0" t="n">
        <v>33.87</v>
      </c>
      <c r="H256" s="0" t="n">
        <v>0</v>
      </c>
      <c r="I256" s="0" t="n">
        <v>0</v>
      </c>
      <c r="J256" s="0" t="n">
        <v>0</v>
      </c>
      <c r="K256" s="0" t="n">
        <v>0.04</v>
      </c>
      <c r="L256" s="0" t="n">
        <v>0</v>
      </c>
      <c r="M256" s="0" t="n">
        <v>0</v>
      </c>
      <c r="N256" s="0" t="n">
        <v>0</v>
      </c>
      <c r="O256" s="0" t="n">
        <v>903.57</v>
      </c>
    </row>
    <row r="257" customFormat="false" ht="15" hidden="false" customHeight="false" outlineLevel="0" collapsed="false">
      <c r="A257" s="0" t="s">
        <v>194</v>
      </c>
      <c r="B257" s="0" t="s">
        <v>432</v>
      </c>
      <c r="C257" s="0" t="n">
        <v>2022</v>
      </c>
      <c r="D257" s="0" t="n">
        <v>1533460</v>
      </c>
      <c r="E257" s="0" t="n">
        <v>35.68</v>
      </c>
      <c r="F257" s="0" t="n">
        <v>0</v>
      </c>
      <c r="G257" s="0" t="n">
        <v>35.6</v>
      </c>
      <c r="H257" s="0" t="n">
        <v>0</v>
      </c>
      <c r="I257" s="0" t="n">
        <v>0</v>
      </c>
      <c r="J257" s="0" t="n">
        <v>0</v>
      </c>
      <c r="K257" s="0" t="n">
        <v>0.08</v>
      </c>
      <c r="L257" s="0" t="n">
        <v>0</v>
      </c>
      <c r="M257" s="0" t="n">
        <v>0</v>
      </c>
      <c r="N257" s="0" t="n">
        <v>0</v>
      </c>
      <c r="O257" s="0" t="n">
        <v>902.75</v>
      </c>
    </row>
    <row r="258" customFormat="false" ht="15" hidden="false" customHeight="false" outlineLevel="0" collapsed="false">
      <c r="A258" s="0" t="s">
        <v>194</v>
      </c>
      <c r="B258" s="0" t="s">
        <v>432</v>
      </c>
      <c r="C258" s="0" t="n">
        <v>2023</v>
      </c>
      <c r="D258" s="0" t="n">
        <v>1569674</v>
      </c>
      <c r="E258" s="0" t="n">
        <v>37.47</v>
      </c>
      <c r="F258" s="0" t="n">
        <v>0</v>
      </c>
      <c r="G258" s="0" t="n">
        <v>37.38</v>
      </c>
      <c r="H258" s="0" t="n">
        <v>0</v>
      </c>
      <c r="I258" s="0" t="n">
        <v>0</v>
      </c>
      <c r="J258" s="0" t="n">
        <v>0</v>
      </c>
      <c r="K258" s="0" t="n">
        <v>0.09</v>
      </c>
      <c r="L258" s="0" t="n">
        <v>0</v>
      </c>
      <c r="M258" s="0" t="n">
        <v>0</v>
      </c>
      <c r="N258" s="0" t="n">
        <v>0</v>
      </c>
      <c r="O258" s="0" t="n">
        <v>902.59</v>
      </c>
    </row>
    <row r="259" customFormat="false" ht="15" hidden="false" customHeight="false" outlineLevel="0" collapsed="false">
      <c r="A259" s="0" t="s">
        <v>194</v>
      </c>
      <c r="B259" s="0" t="s">
        <v>432</v>
      </c>
      <c r="C259" s="0" t="n">
        <v>2024</v>
      </c>
      <c r="D259" s="0" t="n">
        <v>1607059</v>
      </c>
      <c r="E259" s="0" t="n">
        <v>37.95</v>
      </c>
      <c r="F259" s="0" t="n">
        <v>0</v>
      </c>
      <c r="G259" s="0" t="n">
        <v>37.85</v>
      </c>
      <c r="H259" s="0" t="n">
        <v>0</v>
      </c>
      <c r="I259" s="0" t="n">
        <v>0</v>
      </c>
      <c r="J259" s="0" t="n">
        <v>0</v>
      </c>
      <c r="K259" s="0" t="n">
        <v>0.1</v>
      </c>
      <c r="L259" s="0" t="n">
        <v>0</v>
      </c>
      <c r="M259" s="0" t="n">
        <v>0</v>
      </c>
      <c r="N259" s="0" t="n">
        <v>0</v>
      </c>
      <c r="O259" s="0" t="n">
        <v>902.24</v>
      </c>
    </row>
    <row r="260" customFormat="false" ht="15" hidden="false" customHeight="false" outlineLevel="0" collapsed="false">
      <c r="A260" s="0" t="s">
        <v>195</v>
      </c>
      <c r="B260" s="0" t="s">
        <v>433</v>
      </c>
      <c r="C260" s="0" t="n">
        <v>2015</v>
      </c>
      <c r="D260" s="0" t="n">
        <v>159383179</v>
      </c>
      <c r="E260" s="0" t="n">
        <v>59.29</v>
      </c>
      <c r="F260" s="0" t="n">
        <v>1</v>
      </c>
      <c r="G260" s="0" t="n">
        <v>47.82</v>
      </c>
      <c r="H260" s="0" t="n">
        <v>9.67</v>
      </c>
      <c r="I260" s="0" t="n">
        <v>0</v>
      </c>
      <c r="J260" s="0" t="n">
        <v>0.59</v>
      </c>
      <c r="K260" s="0" t="n">
        <v>0.2</v>
      </c>
      <c r="L260" s="0" t="n">
        <v>0.01</v>
      </c>
      <c r="M260" s="0" t="n">
        <v>0</v>
      </c>
      <c r="N260" s="0" t="n">
        <v>0</v>
      </c>
      <c r="O260" s="0" t="n">
        <v>675.83</v>
      </c>
    </row>
    <row r="261" customFormat="false" ht="15" hidden="false" customHeight="false" outlineLevel="0" collapsed="false">
      <c r="A261" s="0" t="s">
        <v>195</v>
      </c>
      <c r="B261" s="0" t="s">
        <v>433</v>
      </c>
      <c r="C261" s="0" t="n">
        <v>2016</v>
      </c>
      <c r="D261" s="0" t="n">
        <v>160811934</v>
      </c>
      <c r="E261" s="0" t="n">
        <v>69.09</v>
      </c>
      <c r="F261" s="0" t="n">
        <v>1.03</v>
      </c>
      <c r="G261" s="0" t="n">
        <v>55.44</v>
      </c>
      <c r="H261" s="0" t="n">
        <v>11.38</v>
      </c>
      <c r="I261" s="0" t="n">
        <v>0</v>
      </c>
      <c r="J261" s="0" t="n">
        <v>1.01</v>
      </c>
      <c r="K261" s="0" t="n">
        <v>0.22</v>
      </c>
      <c r="L261" s="0" t="n">
        <v>0.01</v>
      </c>
      <c r="M261" s="0" t="n">
        <v>0</v>
      </c>
      <c r="N261" s="0" t="n">
        <v>0</v>
      </c>
      <c r="O261" s="0" t="n">
        <v>672.6</v>
      </c>
    </row>
    <row r="262" customFormat="false" ht="15" hidden="false" customHeight="false" outlineLevel="0" collapsed="false">
      <c r="A262" s="0" t="s">
        <v>195</v>
      </c>
      <c r="B262" s="0" t="s">
        <v>433</v>
      </c>
      <c r="C262" s="0" t="n">
        <v>2017</v>
      </c>
      <c r="D262" s="0" t="n">
        <v>162186146</v>
      </c>
      <c r="E262" s="0" t="n">
        <v>73.45</v>
      </c>
      <c r="F262" s="0" t="n">
        <v>1.03</v>
      </c>
      <c r="G262" s="0" t="n">
        <v>57.8</v>
      </c>
      <c r="H262" s="0" t="n">
        <v>13.33</v>
      </c>
      <c r="I262" s="0" t="n">
        <v>0</v>
      </c>
      <c r="J262" s="0" t="n">
        <v>1.03</v>
      </c>
      <c r="K262" s="0" t="n">
        <v>0.25</v>
      </c>
      <c r="L262" s="0" t="n">
        <v>0.01</v>
      </c>
      <c r="M262" s="0" t="n">
        <v>0</v>
      </c>
      <c r="N262" s="0" t="n">
        <v>0</v>
      </c>
      <c r="O262" s="0" t="n">
        <v>672.16</v>
      </c>
    </row>
    <row r="263" customFormat="false" ht="15" hidden="false" customHeight="false" outlineLevel="0" collapsed="false">
      <c r="A263" s="0" t="s">
        <v>195</v>
      </c>
      <c r="B263" s="0" t="s">
        <v>433</v>
      </c>
      <c r="C263" s="0" t="n">
        <v>2018</v>
      </c>
      <c r="D263" s="0" t="n">
        <v>163523109</v>
      </c>
      <c r="E263" s="0" t="n">
        <v>79.15</v>
      </c>
      <c r="F263" s="0" t="n">
        <v>1.79</v>
      </c>
      <c r="G263" s="0" t="n">
        <v>59.67</v>
      </c>
      <c r="H263" s="0" t="n">
        <v>16.29</v>
      </c>
      <c r="I263" s="0" t="n">
        <v>0</v>
      </c>
      <c r="J263" s="0" t="n">
        <v>1.08</v>
      </c>
      <c r="K263" s="0" t="n">
        <v>0.31</v>
      </c>
      <c r="L263" s="0" t="n">
        <v>0.01</v>
      </c>
      <c r="M263" s="0" t="n">
        <v>0</v>
      </c>
      <c r="N263" s="0" t="n">
        <v>0</v>
      </c>
      <c r="O263" s="0" t="n">
        <v>673.03</v>
      </c>
    </row>
    <row r="264" customFormat="false" ht="15" hidden="false" customHeight="false" outlineLevel="0" collapsed="false">
      <c r="A264" s="0" t="s">
        <v>195</v>
      </c>
      <c r="B264" s="0" t="s">
        <v>433</v>
      </c>
      <c r="C264" s="0" t="n">
        <v>2019</v>
      </c>
      <c r="D264" s="0" t="n">
        <v>164913060</v>
      </c>
      <c r="E264" s="0" t="n">
        <v>85.11</v>
      </c>
      <c r="F264" s="0" t="n">
        <v>1.3</v>
      </c>
      <c r="G264" s="0" t="n">
        <v>68.36</v>
      </c>
      <c r="H264" s="0" t="n">
        <v>14.26</v>
      </c>
      <c r="I264" s="0" t="n">
        <v>0</v>
      </c>
      <c r="J264" s="0" t="n">
        <v>0.81</v>
      </c>
      <c r="K264" s="0" t="n">
        <v>0.37</v>
      </c>
      <c r="L264" s="0" t="n">
        <v>0.01</v>
      </c>
      <c r="M264" s="0" t="n">
        <v>0</v>
      </c>
      <c r="N264" s="0" t="n">
        <v>0</v>
      </c>
      <c r="O264" s="0" t="n">
        <v>675.24</v>
      </c>
    </row>
    <row r="265" customFormat="false" ht="15" hidden="false" customHeight="false" outlineLevel="0" collapsed="false">
      <c r="A265" s="0" t="s">
        <v>195</v>
      </c>
      <c r="B265" s="0" t="s">
        <v>433</v>
      </c>
      <c r="C265" s="0" t="n">
        <v>2020</v>
      </c>
      <c r="D265" s="0" t="n">
        <v>166298024</v>
      </c>
      <c r="E265" s="0" t="n">
        <v>85.46</v>
      </c>
      <c r="F265" s="0" t="n">
        <v>3.15</v>
      </c>
      <c r="G265" s="0" t="n">
        <v>70.88</v>
      </c>
      <c r="H265" s="0" t="n">
        <v>10.18</v>
      </c>
      <c r="I265" s="0" t="n">
        <v>0</v>
      </c>
      <c r="J265" s="0" t="n">
        <v>0.78</v>
      </c>
      <c r="K265" s="0" t="n">
        <v>0.46</v>
      </c>
      <c r="L265" s="0" t="n">
        <v>0.01</v>
      </c>
      <c r="M265" s="0" t="n">
        <v>0</v>
      </c>
      <c r="N265" s="0" t="n">
        <v>0</v>
      </c>
      <c r="O265" s="0" t="n">
        <v>678.91</v>
      </c>
    </row>
    <row r="266" customFormat="false" ht="15" hidden="false" customHeight="false" outlineLevel="0" collapsed="false">
      <c r="A266" s="0" t="s">
        <v>195</v>
      </c>
      <c r="B266" s="0" t="s">
        <v>433</v>
      </c>
      <c r="C266" s="0" t="n">
        <v>2021</v>
      </c>
      <c r="D266" s="0" t="n">
        <v>167658855</v>
      </c>
      <c r="E266" s="0" t="n">
        <v>95.65</v>
      </c>
      <c r="F266" s="0" t="n">
        <v>5.3</v>
      </c>
      <c r="G266" s="0" t="n">
        <v>69.81</v>
      </c>
      <c r="H266" s="0" t="n">
        <v>19.19</v>
      </c>
      <c r="I266" s="0" t="n">
        <v>0</v>
      </c>
      <c r="J266" s="0" t="n">
        <v>0.73</v>
      </c>
      <c r="K266" s="0" t="n">
        <v>0.61</v>
      </c>
      <c r="L266" s="0" t="n">
        <v>0.01</v>
      </c>
      <c r="M266" s="0" t="n">
        <v>0</v>
      </c>
      <c r="N266" s="0" t="n">
        <v>0</v>
      </c>
      <c r="O266" s="0" t="n">
        <v>679.04</v>
      </c>
    </row>
    <row r="267" customFormat="false" ht="15" hidden="false" customHeight="false" outlineLevel="0" collapsed="false">
      <c r="A267" s="0" t="s">
        <v>195</v>
      </c>
      <c r="B267" s="0" t="s">
        <v>433</v>
      </c>
      <c r="C267" s="0" t="n">
        <v>2022</v>
      </c>
      <c r="D267" s="0" t="n">
        <v>169384891</v>
      </c>
      <c r="E267" s="0" t="n">
        <v>102.25</v>
      </c>
      <c r="F267" s="0" t="n">
        <v>5.66</v>
      </c>
      <c r="G267" s="0" t="n">
        <v>69.19</v>
      </c>
      <c r="H267" s="0" t="n">
        <v>25.81</v>
      </c>
      <c r="I267" s="0" t="n">
        <v>0</v>
      </c>
      <c r="J267" s="0" t="n">
        <v>0.71</v>
      </c>
      <c r="K267" s="0" t="n">
        <v>0.87</v>
      </c>
      <c r="L267" s="0" t="n">
        <v>0.01</v>
      </c>
      <c r="M267" s="0" t="n">
        <v>0</v>
      </c>
      <c r="N267" s="0" t="n">
        <v>0</v>
      </c>
      <c r="O267" s="0" t="n">
        <v>676.48</v>
      </c>
    </row>
    <row r="268" customFormat="false" ht="15" hidden="false" customHeight="false" outlineLevel="0" collapsed="false">
      <c r="A268" s="0" t="s">
        <v>195</v>
      </c>
      <c r="B268" s="0" t="s">
        <v>433</v>
      </c>
      <c r="C268" s="0" t="n">
        <v>2023</v>
      </c>
      <c r="D268" s="0" t="n">
        <v>171466986</v>
      </c>
      <c r="E268" s="0" t="n">
        <v>100.73</v>
      </c>
      <c r="F268" s="0" t="n">
        <v>10.69</v>
      </c>
      <c r="G268" s="0" t="n">
        <v>66.43</v>
      </c>
      <c r="H268" s="0" t="n">
        <v>21.89</v>
      </c>
      <c r="I268" s="0" t="n">
        <v>0</v>
      </c>
      <c r="J268" s="0" t="n">
        <v>0.65</v>
      </c>
      <c r="K268" s="0" t="n">
        <v>1.07</v>
      </c>
      <c r="L268" s="0" t="n">
        <v>0</v>
      </c>
      <c r="M268" s="0" t="n">
        <v>0</v>
      </c>
      <c r="N268" s="0" t="n">
        <v>0</v>
      </c>
      <c r="O268" s="0" t="n">
        <v>682.72</v>
      </c>
    </row>
    <row r="269" customFormat="false" ht="15" hidden="false" customHeight="false" outlineLevel="0" collapsed="false">
      <c r="A269" s="0" t="s">
        <v>195</v>
      </c>
      <c r="B269" s="0" t="s">
        <v>433</v>
      </c>
      <c r="C269" s="0" t="n">
        <v>2024</v>
      </c>
      <c r="D269" s="0" t="n">
        <v>173562366</v>
      </c>
      <c r="E269" s="0" t="n">
        <v>101.74</v>
      </c>
      <c r="F269" s="0" t="n">
        <v>20.29</v>
      </c>
      <c r="G269" s="0" t="n">
        <v>67.03</v>
      </c>
      <c r="H269" s="0" t="n">
        <v>12.5</v>
      </c>
      <c r="I269" s="0" t="n">
        <v>0</v>
      </c>
      <c r="J269" s="0" t="n">
        <v>0.7</v>
      </c>
      <c r="K269" s="0" t="n">
        <v>1.22</v>
      </c>
      <c r="L269" s="0" t="n">
        <v>0</v>
      </c>
      <c r="M269" s="0" t="n">
        <v>0</v>
      </c>
      <c r="N269" s="0" t="n">
        <v>0</v>
      </c>
      <c r="O269" s="0" t="n">
        <v>695.7</v>
      </c>
    </row>
    <row r="270" customFormat="false" ht="15" hidden="false" customHeight="false" outlineLevel="0" collapsed="false">
      <c r="A270" s="0" t="s">
        <v>195</v>
      </c>
      <c r="B270" s="0" t="s">
        <v>433</v>
      </c>
      <c r="C270" s="0" t="n">
        <v>2025</v>
      </c>
      <c r="D270" s="0" t="n">
        <v>175686904</v>
      </c>
      <c r="E270" s="0" t="n">
        <v>103.4</v>
      </c>
      <c r="F270" s="0" t="n">
        <v>22.24</v>
      </c>
      <c r="G270" s="0" t="n">
        <v>66.48</v>
      </c>
      <c r="H270" s="0" t="n">
        <v>12.47</v>
      </c>
      <c r="I270" s="0" t="n">
        <v>0</v>
      </c>
      <c r="J270" s="0" t="n">
        <v>0.65</v>
      </c>
      <c r="K270" s="0" t="n">
        <v>1.56</v>
      </c>
      <c r="L270" s="0" t="n">
        <v>0</v>
      </c>
      <c r="M270" s="0" t="n">
        <v>0</v>
      </c>
      <c r="N270" s="0" t="n">
        <v>0</v>
      </c>
      <c r="O270" s="0" t="n">
        <v>696.13</v>
      </c>
    </row>
    <row r="271" customFormat="false" ht="15" hidden="false" customHeight="false" outlineLevel="0" collapsed="false">
      <c r="A271" s="0" t="s">
        <v>196</v>
      </c>
      <c r="B271" s="0" t="s">
        <v>434</v>
      </c>
      <c r="C271" s="0" t="n">
        <v>2015</v>
      </c>
      <c r="D271" s="0" t="n">
        <v>278999</v>
      </c>
      <c r="E271" s="0" t="n">
        <v>1.04</v>
      </c>
      <c r="F271" s="0" t="n">
        <v>0</v>
      </c>
      <c r="G271" s="0" t="n">
        <v>0.02</v>
      </c>
      <c r="H271" s="0" t="n">
        <v>1.01</v>
      </c>
      <c r="I271" s="0" t="n">
        <v>0</v>
      </c>
      <c r="J271" s="0" t="n">
        <v>0</v>
      </c>
      <c r="K271" s="0" t="n">
        <v>0.01</v>
      </c>
      <c r="L271" s="0" t="n">
        <v>0</v>
      </c>
      <c r="M271" s="0" t="n">
        <v>0</v>
      </c>
      <c r="N271" s="0" t="n">
        <v>0</v>
      </c>
      <c r="O271" s="0" t="n">
        <v>644.23</v>
      </c>
    </row>
    <row r="272" customFormat="false" ht="15" hidden="false" customHeight="false" outlineLevel="0" collapsed="false">
      <c r="A272" s="0" t="s">
        <v>196</v>
      </c>
      <c r="B272" s="0" t="s">
        <v>434</v>
      </c>
      <c r="C272" s="0" t="n">
        <v>2016</v>
      </c>
      <c r="D272" s="0" t="n">
        <v>279604</v>
      </c>
      <c r="E272" s="0" t="n">
        <v>1.05</v>
      </c>
      <c r="F272" s="0" t="n">
        <v>0</v>
      </c>
      <c r="G272" s="0" t="n">
        <v>0.02</v>
      </c>
      <c r="H272" s="0" t="n">
        <v>1.01</v>
      </c>
      <c r="I272" s="0" t="n">
        <v>0</v>
      </c>
      <c r="J272" s="0" t="n">
        <v>0</v>
      </c>
      <c r="K272" s="0" t="n">
        <v>0.02</v>
      </c>
      <c r="L272" s="0" t="n">
        <v>0</v>
      </c>
      <c r="M272" s="0" t="n">
        <v>0</v>
      </c>
      <c r="N272" s="0" t="n">
        <v>0</v>
      </c>
      <c r="O272" s="0" t="n">
        <v>638.1</v>
      </c>
    </row>
    <row r="273" customFormat="false" ht="15" hidden="false" customHeight="false" outlineLevel="0" collapsed="false">
      <c r="A273" s="0" t="s">
        <v>196</v>
      </c>
      <c r="B273" s="0" t="s">
        <v>434</v>
      </c>
      <c r="C273" s="0" t="n">
        <v>2017</v>
      </c>
      <c r="D273" s="0" t="n">
        <v>280177</v>
      </c>
      <c r="E273" s="0" t="n">
        <v>1.04</v>
      </c>
      <c r="F273" s="0" t="n">
        <v>0</v>
      </c>
      <c r="G273" s="0" t="n">
        <v>0.03</v>
      </c>
      <c r="H273" s="0" t="n">
        <v>0.98</v>
      </c>
      <c r="I273" s="0" t="n">
        <v>0</v>
      </c>
      <c r="J273" s="0" t="n">
        <v>0</v>
      </c>
      <c r="K273" s="0" t="n">
        <v>0.03</v>
      </c>
      <c r="L273" s="0" t="n">
        <v>0</v>
      </c>
      <c r="M273" s="0" t="n">
        <v>0</v>
      </c>
      <c r="N273" s="0" t="n">
        <v>0</v>
      </c>
      <c r="O273" s="0" t="n">
        <v>634.62</v>
      </c>
    </row>
    <row r="274" customFormat="false" ht="15" hidden="false" customHeight="false" outlineLevel="0" collapsed="false">
      <c r="A274" s="0" t="s">
        <v>196</v>
      </c>
      <c r="B274" s="0" t="s">
        <v>434</v>
      </c>
      <c r="C274" s="0" t="n">
        <v>2018</v>
      </c>
      <c r="D274" s="0" t="n">
        <v>280719</v>
      </c>
      <c r="E274" s="0" t="n">
        <v>1.04</v>
      </c>
      <c r="F274" s="0" t="n">
        <v>0</v>
      </c>
      <c r="G274" s="0" t="n">
        <v>0.03</v>
      </c>
      <c r="H274" s="0" t="n">
        <v>0.98</v>
      </c>
      <c r="I274" s="0" t="n">
        <v>0</v>
      </c>
      <c r="J274" s="0" t="n">
        <v>0</v>
      </c>
      <c r="K274" s="0" t="n">
        <v>0.03</v>
      </c>
      <c r="L274" s="0" t="n">
        <v>0</v>
      </c>
      <c r="M274" s="0" t="n">
        <v>0</v>
      </c>
      <c r="N274" s="0" t="n">
        <v>0</v>
      </c>
      <c r="O274" s="0" t="n">
        <v>634.62</v>
      </c>
    </row>
    <row r="275" customFormat="false" ht="15" hidden="false" customHeight="false" outlineLevel="0" collapsed="false">
      <c r="A275" s="0" t="s">
        <v>196</v>
      </c>
      <c r="B275" s="0" t="s">
        <v>434</v>
      </c>
      <c r="C275" s="0" t="n">
        <v>2019</v>
      </c>
      <c r="D275" s="0" t="n">
        <v>281216</v>
      </c>
      <c r="E275" s="0" t="n">
        <v>1.06</v>
      </c>
      <c r="F275" s="0" t="n">
        <v>0</v>
      </c>
      <c r="G275" s="0" t="n">
        <v>0.03</v>
      </c>
      <c r="H275" s="0" t="n">
        <v>0.99</v>
      </c>
      <c r="I275" s="0" t="n">
        <v>0</v>
      </c>
      <c r="J275" s="0" t="n">
        <v>0</v>
      </c>
      <c r="K275" s="0" t="n">
        <v>0.04</v>
      </c>
      <c r="L275" s="0" t="n">
        <v>0</v>
      </c>
      <c r="M275" s="0" t="n">
        <v>0</v>
      </c>
      <c r="N275" s="0" t="n">
        <v>0</v>
      </c>
      <c r="O275" s="0" t="n">
        <v>632.08</v>
      </c>
    </row>
    <row r="276" customFormat="false" ht="15" hidden="false" customHeight="false" outlineLevel="0" collapsed="false">
      <c r="A276" s="0" t="s">
        <v>196</v>
      </c>
      <c r="B276" s="0" t="s">
        <v>434</v>
      </c>
      <c r="C276" s="0" t="n">
        <v>2020</v>
      </c>
      <c r="D276" s="0" t="n">
        <v>281706</v>
      </c>
      <c r="E276" s="0" t="n">
        <v>1.06</v>
      </c>
      <c r="F276" s="0" t="n">
        <v>0</v>
      </c>
      <c r="G276" s="0" t="n">
        <v>0.02</v>
      </c>
      <c r="H276" s="0" t="n">
        <v>0.97</v>
      </c>
      <c r="I276" s="0" t="n">
        <v>0</v>
      </c>
      <c r="J276" s="0" t="n">
        <v>0</v>
      </c>
      <c r="K276" s="0" t="n">
        <v>0.07</v>
      </c>
      <c r="L276" s="0" t="n">
        <v>0</v>
      </c>
      <c r="M276" s="0" t="n">
        <v>0</v>
      </c>
      <c r="N276" s="0" t="n">
        <v>0</v>
      </c>
      <c r="O276" s="0" t="n">
        <v>613.21</v>
      </c>
    </row>
    <row r="277" customFormat="false" ht="15" hidden="false" customHeight="false" outlineLevel="0" collapsed="false">
      <c r="A277" s="0" t="s">
        <v>196</v>
      </c>
      <c r="B277" s="0" t="s">
        <v>434</v>
      </c>
      <c r="C277" s="0" t="n">
        <v>2021</v>
      </c>
      <c r="D277" s="0" t="n">
        <v>282157</v>
      </c>
      <c r="E277" s="0" t="n">
        <v>1.06</v>
      </c>
      <c r="F277" s="0" t="n">
        <v>0</v>
      </c>
      <c r="G277" s="0" t="n">
        <v>0.02</v>
      </c>
      <c r="H277" s="0" t="n">
        <v>0.96</v>
      </c>
      <c r="I277" s="0" t="n">
        <v>0</v>
      </c>
      <c r="J277" s="0" t="n">
        <v>0</v>
      </c>
      <c r="K277" s="0" t="n">
        <v>0.08</v>
      </c>
      <c r="L277" s="0" t="n">
        <v>0</v>
      </c>
      <c r="M277" s="0" t="n">
        <v>0</v>
      </c>
      <c r="N277" s="0" t="n">
        <v>0</v>
      </c>
      <c r="O277" s="0" t="n">
        <v>603.77</v>
      </c>
    </row>
    <row r="278" customFormat="false" ht="15" hidden="false" customHeight="false" outlineLevel="0" collapsed="false">
      <c r="A278" s="0" t="s">
        <v>196</v>
      </c>
      <c r="B278" s="0" t="s">
        <v>434</v>
      </c>
      <c r="C278" s="0" t="n">
        <v>2022</v>
      </c>
      <c r="D278" s="0" t="n">
        <v>282324</v>
      </c>
      <c r="E278" s="0" t="n">
        <v>1.09</v>
      </c>
      <c r="F278" s="0" t="n">
        <v>0</v>
      </c>
      <c r="G278" s="0" t="n">
        <v>0.03</v>
      </c>
      <c r="H278" s="0" t="n">
        <v>0.98</v>
      </c>
      <c r="I278" s="0" t="n">
        <v>0</v>
      </c>
      <c r="J278" s="0" t="n">
        <v>0</v>
      </c>
      <c r="K278" s="0" t="n">
        <v>0.08</v>
      </c>
      <c r="L278" s="0" t="n">
        <v>0</v>
      </c>
      <c r="M278" s="0" t="n">
        <v>0</v>
      </c>
      <c r="N278" s="0" t="n">
        <v>0</v>
      </c>
      <c r="O278" s="0" t="n">
        <v>605.51</v>
      </c>
    </row>
    <row r="279" customFormat="false" ht="15" hidden="false" customHeight="false" outlineLevel="0" collapsed="false">
      <c r="A279" s="0" t="s">
        <v>196</v>
      </c>
      <c r="B279" s="0" t="s">
        <v>434</v>
      </c>
      <c r="C279" s="0" t="n">
        <v>2023</v>
      </c>
      <c r="D279" s="0" t="n">
        <v>282347</v>
      </c>
      <c r="E279" s="0" t="n">
        <v>1.1</v>
      </c>
      <c r="F279" s="0" t="n">
        <v>0</v>
      </c>
      <c r="G279" s="0" t="n">
        <v>0.03</v>
      </c>
      <c r="H279" s="0" t="n">
        <v>0.98</v>
      </c>
      <c r="I279" s="0" t="n">
        <v>0</v>
      </c>
      <c r="J279" s="0" t="n">
        <v>0</v>
      </c>
      <c r="K279" s="0" t="n">
        <v>0.09</v>
      </c>
      <c r="L279" s="0" t="n">
        <v>0</v>
      </c>
      <c r="M279" s="0" t="n">
        <v>0</v>
      </c>
      <c r="N279" s="0" t="n">
        <v>0</v>
      </c>
      <c r="O279" s="0" t="n">
        <v>600</v>
      </c>
    </row>
    <row r="280" customFormat="false" ht="15" hidden="false" customHeight="false" outlineLevel="0" collapsed="false">
      <c r="A280" s="0" t="s">
        <v>196</v>
      </c>
      <c r="B280" s="0" t="s">
        <v>434</v>
      </c>
      <c r="C280" s="0" t="n">
        <v>2024</v>
      </c>
      <c r="D280" s="0" t="n">
        <v>282476</v>
      </c>
      <c r="E280" s="0" t="n">
        <v>1.11</v>
      </c>
      <c r="F280" s="0" t="n">
        <v>0</v>
      </c>
      <c r="G280" s="0" t="n">
        <v>0.03</v>
      </c>
      <c r="H280" s="0" t="n">
        <v>0.98</v>
      </c>
      <c r="I280" s="0" t="n">
        <v>0</v>
      </c>
      <c r="J280" s="0" t="n">
        <v>0</v>
      </c>
      <c r="K280" s="0" t="n">
        <v>0.1</v>
      </c>
      <c r="L280" s="0" t="n">
        <v>0</v>
      </c>
      <c r="M280" s="0" t="n">
        <v>0</v>
      </c>
      <c r="N280" s="0" t="n">
        <v>0</v>
      </c>
      <c r="O280" s="0" t="n">
        <v>594.6</v>
      </c>
    </row>
    <row r="281" customFormat="false" ht="15" hidden="false" customHeight="false" outlineLevel="0" collapsed="false">
      <c r="A281" s="0" t="s">
        <v>197</v>
      </c>
      <c r="B281" s="0" t="s">
        <v>435</v>
      </c>
      <c r="C281" s="0" t="n">
        <v>2015</v>
      </c>
      <c r="D281" s="0" t="n">
        <v>9487289</v>
      </c>
      <c r="E281" s="0" t="n">
        <v>34.09</v>
      </c>
      <c r="F281" s="0" t="n">
        <v>0.04</v>
      </c>
      <c r="G281" s="0" t="n">
        <v>33.35</v>
      </c>
      <c r="H281" s="0" t="n">
        <v>0.36</v>
      </c>
      <c r="I281" s="0" t="n">
        <v>0</v>
      </c>
      <c r="J281" s="0" t="n">
        <v>0.11</v>
      </c>
      <c r="K281" s="0" t="n">
        <v>0.01</v>
      </c>
      <c r="L281" s="0" t="n">
        <v>0.03</v>
      </c>
      <c r="M281" s="0" t="n">
        <v>0.19</v>
      </c>
      <c r="N281" s="0" t="n">
        <v>0</v>
      </c>
      <c r="O281" s="0" t="n">
        <v>506.89</v>
      </c>
    </row>
    <row r="282" customFormat="false" ht="15" hidden="false" customHeight="false" outlineLevel="0" collapsed="false">
      <c r="A282" s="0" t="s">
        <v>197</v>
      </c>
      <c r="B282" s="0" t="s">
        <v>435</v>
      </c>
      <c r="C282" s="0" t="n">
        <v>2016</v>
      </c>
      <c r="D282" s="0" t="n">
        <v>9499066</v>
      </c>
      <c r="E282" s="0" t="n">
        <v>33.57</v>
      </c>
      <c r="F282" s="0" t="n">
        <v>0.03</v>
      </c>
      <c r="G282" s="0" t="n">
        <v>32.53</v>
      </c>
      <c r="H282" s="0" t="n">
        <v>0.58</v>
      </c>
      <c r="I282" s="0" t="n">
        <v>0</v>
      </c>
      <c r="J282" s="0" t="n">
        <v>0.14</v>
      </c>
      <c r="K282" s="0" t="n">
        <v>0.03</v>
      </c>
      <c r="L282" s="0" t="n">
        <v>0.08</v>
      </c>
      <c r="M282" s="0" t="n">
        <v>0.18</v>
      </c>
      <c r="N282" s="0" t="n">
        <v>0</v>
      </c>
      <c r="O282" s="0" t="n">
        <v>506.11</v>
      </c>
    </row>
    <row r="283" customFormat="false" ht="15" hidden="false" customHeight="false" outlineLevel="0" collapsed="false">
      <c r="A283" s="0" t="s">
        <v>197</v>
      </c>
      <c r="B283" s="0" t="s">
        <v>435</v>
      </c>
      <c r="C283" s="0" t="n">
        <v>2017</v>
      </c>
      <c r="D283" s="0" t="n">
        <v>9495793</v>
      </c>
      <c r="E283" s="0" t="n">
        <v>34.51</v>
      </c>
      <c r="F283" s="0" t="n">
        <v>0.03</v>
      </c>
      <c r="G283" s="0" t="n">
        <v>33.51</v>
      </c>
      <c r="H283" s="0" t="n">
        <v>0.19</v>
      </c>
      <c r="I283" s="0" t="n">
        <v>0</v>
      </c>
      <c r="J283" s="0" t="n">
        <v>0.4</v>
      </c>
      <c r="K283" s="0" t="n">
        <v>0.09</v>
      </c>
      <c r="L283" s="0" t="n">
        <v>0.1</v>
      </c>
      <c r="M283" s="0" t="n">
        <v>0.19</v>
      </c>
      <c r="N283" s="0" t="n">
        <v>0</v>
      </c>
      <c r="O283" s="0" t="n">
        <v>499.86</v>
      </c>
    </row>
    <row r="284" customFormat="false" ht="15" hidden="false" customHeight="false" outlineLevel="0" collapsed="false">
      <c r="A284" s="0" t="s">
        <v>197</v>
      </c>
      <c r="B284" s="0" t="s">
        <v>435</v>
      </c>
      <c r="C284" s="0" t="n">
        <v>2018</v>
      </c>
      <c r="D284" s="0" t="n">
        <v>9480031</v>
      </c>
      <c r="E284" s="0" t="n">
        <v>38.99</v>
      </c>
      <c r="F284" s="0" t="n">
        <v>0.03</v>
      </c>
      <c r="G284" s="0" t="n">
        <v>37.89</v>
      </c>
      <c r="H284" s="0" t="n">
        <v>0.26</v>
      </c>
      <c r="I284" s="0" t="n">
        <v>0</v>
      </c>
      <c r="J284" s="0" t="n">
        <v>0.32</v>
      </c>
      <c r="K284" s="0" t="n">
        <v>0.18</v>
      </c>
      <c r="L284" s="0" t="n">
        <v>0.1</v>
      </c>
      <c r="M284" s="0" t="n">
        <v>0.21</v>
      </c>
      <c r="N284" s="0" t="n">
        <v>0</v>
      </c>
      <c r="O284" s="0" t="n">
        <v>501.15</v>
      </c>
    </row>
    <row r="285" customFormat="false" ht="15" hidden="false" customHeight="false" outlineLevel="0" collapsed="false">
      <c r="A285" s="0" t="s">
        <v>197</v>
      </c>
      <c r="B285" s="0" t="s">
        <v>435</v>
      </c>
      <c r="C285" s="0" t="n">
        <v>2019</v>
      </c>
      <c r="D285" s="0" t="n">
        <v>9435415</v>
      </c>
      <c r="E285" s="0" t="n">
        <v>40.46</v>
      </c>
      <c r="F285" s="0" t="n">
        <v>0.03</v>
      </c>
      <c r="G285" s="0" t="n">
        <v>39.19</v>
      </c>
      <c r="H285" s="0" t="n">
        <v>0.2</v>
      </c>
      <c r="I285" s="0" t="n">
        <v>0</v>
      </c>
      <c r="J285" s="0" t="n">
        <v>0.34</v>
      </c>
      <c r="K285" s="0" t="n">
        <v>0.18</v>
      </c>
      <c r="L285" s="0" t="n">
        <v>0.18</v>
      </c>
      <c r="M285" s="0" t="n">
        <v>0.34</v>
      </c>
      <c r="N285" s="0" t="n">
        <v>0</v>
      </c>
      <c r="O285" s="0" t="n">
        <v>498.76</v>
      </c>
    </row>
    <row r="286" customFormat="false" ht="15" hidden="false" customHeight="false" outlineLevel="0" collapsed="false">
      <c r="A286" s="0" t="s">
        <v>197</v>
      </c>
      <c r="B286" s="0" t="s">
        <v>435</v>
      </c>
      <c r="C286" s="0" t="n">
        <v>2020</v>
      </c>
      <c r="D286" s="0" t="n">
        <v>9350943</v>
      </c>
      <c r="E286" s="0" t="n">
        <v>38.54</v>
      </c>
      <c r="F286" s="0" t="n">
        <v>0.03</v>
      </c>
      <c r="G286" s="0" t="n">
        <v>34.69</v>
      </c>
      <c r="H286" s="0" t="n">
        <v>2.13</v>
      </c>
      <c r="I286" s="0" t="n">
        <v>0.34</v>
      </c>
      <c r="J286" s="0" t="n">
        <v>0.39</v>
      </c>
      <c r="K286" s="0" t="n">
        <v>0.18</v>
      </c>
      <c r="L286" s="0" t="n">
        <v>0.19</v>
      </c>
      <c r="M286" s="0" t="n">
        <v>0.59</v>
      </c>
      <c r="N286" s="0" t="n">
        <v>0</v>
      </c>
      <c r="O286" s="0" t="n">
        <v>498.7</v>
      </c>
    </row>
    <row r="287" customFormat="false" ht="15" hidden="false" customHeight="false" outlineLevel="0" collapsed="false">
      <c r="A287" s="0" t="s">
        <v>197</v>
      </c>
      <c r="B287" s="0" t="s">
        <v>435</v>
      </c>
      <c r="C287" s="0" t="n">
        <v>2021</v>
      </c>
      <c r="D287" s="0" t="n">
        <v>9251368</v>
      </c>
      <c r="E287" s="0" t="n">
        <v>41.25</v>
      </c>
      <c r="F287" s="0" t="n">
        <v>0.03</v>
      </c>
      <c r="G287" s="0" t="n">
        <v>32.19</v>
      </c>
      <c r="H287" s="0" t="n">
        <v>1.98</v>
      </c>
      <c r="I287" s="0" t="n">
        <v>5.78</v>
      </c>
      <c r="J287" s="0" t="n">
        <v>0.37</v>
      </c>
      <c r="K287" s="0" t="n">
        <v>0.18</v>
      </c>
      <c r="L287" s="0" t="n">
        <v>0.17</v>
      </c>
      <c r="M287" s="0" t="n">
        <v>0.55</v>
      </c>
      <c r="N287" s="0" t="n">
        <v>0</v>
      </c>
      <c r="O287" s="0" t="n">
        <v>433.21</v>
      </c>
    </row>
    <row r="288" customFormat="false" ht="15" hidden="false" customHeight="false" outlineLevel="0" collapsed="false">
      <c r="A288" s="0" t="s">
        <v>197</v>
      </c>
      <c r="B288" s="0" t="s">
        <v>435</v>
      </c>
      <c r="C288" s="0" t="n">
        <v>2022</v>
      </c>
      <c r="D288" s="0" t="n">
        <v>9173240</v>
      </c>
      <c r="E288" s="0" t="n">
        <v>37.18</v>
      </c>
      <c r="F288" s="0" t="n">
        <v>0.03</v>
      </c>
      <c r="G288" s="0" t="n">
        <v>29.4</v>
      </c>
      <c r="H288" s="0" t="n">
        <v>1.81</v>
      </c>
      <c r="I288" s="0" t="n">
        <v>4.68</v>
      </c>
      <c r="J288" s="0" t="n">
        <v>0.37</v>
      </c>
      <c r="K288" s="0" t="n">
        <v>0.21</v>
      </c>
      <c r="L288" s="0" t="n">
        <v>0.18</v>
      </c>
      <c r="M288" s="0" t="n">
        <v>0.5</v>
      </c>
      <c r="N288" s="0" t="n">
        <v>0</v>
      </c>
      <c r="O288" s="0" t="n">
        <v>439.22</v>
      </c>
    </row>
    <row r="289" customFormat="false" ht="15" hidden="false" customHeight="false" outlineLevel="0" collapsed="false">
      <c r="A289" s="0" t="s">
        <v>197</v>
      </c>
      <c r="B289" s="0" t="s">
        <v>435</v>
      </c>
      <c r="C289" s="0" t="n">
        <v>2023</v>
      </c>
      <c r="D289" s="0" t="n">
        <v>9115679</v>
      </c>
      <c r="E289" s="0" t="n">
        <v>41.74</v>
      </c>
      <c r="F289" s="0" t="n">
        <v>0.02</v>
      </c>
      <c r="G289" s="0" t="n">
        <v>26.99</v>
      </c>
      <c r="H289" s="0" t="n">
        <v>1.66</v>
      </c>
      <c r="I289" s="0" t="n">
        <v>11.73</v>
      </c>
      <c r="J289" s="0" t="n">
        <v>0.39</v>
      </c>
      <c r="K289" s="0" t="n">
        <v>0.23</v>
      </c>
      <c r="L289" s="0" t="n">
        <v>0.19</v>
      </c>
      <c r="M289" s="0" t="n">
        <v>0.53</v>
      </c>
      <c r="N289" s="0" t="n">
        <v>0</v>
      </c>
      <c r="O289" s="0" t="n">
        <v>359.85</v>
      </c>
    </row>
    <row r="290" customFormat="false" ht="15" hidden="false" customHeight="false" outlineLevel="0" collapsed="false">
      <c r="A290" s="0" t="s">
        <v>197</v>
      </c>
      <c r="B290" s="0" t="s">
        <v>435</v>
      </c>
      <c r="C290" s="0" t="n">
        <v>2024</v>
      </c>
      <c r="D290" s="0" t="n">
        <v>9056696</v>
      </c>
      <c r="E290" s="0" t="n">
        <v>45.82</v>
      </c>
      <c r="F290" s="0" t="n">
        <v>0.02</v>
      </c>
      <c r="G290" s="0" t="n">
        <v>27</v>
      </c>
      <c r="H290" s="0" t="n">
        <v>1.7</v>
      </c>
      <c r="I290" s="0" t="n">
        <v>15.69</v>
      </c>
      <c r="J290" s="0" t="n">
        <v>0.4</v>
      </c>
      <c r="K290" s="0" t="n">
        <v>0.26</v>
      </c>
      <c r="L290" s="0" t="n">
        <v>0.2</v>
      </c>
      <c r="M290" s="0" t="n">
        <v>0.55</v>
      </c>
      <c r="N290" s="0" t="n">
        <v>0</v>
      </c>
      <c r="O290" s="0" t="n">
        <v>329.55</v>
      </c>
    </row>
    <row r="291" customFormat="false" ht="15" hidden="false" customHeight="false" outlineLevel="0" collapsed="false">
      <c r="A291" s="0" t="s">
        <v>197</v>
      </c>
      <c r="B291" s="0" t="s">
        <v>435</v>
      </c>
      <c r="C291" s="0" t="n">
        <v>2025</v>
      </c>
      <c r="D291" s="0" t="n">
        <v>8997601</v>
      </c>
      <c r="E291" s="0" t="n">
        <v>46.37</v>
      </c>
      <c r="F291" s="0" t="n">
        <v>0.02</v>
      </c>
      <c r="G291" s="0" t="n">
        <v>25.27</v>
      </c>
      <c r="H291" s="0" t="n">
        <v>1.87</v>
      </c>
      <c r="I291" s="0" t="n">
        <v>16.97</v>
      </c>
      <c r="J291" s="0" t="n">
        <v>0.93</v>
      </c>
      <c r="K291" s="0" t="n">
        <v>0.37</v>
      </c>
      <c r="L291" s="0" t="n">
        <v>0.48</v>
      </c>
      <c r="M291" s="0" t="n">
        <v>0.46</v>
      </c>
      <c r="N291" s="0" t="n">
        <v>0</v>
      </c>
      <c r="O291" s="0" t="n">
        <v>309.25</v>
      </c>
    </row>
    <row r="292" customFormat="false" ht="15" hidden="false" customHeight="false" outlineLevel="0" collapsed="false">
      <c r="A292" s="0" t="s">
        <v>198</v>
      </c>
      <c r="B292" s="0" t="s">
        <v>436</v>
      </c>
      <c r="C292" s="0" t="n">
        <v>2015</v>
      </c>
      <c r="D292" s="0" t="n">
        <v>11275332</v>
      </c>
      <c r="E292" s="0" t="n">
        <v>68.43</v>
      </c>
      <c r="F292" s="0" t="n">
        <v>2.07</v>
      </c>
      <c r="G292" s="0" t="n">
        <v>22.02</v>
      </c>
      <c r="H292" s="0" t="n">
        <v>3.8</v>
      </c>
      <c r="I292" s="0" t="n">
        <v>26.1</v>
      </c>
      <c r="J292" s="0" t="n">
        <v>0.32</v>
      </c>
      <c r="K292" s="0" t="n">
        <v>3.06</v>
      </c>
      <c r="L292" s="0" t="n">
        <v>5.57</v>
      </c>
      <c r="M292" s="0" t="n">
        <v>5.49</v>
      </c>
      <c r="N292" s="0" t="n">
        <v>0</v>
      </c>
      <c r="O292" s="0" t="n">
        <v>215.55</v>
      </c>
    </row>
    <row r="293" customFormat="false" ht="15" hidden="false" customHeight="false" outlineLevel="0" collapsed="false">
      <c r="A293" s="0" t="s">
        <v>198</v>
      </c>
      <c r="B293" s="0" t="s">
        <v>436</v>
      </c>
      <c r="C293" s="0" t="n">
        <v>2016</v>
      </c>
      <c r="D293" s="0" t="n">
        <v>11332707</v>
      </c>
      <c r="E293" s="0" t="n">
        <v>84.31</v>
      </c>
      <c r="F293" s="0" t="n">
        <v>0.39</v>
      </c>
      <c r="G293" s="0" t="n">
        <v>22.07</v>
      </c>
      <c r="H293" s="0" t="n">
        <v>4.08</v>
      </c>
      <c r="I293" s="0" t="n">
        <v>43.52</v>
      </c>
      <c r="J293" s="0" t="n">
        <v>0.37</v>
      </c>
      <c r="K293" s="0" t="n">
        <v>3.1</v>
      </c>
      <c r="L293" s="0" t="n">
        <v>5.42</v>
      </c>
      <c r="M293" s="0" t="n">
        <v>5.36</v>
      </c>
      <c r="N293" s="0" t="n">
        <v>0</v>
      </c>
      <c r="O293" s="0" t="n">
        <v>158.7</v>
      </c>
    </row>
    <row r="294" customFormat="false" ht="15" hidden="false" customHeight="false" outlineLevel="0" collapsed="false">
      <c r="A294" s="0" t="s">
        <v>198</v>
      </c>
      <c r="B294" s="0" t="s">
        <v>436</v>
      </c>
      <c r="C294" s="0" t="n">
        <v>2017</v>
      </c>
      <c r="D294" s="0" t="n">
        <v>11376583</v>
      </c>
      <c r="E294" s="0" t="n">
        <v>85.34</v>
      </c>
      <c r="F294" s="0" t="n">
        <v>0</v>
      </c>
      <c r="G294" s="0" t="n">
        <v>23.02</v>
      </c>
      <c r="H294" s="0" t="n">
        <v>4.29</v>
      </c>
      <c r="I294" s="0" t="n">
        <v>42.23</v>
      </c>
      <c r="J294" s="0" t="n">
        <v>0.27</v>
      </c>
      <c r="K294" s="0" t="n">
        <v>3.31</v>
      </c>
      <c r="L294" s="0" t="n">
        <v>6.52</v>
      </c>
      <c r="M294" s="0" t="n">
        <v>5.7</v>
      </c>
      <c r="N294" s="0" t="n">
        <v>0</v>
      </c>
      <c r="O294" s="0" t="n">
        <v>159.48</v>
      </c>
    </row>
    <row r="295" customFormat="false" ht="15" hidden="false" customHeight="false" outlineLevel="0" collapsed="false">
      <c r="A295" s="0" t="s">
        <v>198</v>
      </c>
      <c r="B295" s="0" t="s">
        <v>436</v>
      </c>
      <c r="C295" s="0" t="n">
        <v>2018</v>
      </c>
      <c r="D295" s="0" t="n">
        <v>11428608</v>
      </c>
      <c r="E295" s="0" t="n">
        <v>73.87</v>
      </c>
      <c r="F295" s="0" t="n">
        <v>0</v>
      </c>
      <c r="G295" s="0" t="n">
        <v>23.99</v>
      </c>
      <c r="H295" s="0" t="n">
        <v>4.12</v>
      </c>
      <c r="I295" s="0" t="n">
        <v>28.6</v>
      </c>
      <c r="J295" s="0" t="n">
        <v>0.29</v>
      </c>
      <c r="K295" s="0" t="n">
        <v>3.9</v>
      </c>
      <c r="L295" s="0" t="n">
        <v>7.57</v>
      </c>
      <c r="M295" s="0" t="n">
        <v>5.4</v>
      </c>
      <c r="N295" s="0" t="n">
        <v>0</v>
      </c>
      <c r="O295" s="0" t="n">
        <v>186.95</v>
      </c>
    </row>
    <row r="296" customFormat="false" ht="15" hidden="false" customHeight="false" outlineLevel="0" collapsed="false">
      <c r="A296" s="0" t="s">
        <v>198</v>
      </c>
      <c r="B296" s="0" t="s">
        <v>436</v>
      </c>
      <c r="C296" s="0" t="n">
        <v>2019</v>
      </c>
      <c r="D296" s="0" t="n">
        <v>11490623</v>
      </c>
      <c r="E296" s="0" t="n">
        <v>92.69</v>
      </c>
      <c r="F296" s="0" t="n">
        <v>0</v>
      </c>
      <c r="G296" s="0" t="n">
        <v>25.54</v>
      </c>
      <c r="H296" s="0" t="n">
        <v>4.18</v>
      </c>
      <c r="I296" s="0" t="n">
        <v>43.52</v>
      </c>
      <c r="J296" s="0" t="n">
        <v>0.3</v>
      </c>
      <c r="K296" s="0" t="n">
        <v>4.25</v>
      </c>
      <c r="L296" s="0" t="n">
        <v>9.75</v>
      </c>
      <c r="M296" s="0" t="n">
        <v>5.15</v>
      </c>
      <c r="N296" s="0" t="n">
        <v>0</v>
      </c>
      <c r="O296" s="0" t="n">
        <v>156.54</v>
      </c>
    </row>
    <row r="297" customFormat="false" ht="15" hidden="false" customHeight="false" outlineLevel="0" collapsed="false">
      <c r="A297" s="0" t="s">
        <v>198</v>
      </c>
      <c r="B297" s="0" t="s">
        <v>436</v>
      </c>
      <c r="C297" s="0" t="n">
        <v>2020</v>
      </c>
      <c r="D297" s="0" t="n">
        <v>11540102</v>
      </c>
      <c r="E297" s="0" t="n">
        <v>88.29</v>
      </c>
      <c r="F297" s="0" t="n">
        <v>0</v>
      </c>
      <c r="G297" s="0" t="n">
        <v>26.78</v>
      </c>
      <c r="H297" s="0" t="n">
        <v>3.63</v>
      </c>
      <c r="I297" s="0" t="n">
        <v>34.43</v>
      </c>
      <c r="J297" s="0" t="n">
        <v>0.27</v>
      </c>
      <c r="K297" s="0" t="n">
        <v>5.11</v>
      </c>
      <c r="L297" s="0" t="n">
        <v>12.81</v>
      </c>
      <c r="M297" s="0" t="n">
        <v>5.26</v>
      </c>
      <c r="N297" s="0" t="n">
        <v>0</v>
      </c>
      <c r="O297" s="0" t="n">
        <v>166.61</v>
      </c>
    </row>
    <row r="298" customFormat="false" ht="15" hidden="false" customHeight="false" outlineLevel="0" collapsed="false">
      <c r="A298" s="0" t="s">
        <v>198</v>
      </c>
      <c r="B298" s="0" t="s">
        <v>436</v>
      </c>
      <c r="C298" s="0" t="n">
        <v>2021</v>
      </c>
      <c r="D298" s="0" t="n">
        <v>11570843</v>
      </c>
      <c r="E298" s="0" t="n">
        <v>99.4</v>
      </c>
      <c r="F298" s="0" t="n">
        <v>0</v>
      </c>
      <c r="G298" s="0" t="n">
        <v>22.52</v>
      </c>
      <c r="H298" s="0" t="n">
        <v>3.8</v>
      </c>
      <c r="I298" s="0" t="n">
        <v>50.33</v>
      </c>
      <c r="J298" s="0" t="n">
        <v>0.42</v>
      </c>
      <c r="K298" s="0" t="n">
        <v>5.62</v>
      </c>
      <c r="L298" s="0" t="n">
        <v>12</v>
      </c>
      <c r="M298" s="0" t="n">
        <v>4.71</v>
      </c>
      <c r="N298" s="0" t="n">
        <v>0</v>
      </c>
      <c r="O298" s="0" t="n">
        <v>131.79</v>
      </c>
    </row>
    <row r="299" customFormat="false" ht="15" hidden="false" customHeight="false" outlineLevel="0" collapsed="false">
      <c r="A299" s="0" t="s">
        <v>198</v>
      </c>
      <c r="B299" s="0" t="s">
        <v>436</v>
      </c>
      <c r="C299" s="0" t="n">
        <v>2022</v>
      </c>
      <c r="D299" s="0" t="n">
        <v>11641814</v>
      </c>
      <c r="E299" s="0" t="n">
        <v>94.33</v>
      </c>
      <c r="F299" s="0" t="n">
        <v>0</v>
      </c>
      <c r="G299" s="0" t="n">
        <v>21.95</v>
      </c>
      <c r="H299" s="0" t="n">
        <v>4.07</v>
      </c>
      <c r="I299" s="0" t="n">
        <v>43.88</v>
      </c>
      <c r="J299" s="0" t="n">
        <v>0.27</v>
      </c>
      <c r="K299" s="0" t="n">
        <v>6.88</v>
      </c>
      <c r="L299" s="0" t="n">
        <v>12.35</v>
      </c>
      <c r="M299" s="0" t="n">
        <v>4.93</v>
      </c>
      <c r="N299" s="0" t="n">
        <v>0</v>
      </c>
      <c r="O299" s="0" t="n">
        <v>139.4</v>
      </c>
    </row>
    <row r="300" customFormat="false" ht="15" hidden="false" customHeight="false" outlineLevel="0" collapsed="false">
      <c r="A300" s="0" t="s">
        <v>198</v>
      </c>
      <c r="B300" s="0" t="s">
        <v>436</v>
      </c>
      <c r="C300" s="0" t="n">
        <v>2023</v>
      </c>
      <c r="D300" s="0" t="n">
        <v>11712891</v>
      </c>
      <c r="E300" s="0" t="n">
        <v>82.13</v>
      </c>
      <c r="F300" s="0" t="n">
        <v>0</v>
      </c>
      <c r="G300" s="0" t="n">
        <v>18.3</v>
      </c>
      <c r="H300" s="0" t="n">
        <v>3.44</v>
      </c>
      <c r="I300" s="0" t="n">
        <v>32.93</v>
      </c>
      <c r="J300" s="0" t="n">
        <v>0.4</v>
      </c>
      <c r="K300" s="0" t="n">
        <v>7.83</v>
      </c>
      <c r="L300" s="0" t="n">
        <v>15.44</v>
      </c>
      <c r="M300" s="0" t="n">
        <v>3.79</v>
      </c>
      <c r="N300" s="0" t="n">
        <v>0</v>
      </c>
      <c r="O300" s="0" t="n">
        <v>134.67</v>
      </c>
    </row>
    <row r="301" customFormat="false" ht="15" hidden="false" customHeight="false" outlineLevel="0" collapsed="false">
      <c r="A301" s="0" t="s">
        <v>198</v>
      </c>
      <c r="B301" s="0" t="s">
        <v>436</v>
      </c>
      <c r="C301" s="0" t="n">
        <v>2024</v>
      </c>
      <c r="D301" s="0" t="n">
        <v>11738761</v>
      </c>
      <c r="E301" s="0" t="n">
        <v>76.01</v>
      </c>
      <c r="F301" s="0" t="n">
        <v>0</v>
      </c>
      <c r="G301" s="0" t="n">
        <v>14.17</v>
      </c>
      <c r="H301" s="0" t="n">
        <v>3.81</v>
      </c>
      <c r="I301" s="0" t="n">
        <v>31.25</v>
      </c>
      <c r="J301" s="0" t="n">
        <v>0.55</v>
      </c>
      <c r="K301" s="0" t="n">
        <v>8.56</v>
      </c>
      <c r="L301" s="0" t="n">
        <v>14.06</v>
      </c>
      <c r="M301" s="0" t="n">
        <v>3.61</v>
      </c>
      <c r="N301" s="0" t="n">
        <v>0</v>
      </c>
      <c r="O301" s="0" t="n">
        <v>126.96</v>
      </c>
    </row>
    <row r="302" customFormat="false" ht="15" hidden="false" customHeight="false" outlineLevel="0" collapsed="false">
      <c r="A302" s="0" t="s">
        <v>198</v>
      </c>
      <c r="B302" s="0" t="s">
        <v>436</v>
      </c>
      <c r="C302" s="0" t="n">
        <v>2025</v>
      </c>
      <c r="D302" s="0" t="n">
        <v>11758601</v>
      </c>
      <c r="E302" s="0" t="n">
        <v>72.89</v>
      </c>
      <c r="F302" s="0" t="n">
        <v>0</v>
      </c>
      <c r="G302" s="0" t="n">
        <v>15.7</v>
      </c>
      <c r="H302" s="0" t="n">
        <v>4.7</v>
      </c>
      <c r="I302" s="0" t="n">
        <v>24.11</v>
      </c>
      <c r="J302" s="0" t="n">
        <v>0.44</v>
      </c>
      <c r="K302" s="0" t="n">
        <v>10.45</v>
      </c>
      <c r="L302" s="0" t="n">
        <v>13.72</v>
      </c>
      <c r="M302" s="0" t="n">
        <v>3.77</v>
      </c>
      <c r="N302" s="0" t="n">
        <v>0</v>
      </c>
      <c r="O302" s="0" t="n">
        <v>149.82</v>
      </c>
    </row>
    <row r="303" customFormat="false" ht="15" hidden="false" customHeight="false" outlineLevel="0" collapsed="false">
      <c r="A303" s="0" t="s">
        <v>199</v>
      </c>
      <c r="B303" s="0" t="s">
        <v>437</v>
      </c>
      <c r="C303" s="0" t="n">
        <v>2015</v>
      </c>
      <c r="D303" s="0" t="n">
        <v>356341</v>
      </c>
      <c r="E303" s="0" t="n">
        <v>0.36</v>
      </c>
      <c r="F303" s="0" t="n">
        <v>0</v>
      </c>
      <c r="G303" s="0" t="n">
        <v>0.01</v>
      </c>
      <c r="H303" s="0" t="n">
        <v>0.02</v>
      </c>
      <c r="I303" s="0" t="n">
        <v>0</v>
      </c>
      <c r="J303" s="0" t="n">
        <v>0.24</v>
      </c>
      <c r="K303" s="0" t="n">
        <v>0</v>
      </c>
      <c r="L303" s="0" t="n">
        <v>0</v>
      </c>
      <c r="M303" s="0" t="n">
        <v>0.09</v>
      </c>
      <c r="N303" s="0" t="n">
        <v>0</v>
      </c>
      <c r="O303" s="0" t="n">
        <v>138.89</v>
      </c>
    </row>
    <row r="304" customFormat="false" ht="15" hidden="false" customHeight="false" outlineLevel="0" collapsed="false">
      <c r="A304" s="0" t="s">
        <v>199</v>
      </c>
      <c r="B304" s="0" t="s">
        <v>437</v>
      </c>
      <c r="C304" s="0" t="n">
        <v>2016</v>
      </c>
      <c r="D304" s="0" t="n">
        <v>364717</v>
      </c>
      <c r="E304" s="0" t="n">
        <v>0.38</v>
      </c>
      <c r="F304" s="0" t="n">
        <v>0</v>
      </c>
      <c r="G304" s="0" t="n">
        <v>0</v>
      </c>
      <c r="H304" s="0" t="n">
        <v>0.02</v>
      </c>
      <c r="I304" s="0" t="n">
        <v>0</v>
      </c>
      <c r="J304" s="0" t="n">
        <v>0.26</v>
      </c>
      <c r="K304" s="0" t="n">
        <v>0</v>
      </c>
      <c r="L304" s="0" t="n">
        <v>0</v>
      </c>
      <c r="M304" s="0" t="n">
        <v>0.1</v>
      </c>
      <c r="N304" s="0" t="n">
        <v>0</v>
      </c>
      <c r="O304" s="0" t="n">
        <v>105.26</v>
      </c>
    </row>
    <row r="305" customFormat="false" ht="15" hidden="false" customHeight="false" outlineLevel="0" collapsed="false">
      <c r="A305" s="0" t="s">
        <v>199</v>
      </c>
      <c r="B305" s="0" t="s">
        <v>437</v>
      </c>
      <c r="C305" s="0" t="n">
        <v>2017</v>
      </c>
      <c r="D305" s="0" t="n">
        <v>373215</v>
      </c>
      <c r="E305" s="0" t="n">
        <v>0.4</v>
      </c>
      <c r="F305" s="0" t="n">
        <v>0</v>
      </c>
      <c r="G305" s="0" t="n">
        <v>0</v>
      </c>
      <c r="H305" s="0" t="n">
        <v>0.02</v>
      </c>
      <c r="I305" s="0" t="n">
        <v>0</v>
      </c>
      <c r="J305" s="0" t="n">
        <v>0.27</v>
      </c>
      <c r="K305" s="0" t="n">
        <v>0</v>
      </c>
      <c r="L305" s="0" t="n">
        <v>0</v>
      </c>
      <c r="M305" s="0" t="n">
        <v>0.11</v>
      </c>
      <c r="N305" s="0" t="n">
        <v>0</v>
      </c>
      <c r="O305" s="0" t="n">
        <v>100</v>
      </c>
    </row>
    <row r="306" customFormat="false" ht="15" hidden="false" customHeight="false" outlineLevel="0" collapsed="false">
      <c r="A306" s="0" t="s">
        <v>199</v>
      </c>
      <c r="B306" s="0" t="s">
        <v>437</v>
      </c>
      <c r="C306" s="0" t="n">
        <v>2018</v>
      </c>
      <c r="D306" s="0" t="n">
        <v>380232</v>
      </c>
      <c r="E306" s="0" t="n">
        <v>0.41</v>
      </c>
      <c r="F306" s="0" t="n">
        <v>0</v>
      </c>
      <c r="G306" s="0" t="n">
        <v>0</v>
      </c>
      <c r="H306" s="0" t="n">
        <v>0.03</v>
      </c>
      <c r="I306" s="0" t="n">
        <v>0</v>
      </c>
      <c r="J306" s="0" t="n">
        <v>0.25</v>
      </c>
      <c r="K306" s="0" t="n">
        <v>0</v>
      </c>
      <c r="L306" s="0" t="n">
        <v>0</v>
      </c>
      <c r="M306" s="0" t="n">
        <v>0.13</v>
      </c>
      <c r="N306" s="0" t="n">
        <v>0</v>
      </c>
      <c r="O306" s="0" t="n">
        <v>146.34</v>
      </c>
    </row>
    <row r="307" customFormat="false" ht="15" hidden="false" customHeight="false" outlineLevel="0" collapsed="false">
      <c r="A307" s="0" t="s">
        <v>199</v>
      </c>
      <c r="B307" s="0" t="s">
        <v>437</v>
      </c>
      <c r="C307" s="0" t="n">
        <v>2019</v>
      </c>
      <c r="D307" s="0" t="n">
        <v>385833</v>
      </c>
      <c r="E307" s="0" t="n">
        <v>0.52</v>
      </c>
      <c r="F307" s="0" t="n">
        <v>0</v>
      </c>
      <c r="G307" s="0" t="n">
        <v>0</v>
      </c>
      <c r="H307" s="0" t="n">
        <v>0.07</v>
      </c>
      <c r="I307" s="0" t="n">
        <v>0</v>
      </c>
      <c r="J307" s="0" t="n">
        <v>0.29</v>
      </c>
      <c r="K307" s="0" t="n">
        <v>0.01</v>
      </c>
      <c r="L307" s="0" t="n">
        <v>0</v>
      </c>
      <c r="M307" s="0" t="n">
        <v>0.15</v>
      </c>
      <c r="N307" s="0" t="n">
        <v>0</v>
      </c>
      <c r="O307" s="0" t="n">
        <v>173.08</v>
      </c>
    </row>
    <row r="308" customFormat="false" ht="15" hidden="false" customHeight="false" outlineLevel="0" collapsed="false">
      <c r="A308" s="0" t="s">
        <v>199</v>
      </c>
      <c r="B308" s="0" t="s">
        <v>437</v>
      </c>
      <c r="C308" s="0" t="n">
        <v>2020</v>
      </c>
      <c r="D308" s="0" t="n">
        <v>390819</v>
      </c>
      <c r="E308" s="0" t="n">
        <v>0.44</v>
      </c>
      <c r="F308" s="0" t="n">
        <v>0</v>
      </c>
      <c r="G308" s="0" t="n">
        <v>0</v>
      </c>
      <c r="H308" s="0" t="n">
        <v>0.05</v>
      </c>
      <c r="I308" s="0" t="n">
        <v>0</v>
      </c>
      <c r="J308" s="0" t="n">
        <v>0.24</v>
      </c>
      <c r="K308" s="0" t="n">
        <v>0.01</v>
      </c>
      <c r="L308" s="0" t="n">
        <v>0</v>
      </c>
      <c r="M308" s="0" t="n">
        <v>0.14</v>
      </c>
      <c r="N308" s="0" t="n">
        <v>0</v>
      </c>
      <c r="O308" s="0" t="n">
        <v>159.09</v>
      </c>
    </row>
    <row r="309" customFormat="false" ht="15" hidden="false" customHeight="false" outlineLevel="0" collapsed="false">
      <c r="A309" s="0" t="s">
        <v>199</v>
      </c>
      <c r="B309" s="0" t="s">
        <v>437</v>
      </c>
      <c r="C309" s="0" t="n">
        <v>2021</v>
      </c>
      <c r="D309" s="0" t="n">
        <v>395355</v>
      </c>
      <c r="E309" s="0" t="n">
        <v>0.36</v>
      </c>
      <c r="F309" s="0" t="n">
        <v>0</v>
      </c>
      <c r="G309" s="0" t="n">
        <v>0</v>
      </c>
      <c r="H309" s="0" t="n">
        <v>0.05</v>
      </c>
      <c r="I309" s="0" t="n">
        <v>0</v>
      </c>
      <c r="J309" s="0" t="n">
        <v>0.16</v>
      </c>
      <c r="K309" s="0" t="n">
        <v>0.01</v>
      </c>
      <c r="L309" s="0" t="n">
        <v>0</v>
      </c>
      <c r="M309" s="0" t="n">
        <v>0.14</v>
      </c>
      <c r="N309" s="0" t="n">
        <v>0</v>
      </c>
      <c r="O309" s="0" t="n">
        <v>166.67</v>
      </c>
    </row>
    <row r="310" customFormat="false" ht="15" hidden="false" customHeight="false" outlineLevel="0" collapsed="false">
      <c r="A310" s="0" t="s">
        <v>199</v>
      </c>
      <c r="B310" s="0" t="s">
        <v>437</v>
      </c>
      <c r="C310" s="0" t="n">
        <v>2022</v>
      </c>
      <c r="D310" s="0" t="n">
        <v>402741</v>
      </c>
      <c r="E310" s="0" t="n">
        <v>0.47</v>
      </c>
      <c r="F310" s="0" t="n">
        <v>0</v>
      </c>
      <c r="G310" s="0" t="n">
        <v>0</v>
      </c>
      <c r="H310" s="0" t="n">
        <v>0.06</v>
      </c>
      <c r="I310" s="0" t="n">
        <v>0</v>
      </c>
      <c r="J310" s="0" t="n">
        <v>0.24</v>
      </c>
      <c r="K310" s="0" t="n">
        <v>0.01</v>
      </c>
      <c r="L310" s="0" t="n">
        <v>0</v>
      </c>
      <c r="M310" s="0" t="n">
        <v>0.16</v>
      </c>
      <c r="N310" s="0" t="n">
        <v>0</v>
      </c>
      <c r="O310" s="0" t="n">
        <v>170.21</v>
      </c>
    </row>
    <row r="311" customFormat="false" ht="15" hidden="false" customHeight="false" outlineLevel="0" collapsed="false">
      <c r="A311" s="0" t="s">
        <v>199</v>
      </c>
      <c r="B311" s="0" t="s">
        <v>437</v>
      </c>
      <c r="C311" s="0" t="n">
        <v>2023</v>
      </c>
      <c r="D311" s="0" t="n">
        <v>411112</v>
      </c>
      <c r="E311" s="0" t="n">
        <v>0.45</v>
      </c>
      <c r="F311" s="0" t="n">
        <v>0</v>
      </c>
      <c r="G311" s="0" t="n">
        <v>0</v>
      </c>
      <c r="H311" s="0" t="n">
        <v>0.05</v>
      </c>
      <c r="I311" s="0" t="n">
        <v>0</v>
      </c>
      <c r="J311" s="0" t="n">
        <v>0.24</v>
      </c>
      <c r="K311" s="0" t="n">
        <v>0.01</v>
      </c>
      <c r="L311" s="0" t="n">
        <v>0</v>
      </c>
      <c r="M311" s="0" t="n">
        <v>0.15</v>
      </c>
      <c r="N311" s="0" t="n">
        <v>0</v>
      </c>
      <c r="O311" s="0" t="n">
        <v>155.56</v>
      </c>
    </row>
    <row r="312" customFormat="false" ht="15" hidden="false" customHeight="false" outlineLevel="0" collapsed="false">
      <c r="A312" s="0" t="s">
        <v>199</v>
      </c>
      <c r="B312" s="0" t="s">
        <v>437</v>
      </c>
      <c r="C312" s="0" t="n">
        <v>2024</v>
      </c>
      <c r="D312" s="0" t="n">
        <v>417077</v>
      </c>
      <c r="E312" s="0" t="n">
        <v>0.47</v>
      </c>
      <c r="F312" s="0" t="n">
        <v>0</v>
      </c>
      <c r="G312" s="0" t="n">
        <v>0</v>
      </c>
      <c r="H312" s="0" t="n">
        <v>0.06</v>
      </c>
      <c r="I312" s="0" t="n">
        <v>0</v>
      </c>
      <c r="J312" s="0" t="n">
        <v>0.24</v>
      </c>
      <c r="K312" s="0" t="n">
        <v>0.01</v>
      </c>
      <c r="L312" s="0" t="n">
        <v>0</v>
      </c>
      <c r="M312" s="0" t="n">
        <v>0.16</v>
      </c>
      <c r="N312" s="0" t="n">
        <v>0</v>
      </c>
      <c r="O312" s="0" t="n">
        <v>170.21</v>
      </c>
    </row>
    <row r="313" customFormat="false" ht="15" hidden="false" customHeight="false" outlineLevel="0" collapsed="false">
      <c r="A313" s="0" t="s">
        <v>200</v>
      </c>
      <c r="B313" s="0" t="s">
        <v>438</v>
      </c>
      <c r="C313" s="0" t="n">
        <v>2015</v>
      </c>
      <c r="D313" s="0" t="n">
        <v>11360681</v>
      </c>
      <c r="E313" s="0" t="n">
        <v>0.32</v>
      </c>
      <c r="F313" s="0" t="n">
        <v>0</v>
      </c>
      <c r="G313" s="0" t="n">
        <v>0.11</v>
      </c>
      <c r="H313" s="0" t="n">
        <v>0.21</v>
      </c>
      <c r="I313" s="0" t="n">
        <v>0</v>
      </c>
      <c r="J313" s="0" t="n">
        <v>0</v>
      </c>
      <c r="K313" s="0" t="n">
        <v>0</v>
      </c>
      <c r="L313" s="0" t="n">
        <v>0</v>
      </c>
      <c r="M313" s="0" t="n">
        <v>0</v>
      </c>
      <c r="N313" s="0" t="n">
        <v>0</v>
      </c>
      <c r="O313" s="0" t="n">
        <v>625</v>
      </c>
    </row>
    <row r="314" customFormat="false" ht="15" hidden="false" customHeight="false" outlineLevel="0" collapsed="false">
      <c r="A314" s="0" t="s">
        <v>200</v>
      </c>
      <c r="B314" s="0" t="s">
        <v>438</v>
      </c>
      <c r="C314" s="0" t="n">
        <v>2016</v>
      </c>
      <c r="D314" s="0" t="n">
        <v>11697845</v>
      </c>
      <c r="E314" s="0" t="n">
        <v>0.27</v>
      </c>
      <c r="F314" s="0" t="n">
        <v>0</v>
      </c>
      <c r="G314" s="0" t="n">
        <v>0.01</v>
      </c>
      <c r="H314" s="0" t="n">
        <v>0.26</v>
      </c>
      <c r="I314" s="0" t="n">
        <v>0</v>
      </c>
      <c r="J314" s="0" t="n">
        <v>0</v>
      </c>
      <c r="K314" s="0" t="n">
        <v>0</v>
      </c>
      <c r="L314" s="0" t="n">
        <v>0</v>
      </c>
      <c r="M314" s="0" t="n">
        <v>0</v>
      </c>
      <c r="N314" s="0" t="n">
        <v>0</v>
      </c>
      <c r="O314" s="0" t="n">
        <v>666.67</v>
      </c>
    </row>
    <row r="315" customFormat="false" ht="15" hidden="false" customHeight="false" outlineLevel="0" collapsed="false">
      <c r="A315" s="0" t="s">
        <v>200</v>
      </c>
      <c r="B315" s="0" t="s">
        <v>438</v>
      </c>
      <c r="C315" s="0" t="n">
        <v>2017</v>
      </c>
      <c r="D315" s="0" t="n">
        <v>12039777</v>
      </c>
      <c r="E315" s="0" t="n">
        <v>0.32</v>
      </c>
      <c r="F315" s="0" t="n">
        <v>0</v>
      </c>
      <c r="G315" s="0" t="n">
        <v>0.14</v>
      </c>
      <c r="H315" s="0" t="n">
        <v>0.18</v>
      </c>
      <c r="I315" s="0" t="n">
        <v>0</v>
      </c>
      <c r="J315" s="0" t="n">
        <v>0</v>
      </c>
      <c r="K315" s="0" t="n">
        <v>0</v>
      </c>
      <c r="L315" s="0" t="n">
        <v>0</v>
      </c>
      <c r="M315" s="0" t="n">
        <v>0</v>
      </c>
      <c r="N315" s="0" t="n">
        <v>0</v>
      </c>
      <c r="O315" s="0" t="n">
        <v>625</v>
      </c>
    </row>
    <row r="316" customFormat="false" ht="15" hidden="false" customHeight="false" outlineLevel="0" collapsed="false">
      <c r="A316" s="0" t="s">
        <v>200</v>
      </c>
      <c r="B316" s="0" t="s">
        <v>438</v>
      </c>
      <c r="C316" s="0" t="n">
        <v>2018</v>
      </c>
      <c r="D316" s="0" t="n">
        <v>12383349</v>
      </c>
      <c r="E316" s="0" t="n">
        <v>0.19</v>
      </c>
      <c r="F316" s="0" t="n">
        <v>0</v>
      </c>
      <c r="G316" s="0" t="n">
        <v>0.06</v>
      </c>
      <c r="H316" s="0" t="n">
        <v>0.13</v>
      </c>
      <c r="I316" s="0" t="n">
        <v>0</v>
      </c>
      <c r="J316" s="0" t="n">
        <v>0</v>
      </c>
      <c r="K316" s="0" t="n">
        <v>0</v>
      </c>
      <c r="L316" s="0" t="n">
        <v>0</v>
      </c>
      <c r="M316" s="0" t="n">
        <v>0</v>
      </c>
      <c r="N316" s="0" t="n">
        <v>0</v>
      </c>
      <c r="O316" s="0" t="n">
        <v>631.58</v>
      </c>
    </row>
    <row r="317" customFormat="false" ht="15" hidden="false" customHeight="false" outlineLevel="0" collapsed="false">
      <c r="A317" s="0" t="s">
        <v>200</v>
      </c>
      <c r="B317" s="0" t="s">
        <v>438</v>
      </c>
      <c r="C317" s="0" t="n">
        <v>2019</v>
      </c>
      <c r="D317" s="0" t="n">
        <v>12726760</v>
      </c>
      <c r="E317" s="0" t="n">
        <v>0.54</v>
      </c>
      <c r="F317" s="0" t="n">
        <v>0</v>
      </c>
      <c r="G317" s="0" t="n">
        <v>0.32</v>
      </c>
      <c r="H317" s="0" t="n">
        <v>0.21</v>
      </c>
      <c r="I317" s="0" t="n">
        <v>0</v>
      </c>
      <c r="J317" s="0" t="n">
        <v>0</v>
      </c>
      <c r="K317" s="0" t="n">
        <v>0.01</v>
      </c>
      <c r="L317" s="0" t="n">
        <v>0</v>
      </c>
      <c r="M317" s="0" t="n">
        <v>0</v>
      </c>
      <c r="N317" s="0" t="n">
        <v>0</v>
      </c>
      <c r="O317" s="0" t="n">
        <v>611.11</v>
      </c>
    </row>
    <row r="318" customFormat="false" ht="15" hidden="false" customHeight="false" outlineLevel="0" collapsed="false">
      <c r="A318" s="0" t="s">
        <v>200</v>
      </c>
      <c r="B318" s="0" t="s">
        <v>438</v>
      </c>
      <c r="C318" s="0" t="n">
        <v>2020</v>
      </c>
      <c r="D318" s="0" t="n">
        <v>13070169</v>
      </c>
      <c r="E318" s="0" t="n">
        <v>0.99</v>
      </c>
      <c r="F318" s="0" t="n">
        <v>0</v>
      </c>
      <c r="G318" s="0" t="n">
        <v>0.75</v>
      </c>
      <c r="H318" s="0" t="n">
        <v>0.23</v>
      </c>
      <c r="I318" s="0" t="n">
        <v>0</v>
      </c>
      <c r="J318" s="0" t="n">
        <v>0</v>
      </c>
      <c r="K318" s="0" t="n">
        <v>0.01</v>
      </c>
      <c r="L318" s="0" t="n">
        <v>0</v>
      </c>
      <c r="M318" s="0" t="n">
        <v>0</v>
      </c>
      <c r="N318" s="0" t="n">
        <v>0</v>
      </c>
      <c r="O318" s="0" t="n">
        <v>595.96</v>
      </c>
    </row>
    <row r="319" customFormat="false" ht="15" hidden="false" customHeight="false" outlineLevel="0" collapsed="false">
      <c r="A319" s="0" t="s">
        <v>200</v>
      </c>
      <c r="B319" s="0" t="s">
        <v>438</v>
      </c>
      <c r="C319" s="0" t="n">
        <v>2021</v>
      </c>
      <c r="D319" s="0" t="n">
        <v>13413423</v>
      </c>
      <c r="E319" s="0" t="n">
        <v>1.13</v>
      </c>
      <c r="F319" s="0" t="n">
        <v>0</v>
      </c>
      <c r="G319" s="0" t="n">
        <v>0.89</v>
      </c>
      <c r="H319" s="0" t="n">
        <v>0.22</v>
      </c>
      <c r="I319" s="0" t="n">
        <v>0</v>
      </c>
      <c r="J319" s="0" t="n">
        <v>0</v>
      </c>
      <c r="K319" s="0" t="n">
        <v>0.02</v>
      </c>
      <c r="L319" s="0" t="n">
        <v>0</v>
      </c>
      <c r="M319" s="0" t="n">
        <v>0</v>
      </c>
      <c r="N319" s="0" t="n">
        <v>0</v>
      </c>
      <c r="O319" s="0" t="n">
        <v>584.07</v>
      </c>
    </row>
    <row r="320" customFormat="false" ht="15" hidden="false" customHeight="false" outlineLevel="0" collapsed="false">
      <c r="A320" s="0" t="s">
        <v>200</v>
      </c>
      <c r="B320" s="0" t="s">
        <v>438</v>
      </c>
      <c r="C320" s="0" t="n">
        <v>2022</v>
      </c>
      <c r="D320" s="0" t="n">
        <v>13759507</v>
      </c>
      <c r="E320" s="0" t="n">
        <v>0.99</v>
      </c>
      <c r="F320" s="0" t="n">
        <v>0</v>
      </c>
      <c r="G320" s="0" t="n">
        <v>0.73</v>
      </c>
      <c r="H320" s="0" t="n">
        <v>0.24</v>
      </c>
      <c r="I320" s="0" t="n">
        <v>0</v>
      </c>
      <c r="J320" s="0" t="n">
        <v>0</v>
      </c>
      <c r="K320" s="0" t="n">
        <v>0.02</v>
      </c>
      <c r="L320" s="0" t="n">
        <v>0</v>
      </c>
      <c r="M320" s="0" t="n">
        <v>0</v>
      </c>
      <c r="N320" s="0" t="n">
        <v>0</v>
      </c>
      <c r="O320" s="0" t="n">
        <v>595.96</v>
      </c>
    </row>
    <row r="321" customFormat="false" ht="15" hidden="false" customHeight="false" outlineLevel="0" collapsed="false">
      <c r="A321" s="0" t="s">
        <v>200</v>
      </c>
      <c r="B321" s="0" t="s">
        <v>438</v>
      </c>
      <c r="C321" s="0" t="n">
        <v>2023</v>
      </c>
      <c r="D321" s="0" t="n">
        <v>14111035</v>
      </c>
      <c r="E321" s="0" t="n">
        <v>1</v>
      </c>
      <c r="F321" s="0" t="n">
        <v>0</v>
      </c>
      <c r="G321" s="0" t="n">
        <v>0.73</v>
      </c>
      <c r="H321" s="0" t="n">
        <v>0.24</v>
      </c>
      <c r="I321" s="0" t="n">
        <v>0</v>
      </c>
      <c r="J321" s="0" t="n">
        <v>0</v>
      </c>
      <c r="K321" s="0" t="n">
        <v>0.03</v>
      </c>
      <c r="L321" s="0" t="n">
        <v>0</v>
      </c>
      <c r="M321" s="0" t="n">
        <v>0</v>
      </c>
      <c r="N321" s="0" t="n">
        <v>0</v>
      </c>
      <c r="O321" s="0" t="n">
        <v>590</v>
      </c>
    </row>
    <row r="322" customFormat="false" ht="15" hidden="false" customHeight="false" outlineLevel="0" collapsed="false">
      <c r="A322" s="0" t="s">
        <v>200</v>
      </c>
      <c r="B322" s="0" t="s">
        <v>438</v>
      </c>
      <c r="C322" s="0" t="n">
        <v>2024</v>
      </c>
      <c r="D322" s="0" t="n">
        <v>14462721</v>
      </c>
      <c r="E322" s="0" t="n">
        <v>1.01</v>
      </c>
      <c r="F322" s="0" t="n">
        <v>0</v>
      </c>
      <c r="G322" s="0" t="n">
        <v>0.73</v>
      </c>
      <c r="H322" s="0" t="n">
        <v>0.24</v>
      </c>
      <c r="I322" s="0" t="n">
        <v>0</v>
      </c>
      <c r="J322" s="0" t="n">
        <v>0</v>
      </c>
      <c r="K322" s="0" t="n">
        <v>0.04</v>
      </c>
      <c r="L322" s="0" t="n">
        <v>0</v>
      </c>
      <c r="M322" s="0" t="n">
        <v>0</v>
      </c>
      <c r="N322" s="0" t="n">
        <v>0</v>
      </c>
      <c r="O322" s="0" t="n">
        <v>584.16</v>
      </c>
    </row>
    <row r="323" customFormat="false" ht="15" hidden="false" customHeight="false" outlineLevel="0" collapsed="false">
      <c r="A323" s="0" t="s">
        <v>201</v>
      </c>
      <c r="B323" s="0" t="s">
        <v>439</v>
      </c>
      <c r="C323" s="0" t="n">
        <v>2015</v>
      </c>
      <c r="D323" s="0" t="n">
        <v>63482</v>
      </c>
      <c r="E323" s="0" t="n">
        <v>0.67</v>
      </c>
      <c r="F323" s="0" t="n">
        <v>0</v>
      </c>
      <c r="G323" s="0" t="n">
        <v>0</v>
      </c>
      <c r="H323" s="0" t="n">
        <v>0.66</v>
      </c>
      <c r="I323" s="0" t="n">
        <v>0</v>
      </c>
      <c r="J323" s="0" t="n">
        <v>0</v>
      </c>
      <c r="K323" s="0" t="n">
        <v>0</v>
      </c>
      <c r="L323" s="0" t="n">
        <v>0</v>
      </c>
      <c r="M323" s="0" t="n">
        <v>0.01</v>
      </c>
      <c r="N323" s="0" t="n">
        <v>0</v>
      </c>
      <c r="O323" s="0" t="n">
        <v>641.79</v>
      </c>
    </row>
    <row r="324" customFormat="false" ht="15" hidden="false" customHeight="false" outlineLevel="0" collapsed="false">
      <c r="A324" s="0" t="s">
        <v>201</v>
      </c>
      <c r="B324" s="0" t="s">
        <v>439</v>
      </c>
      <c r="C324" s="0" t="n">
        <v>2016</v>
      </c>
      <c r="D324" s="0" t="n">
        <v>63466</v>
      </c>
      <c r="E324" s="0" t="n">
        <v>0.66</v>
      </c>
      <c r="F324" s="0" t="n">
        <v>0</v>
      </c>
      <c r="G324" s="0" t="n">
        <v>0</v>
      </c>
      <c r="H324" s="0" t="n">
        <v>0.65</v>
      </c>
      <c r="I324" s="0" t="n">
        <v>0</v>
      </c>
      <c r="J324" s="0" t="n">
        <v>0</v>
      </c>
      <c r="K324" s="0" t="n">
        <v>0</v>
      </c>
      <c r="L324" s="0" t="n">
        <v>0</v>
      </c>
      <c r="M324" s="0" t="n">
        <v>0.01</v>
      </c>
      <c r="N324" s="0" t="n">
        <v>0</v>
      </c>
      <c r="O324" s="0" t="n">
        <v>651.52</v>
      </c>
    </row>
    <row r="325" customFormat="false" ht="15" hidden="false" customHeight="false" outlineLevel="0" collapsed="false">
      <c r="A325" s="0" t="s">
        <v>201</v>
      </c>
      <c r="B325" s="0" t="s">
        <v>439</v>
      </c>
      <c r="C325" s="0" t="n">
        <v>2017</v>
      </c>
      <c r="D325" s="0" t="n">
        <v>63603</v>
      </c>
      <c r="E325" s="0" t="n">
        <v>0.67</v>
      </c>
      <c r="F325" s="0" t="n">
        <v>0</v>
      </c>
      <c r="G325" s="0" t="n">
        <v>0</v>
      </c>
      <c r="H325" s="0" t="n">
        <v>0.66</v>
      </c>
      <c r="I325" s="0" t="n">
        <v>0</v>
      </c>
      <c r="J325" s="0" t="n">
        <v>0</v>
      </c>
      <c r="K325" s="0" t="n">
        <v>0</v>
      </c>
      <c r="L325" s="0" t="n">
        <v>0</v>
      </c>
      <c r="M325" s="0" t="n">
        <v>0.01</v>
      </c>
      <c r="N325" s="0" t="n">
        <v>0</v>
      </c>
      <c r="O325" s="0" t="n">
        <v>641.79</v>
      </c>
    </row>
    <row r="326" customFormat="false" ht="15" hidden="false" customHeight="false" outlineLevel="0" collapsed="false">
      <c r="A326" s="0" t="s">
        <v>201</v>
      </c>
      <c r="B326" s="0" t="s">
        <v>439</v>
      </c>
      <c r="C326" s="0" t="n">
        <v>2018</v>
      </c>
      <c r="D326" s="0" t="n">
        <v>63852</v>
      </c>
      <c r="E326" s="0" t="n">
        <v>0.64</v>
      </c>
      <c r="F326" s="0" t="n">
        <v>0</v>
      </c>
      <c r="G326" s="0" t="n">
        <v>0</v>
      </c>
      <c r="H326" s="0" t="n">
        <v>0.63</v>
      </c>
      <c r="I326" s="0" t="n">
        <v>0</v>
      </c>
      <c r="J326" s="0" t="n">
        <v>0</v>
      </c>
      <c r="K326" s="0" t="n">
        <v>0</v>
      </c>
      <c r="L326" s="0" t="n">
        <v>0</v>
      </c>
      <c r="M326" s="0" t="n">
        <v>0.01</v>
      </c>
      <c r="N326" s="0" t="n">
        <v>0</v>
      </c>
      <c r="O326" s="0" t="n">
        <v>640.63</v>
      </c>
    </row>
    <row r="327" customFormat="false" ht="15" hidden="false" customHeight="false" outlineLevel="0" collapsed="false">
      <c r="A327" s="0" t="s">
        <v>201</v>
      </c>
      <c r="B327" s="0" t="s">
        <v>439</v>
      </c>
      <c r="C327" s="0" t="n">
        <v>2019</v>
      </c>
      <c r="D327" s="0" t="n">
        <v>64130</v>
      </c>
      <c r="E327" s="0" t="n">
        <v>0.61</v>
      </c>
      <c r="F327" s="0" t="n">
        <v>0</v>
      </c>
      <c r="G327" s="0" t="n">
        <v>0</v>
      </c>
      <c r="H327" s="0" t="n">
        <v>0.6</v>
      </c>
      <c r="I327" s="0" t="n">
        <v>0</v>
      </c>
      <c r="J327" s="0" t="n">
        <v>0</v>
      </c>
      <c r="K327" s="0" t="n">
        <v>0</v>
      </c>
      <c r="L327" s="0" t="n">
        <v>0</v>
      </c>
      <c r="M327" s="0" t="n">
        <v>0.01</v>
      </c>
      <c r="N327" s="0" t="n">
        <v>0</v>
      </c>
      <c r="O327" s="0" t="n">
        <v>639.34</v>
      </c>
    </row>
    <row r="328" customFormat="false" ht="15" hidden="false" customHeight="false" outlineLevel="0" collapsed="false">
      <c r="A328" s="0" t="s">
        <v>201</v>
      </c>
      <c r="B328" s="0" t="s">
        <v>439</v>
      </c>
      <c r="C328" s="0" t="n">
        <v>2020</v>
      </c>
      <c r="D328" s="0" t="n">
        <v>64404</v>
      </c>
      <c r="E328" s="0" t="n">
        <v>0.59</v>
      </c>
      <c r="F328" s="0" t="n">
        <v>0</v>
      </c>
      <c r="G328" s="0" t="n">
        <v>0</v>
      </c>
      <c r="H328" s="0" t="n">
        <v>0.58</v>
      </c>
      <c r="I328" s="0" t="n">
        <v>0</v>
      </c>
      <c r="J328" s="0" t="n">
        <v>0</v>
      </c>
      <c r="K328" s="0" t="n">
        <v>0</v>
      </c>
      <c r="L328" s="0" t="n">
        <v>0</v>
      </c>
      <c r="M328" s="0" t="n">
        <v>0.01</v>
      </c>
      <c r="N328" s="0" t="n">
        <v>0</v>
      </c>
      <c r="O328" s="0" t="n">
        <v>644.07</v>
      </c>
    </row>
    <row r="329" customFormat="false" ht="15" hidden="false" customHeight="false" outlineLevel="0" collapsed="false">
      <c r="A329" s="0" t="s">
        <v>201</v>
      </c>
      <c r="B329" s="0" t="s">
        <v>439</v>
      </c>
      <c r="C329" s="0" t="n">
        <v>2021</v>
      </c>
      <c r="D329" s="0" t="n">
        <v>64672</v>
      </c>
      <c r="E329" s="0" t="n">
        <v>0.59</v>
      </c>
      <c r="F329" s="0" t="n">
        <v>0</v>
      </c>
      <c r="G329" s="0" t="n">
        <v>0</v>
      </c>
      <c r="H329" s="0" t="n">
        <v>0.58</v>
      </c>
      <c r="I329" s="0" t="n">
        <v>0</v>
      </c>
      <c r="J329" s="0" t="n">
        <v>0</v>
      </c>
      <c r="K329" s="0" t="n">
        <v>0</v>
      </c>
      <c r="L329" s="0" t="n">
        <v>0</v>
      </c>
      <c r="M329" s="0" t="n">
        <v>0.01</v>
      </c>
      <c r="N329" s="0" t="n">
        <v>0</v>
      </c>
      <c r="O329" s="0" t="n">
        <v>644.07</v>
      </c>
    </row>
    <row r="330" customFormat="false" ht="15" hidden="false" customHeight="false" outlineLevel="0" collapsed="false">
      <c r="A330" s="0" t="s">
        <v>201</v>
      </c>
      <c r="B330" s="0" t="s">
        <v>439</v>
      </c>
      <c r="C330" s="0" t="n">
        <v>2022</v>
      </c>
      <c r="D330" s="0" t="n">
        <v>64772</v>
      </c>
      <c r="E330" s="0" t="n">
        <v>0.63</v>
      </c>
      <c r="F330" s="0" t="n">
        <v>0</v>
      </c>
      <c r="G330" s="0" t="n">
        <v>0</v>
      </c>
      <c r="H330" s="0" t="n">
        <v>0.62</v>
      </c>
      <c r="I330" s="0" t="n">
        <v>0</v>
      </c>
      <c r="J330" s="0" t="n">
        <v>0</v>
      </c>
      <c r="K330" s="0" t="n">
        <v>0</v>
      </c>
      <c r="L330" s="0" t="n">
        <v>0</v>
      </c>
      <c r="M330" s="0" t="n">
        <v>0.01</v>
      </c>
      <c r="N330" s="0" t="n">
        <v>0</v>
      </c>
      <c r="O330" s="0" t="n">
        <v>650.79</v>
      </c>
    </row>
    <row r="331" customFormat="false" ht="15" hidden="false" customHeight="false" outlineLevel="0" collapsed="false">
      <c r="A331" s="0" t="s">
        <v>201</v>
      </c>
      <c r="B331" s="0" t="s">
        <v>439</v>
      </c>
      <c r="C331" s="0" t="n">
        <v>2023</v>
      </c>
      <c r="D331" s="0" t="n">
        <v>64721</v>
      </c>
      <c r="E331" s="0" t="n">
        <v>0.64</v>
      </c>
      <c r="F331" s="0" t="n">
        <v>0</v>
      </c>
      <c r="G331" s="0" t="n">
        <v>0</v>
      </c>
      <c r="H331" s="0" t="n">
        <v>0.63</v>
      </c>
      <c r="I331" s="0" t="n">
        <v>0</v>
      </c>
      <c r="J331" s="0" t="n">
        <v>0</v>
      </c>
      <c r="K331" s="0" t="n">
        <v>0</v>
      </c>
      <c r="L331" s="0" t="n">
        <v>0</v>
      </c>
      <c r="M331" s="0" t="n">
        <v>0.01</v>
      </c>
      <c r="N331" s="0" t="n">
        <v>0</v>
      </c>
      <c r="O331" s="0" t="n">
        <v>640.63</v>
      </c>
    </row>
    <row r="332" customFormat="false" ht="15" hidden="false" customHeight="false" outlineLevel="0" collapsed="false">
      <c r="A332" s="0" t="s">
        <v>201</v>
      </c>
      <c r="B332" s="0" t="s">
        <v>439</v>
      </c>
      <c r="C332" s="0" t="n">
        <v>2024</v>
      </c>
      <c r="D332" s="0" t="n">
        <v>64660</v>
      </c>
      <c r="E332" s="0" t="n">
        <v>0.61</v>
      </c>
      <c r="F332" s="0" t="n">
        <v>0</v>
      </c>
      <c r="G332" s="0" t="n">
        <v>0</v>
      </c>
      <c r="H332" s="0" t="n">
        <v>0.6</v>
      </c>
      <c r="I332" s="0" t="n">
        <v>0</v>
      </c>
      <c r="J332" s="0" t="n">
        <v>0</v>
      </c>
      <c r="K332" s="0" t="n">
        <v>0</v>
      </c>
      <c r="L332" s="0" t="n">
        <v>0</v>
      </c>
      <c r="M332" s="0" t="n">
        <v>0.01</v>
      </c>
      <c r="N332" s="0" t="n">
        <v>0</v>
      </c>
      <c r="O332" s="0" t="n">
        <v>639.34</v>
      </c>
    </row>
    <row r="333" customFormat="false" ht="15" hidden="false" customHeight="false" outlineLevel="0" collapsed="false">
      <c r="A333" s="0" t="s">
        <v>202</v>
      </c>
      <c r="B333" s="0" t="s">
        <v>440</v>
      </c>
      <c r="C333" s="0" t="n">
        <v>2015</v>
      </c>
      <c r="D333" s="0" t="n">
        <v>740623</v>
      </c>
      <c r="E333" s="0" t="n">
        <v>7.73</v>
      </c>
      <c r="F333" s="0" t="n">
        <v>0</v>
      </c>
      <c r="G333" s="0" t="n">
        <v>0</v>
      </c>
      <c r="H333" s="0" t="n">
        <v>0</v>
      </c>
      <c r="I333" s="0" t="n">
        <v>0</v>
      </c>
      <c r="J333" s="0" t="n">
        <v>7.73</v>
      </c>
      <c r="K333" s="0" t="n">
        <v>0</v>
      </c>
      <c r="L333" s="0" t="n">
        <v>0</v>
      </c>
      <c r="M333" s="0" t="n">
        <v>0</v>
      </c>
      <c r="N333" s="0" t="n">
        <v>0</v>
      </c>
      <c r="O333" s="0" t="n">
        <v>23.29</v>
      </c>
    </row>
    <row r="334" customFormat="false" ht="15" hidden="false" customHeight="false" outlineLevel="0" collapsed="false">
      <c r="A334" s="0" t="s">
        <v>202</v>
      </c>
      <c r="B334" s="0" t="s">
        <v>440</v>
      </c>
      <c r="C334" s="0" t="n">
        <v>2016</v>
      </c>
      <c r="D334" s="0" t="n">
        <v>747878</v>
      </c>
      <c r="E334" s="0" t="n">
        <v>7.88</v>
      </c>
      <c r="F334" s="0" t="n">
        <v>0</v>
      </c>
      <c r="G334" s="0" t="n">
        <v>0</v>
      </c>
      <c r="H334" s="0" t="n">
        <v>0</v>
      </c>
      <c r="I334" s="0" t="n">
        <v>0</v>
      </c>
      <c r="J334" s="0" t="n">
        <v>7.88</v>
      </c>
      <c r="K334" s="0" t="n">
        <v>0</v>
      </c>
      <c r="L334" s="0" t="n">
        <v>0</v>
      </c>
      <c r="M334" s="0" t="n">
        <v>0</v>
      </c>
      <c r="N334" s="0" t="n">
        <v>0</v>
      </c>
      <c r="O334" s="0" t="n">
        <v>24.11</v>
      </c>
    </row>
    <row r="335" customFormat="false" ht="15" hidden="false" customHeight="false" outlineLevel="0" collapsed="false">
      <c r="A335" s="0" t="s">
        <v>202</v>
      </c>
      <c r="B335" s="0" t="s">
        <v>440</v>
      </c>
      <c r="C335" s="0" t="n">
        <v>2017</v>
      </c>
      <c r="D335" s="0" t="n">
        <v>754343</v>
      </c>
      <c r="E335" s="0" t="n">
        <v>7.65</v>
      </c>
      <c r="F335" s="0" t="n">
        <v>0</v>
      </c>
      <c r="G335" s="0" t="n">
        <v>0</v>
      </c>
      <c r="H335" s="0" t="n">
        <v>0</v>
      </c>
      <c r="I335" s="0" t="n">
        <v>0</v>
      </c>
      <c r="J335" s="0" t="n">
        <v>7.65</v>
      </c>
      <c r="K335" s="0" t="n">
        <v>0</v>
      </c>
      <c r="L335" s="0" t="n">
        <v>0</v>
      </c>
      <c r="M335" s="0" t="n">
        <v>0</v>
      </c>
      <c r="N335" s="0" t="n">
        <v>0</v>
      </c>
      <c r="O335" s="0" t="n">
        <v>23.53</v>
      </c>
    </row>
    <row r="336" customFormat="false" ht="15" hidden="false" customHeight="false" outlineLevel="0" collapsed="false">
      <c r="A336" s="0" t="s">
        <v>202</v>
      </c>
      <c r="B336" s="0" t="s">
        <v>440</v>
      </c>
      <c r="C336" s="0" t="n">
        <v>2018</v>
      </c>
      <c r="D336" s="0" t="n">
        <v>759766</v>
      </c>
      <c r="E336" s="0" t="n">
        <v>6.89</v>
      </c>
      <c r="F336" s="0" t="n">
        <v>0</v>
      </c>
      <c r="G336" s="0" t="n">
        <v>0</v>
      </c>
      <c r="H336" s="0" t="n">
        <v>0</v>
      </c>
      <c r="I336" s="0" t="n">
        <v>0</v>
      </c>
      <c r="J336" s="0" t="n">
        <v>6.89</v>
      </c>
      <c r="K336" s="0" t="n">
        <v>0</v>
      </c>
      <c r="L336" s="0" t="n">
        <v>0</v>
      </c>
      <c r="M336" s="0" t="n">
        <v>0</v>
      </c>
      <c r="N336" s="0" t="n">
        <v>0</v>
      </c>
      <c r="O336" s="0" t="n">
        <v>23.22</v>
      </c>
    </row>
    <row r="337" customFormat="false" ht="15" hidden="false" customHeight="false" outlineLevel="0" collapsed="false">
      <c r="A337" s="0" t="s">
        <v>202</v>
      </c>
      <c r="B337" s="0" t="s">
        <v>440</v>
      </c>
      <c r="C337" s="0" t="n">
        <v>2019</v>
      </c>
      <c r="D337" s="0" t="n">
        <v>764830</v>
      </c>
      <c r="E337" s="0" t="n">
        <v>8.65</v>
      </c>
      <c r="F337" s="0" t="n">
        <v>0</v>
      </c>
      <c r="G337" s="0" t="n">
        <v>0</v>
      </c>
      <c r="H337" s="0" t="n">
        <v>0</v>
      </c>
      <c r="I337" s="0" t="n">
        <v>0</v>
      </c>
      <c r="J337" s="0" t="n">
        <v>8.65</v>
      </c>
      <c r="K337" s="0" t="n">
        <v>0</v>
      </c>
      <c r="L337" s="0" t="n">
        <v>0</v>
      </c>
      <c r="M337" s="0" t="n">
        <v>0</v>
      </c>
      <c r="N337" s="0" t="n">
        <v>0</v>
      </c>
      <c r="O337" s="0" t="n">
        <v>24.28</v>
      </c>
    </row>
    <row r="338" customFormat="false" ht="15" hidden="false" customHeight="false" outlineLevel="0" collapsed="false">
      <c r="A338" s="0" t="s">
        <v>202</v>
      </c>
      <c r="B338" s="0" t="s">
        <v>440</v>
      </c>
      <c r="C338" s="0" t="n">
        <v>2020</v>
      </c>
      <c r="D338" s="0" t="n">
        <v>770013</v>
      </c>
      <c r="E338" s="0" t="n">
        <v>11.37</v>
      </c>
      <c r="F338" s="0" t="n">
        <v>0</v>
      </c>
      <c r="G338" s="0" t="n">
        <v>0</v>
      </c>
      <c r="H338" s="0" t="n">
        <v>0</v>
      </c>
      <c r="I338" s="0" t="n">
        <v>0</v>
      </c>
      <c r="J338" s="0" t="n">
        <v>11.37</v>
      </c>
      <c r="K338" s="0" t="n">
        <v>0</v>
      </c>
      <c r="L338" s="0" t="n">
        <v>0</v>
      </c>
      <c r="M338" s="0" t="n">
        <v>0</v>
      </c>
      <c r="N338" s="0" t="n">
        <v>0</v>
      </c>
      <c r="O338" s="0" t="n">
        <v>23.75</v>
      </c>
    </row>
    <row r="339" customFormat="false" ht="15" hidden="false" customHeight="false" outlineLevel="0" collapsed="false">
      <c r="A339" s="0" t="s">
        <v>202</v>
      </c>
      <c r="B339" s="0" t="s">
        <v>440</v>
      </c>
      <c r="C339" s="0" t="n">
        <v>2021</v>
      </c>
      <c r="D339" s="0" t="n">
        <v>775450</v>
      </c>
      <c r="E339" s="0" t="n">
        <v>10.82</v>
      </c>
      <c r="F339" s="0" t="n">
        <v>0</v>
      </c>
      <c r="G339" s="0" t="n">
        <v>0</v>
      </c>
      <c r="H339" s="0" t="n">
        <v>0</v>
      </c>
      <c r="I339" s="0" t="n">
        <v>0</v>
      </c>
      <c r="J339" s="0" t="n">
        <v>10.82</v>
      </c>
      <c r="K339" s="0" t="n">
        <v>0</v>
      </c>
      <c r="L339" s="0" t="n">
        <v>0</v>
      </c>
      <c r="M339" s="0" t="n">
        <v>0</v>
      </c>
      <c r="N339" s="0" t="n">
        <v>0</v>
      </c>
      <c r="O339" s="0" t="n">
        <v>24.03</v>
      </c>
    </row>
    <row r="340" customFormat="false" ht="15" hidden="false" customHeight="false" outlineLevel="0" collapsed="false">
      <c r="A340" s="0" t="s">
        <v>202</v>
      </c>
      <c r="B340" s="0" t="s">
        <v>440</v>
      </c>
      <c r="C340" s="0" t="n">
        <v>2022</v>
      </c>
      <c r="D340" s="0" t="n">
        <v>780921</v>
      </c>
      <c r="E340" s="0" t="n">
        <v>10.77</v>
      </c>
      <c r="F340" s="0" t="n">
        <v>0</v>
      </c>
      <c r="G340" s="0" t="n">
        <v>0</v>
      </c>
      <c r="H340" s="0" t="n">
        <v>0</v>
      </c>
      <c r="I340" s="0" t="n">
        <v>0</v>
      </c>
      <c r="J340" s="0" t="n">
        <v>10.77</v>
      </c>
      <c r="K340" s="0" t="n">
        <v>0</v>
      </c>
      <c r="L340" s="0" t="n">
        <v>0</v>
      </c>
      <c r="M340" s="0" t="n">
        <v>0</v>
      </c>
      <c r="N340" s="0" t="n">
        <v>0</v>
      </c>
      <c r="O340" s="0" t="n">
        <v>24.14</v>
      </c>
    </row>
    <row r="341" customFormat="false" ht="15" hidden="false" customHeight="false" outlineLevel="0" collapsed="false">
      <c r="A341" s="0" t="s">
        <v>202</v>
      </c>
      <c r="B341" s="0" t="s">
        <v>440</v>
      </c>
      <c r="C341" s="0" t="n">
        <v>2023</v>
      </c>
      <c r="D341" s="0" t="n">
        <v>786386</v>
      </c>
      <c r="E341" s="0" t="n">
        <v>11.16</v>
      </c>
      <c r="F341" s="0" t="n">
        <v>0</v>
      </c>
      <c r="G341" s="0" t="n">
        <v>0</v>
      </c>
      <c r="H341" s="0" t="n">
        <v>0</v>
      </c>
      <c r="I341" s="0" t="n">
        <v>0</v>
      </c>
      <c r="J341" s="0" t="n">
        <v>11.16</v>
      </c>
      <c r="K341" s="0" t="n">
        <v>0</v>
      </c>
      <c r="L341" s="0" t="n">
        <v>0</v>
      </c>
      <c r="M341" s="0" t="n">
        <v>0</v>
      </c>
      <c r="N341" s="0" t="n">
        <v>0</v>
      </c>
      <c r="O341" s="0" t="n">
        <v>24.19</v>
      </c>
    </row>
    <row r="342" customFormat="false" ht="15" hidden="false" customHeight="false" outlineLevel="0" collapsed="false">
      <c r="A342" s="0" t="s">
        <v>202</v>
      </c>
      <c r="B342" s="0" t="s">
        <v>440</v>
      </c>
      <c r="C342" s="0" t="n">
        <v>2024</v>
      </c>
      <c r="D342" s="0" t="n">
        <v>791530</v>
      </c>
      <c r="E342" s="0" t="n">
        <v>11</v>
      </c>
      <c r="F342" s="0" t="n">
        <v>0</v>
      </c>
      <c r="G342" s="0" t="n">
        <v>0</v>
      </c>
      <c r="H342" s="0" t="n">
        <v>0</v>
      </c>
      <c r="I342" s="0" t="n">
        <v>0</v>
      </c>
      <c r="J342" s="0" t="n">
        <v>11</v>
      </c>
      <c r="K342" s="0" t="n">
        <v>0</v>
      </c>
      <c r="L342" s="0" t="n">
        <v>0</v>
      </c>
      <c r="M342" s="0" t="n">
        <v>0</v>
      </c>
      <c r="N342" s="0" t="n">
        <v>0</v>
      </c>
      <c r="O342" s="0" t="n">
        <v>23.64</v>
      </c>
    </row>
    <row r="343" customFormat="false" ht="15" hidden="false" customHeight="false" outlineLevel="0" collapsed="false">
      <c r="A343" s="0" t="s">
        <v>203</v>
      </c>
      <c r="B343" s="0" t="s">
        <v>441</v>
      </c>
      <c r="C343" s="0" t="n">
        <v>2015</v>
      </c>
      <c r="D343" s="0" t="n">
        <v>11014707</v>
      </c>
      <c r="E343" s="0" t="n">
        <v>9</v>
      </c>
      <c r="F343" s="0" t="n">
        <v>0</v>
      </c>
      <c r="G343" s="0" t="n">
        <v>6.26</v>
      </c>
      <c r="H343" s="0" t="n">
        <v>0.09</v>
      </c>
      <c r="I343" s="0" t="n">
        <v>0</v>
      </c>
      <c r="J343" s="0" t="n">
        <v>2.44</v>
      </c>
      <c r="K343" s="0" t="n">
        <v>0</v>
      </c>
      <c r="L343" s="0" t="n">
        <v>0.01</v>
      </c>
      <c r="M343" s="0" t="n">
        <v>0.2</v>
      </c>
      <c r="N343" s="0" t="n">
        <v>0</v>
      </c>
      <c r="O343" s="0" t="n">
        <v>526.67</v>
      </c>
    </row>
    <row r="344" customFormat="false" ht="15" hidden="false" customHeight="false" outlineLevel="0" collapsed="false">
      <c r="A344" s="0" t="s">
        <v>203</v>
      </c>
      <c r="B344" s="0" t="s">
        <v>441</v>
      </c>
      <c r="C344" s="0" t="n">
        <v>2016</v>
      </c>
      <c r="D344" s="0" t="n">
        <v>11180020</v>
      </c>
      <c r="E344" s="0" t="n">
        <v>9.3</v>
      </c>
      <c r="F344" s="0" t="n">
        <v>0</v>
      </c>
      <c r="G344" s="0" t="n">
        <v>7.27</v>
      </c>
      <c r="H344" s="0" t="n">
        <v>0.1</v>
      </c>
      <c r="I344" s="0" t="n">
        <v>0</v>
      </c>
      <c r="J344" s="0" t="n">
        <v>1.7</v>
      </c>
      <c r="K344" s="0" t="n">
        <v>0.01</v>
      </c>
      <c r="L344" s="0" t="n">
        <v>0.04</v>
      </c>
      <c r="M344" s="0" t="n">
        <v>0.18</v>
      </c>
      <c r="N344" s="0" t="n">
        <v>0</v>
      </c>
      <c r="O344" s="0" t="n">
        <v>588.17</v>
      </c>
    </row>
    <row r="345" customFormat="false" ht="15" hidden="false" customHeight="false" outlineLevel="0" collapsed="false">
      <c r="A345" s="0" t="s">
        <v>203</v>
      </c>
      <c r="B345" s="0" t="s">
        <v>441</v>
      </c>
      <c r="C345" s="0" t="n">
        <v>2017</v>
      </c>
      <c r="D345" s="0" t="n">
        <v>11344591</v>
      </c>
      <c r="E345" s="0" t="n">
        <v>9.59</v>
      </c>
      <c r="F345" s="0" t="n">
        <v>0</v>
      </c>
      <c r="G345" s="0" t="n">
        <v>7.09</v>
      </c>
      <c r="H345" s="0" t="n">
        <v>0.09</v>
      </c>
      <c r="I345" s="0" t="n">
        <v>0</v>
      </c>
      <c r="J345" s="0" t="n">
        <v>2.21</v>
      </c>
      <c r="K345" s="0" t="n">
        <v>0.01</v>
      </c>
      <c r="L345" s="0" t="n">
        <v>0.06</v>
      </c>
      <c r="M345" s="0" t="n">
        <v>0.13</v>
      </c>
      <c r="N345" s="0" t="n">
        <v>0</v>
      </c>
      <c r="O345" s="0" t="n">
        <v>554.75</v>
      </c>
    </row>
    <row r="346" customFormat="false" ht="15" hidden="false" customHeight="false" outlineLevel="0" collapsed="false">
      <c r="A346" s="0" t="s">
        <v>203</v>
      </c>
      <c r="B346" s="0" t="s">
        <v>441</v>
      </c>
      <c r="C346" s="0" t="n">
        <v>2018</v>
      </c>
      <c r="D346" s="0" t="n">
        <v>11508370</v>
      </c>
      <c r="E346" s="0" t="n">
        <v>10.04</v>
      </c>
      <c r="F346" s="0" t="n">
        <v>0</v>
      </c>
      <c r="G346" s="0" t="n">
        <v>6.79</v>
      </c>
      <c r="H346" s="0" t="n">
        <v>0.28</v>
      </c>
      <c r="I346" s="0" t="n">
        <v>0</v>
      </c>
      <c r="J346" s="0" t="n">
        <v>2.61</v>
      </c>
      <c r="K346" s="0" t="n">
        <v>0.13</v>
      </c>
      <c r="L346" s="0" t="n">
        <v>0.06</v>
      </c>
      <c r="M346" s="0" t="n">
        <v>0.17</v>
      </c>
      <c r="N346" s="0" t="n">
        <v>0</v>
      </c>
      <c r="O346" s="0" t="n">
        <v>523.9</v>
      </c>
    </row>
    <row r="347" customFormat="false" ht="15" hidden="false" customHeight="false" outlineLevel="0" collapsed="false">
      <c r="A347" s="0" t="s">
        <v>203</v>
      </c>
      <c r="B347" s="0" t="s">
        <v>441</v>
      </c>
      <c r="C347" s="0" t="n">
        <v>2019</v>
      </c>
      <c r="D347" s="0" t="n">
        <v>11671386</v>
      </c>
      <c r="E347" s="0" t="n">
        <v>10.37</v>
      </c>
      <c r="F347" s="0" t="n">
        <v>0</v>
      </c>
      <c r="G347" s="0" t="n">
        <v>6.33</v>
      </c>
      <c r="H347" s="0" t="n">
        <v>0.29</v>
      </c>
      <c r="I347" s="0" t="n">
        <v>0</v>
      </c>
      <c r="J347" s="0" t="n">
        <v>3.25</v>
      </c>
      <c r="K347" s="0" t="n">
        <v>0.19</v>
      </c>
      <c r="L347" s="0" t="n">
        <v>0.07</v>
      </c>
      <c r="M347" s="0" t="n">
        <v>0.24</v>
      </c>
      <c r="N347" s="0" t="n">
        <v>0</v>
      </c>
      <c r="O347" s="0" t="n">
        <v>478.3</v>
      </c>
    </row>
    <row r="348" customFormat="false" ht="15" hidden="false" customHeight="false" outlineLevel="0" collapsed="false">
      <c r="A348" s="0" t="s">
        <v>203</v>
      </c>
      <c r="B348" s="0" t="s">
        <v>441</v>
      </c>
      <c r="C348" s="0" t="n">
        <v>2020</v>
      </c>
      <c r="D348" s="0" t="n">
        <v>11816301</v>
      </c>
      <c r="E348" s="0" t="n">
        <v>10.27</v>
      </c>
      <c r="F348" s="0" t="n">
        <v>0</v>
      </c>
      <c r="G348" s="0" t="n">
        <v>6.33</v>
      </c>
      <c r="H348" s="0" t="n">
        <v>0.28</v>
      </c>
      <c r="I348" s="0" t="n">
        <v>0</v>
      </c>
      <c r="J348" s="0" t="n">
        <v>2.94</v>
      </c>
      <c r="K348" s="0" t="n">
        <v>0.33</v>
      </c>
      <c r="L348" s="0" t="n">
        <v>0.06</v>
      </c>
      <c r="M348" s="0" t="n">
        <v>0.33</v>
      </c>
      <c r="N348" s="0" t="n">
        <v>0</v>
      </c>
      <c r="O348" s="0" t="n">
        <v>483.93</v>
      </c>
    </row>
    <row r="349" customFormat="false" ht="15" hidden="false" customHeight="false" outlineLevel="0" collapsed="false">
      <c r="A349" s="0" t="s">
        <v>203</v>
      </c>
      <c r="B349" s="0" t="s">
        <v>441</v>
      </c>
      <c r="C349" s="0" t="n">
        <v>2021</v>
      </c>
      <c r="D349" s="0" t="n">
        <v>11937369</v>
      </c>
      <c r="E349" s="0" t="n">
        <v>10.87</v>
      </c>
      <c r="F349" s="0" t="n">
        <v>0</v>
      </c>
      <c r="G349" s="0" t="n">
        <v>6.45</v>
      </c>
      <c r="H349" s="0" t="n">
        <v>0.24</v>
      </c>
      <c r="I349" s="0" t="n">
        <v>0</v>
      </c>
      <c r="J349" s="0" t="n">
        <v>3.24</v>
      </c>
      <c r="K349" s="0" t="n">
        <v>0.35</v>
      </c>
      <c r="L349" s="0" t="n">
        <v>0.13</v>
      </c>
      <c r="M349" s="0" t="n">
        <v>0.46</v>
      </c>
      <c r="N349" s="0" t="n">
        <v>0</v>
      </c>
      <c r="O349" s="0" t="n">
        <v>467.34</v>
      </c>
    </row>
    <row r="350" customFormat="false" ht="15" hidden="false" customHeight="false" outlineLevel="0" collapsed="false">
      <c r="A350" s="0" t="s">
        <v>203</v>
      </c>
      <c r="B350" s="0" t="s">
        <v>441</v>
      </c>
      <c r="C350" s="0" t="n">
        <v>2022</v>
      </c>
      <c r="D350" s="0" t="n">
        <v>12077156</v>
      </c>
      <c r="E350" s="0" t="n">
        <v>11.67</v>
      </c>
      <c r="F350" s="0" t="n">
        <v>0</v>
      </c>
      <c r="G350" s="0" t="n">
        <v>7.27</v>
      </c>
      <c r="H350" s="0" t="n">
        <v>0.23</v>
      </c>
      <c r="I350" s="0" t="n">
        <v>0</v>
      </c>
      <c r="J350" s="0" t="n">
        <v>2.85</v>
      </c>
      <c r="K350" s="0" t="n">
        <v>0.35</v>
      </c>
      <c r="L350" s="0" t="n">
        <v>0.44</v>
      </c>
      <c r="M350" s="0" t="n">
        <v>0.53</v>
      </c>
      <c r="N350" s="0" t="n">
        <v>0</v>
      </c>
      <c r="O350" s="0" t="n">
        <v>485.86</v>
      </c>
    </row>
    <row r="351" customFormat="false" ht="15" hidden="false" customHeight="false" outlineLevel="0" collapsed="false">
      <c r="A351" s="0" t="s">
        <v>203</v>
      </c>
      <c r="B351" s="0" t="s">
        <v>441</v>
      </c>
      <c r="C351" s="0" t="n">
        <v>2023</v>
      </c>
      <c r="D351" s="0" t="n">
        <v>12244161</v>
      </c>
      <c r="E351" s="0" t="n">
        <v>12.55</v>
      </c>
      <c r="F351" s="0" t="n">
        <v>0</v>
      </c>
      <c r="G351" s="0" t="n">
        <v>8.18</v>
      </c>
      <c r="H351" s="0" t="n">
        <v>0.19</v>
      </c>
      <c r="I351" s="0" t="n">
        <v>0</v>
      </c>
      <c r="J351" s="0" t="n">
        <v>2.97</v>
      </c>
      <c r="K351" s="0" t="n">
        <v>0.35</v>
      </c>
      <c r="L351" s="0" t="n">
        <v>0.44</v>
      </c>
      <c r="M351" s="0" t="n">
        <v>0.42</v>
      </c>
      <c r="N351" s="0" t="n">
        <v>0</v>
      </c>
      <c r="O351" s="0" t="n">
        <v>501.2</v>
      </c>
    </row>
    <row r="352" customFormat="false" ht="15" hidden="false" customHeight="false" outlineLevel="0" collapsed="false">
      <c r="A352" s="0" t="s">
        <v>203</v>
      </c>
      <c r="B352" s="0" t="s">
        <v>441</v>
      </c>
      <c r="C352" s="0" t="n">
        <v>2024</v>
      </c>
      <c r="D352" s="0" t="n">
        <v>12413318</v>
      </c>
      <c r="E352" s="0" t="n">
        <v>13.53</v>
      </c>
      <c r="F352" s="0" t="n">
        <v>0</v>
      </c>
      <c r="G352" s="0" t="n">
        <v>8.73</v>
      </c>
      <c r="H352" s="0" t="n">
        <v>0.2</v>
      </c>
      <c r="I352" s="0" t="n">
        <v>0</v>
      </c>
      <c r="J352" s="0" t="n">
        <v>3.3</v>
      </c>
      <c r="K352" s="0" t="n">
        <v>0.4</v>
      </c>
      <c r="L352" s="0" t="n">
        <v>0.48</v>
      </c>
      <c r="M352" s="0" t="n">
        <v>0.42</v>
      </c>
      <c r="N352" s="0" t="n">
        <v>0</v>
      </c>
      <c r="O352" s="0" t="n">
        <v>495.2</v>
      </c>
    </row>
    <row r="353" customFormat="false" ht="15" hidden="false" customHeight="false" outlineLevel="0" collapsed="false">
      <c r="A353" s="0" t="s">
        <v>203</v>
      </c>
      <c r="B353" s="0" t="s">
        <v>441</v>
      </c>
      <c r="C353" s="0" t="n">
        <v>2025</v>
      </c>
      <c r="D353" s="0" t="n">
        <v>12581847</v>
      </c>
      <c r="E353" s="0" t="n">
        <v>13.63</v>
      </c>
      <c r="F353" s="0" t="n">
        <v>0</v>
      </c>
      <c r="G353" s="0" t="n">
        <v>8.51</v>
      </c>
      <c r="H353" s="0" t="n">
        <v>0.2</v>
      </c>
      <c r="I353" s="0" t="n">
        <v>0</v>
      </c>
      <c r="J353" s="0" t="n">
        <v>3.8</v>
      </c>
      <c r="K353" s="0" t="n">
        <v>0.4</v>
      </c>
      <c r="L353" s="0" t="n">
        <v>0.28</v>
      </c>
      <c r="M353" s="0" t="n">
        <v>0.44</v>
      </c>
      <c r="N353" s="0" t="n">
        <v>0</v>
      </c>
      <c r="O353" s="0" t="n">
        <v>481.29</v>
      </c>
    </row>
    <row r="354" customFormat="false" ht="15" hidden="false" customHeight="false" outlineLevel="0" collapsed="false">
      <c r="A354" s="0" t="s">
        <v>204</v>
      </c>
      <c r="B354" s="0" t="s">
        <v>442</v>
      </c>
      <c r="C354" s="0" t="n">
        <v>2015</v>
      </c>
      <c r="D354" s="0" t="n">
        <v>3518541</v>
      </c>
      <c r="E354" s="0" t="n">
        <v>16.43</v>
      </c>
      <c r="F354" s="0" t="n">
        <v>10.8</v>
      </c>
      <c r="G354" s="0" t="n">
        <v>0.03</v>
      </c>
      <c r="H354" s="0" t="n">
        <v>0.05</v>
      </c>
      <c r="I354" s="0" t="n">
        <v>0</v>
      </c>
      <c r="J354" s="0" t="n">
        <v>5.54</v>
      </c>
      <c r="K354" s="0" t="n">
        <v>0.01</v>
      </c>
      <c r="L354" s="0" t="n">
        <v>0</v>
      </c>
      <c r="M354" s="0" t="n">
        <v>0</v>
      </c>
      <c r="N354" s="0" t="n">
        <v>0</v>
      </c>
      <c r="O354" s="0" t="n">
        <v>664.03</v>
      </c>
    </row>
    <row r="355" customFormat="false" ht="15" hidden="false" customHeight="false" outlineLevel="0" collapsed="false">
      <c r="A355" s="0" t="s">
        <v>204</v>
      </c>
      <c r="B355" s="0" t="s">
        <v>442</v>
      </c>
      <c r="C355" s="0" t="n">
        <v>2016</v>
      </c>
      <c r="D355" s="0" t="n">
        <v>3472997</v>
      </c>
      <c r="E355" s="0" t="n">
        <v>17.71</v>
      </c>
      <c r="F355" s="0" t="n">
        <v>12.02</v>
      </c>
      <c r="G355" s="0" t="n">
        <v>0.02</v>
      </c>
      <c r="H355" s="0" t="n">
        <v>0.06</v>
      </c>
      <c r="I355" s="0" t="n">
        <v>0</v>
      </c>
      <c r="J355" s="0" t="n">
        <v>5.59</v>
      </c>
      <c r="K355" s="0" t="n">
        <v>0.02</v>
      </c>
      <c r="L355" s="0" t="n">
        <v>0</v>
      </c>
      <c r="M355" s="0" t="n">
        <v>0</v>
      </c>
      <c r="N355" s="0" t="n">
        <v>0</v>
      </c>
      <c r="O355" s="0" t="n">
        <v>685.49</v>
      </c>
    </row>
    <row r="356" customFormat="false" ht="15" hidden="false" customHeight="false" outlineLevel="0" collapsed="false">
      <c r="A356" s="0" t="s">
        <v>204</v>
      </c>
      <c r="B356" s="0" t="s">
        <v>442</v>
      </c>
      <c r="C356" s="0" t="n">
        <v>2017</v>
      </c>
      <c r="D356" s="0" t="n">
        <v>3428684</v>
      </c>
      <c r="E356" s="0" t="n">
        <v>16.24</v>
      </c>
      <c r="F356" s="0" t="n">
        <v>12.34</v>
      </c>
      <c r="G356" s="0" t="n">
        <v>0.02</v>
      </c>
      <c r="H356" s="0" t="n">
        <v>0.06</v>
      </c>
      <c r="I356" s="0" t="n">
        <v>0</v>
      </c>
      <c r="J356" s="0" t="n">
        <v>3.79</v>
      </c>
      <c r="K356" s="0" t="n">
        <v>0.02</v>
      </c>
      <c r="L356" s="0" t="n">
        <v>0</v>
      </c>
      <c r="M356" s="0" t="n">
        <v>0.01</v>
      </c>
      <c r="N356" s="0" t="n">
        <v>0</v>
      </c>
      <c r="O356" s="0" t="n">
        <v>766.01</v>
      </c>
    </row>
    <row r="357" customFormat="false" ht="15" hidden="false" customHeight="false" outlineLevel="0" collapsed="false">
      <c r="A357" s="0" t="s">
        <v>204</v>
      </c>
      <c r="B357" s="0" t="s">
        <v>442</v>
      </c>
      <c r="C357" s="0" t="n">
        <v>2018</v>
      </c>
      <c r="D357" s="0" t="n">
        <v>3386999</v>
      </c>
      <c r="E357" s="0" t="n">
        <v>19.07</v>
      </c>
      <c r="F357" s="0" t="n">
        <v>12.44</v>
      </c>
      <c r="G357" s="0" t="n">
        <v>0.03</v>
      </c>
      <c r="H357" s="0" t="n">
        <v>0.05</v>
      </c>
      <c r="I357" s="0" t="n">
        <v>0</v>
      </c>
      <c r="J357" s="0" t="n">
        <v>6.42</v>
      </c>
      <c r="K357" s="0" t="n">
        <v>0.02</v>
      </c>
      <c r="L357" s="0" t="n">
        <v>0.1</v>
      </c>
      <c r="M357" s="0" t="n">
        <v>0.01</v>
      </c>
      <c r="N357" s="0" t="n">
        <v>0</v>
      </c>
      <c r="O357" s="0" t="n">
        <v>660.72</v>
      </c>
    </row>
    <row r="358" customFormat="false" ht="15" hidden="false" customHeight="false" outlineLevel="0" collapsed="false">
      <c r="A358" s="0" t="s">
        <v>204</v>
      </c>
      <c r="B358" s="0" t="s">
        <v>442</v>
      </c>
      <c r="C358" s="0" t="n">
        <v>2019</v>
      </c>
      <c r="D358" s="0" t="n">
        <v>3345532</v>
      </c>
      <c r="E358" s="0" t="n">
        <v>17.42</v>
      </c>
      <c r="F358" s="0" t="n">
        <v>10.96</v>
      </c>
      <c r="G358" s="0" t="n">
        <v>0.02</v>
      </c>
      <c r="H358" s="0" t="n">
        <v>0.05</v>
      </c>
      <c r="I358" s="0" t="n">
        <v>0</v>
      </c>
      <c r="J358" s="0" t="n">
        <v>6.1</v>
      </c>
      <c r="K358" s="0" t="n">
        <v>0.03</v>
      </c>
      <c r="L358" s="0" t="n">
        <v>0.25</v>
      </c>
      <c r="M358" s="0" t="n">
        <v>0.01</v>
      </c>
      <c r="N358" s="0" t="n">
        <v>0</v>
      </c>
      <c r="O358" s="0" t="n">
        <v>637.2</v>
      </c>
    </row>
    <row r="359" customFormat="false" ht="15" hidden="false" customHeight="false" outlineLevel="0" collapsed="false">
      <c r="A359" s="0" t="s">
        <v>204</v>
      </c>
      <c r="B359" s="0" t="s">
        <v>442</v>
      </c>
      <c r="C359" s="0" t="n">
        <v>2020</v>
      </c>
      <c r="D359" s="0" t="n">
        <v>3299352</v>
      </c>
      <c r="E359" s="0" t="n">
        <v>16.79</v>
      </c>
      <c r="F359" s="0" t="n">
        <v>11.85</v>
      </c>
      <c r="G359" s="0" t="n">
        <v>0</v>
      </c>
      <c r="H359" s="0" t="n">
        <v>0.04</v>
      </c>
      <c r="I359" s="0" t="n">
        <v>0</v>
      </c>
      <c r="J359" s="0" t="n">
        <v>4.58</v>
      </c>
      <c r="K359" s="0" t="n">
        <v>0.05</v>
      </c>
      <c r="L359" s="0" t="n">
        <v>0.26</v>
      </c>
      <c r="M359" s="0" t="n">
        <v>0.01</v>
      </c>
      <c r="N359" s="0" t="n">
        <v>0</v>
      </c>
      <c r="O359" s="0" t="n">
        <v>711.14</v>
      </c>
    </row>
    <row r="360" customFormat="false" ht="15" hidden="false" customHeight="false" outlineLevel="0" collapsed="false">
      <c r="A360" s="0" t="s">
        <v>204</v>
      </c>
      <c r="B360" s="0" t="s">
        <v>442</v>
      </c>
      <c r="C360" s="0" t="n">
        <v>2021</v>
      </c>
      <c r="D360" s="0" t="n">
        <v>3244912</v>
      </c>
      <c r="E360" s="0" t="n">
        <v>18.41</v>
      </c>
      <c r="F360" s="0" t="n">
        <v>11.2</v>
      </c>
      <c r="G360" s="0" t="n">
        <v>0</v>
      </c>
      <c r="H360" s="0" t="n">
        <v>0.03</v>
      </c>
      <c r="I360" s="0" t="n">
        <v>0</v>
      </c>
      <c r="J360" s="0" t="n">
        <v>6.69</v>
      </c>
      <c r="K360" s="0" t="n">
        <v>0.07</v>
      </c>
      <c r="L360" s="0" t="n">
        <v>0.38</v>
      </c>
      <c r="M360" s="0" t="n">
        <v>0.04</v>
      </c>
      <c r="N360" s="0" t="n">
        <v>0</v>
      </c>
      <c r="O360" s="0" t="n">
        <v>615.97</v>
      </c>
    </row>
    <row r="361" customFormat="false" ht="15" hidden="false" customHeight="false" outlineLevel="0" collapsed="false">
      <c r="A361" s="0" t="s">
        <v>204</v>
      </c>
      <c r="B361" s="0" t="s">
        <v>442</v>
      </c>
      <c r="C361" s="0" t="n">
        <v>2022</v>
      </c>
      <c r="D361" s="0" t="n">
        <v>3204802</v>
      </c>
      <c r="E361" s="0" t="n">
        <v>16.35</v>
      </c>
      <c r="F361" s="0" t="n">
        <v>11.05</v>
      </c>
      <c r="G361" s="0" t="n">
        <v>0.01</v>
      </c>
      <c r="H361" s="0" t="n">
        <v>0.05</v>
      </c>
      <c r="I361" s="0" t="n">
        <v>0</v>
      </c>
      <c r="J361" s="0" t="n">
        <v>4.71</v>
      </c>
      <c r="K361" s="0" t="n">
        <v>0.11</v>
      </c>
      <c r="L361" s="0" t="n">
        <v>0.39</v>
      </c>
      <c r="M361" s="0" t="n">
        <v>0.03</v>
      </c>
      <c r="N361" s="0" t="n">
        <v>0</v>
      </c>
      <c r="O361" s="0" t="n">
        <v>683.18</v>
      </c>
    </row>
    <row r="362" customFormat="false" ht="15" hidden="false" customHeight="false" outlineLevel="0" collapsed="false">
      <c r="A362" s="0" t="s">
        <v>204</v>
      </c>
      <c r="B362" s="0" t="s">
        <v>442</v>
      </c>
      <c r="C362" s="0" t="n">
        <v>2023</v>
      </c>
      <c r="D362" s="0" t="n">
        <v>3185072</v>
      </c>
      <c r="E362" s="0" t="n">
        <v>17.18</v>
      </c>
      <c r="F362" s="0" t="n">
        <v>9.7</v>
      </c>
      <c r="G362" s="0" t="n">
        <v>0.01</v>
      </c>
      <c r="H362" s="0" t="n">
        <v>0.07</v>
      </c>
      <c r="I362" s="0" t="n">
        <v>0</v>
      </c>
      <c r="J362" s="0" t="n">
        <v>6.75</v>
      </c>
      <c r="K362" s="0" t="n">
        <v>0.25</v>
      </c>
      <c r="L362" s="0" t="n">
        <v>0.36</v>
      </c>
      <c r="M362" s="0" t="n">
        <v>0.04</v>
      </c>
      <c r="N362" s="0" t="n">
        <v>0</v>
      </c>
      <c r="O362" s="0" t="n">
        <v>576.25</v>
      </c>
    </row>
    <row r="363" customFormat="false" ht="15" hidden="false" customHeight="false" outlineLevel="0" collapsed="false">
      <c r="A363" s="0" t="s">
        <v>204</v>
      </c>
      <c r="B363" s="0" t="s">
        <v>442</v>
      </c>
      <c r="C363" s="0" t="n">
        <v>2024</v>
      </c>
      <c r="D363" s="0" t="n">
        <v>3164256</v>
      </c>
      <c r="E363" s="0" t="n">
        <v>15.49</v>
      </c>
      <c r="F363" s="0" t="n">
        <v>9.09</v>
      </c>
      <c r="G363" s="0" t="n">
        <v>0</v>
      </c>
      <c r="H363" s="0" t="n">
        <v>0.15</v>
      </c>
      <c r="I363" s="0" t="n">
        <v>0</v>
      </c>
      <c r="J363" s="0" t="n">
        <v>5.45</v>
      </c>
      <c r="K363" s="0" t="n">
        <v>0.39</v>
      </c>
      <c r="L363" s="0" t="n">
        <v>0.37</v>
      </c>
      <c r="M363" s="0" t="n">
        <v>0.04</v>
      </c>
      <c r="N363" s="0" t="n">
        <v>0</v>
      </c>
      <c r="O363" s="0" t="n">
        <v>601.03</v>
      </c>
    </row>
    <row r="364" customFormat="false" ht="15" hidden="false" customHeight="false" outlineLevel="0" collapsed="false">
      <c r="A364" s="0" t="s">
        <v>204</v>
      </c>
      <c r="B364" s="0" t="s">
        <v>442</v>
      </c>
      <c r="C364" s="0" t="n">
        <v>2025</v>
      </c>
      <c r="D364" s="0" t="n">
        <v>3140098</v>
      </c>
      <c r="E364" s="0" t="n">
        <v>14.44</v>
      </c>
      <c r="F364" s="0" t="n">
        <v>8</v>
      </c>
      <c r="G364" s="0" t="n">
        <v>0</v>
      </c>
      <c r="H364" s="0" t="n">
        <v>0.15</v>
      </c>
      <c r="I364" s="0" t="n">
        <v>0</v>
      </c>
      <c r="J364" s="0" t="n">
        <v>5.29</v>
      </c>
      <c r="K364" s="0" t="n">
        <v>0.59</v>
      </c>
      <c r="L364" s="0" t="n">
        <v>0.37</v>
      </c>
      <c r="M364" s="0" t="n">
        <v>0.04</v>
      </c>
      <c r="N364" s="0" t="n">
        <v>0</v>
      </c>
      <c r="O364" s="0" t="n">
        <v>570.64</v>
      </c>
    </row>
    <row r="365" customFormat="false" ht="15" hidden="false" customHeight="false" outlineLevel="0" collapsed="false">
      <c r="A365" s="0" t="s">
        <v>205</v>
      </c>
      <c r="B365" s="0" t="s">
        <v>443</v>
      </c>
      <c r="C365" s="0" t="n">
        <v>2015</v>
      </c>
      <c r="D365" s="0" t="n">
        <v>2203276</v>
      </c>
      <c r="E365" s="0" t="n">
        <v>2.97</v>
      </c>
      <c r="F365" s="0" t="n">
        <v>2.86</v>
      </c>
      <c r="G365" s="0" t="n">
        <v>0</v>
      </c>
      <c r="H365" s="0" t="n">
        <v>0.11</v>
      </c>
      <c r="I365" s="0" t="n">
        <v>0</v>
      </c>
      <c r="J365" s="0" t="n">
        <v>0</v>
      </c>
      <c r="K365" s="0" t="n">
        <v>0</v>
      </c>
      <c r="L365" s="0" t="n">
        <v>0</v>
      </c>
      <c r="M365" s="0" t="n">
        <v>0</v>
      </c>
      <c r="N365" s="0" t="n">
        <v>0</v>
      </c>
      <c r="O365" s="0" t="n">
        <v>848.49</v>
      </c>
    </row>
    <row r="366" customFormat="false" ht="15" hidden="false" customHeight="false" outlineLevel="0" collapsed="false">
      <c r="A366" s="0" t="s">
        <v>205</v>
      </c>
      <c r="B366" s="0" t="s">
        <v>443</v>
      </c>
      <c r="C366" s="0" t="n">
        <v>2016</v>
      </c>
      <c r="D366" s="0" t="n">
        <v>2234784</v>
      </c>
      <c r="E366" s="0" t="n">
        <v>2.69</v>
      </c>
      <c r="F366" s="0" t="n">
        <v>2.68</v>
      </c>
      <c r="G366" s="0" t="n">
        <v>0</v>
      </c>
      <c r="H366" s="0" t="n">
        <v>0.01</v>
      </c>
      <c r="I366" s="0" t="n">
        <v>0</v>
      </c>
      <c r="J366" s="0" t="n">
        <v>0</v>
      </c>
      <c r="K366" s="0" t="n">
        <v>0</v>
      </c>
      <c r="L366" s="0" t="n">
        <v>0</v>
      </c>
      <c r="M366" s="0" t="n">
        <v>0</v>
      </c>
      <c r="N366" s="0" t="n">
        <v>0</v>
      </c>
      <c r="O366" s="0" t="n">
        <v>858.74</v>
      </c>
    </row>
    <row r="367" customFormat="false" ht="15" hidden="false" customHeight="false" outlineLevel="0" collapsed="false">
      <c r="A367" s="0" t="s">
        <v>205</v>
      </c>
      <c r="B367" s="0" t="s">
        <v>443</v>
      </c>
      <c r="C367" s="0" t="n">
        <v>2017</v>
      </c>
      <c r="D367" s="0" t="n">
        <v>2266749</v>
      </c>
      <c r="E367" s="0" t="n">
        <v>3.02</v>
      </c>
      <c r="F367" s="0" t="n">
        <v>3.01</v>
      </c>
      <c r="G367" s="0" t="n">
        <v>0</v>
      </c>
      <c r="H367" s="0" t="n">
        <v>0.01</v>
      </c>
      <c r="I367" s="0" t="n">
        <v>0</v>
      </c>
      <c r="J367" s="0" t="n">
        <v>0</v>
      </c>
      <c r="K367" s="0" t="n">
        <v>0</v>
      </c>
      <c r="L367" s="0" t="n">
        <v>0</v>
      </c>
      <c r="M367" s="0" t="n">
        <v>0</v>
      </c>
      <c r="N367" s="0" t="n">
        <v>0</v>
      </c>
      <c r="O367" s="0" t="n">
        <v>857.62</v>
      </c>
    </row>
    <row r="368" customFormat="false" ht="15" hidden="false" customHeight="false" outlineLevel="0" collapsed="false">
      <c r="A368" s="0" t="s">
        <v>205</v>
      </c>
      <c r="B368" s="0" t="s">
        <v>443</v>
      </c>
      <c r="C368" s="0" t="n">
        <v>2018</v>
      </c>
      <c r="D368" s="0" t="n">
        <v>2299149</v>
      </c>
      <c r="E368" s="0" t="n">
        <v>3.11</v>
      </c>
      <c r="F368" s="0" t="n">
        <v>3.09</v>
      </c>
      <c r="G368" s="0" t="n">
        <v>0</v>
      </c>
      <c r="H368" s="0" t="n">
        <v>0.01</v>
      </c>
      <c r="I368" s="0" t="n">
        <v>0</v>
      </c>
      <c r="J368" s="0" t="n">
        <v>0</v>
      </c>
      <c r="K368" s="0" t="n">
        <v>0.01</v>
      </c>
      <c r="L368" s="0" t="n">
        <v>0</v>
      </c>
      <c r="M368" s="0" t="n">
        <v>0</v>
      </c>
      <c r="N368" s="0" t="n">
        <v>0</v>
      </c>
      <c r="O368" s="0" t="n">
        <v>855.31</v>
      </c>
    </row>
    <row r="369" customFormat="false" ht="15" hidden="false" customHeight="false" outlineLevel="0" collapsed="false">
      <c r="A369" s="0" t="s">
        <v>205</v>
      </c>
      <c r="B369" s="0" t="s">
        <v>443</v>
      </c>
      <c r="C369" s="0" t="n">
        <v>2019</v>
      </c>
      <c r="D369" s="0" t="n">
        <v>2332082</v>
      </c>
      <c r="E369" s="0" t="n">
        <v>2.51</v>
      </c>
      <c r="F369" s="0" t="n">
        <v>2.5</v>
      </c>
      <c r="G369" s="0" t="n">
        <v>0</v>
      </c>
      <c r="H369" s="0" t="n">
        <v>0</v>
      </c>
      <c r="I369" s="0" t="n">
        <v>0</v>
      </c>
      <c r="J369" s="0" t="n">
        <v>0</v>
      </c>
      <c r="K369" s="0" t="n">
        <v>0.01</v>
      </c>
      <c r="L369" s="0" t="n">
        <v>0</v>
      </c>
      <c r="M369" s="0" t="n">
        <v>0</v>
      </c>
      <c r="N369" s="0" t="n">
        <v>0</v>
      </c>
      <c r="O369" s="0" t="n">
        <v>852.59</v>
      </c>
    </row>
    <row r="370" customFormat="false" ht="15" hidden="false" customHeight="false" outlineLevel="0" collapsed="false">
      <c r="A370" s="0" t="s">
        <v>205</v>
      </c>
      <c r="B370" s="0" t="s">
        <v>443</v>
      </c>
      <c r="C370" s="0" t="n">
        <v>2020</v>
      </c>
      <c r="D370" s="0" t="n">
        <v>2365895</v>
      </c>
      <c r="E370" s="0" t="n">
        <v>2.18</v>
      </c>
      <c r="F370" s="0" t="n">
        <v>2.12</v>
      </c>
      <c r="G370" s="0" t="n">
        <v>0</v>
      </c>
      <c r="H370" s="0" t="n">
        <v>0.05</v>
      </c>
      <c r="I370" s="0" t="n">
        <v>0</v>
      </c>
      <c r="J370" s="0" t="n">
        <v>0</v>
      </c>
      <c r="K370" s="0" t="n">
        <v>0.01</v>
      </c>
      <c r="L370" s="0" t="n">
        <v>0</v>
      </c>
      <c r="M370" s="0" t="n">
        <v>0</v>
      </c>
      <c r="N370" s="0" t="n">
        <v>0</v>
      </c>
      <c r="O370" s="0" t="n">
        <v>848.62</v>
      </c>
    </row>
    <row r="371" customFormat="false" ht="15" hidden="false" customHeight="false" outlineLevel="0" collapsed="false">
      <c r="A371" s="0" t="s">
        <v>205</v>
      </c>
      <c r="B371" s="0" t="s">
        <v>443</v>
      </c>
      <c r="C371" s="0" t="n">
        <v>2021</v>
      </c>
      <c r="D371" s="0" t="n">
        <v>2401448</v>
      </c>
      <c r="E371" s="0" t="n">
        <v>2.49</v>
      </c>
      <c r="F371" s="0" t="n">
        <v>2.39</v>
      </c>
      <c r="G371" s="0" t="n">
        <v>0</v>
      </c>
      <c r="H371" s="0" t="n">
        <v>0.09</v>
      </c>
      <c r="I371" s="0" t="n">
        <v>0</v>
      </c>
      <c r="J371" s="0" t="n">
        <v>0</v>
      </c>
      <c r="K371" s="0" t="n">
        <v>0.01</v>
      </c>
      <c r="L371" s="0" t="n">
        <v>0</v>
      </c>
      <c r="M371" s="0" t="n">
        <v>0</v>
      </c>
      <c r="N371" s="0" t="n">
        <v>0</v>
      </c>
      <c r="O371" s="0" t="n">
        <v>847.39</v>
      </c>
    </row>
    <row r="372" customFormat="false" ht="15" hidden="false" customHeight="false" outlineLevel="0" collapsed="false">
      <c r="A372" s="0" t="s">
        <v>205</v>
      </c>
      <c r="B372" s="0" t="s">
        <v>443</v>
      </c>
      <c r="C372" s="0" t="n">
        <v>2022</v>
      </c>
      <c r="D372" s="0" t="n">
        <v>2439895</v>
      </c>
      <c r="E372" s="0" t="n">
        <v>2.56</v>
      </c>
      <c r="F372" s="0" t="n">
        <v>2.45</v>
      </c>
      <c r="G372" s="0" t="n">
        <v>0</v>
      </c>
      <c r="H372" s="0" t="n">
        <v>0.1</v>
      </c>
      <c r="I372" s="0" t="n">
        <v>0</v>
      </c>
      <c r="J372" s="0" t="n">
        <v>0</v>
      </c>
      <c r="K372" s="0" t="n">
        <v>0.01</v>
      </c>
      <c r="L372" s="0" t="n">
        <v>0</v>
      </c>
      <c r="M372" s="0" t="n">
        <v>0</v>
      </c>
      <c r="N372" s="0" t="n">
        <v>0</v>
      </c>
      <c r="O372" s="0" t="n">
        <v>847.66</v>
      </c>
    </row>
    <row r="373" customFormat="false" ht="15" hidden="false" customHeight="false" outlineLevel="0" collapsed="false">
      <c r="A373" s="0" t="s">
        <v>205</v>
      </c>
      <c r="B373" s="0" t="s">
        <v>443</v>
      </c>
      <c r="C373" s="0" t="n">
        <v>2023</v>
      </c>
      <c r="D373" s="0" t="n">
        <v>2480242</v>
      </c>
      <c r="E373" s="0" t="n">
        <v>3.23</v>
      </c>
      <c r="F373" s="0" t="n">
        <v>3.19</v>
      </c>
      <c r="G373" s="0" t="n">
        <v>0</v>
      </c>
      <c r="H373" s="0" t="n">
        <v>0.03</v>
      </c>
      <c r="I373" s="0" t="n">
        <v>0</v>
      </c>
      <c r="J373" s="0" t="n">
        <v>0</v>
      </c>
      <c r="K373" s="0" t="n">
        <v>0.01</v>
      </c>
      <c r="L373" s="0" t="n">
        <v>0</v>
      </c>
      <c r="M373" s="0" t="n">
        <v>0</v>
      </c>
      <c r="N373" s="0" t="n">
        <v>0</v>
      </c>
      <c r="O373" s="0" t="n">
        <v>854.49</v>
      </c>
    </row>
    <row r="374" customFormat="false" ht="15" hidden="false" customHeight="false" outlineLevel="0" collapsed="false">
      <c r="A374" s="0" t="s">
        <v>205</v>
      </c>
      <c r="B374" s="0" t="s">
        <v>443</v>
      </c>
      <c r="C374" s="0" t="n">
        <v>2024</v>
      </c>
      <c r="D374" s="0" t="n">
        <v>2521145</v>
      </c>
      <c r="E374" s="0" t="n">
        <v>3.43</v>
      </c>
      <c r="F374" s="0" t="n">
        <v>3.37</v>
      </c>
      <c r="G374" s="0" t="n">
        <v>0</v>
      </c>
      <c r="H374" s="0" t="n">
        <v>0.05</v>
      </c>
      <c r="I374" s="0" t="n">
        <v>0</v>
      </c>
      <c r="J374" s="0" t="n">
        <v>0</v>
      </c>
      <c r="K374" s="0" t="n">
        <v>0.01</v>
      </c>
      <c r="L374" s="0" t="n">
        <v>0</v>
      </c>
      <c r="M374" s="0" t="n">
        <v>0</v>
      </c>
      <c r="N374" s="0" t="n">
        <v>0</v>
      </c>
      <c r="O374" s="0" t="n">
        <v>851.31</v>
      </c>
    </row>
    <row r="375" customFormat="false" ht="15" hidden="false" customHeight="false" outlineLevel="0" collapsed="false">
      <c r="A375" s="0" t="s">
        <v>206</v>
      </c>
      <c r="B375" s="0" t="s">
        <v>444</v>
      </c>
      <c r="C375" s="0" t="n">
        <v>2015</v>
      </c>
      <c r="D375" s="0" t="n">
        <v>201675534</v>
      </c>
      <c r="E375" s="0" t="n">
        <v>581.22</v>
      </c>
      <c r="F375" s="0" t="n">
        <v>26.98</v>
      </c>
      <c r="G375" s="0" t="n">
        <v>79.49</v>
      </c>
      <c r="H375" s="0" t="n">
        <v>28.71</v>
      </c>
      <c r="I375" s="0" t="n">
        <v>14.73</v>
      </c>
      <c r="J375" s="0" t="n">
        <v>359.74</v>
      </c>
      <c r="K375" s="0" t="n">
        <v>0.06</v>
      </c>
      <c r="L375" s="0" t="n">
        <v>21.63</v>
      </c>
      <c r="M375" s="0" t="n">
        <v>49.88</v>
      </c>
      <c r="O375" s="0" t="n">
        <v>188.64</v>
      </c>
    </row>
    <row r="376" customFormat="false" ht="15" hidden="false" customHeight="false" outlineLevel="0" collapsed="false">
      <c r="A376" s="0" t="s">
        <v>206</v>
      </c>
      <c r="B376" s="0" t="s">
        <v>444</v>
      </c>
      <c r="C376" s="0" t="n">
        <v>2016</v>
      </c>
      <c r="D376" s="0" t="n">
        <v>203218108</v>
      </c>
      <c r="E376" s="0" t="n">
        <v>578.89</v>
      </c>
      <c r="F376" s="0" t="n">
        <v>25.67</v>
      </c>
      <c r="G376" s="0" t="n">
        <v>56.48</v>
      </c>
      <c r="H376" s="0" t="n">
        <v>15.06</v>
      </c>
      <c r="I376" s="0" t="n">
        <v>15.86</v>
      </c>
      <c r="J376" s="0" t="n">
        <v>380.91</v>
      </c>
      <c r="K376" s="0" t="n">
        <v>0.09</v>
      </c>
      <c r="L376" s="0" t="n">
        <v>33.49</v>
      </c>
      <c r="M376" s="0" t="n">
        <v>51.33</v>
      </c>
      <c r="O376" s="0" t="n">
        <v>149.65</v>
      </c>
    </row>
    <row r="377" customFormat="false" ht="15" hidden="false" customHeight="false" outlineLevel="0" collapsed="false">
      <c r="A377" s="0" t="s">
        <v>206</v>
      </c>
      <c r="B377" s="0" t="s">
        <v>444</v>
      </c>
      <c r="C377" s="0" t="n">
        <v>2017</v>
      </c>
      <c r="D377" s="0" t="n">
        <v>204703440</v>
      </c>
      <c r="E377" s="0" t="n">
        <v>589.32</v>
      </c>
      <c r="F377" s="0" t="n">
        <v>22.85</v>
      </c>
      <c r="G377" s="0" t="n">
        <v>65.59</v>
      </c>
      <c r="H377" s="0" t="n">
        <v>18.12</v>
      </c>
      <c r="I377" s="0" t="n">
        <v>15.74</v>
      </c>
      <c r="J377" s="0" t="n">
        <v>370.91</v>
      </c>
      <c r="K377" s="0" t="n">
        <v>0.83</v>
      </c>
      <c r="L377" s="0" t="n">
        <v>42.37</v>
      </c>
      <c r="M377" s="0" t="n">
        <v>52.91</v>
      </c>
      <c r="O377" s="0" t="n">
        <v>155.88</v>
      </c>
    </row>
    <row r="378" customFormat="false" ht="15" hidden="false" customHeight="false" outlineLevel="0" collapsed="false">
      <c r="A378" s="0" t="s">
        <v>206</v>
      </c>
      <c r="B378" s="0" t="s">
        <v>444</v>
      </c>
      <c r="C378" s="0" t="n">
        <v>2018</v>
      </c>
      <c r="D378" s="0" t="n">
        <v>206107265</v>
      </c>
      <c r="E378" s="0" t="n">
        <v>601.39</v>
      </c>
      <c r="F378" s="0" t="n">
        <v>20.8</v>
      </c>
      <c r="G378" s="0" t="n">
        <v>54.62</v>
      </c>
      <c r="H378" s="0" t="n">
        <v>15.01</v>
      </c>
      <c r="I378" s="0" t="n">
        <v>15.67</v>
      </c>
      <c r="J378" s="0" t="n">
        <v>388.97</v>
      </c>
      <c r="K378" s="0" t="n">
        <v>3.46</v>
      </c>
      <c r="L378" s="0" t="n">
        <v>48.48</v>
      </c>
      <c r="M378" s="0" t="n">
        <v>54.38</v>
      </c>
      <c r="O378" s="0" t="n">
        <v>136.95</v>
      </c>
    </row>
    <row r="379" customFormat="false" ht="15" hidden="false" customHeight="false" outlineLevel="0" collapsed="false">
      <c r="A379" s="0" t="s">
        <v>206</v>
      </c>
      <c r="B379" s="0" t="s">
        <v>444</v>
      </c>
      <c r="C379" s="0" t="n">
        <v>2019</v>
      </c>
      <c r="D379" s="0" t="n">
        <v>207455459</v>
      </c>
      <c r="E379" s="0" t="n">
        <v>633.33</v>
      </c>
      <c r="F379" s="0" t="n">
        <v>21.68</v>
      </c>
      <c r="G379" s="0" t="n">
        <v>65.96</v>
      </c>
      <c r="H379" s="0" t="n">
        <v>14.12</v>
      </c>
      <c r="I379" s="0" t="n">
        <v>16.13</v>
      </c>
      <c r="J379" s="0" t="n">
        <v>397.88</v>
      </c>
      <c r="K379" s="0" t="n">
        <v>6.65</v>
      </c>
      <c r="L379" s="0" t="n">
        <v>55.99</v>
      </c>
      <c r="M379" s="0" t="n">
        <v>54.92</v>
      </c>
      <c r="O379" s="0" t="n">
        <v>141.93</v>
      </c>
    </row>
    <row r="380" customFormat="false" ht="15" hidden="false" customHeight="false" outlineLevel="0" collapsed="false">
      <c r="A380" s="0" t="s">
        <v>206</v>
      </c>
      <c r="B380" s="0" t="s">
        <v>444</v>
      </c>
      <c r="C380" s="0" t="n">
        <v>2020</v>
      </c>
      <c r="D380" s="0" t="n">
        <v>208660845</v>
      </c>
      <c r="E380" s="0" t="n">
        <v>628.76</v>
      </c>
      <c r="F380" s="0" t="n">
        <v>17.75</v>
      </c>
      <c r="G380" s="0" t="n">
        <v>59.48</v>
      </c>
      <c r="H380" s="0" t="n">
        <v>14.56</v>
      </c>
      <c r="I380" s="0" t="n">
        <v>14.05</v>
      </c>
      <c r="J380" s="0" t="n">
        <v>396.38</v>
      </c>
      <c r="K380" s="0" t="n">
        <v>10.75</v>
      </c>
      <c r="L380" s="0" t="n">
        <v>57.05</v>
      </c>
      <c r="M380" s="0" t="n">
        <v>58.74</v>
      </c>
      <c r="O380" s="0" t="n">
        <v>133.36</v>
      </c>
    </row>
    <row r="381" customFormat="false" ht="15" hidden="false" customHeight="false" outlineLevel="0" collapsed="false">
      <c r="A381" s="0" t="s">
        <v>206</v>
      </c>
      <c r="B381" s="0" t="s">
        <v>444</v>
      </c>
      <c r="C381" s="0" t="n">
        <v>2021</v>
      </c>
      <c r="D381" s="0" t="n">
        <v>209550291</v>
      </c>
      <c r="E381" s="0" t="n">
        <v>656.4</v>
      </c>
      <c r="F381" s="0" t="n">
        <v>24.24</v>
      </c>
      <c r="G381" s="0" t="n">
        <v>86.96</v>
      </c>
      <c r="H381" s="0" t="n">
        <v>22.63</v>
      </c>
      <c r="I381" s="0" t="n">
        <v>14.7</v>
      </c>
      <c r="J381" s="0" t="n">
        <v>362.82</v>
      </c>
      <c r="K381" s="0" t="n">
        <v>16.75</v>
      </c>
      <c r="L381" s="0" t="n">
        <v>72.29</v>
      </c>
      <c r="M381" s="0" t="n">
        <v>56.01</v>
      </c>
      <c r="O381" s="0" t="n">
        <v>168.07</v>
      </c>
    </row>
    <row r="382" customFormat="false" ht="15" hidden="false" customHeight="false" outlineLevel="0" collapsed="false">
      <c r="A382" s="0" t="s">
        <v>206</v>
      </c>
      <c r="B382" s="0" t="s">
        <v>444</v>
      </c>
      <c r="C382" s="0" t="n">
        <v>2022</v>
      </c>
      <c r="D382" s="0" t="n">
        <v>210306411</v>
      </c>
      <c r="E382" s="0" t="n">
        <v>677.16</v>
      </c>
      <c r="F382" s="0" t="n">
        <v>14.4</v>
      </c>
      <c r="G382" s="0" t="n">
        <v>42.11</v>
      </c>
      <c r="H382" s="0" t="n">
        <v>12.2</v>
      </c>
      <c r="I382" s="0" t="n">
        <v>14.56</v>
      </c>
      <c r="J382" s="0" t="n">
        <v>427.11</v>
      </c>
      <c r="K382" s="0" t="n">
        <v>30.13</v>
      </c>
      <c r="L382" s="0" t="n">
        <v>81.63</v>
      </c>
      <c r="M382" s="0" t="n">
        <v>55.02</v>
      </c>
      <c r="O382" s="0" t="n">
        <v>103.39</v>
      </c>
    </row>
    <row r="383" customFormat="false" ht="15" hidden="false" customHeight="false" outlineLevel="0" collapsed="false">
      <c r="A383" s="0" t="s">
        <v>206</v>
      </c>
      <c r="B383" s="0" t="s">
        <v>444</v>
      </c>
      <c r="C383" s="0" t="n">
        <v>2023</v>
      </c>
      <c r="D383" s="0" t="n">
        <v>211140731</v>
      </c>
      <c r="E383" s="0" t="n">
        <v>708.12</v>
      </c>
      <c r="F383" s="0" t="n">
        <v>13.31</v>
      </c>
      <c r="G383" s="0" t="n">
        <v>38.59</v>
      </c>
      <c r="H383" s="0" t="n">
        <v>11.53</v>
      </c>
      <c r="I383" s="0" t="n">
        <v>14.5</v>
      </c>
      <c r="J383" s="0" t="n">
        <v>426</v>
      </c>
      <c r="K383" s="0" t="n">
        <v>50.63</v>
      </c>
      <c r="L383" s="0" t="n">
        <v>95.8</v>
      </c>
      <c r="M383" s="0" t="n">
        <v>57.76</v>
      </c>
      <c r="O383" s="0" t="n">
        <v>96.26</v>
      </c>
    </row>
    <row r="384" customFormat="false" ht="15" hidden="false" customHeight="false" outlineLevel="0" collapsed="false">
      <c r="A384" s="0" t="s">
        <v>206</v>
      </c>
      <c r="B384" s="0" t="s">
        <v>444</v>
      </c>
      <c r="C384" s="0" t="n">
        <v>2024</v>
      </c>
      <c r="D384" s="0" t="n">
        <v>211998565</v>
      </c>
      <c r="E384" s="0" t="n">
        <v>745.72</v>
      </c>
      <c r="F384" s="0" t="n">
        <v>16.21</v>
      </c>
      <c r="G384" s="0" t="n">
        <v>48.76</v>
      </c>
      <c r="H384" s="0" t="n">
        <v>13.71</v>
      </c>
      <c r="I384" s="0" t="n">
        <v>15.78</v>
      </c>
      <c r="J384" s="0" t="n">
        <v>413.21</v>
      </c>
      <c r="K384" s="0" t="n">
        <v>71.32</v>
      </c>
      <c r="L384" s="0" t="n">
        <v>108.49</v>
      </c>
      <c r="M384" s="0" t="n">
        <v>58.24</v>
      </c>
      <c r="O384" s="0" t="n">
        <v>106.06</v>
      </c>
    </row>
    <row r="385" customFormat="false" ht="15" hidden="false" customHeight="false" outlineLevel="0" collapsed="false">
      <c r="A385" s="0" t="s">
        <v>206</v>
      </c>
      <c r="B385" s="0" t="s">
        <v>444</v>
      </c>
      <c r="C385" s="0" t="n">
        <v>2025</v>
      </c>
      <c r="D385" s="0" t="n">
        <v>212812397</v>
      </c>
      <c r="E385" s="0" t="n">
        <v>750.53</v>
      </c>
      <c r="F385" s="0" t="n">
        <v>17.19</v>
      </c>
      <c r="G385" s="0" t="n">
        <v>54.85</v>
      </c>
      <c r="H385" s="0" t="n">
        <v>12.65</v>
      </c>
      <c r="I385" s="0" t="n">
        <v>15.87</v>
      </c>
      <c r="J385" s="0" t="n">
        <v>388.63</v>
      </c>
      <c r="K385" s="0" t="n">
        <v>88.64</v>
      </c>
      <c r="L385" s="0" t="n">
        <v>117.58</v>
      </c>
      <c r="M385" s="0" t="n">
        <v>55.12</v>
      </c>
      <c r="O385" s="0" t="n">
        <v>109.95</v>
      </c>
    </row>
    <row r="386" customFormat="false" ht="15" hidden="false" customHeight="false" outlineLevel="0" collapsed="false">
      <c r="A386" s="0" t="s">
        <v>207</v>
      </c>
      <c r="B386" s="0" t="s">
        <v>445</v>
      </c>
      <c r="C386" s="0" t="n">
        <v>2015</v>
      </c>
      <c r="D386" s="0" t="n">
        <v>34523</v>
      </c>
      <c r="E386" s="0" t="n">
        <v>0.21</v>
      </c>
      <c r="F386" s="0" t="n">
        <v>0</v>
      </c>
      <c r="G386" s="0" t="n">
        <v>0</v>
      </c>
      <c r="H386" s="0" t="n">
        <v>0.21</v>
      </c>
      <c r="I386" s="0" t="n">
        <v>0</v>
      </c>
      <c r="J386" s="0" t="n">
        <v>0</v>
      </c>
      <c r="K386" s="0" t="n">
        <v>0</v>
      </c>
      <c r="L386" s="0" t="n">
        <v>0</v>
      </c>
      <c r="M386" s="0" t="n">
        <v>0</v>
      </c>
      <c r="N386" s="0" t="n">
        <v>0</v>
      </c>
      <c r="O386" s="0" t="n">
        <v>666.67</v>
      </c>
    </row>
    <row r="387" customFormat="false" ht="15" hidden="false" customHeight="false" outlineLevel="0" collapsed="false">
      <c r="A387" s="0" t="s">
        <v>207</v>
      </c>
      <c r="B387" s="0" t="s">
        <v>445</v>
      </c>
      <c r="C387" s="0" t="n">
        <v>2016</v>
      </c>
      <c r="D387" s="0" t="n">
        <v>33904</v>
      </c>
      <c r="E387" s="0" t="n">
        <v>0.22</v>
      </c>
      <c r="F387" s="0" t="n">
        <v>0</v>
      </c>
      <c r="G387" s="0" t="n">
        <v>0</v>
      </c>
      <c r="H387" s="0" t="n">
        <v>0.22</v>
      </c>
      <c r="I387" s="0" t="n">
        <v>0</v>
      </c>
      <c r="J387" s="0" t="n">
        <v>0</v>
      </c>
      <c r="K387" s="0" t="n">
        <v>0</v>
      </c>
      <c r="L387" s="0" t="n">
        <v>0</v>
      </c>
      <c r="M387" s="0" t="n">
        <v>0</v>
      </c>
      <c r="N387" s="0" t="n">
        <v>0</v>
      </c>
      <c r="O387" s="0" t="n">
        <v>636.36</v>
      </c>
    </row>
    <row r="388" customFormat="false" ht="15" hidden="false" customHeight="false" outlineLevel="0" collapsed="false">
      <c r="A388" s="0" t="s">
        <v>207</v>
      </c>
      <c r="B388" s="0" t="s">
        <v>445</v>
      </c>
      <c r="C388" s="0" t="n">
        <v>2017</v>
      </c>
      <c r="D388" s="0" t="n">
        <v>32724</v>
      </c>
      <c r="E388" s="0" t="n">
        <v>0.17</v>
      </c>
      <c r="F388" s="0" t="n">
        <v>0</v>
      </c>
      <c r="G388" s="0" t="n">
        <v>0</v>
      </c>
      <c r="H388" s="0" t="n">
        <v>0.17</v>
      </c>
      <c r="I388" s="0" t="n">
        <v>0</v>
      </c>
      <c r="J388" s="0" t="n">
        <v>0</v>
      </c>
      <c r="K388" s="0" t="n">
        <v>0</v>
      </c>
      <c r="L388" s="0" t="n">
        <v>0</v>
      </c>
      <c r="M388" s="0" t="n">
        <v>0</v>
      </c>
      <c r="N388" s="0" t="n">
        <v>0</v>
      </c>
      <c r="O388" s="0" t="n">
        <v>647.06</v>
      </c>
    </row>
    <row r="389" customFormat="false" ht="15" hidden="false" customHeight="false" outlineLevel="0" collapsed="false">
      <c r="A389" s="0" t="s">
        <v>207</v>
      </c>
      <c r="B389" s="0" t="s">
        <v>445</v>
      </c>
      <c r="C389" s="0" t="n">
        <v>2018</v>
      </c>
      <c r="D389" s="0" t="n">
        <v>34682</v>
      </c>
      <c r="E389" s="0" t="n">
        <v>0.16</v>
      </c>
      <c r="F389" s="0" t="n">
        <v>0</v>
      </c>
      <c r="G389" s="0" t="n">
        <v>0</v>
      </c>
      <c r="H389" s="0" t="n">
        <v>0.16</v>
      </c>
      <c r="I389" s="0" t="n">
        <v>0</v>
      </c>
      <c r="J389" s="0" t="n">
        <v>0</v>
      </c>
      <c r="K389" s="0" t="n">
        <v>0</v>
      </c>
      <c r="L389" s="0" t="n">
        <v>0</v>
      </c>
      <c r="M389" s="0" t="n">
        <v>0</v>
      </c>
      <c r="N389" s="0" t="n">
        <v>0</v>
      </c>
      <c r="O389" s="0" t="n">
        <v>687.5</v>
      </c>
    </row>
    <row r="390" customFormat="false" ht="15" hidden="false" customHeight="false" outlineLevel="0" collapsed="false">
      <c r="A390" s="0" t="s">
        <v>207</v>
      </c>
      <c r="B390" s="0" t="s">
        <v>445</v>
      </c>
      <c r="C390" s="0" t="n">
        <v>2019</v>
      </c>
      <c r="D390" s="0" t="n">
        <v>36423</v>
      </c>
      <c r="E390" s="0" t="n">
        <v>0.16</v>
      </c>
      <c r="F390" s="0" t="n">
        <v>0</v>
      </c>
      <c r="G390" s="0" t="n">
        <v>0</v>
      </c>
      <c r="H390" s="0" t="n">
        <v>0.16</v>
      </c>
      <c r="I390" s="0" t="n">
        <v>0</v>
      </c>
      <c r="J390" s="0" t="n">
        <v>0</v>
      </c>
      <c r="K390" s="0" t="n">
        <v>0</v>
      </c>
      <c r="L390" s="0" t="n">
        <v>0</v>
      </c>
      <c r="M390" s="0" t="n">
        <v>0</v>
      </c>
      <c r="N390" s="0" t="n">
        <v>0</v>
      </c>
      <c r="O390" s="0" t="n">
        <v>687.5</v>
      </c>
    </row>
    <row r="391" customFormat="false" ht="15" hidden="false" customHeight="false" outlineLevel="0" collapsed="false">
      <c r="A391" s="0" t="s">
        <v>207</v>
      </c>
      <c r="B391" s="0" t="s">
        <v>445</v>
      </c>
      <c r="C391" s="0" t="n">
        <v>2020</v>
      </c>
      <c r="D391" s="0" t="n">
        <v>37161</v>
      </c>
      <c r="E391" s="0" t="n">
        <v>0.16</v>
      </c>
      <c r="F391" s="0" t="n">
        <v>0</v>
      </c>
      <c r="G391" s="0" t="n">
        <v>0</v>
      </c>
      <c r="H391" s="0" t="n">
        <v>0.16</v>
      </c>
      <c r="I391" s="0" t="n">
        <v>0</v>
      </c>
      <c r="J391" s="0" t="n">
        <v>0</v>
      </c>
      <c r="K391" s="0" t="n">
        <v>0</v>
      </c>
      <c r="L391" s="0" t="n">
        <v>0</v>
      </c>
      <c r="M391" s="0" t="n">
        <v>0</v>
      </c>
      <c r="N391" s="0" t="n">
        <v>0</v>
      </c>
      <c r="O391" s="0" t="n">
        <v>687.5</v>
      </c>
    </row>
    <row r="392" customFormat="false" ht="15" hidden="false" customHeight="false" outlineLevel="0" collapsed="false">
      <c r="A392" s="0" t="s">
        <v>207</v>
      </c>
      <c r="B392" s="0" t="s">
        <v>445</v>
      </c>
      <c r="C392" s="0" t="n">
        <v>2021</v>
      </c>
      <c r="D392" s="0" t="n">
        <v>37833</v>
      </c>
      <c r="E392" s="0" t="n">
        <v>0.17</v>
      </c>
      <c r="F392" s="0" t="n">
        <v>0</v>
      </c>
      <c r="G392" s="0" t="n">
        <v>0</v>
      </c>
      <c r="H392" s="0" t="n">
        <v>0.17</v>
      </c>
      <c r="I392" s="0" t="n">
        <v>0</v>
      </c>
      <c r="J392" s="0" t="n">
        <v>0</v>
      </c>
      <c r="K392" s="0" t="n">
        <v>0</v>
      </c>
      <c r="L392" s="0" t="n">
        <v>0</v>
      </c>
      <c r="M392" s="0" t="n">
        <v>0</v>
      </c>
      <c r="N392" s="0" t="n">
        <v>0</v>
      </c>
      <c r="O392" s="0" t="n">
        <v>647.06</v>
      </c>
    </row>
    <row r="393" customFormat="false" ht="15" hidden="false" customHeight="false" outlineLevel="0" collapsed="false">
      <c r="A393" s="0" t="s">
        <v>207</v>
      </c>
      <c r="B393" s="0" t="s">
        <v>445</v>
      </c>
      <c r="C393" s="0" t="n">
        <v>2022</v>
      </c>
      <c r="D393" s="0" t="n">
        <v>38346</v>
      </c>
      <c r="E393" s="0" t="n">
        <v>0.17</v>
      </c>
      <c r="F393" s="0" t="n">
        <v>0</v>
      </c>
      <c r="G393" s="0" t="n">
        <v>0</v>
      </c>
      <c r="H393" s="0" t="n">
        <v>0.17</v>
      </c>
      <c r="I393" s="0" t="n">
        <v>0</v>
      </c>
      <c r="J393" s="0" t="n">
        <v>0</v>
      </c>
      <c r="K393" s="0" t="n">
        <v>0</v>
      </c>
      <c r="L393" s="0" t="n">
        <v>0</v>
      </c>
      <c r="M393" s="0" t="n">
        <v>0</v>
      </c>
      <c r="N393" s="0" t="n">
        <v>0</v>
      </c>
      <c r="O393" s="0" t="n">
        <v>647.06</v>
      </c>
    </row>
    <row r="394" customFormat="false" ht="15" hidden="false" customHeight="false" outlineLevel="0" collapsed="false">
      <c r="A394" s="0" t="s">
        <v>207</v>
      </c>
      <c r="B394" s="0" t="s">
        <v>445</v>
      </c>
      <c r="C394" s="0" t="n">
        <v>2023</v>
      </c>
      <c r="D394" s="0" t="n">
        <v>39009</v>
      </c>
      <c r="E394" s="0" t="n">
        <v>0.17</v>
      </c>
      <c r="F394" s="0" t="n">
        <v>0</v>
      </c>
      <c r="G394" s="0" t="n">
        <v>0</v>
      </c>
      <c r="H394" s="0" t="n">
        <v>0.17</v>
      </c>
      <c r="I394" s="0" t="n">
        <v>0</v>
      </c>
      <c r="J394" s="0" t="n">
        <v>0</v>
      </c>
      <c r="K394" s="0" t="n">
        <v>0</v>
      </c>
      <c r="L394" s="0" t="n">
        <v>0</v>
      </c>
      <c r="M394" s="0" t="n">
        <v>0</v>
      </c>
      <c r="N394" s="0" t="n">
        <v>0</v>
      </c>
      <c r="O394" s="0" t="n">
        <v>647.06</v>
      </c>
    </row>
    <row r="395" customFormat="false" ht="15" hidden="false" customHeight="false" outlineLevel="0" collapsed="false">
      <c r="A395" s="0" t="s">
        <v>208</v>
      </c>
      <c r="B395" s="0" t="s">
        <v>446</v>
      </c>
      <c r="C395" s="0" t="n">
        <v>2015</v>
      </c>
      <c r="D395" s="0" t="n">
        <v>422223</v>
      </c>
      <c r="E395" s="0" t="n">
        <v>4.2</v>
      </c>
      <c r="F395" s="0" t="n">
        <v>0</v>
      </c>
      <c r="G395" s="0" t="n">
        <v>4.16</v>
      </c>
      <c r="H395" s="0" t="n">
        <v>0.04</v>
      </c>
      <c r="I395" s="0" t="n">
        <v>0</v>
      </c>
      <c r="J395" s="0" t="n">
        <v>0</v>
      </c>
      <c r="K395" s="0" t="n">
        <v>0</v>
      </c>
      <c r="L395" s="0" t="n">
        <v>0</v>
      </c>
      <c r="M395" s="0" t="n">
        <v>0</v>
      </c>
      <c r="N395" s="0" t="n">
        <v>0</v>
      </c>
      <c r="O395" s="0" t="n">
        <v>902.38</v>
      </c>
    </row>
    <row r="396" customFormat="false" ht="15" hidden="false" customHeight="false" outlineLevel="0" collapsed="false">
      <c r="A396" s="0" t="s">
        <v>208</v>
      </c>
      <c r="B396" s="0" t="s">
        <v>446</v>
      </c>
      <c r="C396" s="0" t="n">
        <v>2016</v>
      </c>
      <c r="D396" s="0" t="n">
        <v>427571</v>
      </c>
      <c r="E396" s="0" t="n">
        <v>4.27</v>
      </c>
      <c r="F396" s="0" t="n">
        <v>0</v>
      </c>
      <c r="G396" s="0" t="n">
        <v>4.22</v>
      </c>
      <c r="H396" s="0" t="n">
        <v>0.05</v>
      </c>
      <c r="I396" s="0" t="n">
        <v>0</v>
      </c>
      <c r="J396" s="0" t="n">
        <v>0</v>
      </c>
      <c r="K396" s="0" t="n">
        <v>0</v>
      </c>
      <c r="L396" s="0" t="n">
        <v>0</v>
      </c>
      <c r="M396" s="0" t="n">
        <v>0</v>
      </c>
      <c r="N396" s="0" t="n">
        <v>0</v>
      </c>
      <c r="O396" s="0" t="n">
        <v>901.64</v>
      </c>
    </row>
    <row r="397" customFormat="false" ht="15" hidden="false" customHeight="false" outlineLevel="0" collapsed="false">
      <c r="A397" s="0" t="s">
        <v>208</v>
      </c>
      <c r="B397" s="0" t="s">
        <v>446</v>
      </c>
      <c r="C397" s="0" t="n">
        <v>2017</v>
      </c>
      <c r="D397" s="0" t="n">
        <v>432787</v>
      </c>
      <c r="E397" s="0" t="n">
        <v>4.16</v>
      </c>
      <c r="F397" s="0" t="n">
        <v>0</v>
      </c>
      <c r="G397" s="0" t="n">
        <v>4.11</v>
      </c>
      <c r="H397" s="0" t="n">
        <v>0.05</v>
      </c>
      <c r="I397" s="0" t="n">
        <v>0</v>
      </c>
      <c r="J397" s="0" t="n">
        <v>0</v>
      </c>
      <c r="K397" s="0" t="n">
        <v>0</v>
      </c>
      <c r="L397" s="0" t="n">
        <v>0</v>
      </c>
      <c r="M397" s="0" t="n">
        <v>0</v>
      </c>
      <c r="N397" s="0" t="n">
        <v>0</v>
      </c>
      <c r="O397" s="0" t="n">
        <v>901.44</v>
      </c>
    </row>
    <row r="398" customFormat="false" ht="15" hidden="false" customHeight="false" outlineLevel="0" collapsed="false">
      <c r="A398" s="0" t="s">
        <v>208</v>
      </c>
      <c r="B398" s="0" t="s">
        <v>446</v>
      </c>
      <c r="C398" s="0" t="n">
        <v>2018</v>
      </c>
      <c r="D398" s="0" t="n">
        <v>437811</v>
      </c>
      <c r="E398" s="0" t="n">
        <v>4.3</v>
      </c>
      <c r="F398" s="0" t="n">
        <v>0</v>
      </c>
      <c r="G398" s="0" t="n">
        <v>4.25</v>
      </c>
      <c r="H398" s="0" t="n">
        <v>0.05</v>
      </c>
      <c r="I398" s="0" t="n">
        <v>0</v>
      </c>
      <c r="J398" s="0" t="n">
        <v>0</v>
      </c>
      <c r="K398" s="0" t="n">
        <v>0</v>
      </c>
      <c r="L398" s="0" t="n">
        <v>0</v>
      </c>
      <c r="M398" s="0" t="n">
        <v>0</v>
      </c>
      <c r="N398" s="0" t="n">
        <v>0</v>
      </c>
      <c r="O398" s="0" t="n">
        <v>902.33</v>
      </c>
    </row>
    <row r="399" customFormat="false" ht="15" hidden="false" customHeight="false" outlineLevel="0" collapsed="false">
      <c r="A399" s="0" t="s">
        <v>208</v>
      </c>
      <c r="B399" s="0" t="s">
        <v>446</v>
      </c>
      <c r="C399" s="0" t="n">
        <v>2019</v>
      </c>
      <c r="D399" s="0" t="n">
        <v>442690</v>
      </c>
      <c r="E399" s="0" t="n">
        <v>4.93</v>
      </c>
      <c r="F399" s="0" t="n">
        <v>0.48</v>
      </c>
      <c r="G399" s="0" t="n">
        <v>4.4</v>
      </c>
      <c r="H399" s="0" t="n">
        <v>0.05</v>
      </c>
      <c r="I399" s="0" t="n">
        <v>0</v>
      </c>
      <c r="J399" s="0" t="n">
        <v>0</v>
      </c>
      <c r="K399" s="0" t="n">
        <v>0</v>
      </c>
      <c r="L399" s="0" t="n">
        <v>0</v>
      </c>
      <c r="M399" s="0" t="n">
        <v>0</v>
      </c>
      <c r="N399" s="0" t="n">
        <v>0</v>
      </c>
      <c r="O399" s="0" t="n">
        <v>896.55</v>
      </c>
    </row>
    <row r="400" customFormat="false" ht="15" hidden="false" customHeight="false" outlineLevel="0" collapsed="false">
      <c r="A400" s="0" t="s">
        <v>208</v>
      </c>
      <c r="B400" s="0" t="s">
        <v>446</v>
      </c>
      <c r="C400" s="0" t="n">
        <v>2020</v>
      </c>
      <c r="D400" s="0" t="n">
        <v>447411</v>
      </c>
      <c r="E400" s="0" t="n">
        <v>5.74</v>
      </c>
      <c r="F400" s="0" t="n">
        <v>1.23</v>
      </c>
      <c r="G400" s="0" t="n">
        <v>4.47</v>
      </c>
      <c r="H400" s="0" t="n">
        <v>0.04</v>
      </c>
      <c r="I400" s="0" t="n">
        <v>0</v>
      </c>
      <c r="J400" s="0" t="n">
        <v>0</v>
      </c>
      <c r="K400" s="0" t="n">
        <v>0</v>
      </c>
      <c r="L400" s="0" t="n">
        <v>0</v>
      </c>
      <c r="M400" s="0" t="n">
        <v>0</v>
      </c>
      <c r="N400" s="0" t="n">
        <v>0</v>
      </c>
      <c r="O400" s="0" t="n">
        <v>895.47</v>
      </c>
    </row>
    <row r="401" customFormat="false" ht="15" hidden="false" customHeight="false" outlineLevel="0" collapsed="false">
      <c r="A401" s="0" t="s">
        <v>208</v>
      </c>
      <c r="B401" s="0" t="s">
        <v>446</v>
      </c>
      <c r="C401" s="0" t="n">
        <v>2021</v>
      </c>
      <c r="D401" s="0" t="n">
        <v>451722</v>
      </c>
      <c r="E401" s="0" t="n">
        <v>5.7</v>
      </c>
      <c r="F401" s="0" t="n">
        <v>1.24</v>
      </c>
      <c r="G401" s="0" t="n">
        <v>4.42</v>
      </c>
      <c r="H401" s="0" t="n">
        <v>0.04</v>
      </c>
      <c r="I401" s="0" t="n">
        <v>0</v>
      </c>
      <c r="J401" s="0" t="n">
        <v>0</v>
      </c>
      <c r="K401" s="0" t="n">
        <v>0</v>
      </c>
      <c r="L401" s="0" t="n">
        <v>0</v>
      </c>
      <c r="M401" s="0" t="n">
        <v>0</v>
      </c>
      <c r="N401" s="0" t="n">
        <v>0</v>
      </c>
      <c r="O401" s="0" t="n">
        <v>894.74</v>
      </c>
    </row>
    <row r="402" customFormat="false" ht="15" hidden="false" customHeight="false" outlineLevel="0" collapsed="false">
      <c r="A402" s="0" t="s">
        <v>208</v>
      </c>
      <c r="B402" s="0" t="s">
        <v>446</v>
      </c>
      <c r="C402" s="0" t="n">
        <v>2022</v>
      </c>
      <c r="D402" s="0" t="n">
        <v>455374</v>
      </c>
      <c r="E402" s="0" t="n">
        <v>5.6</v>
      </c>
      <c r="F402" s="0" t="n">
        <v>1.21</v>
      </c>
      <c r="G402" s="0" t="n">
        <v>4.34</v>
      </c>
      <c r="H402" s="0" t="n">
        <v>0.05</v>
      </c>
      <c r="I402" s="0" t="n">
        <v>0</v>
      </c>
      <c r="J402" s="0" t="n">
        <v>0</v>
      </c>
      <c r="K402" s="0" t="n">
        <v>0</v>
      </c>
      <c r="L402" s="0" t="n">
        <v>0</v>
      </c>
      <c r="M402" s="0" t="n">
        <v>0</v>
      </c>
      <c r="N402" s="0" t="n">
        <v>0</v>
      </c>
      <c r="O402" s="0" t="n">
        <v>892.86</v>
      </c>
    </row>
    <row r="403" customFormat="false" ht="15" hidden="false" customHeight="false" outlineLevel="0" collapsed="false">
      <c r="A403" s="0" t="s">
        <v>208</v>
      </c>
      <c r="B403" s="0" t="s">
        <v>446</v>
      </c>
      <c r="C403" s="0" t="n">
        <v>2023</v>
      </c>
      <c r="D403" s="0" t="n">
        <v>458959</v>
      </c>
      <c r="E403" s="0" t="n">
        <v>5.6</v>
      </c>
      <c r="F403" s="0" t="n">
        <v>1.14</v>
      </c>
      <c r="G403" s="0" t="n">
        <v>4.42</v>
      </c>
      <c r="H403" s="0" t="n">
        <v>0.04</v>
      </c>
      <c r="I403" s="0" t="n">
        <v>0</v>
      </c>
      <c r="J403" s="0" t="n">
        <v>0</v>
      </c>
      <c r="K403" s="0" t="n">
        <v>0</v>
      </c>
      <c r="L403" s="0" t="n">
        <v>0</v>
      </c>
      <c r="M403" s="0" t="n">
        <v>0</v>
      </c>
      <c r="N403" s="0" t="n">
        <v>0</v>
      </c>
      <c r="O403" s="0" t="n">
        <v>894.64</v>
      </c>
    </row>
    <row r="404" customFormat="false" ht="15" hidden="false" customHeight="false" outlineLevel="0" collapsed="false">
      <c r="A404" s="0" t="s">
        <v>208</v>
      </c>
      <c r="B404" s="0" t="s">
        <v>446</v>
      </c>
      <c r="C404" s="0" t="n">
        <v>2024</v>
      </c>
      <c r="D404" s="0" t="n">
        <v>462734</v>
      </c>
      <c r="E404" s="0" t="n">
        <v>5.56</v>
      </c>
      <c r="F404" s="0" t="n">
        <v>1.1</v>
      </c>
      <c r="G404" s="0" t="n">
        <v>4.4</v>
      </c>
      <c r="H404" s="0" t="n">
        <v>0.05</v>
      </c>
      <c r="I404" s="0" t="n">
        <v>0</v>
      </c>
      <c r="J404" s="0" t="n">
        <v>0</v>
      </c>
      <c r="K404" s="0" t="n">
        <v>0.01</v>
      </c>
      <c r="L404" s="0" t="n">
        <v>0</v>
      </c>
      <c r="M404" s="0" t="n">
        <v>0</v>
      </c>
      <c r="N404" s="0" t="n">
        <v>0</v>
      </c>
      <c r="O404" s="0" t="n">
        <v>892.09</v>
      </c>
    </row>
    <row r="405" customFormat="false" ht="15" hidden="false" customHeight="false" outlineLevel="0" collapsed="false">
      <c r="A405" s="0" t="s">
        <v>209</v>
      </c>
      <c r="B405" s="0" t="s">
        <v>447</v>
      </c>
      <c r="C405" s="0" t="n">
        <v>2015</v>
      </c>
      <c r="D405" s="0" t="n">
        <v>7177515</v>
      </c>
      <c r="E405" s="0" t="n">
        <v>48.71</v>
      </c>
      <c r="F405" s="0" t="n">
        <v>22.53</v>
      </c>
      <c r="G405" s="0" t="n">
        <v>1.86</v>
      </c>
      <c r="H405" s="0" t="n">
        <v>0.19</v>
      </c>
      <c r="I405" s="0" t="n">
        <v>15.38</v>
      </c>
      <c r="J405" s="0" t="n">
        <v>5.65</v>
      </c>
      <c r="K405" s="0" t="n">
        <v>1.38</v>
      </c>
      <c r="L405" s="0" t="n">
        <v>1.45</v>
      </c>
      <c r="M405" s="0" t="n">
        <v>0.27</v>
      </c>
      <c r="N405" s="0" t="n">
        <v>0</v>
      </c>
      <c r="O405" s="0" t="n">
        <v>494.56</v>
      </c>
    </row>
    <row r="406" customFormat="false" ht="15" hidden="false" customHeight="false" outlineLevel="0" collapsed="false">
      <c r="A406" s="0" t="s">
        <v>209</v>
      </c>
      <c r="B406" s="0" t="s">
        <v>447</v>
      </c>
      <c r="C406" s="0" t="n">
        <v>2016</v>
      </c>
      <c r="D406" s="0" t="n">
        <v>7127436</v>
      </c>
      <c r="E406" s="0" t="n">
        <v>44.53</v>
      </c>
      <c r="F406" s="0" t="n">
        <v>19.37</v>
      </c>
      <c r="G406" s="0" t="n">
        <v>2.05</v>
      </c>
      <c r="H406" s="0" t="n">
        <v>0.29</v>
      </c>
      <c r="I406" s="0" t="n">
        <v>15.78</v>
      </c>
      <c r="J406" s="0" t="n">
        <v>3.88</v>
      </c>
      <c r="K406" s="0" t="n">
        <v>1.39</v>
      </c>
      <c r="L406" s="0" t="n">
        <v>1.42</v>
      </c>
      <c r="M406" s="0" t="n">
        <v>0.35</v>
      </c>
      <c r="N406" s="0" t="n">
        <v>0</v>
      </c>
      <c r="O406" s="0" t="n">
        <v>472.04</v>
      </c>
    </row>
    <row r="407" customFormat="false" ht="15" hidden="false" customHeight="false" outlineLevel="0" collapsed="false">
      <c r="A407" s="0" t="s">
        <v>209</v>
      </c>
      <c r="B407" s="0" t="s">
        <v>447</v>
      </c>
      <c r="C407" s="0" t="n">
        <v>2017</v>
      </c>
      <c r="D407" s="0" t="n">
        <v>7075642</v>
      </c>
      <c r="E407" s="0" t="n">
        <v>44.84</v>
      </c>
      <c r="F407" s="0" t="n">
        <v>20.92</v>
      </c>
      <c r="G407" s="0" t="n">
        <v>1.93</v>
      </c>
      <c r="H407" s="0" t="n">
        <v>0.31</v>
      </c>
      <c r="I407" s="0" t="n">
        <v>15.55</v>
      </c>
      <c r="J407" s="0" t="n">
        <v>2.83</v>
      </c>
      <c r="K407" s="0" t="n">
        <v>1.4</v>
      </c>
      <c r="L407" s="0" t="n">
        <v>1.5</v>
      </c>
      <c r="M407" s="0" t="n">
        <v>0.4</v>
      </c>
      <c r="N407" s="0" t="n">
        <v>0</v>
      </c>
      <c r="O407" s="0" t="n">
        <v>502.9</v>
      </c>
    </row>
    <row r="408" customFormat="false" ht="15" hidden="false" customHeight="false" outlineLevel="0" collapsed="false">
      <c r="A408" s="0" t="s">
        <v>209</v>
      </c>
      <c r="B408" s="0" t="s">
        <v>447</v>
      </c>
      <c r="C408" s="0" t="n">
        <v>2018</v>
      </c>
      <c r="D408" s="0" t="n">
        <v>7024745</v>
      </c>
      <c r="E408" s="0" t="n">
        <v>46.51</v>
      </c>
      <c r="F408" s="0" t="n">
        <v>18.66</v>
      </c>
      <c r="G408" s="0" t="n">
        <v>2.02</v>
      </c>
      <c r="H408" s="0" t="n">
        <v>0.32</v>
      </c>
      <c r="I408" s="0" t="n">
        <v>16.13</v>
      </c>
      <c r="J408" s="0" t="n">
        <v>5.15</v>
      </c>
      <c r="K408" s="0" t="n">
        <v>1.34</v>
      </c>
      <c r="L408" s="0" t="n">
        <v>1.32</v>
      </c>
      <c r="M408" s="0" t="n">
        <v>1.57</v>
      </c>
      <c r="N408" s="0" t="n">
        <v>0</v>
      </c>
      <c r="O408" s="0" t="n">
        <v>442.7</v>
      </c>
    </row>
    <row r="409" customFormat="false" ht="15" hidden="false" customHeight="false" outlineLevel="0" collapsed="false">
      <c r="A409" s="0" t="s">
        <v>209</v>
      </c>
      <c r="B409" s="0" t="s">
        <v>447</v>
      </c>
      <c r="C409" s="0" t="n">
        <v>2019</v>
      </c>
      <c r="D409" s="0" t="n">
        <v>6975466</v>
      </c>
      <c r="E409" s="0" t="n">
        <v>43.72</v>
      </c>
      <c r="F409" s="0" t="n">
        <v>17.2</v>
      </c>
      <c r="G409" s="0" t="n">
        <v>2.15</v>
      </c>
      <c r="H409" s="0" t="n">
        <v>0.32</v>
      </c>
      <c r="I409" s="0" t="n">
        <v>16.56</v>
      </c>
      <c r="J409" s="0" t="n">
        <v>2.93</v>
      </c>
      <c r="K409" s="0" t="n">
        <v>1.42</v>
      </c>
      <c r="L409" s="0" t="n">
        <v>1.32</v>
      </c>
      <c r="M409" s="0" t="n">
        <v>1.82</v>
      </c>
      <c r="N409" s="0" t="n">
        <v>0</v>
      </c>
      <c r="O409" s="0" t="n">
        <v>438.7</v>
      </c>
    </row>
    <row r="410" customFormat="false" ht="15" hidden="false" customHeight="false" outlineLevel="0" collapsed="false">
      <c r="A410" s="0" t="s">
        <v>209</v>
      </c>
      <c r="B410" s="0" t="s">
        <v>447</v>
      </c>
      <c r="C410" s="0" t="n">
        <v>2020</v>
      </c>
      <c r="D410" s="0" t="n">
        <v>6933656</v>
      </c>
      <c r="E410" s="0" t="n">
        <v>40.14</v>
      </c>
      <c r="F410" s="0" t="n">
        <v>13.51</v>
      </c>
      <c r="G410" s="0" t="n">
        <v>2.29</v>
      </c>
      <c r="H410" s="0" t="n">
        <v>0.24</v>
      </c>
      <c r="I410" s="0" t="n">
        <v>16.63</v>
      </c>
      <c r="J410" s="0" t="n">
        <v>2.82</v>
      </c>
      <c r="K410" s="0" t="n">
        <v>1.47</v>
      </c>
      <c r="L410" s="0" t="n">
        <v>1.48</v>
      </c>
      <c r="M410" s="0" t="n">
        <v>1.7</v>
      </c>
      <c r="N410" s="0" t="n">
        <v>0</v>
      </c>
      <c r="O410" s="0" t="n">
        <v>383.91</v>
      </c>
    </row>
    <row r="411" customFormat="false" ht="15" hidden="false" customHeight="false" outlineLevel="0" collapsed="false">
      <c r="A411" s="0" t="s">
        <v>209</v>
      </c>
      <c r="B411" s="0" t="s">
        <v>447</v>
      </c>
      <c r="C411" s="0" t="n">
        <v>2021</v>
      </c>
      <c r="D411" s="0" t="n">
        <v>6877222</v>
      </c>
      <c r="E411" s="0" t="n">
        <v>47.22</v>
      </c>
      <c r="F411" s="0" t="n">
        <v>17.09</v>
      </c>
      <c r="G411" s="0" t="n">
        <v>3.05</v>
      </c>
      <c r="H411" s="0" t="n">
        <v>0.28</v>
      </c>
      <c r="I411" s="0" t="n">
        <v>16.49</v>
      </c>
      <c r="J411" s="0" t="n">
        <v>4.82</v>
      </c>
      <c r="K411" s="0" t="n">
        <v>1.47</v>
      </c>
      <c r="L411" s="0" t="n">
        <v>1.43</v>
      </c>
      <c r="M411" s="0" t="n">
        <v>2.59</v>
      </c>
      <c r="N411" s="0" t="n">
        <v>0</v>
      </c>
      <c r="O411" s="0" t="n">
        <v>415.29</v>
      </c>
    </row>
    <row r="412" customFormat="false" ht="15" hidden="false" customHeight="false" outlineLevel="0" collapsed="false">
      <c r="A412" s="0" t="s">
        <v>209</v>
      </c>
      <c r="B412" s="0" t="s">
        <v>447</v>
      </c>
      <c r="C412" s="0" t="n">
        <v>2022</v>
      </c>
      <c r="D412" s="0" t="n">
        <v>6825862</v>
      </c>
      <c r="E412" s="0" t="n">
        <v>50.28</v>
      </c>
      <c r="F412" s="0" t="n">
        <v>21.79</v>
      </c>
      <c r="G412" s="0" t="n">
        <v>2.05</v>
      </c>
      <c r="H412" s="0" t="n">
        <v>0.35</v>
      </c>
      <c r="I412" s="0" t="n">
        <v>16.46</v>
      </c>
      <c r="J412" s="0" t="n">
        <v>3.8</v>
      </c>
      <c r="K412" s="0" t="n">
        <v>2.09</v>
      </c>
      <c r="L412" s="0" t="n">
        <v>1.5</v>
      </c>
      <c r="M412" s="0" t="n">
        <v>2.24</v>
      </c>
      <c r="N412" s="0" t="n">
        <v>0</v>
      </c>
      <c r="O412" s="0" t="n">
        <v>476.33</v>
      </c>
    </row>
    <row r="413" customFormat="false" ht="15" hidden="false" customHeight="false" outlineLevel="0" collapsed="false">
      <c r="A413" s="0" t="s">
        <v>209</v>
      </c>
      <c r="B413" s="0" t="s">
        <v>447</v>
      </c>
      <c r="C413" s="0" t="n">
        <v>2023</v>
      </c>
      <c r="D413" s="0" t="n">
        <v>6795805</v>
      </c>
      <c r="E413" s="0" t="n">
        <v>40.08</v>
      </c>
      <c r="F413" s="0" t="n">
        <v>11.73</v>
      </c>
      <c r="G413" s="0" t="n">
        <v>1.94</v>
      </c>
      <c r="H413" s="0" t="n">
        <v>0.2</v>
      </c>
      <c r="I413" s="0" t="n">
        <v>16.16</v>
      </c>
      <c r="J413" s="0" t="n">
        <v>3.08</v>
      </c>
      <c r="K413" s="0" t="n">
        <v>3.52</v>
      </c>
      <c r="L413" s="0" t="n">
        <v>1.58</v>
      </c>
      <c r="M413" s="0" t="n">
        <v>1.87</v>
      </c>
      <c r="N413" s="0" t="n">
        <v>0</v>
      </c>
      <c r="O413" s="0" t="n">
        <v>338.32</v>
      </c>
    </row>
    <row r="414" customFormat="false" ht="15" hidden="false" customHeight="false" outlineLevel="0" collapsed="false">
      <c r="A414" s="0" t="s">
        <v>209</v>
      </c>
      <c r="B414" s="0" t="s">
        <v>447</v>
      </c>
      <c r="C414" s="0" t="n">
        <v>2024</v>
      </c>
      <c r="D414" s="0" t="n">
        <v>6757686</v>
      </c>
      <c r="E414" s="0" t="n">
        <v>38.3</v>
      </c>
      <c r="F414" s="0" t="n">
        <v>8.76</v>
      </c>
      <c r="G414" s="0" t="n">
        <v>2.04</v>
      </c>
      <c r="H414" s="0" t="n">
        <v>0.26</v>
      </c>
      <c r="I414" s="0" t="n">
        <v>15.78</v>
      </c>
      <c r="J414" s="0" t="n">
        <v>2.79</v>
      </c>
      <c r="K414" s="0" t="n">
        <v>5.49</v>
      </c>
      <c r="L414" s="0" t="n">
        <v>1.46</v>
      </c>
      <c r="M414" s="0" t="n">
        <v>1.72</v>
      </c>
      <c r="N414" s="0" t="n">
        <v>0</v>
      </c>
      <c r="O414" s="0" t="n">
        <v>278.85</v>
      </c>
    </row>
    <row r="415" customFormat="false" ht="15" hidden="false" customHeight="false" outlineLevel="0" collapsed="false">
      <c r="A415" s="0" t="s">
        <v>209</v>
      </c>
      <c r="B415" s="0" t="s">
        <v>447</v>
      </c>
      <c r="C415" s="0" t="n">
        <v>2025</v>
      </c>
      <c r="D415" s="0" t="n">
        <v>6714556</v>
      </c>
      <c r="E415" s="0" t="n">
        <v>37.96</v>
      </c>
      <c r="F415" s="0" t="n">
        <v>8.55</v>
      </c>
      <c r="G415" s="0" t="n">
        <v>1.85</v>
      </c>
      <c r="H415" s="0" t="n">
        <v>0.26</v>
      </c>
      <c r="I415" s="0" t="n">
        <v>14.85</v>
      </c>
      <c r="J415" s="0" t="n">
        <v>2.53</v>
      </c>
      <c r="K415" s="0" t="n">
        <v>6.89</v>
      </c>
      <c r="L415" s="0" t="n">
        <v>1.32</v>
      </c>
      <c r="M415" s="0" t="n">
        <v>1.71</v>
      </c>
      <c r="N415" s="0" t="n">
        <v>0</v>
      </c>
      <c r="O415" s="0" t="n">
        <v>275.55</v>
      </c>
    </row>
    <row r="416" customFormat="false" ht="15" hidden="false" customHeight="false" outlineLevel="0" collapsed="false">
      <c r="A416" s="0" t="s">
        <v>210</v>
      </c>
      <c r="B416" s="0" t="s">
        <v>448</v>
      </c>
      <c r="C416" s="0" t="n">
        <v>2015</v>
      </c>
      <c r="D416" s="0" t="n">
        <v>18777488</v>
      </c>
      <c r="E416" s="0" t="n">
        <v>1.01</v>
      </c>
      <c r="F416" s="0" t="n">
        <v>0</v>
      </c>
      <c r="G416" s="0" t="n">
        <v>0</v>
      </c>
      <c r="H416" s="0" t="n">
        <v>0.91</v>
      </c>
      <c r="I416" s="0" t="n">
        <v>0</v>
      </c>
      <c r="J416" s="0" t="n">
        <v>0.09</v>
      </c>
      <c r="K416" s="0" t="n">
        <v>0.01</v>
      </c>
      <c r="L416" s="0" t="n">
        <v>0</v>
      </c>
      <c r="M416" s="0" t="n">
        <v>0</v>
      </c>
      <c r="N416" s="0" t="n">
        <v>0</v>
      </c>
      <c r="O416" s="0" t="n">
        <v>594.06</v>
      </c>
    </row>
    <row r="417" customFormat="false" ht="15" hidden="false" customHeight="false" outlineLevel="0" collapsed="false">
      <c r="A417" s="0" t="s">
        <v>210</v>
      </c>
      <c r="B417" s="0" t="s">
        <v>448</v>
      </c>
      <c r="C417" s="0" t="n">
        <v>2016</v>
      </c>
      <c r="D417" s="0" t="n">
        <v>19334854</v>
      </c>
      <c r="E417" s="0" t="n">
        <v>0.99</v>
      </c>
      <c r="F417" s="0" t="n">
        <v>0</v>
      </c>
      <c r="G417" s="0" t="n">
        <v>0</v>
      </c>
      <c r="H417" s="0" t="n">
        <v>0.83</v>
      </c>
      <c r="I417" s="0" t="n">
        <v>0</v>
      </c>
      <c r="J417" s="0" t="n">
        <v>0.14</v>
      </c>
      <c r="K417" s="0" t="n">
        <v>0.02</v>
      </c>
      <c r="L417" s="0" t="n">
        <v>0</v>
      </c>
      <c r="M417" s="0" t="n">
        <v>0</v>
      </c>
      <c r="N417" s="0" t="n">
        <v>0</v>
      </c>
      <c r="O417" s="0" t="n">
        <v>555.56</v>
      </c>
    </row>
    <row r="418" customFormat="false" ht="15" hidden="false" customHeight="false" outlineLevel="0" collapsed="false">
      <c r="A418" s="0" t="s">
        <v>210</v>
      </c>
      <c r="B418" s="0" t="s">
        <v>448</v>
      </c>
      <c r="C418" s="0" t="n">
        <v>2017</v>
      </c>
      <c r="D418" s="0" t="n">
        <v>19894413</v>
      </c>
      <c r="E418" s="0" t="n">
        <v>1.12</v>
      </c>
      <c r="F418" s="0" t="n">
        <v>0</v>
      </c>
      <c r="G418" s="0" t="n">
        <v>0</v>
      </c>
      <c r="H418" s="0" t="n">
        <v>0.96</v>
      </c>
      <c r="I418" s="0" t="n">
        <v>0</v>
      </c>
      <c r="J418" s="0" t="n">
        <v>0.13</v>
      </c>
      <c r="K418" s="0" t="n">
        <v>0.03</v>
      </c>
      <c r="L418" s="0" t="n">
        <v>0</v>
      </c>
      <c r="M418" s="0" t="n">
        <v>0</v>
      </c>
      <c r="N418" s="0" t="n">
        <v>0</v>
      </c>
      <c r="O418" s="0" t="n">
        <v>562.5</v>
      </c>
    </row>
    <row r="419" customFormat="false" ht="15" hidden="false" customHeight="false" outlineLevel="0" collapsed="false">
      <c r="A419" s="0" t="s">
        <v>210</v>
      </c>
      <c r="B419" s="0" t="s">
        <v>448</v>
      </c>
      <c r="C419" s="0" t="n">
        <v>2018</v>
      </c>
      <c r="D419" s="0" t="n">
        <v>20438289</v>
      </c>
      <c r="E419" s="0" t="n">
        <v>1.87</v>
      </c>
      <c r="F419" s="0" t="n">
        <v>0</v>
      </c>
      <c r="G419" s="0" t="n">
        <v>0</v>
      </c>
      <c r="H419" s="0" t="n">
        <v>1.6</v>
      </c>
      <c r="I419" s="0" t="n">
        <v>0</v>
      </c>
      <c r="J419" s="0" t="n">
        <v>0.13</v>
      </c>
      <c r="K419" s="0" t="n">
        <v>0.09</v>
      </c>
      <c r="L419" s="0" t="n">
        <v>0</v>
      </c>
      <c r="M419" s="0" t="n">
        <v>0.05</v>
      </c>
      <c r="N419" s="0" t="n">
        <v>0</v>
      </c>
      <c r="O419" s="0" t="n">
        <v>566.85</v>
      </c>
    </row>
    <row r="420" customFormat="false" ht="15" hidden="false" customHeight="false" outlineLevel="0" collapsed="false">
      <c r="A420" s="0" t="s">
        <v>210</v>
      </c>
      <c r="B420" s="0" t="s">
        <v>448</v>
      </c>
      <c r="C420" s="0" t="n">
        <v>2019</v>
      </c>
      <c r="D420" s="0" t="n">
        <v>20961956</v>
      </c>
      <c r="E420" s="0" t="n">
        <v>1.6</v>
      </c>
      <c r="F420" s="0" t="n">
        <v>0</v>
      </c>
      <c r="G420" s="0" t="n">
        <v>0</v>
      </c>
      <c r="H420" s="0" t="n">
        <v>1.34</v>
      </c>
      <c r="I420" s="0" t="n">
        <v>0</v>
      </c>
      <c r="J420" s="0" t="n">
        <v>0.11</v>
      </c>
      <c r="K420" s="0" t="n">
        <v>0.09</v>
      </c>
      <c r="L420" s="0" t="n">
        <v>0</v>
      </c>
      <c r="M420" s="0" t="n">
        <v>0.06</v>
      </c>
      <c r="N420" s="0" t="n">
        <v>0</v>
      </c>
      <c r="O420" s="0" t="n">
        <v>556.25</v>
      </c>
    </row>
    <row r="421" customFormat="false" ht="15" hidden="false" customHeight="false" outlineLevel="0" collapsed="false">
      <c r="A421" s="0" t="s">
        <v>210</v>
      </c>
      <c r="B421" s="0" t="s">
        <v>448</v>
      </c>
      <c r="C421" s="0" t="n">
        <v>2020</v>
      </c>
      <c r="D421" s="0" t="n">
        <v>21478691</v>
      </c>
      <c r="E421" s="0" t="n">
        <v>1.59</v>
      </c>
      <c r="F421" s="0" t="n">
        <v>0</v>
      </c>
      <c r="G421" s="0" t="n">
        <v>0</v>
      </c>
      <c r="H421" s="0" t="n">
        <v>1.29</v>
      </c>
      <c r="I421" s="0" t="n">
        <v>0</v>
      </c>
      <c r="J421" s="0" t="n">
        <v>0.11</v>
      </c>
      <c r="K421" s="0" t="n">
        <v>0.09</v>
      </c>
      <c r="L421" s="0" t="n">
        <v>0</v>
      </c>
      <c r="M421" s="0" t="n">
        <v>0.1</v>
      </c>
      <c r="N421" s="0" t="n">
        <v>0</v>
      </c>
      <c r="O421" s="0" t="n">
        <v>547.17</v>
      </c>
    </row>
    <row r="422" customFormat="false" ht="15" hidden="false" customHeight="false" outlineLevel="0" collapsed="false">
      <c r="A422" s="0" t="s">
        <v>210</v>
      </c>
      <c r="B422" s="0" t="s">
        <v>448</v>
      </c>
      <c r="C422" s="0" t="n">
        <v>2021</v>
      </c>
      <c r="D422" s="0" t="n">
        <v>21995249</v>
      </c>
      <c r="E422" s="0" t="n">
        <v>1.71</v>
      </c>
      <c r="F422" s="0" t="n">
        <v>0</v>
      </c>
      <c r="G422" s="0" t="n">
        <v>0</v>
      </c>
      <c r="H422" s="0" t="n">
        <v>1.4</v>
      </c>
      <c r="I422" s="0" t="n">
        <v>0</v>
      </c>
      <c r="J422" s="0" t="n">
        <v>0.13</v>
      </c>
      <c r="K422" s="0" t="n">
        <v>0.09</v>
      </c>
      <c r="L422" s="0" t="n">
        <v>0</v>
      </c>
      <c r="M422" s="0" t="n">
        <v>0.09</v>
      </c>
      <c r="N422" s="0" t="n">
        <v>0</v>
      </c>
      <c r="O422" s="0" t="n">
        <v>549.71</v>
      </c>
    </row>
    <row r="423" customFormat="false" ht="15" hidden="false" customHeight="false" outlineLevel="0" collapsed="false">
      <c r="A423" s="0" t="s">
        <v>210</v>
      </c>
      <c r="B423" s="0" t="s">
        <v>448</v>
      </c>
      <c r="C423" s="0" t="n">
        <v>2022</v>
      </c>
      <c r="D423" s="0" t="n">
        <v>22509038</v>
      </c>
      <c r="E423" s="0" t="n">
        <v>1.69</v>
      </c>
      <c r="F423" s="0" t="n">
        <v>0</v>
      </c>
      <c r="G423" s="0" t="n">
        <v>0</v>
      </c>
      <c r="H423" s="0" t="n">
        <v>1.43</v>
      </c>
      <c r="I423" s="0" t="n">
        <v>0</v>
      </c>
      <c r="J423" s="0" t="n">
        <v>0.08</v>
      </c>
      <c r="K423" s="0" t="n">
        <v>0.09</v>
      </c>
      <c r="L423" s="0" t="n">
        <v>0</v>
      </c>
      <c r="M423" s="0" t="n">
        <v>0.09</v>
      </c>
      <c r="N423" s="0" t="n">
        <v>0</v>
      </c>
      <c r="O423" s="0" t="n">
        <v>568.05</v>
      </c>
    </row>
    <row r="424" customFormat="false" ht="15" hidden="false" customHeight="false" outlineLevel="0" collapsed="false">
      <c r="A424" s="0" t="s">
        <v>210</v>
      </c>
      <c r="B424" s="0" t="s">
        <v>448</v>
      </c>
      <c r="C424" s="0" t="n">
        <v>2023</v>
      </c>
      <c r="D424" s="0" t="n">
        <v>23025777</v>
      </c>
      <c r="E424" s="0" t="n">
        <v>1.69</v>
      </c>
      <c r="F424" s="0" t="n">
        <v>0</v>
      </c>
      <c r="G424" s="0" t="n">
        <v>0</v>
      </c>
      <c r="H424" s="0" t="n">
        <v>1.42</v>
      </c>
      <c r="I424" s="0" t="n">
        <v>0</v>
      </c>
      <c r="J424" s="0" t="n">
        <v>0.09</v>
      </c>
      <c r="K424" s="0" t="n">
        <v>0.09</v>
      </c>
      <c r="L424" s="0" t="n">
        <v>0</v>
      </c>
      <c r="M424" s="0" t="n">
        <v>0.09</v>
      </c>
      <c r="N424" s="0" t="n">
        <v>0</v>
      </c>
      <c r="O424" s="0" t="n">
        <v>562.13</v>
      </c>
    </row>
    <row r="425" customFormat="false" ht="15" hidden="false" customHeight="false" outlineLevel="0" collapsed="false">
      <c r="A425" s="0" t="s">
        <v>210</v>
      </c>
      <c r="B425" s="0" t="s">
        <v>448</v>
      </c>
      <c r="C425" s="0" t="n">
        <v>2024</v>
      </c>
      <c r="D425" s="0" t="n">
        <v>23548782</v>
      </c>
      <c r="E425" s="0" t="n">
        <v>1.69</v>
      </c>
      <c r="F425" s="0" t="n">
        <v>0</v>
      </c>
      <c r="G425" s="0" t="n">
        <v>0</v>
      </c>
      <c r="H425" s="0" t="n">
        <v>1.4</v>
      </c>
      <c r="I425" s="0" t="n">
        <v>0</v>
      </c>
      <c r="J425" s="0" t="n">
        <v>0.09</v>
      </c>
      <c r="K425" s="0" t="n">
        <v>0.11</v>
      </c>
      <c r="L425" s="0" t="n">
        <v>0</v>
      </c>
      <c r="M425" s="0" t="n">
        <v>0.09</v>
      </c>
      <c r="N425" s="0" t="n">
        <v>0</v>
      </c>
      <c r="O425" s="0" t="n">
        <v>562.13</v>
      </c>
    </row>
    <row r="426" customFormat="false" ht="15" hidden="false" customHeight="false" outlineLevel="0" collapsed="false">
      <c r="A426" s="0" t="s">
        <v>211</v>
      </c>
      <c r="B426" s="0" t="s">
        <v>449</v>
      </c>
      <c r="C426" s="0" t="n">
        <v>2015</v>
      </c>
      <c r="D426" s="0" t="n">
        <v>11047581</v>
      </c>
      <c r="E426" s="0" t="n">
        <v>0.18</v>
      </c>
      <c r="F426" s="0" t="n">
        <v>0</v>
      </c>
      <c r="G426" s="0" t="n">
        <v>0</v>
      </c>
      <c r="H426" s="0" t="n">
        <v>0.03</v>
      </c>
      <c r="I426" s="0" t="n">
        <v>0</v>
      </c>
      <c r="J426" s="0" t="n">
        <v>0.14</v>
      </c>
      <c r="K426" s="0" t="n">
        <v>0</v>
      </c>
      <c r="L426" s="0" t="n">
        <v>0</v>
      </c>
      <c r="M426" s="0" t="n">
        <v>0.01</v>
      </c>
      <c r="N426" s="0" t="n">
        <v>0</v>
      </c>
      <c r="O426" s="0" t="n">
        <v>111.11</v>
      </c>
    </row>
    <row r="427" customFormat="false" ht="15" hidden="false" customHeight="false" outlineLevel="0" collapsed="false">
      <c r="A427" s="0" t="s">
        <v>211</v>
      </c>
      <c r="B427" s="0" t="s">
        <v>449</v>
      </c>
      <c r="C427" s="0" t="n">
        <v>2016</v>
      </c>
      <c r="D427" s="0" t="n">
        <v>11239459</v>
      </c>
      <c r="E427" s="0" t="n">
        <v>0.18</v>
      </c>
      <c r="F427" s="0" t="n">
        <v>0</v>
      </c>
      <c r="G427" s="0" t="n">
        <v>0</v>
      </c>
      <c r="H427" s="0" t="n">
        <v>0.02</v>
      </c>
      <c r="I427" s="0" t="n">
        <v>0</v>
      </c>
      <c r="J427" s="0" t="n">
        <v>0.14</v>
      </c>
      <c r="K427" s="0" t="n">
        <v>0.01</v>
      </c>
      <c r="L427" s="0" t="n">
        <v>0</v>
      </c>
      <c r="M427" s="0" t="n">
        <v>0.01</v>
      </c>
      <c r="N427" s="0" t="n">
        <v>0</v>
      </c>
      <c r="O427" s="0" t="n">
        <v>55.56</v>
      </c>
    </row>
    <row r="428" customFormat="false" ht="15" hidden="false" customHeight="false" outlineLevel="0" collapsed="false">
      <c r="A428" s="0" t="s">
        <v>211</v>
      </c>
      <c r="B428" s="0" t="s">
        <v>449</v>
      </c>
      <c r="C428" s="0" t="n">
        <v>2017</v>
      </c>
      <c r="D428" s="0" t="n">
        <v>11506764</v>
      </c>
      <c r="E428" s="0" t="n">
        <v>0.28</v>
      </c>
      <c r="F428" s="0" t="n">
        <v>0</v>
      </c>
      <c r="G428" s="0" t="n">
        <v>0</v>
      </c>
      <c r="H428" s="0" t="n">
        <v>0.07</v>
      </c>
      <c r="I428" s="0" t="n">
        <v>0</v>
      </c>
      <c r="J428" s="0" t="n">
        <v>0.19</v>
      </c>
      <c r="K428" s="0" t="n">
        <v>0.01</v>
      </c>
      <c r="L428" s="0" t="n">
        <v>0</v>
      </c>
      <c r="M428" s="0" t="n">
        <v>0.01</v>
      </c>
      <c r="N428" s="0" t="n">
        <v>0</v>
      </c>
      <c r="O428" s="0" t="n">
        <v>178.57</v>
      </c>
    </row>
    <row r="429" customFormat="false" ht="15" hidden="false" customHeight="false" outlineLevel="0" collapsed="false">
      <c r="A429" s="0" t="s">
        <v>211</v>
      </c>
      <c r="B429" s="0" t="s">
        <v>449</v>
      </c>
      <c r="C429" s="0" t="n">
        <v>2018</v>
      </c>
      <c r="D429" s="0" t="n">
        <v>11859444</v>
      </c>
      <c r="E429" s="0" t="n">
        <v>0.35</v>
      </c>
      <c r="F429" s="0" t="n">
        <v>0</v>
      </c>
      <c r="G429" s="0" t="n">
        <v>0</v>
      </c>
      <c r="H429" s="0" t="n">
        <v>0.1</v>
      </c>
      <c r="I429" s="0" t="n">
        <v>0</v>
      </c>
      <c r="J429" s="0" t="n">
        <v>0.24</v>
      </c>
      <c r="K429" s="0" t="n">
        <v>0</v>
      </c>
      <c r="L429" s="0" t="n">
        <v>0</v>
      </c>
      <c r="M429" s="0" t="n">
        <v>0.01</v>
      </c>
      <c r="N429" s="0" t="n">
        <v>0</v>
      </c>
      <c r="O429" s="0" t="n">
        <v>228.57</v>
      </c>
    </row>
    <row r="430" customFormat="false" ht="15" hidden="false" customHeight="false" outlineLevel="0" collapsed="false">
      <c r="A430" s="0" t="s">
        <v>211</v>
      </c>
      <c r="B430" s="0" t="s">
        <v>449</v>
      </c>
      <c r="C430" s="0" t="n">
        <v>2019</v>
      </c>
      <c r="D430" s="0" t="n">
        <v>12255339</v>
      </c>
      <c r="E430" s="0" t="n">
        <v>0.39</v>
      </c>
      <c r="F430" s="0" t="n">
        <v>0</v>
      </c>
      <c r="G430" s="0" t="n">
        <v>0</v>
      </c>
      <c r="H430" s="0" t="n">
        <v>0.12</v>
      </c>
      <c r="I430" s="0" t="n">
        <v>0</v>
      </c>
      <c r="J430" s="0" t="n">
        <v>0.26</v>
      </c>
      <c r="K430" s="0" t="n">
        <v>0</v>
      </c>
      <c r="L430" s="0" t="n">
        <v>0</v>
      </c>
      <c r="M430" s="0" t="n">
        <v>0.01</v>
      </c>
      <c r="N430" s="0" t="n">
        <v>0</v>
      </c>
      <c r="O430" s="0" t="n">
        <v>230.77</v>
      </c>
    </row>
    <row r="431" customFormat="false" ht="15" hidden="false" customHeight="false" outlineLevel="0" collapsed="false">
      <c r="A431" s="0" t="s">
        <v>211</v>
      </c>
      <c r="B431" s="0" t="s">
        <v>449</v>
      </c>
      <c r="C431" s="0" t="n">
        <v>2020</v>
      </c>
      <c r="D431" s="0" t="n">
        <v>12617041</v>
      </c>
      <c r="E431" s="0" t="n">
        <v>0.37</v>
      </c>
      <c r="F431" s="0" t="n">
        <v>0</v>
      </c>
      <c r="G431" s="0" t="n">
        <v>0</v>
      </c>
      <c r="H431" s="0" t="n">
        <v>0.09</v>
      </c>
      <c r="I431" s="0" t="n">
        <v>0</v>
      </c>
      <c r="J431" s="0" t="n">
        <v>0.27</v>
      </c>
      <c r="K431" s="0" t="n">
        <v>0</v>
      </c>
      <c r="L431" s="0" t="n">
        <v>0</v>
      </c>
      <c r="M431" s="0" t="n">
        <v>0.01</v>
      </c>
      <c r="N431" s="0" t="n">
        <v>0</v>
      </c>
      <c r="O431" s="0" t="n">
        <v>189.19</v>
      </c>
    </row>
    <row r="432" customFormat="false" ht="15" hidden="false" customHeight="false" outlineLevel="0" collapsed="false">
      <c r="A432" s="0" t="s">
        <v>211</v>
      </c>
      <c r="B432" s="0" t="s">
        <v>449</v>
      </c>
      <c r="C432" s="0" t="n">
        <v>2021</v>
      </c>
      <c r="D432" s="0" t="n">
        <v>12965487</v>
      </c>
      <c r="E432" s="0" t="n">
        <v>0.39</v>
      </c>
      <c r="F432" s="0" t="n">
        <v>0</v>
      </c>
      <c r="G432" s="0" t="n">
        <v>0</v>
      </c>
      <c r="H432" s="0" t="n">
        <v>0.12</v>
      </c>
      <c r="I432" s="0" t="n">
        <v>0</v>
      </c>
      <c r="J432" s="0" t="n">
        <v>0.26</v>
      </c>
      <c r="K432" s="0" t="n">
        <v>0</v>
      </c>
      <c r="L432" s="0" t="n">
        <v>0</v>
      </c>
      <c r="M432" s="0" t="n">
        <v>0.01</v>
      </c>
      <c r="N432" s="0" t="n">
        <v>0</v>
      </c>
      <c r="O432" s="0" t="n">
        <v>230.77</v>
      </c>
    </row>
    <row r="433" customFormat="false" ht="15" hidden="false" customHeight="false" outlineLevel="0" collapsed="false">
      <c r="A433" s="0" t="s">
        <v>211</v>
      </c>
      <c r="B433" s="0" t="s">
        <v>449</v>
      </c>
      <c r="C433" s="0" t="n">
        <v>2022</v>
      </c>
      <c r="D433" s="0" t="n">
        <v>13321102</v>
      </c>
      <c r="E433" s="0" t="n">
        <v>0.39</v>
      </c>
      <c r="F433" s="0" t="n">
        <v>0</v>
      </c>
      <c r="G433" s="0" t="n">
        <v>0</v>
      </c>
      <c r="H433" s="0" t="n">
        <v>0.12</v>
      </c>
      <c r="I433" s="0" t="n">
        <v>0</v>
      </c>
      <c r="J433" s="0" t="n">
        <v>0.26</v>
      </c>
      <c r="K433" s="0" t="n">
        <v>0</v>
      </c>
      <c r="L433" s="0" t="n">
        <v>0</v>
      </c>
      <c r="M433" s="0" t="n">
        <v>0.01</v>
      </c>
      <c r="N433" s="0" t="n">
        <v>0</v>
      </c>
      <c r="O433" s="0" t="n">
        <v>230.77</v>
      </c>
    </row>
    <row r="434" customFormat="false" ht="15" hidden="false" customHeight="false" outlineLevel="0" collapsed="false">
      <c r="A434" s="0" t="s">
        <v>211</v>
      </c>
      <c r="B434" s="0" t="s">
        <v>449</v>
      </c>
      <c r="C434" s="0" t="n">
        <v>2023</v>
      </c>
      <c r="D434" s="0" t="n">
        <v>13689455</v>
      </c>
      <c r="E434" s="0" t="n">
        <v>0.5</v>
      </c>
      <c r="F434" s="0" t="n">
        <v>0</v>
      </c>
      <c r="G434" s="0" t="n">
        <v>0</v>
      </c>
      <c r="H434" s="0" t="n">
        <v>0.12</v>
      </c>
      <c r="I434" s="0" t="n">
        <v>0</v>
      </c>
      <c r="J434" s="0" t="n">
        <v>0.37</v>
      </c>
      <c r="K434" s="0" t="n">
        <v>0</v>
      </c>
      <c r="L434" s="0" t="n">
        <v>0</v>
      </c>
      <c r="M434" s="0" t="n">
        <v>0.01</v>
      </c>
      <c r="N434" s="0" t="n">
        <v>0</v>
      </c>
      <c r="O434" s="0" t="n">
        <v>180</v>
      </c>
    </row>
    <row r="435" customFormat="false" ht="15" hidden="false" customHeight="false" outlineLevel="0" collapsed="false">
      <c r="A435" s="0" t="s">
        <v>211</v>
      </c>
      <c r="B435" s="0" t="s">
        <v>449</v>
      </c>
      <c r="C435" s="0" t="n">
        <v>2024</v>
      </c>
      <c r="D435" s="0" t="n">
        <v>14047788</v>
      </c>
      <c r="E435" s="0" t="n">
        <v>0.49</v>
      </c>
      <c r="F435" s="0" t="n">
        <v>0</v>
      </c>
      <c r="G435" s="0" t="n">
        <v>0</v>
      </c>
      <c r="H435" s="0" t="n">
        <v>0.12</v>
      </c>
      <c r="I435" s="0" t="n">
        <v>0</v>
      </c>
      <c r="J435" s="0" t="n">
        <v>0.36</v>
      </c>
      <c r="K435" s="0" t="n">
        <v>0</v>
      </c>
      <c r="L435" s="0" t="n">
        <v>0</v>
      </c>
      <c r="M435" s="0" t="n">
        <v>0.01</v>
      </c>
      <c r="N435" s="0" t="n">
        <v>0</v>
      </c>
      <c r="O435" s="0" t="n">
        <v>183.67</v>
      </c>
    </row>
    <row r="436" customFormat="false" ht="15" hidden="false" customHeight="false" outlineLevel="0" collapsed="false">
      <c r="A436" s="0" t="s">
        <v>660</v>
      </c>
      <c r="C436" s="0" t="n">
        <v>2015</v>
      </c>
      <c r="E436" s="0" t="n">
        <v>1340.887</v>
      </c>
      <c r="F436" s="0" t="n">
        <v>228.825</v>
      </c>
      <c r="G436" s="0" t="n">
        <v>678.072</v>
      </c>
      <c r="H436" s="0" t="n">
        <v>13.866</v>
      </c>
      <c r="I436" s="0" t="n">
        <v>198.258</v>
      </c>
      <c r="J436" s="0" t="n">
        <v>215.426</v>
      </c>
      <c r="K436" s="0" t="n">
        <v>0.411</v>
      </c>
      <c r="L436" s="0" t="n">
        <v>0.329</v>
      </c>
    </row>
    <row r="437" customFormat="false" ht="15" hidden="false" customHeight="false" outlineLevel="0" collapsed="false">
      <c r="A437" s="0" t="s">
        <v>660</v>
      </c>
      <c r="C437" s="0" t="n">
        <v>2016</v>
      </c>
      <c r="E437" s="0" t="n">
        <v>1369.322</v>
      </c>
      <c r="F437" s="0" t="n">
        <v>238.628</v>
      </c>
      <c r="G437" s="0" t="n">
        <v>672.689</v>
      </c>
      <c r="H437" s="0" t="n">
        <v>16.62</v>
      </c>
      <c r="I437" s="0" t="n">
        <v>198.995</v>
      </c>
      <c r="J437" s="0" t="n">
        <v>235.868</v>
      </c>
      <c r="K437" s="0" t="n">
        <v>0.64</v>
      </c>
      <c r="L437" s="0" t="n">
        <v>0.524</v>
      </c>
    </row>
    <row r="438" customFormat="false" ht="15" hidden="false" customHeight="false" outlineLevel="0" collapsed="false">
      <c r="A438" s="0" t="s">
        <v>660</v>
      </c>
      <c r="C438" s="0" t="n">
        <v>2017</v>
      </c>
      <c r="E438" s="0" t="n">
        <v>1383.047</v>
      </c>
      <c r="F438" s="0" t="n">
        <v>248.711</v>
      </c>
      <c r="G438" s="0" t="n">
        <v>671.612</v>
      </c>
      <c r="H438" s="0" t="n">
        <v>9.74</v>
      </c>
      <c r="I438" s="0" t="n">
        <v>205.761</v>
      </c>
      <c r="J438" s="0" t="n">
        <v>240.349</v>
      </c>
      <c r="K438" s="0" t="n">
        <v>0.786</v>
      </c>
      <c r="L438" s="0" t="n">
        <v>0.607</v>
      </c>
    </row>
    <row r="439" customFormat="false" ht="15" hidden="false" customHeight="false" outlineLevel="0" collapsed="false">
      <c r="A439" s="0" t="s">
        <v>660</v>
      </c>
      <c r="C439" s="0" t="n">
        <v>2018</v>
      </c>
      <c r="E439" s="0" t="n">
        <v>1416.357</v>
      </c>
      <c r="F439" s="0" t="n">
        <v>257.095</v>
      </c>
      <c r="G439" s="0" t="n">
        <v>691.594</v>
      </c>
      <c r="H439" s="0" t="n">
        <v>9.542</v>
      </c>
      <c r="I439" s="0" t="n">
        <v>206.657</v>
      </c>
      <c r="J439" s="0" t="n">
        <v>244.313</v>
      </c>
      <c r="K439" s="0" t="n">
        <v>0.953</v>
      </c>
      <c r="L439" s="0" t="n">
        <v>0.829</v>
      </c>
    </row>
    <row r="440" customFormat="false" ht="15" hidden="false" customHeight="false" outlineLevel="0" collapsed="false">
      <c r="A440" s="0" t="s">
        <v>660</v>
      </c>
      <c r="C440" s="0" t="n">
        <v>2019</v>
      </c>
      <c r="E440" s="0" t="n">
        <v>1426.352</v>
      </c>
      <c r="F440" s="0" t="n">
        <v>267.381</v>
      </c>
      <c r="G440" s="0" t="n">
        <v>680.253</v>
      </c>
      <c r="H440" s="0" t="n">
        <v>10.319</v>
      </c>
      <c r="I440" s="0" t="n">
        <v>211.183</v>
      </c>
      <c r="J440" s="0" t="n">
        <v>248.451</v>
      </c>
      <c r="K440" s="0" t="n">
        <v>1.685</v>
      </c>
      <c r="L440" s="0" t="n">
        <v>1.355</v>
      </c>
    </row>
    <row r="441" customFormat="false" ht="15" hidden="false" customHeight="false" outlineLevel="0" collapsed="false">
      <c r="A441" s="0" t="s">
        <v>660</v>
      </c>
      <c r="C441" s="0" t="n">
        <v>2020</v>
      </c>
      <c r="E441" s="0" t="n">
        <v>1399.978</v>
      </c>
      <c r="F441" s="0" t="n">
        <v>256.08</v>
      </c>
      <c r="G441" s="0" t="n">
        <v>638.547</v>
      </c>
      <c r="H441" s="0" t="n">
        <v>10.811</v>
      </c>
      <c r="I441" s="0" t="n">
        <v>219.009</v>
      </c>
      <c r="J441" s="0" t="n">
        <v>262.703</v>
      </c>
      <c r="K441" s="0" t="n">
        <v>3.399</v>
      </c>
      <c r="L441" s="0" t="n">
        <v>2.501</v>
      </c>
    </row>
    <row r="442" customFormat="false" ht="15" hidden="false" customHeight="false" outlineLevel="0" collapsed="false">
      <c r="A442" s="0" t="s">
        <v>660</v>
      </c>
      <c r="C442" s="0" t="n">
        <v>2021</v>
      </c>
      <c r="E442" s="0" t="n">
        <v>1491.208</v>
      </c>
      <c r="F442" s="0" t="n">
        <v>269.605</v>
      </c>
      <c r="G442" s="0" t="n">
        <v>694.362</v>
      </c>
      <c r="H442" s="0" t="n">
        <v>15.796</v>
      </c>
      <c r="I442" s="0" t="n">
        <v>230.17</v>
      </c>
      <c r="J442" s="0" t="n">
        <v>264.778</v>
      </c>
      <c r="K442" s="0" t="n">
        <v>4.407</v>
      </c>
      <c r="L442" s="0" t="n">
        <v>4.671</v>
      </c>
    </row>
    <row r="443" customFormat="false" ht="15" hidden="false" customHeight="false" outlineLevel="0" collapsed="false">
      <c r="A443" s="0" t="s">
        <v>660</v>
      </c>
      <c r="C443" s="0" t="n">
        <v>2022</v>
      </c>
      <c r="E443" s="0" t="n">
        <v>1505.818</v>
      </c>
      <c r="F443" s="0" t="n">
        <v>271.019</v>
      </c>
      <c r="G443" s="0" t="n">
        <v>721.826</v>
      </c>
      <c r="H443" s="0" t="n">
        <v>13.807</v>
      </c>
      <c r="I443" s="0" t="n">
        <v>231.231</v>
      </c>
      <c r="J443" s="0" t="n">
        <v>248.207</v>
      </c>
      <c r="K443" s="0" t="n">
        <v>5.468</v>
      </c>
      <c r="L443" s="0" t="n">
        <v>6.913</v>
      </c>
    </row>
    <row r="444" customFormat="false" ht="15" hidden="false" customHeight="false" outlineLevel="0" collapsed="false">
      <c r="A444" s="0" t="s">
        <v>660</v>
      </c>
      <c r="C444" s="0" t="n">
        <v>2023</v>
      </c>
      <c r="E444" s="0" t="n">
        <v>1524.042</v>
      </c>
      <c r="F444" s="0" t="n">
        <v>278.052</v>
      </c>
      <c r="G444" s="0" t="n">
        <v>723.603</v>
      </c>
      <c r="H444" s="0" t="n">
        <v>14.676</v>
      </c>
      <c r="I444" s="0" t="n">
        <v>231.826</v>
      </c>
      <c r="J444" s="0" t="n">
        <v>253.355</v>
      </c>
      <c r="K444" s="0" t="n">
        <v>6.237</v>
      </c>
      <c r="L444" s="0" t="n">
        <v>8.958</v>
      </c>
    </row>
    <row r="445" customFormat="false" ht="15" hidden="false" customHeight="false" outlineLevel="0" collapsed="false">
      <c r="A445" s="0" t="s">
        <v>660</v>
      </c>
      <c r="C445" s="0" t="n">
        <v>2024</v>
      </c>
      <c r="E445" s="0" t="n">
        <v>1570.211</v>
      </c>
      <c r="F445" s="0" t="n">
        <v>288.607</v>
      </c>
      <c r="G445" s="0" t="n">
        <v>734.33</v>
      </c>
      <c r="H445" s="0" t="n">
        <v>15.205</v>
      </c>
      <c r="I445" s="0" t="n">
        <v>234.245</v>
      </c>
      <c r="J445" s="0" t="n">
        <v>269.249</v>
      </c>
      <c r="K445" s="0" t="n">
        <v>10.932</v>
      </c>
      <c r="L445" s="0" t="n">
        <v>10.443</v>
      </c>
    </row>
    <row r="446" customFormat="false" ht="15" hidden="false" customHeight="false" outlineLevel="0" collapsed="false">
      <c r="A446" s="0" t="s">
        <v>212</v>
      </c>
      <c r="B446" s="0" t="s">
        <v>450</v>
      </c>
      <c r="C446" s="0" t="n">
        <v>2015</v>
      </c>
      <c r="D446" s="0" t="n">
        <v>15623253</v>
      </c>
      <c r="E446" s="0" t="n">
        <v>4.49</v>
      </c>
      <c r="F446" s="0" t="n">
        <v>2.13</v>
      </c>
      <c r="H446" s="0" t="n">
        <v>0.16</v>
      </c>
      <c r="J446" s="0" t="n">
        <v>2.16</v>
      </c>
      <c r="K446" s="0" t="n">
        <v>0</v>
      </c>
      <c r="M446" s="0" t="n">
        <v>0.04</v>
      </c>
      <c r="O446" s="0" t="n">
        <v>447.66</v>
      </c>
    </row>
    <row r="447" customFormat="false" ht="15" hidden="false" customHeight="false" outlineLevel="0" collapsed="false">
      <c r="A447" s="0" t="s">
        <v>212</v>
      </c>
      <c r="B447" s="0" t="s">
        <v>450</v>
      </c>
      <c r="C447" s="0" t="n">
        <v>2016</v>
      </c>
      <c r="D447" s="0" t="n">
        <v>15852802</v>
      </c>
      <c r="E447" s="0" t="n">
        <v>5.48</v>
      </c>
      <c r="F447" s="0" t="n">
        <v>2.39</v>
      </c>
      <c r="H447" s="0" t="n">
        <v>0.48</v>
      </c>
      <c r="J447" s="0" t="n">
        <v>2.57</v>
      </c>
      <c r="K447" s="0" t="n">
        <v>0</v>
      </c>
      <c r="M447" s="0" t="n">
        <v>0.04</v>
      </c>
      <c r="O447" s="0" t="n">
        <v>447.08</v>
      </c>
    </row>
    <row r="448" customFormat="false" ht="15" hidden="false" customHeight="false" outlineLevel="0" collapsed="false">
      <c r="A448" s="0" t="s">
        <v>212</v>
      </c>
      <c r="B448" s="0" t="s">
        <v>450</v>
      </c>
      <c r="C448" s="0" t="n">
        <v>2017</v>
      </c>
      <c r="D448" s="0" t="n">
        <v>16073374</v>
      </c>
      <c r="E448" s="0" t="n">
        <v>6.63</v>
      </c>
      <c r="F448" s="0" t="n">
        <v>3.57</v>
      </c>
      <c r="H448" s="0" t="n">
        <v>0.29</v>
      </c>
      <c r="J448" s="0" t="n">
        <v>2.71</v>
      </c>
      <c r="K448" s="0" t="n">
        <v>0</v>
      </c>
      <c r="M448" s="0" t="n">
        <v>0.06</v>
      </c>
      <c r="O448" s="0" t="n">
        <v>503.77</v>
      </c>
    </row>
    <row r="449" customFormat="false" ht="15" hidden="false" customHeight="false" outlineLevel="0" collapsed="false">
      <c r="A449" s="0" t="s">
        <v>212</v>
      </c>
      <c r="B449" s="0" t="s">
        <v>450</v>
      </c>
      <c r="C449" s="0" t="n">
        <v>2018</v>
      </c>
      <c r="D449" s="0" t="n">
        <v>16274522</v>
      </c>
      <c r="E449" s="0" t="n">
        <v>8.18</v>
      </c>
      <c r="F449" s="0" t="n">
        <v>3.06</v>
      </c>
      <c r="H449" s="0" t="n">
        <v>0.3</v>
      </c>
      <c r="J449" s="0" t="n">
        <v>4.74</v>
      </c>
      <c r="K449" s="0" t="n">
        <v>0.02</v>
      </c>
      <c r="M449" s="0" t="n">
        <v>0.06</v>
      </c>
      <c r="O449" s="0" t="n">
        <v>361.86</v>
      </c>
    </row>
    <row r="450" customFormat="false" ht="15" hidden="false" customHeight="false" outlineLevel="0" collapsed="false">
      <c r="A450" s="0" t="s">
        <v>212</v>
      </c>
      <c r="B450" s="0" t="s">
        <v>450</v>
      </c>
      <c r="C450" s="0" t="n">
        <v>2019</v>
      </c>
      <c r="D450" s="0" t="n">
        <v>16481305</v>
      </c>
      <c r="E450" s="0" t="n">
        <v>8.67</v>
      </c>
      <c r="F450" s="0" t="n">
        <v>3.73</v>
      </c>
      <c r="H450" s="0" t="n">
        <v>0.73</v>
      </c>
      <c r="J450" s="0" t="n">
        <v>4.03</v>
      </c>
      <c r="K450" s="0" t="n">
        <v>0.09</v>
      </c>
      <c r="M450" s="0" t="n">
        <v>0.09</v>
      </c>
      <c r="O450" s="0" t="n">
        <v>440.6</v>
      </c>
    </row>
    <row r="451" customFormat="false" ht="15" hidden="false" customHeight="false" outlineLevel="0" collapsed="false">
      <c r="A451" s="0" t="s">
        <v>212</v>
      </c>
      <c r="B451" s="0" t="s">
        <v>450</v>
      </c>
      <c r="C451" s="0" t="n">
        <v>2020</v>
      </c>
      <c r="D451" s="0" t="n">
        <v>16725484</v>
      </c>
      <c r="E451" s="0" t="n">
        <v>7.52</v>
      </c>
      <c r="F451" s="0" t="n">
        <v>2.92</v>
      </c>
      <c r="H451" s="0" t="n">
        <v>0.45</v>
      </c>
      <c r="J451" s="0" t="n">
        <v>3.86</v>
      </c>
      <c r="K451" s="0" t="n">
        <v>0.29</v>
      </c>
      <c r="M451" s="0" t="n">
        <v>0</v>
      </c>
      <c r="O451" s="0" t="n">
        <v>385.64</v>
      </c>
    </row>
    <row r="452" customFormat="false" ht="15" hidden="false" customHeight="false" outlineLevel="0" collapsed="false">
      <c r="A452" s="0" t="s">
        <v>212</v>
      </c>
      <c r="B452" s="0" t="s">
        <v>450</v>
      </c>
      <c r="C452" s="0" t="n">
        <v>2021</v>
      </c>
      <c r="D452" s="0" t="n">
        <v>16974309</v>
      </c>
      <c r="E452" s="0" t="n">
        <v>9.71</v>
      </c>
      <c r="F452" s="0" t="n">
        <v>3.46</v>
      </c>
      <c r="H452" s="0" t="n">
        <v>0.55</v>
      </c>
      <c r="J452" s="0" t="n">
        <v>5.04</v>
      </c>
      <c r="K452" s="0" t="n">
        <v>0.61</v>
      </c>
      <c r="M452" s="0" t="n">
        <v>0.05</v>
      </c>
      <c r="O452" s="0" t="n">
        <v>356.33</v>
      </c>
    </row>
    <row r="453" customFormat="false" ht="15" hidden="false" customHeight="false" outlineLevel="0" collapsed="false">
      <c r="A453" s="0" t="s">
        <v>212</v>
      </c>
      <c r="B453" s="0" t="s">
        <v>450</v>
      </c>
      <c r="C453" s="0" t="n">
        <v>2022</v>
      </c>
      <c r="D453" s="0" t="n">
        <v>17201721</v>
      </c>
      <c r="E453" s="0" t="n">
        <v>10.1</v>
      </c>
      <c r="F453" s="0" t="n">
        <v>3.14</v>
      </c>
      <c r="H453" s="0" t="n">
        <v>0.35</v>
      </c>
      <c r="J453" s="0" t="n">
        <v>5.9</v>
      </c>
      <c r="K453" s="0" t="n">
        <v>0.7</v>
      </c>
      <c r="M453" s="0" t="n">
        <v>0.01</v>
      </c>
      <c r="O453" s="0" t="n">
        <v>300</v>
      </c>
    </row>
    <row r="454" customFormat="false" ht="15" hidden="false" customHeight="false" outlineLevel="0" collapsed="false">
      <c r="A454" s="0" t="s">
        <v>212</v>
      </c>
      <c r="B454" s="0" t="s">
        <v>450</v>
      </c>
      <c r="C454" s="0" t="n">
        <v>2023</v>
      </c>
      <c r="D454" s="0" t="n">
        <v>17423884</v>
      </c>
      <c r="E454" s="0" t="n">
        <v>13.6</v>
      </c>
      <c r="F454" s="0" t="n">
        <v>7.82</v>
      </c>
      <c r="H454" s="0" t="n">
        <v>0.05</v>
      </c>
      <c r="J454" s="0" t="n">
        <v>4.84</v>
      </c>
      <c r="K454" s="0" t="n">
        <v>0.82</v>
      </c>
      <c r="M454" s="0" t="n">
        <v>0.07</v>
      </c>
      <c r="O454" s="0" t="n">
        <v>491.18</v>
      </c>
    </row>
    <row r="455" customFormat="false" ht="15" hidden="false" customHeight="false" outlineLevel="0" collapsed="false">
      <c r="A455" s="0" t="s">
        <v>212</v>
      </c>
      <c r="B455" s="0" t="s">
        <v>450</v>
      </c>
      <c r="C455" s="0" t="n">
        <v>2024</v>
      </c>
      <c r="D455" s="0" t="n">
        <v>17638804</v>
      </c>
      <c r="E455" s="0" t="n">
        <v>15.48</v>
      </c>
      <c r="F455" s="0" t="n">
        <v>9.43</v>
      </c>
      <c r="H455" s="0" t="n">
        <v>0.53</v>
      </c>
      <c r="J455" s="0" t="n">
        <v>4.37</v>
      </c>
      <c r="K455" s="0" t="n">
        <v>1.07</v>
      </c>
      <c r="M455" s="0" t="n">
        <v>0.08</v>
      </c>
      <c r="O455" s="0" t="n">
        <v>538.76</v>
      </c>
    </row>
    <row r="456" customFormat="false" ht="15" hidden="false" customHeight="false" outlineLevel="0" collapsed="false">
      <c r="A456" s="0" t="s">
        <v>212</v>
      </c>
      <c r="B456" s="0" t="s">
        <v>450</v>
      </c>
      <c r="C456" s="0" t="n">
        <v>2025</v>
      </c>
      <c r="D456" s="0" t="n">
        <v>17847981</v>
      </c>
      <c r="E456" s="0" t="n">
        <v>17.76</v>
      </c>
      <c r="F456" s="0" t="n">
        <v>10.05</v>
      </c>
      <c r="H456" s="0" t="n">
        <v>0.45</v>
      </c>
      <c r="J456" s="0" t="n">
        <v>5.31</v>
      </c>
      <c r="K456" s="0" t="n">
        <v>1.89</v>
      </c>
      <c r="M456" s="0" t="n">
        <v>0.06</v>
      </c>
      <c r="O456" s="0" t="n">
        <v>498.87</v>
      </c>
    </row>
    <row r="457" customFormat="false" ht="15" hidden="false" customHeight="false" outlineLevel="0" collapsed="false">
      <c r="A457" s="0" t="s">
        <v>213</v>
      </c>
      <c r="B457" s="0" t="s">
        <v>451</v>
      </c>
      <c r="C457" s="0" t="n">
        <v>2015</v>
      </c>
      <c r="D457" s="0" t="n">
        <v>22763418</v>
      </c>
      <c r="E457" s="0" t="n">
        <v>7.96</v>
      </c>
      <c r="F457" s="0" t="n">
        <v>0</v>
      </c>
      <c r="G457" s="0" t="n">
        <v>1.49</v>
      </c>
      <c r="H457" s="0" t="n">
        <v>2.1</v>
      </c>
      <c r="I457" s="0" t="n">
        <v>0</v>
      </c>
      <c r="J457" s="0" t="n">
        <v>4.32</v>
      </c>
      <c r="K457" s="0" t="n">
        <v>0.01</v>
      </c>
      <c r="L457" s="0" t="n">
        <v>0</v>
      </c>
      <c r="M457" s="0" t="n">
        <v>0.04</v>
      </c>
      <c r="N457" s="0" t="n">
        <v>0</v>
      </c>
      <c r="O457" s="0" t="n">
        <v>336.68</v>
      </c>
    </row>
    <row r="458" customFormat="false" ht="15" hidden="false" customHeight="false" outlineLevel="0" collapsed="false">
      <c r="A458" s="0" t="s">
        <v>213</v>
      </c>
      <c r="B458" s="0" t="s">
        <v>451</v>
      </c>
      <c r="C458" s="0" t="n">
        <v>2016</v>
      </c>
      <c r="D458" s="0" t="n">
        <v>23454165</v>
      </c>
      <c r="E458" s="0" t="n">
        <v>7.11</v>
      </c>
      <c r="F458" s="0" t="n">
        <v>0</v>
      </c>
      <c r="G458" s="0" t="n">
        <v>1.59</v>
      </c>
      <c r="H458" s="0" t="n">
        <v>1.14</v>
      </c>
      <c r="I458" s="0" t="n">
        <v>0</v>
      </c>
      <c r="J458" s="0" t="n">
        <v>4.33</v>
      </c>
      <c r="K458" s="0" t="n">
        <v>0.01</v>
      </c>
      <c r="L458" s="0" t="n">
        <v>0</v>
      </c>
      <c r="M458" s="0" t="n">
        <v>0.04</v>
      </c>
      <c r="N458" s="0" t="n">
        <v>0</v>
      </c>
      <c r="O458" s="0" t="n">
        <v>299.58</v>
      </c>
    </row>
    <row r="459" customFormat="false" ht="15" hidden="false" customHeight="false" outlineLevel="0" collapsed="false">
      <c r="A459" s="0" t="s">
        <v>213</v>
      </c>
      <c r="B459" s="0" t="s">
        <v>451</v>
      </c>
      <c r="C459" s="0" t="n">
        <v>2017</v>
      </c>
      <c r="D459" s="0" t="n">
        <v>24128609</v>
      </c>
      <c r="E459" s="0" t="n">
        <v>8.05</v>
      </c>
      <c r="F459" s="0" t="n">
        <v>0</v>
      </c>
      <c r="G459" s="0" t="n">
        <v>1.77</v>
      </c>
      <c r="H459" s="0" t="n">
        <v>1.18</v>
      </c>
      <c r="I459" s="0" t="n">
        <v>0</v>
      </c>
      <c r="J459" s="0" t="n">
        <v>5.04</v>
      </c>
      <c r="K459" s="0" t="n">
        <v>0.02</v>
      </c>
      <c r="L459" s="0" t="n">
        <v>0</v>
      </c>
      <c r="M459" s="0" t="n">
        <v>0.04</v>
      </c>
      <c r="N459" s="0" t="n">
        <v>0</v>
      </c>
      <c r="O459" s="0" t="n">
        <v>288.2</v>
      </c>
    </row>
    <row r="460" customFormat="false" ht="15" hidden="false" customHeight="false" outlineLevel="0" collapsed="false">
      <c r="A460" s="0" t="s">
        <v>213</v>
      </c>
      <c r="B460" s="0" t="s">
        <v>451</v>
      </c>
      <c r="C460" s="0" t="n">
        <v>2018</v>
      </c>
      <c r="D460" s="0" t="n">
        <v>24806377</v>
      </c>
      <c r="E460" s="0" t="n">
        <v>8.54</v>
      </c>
      <c r="F460" s="0" t="n">
        <v>0</v>
      </c>
      <c r="G460" s="0" t="n">
        <v>2.3</v>
      </c>
      <c r="H460" s="0" t="n">
        <v>1.21</v>
      </c>
      <c r="I460" s="0" t="n">
        <v>0</v>
      </c>
      <c r="J460" s="0" t="n">
        <v>4.97</v>
      </c>
      <c r="K460" s="0" t="n">
        <v>0.02</v>
      </c>
      <c r="L460" s="0" t="n">
        <v>0</v>
      </c>
      <c r="M460" s="0" t="n">
        <v>0.04</v>
      </c>
      <c r="N460" s="0" t="n">
        <v>0</v>
      </c>
      <c r="O460" s="0" t="n">
        <v>324.36</v>
      </c>
    </row>
    <row r="461" customFormat="false" ht="15" hidden="false" customHeight="false" outlineLevel="0" collapsed="false">
      <c r="A461" s="0" t="s">
        <v>213</v>
      </c>
      <c r="B461" s="0" t="s">
        <v>451</v>
      </c>
      <c r="C461" s="0" t="n">
        <v>2019</v>
      </c>
      <c r="D461" s="0" t="n">
        <v>25506095</v>
      </c>
      <c r="E461" s="0" t="n">
        <v>8.28</v>
      </c>
      <c r="F461" s="0" t="n">
        <v>0</v>
      </c>
      <c r="G461" s="0" t="n">
        <v>2.17</v>
      </c>
      <c r="H461" s="0" t="n">
        <v>1.02</v>
      </c>
      <c r="I461" s="0" t="n">
        <v>0</v>
      </c>
      <c r="J461" s="0" t="n">
        <v>5.03</v>
      </c>
      <c r="K461" s="0" t="n">
        <v>0.02</v>
      </c>
      <c r="L461" s="0" t="n">
        <v>0</v>
      </c>
      <c r="M461" s="0" t="n">
        <v>0.04</v>
      </c>
      <c r="N461" s="0" t="n">
        <v>0</v>
      </c>
      <c r="O461" s="0" t="n">
        <v>305.56</v>
      </c>
    </row>
    <row r="462" customFormat="false" ht="15" hidden="false" customHeight="false" outlineLevel="0" collapsed="false">
      <c r="A462" s="0" t="s">
        <v>213</v>
      </c>
      <c r="B462" s="0" t="s">
        <v>451</v>
      </c>
      <c r="C462" s="0" t="n">
        <v>2020</v>
      </c>
      <c r="D462" s="0" t="n">
        <v>26210566</v>
      </c>
      <c r="E462" s="0" t="n">
        <v>8.8</v>
      </c>
      <c r="F462" s="0" t="n">
        <v>0</v>
      </c>
      <c r="G462" s="0" t="n">
        <v>2.68</v>
      </c>
      <c r="H462" s="0" t="n">
        <v>0.83</v>
      </c>
      <c r="I462" s="0" t="n">
        <v>0</v>
      </c>
      <c r="J462" s="0" t="n">
        <v>5.23</v>
      </c>
      <c r="K462" s="0" t="n">
        <v>0.02</v>
      </c>
      <c r="L462" s="0" t="n">
        <v>0</v>
      </c>
      <c r="M462" s="0" t="n">
        <v>0.04</v>
      </c>
      <c r="N462" s="0" t="n">
        <v>0</v>
      </c>
      <c r="O462" s="0" t="n">
        <v>320.46</v>
      </c>
    </row>
    <row r="463" customFormat="false" ht="15" hidden="false" customHeight="false" outlineLevel="0" collapsed="false">
      <c r="A463" s="0" t="s">
        <v>213</v>
      </c>
      <c r="B463" s="0" t="s">
        <v>451</v>
      </c>
      <c r="C463" s="0" t="n">
        <v>2021</v>
      </c>
      <c r="D463" s="0" t="n">
        <v>26915765</v>
      </c>
      <c r="E463" s="0" t="n">
        <v>8.41</v>
      </c>
      <c r="F463" s="0" t="n">
        <v>0</v>
      </c>
      <c r="G463" s="0" t="n">
        <v>2.29</v>
      </c>
      <c r="H463" s="0" t="n">
        <v>0.83</v>
      </c>
      <c r="I463" s="0" t="n">
        <v>0</v>
      </c>
      <c r="J463" s="0" t="n">
        <v>5.23</v>
      </c>
      <c r="K463" s="0" t="n">
        <v>0.02</v>
      </c>
      <c r="L463" s="0" t="n">
        <v>0</v>
      </c>
      <c r="M463" s="0" t="n">
        <v>0.04</v>
      </c>
      <c r="N463" s="0" t="n">
        <v>0</v>
      </c>
      <c r="O463" s="0" t="n">
        <v>298.45</v>
      </c>
    </row>
    <row r="464" customFormat="false" ht="15" hidden="false" customHeight="false" outlineLevel="0" collapsed="false">
      <c r="A464" s="0" t="s">
        <v>213</v>
      </c>
      <c r="B464" s="0" t="s">
        <v>451</v>
      </c>
      <c r="C464" s="0" t="n">
        <v>2022</v>
      </c>
      <c r="D464" s="0" t="n">
        <v>27632770</v>
      </c>
      <c r="E464" s="0" t="n">
        <v>8.15</v>
      </c>
      <c r="F464" s="0" t="n">
        <v>0</v>
      </c>
      <c r="G464" s="0" t="n">
        <v>1.99</v>
      </c>
      <c r="H464" s="0" t="n">
        <v>0.87</v>
      </c>
      <c r="I464" s="0" t="n">
        <v>0</v>
      </c>
      <c r="J464" s="0" t="n">
        <v>5.23</v>
      </c>
      <c r="K464" s="0" t="n">
        <v>0.02</v>
      </c>
      <c r="L464" s="0" t="n">
        <v>0</v>
      </c>
      <c r="M464" s="0" t="n">
        <v>0.04</v>
      </c>
      <c r="N464" s="0" t="n">
        <v>0</v>
      </c>
      <c r="O464" s="0" t="n">
        <v>280.98</v>
      </c>
    </row>
    <row r="465" customFormat="false" ht="15" hidden="false" customHeight="false" outlineLevel="0" collapsed="false">
      <c r="A465" s="0" t="s">
        <v>213</v>
      </c>
      <c r="B465" s="0" t="s">
        <v>451</v>
      </c>
      <c r="C465" s="0" t="n">
        <v>2023</v>
      </c>
      <c r="D465" s="0" t="n">
        <v>28372690</v>
      </c>
      <c r="E465" s="0" t="n">
        <v>7.22</v>
      </c>
      <c r="F465" s="0" t="n">
        <v>0</v>
      </c>
      <c r="G465" s="0" t="n">
        <v>1.59</v>
      </c>
      <c r="H465" s="0" t="n">
        <v>0.34</v>
      </c>
      <c r="I465" s="0" t="n">
        <v>0</v>
      </c>
      <c r="J465" s="0" t="n">
        <v>5.23</v>
      </c>
      <c r="K465" s="0" t="n">
        <v>0.02</v>
      </c>
      <c r="L465" s="0" t="n">
        <v>0</v>
      </c>
      <c r="M465" s="0" t="n">
        <v>0.04</v>
      </c>
      <c r="N465" s="0" t="n">
        <v>0</v>
      </c>
      <c r="O465" s="0" t="n">
        <v>224.38</v>
      </c>
    </row>
    <row r="466" customFormat="false" ht="15" hidden="false" customHeight="false" outlineLevel="0" collapsed="false">
      <c r="A466" s="0" t="s">
        <v>213</v>
      </c>
      <c r="B466" s="0" t="s">
        <v>451</v>
      </c>
      <c r="C466" s="0" t="n">
        <v>2024</v>
      </c>
      <c r="D466" s="0" t="n">
        <v>29123748</v>
      </c>
      <c r="E466" s="0" t="n">
        <v>7.26</v>
      </c>
      <c r="F466" s="0" t="n">
        <v>0</v>
      </c>
      <c r="G466" s="0" t="n">
        <v>1.6</v>
      </c>
      <c r="H466" s="0" t="n">
        <v>0.35</v>
      </c>
      <c r="I466" s="0" t="n">
        <v>0</v>
      </c>
      <c r="J466" s="0" t="n">
        <v>5.23</v>
      </c>
      <c r="K466" s="0" t="n">
        <v>0.04</v>
      </c>
      <c r="L466" s="0" t="n">
        <v>0</v>
      </c>
      <c r="M466" s="0" t="n">
        <v>0.04</v>
      </c>
      <c r="N466" s="0" t="n">
        <v>0</v>
      </c>
      <c r="O466" s="0" t="n">
        <v>225.9</v>
      </c>
    </row>
    <row r="467" customFormat="false" ht="15" hidden="false" customHeight="false" outlineLevel="0" collapsed="false">
      <c r="A467" s="0" t="s">
        <v>214</v>
      </c>
      <c r="B467" s="0" t="s">
        <v>452</v>
      </c>
      <c r="C467" s="0" t="n">
        <v>2015</v>
      </c>
      <c r="D467" s="0" t="n">
        <v>35962236</v>
      </c>
      <c r="E467" s="0" t="n">
        <v>661.08</v>
      </c>
      <c r="F467" s="0" t="n">
        <v>64.96</v>
      </c>
      <c r="G467" s="0" t="n">
        <v>67.98</v>
      </c>
      <c r="H467" s="0" t="n">
        <v>5</v>
      </c>
      <c r="I467" s="0" t="n">
        <v>101.1</v>
      </c>
      <c r="J467" s="0" t="n">
        <v>382.19</v>
      </c>
      <c r="K467" s="0" t="n">
        <v>2.89</v>
      </c>
      <c r="L467" s="0" t="n">
        <v>26.97</v>
      </c>
      <c r="M467" s="0" t="n">
        <v>9.99</v>
      </c>
      <c r="O467" s="0" t="n">
        <v>184.37</v>
      </c>
    </row>
    <row r="468" customFormat="false" ht="15" hidden="false" customHeight="false" outlineLevel="0" collapsed="false">
      <c r="A468" s="0" t="s">
        <v>214</v>
      </c>
      <c r="B468" s="0" t="s">
        <v>452</v>
      </c>
      <c r="C468" s="0" t="n">
        <v>2016</v>
      </c>
      <c r="D468" s="0" t="n">
        <v>36353345</v>
      </c>
      <c r="E468" s="0" t="n">
        <v>667.13</v>
      </c>
      <c r="F468" s="0" t="n">
        <v>65.02</v>
      </c>
      <c r="G468" s="0" t="n">
        <v>65.82</v>
      </c>
      <c r="H468" s="0" t="n">
        <v>4.84</v>
      </c>
      <c r="I468" s="0" t="n">
        <v>100.72</v>
      </c>
      <c r="J468" s="0" t="n">
        <v>385.43</v>
      </c>
      <c r="K468" s="0" t="n">
        <v>3.01</v>
      </c>
      <c r="L468" s="0" t="n">
        <v>30.93</v>
      </c>
      <c r="M468" s="0" t="n">
        <v>11.36</v>
      </c>
      <c r="O468" s="0" t="n">
        <v>180.88</v>
      </c>
    </row>
    <row r="469" customFormat="false" ht="15" hidden="false" customHeight="false" outlineLevel="0" collapsed="false">
      <c r="A469" s="0" t="s">
        <v>214</v>
      </c>
      <c r="B469" s="0" t="s">
        <v>452</v>
      </c>
      <c r="C469" s="0" t="n">
        <v>2017</v>
      </c>
      <c r="D469" s="0" t="n">
        <v>36808498</v>
      </c>
      <c r="E469" s="0" t="n">
        <v>669.35</v>
      </c>
      <c r="F469" s="0" t="n">
        <v>62.81</v>
      </c>
      <c r="G469" s="0" t="n">
        <v>61.46</v>
      </c>
      <c r="H469" s="0" t="n">
        <v>3.92</v>
      </c>
      <c r="I469" s="0" t="n">
        <v>100.6</v>
      </c>
      <c r="J469" s="0" t="n">
        <v>394.59</v>
      </c>
      <c r="K469" s="0" t="n">
        <v>3.31</v>
      </c>
      <c r="L469" s="0" t="n">
        <v>31.51</v>
      </c>
      <c r="M469" s="0" t="n">
        <v>11.15</v>
      </c>
      <c r="O469" s="0" t="n">
        <v>172.06</v>
      </c>
    </row>
    <row r="470" customFormat="false" ht="15" hidden="false" customHeight="false" outlineLevel="0" collapsed="false">
      <c r="A470" s="0" t="s">
        <v>214</v>
      </c>
      <c r="B470" s="0" t="s">
        <v>452</v>
      </c>
      <c r="C470" s="0" t="n">
        <v>2018</v>
      </c>
      <c r="D470" s="0" t="n">
        <v>37294996</v>
      </c>
      <c r="E470" s="0" t="n">
        <v>661.2</v>
      </c>
      <c r="F470" s="0" t="n">
        <v>53.02</v>
      </c>
      <c r="G470" s="0" t="n">
        <v>70.74</v>
      </c>
      <c r="H470" s="0" t="n">
        <v>4.02</v>
      </c>
      <c r="I470" s="0" t="n">
        <v>100.03</v>
      </c>
      <c r="J470" s="0" t="n">
        <v>385.89</v>
      </c>
      <c r="K470" s="0" t="n">
        <v>3.49</v>
      </c>
      <c r="L470" s="0" t="n">
        <v>33.47</v>
      </c>
      <c r="M470" s="0" t="n">
        <v>10.54</v>
      </c>
      <c r="O470" s="0" t="n">
        <v>170.86</v>
      </c>
    </row>
    <row r="471" customFormat="false" ht="15" hidden="false" customHeight="false" outlineLevel="0" collapsed="false">
      <c r="A471" s="0" t="s">
        <v>214</v>
      </c>
      <c r="B471" s="0" t="s">
        <v>452</v>
      </c>
      <c r="C471" s="0" t="n">
        <v>2019</v>
      </c>
      <c r="D471" s="0" t="n">
        <v>37782934</v>
      </c>
      <c r="E471" s="0" t="n">
        <v>655.7</v>
      </c>
      <c r="F471" s="0" t="n">
        <v>50.14</v>
      </c>
      <c r="G471" s="0" t="n">
        <v>72.94</v>
      </c>
      <c r="H471" s="0" t="n">
        <v>3.42</v>
      </c>
      <c r="I471" s="0" t="n">
        <v>100.49</v>
      </c>
      <c r="J471" s="0" t="n">
        <v>381.77</v>
      </c>
      <c r="K471" s="0" t="n">
        <v>3.75</v>
      </c>
      <c r="L471" s="0" t="n">
        <v>32.88</v>
      </c>
      <c r="M471" s="0" t="n">
        <v>10.31</v>
      </c>
      <c r="O471" s="0" t="n">
        <v>169.99</v>
      </c>
    </row>
    <row r="472" customFormat="false" ht="15" hidden="false" customHeight="false" outlineLevel="0" collapsed="false">
      <c r="A472" s="0" t="s">
        <v>214</v>
      </c>
      <c r="B472" s="0" t="s">
        <v>452</v>
      </c>
      <c r="C472" s="0" t="n">
        <v>2020</v>
      </c>
      <c r="D472" s="0" t="n">
        <v>38171903</v>
      </c>
      <c r="E472" s="0" t="n">
        <v>655.89</v>
      </c>
      <c r="F472" s="0" t="n">
        <v>39.04</v>
      </c>
      <c r="G472" s="0" t="n">
        <v>75.59</v>
      </c>
      <c r="H472" s="0" t="n">
        <v>6.96</v>
      </c>
      <c r="I472" s="0" t="n">
        <v>97.51</v>
      </c>
      <c r="J472" s="0" t="n">
        <v>386.55</v>
      </c>
      <c r="K472" s="0" t="n">
        <v>4.07</v>
      </c>
      <c r="L472" s="0" t="n">
        <v>35.76</v>
      </c>
      <c r="M472" s="0" t="n">
        <v>10.41</v>
      </c>
      <c r="O472" s="0" t="n">
        <v>161.69</v>
      </c>
    </row>
    <row r="473" customFormat="false" ht="15" hidden="false" customHeight="false" outlineLevel="0" collapsed="false">
      <c r="A473" s="0" t="s">
        <v>214</v>
      </c>
      <c r="B473" s="0" t="s">
        <v>452</v>
      </c>
      <c r="C473" s="0" t="n">
        <v>2021</v>
      </c>
      <c r="D473" s="0" t="n">
        <v>38454058</v>
      </c>
      <c r="E473" s="0" t="n">
        <v>652.4</v>
      </c>
      <c r="F473" s="0" t="n">
        <v>34.83</v>
      </c>
      <c r="G473" s="0" t="n">
        <v>83.6</v>
      </c>
      <c r="H473" s="0" t="n">
        <v>6.6</v>
      </c>
      <c r="I473" s="0" t="n">
        <v>91.98</v>
      </c>
      <c r="J473" s="0" t="n">
        <v>382.43</v>
      </c>
      <c r="K473" s="0" t="n">
        <v>5.11</v>
      </c>
      <c r="L473" s="0" t="n">
        <v>37.3</v>
      </c>
      <c r="M473" s="0" t="n">
        <v>10.55</v>
      </c>
      <c r="O473" s="0" t="n">
        <v>165.37</v>
      </c>
    </row>
    <row r="474" customFormat="false" ht="15" hidden="false" customHeight="false" outlineLevel="0" collapsed="false">
      <c r="A474" s="0" t="s">
        <v>214</v>
      </c>
      <c r="B474" s="0" t="s">
        <v>452</v>
      </c>
      <c r="C474" s="0" t="n">
        <v>2022</v>
      </c>
      <c r="D474" s="0" t="n">
        <v>38821259</v>
      </c>
      <c r="E474" s="0" t="n">
        <v>664.08</v>
      </c>
      <c r="F474" s="0" t="n">
        <v>26.49</v>
      </c>
      <c r="G474" s="0" t="n">
        <v>90.44</v>
      </c>
      <c r="H474" s="0" t="n">
        <v>8.05</v>
      </c>
      <c r="I474" s="0" t="n">
        <v>86.63</v>
      </c>
      <c r="J474" s="0" t="n">
        <v>397.73</v>
      </c>
      <c r="K474" s="0" t="n">
        <v>5.74</v>
      </c>
      <c r="L474" s="0" t="n">
        <v>39.48</v>
      </c>
      <c r="M474" s="0" t="n">
        <v>9.52</v>
      </c>
      <c r="O474" s="0" t="n">
        <v>160.6</v>
      </c>
    </row>
    <row r="475" customFormat="false" ht="15" hidden="false" customHeight="false" outlineLevel="0" collapsed="false">
      <c r="A475" s="0" t="s">
        <v>214</v>
      </c>
      <c r="B475" s="0" t="s">
        <v>452</v>
      </c>
      <c r="C475" s="0" t="n">
        <v>2023</v>
      </c>
      <c r="D475" s="0" t="n">
        <v>39299098</v>
      </c>
      <c r="E475" s="0" t="n">
        <v>641.39</v>
      </c>
      <c r="F475" s="0" t="n">
        <v>23.74</v>
      </c>
      <c r="G475" s="0" t="n">
        <v>102.88</v>
      </c>
      <c r="H475" s="0" t="n">
        <v>6.89</v>
      </c>
      <c r="I475" s="0" t="n">
        <v>88.43</v>
      </c>
      <c r="J475" s="0" t="n">
        <v>360.74</v>
      </c>
      <c r="K475" s="0" t="n">
        <v>8.4</v>
      </c>
      <c r="L475" s="0" t="n">
        <v>40.51</v>
      </c>
      <c r="M475" s="0" t="n">
        <v>9.8</v>
      </c>
      <c r="O475" s="0" t="n">
        <v>174.37</v>
      </c>
    </row>
    <row r="476" customFormat="false" ht="15" hidden="false" customHeight="false" outlineLevel="0" collapsed="false">
      <c r="A476" s="0" t="s">
        <v>214</v>
      </c>
      <c r="B476" s="0" t="s">
        <v>452</v>
      </c>
      <c r="C476" s="0" t="n">
        <v>2024</v>
      </c>
      <c r="D476" s="0" t="n">
        <v>39742429</v>
      </c>
      <c r="E476" s="0" t="n">
        <v>636.79</v>
      </c>
      <c r="F476" s="0" t="n">
        <v>25.14</v>
      </c>
      <c r="G476" s="0" t="n">
        <v>109.6</v>
      </c>
      <c r="H476" s="0" t="n">
        <v>7.3</v>
      </c>
      <c r="I476" s="0" t="n">
        <v>85.47</v>
      </c>
      <c r="J476" s="0" t="n">
        <v>343.2</v>
      </c>
      <c r="K476" s="0" t="n">
        <v>9.42</v>
      </c>
      <c r="L476" s="0" t="n">
        <v>46.83</v>
      </c>
      <c r="M476" s="0" t="n">
        <v>9.83</v>
      </c>
      <c r="O476" s="0" t="n">
        <v>185.35</v>
      </c>
    </row>
    <row r="477" customFormat="false" ht="15" hidden="false" customHeight="false" outlineLevel="0" collapsed="false">
      <c r="A477" s="0" t="s">
        <v>214</v>
      </c>
      <c r="B477" s="0" t="s">
        <v>452</v>
      </c>
      <c r="C477" s="0" t="n">
        <v>2025</v>
      </c>
      <c r="D477" s="0" t="n">
        <v>40126728</v>
      </c>
      <c r="E477" s="0" t="n">
        <v>652.44</v>
      </c>
      <c r="F477" s="0" t="n">
        <v>26.68</v>
      </c>
      <c r="G477" s="0" t="n">
        <v>115.9</v>
      </c>
      <c r="H477" s="0" t="n">
        <v>7.63</v>
      </c>
      <c r="I477" s="0" t="n">
        <v>85.32</v>
      </c>
      <c r="J477" s="0" t="n">
        <v>344.74</v>
      </c>
      <c r="K477" s="0" t="n">
        <v>10.17</v>
      </c>
      <c r="L477" s="0" t="n">
        <v>51.48</v>
      </c>
      <c r="M477" s="0" t="n">
        <v>10.52</v>
      </c>
      <c r="O477" s="0" t="n">
        <v>190.72</v>
      </c>
    </row>
    <row r="478" customFormat="false" ht="15" hidden="false" customHeight="false" outlineLevel="0" collapsed="false">
      <c r="A478" s="0" t="s">
        <v>215</v>
      </c>
      <c r="B478" s="0" t="s">
        <v>453</v>
      </c>
      <c r="C478" s="0" t="n">
        <v>2015</v>
      </c>
      <c r="D478" s="0" t="n">
        <v>512405</v>
      </c>
      <c r="E478" s="0" t="n">
        <v>0.43</v>
      </c>
      <c r="F478" s="0" t="n">
        <v>0</v>
      </c>
      <c r="G478" s="0" t="n">
        <v>0</v>
      </c>
      <c r="H478" s="0" t="n">
        <v>0.34</v>
      </c>
      <c r="I478" s="0" t="n">
        <v>0</v>
      </c>
      <c r="J478" s="0" t="n">
        <v>0</v>
      </c>
      <c r="K478" s="0" t="n">
        <v>0.01</v>
      </c>
      <c r="L478" s="0" t="n">
        <v>0.08</v>
      </c>
      <c r="M478" s="0" t="n">
        <v>0</v>
      </c>
      <c r="N478" s="0" t="n">
        <v>0</v>
      </c>
      <c r="O478" s="0" t="n">
        <v>511.63</v>
      </c>
    </row>
    <row r="479" customFormat="false" ht="15" hidden="false" customHeight="false" outlineLevel="0" collapsed="false">
      <c r="A479" s="0" t="s">
        <v>215</v>
      </c>
      <c r="B479" s="0" t="s">
        <v>453</v>
      </c>
      <c r="C479" s="0" t="n">
        <v>2016</v>
      </c>
      <c r="D479" s="0" t="n">
        <v>512556</v>
      </c>
      <c r="E479" s="0" t="n">
        <v>0.45</v>
      </c>
      <c r="F479" s="0" t="n">
        <v>0</v>
      </c>
      <c r="G479" s="0" t="n">
        <v>0</v>
      </c>
      <c r="H479" s="0" t="n">
        <v>0.36</v>
      </c>
      <c r="I479" s="0" t="n">
        <v>0</v>
      </c>
      <c r="J479" s="0" t="n">
        <v>0</v>
      </c>
      <c r="K479" s="0" t="n">
        <v>0.01</v>
      </c>
      <c r="L479" s="0" t="n">
        <v>0.08</v>
      </c>
      <c r="M479" s="0" t="n">
        <v>0</v>
      </c>
      <c r="N479" s="0" t="n">
        <v>0</v>
      </c>
      <c r="O479" s="0" t="n">
        <v>533.33</v>
      </c>
    </row>
    <row r="480" customFormat="false" ht="15" hidden="false" customHeight="false" outlineLevel="0" collapsed="false">
      <c r="A480" s="0" t="s">
        <v>215</v>
      </c>
      <c r="B480" s="0" t="s">
        <v>453</v>
      </c>
      <c r="C480" s="0" t="n">
        <v>2017</v>
      </c>
      <c r="D480" s="0" t="n">
        <v>512899</v>
      </c>
      <c r="E480" s="0" t="n">
        <v>0.43</v>
      </c>
      <c r="F480" s="0" t="n">
        <v>0</v>
      </c>
      <c r="G480" s="0" t="n">
        <v>0</v>
      </c>
      <c r="H480" s="0" t="n">
        <v>0.35</v>
      </c>
      <c r="I480" s="0" t="n">
        <v>0</v>
      </c>
      <c r="J480" s="0" t="n">
        <v>0</v>
      </c>
      <c r="K480" s="0" t="n">
        <v>0.01</v>
      </c>
      <c r="L480" s="0" t="n">
        <v>0.07</v>
      </c>
      <c r="M480" s="0" t="n">
        <v>0</v>
      </c>
      <c r="N480" s="0" t="n">
        <v>0</v>
      </c>
      <c r="O480" s="0" t="n">
        <v>534.88</v>
      </c>
    </row>
    <row r="481" customFormat="false" ht="15" hidden="false" customHeight="false" outlineLevel="0" collapsed="false">
      <c r="A481" s="0" t="s">
        <v>215</v>
      </c>
      <c r="B481" s="0" t="s">
        <v>453</v>
      </c>
      <c r="C481" s="0" t="n">
        <v>2018</v>
      </c>
      <c r="D481" s="0" t="n">
        <v>513418</v>
      </c>
      <c r="E481" s="0" t="n">
        <v>0.43</v>
      </c>
      <c r="F481" s="0" t="n">
        <v>0</v>
      </c>
      <c r="G481" s="0" t="n">
        <v>0</v>
      </c>
      <c r="H481" s="0" t="n">
        <v>0.34</v>
      </c>
      <c r="I481" s="0" t="n">
        <v>0</v>
      </c>
      <c r="J481" s="0" t="n">
        <v>0</v>
      </c>
      <c r="K481" s="0" t="n">
        <v>0.01</v>
      </c>
      <c r="L481" s="0" t="n">
        <v>0.08</v>
      </c>
      <c r="M481" s="0" t="n">
        <v>0</v>
      </c>
      <c r="N481" s="0" t="n">
        <v>0</v>
      </c>
      <c r="O481" s="0" t="n">
        <v>511.63</v>
      </c>
    </row>
    <row r="482" customFormat="false" ht="15" hidden="false" customHeight="false" outlineLevel="0" collapsed="false">
      <c r="A482" s="0" t="s">
        <v>215</v>
      </c>
      <c r="B482" s="0" t="s">
        <v>453</v>
      </c>
      <c r="C482" s="0" t="n">
        <v>2019</v>
      </c>
      <c r="D482" s="0" t="n">
        <v>514116</v>
      </c>
      <c r="E482" s="0" t="n">
        <v>0.44</v>
      </c>
      <c r="F482" s="0" t="n">
        <v>0</v>
      </c>
      <c r="G482" s="0" t="n">
        <v>0</v>
      </c>
      <c r="H482" s="0" t="n">
        <v>0.36</v>
      </c>
      <c r="I482" s="0" t="n">
        <v>0</v>
      </c>
      <c r="J482" s="0" t="n">
        <v>0</v>
      </c>
      <c r="K482" s="0" t="n">
        <v>0.01</v>
      </c>
      <c r="L482" s="0" t="n">
        <v>0.07</v>
      </c>
      <c r="M482" s="0" t="n">
        <v>0</v>
      </c>
      <c r="N482" s="0" t="n">
        <v>0</v>
      </c>
      <c r="O482" s="0" t="n">
        <v>545.46</v>
      </c>
    </row>
    <row r="483" customFormat="false" ht="15" hidden="false" customHeight="false" outlineLevel="0" collapsed="false">
      <c r="A483" s="0" t="s">
        <v>215</v>
      </c>
      <c r="B483" s="0" t="s">
        <v>453</v>
      </c>
      <c r="C483" s="0" t="n">
        <v>2020</v>
      </c>
      <c r="D483" s="0" t="n">
        <v>514683</v>
      </c>
      <c r="E483" s="0" t="n">
        <v>0.42</v>
      </c>
      <c r="F483" s="0" t="n">
        <v>0</v>
      </c>
      <c r="G483" s="0" t="n">
        <v>0</v>
      </c>
      <c r="H483" s="0" t="n">
        <v>0.35</v>
      </c>
      <c r="I483" s="0" t="n">
        <v>0</v>
      </c>
      <c r="J483" s="0" t="n">
        <v>0</v>
      </c>
      <c r="K483" s="0" t="n">
        <v>0.01</v>
      </c>
      <c r="L483" s="0" t="n">
        <v>0.06</v>
      </c>
      <c r="M483" s="0" t="n">
        <v>0</v>
      </c>
      <c r="N483" s="0" t="n">
        <v>0</v>
      </c>
      <c r="O483" s="0" t="n">
        <v>547.62</v>
      </c>
    </row>
    <row r="484" customFormat="false" ht="15" hidden="false" customHeight="false" outlineLevel="0" collapsed="false">
      <c r="A484" s="0" t="s">
        <v>215</v>
      </c>
      <c r="B484" s="0" t="s">
        <v>453</v>
      </c>
      <c r="C484" s="0" t="n">
        <v>2021</v>
      </c>
      <c r="D484" s="0" t="n">
        <v>516655</v>
      </c>
      <c r="E484" s="0" t="n">
        <v>0.43</v>
      </c>
      <c r="F484" s="0" t="n">
        <v>0</v>
      </c>
      <c r="G484" s="0" t="n">
        <v>0</v>
      </c>
      <c r="H484" s="0" t="n">
        <v>0.35</v>
      </c>
      <c r="I484" s="0" t="n">
        <v>0</v>
      </c>
      <c r="J484" s="0" t="n">
        <v>0</v>
      </c>
      <c r="K484" s="0" t="n">
        <v>0.01</v>
      </c>
      <c r="L484" s="0" t="n">
        <v>0.07</v>
      </c>
      <c r="M484" s="0" t="n">
        <v>0</v>
      </c>
      <c r="N484" s="0" t="n">
        <v>0</v>
      </c>
      <c r="O484" s="0" t="n">
        <v>534.88</v>
      </c>
    </row>
    <row r="485" customFormat="false" ht="15" hidden="false" customHeight="false" outlineLevel="0" collapsed="false">
      <c r="A485" s="0" t="s">
        <v>215</v>
      </c>
      <c r="B485" s="0" t="s">
        <v>453</v>
      </c>
      <c r="C485" s="0" t="n">
        <v>2022</v>
      </c>
      <c r="D485" s="0" t="n">
        <v>519750</v>
      </c>
      <c r="E485" s="0" t="n">
        <v>0.5</v>
      </c>
      <c r="F485" s="0" t="n">
        <v>0</v>
      </c>
      <c r="G485" s="0" t="n">
        <v>0</v>
      </c>
      <c r="H485" s="0" t="n">
        <v>0.36</v>
      </c>
      <c r="I485" s="0" t="n">
        <v>0</v>
      </c>
      <c r="J485" s="0" t="n">
        <v>0</v>
      </c>
      <c r="K485" s="0" t="n">
        <v>0.07</v>
      </c>
      <c r="L485" s="0" t="n">
        <v>0.07</v>
      </c>
      <c r="M485" s="0" t="n">
        <v>0</v>
      </c>
      <c r="N485" s="0" t="n">
        <v>0</v>
      </c>
      <c r="O485" s="0" t="n">
        <v>480</v>
      </c>
    </row>
    <row r="486" customFormat="false" ht="15" hidden="false" customHeight="false" outlineLevel="0" collapsed="false">
      <c r="A486" s="0" t="s">
        <v>215</v>
      </c>
      <c r="B486" s="0" t="s">
        <v>453</v>
      </c>
      <c r="C486" s="0" t="n">
        <v>2023</v>
      </c>
      <c r="D486" s="0" t="n">
        <v>522335</v>
      </c>
      <c r="E486" s="0" t="n">
        <v>0.5</v>
      </c>
      <c r="F486" s="0" t="n">
        <v>0</v>
      </c>
      <c r="G486" s="0" t="n">
        <v>0</v>
      </c>
      <c r="H486" s="0" t="n">
        <v>0.36</v>
      </c>
      <c r="I486" s="0" t="n">
        <v>0</v>
      </c>
      <c r="J486" s="0" t="n">
        <v>0</v>
      </c>
      <c r="K486" s="0" t="n">
        <v>0.07</v>
      </c>
      <c r="L486" s="0" t="n">
        <v>0.07</v>
      </c>
      <c r="M486" s="0" t="n">
        <v>0</v>
      </c>
      <c r="N486" s="0" t="n">
        <v>0</v>
      </c>
      <c r="O486" s="0" t="n">
        <v>480</v>
      </c>
    </row>
    <row r="487" customFormat="false" ht="15" hidden="false" customHeight="false" outlineLevel="0" collapsed="false">
      <c r="A487" s="0" t="s">
        <v>215</v>
      </c>
      <c r="B487" s="0" t="s">
        <v>453</v>
      </c>
      <c r="C487" s="0" t="n">
        <v>2024</v>
      </c>
      <c r="D487" s="0" t="n">
        <v>524878</v>
      </c>
      <c r="E487" s="0" t="n">
        <v>0.52</v>
      </c>
      <c r="F487" s="0" t="n">
        <v>0</v>
      </c>
      <c r="G487" s="0" t="n">
        <v>0</v>
      </c>
      <c r="H487" s="0" t="n">
        <v>0.36</v>
      </c>
      <c r="I487" s="0" t="n">
        <v>0</v>
      </c>
      <c r="J487" s="0" t="n">
        <v>0</v>
      </c>
      <c r="K487" s="0" t="n">
        <v>0.08</v>
      </c>
      <c r="L487" s="0" t="n">
        <v>0.08</v>
      </c>
      <c r="M487" s="0" t="n">
        <v>0</v>
      </c>
      <c r="N487" s="0" t="n">
        <v>0</v>
      </c>
      <c r="O487" s="0" t="n">
        <v>461.54</v>
      </c>
    </row>
    <row r="488" customFormat="false" ht="15" hidden="false" customHeight="false" outlineLevel="0" collapsed="false">
      <c r="A488" s="0" t="s">
        <v>216</v>
      </c>
      <c r="B488" s="0" t="s">
        <v>454</v>
      </c>
      <c r="C488" s="0" t="n">
        <v>2015</v>
      </c>
      <c r="D488" s="0" t="n">
        <v>61665</v>
      </c>
      <c r="E488" s="0" t="n">
        <v>0.64</v>
      </c>
      <c r="F488" s="0" t="n">
        <v>0</v>
      </c>
      <c r="G488" s="0" t="n">
        <v>0</v>
      </c>
      <c r="H488" s="0" t="n">
        <v>0.64</v>
      </c>
      <c r="I488" s="0" t="n">
        <v>0</v>
      </c>
      <c r="J488" s="0" t="n">
        <v>0</v>
      </c>
      <c r="K488" s="0" t="n">
        <v>0</v>
      </c>
      <c r="L488" s="0" t="n">
        <v>0</v>
      </c>
      <c r="M488" s="0" t="n">
        <v>0</v>
      </c>
      <c r="N488" s="0" t="n">
        <v>0</v>
      </c>
      <c r="O488" s="0" t="n">
        <v>656.25</v>
      </c>
    </row>
    <row r="489" customFormat="false" ht="15" hidden="false" customHeight="false" outlineLevel="0" collapsed="false">
      <c r="A489" s="0" t="s">
        <v>216</v>
      </c>
      <c r="B489" s="0" t="s">
        <v>454</v>
      </c>
      <c r="C489" s="0" t="n">
        <v>2016</v>
      </c>
      <c r="D489" s="0" t="n">
        <v>63121</v>
      </c>
      <c r="E489" s="0" t="n">
        <v>0.67</v>
      </c>
      <c r="F489" s="0" t="n">
        <v>0</v>
      </c>
      <c r="G489" s="0" t="n">
        <v>0</v>
      </c>
      <c r="H489" s="0" t="n">
        <v>0.67</v>
      </c>
      <c r="I489" s="0" t="n">
        <v>0</v>
      </c>
      <c r="J489" s="0" t="n">
        <v>0</v>
      </c>
      <c r="K489" s="0" t="n">
        <v>0</v>
      </c>
      <c r="L489" s="0" t="n">
        <v>0</v>
      </c>
      <c r="M489" s="0" t="n">
        <v>0</v>
      </c>
      <c r="N489" s="0" t="n">
        <v>0</v>
      </c>
      <c r="O489" s="0" t="n">
        <v>656.72</v>
      </c>
    </row>
    <row r="490" customFormat="false" ht="15" hidden="false" customHeight="false" outlineLevel="0" collapsed="false">
      <c r="A490" s="0" t="s">
        <v>216</v>
      </c>
      <c r="B490" s="0" t="s">
        <v>454</v>
      </c>
      <c r="C490" s="0" t="n">
        <v>2017</v>
      </c>
      <c r="D490" s="0" t="n">
        <v>64561</v>
      </c>
      <c r="E490" s="0" t="n">
        <v>0.68</v>
      </c>
      <c r="F490" s="0" t="n">
        <v>0</v>
      </c>
      <c r="G490" s="0" t="n">
        <v>0</v>
      </c>
      <c r="H490" s="0" t="n">
        <v>0.67</v>
      </c>
      <c r="I490" s="0" t="n">
        <v>0</v>
      </c>
      <c r="J490" s="0" t="n">
        <v>0</v>
      </c>
      <c r="K490" s="0" t="n">
        <v>0.01</v>
      </c>
      <c r="L490" s="0" t="n">
        <v>0</v>
      </c>
      <c r="M490" s="0" t="n">
        <v>0</v>
      </c>
      <c r="N490" s="0" t="n">
        <v>0</v>
      </c>
      <c r="O490" s="0" t="n">
        <v>647.06</v>
      </c>
    </row>
    <row r="491" customFormat="false" ht="15" hidden="false" customHeight="false" outlineLevel="0" collapsed="false">
      <c r="A491" s="0" t="s">
        <v>216</v>
      </c>
      <c r="B491" s="0" t="s">
        <v>454</v>
      </c>
      <c r="C491" s="0" t="n">
        <v>2018</v>
      </c>
      <c r="D491" s="0" t="n">
        <v>65962</v>
      </c>
      <c r="E491" s="0" t="n">
        <v>0.67</v>
      </c>
      <c r="F491" s="0" t="n">
        <v>0</v>
      </c>
      <c r="G491" s="0" t="n">
        <v>0</v>
      </c>
      <c r="H491" s="0" t="n">
        <v>0.66</v>
      </c>
      <c r="I491" s="0" t="n">
        <v>0</v>
      </c>
      <c r="J491" s="0" t="n">
        <v>0</v>
      </c>
      <c r="K491" s="0" t="n">
        <v>0.01</v>
      </c>
      <c r="L491" s="0" t="n">
        <v>0</v>
      </c>
      <c r="M491" s="0" t="n">
        <v>0</v>
      </c>
      <c r="N491" s="0" t="n">
        <v>0</v>
      </c>
      <c r="O491" s="0" t="n">
        <v>641.79</v>
      </c>
    </row>
    <row r="492" customFormat="false" ht="15" hidden="false" customHeight="false" outlineLevel="0" collapsed="false">
      <c r="A492" s="0" t="s">
        <v>216</v>
      </c>
      <c r="B492" s="0" t="s">
        <v>454</v>
      </c>
      <c r="C492" s="0" t="n">
        <v>2019</v>
      </c>
      <c r="D492" s="0" t="n">
        <v>67346</v>
      </c>
      <c r="E492" s="0" t="n">
        <v>0.72</v>
      </c>
      <c r="F492" s="0" t="n">
        <v>0</v>
      </c>
      <c r="G492" s="0" t="n">
        <v>0</v>
      </c>
      <c r="H492" s="0" t="n">
        <v>0.7</v>
      </c>
      <c r="I492" s="0" t="n">
        <v>0</v>
      </c>
      <c r="J492" s="0" t="n">
        <v>0</v>
      </c>
      <c r="K492" s="0" t="n">
        <v>0.02</v>
      </c>
      <c r="L492" s="0" t="n">
        <v>0</v>
      </c>
      <c r="M492" s="0" t="n">
        <v>0</v>
      </c>
      <c r="N492" s="0" t="n">
        <v>0</v>
      </c>
      <c r="O492" s="0" t="n">
        <v>638.89</v>
      </c>
    </row>
    <row r="493" customFormat="false" ht="15" hidden="false" customHeight="false" outlineLevel="0" collapsed="false">
      <c r="A493" s="0" t="s">
        <v>216</v>
      </c>
      <c r="B493" s="0" t="s">
        <v>454</v>
      </c>
      <c r="C493" s="0" t="n">
        <v>2020</v>
      </c>
      <c r="D493" s="0" t="n">
        <v>68703</v>
      </c>
      <c r="E493" s="0" t="n">
        <v>0.69</v>
      </c>
      <c r="F493" s="0" t="n">
        <v>0</v>
      </c>
      <c r="G493" s="0" t="n">
        <v>0</v>
      </c>
      <c r="H493" s="0" t="n">
        <v>0.67</v>
      </c>
      <c r="I493" s="0" t="n">
        <v>0</v>
      </c>
      <c r="J493" s="0" t="n">
        <v>0</v>
      </c>
      <c r="K493" s="0" t="n">
        <v>0.02</v>
      </c>
      <c r="L493" s="0" t="n">
        <v>0</v>
      </c>
      <c r="M493" s="0" t="n">
        <v>0</v>
      </c>
      <c r="N493" s="0" t="n">
        <v>0</v>
      </c>
      <c r="O493" s="0" t="n">
        <v>637.68</v>
      </c>
    </row>
    <row r="494" customFormat="false" ht="15" hidden="false" customHeight="false" outlineLevel="0" collapsed="false">
      <c r="A494" s="0" t="s">
        <v>216</v>
      </c>
      <c r="B494" s="0" t="s">
        <v>454</v>
      </c>
      <c r="C494" s="0" t="n">
        <v>2021</v>
      </c>
      <c r="D494" s="0" t="n">
        <v>70126</v>
      </c>
      <c r="E494" s="0" t="n">
        <v>0.7</v>
      </c>
      <c r="F494" s="0" t="n">
        <v>0</v>
      </c>
      <c r="G494" s="0" t="n">
        <v>0</v>
      </c>
      <c r="H494" s="0" t="n">
        <v>0.68</v>
      </c>
      <c r="I494" s="0" t="n">
        <v>0</v>
      </c>
      <c r="J494" s="0" t="n">
        <v>0</v>
      </c>
      <c r="K494" s="0" t="n">
        <v>0.02</v>
      </c>
      <c r="L494" s="0" t="n">
        <v>0</v>
      </c>
      <c r="M494" s="0" t="n">
        <v>0</v>
      </c>
      <c r="N494" s="0" t="n">
        <v>0</v>
      </c>
      <c r="O494" s="0" t="n">
        <v>642.86</v>
      </c>
    </row>
    <row r="495" customFormat="false" ht="15" hidden="false" customHeight="false" outlineLevel="0" collapsed="false">
      <c r="A495" s="0" t="s">
        <v>216</v>
      </c>
      <c r="B495" s="0" t="s">
        <v>454</v>
      </c>
      <c r="C495" s="0" t="n">
        <v>2022</v>
      </c>
      <c r="D495" s="0" t="n">
        <v>71610</v>
      </c>
      <c r="E495" s="0" t="n">
        <v>0.7</v>
      </c>
      <c r="F495" s="0" t="n">
        <v>0</v>
      </c>
      <c r="G495" s="0" t="n">
        <v>0</v>
      </c>
      <c r="H495" s="0" t="n">
        <v>0.68</v>
      </c>
      <c r="I495" s="0" t="n">
        <v>0</v>
      </c>
      <c r="J495" s="0" t="n">
        <v>0</v>
      </c>
      <c r="K495" s="0" t="n">
        <v>0.02</v>
      </c>
      <c r="L495" s="0" t="n">
        <v>0</v>
      </c>
      <c r="M495" s="0" t="n">
        <v>0</v>
      </c>
      <c r="N495" s="0" t="n">
        <v>0</v>
      </c>
      <c r="O495" s="0" t="n">
        <v>642.86</v>
      </c>
    </row>
    <row r="496" customFormat="false" ht="15" hidden="false" customHeight="false" outlineLevel="0" collapsed="false">
      <c r="A496" s="0" t="s">
        <v>216</v>
      </c>
      <c r="B496" s="0" t="s">
        <v>454</v>
      </c>
      <c r="C496" s="0" t="n">
        <v>2023</v>
      </c>
      <c r="D496" s="0" t="n">
        <v>73055</v>
      </c>
      <c r="E496" s="0" t="n">
        <v>0.7</v>
      </c>
      <c r="F496" s="0" t="n">
        <v>0</v>
      </c>
      <c r="G496" s="0" t="n">
        <v>0</v>
      </c>
      <c r="H496" s="0" t="n">
        <v>0.68</v>
      </c>
      <c r="I496" s="0" t="n">
        <v>0</v>
      </c>
      <c r="J496" s="0" t="n">
        <v>0</v>
      </c>
      <c r="K496" s="0" t="n">
        <v>0.02</v>
      </c>
      <c r="L496" s="0" t="n">
        <v>0</v>
      </c>
      <c r="M496" s="0" t="n">
        <v>0</v>
      </c>
      <c r="N496" s="0" t="n">
        <v>0</v>
      </c>
      <c r="O496" s="0" t="n">
        <v>642.86</v>
      </c>
    </row>
    <row r="497" customFormat="false" ht="15" hidden="false" customHeight="false" outlineLevel="0" collapsed="false">
      <c r="A497" s="0" t="s">
        <v>216</v>
      </c>
      <c r="B497" s="0" t="s">
        <v>454</v>
      </c>
      <c r="C497" s="0" t="n">
        <v>2024</v>
      </c>
      <c r="D497" s="0" t="n">
        <v>74476</v>
      </c>
      <c r="E497" s="0" t="n">
        <v>0.71</v>
      </c>
      <c r="F497" s="0" t="n">
        <v>0</v>
      </c>
      <c r="G497" s="0" t="n">
        <v>0</v>
      </c>
      <c r="H497" s="0" t="n">
        <v>0.68</v>
      </c>
      <c r="I497" s="0" t="n">
        <v>0</v>
      </c>
      <c r="J497" s="0" t="n">
        <v>0</v>
      </c>
      <c r="K497" s="0" t="n">
        <v>0.03</v>
      </c>
      <c r="L497" s="0" t="n">
        <v>0</v>
      </c>
      <c r="M497" s="0" t="n">
        <v>0</v>
      </c>
      <c r="N497" s="0" t="n">
        <v>0</v>
      </c>
      <c r="O497" s="0" t="n">
        <v>633.8</v>
      </c>
    </row>
    <row r="498" customFormat="false" ht="15" hidden="false" customHeight="false" outlineLevel="0" collapsed="false">
      <c r="A498" s="0" t="s">
        <v>217</v>
      </c>
      <c r="B498" s="0" t="s">
        <v>455</v>
      </c>
      <c r="C498" s="0" t="n">
        <v>2015</v>
      </c>
      <c r="D498" s="0" t="n">
        <v>4629322</v>
      </c>
      <c r="E498" s="0" t="n">
        <v>0.17</v>
      </c>
      <c r="F498" s="0" t="n">
        <v>0</v>
      </c>
      <c r="G498" s="0" t="n">
        <v>0</v>
      </c>
      <c r="H498" s="0" t="n">
        <v>0</v>
      </c>
      <c r="I498" s="0" t="n">
        <v>0</v>
      </c>
      <c r="J498" s="0" t="n">
        <v>0.17</v>
      </c>
      <c r="K498" s="0" t="n">
        <v>0</v>
      </c>
      <c r="L498" s="0" t="n">
        <v>0</v>
      </c>
      <c r="M498" s="0" t="n">
        <v>0</v>
      </c>
      <c r="N498" s="0" t="n">
        <v>0</v>
      </c>
      <c r="O498" s="0" t="n">
        <v>0</v>
      </c>
    </row>
    <row r="499" customFormat="false" ht="15" hidden="false" customHeight="false" outlineLevel="0" collapsed="false">
      <c r="A499" s="0" t="s">
        <v>217</v>
      </c>
      <c r="B499" s="0" t="s">
        <v>455</v>
      </c>
      <c r="C499" s="0" t="n">
        <v>2016</v>
      </c>
      <c r="D499" s="0" t="n">
        <v>4713663</v>
      </c>
      <c r="E499" s="0" t="n">
        <v>0.17</v>
      </c>
      <c r="F499" s="0" t="n">
        <v>0</v>
      </c>
      <c r="G499" s="0" t="n">
        <v>0</v>
      </c>
      <c r="H499" s="0" t="n">
        <v>0</v>
      </c>
      <c r="I499" s="0" t="n">
        <v>0</v>
      </c>
      <c r="J499" s="0" t="n">
        <v>0.17</v>
      </c>
      <c r="K499" s="0" t="n">
        <v>0</v>
      </c>
      <c r="L499" s="0" t="n">
        <v>0</v>
      </c>
      <c r="M499" s="0" t="n">
        <v>0</v>
      </c>
      <c r="N499" s="0" t="n">
        <v>0</v>
      </c>
      <c r="O499" s="0" t="n">
        <v>0</v>
      </c>
    </row>
    <row r="500" customFormat="false" ht="15" hidden="false" customHeight="false" outlineLevel="0" collapsed="false">
      <c r="A500" s="0" t="s">
        <v>217</v>
      </c>
      <c r="B500" s="0" t="s">
        <v>455</v>
      </c>
      <c r="C500" s="0" t="n">
        <v>2017</v>
      </c>
      <c r="D500" s="0" t="n">
        <v>4793512</v>
      </c>
      <c r="E500" s="0" t="n">
        <v>0.15</v>
      </c>
      <c r="F500" s="0" t="n">
        <v>0</v>
      </c>
      <c r="G500" s="0" t="n">
        <v>0</v>
      </c>
      <c r="H500" s="0" t="n">
        <v>0</v>
      </c>
      <c r="I500" s="0" t="n">
        <v>0</v>
      </c>
      <c r="J500" s="0" t="n">
        <v>0.15</v>
      </c>
      <c r="K500" s="0" t="n">
        <v>0</v>
      </c>
      <c r="L500" s="0" t="n">
        <v>0</v>
      </c>
      <c r="M500" s="0" t="n">
        <v>0</v>
      </c>
      <c r="N500" s="0" t="n">
        <v>0</v>
      </c>
      <c r="O500" s="0" t="n">
        <v>0</v>
      </c>
    </row>
    <row r="501" customFormat="false" ht="15" hidden="false" customHeight="false" outlineLevel="0" collapsed="false">
      <c r="A501" s="0" t="s">
        <v>217</v>
      </c>
      <c r="B501" s="0" t="s">
        <v>455</v>
      </c>
      <c r="C501" s="0" t="n">
        <v>2018</v>
      </c>
      <c r="D501" s="0" t="n">
        <v>4878663</v>
      </c>
      <c r="E501" s="0" t="n">
        <v>0.15</v>
      </c>
      <c r="F501" s="0" t="n">
        <v>0</v>
      </c>
      <c r="G501" s="0" t="n">
        <v>0</v>
      </c>
      <c r="H501" s="0" t="n">
        <v>0</v>
      </c>
      <c r="I501" s="0" t="n">
        <v>0</v>
      </c>
      <c r="J501" s="0" t="n">
        <v>0.15</v>
      </c>
      <c r="K501" s="0" t="n">
        <v>0</v>
      </c>
      <c r="L501" s="0" t="n">
        <v>0</v>
      </c>
      <c r="M501" s="0" t="n">
        <v>0</v>
      </c>
      <c r="N501" s="0" t="n">
        <v>0</v>
      </c>
      <c r="O501" s="0" t="n">
        <v>0</v>
      </c>
    </row>
    <row r="502" customFormat="false" ht="15" hidden="false" customHeight="false" outlineLevel="0" collapsed="false">
      <c r="A502" s="0" t="s">
        <v>217</v>
      </c>
      <c r="B502" s="0" t="s">
        <v>455</v>
      </c>
      <c r="C502" s="0" t="n">
        <v>2019</v>
      </c>
      <c r="D502" s="0" t="n">
        <v>4944708</v>
      </c>
      <c r="E502" s="0" t="n">
        <v>0.15</v>
      </c>
      <c r="F502" s="0" t="n">
        <v>0</v>
      </c>
      <c r="G502" s="0" t="n">
        <v>0</v>
      </c>
      <c r="H502" s="0" t="n">
        <v>0</v>
      </c>
      <c r="I502" s="0" t="n">
        <v>0</v>
      </c>
      <c r="J502" s="0" t="n">
        <v>0.15</v>
      </c>
      <c r="K502" s="0" t="n">
        <v>0</v>
      </c>
      <c r="L502" s="0" t="n">
        <v>0</v>
      </c>
      <c r="M502" s="0" t="n">
        <v>0</v>
      </c>
      <c r="N502" s="0" t="n">
        <v>0</v>
      </c>
      <c r="O502" s="0" t="n">
        <v>0</v>
      </c>
    </row>
    <row r="503" customFormat="false" ht="15" hidden="false" customHeight="false" outlineLevel="0" collapsed="false">
      <c r="A503" s="0" t="s">
        <v>217</v>
      </c>
      <c r="B503" s="0" t="s">
        <v>455</v>
      </c>
      <c r="C503" s="0" t="n">
        <v>2020</v>
      </c>
      <c r="D503" s="0" t="n">
        <v>5026629</v>
      </c>
      <c r="E503" s="0" t="n">
        <v>0.15</v>
      </c>
      <c r="F503" s="0" t="n">
        <v>0</v>
      </c>
      <c r="G503" s="0" t="n">
        <v>0</v>
      </c>
      <c r="H503" s="0" t="n">
        <v>0</v>
      </c>
      <c r="I503" s="0" t="n">
        <v>0</v>
      </c>
      <c r="J503" s="0" t="n">
        <v>0.15</v>
      </c>
      <c r="K503" s="0" t="n">
        <v>0</v>
      </c>
      <c r="L503" s="0" t="n">
        <v>0</v>
      </c>
      <c r="M503" s="0" t="n">
        <v>0</v>
      </c>
      <c r="N503" s="0" t="n">
        <v>0</v>
      </c>
      <c r="O503" s="0" t="n">
        <v>0</v>
      </c>
    </row>
    <row r="504" customFormat="false" ht="15" hidden="false" customHeight="false" outlineLevel="0" collapsed="false">
      <c r="A504" s="0" t="s">
        <v>217</v>
      </c>
      <c r="B504" s="0" t="s">
        <v>455</v>
      </c>
      <c r="C504" s="0" t="n">
        <v>2021</v>
      </c>
      <c r="D504" s="0" t="n">
        <v>5112103</v>
      </c>
      <c r="E504" s="0" t="n">
        <v>0.15</v>
      </c>
      <c r="F504" s="0" t="n">
        <v>0</v>
      </c>
      <c r="G504" s="0" t="n">
        <v>0</v>
      </c>
      <c r="H504" s="0" t="n">
        <v>0</v>
      </c>
      <c r="I504" s="0" t="n">
        <v>0</v>
      </c>
      <c r="J504" s="0" t="n">
        <v>0.15</v>
      </c>
      <c r="K504" s="0" t="n">
        <v>0</v>
      </c>
      <c r="L504" s="0" t="n">
        <v>0</v>
      </c>
      <c r="M504" s="0" t="n">
        <v>0</v>
      </c>
      <c r="N504" s="0" t="n">
        <v>0</v>
      </c>
      <c r="O504" s="0" t="n">
        <v>0</v>
      </c>
    </row>
    <row r="505" customFormat="false" ht="15" hidden="false" customHeight="false" outlineLevel="0" collapsed="false">
      <c r="A505" s="0" t="s">
        <v>217</v>
      </c>
      <c r="B505" s="0" t="s">
        <v>455</v>
      </c>
      <c r="C505" s="0" t="n">
        <v>2022</v>
      </c>
      <c r="D505" s="0" t="n">
        <v>5098038</v>
      </c>
      <c r="E505" s="0" t="n">
        <v>0.14</v>
      </c>
      <c r="F505" s="0" t="n">
        <v>0</v>
      </c>
      <c r="G505" s="0" t="n">
        <v>0</v>
      </c>
      <c r="H505" s="0" t="n">
        <v>0</v>
      </c>
      <c r="I505" s="0" t="n">
        <v>0</v>
      </c>
      <c r="J505" s="0" t="n">
        <v>0.14</v>
      </c>
      <c r="K505" s="0" t="n">
        <v>0</v>
      </c>
      <c r="L505" s="0" t="n">
        <v>0</v>
      </c>
      <c r="M505" s="0" t="n">
        <v>0</v>
      </c>
      <c r="N505" s="0" t="n">
        <v>0</v>
      </c>
      <c r="O505" s="0" t="n">
        <v>0</v>
      </c>
    </row>
    <row r="506" customFormat="false" ht="15" hidden="false" customHeight="false" outlineLevel="0" collapsed="false">
      <c r="A506" s="0" t="s">
        <v>217</v>
      </c>
      <c r="B506" s="0" t="s">
        <v>455</v>
      </c>
      <c r="C506" s="0" t="n">
        <v>2023</v>
      </c>
      <c r="D506" s="0" t="n">
        <v>5152415</v>
      </c>
      <c r="E506" s="0" t="n">
        <v>0.14</v>
      </c>
      <c r="F506" s="0" t="n">
        <v>0</v>
      </c>
      <c r="G506" s="0" t="n">
        <v>0</v>
      </c>
      <c r="H506" s="0" t="n">
        <v>0</v>
      </c>
      <c r="I506" s="0" t="n">
        <v>0</v>
      </c>
      <c r="J506" s="0" t="n">
        <v>0.14</v>
      </c>
      <c r="K506" s="0" t="n">
        <v>0</v>
      </c>
      <c r="L506" s="0" t="n">
        <v>0</v>
      </c>
      <c r="M506" s="0" t="n">
        <v>0</v>
      </c>
      <c r="N506" s="0" t="n">
        <v>0</v>
      </c>
      <c r="O506" s="0" t="n">
        <v>0</v>
      </c>
    </row>
    <row r="507" customFormat="false" ht="15" hidden="false" customHeight="false" outlineLevel="0" collapsed="false">
      <c r="A507" s="0" t="s">
        <v>661</v>
      </c>
      <c r="C507" s="0" t="n">
        <v>2015</v>
      </c>
      <c r="E507" s="0" t="n">
        <v>52.167</v>
      </c>
      <c r="I507" s="0" t="n">
        <v>0</v>
      </c>
      <c r="J507" s="0" t="n">
        <v>22.509</v>
      </c>
      <c r="K507" s="0" t="n">
        <v>0.619</v>
      </c>
      <c r="L507" s="0" t="n">
        <v>3.135</v>
      </c>
    </row>
    <row r="508" customFormat="false" ht="15" hidden="false" customHeight="false" outlineLevel="0" collapsed="false">
      <c r="A508" s="0" t="s">
        <v>661</v>
      </c>
      <c r="C508" s="0" t="n">
        <v>2016</v>
      </c>
      <c r="E508" s="0" t="n">
        <v>53.773</v>
      </c>
      <c r="I508" s="0" t="n">
        <v>0</v>
      </c>
      <c r="J508" s="0" t="n">
        <v>22.779</v>
      </c>
      <c r="K508" s="0" t="n">
        <v>1.21</v>
      </c>
      <c r="L508" s="0" t="n">
        <v>3.3</v>
      </c>
    </row>
    <row r="509" customFormat="false" ht="15" hidden="false" customHeight="false" outlineLevel="0" collapsed="false">
      <c r="A509" s="0" t="s">
        <v>661</v>
      </c>
      <c r="C509" s="0" t="n">
        <v>2017</v>
      </c>
      <c r="E509" s="0" t="n">
        <v>54.461</v>
      </c>
      <c r="I509" s="0" t="n">
        <v>0</v>
      </c>
      <c r="J509" s="0" t="n">
        <v>27.113</v>
      </c>
      <c r="K509" s="0" t="n">
        <v>1.502</v>
      </c>
      <c r="L509" s="0" t="n">
        <v>3.212</v>
      </c>
    </row>
    <row r="510" customFormat="false" ht="15" hidden="false" customHeight="false" outlineLevel="0" collapsed="false">
      <c r="A510" s="0" t="s">
        <v>661</v>
      </c>
      <c r="C510" s="0" t="n">
        <v>2018</v>
      </c>
      <c r="E510" s="0" t="n">
        <v>56.384</v>
      </c>
      <c r="I510" s="0" t="n">
        <v>0</v>
      </c>
      <c r="J510" s="0" t="n">
        <v>26.842</v>
      </c>
      <c r="K510" s="0" t="n">
        <v>1.85</v>
      </c>
      <c r="L510" s="0" t="n">
        <v>4.437</v>
      </c>
    </row>
    <row r="511" customFormat="false" ht="15" hidden="false" customHeight="false" outlineLevel="0" collapsed="false">
      <c r="A511" s="0" t="s">
        <v>661</v>
      </c>
      <c r="C511" s="0" t="n">
        <v>2019</v>
      </c>
      <c r="E511" s="0" t="n">
        <v>59.323</v>
      </c>
      <c r="I511" s="0" t="n">
        <v>0</v>
      </c>
      <c r="J511" s="0" t="n">
        <v>21.584</v>
      </c>
      <c r="K511" s="0" t="n">
        <v>2.28</v>
      </c>
      <c r="L511" s="0" t="n">
        <v>4.401</v>
      </c>
    </row>
    <row r="512" customFormat="false" ht="15" hidden="false" customHeight="false" outlineLevel="0" collapsed="false">
      <c r="A512" s="0" t="s">
        <v>661</v>
      </c>
      <c r="C512" s="0" t="n">
        <v>2020</v>
      </c>
      <c r="E512" s="0" t="n">
        <v>57.198</v>
      </c>
      <c r="I512" s="0" t="n">
        <v>0</v>
      </c>
      <c r="J512" s="0" t="n">
        <v>26.935</v>
      </c>
      <c r="K512" s="0" t="n">
        <v>2.655</v>
      </c>
      <c r="L512" s="0" t="n">
        <v>3.629</v>
      </c>
    </row>
    <row r="513" customFormat="false" ht="15" hidden="false" customHeight="false" outlineLevel="0" collapsed="false">
      <c r="A513" s="0" t="s">
        <v>661</v>
      </c>
      <c r="C513" s="0" t="n">
        <v>2021</v>
      </c>
      <c r="E513" s="0" t="n">
        <v>61.612</v>
      </c>
      <c r="I513" s="0" t="n">
        <v>0</v>
      </c>
      <c r="J513" s="0" t="n">
        <v>29.846</v>
      </c>
      <c r="K513" s="0" t="n">
        <v>3.122</v>
      </c>
      <c r="L513" s="0" t="n">
        <v>3.991</v>
      </c>
    </row>
    <row r="514" customFormat="false" ht="15" hidden="false" customHeight="false" outlineLevel="0" collapsed="false">
      <c r="A514" s="0" t="s">
        <v>661</v>
      </c>
      <c r="C514" s="0" t="n">
        <v>2022</v>
      </c>
      <c r="E514" s="0" t="n">
        <v>63.038</v>
      </c>
      <c r="I514" s="0" t="n">
        <v>0</v>
      </c>
      <c r="J514" s="0" t="n">
        <v>31.432</v>
      </c>
      <c r="K514" s="0" t="n">
        <v>3.169</v>
      </c>
      <c r="L514" s="0" t="n">
        <v>3.646</v>
      </c>
    </row>
    <row r="515" customFormat="false" ht="15" hidden="false" customHeight="false" outlineLevel="0" collapsed="false">
      <c r="A515" s="0" t="s">
        <v>661</v>
      </c>
      <c r="C515" s="0" t="n">
        <v>2023</v>
      </c>
      <c r="E515" s="0" t="n">
        <v>65.601</v>
      </c>
      <c r="I515" s="0" t="n">
        <v>0</v>
      </c>
      <c r="J515" s="0" t="n">
        <v>25.393</v>
      </c>
      <c r="K515" s="0" t="n">
        <v>3.549</v>
      </c>
      <c r="L515" s="0" t="n">
        <v>4.3</v>
      </c>
    </row>
    <row r="516" customFormat="false" ht="15" hidden="false" customHeight="false" outlineLevel="0" collapsed="false">
      <c r="A516" s="0" t="s">
        <v>661</v>
      </c>
      <c r="C516" s="0" t="n">
        <v>2024</v>
      </c>
      <c r="E516" s="0" t="n">
        <v>66.945</v>
      </c>
      <c r="I516" s="0" t="n">
        <v>0</v>
      </c>
      <c r="J516" s="0" t="n">
        <v>28.64</v>
      </c>
      <c r="K516" s="0" t="n">
        <v>3.893</v>
      </c>
      <c r="L516" s="0" t="n">
        <v>3.547</v>
      </c>
    </row>
    <row r="517" customFormat="false" ht="15" hidden="false" customHeight="false" outlineLevel="0" collapsed="false">
      <c r="A517" s="0" t="s">
        <v>662</v>
      </c>
      <c r="C517" s="0" t="n">
        <v>2015</v>
      </c>
    </row>
    <row r="518" customFormat="false" ht="15" hidden="false" customHeight="false" outlineLevel="0" collapsed="false">
      <c r="A518" s="0" t="s">
        <v>662</v>
      </c>
      <c r="C518" s="0" t="n">
        <v>2016</v>
      </c>
    </row>
    <row r="519" customFormat="false" ht="15" hidden="false" customHeight="false" outlineLevel="0" collapsed="false">
      <c r="A519" s="0" t="s">
        <v>662</v>
      </c>
      <c r="C519" s="0" t="n">
        <v>2017</v>
      </c>
    </row>
    <row r="520" customFormat="false" ht="15" hidden="false" customHeight="false" outlineLevel="0" collapsed="false">
      <c r="A520" s="0" t="s">
        <v>662</v>
      </c>
      <c r="C520" s="0" t="n">
        <v>2018</v>
      </c>
    </row>
    <row r="521" customFormat="false" ht="15" hidden="false" customHeight="false" outlineLevel="0" collapsed="false">
      <c r="A521" s="0" t="s">
        <v>662</v>
      </c>
      <c r="C521" s="0" t="n">
        <v>2019</v>
      </c>
    </row>
    <row r="522" customFormat="false" ht="15" hidden="false" customHeight="false" outlineLevel="0" collapsed="false">
      <c r="A522" s="0" t="s">
        <v>662</v>
      </c>
      <c r="C522" s="0" t="n">
        <v>2020</v>
      </c>
    </row>
    <row r="523" customFormat="false" ht="15" hidden="false" customHeight="false" outlineLevel="0" collapsed="false">
      <c r="A523" s="0" t="s">
        <v>662</v>
      </c>
      <c r="C523" s="0" t="n">
        <v>2021</v>
      </c>
    </row>
    <row r="524" customFormat="false" ht="15" hidden="false" customHeight="false" outlineLevel="0" collapsed="false">
      <c r="A524" s="0" t="s">
        <v>662</v>
      </c>
      <c r="C524" s="0" t="n">
        <v>2022</v>
      </c>
    </row>
    <row r="525" customFormat="false" ht="15" hidden="false" customHeight="false" outlineLevel="0" collapsed="false">
      <c r="A525" s="0" t="s">
        <v>662</v>
      </c>
      <c r="C525" s="0" t="n">
        <v>2023</v>
      </c>
    </row>
    <row r="526" customFormat="false" ht="15" hidden="false" customHeight="false" outlineLevel="0" collapsed="false">
      <c r="A526" s="0" t="s">
        <v>663</v>
      </c>
      <c r="C526" s="0" t="n">
        <v>2015</v>
      </c>
    </row>
    <row r="527" customFormat="false" ht="15" hidden="false" customHeight="false" outlineLevel="0" collapsed="false">
      <c r="A527" s="0" t="s">
        <v>663</v>
      </c>
      <c r="C527" s="0" t="n">
        <v>2016</v>
      </c>
    </row>
    <row r="528" customFormat="false" ht="15" hidden="false" customHeight="false" outlineLevel="0" collapsed="false">
      <c r="A528" s="0" t="s">
        <v>218</v>
      </c>
      <c r="B528" s="0" t="s">
        <v>456</v>
      </c>
      <c r="C528" s="0" t="n">
        <v>2015</v>
      </c>
      <c r="D528" s="0" t="n">
        <v>14647626</v>
      </c>
      <c r="E528" s="0" t="n">
        <v>0.3</v>
      </c>
      <c r="F528" s="0" t="n">
        <v>0</v>
      </c>
      <c r="G528" s="0" t="n">
        <v>0</v>
      </c>
      <c r="H528" s="0" t="n">
        <v>0.29</v>
      </c>
      <c r="I528" s="0" t="n">
        <v>0</v>
      </c>
      <c r="J528" s="0" t="n">
        <v>0</v>
      </c>
      <c r="K528" s="0" t="n">
        <v>0</v>
      </c>
      <c r="L528" s="0" t="n">
        <v>0</v>
      </c>
      <c r="M528" s="0" t="n">
        <v>0.01</v>
      </c>
      <c r="N528" s="0" t="n">
        <v>0</v>
      </c>
      <c r="O528" s="0" t="n">
        <v>633.33</v>
      </c>
    </row>
    <row r="529" customFormat="false" ht="15" hidden="false" customHeight="false" outlineLevel="0" collapsed="false">
      <c r="A529" s="0" t="s">
        <v>218</v>
      </c>
      <c r="B529" s="0" t="s">
        <v>456</v>
      </c>
      <c r="C529" s="0" t="n">
        <v>2016</v>
      </c>
      <c r="D529" s="0" t="n">
        <v>15114652</v>
      </c>
      <c r="E529" s="0" t="n">
        <v>0.31</v>
      </c>
      <c r="F529" s="0" t="n">
        <v>0</v>
      </c>
      <c r="G529" s="0" t="n">
        <v>0</v>
      </c>
      <c r="H529" s="0" t="n">
        <v>0.29</v>
      </c>
      <c r="I529" s="0" t="n">
        <v>0</v>
      </c>
      <c r="J529" s="0" t="n">
        <v>0</v>
      </c>
      <c r="K529" s="0" t="n">
        <v>0</v>
      </c>
      <c r="L529" s="0" t="n">
        <v>0.01</v>
      </c>
      <c r="M529" s="0" t="n">
        <v>0.01</v>
      </c>
      <c r="N529" s="0" t="n">
        <v>0</v>
      </c>
      <c r="O529" s="0" t="n">
        <v>612.9</v>
      </c>
    </row>
    <row r="530" customFormat="false" ht="15" hidden="false" customHeight="false" outlineLevel="0" collapsed="false">
      <c r="A530" s="0" t="s">
        <v>218</v>
      </c>
      <c r="B530" s="0" t="s">
        <v>456</v>
      </c>
      <c r="C530" s="0" t="n">
        <v>2017</v>
      </c>
      <c r="D530" s="0" t="n">
        <v>15622756</v>
      </c>
      <c r="E530" s="0" t="n">
        <v>0.32</v>
      </c>
      <c r="F530" s="0" t="n">
        <v>0</v>
      </c>
      <c r="G530" s="0" t="n">
        <v>0</v>
      </c>
      <c r="H530" s="0" t="n">
        <v>0.3</v>
      </c>
      <c r="I530" s="0" t="n">
        <v>0</v>
      </c>
      <c r="J530" s="0" t="n">
        <v>0</v>
      </c>
      <c r="K530" s="0" t="n">
        <v>0</v>
      </c>
      <c r="L530" s="0" t="n">
        <v>0.01</v>
      </c>
      <c r="M530" s="0" t="n">
        <v>0.01</v>
      </c>
      <c r="N530" s="0" t="n">
        <v>0</v>
      </c>
      <c r="O530" s="0" t="n">
        <v>625</v>
      </c>
    </row>
    <row r="531" customFormat="false" ht="15" hidden="false" customHeight="false" outlineLevel="0" collapsed="false">
      <c r="A531" s="0" t="s">
        <v>218</v>
      </c>
      <c r="B531" s="0" t="s">
        <v>456</v>
      </c>
      <c r="C531" s="0" t="n">
        <v>2018</v>
      </c>
      <c r="D531" s="0" t="n">
        <v>16156535</v>
      </c>
      <c r="E531" s="0" t="n">
        <v>0.34</v>
      </c>
      <c r="F531" s="0" t="n">
        <v>0</v>
      </c>
      <c r="G531" s="0" t="n">
        <v>0</v>
      </c>
      <c r="H531" s="0" t="n">
        <v>0.32</v>
      </c>
      <c r="I531" s="0" t="n">
        <v>0</v>
      </c>
      <c r="J531" s="0" t="n">
        <v>0</v>
      </c>
      <c r="K531" s="0" t="n">
        <v>0</v>
      </c>
      <c r="L531" s="0" t="n">
        <v>0.01</v>
      </c>
      <c r="M531" s="0" t="n">
        <v>0.01</v>
      </c>
      <c r="N531" s="0" t="n">
        <v>0</v>
      </c>
      <c r="O531" s="0" t="n">
        <v>617.65</v>
      </c>
    </row>
    <row r="532" customFormat="false" ht="15" hidden="false" customHeight="false" outlineLevel="0" collapsed="false">
      <c r="A532" s="0" t="s">
        <v>218</v>
      </c>
      <c r="B532" s="0" t="s">
        <v>456</v>
      </c>
      <c r="C532" s="0" t="n">
        <v>2019</v>
      </c>
      <c r="D532" s="0" t="n">
        <v>16685223</v>
      </c>
      <c r="E532" s="0" t="n">
        <v>0.35</v>
      </c>
      <c r="F532" s="0" t="n">
        <v>0</v>
      </c>
      <c r="G532" s="0" t="n">
        <v>0</v>
      </c>
      <c r="H532" s="0" t="n">
        <v>0.33</v>
      </c>
      <c r="I532" s="0" t="n">
        <v>0</v>
      </c>
      <c r="J532" s="0" t="n">
        <v>0</v>
      </c>
      <c r="K532" s="0" t="n">
        <v>0</v>
      </c>
      <c r="L532" s="0" t="n">
        <v>0.01</v>
      </c>
      <c r="M532" s="0" t="n">
        <v>0.01</v>
      </c>
      <c r="N532" s="0" t="n">
        <v>0</v>
      </c>
      <c r="O532" s="0" t="n">
        <v>628.57</v>
      </c>
    </row>
    <row r="533" customFormat="false" ht="15" hidden="false" customHeight="false" outlineLevel="0" collapsed="false">
      <c r="A533" s="0" t="s">
        <v>218</v>
      </c>
      <c r="B533" s="0" t="s">
        <v>456</v>
      </c>
      <c r="C533" s="0" t="n">
        <v>2020</v>
      </c>
      <c r="D533" s="0" t="n">
        <v>17224686</v>
      </c>
      <c r="E533" s="0" t="n">
        <v>0.35</v>
      </c>
      <c r="F533" s="0" t="n">
        <v>0</v>
      </c>
      <c r="G533" s="0" t="n">
        <v>0</v>
      </c>
      <c r="H533" s="0" t="n">
        <v>0.33</v>
      </c>
      <c r="I533" s="0" t="n">
        <v>0</v>
      </c>
      <c r="J533" s="0" t="n">
        <v>0</v>
      </c>
      <c r="K533" s="0" t="n">
        <v>0</v>
      </c>
      <c r="L533" s="0" t="n">
        <v>0.01</v>
      </c>
      <c r="M533" s="0" t="n">
        <v>0.01</v>
      </c>
      <c r="N533" s="0" t="n">
        <v>0</v>
      </c>
      <c r="O533" s="0" t="n">
        <v>628.57</v>
      </c>
    </row>
    <row r="534" customFormat="false" ht="15" hidden="false" customHeight="false" outlineLevel="0" collapsed="false">
      <c r="A534" s="0" t="s">
        <v>218</v>
      </c>
      <c r="B534" s="0" t="s">
        <v>456</v>
      </c>
      <c r="C534" s="0" t="n">
        <v>2021</v>
      </c>
      <c r="D534" s="0" t="n">
        <v>17828274</v>
      </c>
      <c r="E534" s="0" t="n">
        <v>0.43</v>
      </c>
      <c r="F534" s="0" t="n">
        <v>0</v>
      </c>
      <c r="G534" s="0" t="n">
        <v>0</v>
      </c>
      <c r="H534" s="0" t="n">
        <v>0.41</v>
      </c>
      <c r="I534" s="0" t="n">
        <v>0</v>
      </c>
      <c r="J534" s="0" t="n">
        <v>0</v>
      </c>
      <c r="K534" s="0" t="n">
        <v>0</v>
      </c>
      <c r="L534" s="0" t="n">
        <v>0.01</v>
      </c>
      <c r="M534" s="0" t="n">
        <v>0.01</v>
      </c>
      <c r="N534" s="0" t="n">
        <v>0</v>
      </c>
      <c r="O534" s="0" t="n">
        <v>627.91</v>
      </c>
    </row>
    <row r="535" customFormat="false" ht="15" hidden="false" customHeight="false" outlineLevel="0" collapsed="false">
      <c r="A535" s="0" t="s">
        <v>218</v>
      </c>
      <c r="B535" s="0" t="s">
        <v>456</v>
      </c>
      <c r="C535" s="0" t="n">
        <v>2022</v>
      </c>
      <c r="D535" s="0" t="n">
        <v>18455319</v>
      </c>
      <c r="E535" s="0" t="n">
        <v>0.39</v>
      </c>
      <c r="F535" s="0" t="n">
        <v>0</v>
      </c>
      <c r="G535" s="0" t="n">
        <v>0</v>
      </c>
      <c r="H535" s="0" t="n">
        <v>0.37</v>
      </c>
      <c r="I535" s="0" t="n">
        <v>0</v>
      </c>
      <c r="J535" s="0" t="n">
        <v>0</v>
      </c>
      <c r="K535" s="0" t="n">
        <v>0</v>
      </c>
      <c r="L535" s="0" t="n">
        <v>0.01</v>
      </c>
      <c r="M535" s="0" t="n">
        <v>0.01</v>
      </c>
      <c r="N535" s="0" t="n">
        <v>0</v>
      </c>
      <c r="O535" s="0" t="n">
        <v>615.39</v>
      </c>
    </row>
    <row r="536" customFormat="false" ht="15" hidden="false" customHeight="false" outlineLevel="0" collapsed="false">
      <c r="A536" s="0" t="s">
        <v>218</v>
      </c>
      <c r="B536" s="0" t="s">
        <v>456</v>
      </c>
      <c r="C536" s="0" t="n">
        <v>2023</v>
      </c>
      <c r="D536" s="0" t="n">
        <v>19319075</v>
      </c>
      <c r="E536" s="0" t="n">
        <v>0.36</v>
      </c>
      <c r="F536" s="0" t="n">
        <v>0</v>
      </c>
      <c r="G536" s="0" t="n">
        <v>0</v>
      </c>
      <c r="H536" s="0" t="n">
        <v>0.34</v>
      </c>
      <c r="I536" s="0" t="n">
        <v>0</v>
      </c>
      <c r="J536" s="0" t="n">
        <v>0</v>
      </c>
      <c r="K536" s="0" t="n">
        <v>0</v>
      </c>
      <c r="L536" s="0" t="n">
        <v>0.01</v>
      </c>
      <c r="M536" s="0" t="n">
        <v>0.01</v>
      </c>
      <c r="N536" s="0" t="n">
        <v>0</v>
      </c>
      <c r="O536" s="0" t="n">
        <v>611.11</v>
      </c>
    </row>
    <row r="537" customFormat="false" ht="15" hidden="false" customHeight="false" outlineLevel="0" collapsed="false">
      <c r="A537" s="0" t="s">
        <v>218</v>
      </c>
      <c r="B537" s="0" t="s">
        <v>456</v>
      </c>
      <c r="C537" s="0" t="n">
        <v>2024</v>
      </c>
      <c r="D537" s="0" t="n">
        <v>20299131</v>
      </c>
      <c r="E537" s="0" t="n">
        <v>0.37</v>
      </c>
      <c r="F537" s="0" t="n">
        <v>0</v>
      </c>
      <c r="G537" s="0" t="n">
        <v>0</v>
      </c>
      <c r="H537" s="0" t="n">
        <v>0.35</v>
      </c>
      <c r="I537" s="0" t="n">
        <v>0</v>
      </c>
      <c r="J537" s="0" t="n">
        <v>0</v>
      </c>
      <c r="K537" s="0" t="n">
        <v>0</v>
      </c>
      <c r="L537" s="0" t="n">
        <v>0.01</v>
      </c>
      <c r="M537" s="0" t="n">
        <v>0.01</v>
      </c>
      <c r="N537" s="0" t="n">
        <v>0</v>
      </c>
      <c r="O537" s="0" t="n">
        <v>621.62</v>
      </c>
    </row>
    <row r="538" customFormat="false" ht="15" hidden="false" customHeight="false" outlineLevel="0" collapsed="false">
      <c r="A538" s="0" t="s">
        <v>219</v>
      </c>
      <c r="B538" s="0" t="s">
        <v>457</v>
      </c>
      <c r="C538" s="0" t="n">
        <v>2015</v>
      </c>
      <c r="D538" s="0" t="n">
        <v>18047630</v>
      </c>
      <c r="E538" s="0" t="n">
        <v>74.91</v>
      </c>
      <c r="F538" s="0" t="n">
        <v>28.03</v>
      </c>
      <c r="G538" s="0" t="n">
        <v>11.36</v>
      </c>
      <c r="H538" s="0" t="n">
        <v>3.16</v>
      </c>
      <c r="I538" s="0" t="n">
        <v>0</v>
      </c>
      <c r="J538" s="0" t="n">
        <v>23.4</v>
      </c>
      <c r="K538" s="0" t="n">
        <v>1.24</v>
      </c>
      <c r="L538" s="0" t="n">
        <v>2.11</v>
      </c>
      <c r="M538" s="0" t="n">
        <v>5.61</v>
      </c>
      <c r="N538" s="0" t="n">
        <v>0</v>
      </c>
      <c r="O538" s="0" t="n">
        <v>491.39</v>
      </c>
    </row>
    <row r="539" customFormat="false" ht="15" hidden="false" customHeight="false" outlineLevel="0" collapsed="false">
      <c r="A539" s="0" t="s">
        <v>219</v>
      </c>
      <c r="B539" s="0" t="s">
        <v>457</v>
      </c>
      <c r="C539" s="0" t="n">
        <v>2016</v>
      </c>
      <c r="D539" s="0" t="n">
        <v>18267225</v>
      </c>
      <c r="E539" s="0" t="n">
        <v>78.83</v>
      </c>
      <c r="F539" s="0" t="n">
        <v>30.26</v>
      </c>
      <c r="G539" s="0" t="n">
        <v>11.85</v>
      </c>
      <c r="H539" s="0" t="n">
        <v>2.91</v>
      </c>
      <c r="I539" s="0" t="n">
        <v>0</v>
      </c>
      <c r="J539" s="0" t="n">
        <v>22.81</v>
      </c>
      <c r="K539" s="0" t="n">
        <v>2.59</v>
      </c>
      <c r="L539" s="0" t="n">
        <v>2.45</v>
      </c>
      <c r="M539" s="0" t="n">
        <v>5.96</v>
      </c>
      <c r="N539" s="0" t="n">
        <v>0</v>
      </c>
      <c r="O539" s="0" t="n">
        <v>496.39</v>
      </c>
    </row>
    <row r="540" customFormat="false" ht="15" hidden="false" customHeight="false" outlineLevel="0" collapsed="false">
      <c r="A540" s="0" t="s">
        <v>219</v>
      </c>
      <c r="B540" s="0" t="s">
        <v>457</v>
      </c>
      <c r="C540" s="0" t="n">
        <v>2017</v>
      </c>
      <c r="D540" s="0" t="n">
        <v>18558868</v>
      </c>
      <c r="E540" s="0" t="n">
        <v>78.93</v>
      </c>
      <c r="F540" s="0" t="n">
        <v>29.3</v>
      </c>
      <c r="G540" s="0" t="n">
        <v>13.35</v>
      </c>
      <c r="H540" s="0" t="n">
        <v>1.91</v>
      </c>
      <c r="I540" s="0" t="n">
        <v>0</v>
      </c>
      <c r="J540" s="0" t="n">
        <v>20.89</v>
      </c>
      <c r="K540" s="0" t="n">
        <v>3.84</v>
      </c>
      <c r="L540" s="0" t="n">
        <v>3.52</v>
      </c>
      <c r="M540" s="0" t="n">
        <v>6.06</v>
      </c>
      <c r="N540" s="0" t="n">
        <v>0.06</v>
      </c>
      <c r="O540" s="0" t="n">
        <v>487.27</v>
      </c>
    </row>
    <row r="541" customFormat="false" ht="15" hidden="false" customHeight="false" outlineLevel="0" collapsed="false">
      <c r="A541" s="0" t="s">
        <v>219</v>
      </c>
      <c r="B541" s="0" t="s">
        <v>457</v>
      </c>
      <c r="C541" s="0" t="n">
        <v>2018</v>
      </c>
      <c r="D541" s="0" t="n">
        <v>18893185</v>
      </c>
      <c r="E541" s="0" t="n">
        <v>81.76</v>
      </c>
      <c r="F541" s="0" t="n">
        <v>29.89</v>
      </c>
      <c r="G541" s="0" t="n">
        <v>13.08</v>
      </c>
      <c r="H541" s="0" t="n">
        <v>1.29</v>
      </c>
      <c r="I541" s="0" t="n">
        <v>0</v>
      </c>
      <c r="J541" s="0" t="n">
        <v>22.9</v>
      </c>
      <c r="K541" s="0" t="n">
        <v>5.12</v>
      </c>
      <c r="L541" s="0" t="n">
        <v>3.58</v>
      </c>
      <c r="M541" s="0" t="n">
        <v>5.69</v>
      </c>
      <c r="N541" s="0" t="n">
        <v>0.21</v>
      </c>
      <c r="O541" s="0" t="n">
        <v>470.28</v>
      </c>
    </row>
    <row r="542" customFormat="false" ht="15" hidden="false" customHeight="false" outlineLevel="0" collapsed="false">
      <c r="A542" s="0" t="s">
        <v>219</v>
      </c>
      <c r="B542" s="0" t="s">
        <v>457</v>
      </c>
      <c r="C542" s="0" t="n">
        <v>2019</v>
      </c>
      <c r="D542" s="0" t="n">
        <v>19197748</v>
      </c>
      <c r="E542" s="0" t="n">
        <v>83.98</v>
      </c>
      <c r="F542" s="0" t="n">
        <v>28.13</v>
      </c>
      <c r="G542" s="0" t="n">
        <v>15.87</v>
      </c>
      <c r="H542" s="0" t="n">
        <v>1.17</v>
      </c>
      <c r="I542" s="0" t="n">
        <v>0</v>
      </c>
      <c r="J542" s="0" t="n">
        <v>22.03</v>
      </c>
      <c r="K542" s="0" t="n">
        <v>6.3</v>
      </c>
      <c r="L542" s="0" t="n">
        <v>4.89</v>
      </c>
      <c r="M542" s="0" t="n">
        <v>5.39</v>
      </c>
      <c r="N542" s="0" t="n">
        <v>0.2</v>
      </c>
      <c r="O542" s="0" t="n">
        <v>456.54</v>
      </c>
    </row>
    <row r="543" customFormat="false" ht="15" hidden="false" customHeight="false" outlineLevel="0" collapsed="false">
      <c r="A543" s="0" t="s">
        <v>219</v>
      </c>
      <c r="B543" s="0" t="s">
        <v>457</v>
      </c>
      <c r="C543" s="0" t="n">
        <v>2020</v>
      </c>
      <c r="D543" s="0" t="n">
        <v>19370621</v>
      </c>
      <c r="E543" s="0" t="n">
        <v>83.58</v>
      </c>
      <c r="F543" s="0" t="n">
        <v>26.07</v>
      </c>
      <c r="G543" s="0" t="n">
        <v>15.29</v>
      </c>
      <c r="H543" s="0" t="n">
        <v>1.73</v>
      </c>
      <c r="I543" s="0" t="n">
        <v>0</v>
      </c>
      <c r="J543" s="0" t="n">
        <v>21.93</v>
      </c>
      <c r="K543" s="0" t="n">
        <v>7.53</v>
      </c>
      <c r="L543" s="0" t="n">
        <v>5.55</v>
      </c>
      <c r="M543" s="0" t="n">
        <v>5.24</v>
      </c>
      <c r="N543" s="0" t="n">
        <v>0.24</v>
      </c>
      <c r="O543" s="0" t="n">
        <v>436.83</v>
      </c>
    </row>
    <row r="544" customFormat="false" ht="15" hidden="false" customHeight="false" outlineLevel="0" collapsed="false">
      <c r="A544" s="0" t="s">
        <v>219</v>
      </c>
      <c r="B544" s="0" t="s">
        <v>457</v>
      </c>
      <c r="C544" s="0" t="n">
        <v>2021</v>
      </c>
      <c r="D544" s="0" t="n">
        <v>19456323</v>
      </c>
      <c r="E544" s="0" t="n">
        <v>88.1</v>
      </c>
      <c r="F544" s="0" t="n">
        <v>26.07</v>
      </c>
      <c r="G544" s="0" t="n">
        <v>15.9</v>
      </c>
      <c r="H544" s="0" t="n">
        <v>3.06</v>
      </c>
      <c r="I544" s="0" t="n">
        <v>0</v>
      </c>
      <c r="J544" s="0" t="n">
        <v>18.96</v>
      </c>
      <c r="K544" s="0" t="n">
        <v>10.56</v>
      </c>
      <c r="L544" s="0" t="n">
        <v>7.62</v>
      </c>
      <c r="M544" s="0" t="n">
        <v>5.61</v>
      </c>
      <c r="N544" s="0" t="n">
        <v>0.32</v>
      </c>
      <c r="O544" s="0" t="n">
        <v>430.99</v>
      </c>
    </row>
    <row r="545" customFormat="false" ht="15" hidden="false" customHeight="false" outlineLevel="0" collapsed="false">
      <c r="A545" s="0" t="s">
        <v>219</v>
      </c>
      <c r="B545" s="0" t="s">
        <v>457</v>
      </c>
      <c r="C545" s="0" t="n">
        <v>2022</v>
      </c>
      <c r="D545" s="0" t="n">
        <v>19553033</v>
      </c>
      <c r="E545" s="0" t="n">
        <v>91.04</v>
      </c>
      <c r="F545" s="0" t="n">
        <v>21.52</v>
      </c>
      <c r="G545" s="0" t="n">
        <v>16.09</v>
      </c>
      <c r="H545" s="0" t="n">
        <v>3.06</v>
      </c>
      <c r="I545" s="0" t="n">
        <v>0</v>
      </c>
      <c r="J545" s="0" t="n">
        <v>20.68</v>
      </c>
      <c r="K545" s="0" t="n">
        <v>15.71</v>
      </c>
      <c r="L545" s="0" t="n">
        <v>8.88</v>
      </c>
      <c r="M545" s="0" t="n">
        <v>4.64</v>
      </c>
      <c r="N545" s="0" t="n">
        <v>0.46</v>
      </c>
      <c r="O545" s="0" t="n">
        <v>372.8</v>
      </c>
    </row>
    <row r="546" customFormat="false" ht="15" hidden="false" customHeight="false" outlineLevel="0" collapsed="false">
      <c r="A546" s="0" t="s">
        <v>219</v>
      </c>
      <c r="B546" s="0" t="s">
        <v>457</v>
      </c>
      <c r="C546" s="0" t="n">
        <v>2023</v>
      </c>
      <c r="D546" s="0" t="n">
        <v>19658833</v>
      </c>
      <c r="E546" s="0" t="n">
        <v>89.23</v>
      </c>
      <c r="F546" s="0" t="n">
        <v>14.5</v>
      </c>
      <c r="G546" s="0" t="n">
        <v>16.76</v>
      </c>
      <c r="H546" s="0" t="n">
        <v>1.63</v>
      </c>
      <c r="I546" s="0" t="n">
        <v>0</v>
      </c>
      <c r="J546" s="0" t="n">
        <v>23.3</v>
      </c>
      <c r="K546" s="0" t="n">
        <v>17.94</v>
      </c>
      <c r="L546" s="0" t="n">
        <v>9.46</v>
      </c>
      <c r="M546" s="0" t="n">
        <v>5.2</v>
      </c>
      <c r="N546" s="0" t="n">
        <v>0.44</v>
      </c>
      <c r="O546" s="0" t="n">
        <v>303.82</v>
      </c>
    </row>
    <row r="547" customFormat="false" ht="15" hidden="false" customHeight="false" outlineLevel="0" collapsed="false">
      <c r="A547" s="0" t="s">
        <v>219</v>
      </c>
      <c r="B547" s="0" t="s">
        <v>457</v>
      </c>
      <c r="C547" s="0" t="n">
        <v>2024</v>
      </c>
      <c r="D547" s="0" t="n">
        <v>19764774</v>
      </c>
      <c r="E547" s="0" t="n">
        <v>88.62</v>
      </c>
      <c r="F547" s="0" t="n">
        <v>13.56</v>
      </c>
      <c r="G547" s="0" t="n">
        <v>12.67</v>
      </c>
      <c r="H547" s="0" t="n">
        <v>0.32</v>
      </c>
      <c r="I547" s="0" t="n">
        <v>0</v>
      </c>
      <c r="J547" s="0" t="n">
        <v>26</v>
      </c>
      <c r="K547" s="0" t="n">
        <v>20.19</v>
      </c>
      <c r="L547" s="0" t="n">
        <v>10.43</v>
      </c>
      <c r="M547" s="0" t="n">
        <v>5</v>
      </c>
      <c r="N547" s="0" t="n">
        <v>0.45</v>
      </c>
      <c r="O547" s="0" t="n">
        <v>259.87</v>
      </c>
    </row>
    <row r="548" customFormat="false" ht="15" hidden="false" customHeight="false" outlineLevel="0" collapsed="false">
      <c r="A548" s="0" t="s">
        <v>219</v>
      </c>
      <c r="B548" s="0" t="s">
        <v>457</v>
      </c>
      <c r="C548" s="0" t="n">
        <v>2025</v>
      </c>
      <c r="D548" s="0" t="n">
        <v>19859919</v>
      </c>
      <c r="E548" s="0" t="n">
        <v>88.5</v>
      </c>
      <c r="F548" s="0" t="n">
        <v>15.72</v>
      </c>
      <c r="G548" s="0" t="n">
        <v>13.54</v>
      </c>
      <c r="H548" s="0" t="n">
        <v>0.5</v>
      </c>
      <c r="I548" s="0" t="n">
        <v>0</v>
      </c>
      <c r="J548" s="0" t="n">
        <v>19.68</v>
      </c>
      <c r="K548" s="0" t="n">
        <v>22.18</v>
      </c>
      <c r="L548" s="0" t="n">
        <v>11.58</v>
      </c>
      <c r="M548" s="0" t="n">
        <v>5.03</v>
      </c>
      <c r="N548" s="0" t="n">
        <v>0.27</v>
      </c>
      <c r="O548" s="0" t="n">
        <v>289.49</v>
      </c>
    </row>
    <row r="549" customFormat="false" ht="15" hidden="false" customHeight="false" outlineLevel="0" collapsed="false">
      <c r="A549" s="0" t="s">
        <v>220</v>
      </c>
      <c r="B549" s="0" t="s">
        <v>458</v>
      </c>
      <c r="C549" s="0" t="n">
        <v>2015</v>
      </c>
      <c r="D549" s="0" t="n">
        <v>1396134171</v>
      </c>
      <c r="E549" s="0" t="n">
        <v>5814.58</v>
      </c>
      <c r="F549" s="0" t="n">
        <v>4046.17</v>
      </c>
      <c r="G549" s="0" t="n">
        <v>166.91</v>
      </c>
      <c r="H549" s="0" t="n">
        <v>36.46</v>
      </c>
      <c r="I549" s="0" t="n">
        <v>171.38</v>
      </c>
      <c r="J549" s="0" t="n">
        <v>1114.52</v>
      </c>
      <c r="K549" s="0" t="n">
        <v>39.48</v>
      </c>
      <c r="L549" s="0" t="n">
        <v>185.59</v>
      </c>
      <c r="M549" s="0" t="n">
        <v>54.07</v>
      </c>
      <c r="O549" s="0" t="n">
        <v>667.85</v>
      </c>
    </row>
    <row r="550" customFormat="false" ht="15" hidden="false" customHeight="false" outlineLevel="0" collapsed="false">
      <c r="A550" s="0" t="s">
        <v>220</v>
      </c>
      <c r="B550" s="0" t="s">
        <v>458</v>
      </c>
      <c r="C550" s="0" t="n">
        <v>2016</v>
      </c>
      <c r="D550" s="0" t="n">
        <v>1404052628</v>
      </c>
      <c r="E550" s="0" t="n">
        <v>6133.16</v>
      </c>
      <c r="F550" s="0" t="n">
        <v>4156.35</v>
      </c>
      <c r="G550" s="0" t="n">
        <v>188.28</v>
      </c>
      <c r="H550" s="0" t="n">
        <v>52.56</v>
      </c>
      <c r="I550" s="0" t="n">
        <v>213.18</v>
      </c>
      <c r="J550" s="0" t="n">
        <v>1153.27</v>
      </c>
      <c r="K550" s="0" t="n">
        <v>66.53</v>
      </c>
      <c r="L550" s="0" t="n">
        <v>240.86</v>
      </c>
      <c r="M550" s="0" t="n">
        <v>62.13</v>
      </c>
      <c r="O550" s="0" t="n">
        <v>651.76</v>
      </c>
    </row>
    <row r="551" customFormat="false" ht="15" hidden="false" customHeight="false" outlineLevel="0" collapsed="false">
      <c r="A551" s="0" t="s">
        <v>220</v>
      </c>
      <c r="B551" s="0" t="s">
        <v>458</v>
      </c>
      <c r="C551" s="0" t="n">
        <v>2017</v>
      </c>
      <c r="D551" s="0" t="n">
        <v>1412354730</v>
      </c>
      <c r="E551" s="0" t="n">
        <v>6604.44</v>
      </c>
      <c r="F551" s="0" t="n">
        <v>4430.03</v>
      </c>
      <c r="G551" s="0" t="n">
        <v>203.2</v>
      </c>
      <c r="H551" s="0" t="n">
        <v>56.05</v>
      </c>
      <c r="I551" s="0" t="n">
        <v>248.1</v>
      </c>
      <c r="J551" s="0" t="n">
        <v>1165.06</v>
      </c>
      <c r="K551" s="0" t="n">
        <v>117.8</v>
      </c>
      <c r="L551" s="0" t="n">
        <v>304.6</v>
      </c>
      <c r="M551" s="0" t="n">
        <v>79.6</v>
      </c>
      <c r="O551" s="0" t="n">
        <v>644.21</v>
      </c>
    </row>
    <row r="552" customFormat="false" ht="15" hidden="false" customHeight="false" outlineLevel="0" collapsed="false">
      <c r="A552" s="0" t="s">
        <v>220</v>
      </c>
      <c r="B552" s="0" t="s">
        <v>458</v>
      </c>
      <c r="C552" s="0" t="n">
        <v>2018</v>
      </c>
      <c r="D552" s="0" t="n">
        <v>1419008954</v>
      </c>
      <c r="E552" s="0" t="n">
        <v>7166.14</v>
      </c>
      <c r="F552" s="0" t="n">
        <v>4763.85</v>
      </c>
      <c r="G552" s="0" t="n">
        <v>215.5</v>
      </c>
      <c r="H552" s="0" t="n">
        <v>56.4</v>
      </c>
      <c r="I552" s="0" t="n">
        <v>295</v>
      </c>
      <c r="J552" s="0" t="n">
        <v>1198.89</v>
      </c>
      <c r="K552" s="0" t="n">
        <v>176.9</v>
      </c>
      <c r="L552" s="0" t="n">
        <v>365.8</v>
      </c>
      <c r="M552" s="0" t="n">
        <v>93.8</v>
      </c>
      <c r="O552" s="0" t="n">
        <v>636.89</v>
      </c>
    </row>
    <row r="553" customFormat="false" ht="15" hidden="false" customHeight="false" outlineLevel="0" collapsed="false">
      <c r="A553" s="0" t="s">
        <v>220</v>
      </c>
      <c r="B553" s="0" t="s">
        <v>458</v>
      </c>
      <c r="C553" s="0" t="n">
        <v>2019</v>
      </c>
      <c r="D553" s="0" t="n">
        <v>1423520357</v>
      </c>
      <c r="E553" s="0" t="n">
        <v>7503.43</v>
      </c>
      <c r="F553" s="0" t="n">
        <v>4855.12</v>
      </c>
      <c r="G553" s="0" t="n">
        <v>232.5</v>
      </c>
      <c r="H553" s="0" t="n">
        <v>52.47</v>
      </c>
      <c r="I553" s="0" t="n">
        <v>348.7</v>
      </c>
      <c r="J553" s="0" t="n">
        <v>1272.54</v>
      </c>
      <c r="K553" s="0" t="n">
        <v>224</v>
      </c>
      <c r="L553" s="0" t="n">
        <v>405.3</v>
      </c>
      <c r="M553" s="0" t="n">
        <v>112.8</v>
      </c>
      <c r="O553" s="0" t="n">
        <v>619.63</v>
      </c>
    </row>
    <row r="554" customFormat="false" ht="15" hidden="false" customHeight="false" outlineLevel="0" collapsed="false">
      <c r="A554" s="0" t="s">
        <v>220</v>
      </c>
      <c r="B554" s="0" t="s">
        <v>458</v>
      </c>
      <c r="C554" s="0" t="n">
        <v>2020</v>
      </c>
      <c r="D554" s="0" t="n">
        <v>1426106093</v>
      </c>
      <c r="E554" s="0" t="n">
        <v>7779.07</v>
      </c>
      <c r="F554" s="0" t="n">
        <v>4921.89</v>
      </c>
      <c r="G554" s="0" t="n">
        <v>252.5</v>
      </c>
      <c r="H554" s="0" t="n">
        <v>53.47</v>
      </c>
      <c r="I554" s="0" t="n">
        <v>366.2</v>
      </c>
      <c r="J554" s="0" t="n">
        <v>1321.71</v>
      </c>
      <c r="K554" s="0" t="n">
        <v>261.1</v>
      </c>
      <c r="L554" s="0" t="n">
        <v>466.5</v>
      </c>
      <c r="M554" s="0" t="n">
        <v>135.7</v>
      </c>
      <c r="O554" s="0" t="n">
        <v>606.29</v>
      </c>
    </row>
    <row r="555" customFormat="false" ht="15" hidden="false" customHeight="false" outlineLevel="0" collapsed="false">
      <c r="A555" s="0" t="s">
        <v>220</v>
      </c>
      <c r="B555" s="0" t="s">
        <v>458</v>
      </c>
      <c r="C555" s="0" t="n">
        <v>2021</v>
      </c>
      <c r="D555" s="0" t="n">
        <v>1426437269</v>
      </c>
      <c r="E555" s="0" t="n">
        <v>8534.26</v>
      </c>
      <c r="F555" s="0" t="n">
        <v>5333.8</v>
      </c>
      <c r="G555" s="0" t="n">
        <v>287.1</v>
      </c>
      <c r="H555" s="0" t="n">
        <v>57.06</v>
      </c>
      <c r="I555" s="0" t="n">
        <v>407.5</v>
      </c>
      <c r="J555" s="0" t="n">
        <v>1300</v>
      </c>
      <c r="K555" s="0" t="n">
        <v>327</v>
      </c>
      <c r="L555" s="0" t="n">
        <v>655.8</v>
      </c>
      <c r="M555" s="0" t="n">
        <v>166</v>
      </c>
      <c r="O555" s="0" t="n">
        <v>599.05</v>
      </c>
    </row>
    <row r="556" customFormat="false" ht="15" hidden="false" customHeight="false" outlineLevel="0" collapsed="false">
      <c r="A556" s="0" t="s">
        <v>220</v>
      </c>
      <c r="B556" s="0" t="s">
        <v>458</v>
      </c>
      <c r="C556" s="0" t="n">
        <v>2022</v>
      </c>
      <c r="D556" s="0" t="n">
        <v>1425179562</v>
      </c>
      <c r="E556" s="0" t="n">
        <v>8848.71</v>
      </c>
      <c r="F556" s="0" t="n">
        <v>5414.72</v>
      </c>
      <c r="G556" s="0" t="n">
        <v>275.62</v>
      </c>
      <c r="H556" s="0" t="n">
        <v>69.93</v>
      </c>
      <c r="I556" s="0" t="n">
        <v>417.78</v>
      </c>
      <c r="J556" s="0" t="n">
        <v>1298.12</v>
      </c>
      <c r="K556" s="0" t="n">
        <v>427.27</v>
      </c>
      <c r="L556" s="0" t="n">
        <v>762.67</v>
      </c>
      <c r="M556" s="0" t="n">
        <v>182.6</v>
      </c>
      <c r="O556" s="0" t="n">
        <v>586.75</v>
      </c>
    </row>
    <row r="557" customFormat="false" ht="15" hidden="false" customHeight="false" outlineLevel="0" collapsed="false">
      <c r="A557" s="0" t="s">
        <v>220</v>
      </c>
      <c r="B557" s="0" t="s">
        <v>458</v>
      </c>
      <c r="C557" s="0" t="n">
        <v>2023</v>
      </c>
      <c r="D557" s="0" t="n">
        <v>1422584930</v>
      </c>
      <c r="E557" s="0" t="n">
        <v>9456.45</v>
      </c>
      <c r="F557" s="0" t="n">
        <v>5752.74</v>
      </c>
      <c r="G557" s="0" t="n">
        <v>297.8</v>
      </c>
      <c r="H557" s="0" t="n">
        <v>76.97</v>
      </c>
      <c r="I557" s="0" t="n">
        <v>434.72</v>
      </c>
      <c r="J557" s="0" t="n">
        <v>1226</v>
      </c>
      <c r="K557" s="0" t="n">
        <v>584.15</v>
      </c>
      <c r="L557" s="0" t="n">
        <v>885.87</v>
      </c>
      <c r="M557" s="0" t="n">
        <v>198.2</v>
      </c>
      <c r="O557" s="0" t="n">
        <v>583.04</v>
      </c>
    </row>
    <row r="558" customFormat="false" ht="15" hidden="false" customHeight="false" outlineLevel="0" collapsed="false">
      <c r="A558" s="0" t="s">
        <v>220</v>
      </c>
      <c r="B558" s="0" t="s">
        <v>458</v>
      </c>
      <c r="C558" s="0" t="n">
        <v>2024</v>
      </c>
      <c r="D558" s="0" t="n">
        <v>1419321284</v>
      </c>
      <c r="E558" s="0" t="n">
        <v>10086.88</v>
      </c>
      <c r="F558" s="0" t="n">
        <v>5827.6</v>
      </c>
      <c r="G558" s="0" t="n">
        <v>320.72</v>
      </c>
      <c r="H558" s="0" t="n">
        <v>88.88</v>
      </c>
      <c r="I558" s="0" t="n">
        <v>450.85</v>
      </c>
      <c r="J558" s="0" t="n">
        <v>1354.25</v>
      </c>
      <c r="K558" s="0" t="n">
        <v>839.04</v>
      </c>
      <c r="L558" s="0" t="n">
        <v>997.04</v>
      </c>
      <c r="M558" s="0" t="n">
        <v>208.5</v>
      </c>
      <c r="O558" s="0" t="n">
        <v>555.4</v>
      </c>
    </row>
    <row r="559" customFormat="false" ht="15" hidden="false" customHeight="false" outlineLevel="0" collapsed="false">
      <c r="A559" s="0" t="s">
        <v>220</v>
      </c>
      <c r="B559" s="0" t="s">
        <v>458</v>
      </c>
      <c r="C559" s="0" t="n">
        <v>2025</v>
      </c>
      <c r="D559" s="0" t="n">
        <v>1416096093</v>
      </c>
      <c r="E559" s="0" t="n">
        <v>10583.36</v>
      </c>
      <c r="F559" s="0" t="n">
        <v>5751.56</v>
      </c>
      <c r="G559" s="0" t="n">
        <v>334.17</v>
      </c>
      <c r="H559" s="0" t="n">
        <v>89.55</v>
      </c>
      <c r="I559" s="0" t="n">
        <v>487.61</v>
      </c>
      <c r="J559" s="0" t="n">
        <v>1397.06</v>
      </c>
      <c r="K559" s="0" t="n">
        <v>1174.96</v>
      </c>
      <c r="L559" s="0" t="n">
        <v>1135.44</v>
      </c>
      <c r="M559" s="0" t="n">
        <v>213.01</v>
      </c>
      <c r="O559" s="0" t="n">
        <v>525.34</v>
      </c>
    </row>
    <row r="560" customFormat="false" ht="15" hidden="false" customHeight="false" outlineLevel="0" collapsed="false">
      <c r="A560" s="0" t="s">
        <v>221</v>
      </c>
      <c r="B560" s="0" t="s">
        <v>459</v>
      </c>
      <c r="C560" s="0" t="n">
        <v>2015</v>
      </c>
      <c r="D560" s="0" t="n">
        <v>46969938</v>
      </c>
      <c r="E560" s="0" t="n">
        <v>77.97</v>
      </c>
      <c r="F560" s="0" t="n">
        <v>7.06</v>
      </c>
      <c r="G560" s="0" t="n">
        <v>17.95</v>
      </c>
      <c r="H560" s="0" t="n">
        <v>3.57</v>
      </c>
      <c r="I560" s="0" t="n">
        <v>0</v>
      </c>
      <c r="J560" s="0" t="n">
        <v>47.94</v>
      </c>
      <c r="K560" s="0" t="n">
        <v>0.01</v>
      </c>
      <c r="L560" s="0" t="n">
        <v>0.07</v>
      </c>
      <c r="M560" s="0" t="n">
        <v>1.37</v>
      </c>
      <c r="N560" s="0" t="n">
        <v>0</v>
      </c>
      <c r="O560" s="0" t="n">
        <v>275.36</v>
      </c>
    </row>
    <row r="561" customFormat="false" ht="15" hidden="false" customHeight="false" outlineLevel="0" collapsed="false">
      <c r="A561" s="0" t="s">
        <v>221</v>
      </c>
      <c r="B561" s="0" t="s">
        <v>459</v>
      </c>
      <c r="C561" s="0" t="n">
        <v>2016</v>
      </c>
      <c r="D561" s="0" t="n">
        <v>47437513</v>
      </c>
      <c r="E561" s="0" t="n">
        <v>76.17</v>
      </c>
      <c r="F561" s="0" t="n">
        <v>6.18</v>
      </c>
      <c r="G561" s="0" t="n">
        <v>15.9</v>
      </c>
      <c r="H561" s="0" t="n">
        <v>4.11</v>
      </c>
      <c r="I561" s="0" t="n">
        <v>0</v>
      </c>
      <c r="J561" s="0" t="n">
        <v>48.46</v>
      </c>
      <c r="K561" s="0" t="n">
        <v>0.01</v>
      </c>
      <c r="L561" s="0" t="n">
        <v>0.05</v>
      </c>
      <c r="M561" s="0" t="n">
        <v>1.46</v>
      </c>
      <c r="N561" s="0" t="n">
        <v>0</v>
      </c>
      <c r="O561" s="0" t="n">
        <v>259.55</v>
      </c>
    </row>
    <row r="562" customFormat="false" ht="15" hidden="false" customHeight="false" outlineLevel="0" collapsed="false">
      <c r="A562" s="0" t="s">
        <v>221</v>
      </c>
      <c r="B562" s="0" t="s">
        <v>459</v>
      </c>
      <c r="C562" s="0" t="n">
        <v>2017</v>
      </c>
      <c r="D562" s="0" t="n">
        <v>48131076</v>
      </c>
      <c r="E562" s="0" t="n">
        <v>78.47</v>
      </c>
      <c r="F562" s="0" t="n">
        <v>3.15</v>
      </c>
      <c r="G562" s="0" t="n">
        <v>11.01</v>
      </c>
      <c r="H562" s="0" t="n">
        <v>2.24</v>
      </c>
      <c r="I562" s="0" t="n">
        <v>0</v>
      </c>
      <c r="J562" s="0" t="n">
        <v>60.64</v>
      </c>
      <c r="K562" s="0" t="n">
        <v>0.01</v>
      </c>
      <c r="L562" s="0" t="n">
        <v>0</v>
      </c>
      <c r="M562" s="0" t="n">
        <v>1.42</v>
      </c>
      <c r="N562" s="0" t="n">
        <v>0</v>
      </c>
      <c r="O562" s="0" t="n">
        <v>166.18</v>
      </c>
    </row>
    <row r="563" customFormat="false" ht="15" hidden="false" customHeight="false" outlineLevel="0" collapsed="false">
      <c r="A563" s="0" t="s">
        <v>221</v>
      </c>
      <c r="B563" s="0" t="s">
        <v>459</v>
      </c>
      <c r="C563" s="0" t="n">
        <v>2018</v>
      </c>
      <c r="D563" s="0" t="n">
        <v>49024463</v>
      </c>
      <c r="E563" s="0" t="n">
        <v>78.21</v>
      </c>
      <c r="F563" s="0" t="n">
        <v>4.52</v>
      </c>
      <c r="G563" s="0" t="n">
        <v>11.62</v>
      </c>
      <c r="H563" s="0" t="n">
        <v>2.37</v>
      </c>
      <c r="I563" s="0" t="n">
        <v>0</v>
      </c>
      <c r="J563" s="0" t="n">
        <v>58.19</v>
      </c>
      <c r="K563" s="0" t="n">
        <v>0.02</v>
      </c>
      <c r="L563" s="0" t="n">
        <v>0.04</v>
      </c>
      <c r="M563" s="0" t="n">
        <v>1.45</v>
      </c>
      <c r="N563" s="0" t="n">
        <v>0</v>
      </c>
      <c r="O563" s="0" t="n">
        <v>187.44</v>
      </c>
    </row>
    <row r="564" customFormat="false" ht="15" hidden="false" customHeight="false" outlineLevel="0" collapsed="false">
      <c r="A564" s="0" t="s">
        <v>221</v>
      </c>
      <c r="B564" s="0" t="s">
        <v>459</v>
      </c>
      <c r="C564" s="0" t="n">
        <v>2019</v>
      </c>
      <c r="D564" s="0" t="n">
        <v>49907987</v>
      </c>
      <c r="E564" s="0" t="n">
        <v>78.78</v>
      </c>
      <c r="F564" s="0" t="n">
        <v>8.13</v>
      </c>
      <c r="G564" s="0" t="n">
        <v>13.16</v>
      </c>
      <c r="H564" s="0" t="n">
        <v>2.75</v>
      </c>
      <c r="I564" s="0" t="n">
        <v>0</v>
      </c>
      <c r="J564" s="0" t="n">
        <v>52.98</v>
      </c>
      <c r="K564" s="0" t="n">
        <v>0.13</v>
      </c>
      <c r="L564" s="0" t="n">
        <v>0.06</v>
      </c>
      <c r="M564" s="0" t="n">
        <v>1.57</v>
      </c>
      <c r="N564" s="0" t="n">
        <v>0</v>
      </c>
      <c r="O564" s="0" t="n">
        <v>240.92</v>
      </c>
    </row>
    <row r="565" customFormat="false" ht="15" hidden="false" customHeight="false" outlineLevel="0" collapsed="false">
      <c r="A565" s="0" t="s">
        <v>221</v>
      </c>
      <c r="B565" s="0" t="s">
        <v>459</v>
      </c>
      <c r="C565" s="0" t="n">
        <v>2020</v>
      </c>
      <c r="D565" s="0" t="n">
        <v>50629997</v>
      </c>
      <c r="E565" s="0" t="n">
        <v>77.75</v>
      </c>
      <c r="F565" s="0" t="n">
        <v>9.12</v>
      </c>
      <c r="G565" s="0" t="n">
        <v>15.19</v>
      </c>
      <c r="H565" s="0" t="n">
        <v>2.65</v>
      </c>
      <c r="I565" s="0" t="n">
        <v>0</v>
      </c>
      <c r="J565" s="0" t="n">
        <v>48.44</v>
      </c>
      <c r="K565" s="0" t="n">
        <v>0.19</v>
      </c>
      <c r="L565" s="0" t="n">
        <v>0.01</v>
      </c>
      <c r="M565" s="0" t="n">
        <v>2.15</v>
      </c>
      <c r="N565" s="0" t="n">
        <v>0</v>
      </c>
      <c r="O565" s="0" t="n">
        <v>271.25</v>
      </c>
    </row>
    <row r="566" customFormat="false" ht="15" hidden="false" customHeight="false" outlineLevel="0" collapsed="false">
      <c r="A566" s="0" t="s">
        <v>221</v>
      </c>
      <c r="B566" s="0" t="s">
        <v>459</v>
      </c>
      <c r="C566" s="0" t="n">
        <v>2021</v>
      </c>
      <c r="D566" s="0" t="n">
        <v>51188174</v>
      </c>
      <c r="E566" s="0" t="n">
        <v>84.36</v>
      </c>
      <c r="F566" s="0" t="n">
        <v>4.44</v>
      </c>
      <c r="G566" s="0" t="n">
        <v>13.76</v>
      </c>
      <c r="H566" s="0" t="n">
        <v>2.83</v>
      </c>
      <c r="I566" s="0" t="n">
        <v>0</v>
      </c>
      <c r="J566" s="0" t="n">
        <v>60.7</v>
      </c>
      <c r="K566" s="0" t="n">
        <v>0.33</v>
      </c>
      <c r="L566" s="0" t="n">
        <v>0.06</v>
      </c>
      <c r="M566" s="0" t="n">
        <v>2.24</v>
      </c>
      <c r="N566" s="0" t="n">
        <v>0</v>
      </c>
      <c r="O566" s="0" t="n">
        <v>195.83</v>
      </c>
    </row>
    <row r="567" customFormat="false" ht="15" hidden="false" customHeight="false" outlineLevel="0" collapsed="false">
      <c r="A567" s="0" t="s">
        <v>221</v>
      </c>
      <c r="B567" s="0" t="s">
        <v>459</v>
      </c>
      <c r="C567" s="0" t="n">
        <v>2022</v>
      </c>
      <c r="D567" s="0" t="n">
        <v>51737944</v>
      </c>
      <c r="E567" s="0" t="n">
        <v>82.86</v>
      </c>
      <c r="F567" s="0" t="n">
        <v>5.01</v>
      </c>
      <c r="G567" s="0" t="n">
        <v>13.49</v>
      </c>
      <c r="H567" s="0" t="n">
        <v>2.75</v>
      </c>
      <c r="I567" s="0" t="n">
        <v>0</v>
      </c>
      <c r="J567" s="0" t="n">
        <v>58.73</v>
      </c>
      <c r="K567" s="0" t="n">
        <v>0.63</v>
      </c>
      <c r="L567" s="0" t="n">
        <v>0.07</v>
      </c>
      <c r="M567" s="0" t="n">
        <v>2.18</v>
      </c>
      <c r="N567" s="0" t="n">
        <v>0</v>
      </c>
      <c r="O567" s="0" t="n">
        <v>202.15</v>
      </c>
    </row>
    <row r="568" customFormat="false" ht="15" hidden="false" customHeight="false" outlineLevel="0" collapsed="false">
      <c r="A568" s="0" t="s">
        <v>221</v>
      </c>
      <c r="B568" s="0" t="s">
        <v>459</v>
      </c>
      <c r="C568" s="0" t="n">
        <v>2023</v>
      </c>
      <c r="D568" s="0" t="n">
        <v>52321152</v>
      </c>
      <c r="E568" s="0" t="n">
        <v>86.58</v>
      </c>
      <c r="F568" s="0" t="n">
        <v>9.2</v>
      </c>
      <c r="G568" s="0" t="n">
        <v>16.19</v>
      </c>
      <c r="H568" s="0" t="n">
        <v>3.19</v>
      </c>
      <c r="I568" s="0" t="n">
        <v>0</v>
      </c>
      <c r="J568" s="0" t="n">
        <v>54.22</v>
      </c>
      <c r="K568" s="0" t="n">
        <v>1.35</v>
      </c>
      <c r="L568" s="0" t="n">
        <v>0.22</v>
      </c>
      <c r="M568" s="0" t="n">
        <v>2.21</v>
      </c>
      <c r="N568" s="0" t="n">
        <v>0</v>
      </c>
      <c r="O568" s="0" t="n">
        <v>258.37</v>
      </c>
    </row>
    <row r="569" customFormat="false" ht="15" hidden="false" customHeight="false" outlineLevel="0" collapsed="false">
      <c r="A569" s="0" t="s">
        <v>221</v>
      </c>
      <c r="B569" s="0" t="s">
        <v>459</v>
      </c>
      <c r="C569" s="0" t="n">
        <v>2024</v>
      </c>
      <c r="D569" s="0" t="n">
        <v>52886360</v>
      </c>
      <c r="E569" s="0" t="n">
        <v>89.14</v>
      </c>
      <c r="F569" s="0" t="n">
        <v>11.21</v>
      </c>
      <c r="G569" s="0" t="n">
        <v>19.79</v>
      </c>
      <c r="H569" s="0" t="n">
        <v>3.46</v>
      </c>
      <c r="I569" s="0" t="n">
        <v>0</v>
      </c>
      <c r="J569" s="0" t="n">
        <v>48.88</v>
      </c>
      <c r="K569" s="0" t="n">
        <v>3.43</v>
      </c>
      <c r="L569" s="0" t="n">
        <v>0.15</v>
      </c>
      <c r="M569" s="0" t="n">
        <v>2.22</v>
      </c>
      <c r="N569" s="0" t="n">
        <v>0</v>
      </c>
      <c r="O569" s="0" t="n">
        <v>298.3</v>
      </c>
    </row>
    <row r="570" customFormat="false" ht="15" hidden="false" customHeight="false" outlineLevel="0" collapsed="false">
      <c r="A570" s="0" t="s">
        <v>221</v>
      </c>
      <c r="B570" s="0" t="s">
        <v>459</v>
      </c>
      <c r="C570" s="0" t="n">
        <v>2025</v>
      </c>
      <c r="D570" s="0" t="n">
        <v>53425629</v>
      </c>
      <c r="E570" s="0" t="n">
        <v>90.36</v>
      </c>
      <c r="F570" s="0" t="n">
        <v>5.53</v>
      </c>
      <c r="G570" s="0" t="n">
        <v>12.43</v>
      </c>
      <c r="H570" s="0" t="n">
        <v>2.8</v>
      </c>
      <c r="I570" s="0" t="n">
        <v>0</v>
      </c>
      <c r="J570" s="0" t="n">
        <v>62.5</v>
      </c>
      <c r="K570" s="0" t="n">
        <v>4.6</v>
      </c>
      <c r="L570" s="0" t="n">
        <v>0.15</v>
      </c>
      <c r="M570" s="0" t="n">
        <v>2.35</v>
      </c>
      <c r="N570" s="0" t="n">
        <v>0</v>
      </c>
      <c r="O570" s="0" t="n">
        <v>186.81</v>
      </c>
    </row>
    <row r="571" customFormat="false" ht="15" hidden="false" customHeight="false" outlineLevel="0" collapsed="false">
      <c r="A571" s="0" t="s">
        <v>222</v>
      </c>
      <c r="B571" s="0" t="s">
        <v>460</v>
      </c>
      <c r="C571" s="0" t="n">
        <v>2015</v>
      </c>
      <c r="D571" s="0" t="n">
        <v>726685</v>
      </c>
      <c r="E571" s="0" t="n">
        <v>0.05</v>
      </c>
      <c r="F571" s="0" t="n">
        <v>0</v>
      </c>
      <c r="G571" s="0" t="n">
        <v>0</v>
      </c>
      <c r="H571" s="0" t="n">
        <v>0.05</v>
      </c>
      <c r="I571" s="0" t="n">
        <v>0</v>
      </c>
      <c r="J571" s="0" t="n">
        <v>0</v>
      </c>
      <c r="K571" s="0" t="n">
        <v>0</v>
      </c>
      <c r="L571" s="0" t="n">
        <v>0</v>
      </c>
      <c r="M571" s="0" t="n">
        <v>0</v>
      </c>
      <c r="N571" s="0" t="n">
        <v>0</v>
      </c>
      <c r="O571" s="0" t="n">
        <v>600</v>
      </c>
    </row>
    <row r="572" customFormat="false" ht="15" hidden="false" customHeight="false" outlineLevel="0" collapsed="false">
      <c r="A572" s="0" t="s">
        <v>222</v>
      </c>
      <c r="B572" s="0" t="s">
        <v>460</v>
      </c>
      <c r="C572" s="0" t="n">
        <v>2016</v>
      </c>
      <c r="D572" s="0" t="n">
        <v>741745</v>
      </c>
      <c r="E572" s="0" t="n">
        <v>0.06</v>
      </c>
      <c r="F572" s="0" t="n">
        <v>0</v>
      </c>
      <c r="G572" s="0" t="n">
        <v>0</v>
      </c>
      <c r="H572" s="0" t="n">
        <v>0.06</v>
      </c>
      <c r="I572" s="0" t="n">
        <v>0</v>
      </c>
      <c r="J572" s="0" t="n">
        <v>0</v>
      </c>
      <c r="K572" s="0" t="n">
        <v>0</v>
      </c>
      <c r="L572" s="0" t="n">
        <v>0</v>
      </c>
      <c r="M572" s="0" t="n">
        <v>0</v>
      </c>
      <c r="N572" s="0" t="n">
        <v>0</v>
      </c>
      <c r="O572" s="0" t="n">
        <v>666.67</v>
      </c>
    </row>
    <row r="573" customFormat="false" ht="15" hidden="false" customHeight="false" outlineLevel="0" collapsed="false">
      <c r="A573" s="0" t="s">
        <v>222</v>
      </c>
      <c r="B573" s="0" t="s">
        <v>460</v>
      </c>
      <c r="C573" s="0" t="n">
        <v>2017</v>
      </c>
      <c r="D573" s="0" t="n">
        <v>756672</v>
      </c>
      <c r="E573" s="0" t="n">
        <v>0.09</v>
      </c>
      <c r="F573" s="0" t="n">
        <v>0</v>
      </c>
      <c r="G573" s="0" t="n">
        <v>0</v>
      </c>
      <c r="H573" s="0" t="n">
        <v>0.09</v>
      </c>
      <c r="I573" s="0" t="n">
        <v>0</v>
      </c>
      <c r="J573" s="0" t="n">
        <v>0</v>
      </c>
      <c r="K573" s="0" t="n">
        <v>0</v>
      </c>
      <c r="L573" s="0" t="n">
        <v>0</v>
      </c>
      <c r="M573" s="0" t="n">
        <v>0</v>
      </c>
      <c r="N573" s="0" t="n">
        <v>0</v>
      </c>
      <c r="O573" s="0" t="n">
        <v>666.67</v>
      </c>
    </row>
    <row r="574" customFormat="false" ht="15" hidden="false" customHeight="false" outlineLevel="0" collapsed="false">
      <c r="A574" s="0" t="s">
        <v>222</v>
      </c>
      <c r="B574" s="0" t="s">
        <v>460</v>
      </c>
      <c r="C574" s="0" t="n">
        <v>2018</v>
      </c>
      <c r="D574" s="0" t="n">
        <v>771597</v>
      </c>
      <c r="E574" s="0" t="n">
        <v>0.1</v>
      </c>
      <c r="F574" s="0" t="n">
        <v>0</v>
      </c>
      <c r="G574" s="0" t="n">
        <v>0</v>
      </c>
      <c r="H574" s="0" t="n">
        <v>0.1</v>
      </c>
      <c r="I574" s="0" t="n">
        <v>0</v>
      </c>
      <c r="J574" s="0" t="n">
        <v>0</v>
      </c>
      <c r="K574" s="0" t="n">
        <v>0</v>
      </c>
      <c r="L574" s="0" t="n">
        <v>0</v>
      </c>
      <c r="M574" s="0" t="n">
        <v>0</v>
      </c>
      <c r="N574" s="0" t="n">
        <v>0</v>
      </c>
      <c r="O574" s="0" t="n">
        <v>700</v>
      </c>
    </row>
    <row r="575" customFormat="false" ht="15" hidden="false" customHeight="false" outlineLevel="0" collapsed="false">
      <c r="A575" s="0" t="s">
        <v>222</v>
      </c>
      <c r="B575" s="0" t="s">
        <v>460</v>
      </c>
      <c r="C575" s="0" t="n">
        <v>2019</v>
      </c>
      <c r="D575" s="0" t="n">
        <v>786582</v>
      </c>
      <c r="E575" s="0" t="n">
        <v>0.11</v>
      </c>
      <c r="F575" s="0" t="n">
        <v>0</v>
      </c>
      <c r="G575" s="0" t="n">
        <v>0</v>
      </c>
      <c r="H575" s="0" t="n">
        <v>0.11</v>
      </c>
      <c r="I575" s="0" t="n">
        <v>0</v>
      </c>
      <c r="J575" s="0" t="n">
        <v>0</v>
      </c>
      <c r="K575" s="0" t="n">
        <v>0</v>
      </c>
      <c r="L575" s="0" t="n">
        <v>0</v>
      </c>
      <c r="M575" s="0" t="n">
        <v>0</v>
      </c>
      <c r="N575" s="0" t="n">
        <v>0</v>
      </c>
      <c r="O575" s="0" t="n">
        <v>636.36</v>
      </c>
    </row>
    <row r="576" customFormat="false" ht="15" hidden="false" customHeight="false" outlineLevel="0" collapsed="false">
      <c r="A576" s="0" t="s">
        <v>222</v>
      </c>
      <c r="B576" s="0" t="s">
        <v>460</v>
      </c>
      <c r="C576" s="0" t="n">
        <v>2020</v>
      </c>
      <c r="D576" s="0" t="n">
        <v>802172</v>
      </c>
      <c r="E576" s="0" t="n">
        <v>0.13</v>
      </c>
      <c r="F576" s="0" t="n">
        <v>0</v>
      </c>
      <c r="G576" s="0" t="n">
        <v>0</v>
      </c>
      <c r="H576" s="0" t="n">
        <v>0.13</v>
      </c>
      <c r="I576" s="0" t="n">
        <v>0</v>
      </c>
      <c r="J576" s="0" t="n">
        <v>0</v>
      </c>
      <c r="K576" s="0" t="n">
        <v>0</v>
      </c>
      <c r="L576" s="0" t="n">
        <v>0</v>
      </c>
      <c r="M576" s="0" t="n">
        <v>0</v>
      </c>
      <c r="N576" s="0" t="n">
        <v>0</v>
      </c>
      <c r="O576" s="0" t="n">
        <v>692.31</v>
      </c>
    </row>
    <row r="577" customFormat="false" ht="15" hidden="false" customHeight="false" outlineLevel="0" collapsed="false">
      <c r="A577" s="0" t="s">
        <v>222</v>
      </c>
      <c r="B577" s="0" t="s">
        <v>460</v>
      </c>
      <c r="C577" s="0" t="n">
        <v>2021</v>
      </c>
      <c r="D577" s="0" t="n">
        <v>818178</v>
      </c>
      <c r="E577" s="0" t="n">
        <v>0.13</v>
      </c>
      <c r="F577" s="0" t="n">
        <v>0</v>
      </c>
      <c r="G577" s="0" t="n">
        <v>0</v>
      </c>
      <c r="H577" s="0" t="n">
        <v>0.13</v>
      </c>
      <c r="I577" s="0" t="n">
        <v>0</v>
      </c>
      <c r="J577" s="0" t="n">
        <v>0</v>
      </c>
      <c r="K577" s="0" t="n">
        <v>0</v>
      </c>
      <c r="L577" s="0" t="n">
        <v>0</v>
      </c>
      <c r="M577" s="0" t="n">
        <v>0</v>
      </c>
      <c r="N577" s="0" t="n">
        <v>0</v>
      </c>
      <c r="O577" s="0" t="n">
        <v>692.31</v>
      </c>
    </row>
    <row r="578" customFormat="false" ht="15" hidden="false" customHeight="false" outlineLevel="0" collapsed="false">
      <c r="A578" s="0" t="s">
        <v>222</v>
      </c>
      <c r="B578" s="0" t="s">
        <v>460</v>
      </c>
      <c r="C578" s="0" t="n">
        <v>2022</v>
      </c>
      <c r="D578" s="0" t="n">
        <v>834191</v>
      </c>
      <c r="E578" s="0" t="n">
        <v>0.14</v>
      </c>
      <c r="F578" s="0" t="n">
        <v>0</v>
      </c>
      <c r="G578" s="0" t="n">
        <v>0</v>
      </c>
      <c r="H578" s="0" t="n">
        <v>0.14</v>
      </c>
      <c r="I578" s="0" t="n">
        <v>0</v>
      </c>
      <c r="J578" s="0" t="n">
        <v>0</v>
      </c>
      <c r="K578" s="0" t="n">
        <v>0</v>
      </c>
      <c r="L578" s="0" t="n">
        <v>0</v>
      </c>
      <c r="M578" s="0" t="n">
        <v>0</v>
      </c>
      <c r="N578" s="0" t="n">
        <v>0</v>
      </c>
      <c r="O578" s="0" t="n">
        <v>642.86</v>
      </c>
    </row>
    <row r="579" customFormat="false" ht="15" hidden="false" customHeight="false" outlineLevel="0" collapsed="false">
      <c r="A579" s="0" t="s">
        <v>222</v>
      </c>
      <c r="B579" s="0" t="s">
        <v>460</v>
      </c>
      <c r="C579" s="0" t="n">
        <v>2023</v>
      </c>
      <c r="D579" s="0" t="n">
        <v>850390</v>
      </c>
      <c r="E579" s="0" t="n">
        <v>0.14</v>
      </c>
      <c r="F579" s="0" t="n">
        <v>0</v>
      </c>
      <c r="G579" s="0" t="n">
        <v>0</v>
      </c>
      <c r="H579" s="0" t="n">
        <v>0.14</v>
      </c>
      <c r="I579" s="0" t="n">
        <v>0</v>
      </c>
      <c r="J579" s="0" t="n">
        <v>0</v>
      </c>
      <c r="K579" s="0" t="n">
        <v>0</v>
      </c>
      <c r="L579" s="0" t="n">
        <v>0</v>
      </c>
      <c r="M579" s="0" t="n">
        <v>0</v>
      </c>
      <c r="N579" s="0" t="n">
        <v>0</v>
      </c>
      <c r="O579" s="0" t="n">
        <v>642.86</v>
      </c>
    </row>
    <row r="580" customFormat="false" ht="15" hidden="false" customHeight="false" outlineLevel="0" collapsed="false">
      <c r="A580" s="0" t="s">
        <v>223</v>
      </c>
      <c r="B580" s="0" t="s">
        <v>461</v>
      </c>
      <c r="C580" s="0" t="n">
        <v>2015</v>
      </c>
      <c r="D580" s="0" t="n">
        <v>5097583</v>
      </c>
      <c r="E580" s="0" t="n">
        <v>2.79</v>
      </c>
      <c r="F580" s="0" t="n">
        <v>0</v>
      </c>
      <c r="G580" s="0" t="n">
        <v>1.43</v>
      </c>
      <c r="H580" s="0" t="n">
        <v>0.24</v>
      </c>
      <c r="I580" s="0" t="n">
        <v>0</v>
      </c>
      <c r="J580" s="0" t="n">
        <v>1.09</v>
      </c>
      <c r="K580" s="0" t="n">
        <v>0</v>
      </c>
      <c r="L580" s="0" t="n">
        <v>0</v>
      </c>
      <c r="M580" s="0" t="n">
        <v>0.03</v>
      </c>
      <c r="N580" s="0" t="n">
        <v>0</v>
      </c>
      <c r="O580" s="0" t="n">
        <v>541.22</v>
      </c>
    </row>
    <row r="581" customFormat="false" ht="15" hidden="false" customHeight="false" outlineLevel="0" collapsed="false">
      <c r="A581" s="0" t="s">
        <v>223</v>
      </c>
      <c r="B581" s="0" t="s">
        <v>461</v>
      </c>
      <c r="C581" s="0" t="n">
        <v>2016</v>
      </c>
      <c r="D581" s="0" t="n">
        <v>5222545</v>
      </c>
      <c r="E581" s="0" t="n">
        <v>2.97</v>
      </c>
      <c r="F581" s="0" t="n">
        <v>0</v>
      </c>
      <c r="G581" s="0" t="n">
        <v>1.64</v>
      </c>
      <c r="H581" s="0" t="n">
        <v>0.18</v>
      </c>
      <c r="I581" s="0" t="n">
        <v>0</v>
      </c>
      <c r="J581" s="0" t="n">
        <v>1.12</v>
      </c>
      <c r="K581" s="0" t="n">
        <v>0</v>
      </c>
      <c r="L581" s="0" t="n">
        <v>0</v>
      </c>
      <c r="M581" s="0" t="n">
        <v>0.03</v>
      </c>
      <c r="N581" s="0" t="n">
        <v>0</v>
      </c>
      <c r="O581" s="0" t="n">
        <v>558.92</v>
      </c>
    </row>
    <row r="582" customFormat="false" ht="15" hidden="false" customHeight="false" outlineLevel="0" collapsed="false">
      <c r="A582" s="0" t="s">
        <v>223</v>
      </c>
      <c r="B582" s="0" t="s">
        <v>461</v>
      </c>
      <c r="C582" s="0" t="n">
        <v>2017</v>
      </c>
      <c r="D582" s="0" t="n">
        <v>5351013</v>
      </c>
      <c r="E582" s="0" t="n">
        <v>2.98</v>
      </c>
      <c r="F582" s="0" t="n">
        <v>0</v>
      </c>
      <c r="G582" s="0" t="n">
        <v>1.65</v>
      </c>
      <c r="H582" s="0" t="n">
        <v>0.11</v>
      </c>
      <c r="I582" s="0" t="n">
        <v>0</v>
      </c>
      <c r="J582" s="0" t="n">
        <v>1.19</v>
      </c>
      <c r="K582" s="0" t="n">
        <v>0</v>
      </c>
      <c r="L582" s="0" t="n">
        <v>0</v>
      </c>
      <c r="M582" s="0" t="n">
        <v>0.03</v>
      </c>
      <c r="N582" s="0" t="n">
        <v>0</v>
      </c>
      <c r="O582" s="0" t="n">
        <v>543.62</v>
      </c>
    </row>
    <row r="583" customFormat="false" ht="15" hidden="false" customHeight="false" outlineLevel="0" collapsed="false">
      <c r="A583" s="0" t="s">
        <v>223</v>
      </c>
      <c r="B583" s="0" t="s">
        <v>461</v>
      </c>
      <c r="C583" s="0" t="n">
        <v>2018</v>
      </c>
      <c r="D583" s="0" t="n">
        <v>5483128</v>
      </c>
      <c r="E583" s="0" t="n">
        <v>3.08</v>
      </c>
      <c r="F583" s="0" t="n">
        <v>0</v>
      </c>
      <c r="G583" s="0" t="n">
        <v>1.87</v>
      </c>
      <c r="H583" s="0" t="n">
        <v>0.13</v>
      </c>
      <c r="I583" s="0" t="n">
        <v>0</v>
      </c>
      <c r="J583" s="0" t="n">
        <v>1.05</v>
      </c>
      <c r="K583" s="0" t="n">
        <v>0</v>
      </c>
      <c r="L583" s="0" t="n">
        <v>0</v>
      </c>
      <c r="M583" s="0" t="n">
        <v>0.03</v>
      </c>
      <c r="N583" s="0" t="n">
        <v>0</v>
      </c>
      <c r="O583" s="0" t="n">
        <v>594.16</v>
      </c>
    </row>
    <row r="584" customFormat="false" ht="15" hidden="false" customHeight="false" outlineLevel="0" collapsed="false">
      <c r="A584" s="0" t="s">
        <v>223</v>
      </c>
      <c r="B584" s="0" t="s">
        <v>461</v>
      </c>
      <c r="C584" s="0" t="n">
        <v>2019</v>
      </c>
      <c r="D584" s="0" t="n">
        <v>5616656</v>
      </c>
      <c r="E584" s="0" t="n">
        <v>3.89</v>
      </c>
      <c r="F584" s="0" t="n">
        <v>0</v>
      </c>
      <c r="G584" s="0" t="n">
        <v>2.63</v>
      </c>
      <c r="H584" s="0" t="n">
        <v>0.18</v>
      </c>
      <c r="I584" s="0" t="n">
        <v>0</v>
      </c>
      <c r="J584" s="0" t="n">
        <v>1.05</v>
      </c>
      <c r="K584" s="0" t="n">
        <v>0</v>
      </c>
      <c r="L584" s="0" t="n">
        <v>0</v>
      </c>
      <c r="M584" s="0" t="n">
        <v>0.03</v>
      </c>
      <c r="N584" s="0" t="n">
        <v>0</v>
      </c>
      <c r="O584" s="0" t="n">
        <v>655.53</v>
      </c>
    </row>
    <row r="585" customFormat="false" ht="15" hidden="false" customHeight="false" outlineLevel="0" collapsed="false">
      <c r="A585" s="0" t="s">
        <v>223</v>
      </c>
      <c r="B585" s="0" t="s">
        <v>461</v>
      </c>
      <c r="C585" s="0" t="n">
        <v>2020</v>
      </c>
      <c r="D585" s="0" t="n">
        <v>5752792</v>
      </c>
      <c r="E585" s="0" t="n">
        <v>4.01</v>
      </c>
      <c r="F585" s="0" t="n">
        <v>0</v>
      </c>
      <c r="G585" s="0" t="n">
        <v>2.74</v>
      </c>
      <c r="H585" s="0" t="n">
        <v>0.19</v>
      </c>
      <c r="I585" s="0" t="n">
        <v>0</v>
      </c>
      <c r="J585" s="0" t="n">
        <v>1.05</v>
      </c>
      <c r="K585" s="0" t="n">
        <v>0</v>
      </c>
      <c r="L585" s="0" t="n">
        <v>0</v>
      </c>
      <c r="M585" s="0" t="n">
        <v>0.03</v>
      </c>
      <c r="N585" s="0" t="n">
        <v>0</v>
      </c>
      <c r="O585" s="0" t="n">
        <v>663.34</v>
      </c>
    </row>
    <row r="586" customFormat="false" ht="15" hidden="false" customHeight="false" outlineLevel="0" collapsed="false">
      <c r="A586" s="0" t="s">
        <v>223</v>
      </c>
      <c r="B586" s="0" t="s">
        <v>461</v>
      </c>
      <c r="C586" s="0" t="n">
        <v>2021</v>
      </c>
      <c r="D586" s="0" t="n">
        <v>5892187</v>
      </c>
      <c r="E586" s="0" t="n">
        <v>4.11</v>
      </c>
      <c r="F586" s="0" t="n">
        <v>0</v>
      </c>
      <c r="G586" s="0" t="n">
        <v>2.83</v>
      </c>
      <c r="H586" s="0" t="n">
        <v>0.2</v>
      </c>
      <c r="I586" s="0" t="n">
        <v>0</v>
      </c>
      <c r="J586" s="0" t="n">
        <v>1.05</v>
      </c>
      <c r="K586" s="0" t="n">
        <v>0</v>
      </c>
      <c r="L586" s="0" t="n">
        <v>0</v>
      </c>
      <c r="M586" s="0" t="n">
        <v>0.03</v>
      </c>
      <c r="N586" s="0" t="n">
        <v>0</v>
      </c>
      <c r="O586" s="0" t="n">
        <v>669.1</v>
      </c>
    </row>
    <row r="587" customFormat="false" ht="15" hidden="false" customHeight="false" outlineLevel="0" collapsed="false">
      <c r="A587" s="0" t="s">
        <v>223</v>
      </c>
      <c r="B587" s="0" t="s">
        <v>461</v>
      </c>
      <c r="C587" s="0" t="n">
        <v>2022</v>
      </c>
      <c r="D587" s="0" t="n">
        <v>6035104</v>
      </c>
      <c r="E587" s="0" t="n">
        <v>4.95</v>
      </c>
      <c r="F587" s="0" t="n">
        <v>0</v>
      </c>
      <c r="G587" s="0" t="n">
        <v>3.6</v>
      </c>
      <c r="H587" s="0" t="n">
        <v>0.27</v>
      </c>
      <c r="I587" s="0" t="n">
        <v>0</v>
      </c>
      <c r="J587" s="0" t="n">
        <v>1.05</v>
      </c>
      <c r="K587" s="0" t="n">
        <v>0</v>
      </c>
      <c r="L587" s="0" t="n">
        <v>0</v>
      </c>
      <c r="M587" s="0" t="n">
        <v>0.03</v>
      </c>
      <c r="N587" s="0" t="n">
        <v>0</v>
      </c>
      <c r="O587" s="0" t="n">
        <v>707.07</v>
      </c>
    </row>
    <row r="588" customFormat="false" ht="15" hidden="false" customHeight="false" outlineLevel="0" collapsed="false">
      <c r="A588" s="0" t="s">
        <v>223</v>
      </c>
      <c r="B588" s="0" t="s">
        <v>461</v>
      </c>
      <c r="C588" s="0" t="n">
        <v>2023</v>
      </c>
      <c r="D588" s="0" t="n">
        <v>6182890</v>
      </c>
      <c r="E588" s="0" t="n">
        <v>5.36</v>
      </c>
      <c r="F588" s="0" t="n">
        <v>0</v>
      </c>
      <c r="G588" s="0" t="n">
        <v>3.81</v>
      </c>
      <c r="H588" s="0" t="n">
        <v>0.29</v>
      </c>
      <c r="I588" s="0" t="n">
        <v>0</v>
      </c>
      <c r="J588" s="0" t="n">
        <v>1.22</v>
      </c>
      <c r="K588" s="0" t="n">
        <v>0.01</v>
      </c>
      <c r="L588" s="0" t="n">
        <v>0</v>
      </c>
      <c r="M588" s="0" t="n">
        <v>0.03</v>
      </c>
      <c r="N588" s="0" t="n">
        <v>0</v>
      </c>
      <c r="O588" s="0" t="n">
        <v>692.16</v>
      </c>
    </row>
    <row r="589" customFormat="false" ht="15" hidden="false" customHeight="false" outlineLevel="0" collapsed="false">
      <c r="A589" s="0" t="s">
        <v>223</v>
      </c>
      <c r="B589" s="0" t="s">
        <v>461</v>
      </c>
      <c r="C589" s="0" t="n">
        <v>2024</v>
      </c>
      <c r="D589" s="0" t="n">
        <v>6332969</v>
      </c>
      <c r="E589" s="0" t="n">
        <v>5.46</v>
      </c>
      <c r="F589" s="0" t="n">
        <v>0</v>
      </c>
      <c r="G589" s="0" t="n">
        <v>4.03</v>
      </c>
      <c r="H589" s="0" t="n">
        <v>0.29</v>
      </c>
      <c r="I589" s="0" t="n">
        <v>0</v>
      </c>
      <c r="J589" s="0" t="n">
        <v>1.1</v>
      </c>
      <c r="K589" s="0" t="n">
        <v>0.01</v>
      </c>
      <c r="L589" s="0" t="n">
        <v>0</v>
      </c>
      <c r="M589" s="0" t="n">
        <v>0.03</v>
      </c>
      <c r="N589" s="0" t="n">
        <v>0</v>
      </c>
      <c r="O589" s="0" t="n">
        <v>716.12</v>
      </c>
    </row>
    <row r="590" customFormat="false" ht="15" hidden="false" customHeight="false" outlineLevel="0" collapsed="false">
      <c r="A590" s="0" t="s">
        <v>224</v>
      </c>
      <c r="B590" s="0" t="s">
        <v>462</v>
      </c>
      <c r="C590" s="0" t="n">
        <v>2015</v>
      </c>
      <c r="D590" s="0" t="n">
        <v>17471</v>
      </c>
      <c r="E590" s="0" t="n">
        <v>0.03</v>
      </c>
      <c r="F590" s="0" t="n">
        <v>0</v>
      </c>
      <c r="G590" s="0" t="n">
        <v>0</v>
      </c>
      <c r="H590" s="0" t="n">
        <v>0.03</v>
      </c>
      <c r="I590" s="0" t="n">
        <v>0</v>
      </c>
      <c r="J590" s="0" t="n">
        <v>0</v>
      </c>
      <c r="K590" s="0" t="n">
        <v>0</v>
      </c>
      <c r="L590" s="0" t="n">
        <v>0</v>
      </c>
      <c r="M590" s="0" t="n">
        <v>0</v>
      </c>
      <c r="N590" s="0" t="n">
        <v>0</v>
      </c>
      <c r="O590" s="0" t="n">
        <v>666.67</v>
      </c>
    </row>
    <row r="591" customFormat="false" ht="15" hidden="false" customHeight="false" outlineLevel="0" collapsed="false">
      <c r="A591" s="0" t="s">
        <v>224</v>
      </c>
      <c r="B591" s="0" t="s">
        <v>462</v>
      </c>
      <c r="C591" s="0" t="n">
        <v>2016</v>
      </c>
      <c r="D591" s="0" t="n">
        <v>17360</v>
      </c>
      <c r="E591" s="0" t="n">
        <v>0.03</v>
      </c>
      <c r="F591" s="0" t="n">
        <v>0</v>
      </c>
      <c r="G591" s="0" t="n">
        <v>0</v>
      </c>
      <c r="H591" s="0" t="n">
        <v>0.03</v>
      </c>
      <c r="I591" s="0" t="n">
        <v>0</v>
      </c>
      <c r="J591" s="0" t="n">
        <v>0</v>
      </c>
      <c r="K591" s="0" t="n">
        <v>0</v>
      </c>
      <c r="L591" s="0" t="n">
        <v>0</v>
      </c>
      <c r="M591" s="0" t="n">
        <v>0</v>
      </c>
      <c r="N591" s="0" t="n">
        <v>0</v>
      </c>
      <c r="O591" s="0" t="n">
        <v>666.67</v>
      </c>
    </row>
    <row r="592" customFormat="false" ht="15" hidden="false" customHeight="false" outlineLevel="0" collapsed="false">
      <c r="A592" s="0" t="s">
        <v>224</v>
      </c>
      <c r="B592" s="0" t="s">
        <v>462</v>
      </c>
      <c r="C592" s="0" t="n">
        <v>2017</v>
      </c>
      <c r="D592" s="0" t="n">
        <v>17066</v>
      </c>
      <c r="E592" s="0" t="n">
        <v>0.04</v>
      </c>
      <c r="F592" s="0" t="n">
        <v>0</v>
      </c>
      <c r="G592" s="0" t="n">
        <v>0</v>
      </c>
      <c r="H592" s="0" t="n">
        <v>0.03</v>
      </c>
      <c r="I592" s="0" t="n">
        <v>0</v>
      </c>
      <c r="J592" s="0" t="n">
        <v>0</v>
      </c>
      <c r="K592" s="0" t="n">
        <v>0.01</v>
      </c>
      <c r="L592" s="0" t="n">
        <v>0</v>
      </c>
      <c r="M592" s="0" t="n">
        <v>0</v>
      </c>
      <c r="N592" s="0" t="n">
        <v>0</v>
      </c>
      <c r="O592" s="0" t="n">
        <v>500</v>
      </c>
    </row>
    <row r="593" customFormat="false" ht="15" hidden="false" customHeight="false" outlineLevel="0" collapsed="false">
      <c r="A593" s="0" t="s">
        <v>224</v>
      </c>
      <c r="B593" s="0" t="s">
        <v>462</v>
      </c>
      <c r="C593" s="0" t="n">
        <v>2018</v>
      </c>
      <c r="D593" s="0" t="n">
        <v>16623</v>
      </c>
      <c r="E593" s="0" t="n">
        <v>0.05</v>
      </c>
      <c r="F593" s="0" t="n">
        <v>0</v>
      </c>
      <c r="G593" s="0" t="n">
        <v>0</v>
      </c>
      <c r="H593" s="0" t="n">
        <v>0.03</v>
      </c>
      <c r="I593" s="0" t="n">
        <v>0</v>
      </c>
      <c r="J593" s="0" t="n">
        <v>0</v>
      </c>
      <c r="K593" s="0" t="n">
        <v>0.02</v>
      </c>
      <c r="L593" s="0" t="n">
        <v>0</v>
      </c>
      <c r="M593" s="0" t="n">
        <v>0</v>
      </c>
      <c r="N593" s="0" t="n">
        <v>0</v>
      </c>
      <c r="O593" s="0" t="n">
        <v>400</v>
      </c>
    </row>
    <row r="594" customFormat="false" ht="15" hidden="false" customHeight="false" outlineLevel="0" collapsed="false">
      <c r="A594" s="0" t="s">
        <v>224</v>
      </c>
      <c r="B594" s="0" t="s">
        <v>462</v>
      </c>
      <c r="C594" s="0" t="n">
        <v>2019</v>
      </c>
      <c r="D594" s="0" t="n">
        <v>16151</v>
      </c>
      <c r="E594" s="0" t="n">
        <v>0.04</v>
      </c>
      <c r="F594" s="0" t="n">
        <v>0</v>
      </c>
      <c r="G594" s="0" t="n">
        <v>0</v>
      </c>
      <c r="H594" s="0" t="n">
        <v>0.03</v>
      </c>
      <c r="I594" s="0" t="n">
        <v>0</v>
      </c>
      <c r="J594" s="0" t="n">
        <v>0</v>
      </c>
      <c r="K594" s="0" t="n">
        <v>0.01</v>
      </c>
      <c r="L594" s="0" t="n">
        <v>0</v>
      </c>
      <c r="M594" s="0" t="n">
        <v>0</v>
      </c>
      <c r="N594" s="0" t="n">
        <v>0</v>
      </c>
      <c r="O594" s="0" t="n">
        <v>500</v>
      </c>
    </row>
    <row r="595" customFormat="false" ht="15" hidden="false" customHeight="false" outlineLevel="0" collapsed="false">
      <c r="A595" s="0" t="s">
        <v>224</v>
      </c>
      <c r="B595" s="0" t="s">
        <v>462</v>
      </c>
      <c r="C595" s="0" t="n">
        <v>2020</v>
      </c>
      <c r="D595" s="0" t="n">
        <v>15664</v>
      </c>
      <c r="E595" s="0" t="n">
        <v>0.04</v>
      </c>
      <c r="F595" s="0" t="n">
        <v>0</v>
      </c>
      <c r="G595" s="0" t="n">
        <v>0</v>
      </c>
      <c r="H595" s="0" t="n">
        <v>0.03</v>
      </c>
      <c r="I595" s="0" t="n">
        <v>0</v>
      </c>
      <c r="J595" s="0" t="n">
        <v>0</v>
      </c>
      <c r="K595" s="0" t="n">
        <v>0.01</v>
      </c>
      <c r="L595" s="0" t="n">
        <v>0</v>
      </c>
      <c r="M595" s="0" t="n">
        <v>0</v>
      </c>
      <c r="N595" s="0" t="n">
        <v>0</v>
      </c>
      <c r="O595" s="0" t="n">
        <v>500</v>
      </c>
    </row>
    <row r="596" customFormat="false" ht="15" hidden="false" customHeight="false" outlineLevel="0" collapsed="false">
      <c r="A596" s="0" t="s">
        <v>224</v>
      </c>
      <c r="B596" s="0" t="s">
        <v>462</v>
      </c>
      <c r="C596" s="0" t="n">
        <v>2021</v>
      </c>
      <c r="D596" s="0" t="n">
        <v>15205</v>
      </c>
      <c r="E596" s="0" t="n">
        <v>0.04</v>
      </c>
      <c r="F596" s="0" t="n">
        <v>0</v>
      </c>
      <c r="G596" s="0" t="n">
        <v>0</v>
      </c>
      <c r="H596" s="0" t="n">
        <v>0.02</v>
      </c>
      <c r="I596" s="0" t="n">
        <v>0</v>
      </c>
      <c r="J596" s="0" t="n">
        <v>0</v>
      </c>
      <c r="K596" s="0" t="n">
        <v>0.02</v>
      </c>
      <c r="L596" s="0" t="n">
        <v>0</v>
      </c>
      <c r="M596" s="0" t="n">
        <v>0</v>
      </c>
      <c r="N596" s="0" t="n">
        <v>0</v>
      </c>
      <c r="O596" s="0" t="n">
        <v>250</v>
      </c>
    </row>
    <row r="597" customFormat="false" ht="15" hidden="false" customHeight="false" outlineLevel="0" collapsed="false">
      <c r="A597" s="0" t="s">
        <v>224</v>
      </c>
      <c r="B597" s="0" t="s">
        <v>462</v>
      </c>
      <c r="C597" s="0" t="n">
        <v>2022</v>
      </c>
      <c r="D597" s="0" t="n">
        <v>14747</v>
      </c>
      <c r="E597" s="0" t="n">
        <v>0.04</v>
      </c>
      <c r="F597" s="0" t="n">
        <v>0</v>
      </c>
      <c r="G597" s="0" t="n">
        <v>0</v>
      </c>
      <c r="H597" s="0" t="n">
        <v>0.02</v>
      </c>
      <c r="I597" s="0" t="n">
        <v>0</v>
      </c>
      <c r="J597" s="0" t="n">
        <v>0</v>
      </c>
      <c r="K597" s="0" t="n">
        <v>0.02</v>
      </c>
      <c r="L597" s="0" t="n">
        <v>0</v>
      </c>
      <c r="M597" s="0" t="n">
        <v>0</v>
      </c>
      <c r="N597" s="0" t="n">
        <v>0</v>
      </c>
      <c r="O597" s="0" t="n">
        <v>250</v>
      </c>
    </row>
    <row r="598" customFormat="false" ht="15" hidden="false" customHeight="false" outlineLevel="0" collapsed="false">
      <c r="A598" s="0" t="s">
        <v>224</v>
      </c>
      <c r="B598" s="0" t="s">
        <v>462</v>
      </c>
      <c r="C598" s="0" t="n">
        <v>2023</v>
      </c>
      <c r="D598" s="0" t="n">
        <v>14244</v>
      </c>
      <c r="E598" s="0" t="n">
        <v>0.04</v>
      </c>
      <c r="F598" s="0" t="n">
        <v>0</v>
      </c>
      <c r="G598" s="0" t="n">
        <v>0</v>
      </c>
      <c r="H598" s="0" t="n">
        <v>0.02</v>
      </c>
      <c r="I598" s="0" t="n">
        <v>0</v>
      </c>
      <c r="J598" s="0" t="n">
        <v>0</v>
      </c>
      <c r="K598" s="0" t="n">
        <v>0.02</v>
      </c>
      <c r="L598" s="0" t="n">
        <v>0</v>
      </c>
      <c r="M598" s="0" t="n">
        <v>0</v>
      </c>
      <c r="N598" s="0" t="n">
        <v>0</v>
      </c>
      <c r="O598" s="0" t="n">
        <v>250</v>
      </c>
    </row>
    <row r="599" customFormat="false" ht="15" hidden="false" customHeight="false" outlineLevel="0" collapsed="false">
      <c r="A599" s="0" t="s">
        <v>224</v>
      </c>
      <c r="B599" s="0" t="s">
        <v>462</v>
      </c>
      <c r="C599" s="0" t="n">
        <v>2024</v>
      </c>
      <c r="D599" s="0" t="n">
        <v>13750</v>
      </c>
      <c r="E599" s="0" t="n">
        <v>0.04</v>
      </c>
      <c r="F599" s="0" t="n">
        <v>0</v>
      </c>
      <c r="G599" s="0" t="n">
        <v>0</v>
      </c>
      <c r="H599" s="0" t="n">
        <v>0.02</v>
      </c>
      <c r="I599" s="0" t="n">
        <v>0</v>
      </c>
      <c r="J599" s="0" t="n">
        <v>0</v>
      </c>
      <c r="K599" s="0" t="n">
        <v>0.02</v>
      </c>
      <c r="L599" s="0" t="n">
        <v>0</v>
      </c>
      <c r="M599" s="0" t="n">
        <v>0</v>
      </c>
      <c r="N599" s="0" t="n">
        <v>0</v>
      </c>
      <c r="O599" s="0" t="n">
        <v>250</v>
      </c>
    </row>
    <row r="600" customFormat="false" ht="15" hidden="false" customHeight="false" outlineLevel="0" collapsed="false">
      <c r="A600" s="0" t="s">
        <v>225</v>
      </c>
      <c r="B600" s="0" t="s">
        <v>463</v>
      </c>
      <c r="C600" s="0" t="n">
        <v>2015</v>
      </c>
      <c r="D600" s="0" t="n">
        <v>4818045</v>
      </c>
      <c r="E600" s="0" t="n">
        <v>10.77</v>
      </c>
      <c r="F600" s="0" t="n">
        <v>0</v>
      </c>
      <c r="G600" s="0" t="n">
        <v>0</v>
      </c>
      <c r="H600" s="0" t="n">
        <v>0.11</v>
      </c>
      <c r="I600" s="0" t="n">
        <v>0</v>
      </c>
      <c r="J600" s="0" t="n">
        <v>7.99</v>
      </c>
      <c r="K600" s="0" t="n">
        <v>0.03</v>
      </c>
      <c r="L600" s="0" t="n">
        <v>1.08</v>
      </c>
      <c r="M600" s="0" t="n">
        <v>0.18</v>
      </c>
      <c r="N600" s="0" t="n">
        <v>1.38</v>
      </c>
      <c r="O600" s="0" t="n">
        <v>33.43</v>
      </c>
    </row>
    <row r="601" customFormat="false" ht="15" hidden="false" customHeight="false" outlineLevel="0" collapsed="false">
      <c r="A601" s="0" t="s">
        <v>225</v>
      </c>
      <c r="B601" s="0" t="s">
        <v>463</v>
      </c>
      <c r="C601" s="0" t="n">
        <v>2016</v>
      </c>
      <c r="D601" s="0" t="n">
        <v>4867003</v>
      </c>
      <c r="E601" s="0" t="n">
        <v>10.86</v>
      </c>
      <c r="F601" s="0" t="n">
        <v>0</v>
      </c>
      <c r="G601" s="0" t="n">
        <v>0</v>
      </c>
      <c r="H601" s="0" t="n">
        <v>0.19</v>
      </c>
      <c r="I601" s="0" t="n">
        <v>0</v>
      </c>
      <c r="J601" s="0" t="n">
        <v>7.95</v>
      </c>
      <c r="K601" s="0" t="n">
        <v>0.03</v>
      </c>
      <c r="L601" s="0" t="n">
        <v>1.15</v>
      </c>
      <c r="M601" s="0" t="n">
        <v>0.2</v>
      </c>
      <c r="N601" s="0" t="n">
        <v>1.34</v>
      </c>
      <c r="O601" s="0" t="n">
        <v>38.67</v>
      </c>
    </row>
    <row r="602" customFormat="false" ht="15" hidden="false" customHeight="false" outlineLevel="0" collapsed="false">
      <c r="A602" s="0" t="s">
        <v>225</v>
      </c>
      <c r="B602" s="0" t="s">
        <v>463</v>
      </c>
      <c r="C602" s="0" t="n">
        <v>2017</v>
      </c>
      <c r="D602" s="0" t="n">
        <v>4913177</v>
      </c>
      <c r="E602" s="0" t="n">
        <v>11.28</v>
      </c>
      <c r="F602" s="0" t="n">
        <v>0</v>
      </c>
      <c r="G602" s="0" t="n">
        <v>0</v>
      </c>
      <c r="H602" s="0" t="n">
        <v>0.04</v>
      </c>
      <c r="I602" s="0" t="n">
        <v>0</v>
      </c>
      <c r="J602" s="0" t="n">
        <v>8.59</v>
      </c>
      <c r="K602" s="0" t="n">
        <v>0.04</v>
      </c>
      <c r="L602" s="0" t="n">
        <v>1.29</v>
      </c>
      <c r="M602" s="0" t="n">
        <v>0.2</v>
      </c>
      <c r="N602" s="0" t="n">
        <v>1.12</v>
      </c>
      <c r="O602" s="0" t="n">
        <v>28.37</v>
      </c>
    </row>
    <row r="603" customFormat="false" ht="15" hidden="false" customHeight="false" outlineLevel="0" collapsed="false">
      <c r="A603" s="0" t="s">
        <v>225</v>
      </c>
      <c r="B603" s="0" t="s">
        <v>463</v>
      </c>
      <c r="C603" s="0" t="n">
        <v>2018</v>
      </c>
      <c r="D603" s="0" t="n">
        <v>4957813</v>
      </c>
      <c r="E603" s="0" t="n">
        <v>11.44</v>
      </c>
      <c r="F603" s="0" t="n">
        <v>0</v>
      </c>
      <c r="G603" s="0" t="n">
        <v>0</v>
      </c>
      <c r="H603" s="0" t="n">
        <v>0.16</v>
      </c>
      <c r="I603" s="0" t="n">
        <v>0</v>
      </c>
      <c r="J603" s="0" t="n">
        <v>8.26</v>
      </c>
      <c r="K603" s="0" t="n">
        <v>0.06</v>
      </c>
      <c r="L603" s="0" t="n">
        <v>1.8</v>
      </c>
      <c r="M603" s="0" t="n">
        <v>0.19</v>
      </c>
      <c r="N603" s="0" t="n">
        <v>0.97</v>
      </c>
      <c r="O603" s="0" t="n">
        <v>34.97</v>
      </c>
    </row>
    <row r="604" customFormat="false" ht="15" hidden="false" customHeight="false" outlineLevel="0" collapsed="false">
      <c r="A604" s="0" t="s">
        <v>225</v>
      </c>
      <c r="B604" s="0" t="s">
        <v>463</v>
      </c>
      <c r="C604" s="0" t="n">
        <v>2019</v>
      </c>
      <c r="D604" s="0" t="n">
        <v>4999549</v>
      </c>
      <c r="E604" s="0" t="n">
        <v>11.42</v>
      </c>
      <c r="F604" s="0" t="n">
        <v>0</v>
      </c>
      <c r="G604" s="0" t="n">
        <v>0</v>
      </c>
      <c r="H604" s="0" t="n">
        <v>0.1</v>
      </c>
      <c r="I604" s="0" t="n">
        <v>0</v>
      </c>
      <c r="J604" s="0" t="n">
        <v>7.75</v>
      </c>
      <c r="K604" s="0" t="n">
        <v>0.07</v>
      </c>
      <c r="L604" s="0" t="n">
        <v>1.8</v>
      </c>
      <c r="M604" s="0" t="n">
        <v>0.19</v>
      </c>
      <c r="N604" s="0" t="n">
        <v>1.51</v>
      </c>
      <c r="O604" s="0" t="n">
        <v>31.52</v>
      </c>
    </row>
    <row r="605" customFormat="false" ht="15" hidden="false" customHeight="false" outlineLevel="0" collapsed="false">
      <c r="A605" s="0" t="s">
        <v>225</v>
      </c>
      <c r="B605" s="0" t="s">
        <v>463</v>
      </c>
      <c r="C605" s="0" t="n">
        <v>2020</v>
      </c>
      <c r="D605" s="0" t="n">
        <v>5034323</v>
      </c>
      <c r="E605" s="0" t="n">
        <v>11.72</v>
      </c>
      <c r="F605" s="0" t="n">
        <v>0</v>
      </c>
      <c r="G605" s="0" t="n">
        <v>0</v>
      </c>
      <c r="H605" s="0" t="n">
        <v>0.02</v>
      </c>
      <c r="I605" s="0" t="n">
        <v>0</v>
      </c>
      <c r="J605" s="0" t="n">
        <v>8.29</v>
      </c>
      <c r="K605" s="0" t="n">
        <v>0.07</v>
      </c>
      <c r="L605" s="0" t="n">
        <v>1.46</v>
      </c>
      <c r="M605" s="0" t="n">
        <v>0.19</v>
      </c>
      <c r="N605" s="0" t="n">
        <v>1.69</v>
      </c>
      <c r="O605" s="0" t="n">
        <v>27.3</v>
      </c>
    </row>
    <row r="606" customFormat="false" ht="15" hidden="false" customHeight="false" outlineLevel="0" collapsed="false">
      <c r="A606" s="0" t="s">
        <v>225</v>
      </c>
      <c r="B606" s="0" t="s">
        <v>463</v>
      </c>
      <c r="C606" s="0" t="n">
        <v>2021</v>
      </c>
      <c r="D606" s="0" t="n">
        <v>5059991</v>
      </c>
      <c r="E606" s="0" t="n">
        <v>12.73</v>
      </c>
      <c r="F606" s="0" t="n">
        <v>0</v>
      </c>
      <c r="G606" s="0" t="n">
        <v>0</v>
      </c>
      <c r="H606" s="0" t="n">
        <v>0</v>
      </c>
      <c r="I606" s="0" t="n">
        <v>0</v>
      </c>
      <c r="J606" s="0" t="n">
        <v>9.29</v>
      </c>
      <c r="K606" s="0" t="n">
        <v>0.08</v>
      </c>
      <c r="L606" s="0" t="n">
        <v>1.57</v>
      </c>
      <c r="M606" s="0" t="n">
        <v>0.19</v>
      </c>
      <c r="N606" s="0" t="n">
        <v>1.6</v>
      </c>
      <c r="O606" s="0" t="n">
        <v>25.92</v>
      </c>
    </row>
    <row r="607" customFormat="false" ht="15" hidden="false" customHeight="false" outlineLevel="0" collapsed="false">
      <c r="A607" s="0" t="s">
        <v>225</v>
      </c>
      <c r="B607" s="0" t="s">
        <v>463</v>
      </c>
      <c r="C607" s="0" t="n">
        <v>2022</v>
      </c>
      <c r="D607" s="0" t="n">
        <v>5081764</v>
      </c>
      <c r="E607" s="0" t="n">
        <v>12.44</v>
      </c>
      <c r="F607" s="0" t="n">
        <v>0</v>
      </c>
      <c r="G607" s="0" t="n">
        <v>0</v>
      </c>
      <c r="H607" s="0" t="n">
        <v>0</v>
      </c>
      <c r="I607" s="0" t="n">
        <v>0</v>
      </c>
      <c r="J607" s="0" t="n">
        <v>9.45</v>
      </c>
      <c r="K607" s="0" t="n">
        <v>0.08</v>
      </c>
      <c r="L607" s="0" t="n">
        <v>1.37</v>
      </c>
      <c r="M607" s="0" t="n">
        <v>0.06</v>
      </c>
      <c r="N607" s="0" t="n">
        <v>1.48</v>
      </c>
      <c r="O607" s="0" t="n">
        <v>24.12</v>
      </c>
    </row>
    <row r="608" customFormat="false" ht="15" hidden="false" customHeight="false" outlineLevel="0" collapsed="false">
      <c r="A608" s="0" t="s">
        <v>225</v>
      </c>
      <c r="B608" s="0" t="s">
        <v>463</v>
      </c>
      <c r="C608" s="0" t="n">
        <v>2023</v>
      </c>
      <c r="D608" s="0" t="n">
        <v>5105526</v>
      </c>
      <c r="E608" s="0" t="n">
        <v>11.72</v>
      </c>
      <c r="F608" s="0" t="n">
        <v>0</v>
      </c>
      <c r="G608" s="0" t="n">
        <v>0</v>
      </c>
      <c r="H608" s="0" t="n">
        <v>0.01</v>
      </c>
      <c r="I608" s="0" t="n">
        <v>0</v>
      </c>
      <c r="J608" s="0" t="n">
        <v>8.54</v>
      </c>
      <c r="K608" s="0" t="n">
        <v>0.09</v>
      </c>
      <c r="L608" s="0" t="n">
        <v>1.49</v>
      </c>
      <c r="M608" s="0" t="n">
        <v>0.06</v>
      </c>
      <c r="N608" s="0" t="n">
        <v>1.53</v>
      </c>
      <c r="O608" s="0" t="n">
        <v>24.74</v>
      </c>
    </row>
    <row r="609" customFormat="false" ht="15" hidden="false" customHeight="false" outlineLevel="0" collapsed="false">
      <c r="A609" s="0" t="s">
        <v>225</v>
      </c>
      <c r="B609" s="0" t="s">
        <v>463</v>
      </c>
      <c r="C609" s="0" t="n">
        <v>2024</v>
      </c>
      <c r="D609" s="0" t="n">
        <v>5129909</v>
      </c>
      <c r="E609" s="0" t="n">
        <v>11</v>
      </c>
      <c r="F609" s="0" t="n">
        <v>0</v>
      </c>
      <c r="G609" s="0" t="n">
        <v>0</v>
      </c>
      <c r="H609" s="0" t="n">
        <v>0.01</v>
      </c>
      <c r="I609" s="0" t="n">
        <v>0</v>
      </c>
      <c r="J609" s="0" t="n">
        <v>8</v>
      </c>
      <c r="K609" s="0" t="n">
        <v>0.09</v>
      </c>
      <c r="L609" s="0" t="n">
        <v>1.24</v>
      </c>
      <c r="M609" s="0" t="n">
        <v>0.06</v>
      </c>
      <c r="N609" s="0" t="n">
        <v>1.6</v>
      </c>
      <c r="O609" s="0" t="n">
        <v>25.46</v>
      </c>
    </row>
    <row r="610" customFormat="false" ht="15" hidden="false" customHeight="false" outlineLevel="0" collapsed="false">
      <c r="A610" s="0" t="s">
        <v>225</v>
      </c>
      <c r="B610" s="0" t="s">
        <v>463</v>
      </c>
      <c r="C610" s="0" t="n">
        <v>2025</v>
      </c>
      <c r="D610" s="0" t="n">
        <v>5152949</v>
      </c>
      <c r="E610" s="0" t="n">
        <v>12.81</v>
      </c>
      <c r="F610" s="0" t="n">
        <v>0</v>
      </c>
      <c r="G610" s="0" t="n">
        <v>0</v>
      </c>
      <c r="H610" s="0" t="n">
        <v>0</v>
      </c>
      <c r="I610" s="0" t="n">
        <v>0</v>
      </c>
      <c r="J610" s="0" t="n">
        <v>9.58</v>
      </c>
      <c r="K610" s="0" t="n">
        <v>0.09</v>
      </c>
      <c r="L610" s="0" t="n">
        <v>1.55</v>
      </c>
      <c r="M610" s="0" t="n">
        <v>0.06</v>
      </c>
      <c r="N610" s="0" t="n">
        <v>1.53</v>
      </c>
      <c r="O610" s="0" t="n">
        <v>24.2</v>
      </c>
    </row>
    <row r="611" customFormat="false" ht="15" hidden="false" customHeight="false" outlineLevel="0" collapsed="false">
      <c r="A611" s="0" t="s">
        <v>226</v>
      </c>
      <c r="B611" s="0" t="s">
        <v>464</v>
      </c>
      <c r="C611" s="0" t="n">
        <v>2015</v>
      </c>
      <c r="D611" s="0" t="n">
        <v>25246347</v>
      </c>
      <c r="E611" s="0" t="n">
        <v>8.7</v>
      </c>
      <c r="F611" s="0" t="n">
        <v>0</v>
      </c>
      <c r="G611" s="0" t="n">
        <v>6.8</v>
      </c>
      <c r="H611" s="0" t="n">
        <v>0.46</v>
      </c>
      <c r="I611" s="0" t="n">
        <v>0</v>
      </c>
      <c r="J611" s="0" t="n">
        <v>1.34</v>
      </c>
      <c r="K611" s="0" t="n">
        <v>0</v>
      </c>
      <c r="L611" s="0" t="n">
        <v>0</v>
      </c>
      <c r="M611" s="0" t="n">
        <v>0.1</v>
      </c>
      <c r="N611" s="0" t="n">
        <v>0</v>
      </c>
      <c r="O611" s="0" t="n">
        <v>475.86</v>
      </c>
    </row>
    <row r="612" customFormat="false" ht="15" hidden="false" customHeight="false" outlineLevel="0" collapsed="false">
      <c r="A612" s="0" t="s">
        <v>226</v>
      </c>
      <c r="B612" s="0" t="s">
        <v>464</v>
      </c>
      <c r="C612" s="0" t="n">
        <v>2016</v>
      </c>
      <c r="D612" s="0" t="n">
        <v>25989404</v>
      </c>
      <c r="E612" s="0" t="n">
        <v>10.23</v>
      </c>
      <c r="F612" s="0" t="n">
        <v>0</v>
      </c>
      <c r="G612" s="0" t="n">
        <v>8.48</v>
      </c>
      <c r="H612" s="0" t="n">
        <v>0.07</v>
      </c>
      <c r="I612" s="0" t="n">
        <v>0</v>
      </c>
      <c r="J612" s="0" t="n">
        <v>1.51</v>
      </c>
      <c r="K612" s="0" t="n">
        <v>0</v>
      </c>
      <c r="L612" s="0" t="n">
        <v>0</v>
      </c>
      <c r="M612" s="0" t="n">
        <v>0.17</v>
      </c>
      <c r="N612" s="0" t="n">
        <v>0</v>
      </c>
      <c r="O612" s="0" t="n">
        <v>475.07</v>
      </c>
    </row>
    <row r="613" customFormat="false" ht="15" hidden="false" customHeight="false" outlineLevel="0" collapsed="false">
      <c r="A613" s="0" t="s">
        <v>226</v>
      </c>
      <c r="B613" s="0" t="s">
        <v>464</v>
      </c>
      <c r="C613" s="0" t="n">
        <v>2017</v>
      </c>
      <c r="D613" s="0" t="n">
        <v>26733376</v>
      </c>
      <c r="E613" s="0" t="n">
        <v>10.12</v>
      </c>
      <c r="F613" s="0" t="n">
        <v>0</v>
      </c>
      <c r="G613" s="0" t="n">
        <v>7.89</v>
      </c>
      <c r="H613" s="0" t="n">
        <v>0.08</v>
      </c>
      <c r="I613" s="0" t="n">
        <v>0</v>
      </c>
      <c r="J613" s="0" t="n">
        <v>2.03</v>
      </c>
      <c r="K613" s="0" t="n">
        <v>0.01</v>
      </c>
      <c r="L613" s="0" t="n">
        <v>0</v>
      </c>
      <c r="M613" s="0" t="n">
        <v>0.11</v>
      </c>
      <c r="N613" s="0" t="n">
        <v>0</v>
      </c>
      <c r="O613" s="0" t="n">
        <v>446.64</v>
      </c>
    </row>
    <row r="614" customFormat="false" ht="15" hidden="false" customHeight="false" outlineLevel="0" collapsed="false">
      <c r="A614" s="0" t="s">
        <v>226</v>
      </c>
      <c r="B614" s="0" t="s">
        <v>464</v>
      </c>
      <c r="C614" s="0" t="n">
        <v>2018</v>
      </c>
      <c r="D614" s="0" t="n">
        <v>27464175</v>
      </c>
      <c r="E614" s="0" t="n">
        <v>10.04</v>
      </c>
      <c r="F614" s="0" t="n">
        <v>0</v>
      </c>
      <c r="G614" s="0" t="n">
        <v>7.03</v>
      </c>
      <c r="H614" s="0" t="n">
        <v>0.01</v>
      </c>
      <c r="I614" s="0" t="n">
        <v>0</v>
      </c>
      <c r="J614" s="0" t="n">
        <v>2.93</v>
      </c>
      <c r="K614" s="0" t="n">
        <v>0.01</v>
      </c>
      <c r="L614" s="0" t="n">
        <v>0</v>
      </c>
      <c r="M614" s="0" t="n">
        <v>0.06</v>
      </c>
      <c r="N614" s="0" t="n">
        <v>0</v>
      </c>
      <c r="O614" s="0" t="n">
        <v>399.4</v>
      </c>
    </row>
    <row r="615" customFormat="false" ht="15" hidden="false" customHeight="false" outlineLevel="0" collapsed="false">
      <c r="A615" s="0" t="s">
        <v>226</v>
      </c>
      <c r="B615" s="0" t="s">
        <v>464</v>
      </c>
      <c r="C615" s="0" t="n">
        <v>2019</v>
      </c>
      <c r="D615" s="0" t="n">
        <v>28193014</v>
      </c>
      <c r="E615" s="0" t="n">
        <v>10.66</v>
      </c>
      <c r="F615" s="0" t="n">
        <v>0</v>
      </c>
      <c r="G615" s="0" t="n">
        <v>7.12</v>
      </c>
      <c r="H615" s="0" t="n">
        <v>0.01</v>
      </c>
      <c r="I615" s="0" t="n">
        <v>0</v>
      </c>
      <c r="J615" s="0" t="n">
        <v>3.45</v>
      </c>
      <c r="K615" s="0" t="n">
        <v>0.01</v>
      </c>
      <c r="L615" s="0" t="n">
        <v>0</v>
      </c>
      <c r="M615" s="0" t="n">
        <v>0.07</v>
      </c>
      <c r="N615" s="0" t="n">
        <v>0</v>
      </c>
      <c r="O615" s="0" t="n">
        <v>382.74</v>
      </c>
    </row>
    <row r="616" customFormat="false" ht="15" hidden="false" customHeight="false" outlineLevel="0" collapsed="false">
      <c r="A616" s="0" t="s">
        <v>226</v>
      </c>
      <c r="B616" s="0" t="s">
        <v>464</v>
      </c>
      <c r="C616" s="0" t="n">
        <v>2020</v>
      </c>
      <c r="D616" s="0" t="n">
        <v>28915452</v>
      </c>
      <c r="E616" s="0" t="n">
        <v>11.26</v>
      </c>
      <c r="F616" s="0" t="n">
        <v>0</v>
      </c>
      <c r="G616" s="0" t="n">
        <v>7.8</v>
      </c>
      <c r="H616" s="0" t="n">
        <v>0.02</v>
      </c>
      <c r="I616" s="0" t="n">
        <v>0</v>
      </c>
      <c r="J616" s="0" t="n">
        <v>3.35</v>
      </c>
      <c r="K616" s="0" t="n">
        <v>0.02</v>
      </c>
      <c r="L616" s="0" t="n">
        <v>0</v>
      </c>
      <c r="M616" s="0" t="n">
        <v>0.07</v>
      </c>
      <c r="N616" s="0" t="n">
        <v>0</v>
      </c>
      <c r="O616" s="0" t="n">
        <v>396.09</v>
      </c>
    </row>
    <row r="617" customFormat="false" ht="15" hidden="false" customHeight="false" outlineLevel="0" collapsed="false">
      <c r="A617" s="0" t="s">
        <v>226</v>
      </c>
      <c r="B617" s="0" t="s">
        <v>464</v>
      </c>
      <c r="C617" s="0" t="n">
        <v>2021</v>
      </c>
      <c r="D617" s="0" t="n">
        <v>29639737</v>
      </c>
      <c r="E617" s="0" t="n">
        <v>11.35</v>
      </c>
      <c r="F617" s="0" t="n">
        <v>0</v>
      </c>
      <c r="G617" s="0" t="n">
        <v>8.62</v>
      </c>
      <c r="H617" s="0" t="n">
        <v>0.02</v>
      </c>
      <c r="I617" s="0" t="n">
        <v>0</v>
      </c>
      <c r="J617" s="0" t="n">
        <v>2.61</v>
      </c>
      <c r="K617" s="0" t="n">
        <v>0.02</v>
      </c>
      <c r="L617" s="0" t="n">
        <v>0</v>
      </c>
      <c r="M617" s="0" t="n">
        <v>0.08</v>
      </c>
      <c r="N617" s="0" t="n">
        <v>0</v>
      </c>
      <c r="O617" s="0" t="n">
        <v>431.72</v>
      </c>
    </row>
    <row r="618" customFormat="false" ht="15" hidden="false" customHeight="false" outlineLevel="0" collapsed="false">
      <c r="A618" s="0" t="s">
        <v>226</v>
      </c>
      <c r="B618" s="0" t="s">
        <v>464</v>
      </c>
      <c r="C618" s="0" t="n">
        <v>2022</v>
      </c>
      <c r="D618" s="0" t="n">
        <v>30395004</v>
      </c>
      <c r="E618" s="0" t="n">
        <v>12.61</v>
      </c>
      <c r="F618" s="0" t="n">
        <v>0</v>
      </c>
      <c r="G618" s="0" t="n">
        <v>9.14</v>
      </c>
      <c r="H618" s="0" t="n">
        <v>0.02</v>
      </c>
      <c r="I618" s="0" t="n">
        <v>0</v>
      </c>
      <c r="J618" s="0" t="n">
        <v>3.35</v>
      </c>
      <c r="K618" s="0" t="n">
        <v>0.02</v>
      </c>
      <c r="L618" s="0" t="n">
        <v>0</v>
      </c>
      <c r="M618" s="0" t="n">
        <v>0.08</v>
      </c>
      <c r="N618" s="0" t="n">
        <v>0</v>
      </c>
      <c r="O618" s="0" t="n">
        <v>413.16</v>
      </c>
    </row>
    <row r="619" customFormat="false" ht="15" hidden="false" customHeight="false" outlineLevel="0" collapsed="false">
      <c r="A619" s="0" t="s">
        <v>226</v>
      </c>
      <c r="B619" s="0" t="s">
        <v>464</v>
      </c>
      <c r="C619" s="0" t="n">
        <v>2023</v>
      </c>
      <c r="D619" s="0" t="n">
        <v>31165653</v>
      </c>
      <c r="E619" s="0" t="n">
        <v>10.98</v>
      </c>
      <c r="F619" s="0" t="n">
        <v>0</v>
      </c>
      <c r="G619" s="0" t="n">
        <v>7.65</v>
      </c>
      <c r="H619" s="0" t="n">
        <v>0.02</v>
      </c>
      <c r="I619" s="0" t="n">
        <v>0</v>
      </c>
      <c r="J619" s="0" t="n">
        <v>3.2</v>
      </c>
      <c r="K619" s="0" t="n">
        <v>0.02</v>
      </c>
      <c r="L619" s="0" t="n">
        <v>0</v>
      </c>
      <c r="M619" s="0" t="n">
        <v>0.09</v>
      </c>
      <c r="N619" s="0" t="n">
        <v>0</v>
      </c>
      <c r="O619" s="0" t="n">
        <v>398.91</v>
      </c>
    </row>
    <row r="620" customFormat="false" ht="15" hidden="false" customHeight="false" outlineLevel="0" collapsed="false">
      <c r="A620" s="0" t="s">
        <v>226</v>
      </c>
      <c r="B620" s="0" t="s">
        <v>464</v>
      </c>
      <c r="C620" s="0" t="n">
        <v>2024</v>
      </c>
      <c r="D620" s="0" t="n">
        <v>31934229</v>
      </c>
      <c r="E620" s="0" t="n">
        <v>10.79</v>
      </c>
      <c r="F620" s="0" t="n">
        <v>0</v>
      </c>
      <c r="G620" s="0" t="n">
        <v>7.65</v>
      </c>
      <c r="H620" s="0" t="n">
        <v>0.02</v>
      </c>
      <c r="I620" s="0" t="n">
        <v>0</v>
      </c>
      <c r="J620" s="0" t="n">
        <v>3</v>
      </c>
      <c r="K620" s="0" t="n">
        <v>0.02</v>
      </c>
      <c r="L620" s="0" t="n">
        <v>0</v>
      </c>
      <c r="M620" s="0" t="n">
        <v>0.1</v>
      </c>
      <c r="N620" s="0" t="n">
        <v>0</v>
      </c>
      <c r="O620" s="0" t="n">
        <v>405.01</v>
      </c>
    </row>
    <row r="621" customFormat="false" ht="15" hidden="false" customHeight="false" outlineLevel="0" collapsed="false">
      <c r="A621" s="0" t="s">
        <v>227</v>
      </c>
      <c r="B621" s="0" t="s">
        <v>465</v>
      </c>
      <c r="C621" s="0" t="n">
        <v>2015</v>
      </c>
      <c r="D621" s="0" t="n">
        <v>4183732</v>
      </c>
      <c r="E621" s="0" t="n">
        <v>11.24</v>
      </c>
      <c r="F621" s="0" t="n">
        <v>2.31</v>
      </c>
      <c r="G621" s="0" t="n">
        <v>1.2</v>
      </c>
      <c r="H621" s="0" t="n">
        <v>0.21</v>
      </c>
      <c r="I621" s="0" t="n">
        <v>0</v>
      </c>
      <c r="J621" s="0" t="n">
        <v>6.39</v>
      </c>
      <c r="K621" s="0" t="n">
        <v>0.06</v>
      </c>
      <c r="L621" s="0" t="n">
        <v>0.8</v>
      </c>
      <c r="M621" s="0" t="n">
        <v>0.27</v>
      </c>
      <c r="N621" s="0" t="n">
        <v>0</v>
      </c>
      <c r="O621" s="0" t="n">
        <v>274.91</v>
      </c>
    </row>
    <row r="622" customFormat="false" ht="15" hidden="false" customHeight="false" outlineLevel="0" collapsed="false">
      <c r="A622" s="0" t="s">
        <v>227</v>
      </c>
      <c r="B622" s="0" t="s">
        <v>465</v>
      </c>
      <c r="C622" s="0" t="n">
        <v>2016</v>
      </c>
      <c r="D622" s="0" t="n">
        <v>4136438</v>
      </c>
      <c r="E622" s="0" t="n">
        <v>12.6</v>
      </c>
      <c r="F622" s="0" t="n">
        <v>2.6</v>
      </c>
      <c r="G622" s="0" t="n">
        <v>1.59</v>
      </c>
      <c r="H622" s="0" t="n">
        <v>0.05</v>
      </c>
      <c r="I622" s="0" t="n">
        <v>0</v>
      </c>
      <c r="J622" s="0" t="n">
        <v>6.85</v>
      </c>
      <c r="K622" s="0" t="n">
        <v>0.07</v>
      </c>
      <c r="L622" s="0" t="n">
        <v>1.01</v>
      </c>
      <c r="M622" s="0" t="n">
        <v>0.43</v>
      </c>
      <c r="N622" s="0" t="n">
        <v>0</v>
      </c>
      <c r="O622" s="0" t="n">
        <v>275.4</v>
      </c>
    </row>
    <row r="623" customFormat="false" ht="15" hidden="false" customHeight="false" outlineLevel="0" collapsed="false">
      <c r="A623" s="0" t="s">
        <v>227</v>
      </c>
      <c r="B623" s="0" t="s">
        <v>465</v>
      </c>
      <c r="C623" s="0" t="n">
        <v>2017</v>
      </c>
      <c r="D623" s="0" t="n">
        <v>4079198</v>
      </c>
      <c r="E623" s="0" t="n">
        <v>11.77</v>
      </c>
      <c r="F623" s="0" t="n">
        <v>1.37</v>
      </c>
      <c r="G623" s="0" t="n">
        <v>3.09</v>
      </c>
      <c r="H623" s="0" t="n">
        <v>0.19</v>
      </c>
      <c r="I623" s="0" t="n">
        <v>0</v>
      </c>
      <c r="J623" s="0" t="n">
        <v>5.31</v>
      </c>
      <c r="K623" s="0" t="n">
        <v>0.08</v>
      </c>
      <c r="L623" s="0" t="n">
        <v>1.2</v>
      </c>
      <c r="M623" s="0" t="n">
        <v>0.53</v>
      </c>
      <c r="N623" s="0" t="n">
        <v>0</v>
      </c>
      <c r="O623" s="0" t="n">
        <v>255.74</v>
      </c>
    </row>
    <row r="624" customFormat="false" ht="15" hidden="false" customHeight="false" outlineLevel="0" collapsed="false">
      <c r="A624" s="0" t="s">
        <v>227</v>
      </c>
      <c r="B624" s="0" t="s">
        <v>465</v>
      </c>
      <c r="C624" s="0" t="n">
        <v>2018</v>
      </c>
      <c r="D624" s="0" t="n">
        <v>4024868</v>
      </c>
      <c r="E624" s="0" t="n">
        <v>13.52</v>
      </c>
      <c r="F624" s="0" t="n">
        <v>1.45</v>
      </c>
      <c r="G624" s="0" t="n">
        <v>2.25</v>
      </c>
      <c r="H624" s="0" t="n">
        <v>0.04</v>
      </c>
      <c r="I624" s="0" t="n">
        <v>0</v>
      </c>
      <c r="J624" s="0" t="n">
        <v>7.7</v>
      </c>
      <c r="K624" s="0" t="n">
        <v>0.07</v>
      </c>
      <c r="L624" s="0" t="n">
        <v>1.34</v>
      </c>
      <c r="M624" s="0" t="n">
        <v>0.67</v>
      </c>
      <c r="N624" s="0" t="n">
        <v>0</v>
      </c>
      <c r="O624" s="0" t="n">
        <v>201.18</v>
      </c>
    </row>
    <row r="625" customFormat="false" ht="15" hidden="false" customHeight="false" outlineLevel="0" collapsed="false">
      <c r="A625" s="0" t="s">
        <v>227</v>
      </c>
      <c r="B625" s="0" t="s">
        <v>465</v>
      </c>
      <c r="C625" s="0" t="n">
        <v>2019</v>
      </c>
      <c r="D625" s="0" t="n">
        <v>3986338</v>
      </c>
      <c r="E625" s="0" t="n">
        <v>12.65</v>
      </c>
      <c r="F625" s="0" t="n">
        <v>1.64</v>
      </c>
      <c r="G625" s="0" t="n">
        <v>2.63</v>
      </c>
      <c r="H625" s="0" t="n">
        <v>0.03</v>
      </c>
      <c r="I625" s="0" t="n">
        <v>0</v>
      </c>
      <c r="J625" s="0" t="n">
        <v>5.83</v>
      </c>
      <c r="K625" s="0" t="n">
        <v>0.08</v>
      </c>
      <c r="L625" s="0" t="n">
        <v>1.47</v>
      </c>
      <c r="M625" s="0" t="n">
        <v>0.88</v>
      </c>
      <c r="N625" s="0" t="n">
        <v>0.09</v>
      </c>
      <c r="O625" s="0" t="n">
        <v>242.69</v>
      </c>
    </row>
    <row r="626" customFormat="false" ht="15" hidden="false" customHeight="false" outlineLevel="0" collapsed="false">
      <c r="A626" s="0" t="s">
        <v>227</v>
      </c>
      <c r="B626" s="0" t="s">
        <v>465</v>
      </c>
      <c r="C626" s="0" t="n">
        <v>2020</v>
      </c>
      <c r="D626" s="0" t="n">
        <v>3953956</v>
      </c>
      <c r="E626" s="0" t="n">
        <v>13.23</v>
      </c>
      <c r="F626" s="0" t="n">
        <v>1.22</v>
      </c>
      <c r="G626" s="0" t="n">
        <v>3.44</v>
      </c>
      <c r="H626" s="0" t="n">
        <v>0.02</v>
      </c>
      <c r="I626" s="0" t="n">
        <v>0</v>
      </c>
      <c r="J626" s="0" t="n">
        <v>5.66</v>
      </c>
      <c r="K626" s="0" t="n">
        <v>0.1</v>
      </c>
      <c r="L626" s="0" t="n">
        <v>1.72</v>
      </c>
      <c r="M626" s="0" t="n">
        <v>0.98</v>
      </c>
      <c r="N626" s="0" t="n">
        <v>0.09</v>
      </c>
      <c r="O626" s="0" t="n">
        <v>226.76</v>
      </c>
    </row>
    <row r="627" customFormat="false" ht="15" hidden="false" customHeight="false" outlineLevel="0" collapsed="false">
      <c r="A627" s="0" t="s">
        <v>227</v>
      </c>
      <c r="B627" s="0" t="s">
        <v>465</v>
      </c>
      <c r="C627" s="0" t="n">
        <v>2021</v>
      </c>
      <c r="D627" s="0" t="n">
        <v>3924607</v>
      </c>
      <c r="E627" s="0" t="n">
        <v>15.11</v>
      </c>
      <c r="F627" s="0" t="n">
        <v>1.46</v>
      </c>
      <c r="G627" s="0" t="n">
        <v>3.1</v>
      </c>
      <c r="H627" s="0" t="n">
        <v>0.02</v>
      </c>
      <c r="I627" s="0" t="n">
        <v>0</v>
      </c>
      <c r="J627" s="0" t="n">
        <v>7.13</v>
      </c>
      <c r="K627" s="0" t="n">
        <v>0.15</v>
      </c>
      <c r="L627" s="0" t="n">
        <v>2.06</v>
      </c>
      <c r="M627" s="0" t="n">
        <v>1.1</v>
      </c>
      <c r="N627" s="0" t="n">
        <v>0.09</v>
      </c>
      <c r="O627" s="0" t="n">
        <v>210.46</v>
      </c>
    </row>
    <row r="628" customFormat="false" ht="15" hidden="false" customHeight="false" outlineLevel="0" collapsed="false">
      <c r="A628" s="0" t="s">
        <v>227</v>
      </c>
      <c r="B628" s="0" t="s">
        <v>465</v>
      </c>
      <c r="C628" s="0" t="n">
        <v>2022</v>
      </c>
      <c r="D628" s="0" t="n">
        <v>3907031</v>
      </c>
      <c r="E628" s="0" t="n">
        <v>14.1</v>
      </c>
      <c r="F628" s="0" t="n">
        <v>1.56</v>
      </c>
      <c r="G628" s="0" t="n">
        <v>3.51</v>
      </c>
      <c r="H628" s="0" t="n">
        <v>0.08</v>
      </c>
      <c r="I628" s="0" t="n">
        <v>0</v>
      </c>
      <c r="J628" s="0" t="n">
        <v>5.46</v>
      </c>
      <c r="K628" s="0" t="n">
        <v>0.15</v>
      </c>
      <c r="L628" s="0" t="n">
        <v>2.14</v>
      </c>
      <c r="M628" s="0" t="n">
        <v>1.13</v>
      </c>
      <c r="N628" s="0" t="n">
        <v>0.07</v>
      </c>
      <c r="O628" s="0" t="n">
        <v>244.68</v>
      </c>
    </row>
    <row r="629" customFormat="false" ht="15" hidden="false" customHeight="false" outlineLevel="0" collapsed="false">
      <c r="A629" s="0" t="s">
        <v>227</v>
      </c>
      <c r="B629" s="0" t="s">
        <v>465</v>
      </c>
      <c r="C629" s="0" t="n">
        <v>2023</v>
      </c>
      <c r="D629" s="0" t="n">
        <v>3896023</v>
      </c>
      <c r="E629" s="0" t="n">
        <v>17.44</v>
      </c>
      <c r="F629" s="0" t="n">
        <v>1.33</v>
      </c>
      <c r="G629" s="0" t="n">
        <v>3.86</v>
      </c>
      <c r="H629" s="0" t="n">
        <v>0.02</v>
      </c>
      <c r="I629" s="0" t="n">
        <v>0</v>
      </c>
      <c r="J629" s="0" t="n">
        <v>8.16</v>
      </c>
      <c r="K629" s="0" t="n">
        <v>0.41</v>
      </c>
      <c r="L629" s="0" t="n">
        <v>2.59</v>
      </c>
      <c r="M629" s="0" t="n">
        <v>1.05</v>
      </c>
      <c r="N629" s="0" t="n">
        <v>0.02</v>
      </c>
      <c r="O629" s="0" t="n">
        <v>194.95</v>
      </c>
    </row>
    <row r="630" customFormat="false" ht="15" hidden="false" customHeight="false" outlineLevel="0" collapsed="false">
      <c r="A630" s="0" t="s">
        <v>227</v>
      </c>
      <c r="B630" s="0" t="s">
        <v>465</v>
      </c>
      <c r="C630" s="0" t="n">
        <v>2024</v>
      </c>
      <c r="D630" s="0" t="n">
        <v>3875325</v>
      </c>
      <c r="E630" s="0" t="n">
        <v>15.29</v>
      </c>
      <c r="F630" s="0" t="n">
        <v>0.8</v>
      </c>
      <c r="G630" s="0" t="n">
        <v>3.25</v>
      </c>
      <c r="H630" s="0" t="n">
        <v>0.01</v>
      </c>
      <c r="I630" s="0" t="n">
        <v>0</v>
      </c>
      <c r="J630" s="0" t="n">
        <v>6.73</v>
      </c>
      <c r="K630" s="0" t="n">
        <v>0.82</v>
      </c>
      <c r="L630" s="0" t="n">
        <v>2.68</v>
      </c>
      <c r="M630" s="0" t="n">
        <v>1</v>
      </c>
      <c r="N630" s="0" t="n">
        <v>0</v>
      </c>
      <c r="O630" s="0" t="n">
        <v>170.7</v>
      </c>
    </row>
    <row r="631" customFormat="false" ht="15" hidden="false" customHeight="false" outlineLevel="0" collapsed="false">
      <c r="A631" s="0" t="s">
        <v>227</v>
      </c>
      <c r="B631" s="0" t="s">
        <v>465</v>
      </c>
      <c r="C631" s="0" t="n">
        <v>2025</v>
      </c>
      <c r="D631" s="0" t="n">
        <v>3848164</v>
      </c>
      <c r="E631" s="0" t="n">
        <v>14.7</v>
      </c>
      <c r="F631" s="0" t="n">
        <v>0.73</v>
      </c>
      <c r="G631" s="0" t="n">
        <v>2.76</v>
      </c>
      <c r="H631" s="0" t="n">
        <v>0</v>
      </c>
      <c r="I631" s="0" t="n">
        <v>0</v>
      </c>
      <c r="J631" s="0" t="n">
        <v>5.77</v>
      </c>
      <c r="K631" s="0" t="n">
        <v>1.29</v>
      </c>
      <c r="L631" s="0" t="n">
        <v>3.15</v>
      </c>
      <c r="M631" s="0" t="n">
        <v>1</v>
      </c>
      <c r="N631" s="0" t="n">
        <v>0</v>
      </c>
      <c r="O631" s="0" t="n">
        <v>158.5</v>
      </c>
    </row>
    <row r="632" customFormat="false" ht="15" hidden="false" customHeight="false" outlineLevel="0" collapsed="false">
      <c r="A632" s="0" t="s">
        <v>228</v>
      </c>
      <c r="B632" s="0" t="s">
        <v>466</v>
      </c>
      <c r="C632" s="0" t="n">
        <v>2015</v>
      </c>
      <c r="D632" s="0" t="n">
        <v>11275069</v>
      </c>
      <c r="E632" s="0" t="n">
        <v>20.39</v>
      </c>
      <c r="F632" s="0" t="n">
        <v>0</v>
      </c>
      <c r="G632" s="0" t="n">
        <v>2.95</v>
      </c>
      <c r="H632" s="0" t="n">
        <v>16.54</v>
      </c>
      <c r="I632" s="0" t="n">
        <v>0</v>
      </c>
      <c r="J632" s="0" t="n">
        <v>0.05</v>
      </c>
      <c r="K632" s="0" t="n">
        <v>0.13</v>
      </c>
      <c r="L632" s="0" t="n">
        <v>0.02</v>
      </c>
      <c r="M632" s="0" t="n">
        <v>0.7</v>
      </c>
      <c r="N632" s="0" t="n">
        <v>0</v>
      </c>
      <c r="O632" s="0" t="n">
        <v>643.94</v>
      </c>
    </row>
    <row r="633" customFormat="false" ht="15" hidden="false" customHeight="false" outlineLevel="0" collapsed="false">
      <c r="A633" s="0" t="s">
        <v>228</v>
      </c>
      <c r="B633" s="0" t="s">
        <v>466</v>
      </c>
      <c r="C633" s="0" t="n">
        <v>2016</v>
      </c>
      <c r="D633" s="0" t="n">
        <v>11265615</v>
      </c>
      <c r="E633" s="0" t="n">
        <v>20.55</v>
      </c>
      <c r="F633" s="0" t="n">
        <v>0</v>
      </c>
      <c r="G633" s="0" t="n">
        <v>2.92</v>
      </c>
      <c r="H633" s="0" t="n">
        <v>16.72</v>
      </c>
      <c r="I633" s="0" t="n">
        <v>0</v>
      </c>
      <c r="J633" s="0" t="n">
        <v>0.06</v>
      </c>
      <c r="K633" s="0" t="n">
        <v>0.14</v>
      </c>
      <c r="L633" s="0" t="n">
        <v>0.02</v>
      </c>
      <c r="M633" s="0" t="n">
        <v>0.69</v>
      </c>
      <c r="N633" s="0" t="n">
        <v>0</v>
      </c>
      <c r="O633" s="0" t="n">
        <v>643.31</v>
      </c>
    </row>
    <row r="634" customFormat="false" ht="15" hidden="false" customHeight="false" outlineLevel="0" collapsed="false">
      <c r="A634" s="0" t="s">
        <v>228</v>
      </c>
      <c r="B634" s="0" t="s">
        <v>466</v>
      </c>
      <c r="C634" s="0" t="n">
        <v>2017</v>
      </c>
      <c r="D634" s="0" t="n">
        <v>11247824</v>
      </c>
      <c r="E634" s="0" t="n">
        <v>20.57</v>
      </c>
      <c r="F634" s="0" t="n">
        <v>0</v>
      </c>
      <c r="G634" s="0" t="n">
        <v>2.8</v>
      </c>
      <c r="H634" s="0" t="n">
        <v>16.97</v>
      </c>
      <c r="I634" s="0" t="n">
        <v>0</v>
      </c>
      <c r="J634" s="0" t="n">
        <v>0.08</v>
      </c>
      <c r="K634" s="0" t="n">
        <v>0.08</v>
      </c>
      <c r="L634" s="0" t="n">
        <v>0.02</v>
      </c>
      <c r="M634" s="0" t="n">
        <v>0.62</v>
      </c>
      <c r="N634" s="0" t="n">
        <v>0</v>
      </c>
      <c r="O634" s="0" t="n">
        <v>645.6</v>
      </c>
    </row>
    <row r="635" customFormat="false" ht="15" hidden="false" customHeight="false" outlineLevel="0" collapsed="false">
      <c r="A635" s="0" t="s">
        <v>228</v>
      </c>
      <c r="B635" s="0" t="s">
        <v>466</v>
      </c>
      <c r="C635" s="0" t="n">
        <v>2018</v>
      </c>
      <c r="D635" s="0" t="n">
        <v>11227116</v>
      </c>
      <c r="E635" s="0" t="n">
        <v>20.8</v>
      </c>
      <c r="F635" s="0" t="n">
        <v>0</v>
      </c>
      <c r="G635" s="0" t="n">
        <v>2.64</v>
      </c>
      <c r="H635" s="0" t="n">
        <v>17.44</v>
      </c>
      <c r="I635" s="0" t="n">
        <v>0</v>
      </c>
      <c r="J635" s="0" t="n">
        <v>0.14</v>
      </c>
      <c r="K635" s="0" t="n">
        <v>0.12</v>
      </c>
      <c r="L635" s="0" t="n">
        <v>0.02</v>
      </c>
      <c r="M635" s="0" t="n">
        <v>0.44</v>
      </c>
      <c r="N635" s="0" t="n">
        <v>0</v>
      </c>
      <c r="O635" s="0" t="n">
        <v>647.12</v>
      </c>
    </row>
    <row r="636" customFormat="false" ht="15" hidden="false" customHeight="false" outlineLevel="0" collapsed="false">
      <c r="A636" s="0" t="s">
        <v>228</v>
      </c>
      <c r="B636" s="0" t="s">
        <v>466</v>
      </c>
      <c r="C636" s="0" t="n">
        <v>2019</v>
      </c>
      <c r="D636" s="0" t="n">
        <v>11202847</v>
      </c>
      <c r="E636" s="0" t="n">
        <v>20.7</v>
      </c>
      <c r="F636" s="0" t="n">
        <v>0</v>
      </c>
      <c r="G636" s="0" t="n">
        <v>2.45</v>
      </c>
      <c r="H636" s="0" t="n">
        <v>17.36</v>
      </c>
      <c r="I636" s="0" t="n">
        <v>0</v>
      </c>
      <c r="J636" s="0" t="n">
        <v>0.14</v>
      </c>
      <c r="K636" s="0" t="n">
        <v>0.21</v>
      </c>
      <c r="L636" s="0" t="n">
        <v>0.02</v>
      </c>
      <c r="M636" s="0" t="n">
        <v>0.52</v>
      </c>
      <c r="N636" s="0" t="n">
        <v>0</v>
      </c>
      <c r="O636" s="0" t="n">
        <v>641.06</v>
      </c>
    </row>
    <row r="637" customFormat="false" ht="15" hidden="false" customHeight="false" outlineLevel="0" collapsed="false">
      <c r="A637" s="0" t="s">
        <v>228</v>
      </c>
      <c r="B637" s="0" t="s">
        <v>466</v>
      </c>
      <c r="C637" s="0" t="n">
        <v>2020</v>
      </c>
      <c r="D637" s="0" t="n">
        <v>11176349</v>
      </c>
      <c r="E637" s="0" t="n">
        <v>19.03</v>
      </c>
      <c r="F637" s="0" t="n">
        <v>0</v>
      </c>
      <c r="G637" s="0" t="n">
        <v>2.01</v>
      </c>
      <c r="H637" s="0" t="n">
        <v>16.12</v>
      </c>
      <c r="I637" s="0" t="n">
        <v>0</v>
      </c>
      <c r="J637" s="0" t="n">
        <v>0.11</v>
      </c>
      <c r="K637" s="0" t="n">
        <v>0.22</v>
      </c>
      <c r="L637" s="0" t="n">
        <v>0.02</v>
      </c>
      <c r="M637" s="0" t="n">
        <v>0.55</v>
      </c>
      <c r="N637" s="0" t="n">
        <v>0</v>
      </c>
      <c r="O637" s="0" t="n">
        <v>638.99</v>
      </c>
    </row>
    <row r="638" customFormat="false" ht="15" hidden="false" customHeight="false" outlineLevel="0" collapsed="false">
      <c r="A638" s="0" t="s">
        <v>228</v>
      </c>
      <c r="B638" s="0" t="s">
        <v>466</v>
      </c>
      <c r="C638" s="0" t="n">
        <v>2021</v>
      </c>
      <c r="D638" s="0" t="n">
        <v>11122169</v>
      </c>
      <c r="E638" s="0" t="n">
        <v>17.83</v>
      </c>
      <c r="F638" s="0" t="n">
        <v>0</v>
      </c>
      <c r="G638" s="0" t="n">
        <v>1.58</v>
      </c>
      <c r="H638" s="0" t="n">
        <v>15.46</v>
      </c>
      <c r="I638" s="0" t="n">
        <v>0</v>
      </c>
      <c r="J638" s="0" t="n">
        <v>0.12</v>
      </c>
      <c r="K638" s="0" t="n">
        <v>0.22</v>
      </c>
      <c r="L638" s="0" t="n">
        <v>0.02</v>
      </c>
      <c r="M638" s="0" t="n">
        <v>0.43</v>
      </c>
      <c r="N638" s="0" t="n">
        <v>0</v>
      </c>
      <c r="O638" s="0" t="n">
        <v>638.81</v>
      </c>
    </row>
    <row r="639" customFormat="false" ht="15" hidden="false" customHeight="false" outlineLevel="0" collapsed="false">
      <c r="A639" s="0" t="s">
        <v>228</v>
      </c>
      <c r="B639" s="0" t="s">
        <v>466</v>
      </c>
      <c r="C639" s="0" t="n">
        <v>2022</v>
      </c>
      <c r="D639" s="0" t="n">
        <v>11059822</v>
      </c>
      <c r="E639" s="0" t="n">
        <v>15.65</v>
      </c>
      <c r="F639" s="0" t="n">
        <v>0</v>
      </c>
      <c r="G639" s="0" t="n">
        <v>1.95</v>
      </c>
      <c r="H639" s="0" t="n">
        <v>13.03</v>
      </c>
      <c r="I639" s="0" t="n">
        <v>0</v>
      </c>
      <c r="J639" s="0" t="n">
        <v>0.12</v>
      </c>
      <c r="K639" s="0" t="n">
        <v>0.21</v>
      </c>
      <c r="L639" s="0" t="n">
        <v>0.06</v>
      </c>
      <c r="M639" s="0" t="n">
        <v>0.28</v>
      </c>
      <c r="N639" s="0" t="n">
        <v>0</v>
      </c>
      <c r="O639" s="0" t="n">
        <v>640.26</v>
      </c>
    </row>
    <row r="640" customFormat="false" ht="15" hidden="false" customHeight="false" outlineLevel="0" collapsed="false">
      <c r="A640" s="0" t="s">
        <v>228</v>
      </c>
      <c r="B640" s="0" t="s">
        <v>466</v>
      </c>
      <c r="C640" s="0" t="n">
        <v>2023</v>
      </c>
      <c r="D640" s="0" t="n">
        <v>11019932</v>
      </c>
      <c r="E640" s="0" t="n">
        <v>19.74</v>
      </c>
      <c r="F640" s="0" t="n">
        <v>0</v>
      </c>
      <c r="G640" s="0" t="n">
        <v>2.5</v>
      </c>
      <c r="H640" s="0" t="n">
        <v>16.52</v>
      </c>
      <c r="I640" s="0" t="n">
        <v>0</v>
      </c>
      <c r="J640" s="0" t="n">
        <v>0.12</v>
      </c>
      <c r="K640" s="0" t="n">
        <v>0.21</v>
      </c>
      <c r="L640" s="0" t="n">
        <v>0.06</v>
      </c>
      <c r="M640" s="0" t="n">
        <v>0.33</v>
      </c>
      <c r="N640" s="0" t="n">
        <v>0</v>
      </c>
      <c r="O640" s="0" t="n">
        <v>644.38</v>
      </c>
    </row>
    <row r="641" customFormat="false" ht="15" hidden="false" customHeight="false" outlineLevel="0" collapsed="false">
      <c r="A641" s="0" t="s">
        <v>228</v>
      </c>
      <c r="B641" s="0" t="s">
        <v>466</v>
      </c>
      <c r="C641" s="0" t="n">
        <v>2024</v>
      </c>
      <c r="D641" s="0" t="n">
        <v>10979781</v>
      </c>
      <c r="E641" s="0" t="n">
        <v>19.43</v>
      </c>
      <c r="F641" s="0" t="n">
        <v>0</v>
      </c>
      <c r="G641" s="0" t="n">
        <v>2.65</v>
      </c>
      <c r="H641" s="0" t="n">
        <v>16</v>
      </c>
      <c r="I641" s="0" t="n">
        <v>0</v>
      </c>
      <c r="J641" s="0" t="n">
        <v>0.12</v>
      </c>
      <c r="K641" s="0" t="n">
        <v>0.24</v>
      </c>
      <c r="L641" s="0" t="n">
        <v>0.07</v>
      </c>
      <c r="M641" s="0" t="n">
        <v>0.35</v>
      </c>
      <c r="N641" s="0" t="n">
        <v>0</v>
      </c>
      <c r="O641" s="0" t="n">
        <v>642.82</v>
      </c>
    </row>
    <row r="642" customFormat="false" ht="15" hidden="false" customHeight="false" outlineLevel="0" collapsed="false">
      <c r="A642" s="0" t="s">
        <v>664</v>
      </c>
      <c r="B642" s="0" t="s">
        <v>665</v>
      </c>
      <c r="C642" s="0" t="n">
        <v>2015</v>
      </c>
      <c r="D642" s="0" t="n">
        <v>166621</v>
      </c>
    </row>
    <row r="643" customFormat="false" ht="15" hidden="false" customHeight="false" outlineLevel="0" collapsed="false">
      <c r="A643" s="0" t="s">
        <v>664</v>
      </c>
      <c r="B643" s="0" t="s">
        <v>665</v>
      </c>
      <c r="C643" s="0" t="n">
        <v>2016</v>
      </c>
      <c r="D643" s="0" t="n">
        <v>167787</v>
      </c>
    </row>
    <row r="644" customFormat="false" ht="15" hidden="false" customHeight="false" outlineLevel="0" collapsed="false">
      <c r="A644" s="0" t="s">
        <v>664</v>
      </c>
      <c r="B644" s="0" t="s">
        <v>665</v>
      </c>
      <c r="C644" s="0" t="n">
        <v>2017</v>
      </c>
      <c r="D644" s="0" t="n">
        <v>168525</v>
      </c>
    </row>
    <row r="645" customFormat="false" ht="15" hidden="false" customHeight="false" outlineLevel="0" collapsed="false">
      <c r="A645" s="0" t="s">
        <v>664</v>
      </c>
      <c r="B645" s="0" t="s">
        <v>665</v>
      </c>
      <c r="C645" s="0" t="n">
        <v>2018</v>
      </c>
      <c r="D645" s="0" t="n">
        <v>181590</v>
      </c>
    </row>
    <row r="646" customFormat="false" ht="15" hidden="false" customHeight="false" outlineLevel="0" collapsed="false">
      <c r="A646" s="0" t="s">
        <v>664</v>
      </c>
      <c r="B646" s="0" t="s">
        <v>665</v>
      </c>
      <c r="C646" s="0" t="n">
        <v>2019</v>
      </c>
      <c r="D646" s="0" t="n">
        <v>189555</v>
      </c>
    </row>
    <row r="647" customFormat="false" ht="15" hidden="false" customHeight="false" outlineLevel="0" collapsed="false">
      <c r="A647" s="0" t="s">
        <v>664</v>
      </c>
      <c r="B647" s="0" t="s">
        <v>665</v>
      </c>
      <c r="C647" s="0" t="n">
        <v>2020</v>
      </c>
      <c r="D647" s="0" t="n">
        <v>185029</v>
      </c>
    </row>
    <row r="648" customFormat="false" ht="15" hidden="false" customHeight="false" outlineLevel="0" collapsed="false">
      <c r="A648" s="0" t="s">
        <v>664</v>
      </c>
      <c r="B648" s="0" t="s">
        <v>665</v>
      </c>
      <c r="C648" s="0" t="n">
        <v>2021</v>
      </c>
      <c r="D648" s="0" t="n">
        <v>185324</v>
      </c>
    </row>
    <row r="649" customFormat="false" ht="15" hidden="false" customHeight="false" outlineLevel="0" collapsed="false">
      <c r="A649" s="0" t="s">
        <v>664</v>
      </c>
      <c r="B649" s="0" t="s">
        <v>665</v>
      </c>
      <c r="C649" s="0" t="n">
        <v>2022</v>
      </c>
      <c r="D649" s="0" t="n">
        <v>185350</v>
      </c>
    </row>
    <row r="650" customFormat="false" ht="15" hidden="false" customHeight="false" outlineLevel="0" collapsed="false">
      <c r="A650" s="0" t="s">
        <v>664</v>
      </c>
      <c r="B650" s="0" t="s">
        <v>665</v>
      </c>
      <c r="C650" s="0" t="n">
        <v>2023</v>
      </c>
      <c r="D650" s="0" t="n">
        <v>185437</v>
      </c>
    </row>
    <row r="651" customFormat="false" ht="15" hidden="false" customHeight="false" outlineLevel="0" collapsed="false">
      <c r="A651" s="0" t="s">
        <v>664</v>
      </c>
      <c r="B651" s="0" t="s">
        <v>665</v>
      </c>
      <c r="C651" s="0" t="n">
        <v>2024</v>
      </c>
      <c r="D651" s="0" t="n">
        <v>185482</v>
      </c>
    </row>
    <row r="652" customFormat="false" ht="15" hidden="false" customHeight="false" outlineLevel="0" collapsed="false">
      <c r="A652" s="0" t="s">
        <v>229</v>
      </c>
      <c r="B652" s="0" t="s">
        <v>467</v>
      </c>
      <c r="C652" s="0" t="n">
        <v>2015</v>
      </c>
      <c r="D652" s="0" t="n">
        <v>1219504</v>
      </c>
      <c r="E652" s="0" t="n">
        <v>4.54</v>
      </c>
      <c r="F652" s="0" t="n">
        <v>0</v>
      </c>
      <c r="G652" s="0" t="n">
        <v>0</v>
      </c>
      <c r="H652" s="0" t="n">
        <v>4.14</v>
      </c>
      <c r="I652" s="0" t="n">
        <v>0</v>
      </c>
      <c r="J652" s="0" t="n">
        <v>0</v>
      </c>
      <c r="K652" s="0" t="n">
        <v>0.13</v>
      </c>
      <c r="L652" s="0" t="n">
        <v>0.22</v>
      </c>
      <c r="M652" s="0" t="n">
        <v>0.05</v>
      </c>
      <c r="N652" s="0" t="n">
        <v>0</v>
      </c>
      <c r="O652" s="0" t="n">
        <v>603.52</v>
      </c>
    </row>
    <row r="653" customFormat="false" ht="15" hidden="false" customHeight="false" outlineLevel="0" collapsed="false">
      <c r="A653" s="0" t="s">
        <v>229</v>
      </c>
      <c r="B653" s="0" t="s">
        <v>467</v>
      </c>
      <c r="C653" s="0" t="n">
        <v>2016</v>
      </c>
      <c r="D653" s="0" t="n">
        <v>1237114</v>
      </c>
      <c r="E653" s="0" t="n">
        <v>4.89</v>
      </c>
      <c r="F653" s="0" t="n">
        <v>0</v>
      </c>
      <c r="G653" s="0" t="n">
        <v>0</v>
      </c>
      <c r="H653" s="0" t="n">
        <v>4.46</v>
      </c>
      <c r="I653" s="0" t="n">
        <v>0</v>
      </c>
      <c r="J653" s="0" t="n">
        <v>0</v>
      </c>
      <c r="K653" s="0" t="n">
        <v>0.15</v>
      </c>
      <c r="L653" s="0" t="n">
        <v>0.23</v>
      </c>
      <c r="M653" s="0" t="n">
        <v>0.05</v>
      </c>
      <c r="N653" s="0" t="n">
        <v>0</v>
      </c>
      <c r="O653" s="0" t="n">
        <v>603.27</v>
      </c>
    </row>
    <row r="654" customFormat="false" ht="15" hidden="false" customHeight="false" outlineLevel="0" collapsed="false">
      <c r="A654" s="0" t="s">
        <v>229</v>
      </c>
      <c r="B654" s="0" t="s">
        <v>467</v>
      </c>
      <c r="C654" s="0" t="n">
        <v>2017</v>
      </c>
      <c r="D654" s="0" t="n">
        <v>1254274</v>
      </c>
      <c r="E654" s="0" t="n">
        <v>5</v>
      </c>
      <c r="F654" s="0" t="n">
        <v>0</v>
      </c>
      <c r="G654" s="0" t="n">
        <v>0</v>
      </c>
      <c r="H654" s="0" t="n">
        <v>4.57</v>
      </c>
      <c r="I654" s="0" t="n">
        <v>0</v>
      </c>
      <c r="J654" s="0" t="n">
        <v>0</v>
      </c>
      <c r="K654" s="0" t="n">
        <v>0.17</v>
      </c>
      <c r="L654" s="0" t="n">
        <v>0.21</v>
      </c>
      <c r="M654" s="0" t="n">
        <v>0.05</v>
      </c>
      <c r="N654" s="0" t="n">
        <v>0</v>
      </c>
      <c r="O654" s="0" t="n">
        <v>606</v>
      </c>
    </row>
    <row r="655" customFormat="false" ht="15" hidden="false" customHeight="false" outlineLevel="0" collapsed="false">
      <c r="A655" s="0" t="s">
        <v>229</v>
      </c>
      <c r="B655" s="0" t="s">
        <v>467</v>
      </c>
      <c r="C655" s="0" t="n">
        <v>2018</v>
      </c>
      <c r="D655" s="0" t="n">
        <v>1270743</v>
      </c>
      <c r="E655" s="0" t="n">
        <v>5.06</v>
      </c>
      <c r="F655" s="0" t="n">
        <v>0</v>
      </c>
      <c r="G655" s="0" t="n">
        <v>0</v>
      </c>
      <c r="H655" s="0" t="n">
        <v>4.58</v>
      </c>
      <c r="I655" s="0" t="n">
        <v>0</v>
      </c>
      <c r="J655" s="0" t="n">
        <v>0</v>
      </c>
      <c r="K655" s="0" t="n">
        <v>0.2</v>
      </c>
      <c r="L655" s="0" t="n">
        <v>0.22</v>
      </c>
      <c r="M655" s="0" t="n">
        <v>0.06</v>
      </c>
      <c r="N655" s="0" t="n">
        <v>0</v>
      </c>
      <c r="O655" s="0" t="n">
        <v>598.81</v>
      </c>
    </row>
    <row r="656" customFormat="false" ht="15" hidden="false" customHeight="false" outlineLevel="0" collapsed="false">
      <c r="A656" s="0" t="s">
        <v>229</v>
      </c>
      <c r="B656" s="0" t="s">
        <v>467</v>
      </c>
      <c r="C656" s="0" t="n">
        <v>2019</v>
      </c>
      <c r="D656" s="0" t="n">
        <v>1286669</v>
      </c>
      <c r="E656" s="0" t="n">
        <v>5.15</v>
      </c>
      <c r="F656" s="0" t="n">
        <v>0</v>
      </c>
      <c r="G656" s="0" t="n">
        <v>0</v>
      </c>
      <c r="H656" s="0" t="n">
        <v>4.63</v>
      </c>
      <c r="I656" s="0" t="n">
        <v>0</v>
      </c>
      <c r="J656" s="0" t="n">
        <v>0</v>
      </c>
      <c r="K656" s="0" t="n">
        <v>0.22</v>
      </c>
      <c r="L656" s="0" t="n">
        <v>0.24</v>
      </c>
      <c r="M656" s="0" t="n">
        <v>0.06</v>
      </c>
      <c r="N656" s="0" t="n">
        <v>0</v>
      </c>
      <c r="O656" s="0" t="n">
        <v>596.12</v>
      </c>
    </row>
    <row r="657" customFormat="false" ht="15" hidden="false" customHeight="false" outlineLevel="0" collapsed="false">
      <c r="A657" s="0" t="s">
        <v>229</v>
      </c>
      <c r="B657" s="0" t="s">
        <v>467</v>
      </c>
      <c r="C657" s="0" t="n">
        <v>2020</v>
      </c>
      <c r="D657" s="0" t="n">
        <v>1302250</v>
      </c>
      <c r="E657" s="0" t="n">
        <v>4.85</v>
      </c>
      <c r="F657" s="0" t="n">
        <v>0</v>
      </c>
      <c r="G657" s="0" t="n">
        <v>0</v>
      </c>
      <c r="H657" s="0" t="n">
        <v>4.25</v>
      </c>
      <c r="I657" s="0" t="n">
        <v>0</v>
      </c>
      <c r="J657" s="0" t="n">
        <v>0</v>
      </c>
      <c r="K657" s="0" t="n">
        <v>0.3</v>
      </c>
      <c r="L657" s="0" t="n">
        <v>0.24</v>
      </c>
      <c r="M657" s="0" t="n">
        <v>0.06</v>
      </c>
      <c r="N657" s="0" t="n">
        <v>0</v>
      </c>
      <c r="O657" s="0" t="n">
        <v>581.44</v>
      </c>
    </row>
    <row r="658" customFormat="false" ht="15" hidden="false" customHeight="false" outlineLevel="0" collapsed="false">
      <c r="A658" s="0" t="s">
        <v>229</v>
      </c>
      <c r="B658" s="0" t="s">
        <v>467</v>
      </c>
      <c r="C658" s="0" t="n">
        <v>2021</v>
      </c>
      <c r="D658" s="0" t="n">
        <v>1317311</v>
      </c>
      <c r="E658" s="0" t="n">
        <v>5.12</v>
      </c>
      <c r="F658" s="0" t="n">
        <v>0</v>
      </c>
      <c r="G658" s="0" t="n">
        <v>0</v>
      </c>
      <c r="H658" s="0" t="n">
        <v>4.34</v>
      </c>
      <c r="I658" s="0" t="n">
        <v>0</v>
      </c>
      <c r="J658" s="0" t="n">
        <v>0</v>
      </c>
      <c r="K658" s="0" t="n">
        <v>0.47</v>
      </c>
      <c r="L658" s="0" t="n">
        <v>0.25</v>
      </c>
      <c r="M658" s="0" t="n">
        <v>0.06</v>
      </c>
      <c r="N658" s="0" t="n">
        <v>0</v>
      </c>
      <c r="O658" s="0" t="n">
        <v>564.45</v>
      </c>
    </row>
    <row r="659" customFormat="false" ht="15" hidden="false" customHeight="false" outlineLevel="0" collapsed="false">
      <c r="A659" s="0" t="s">
        <v>229</v>
      </c>
      <c r="B659" s="0" t="s">
        <v>467</v>
      </c>
      <c r="C659" s="0" t="n">
        <v>2022</v>
      </c>
      <c r="D659" s="0" t="n">
        <v>1331376</v>
      </c>
      <c r="E659" s="0" t="n">
        <v>5.26</v>
      </c>
      <c r="F659" s="0" t="n">
        <v>0</v>
      </c>
      <c r="G659" s="0" t="n">
        <v>0</v>
      </c>
      <c r="H659" s="0" t="n">
        <v>4.38</v>
      </c>
      <c r="I659" s="0" t="n">
        <v>0</v>
      </c>
      <c r="J659" s="0" t="n">
        <v>0</v>
      </c>
      <c r="K659" s="0" t="n">
        <v>0.6</v>
      </c>
      <c r="L659" s="0" t="n">
        <v>0.22</v>
      </c>
      <c r="M659" s="0" t="n">
        <v>0.06</v>
      </c>
      <c r="N659" s="0" t="n">
        <v>0</v>
      </c>
      <c r="O659" s="0" t="n">
        <v>555.13</v>
      </c>
    </row>
    <row r="660" customFormat="false" ht="15" hidden="false" customHeight="false" outlineLevel="0" collapsed="false">
      <c r="A660" s="0" t="s">
        <v>229</v>
      </c>
      <c r="B660" s="0" t="s">
        <v>467</v>
      </c>
      <c r="C660" s="0" t="n">
        <v>2023</v>
      </c>
      <c r="D660" s="0" t="n">
        <v>1344981</v>
      </c>
      <c r="E660" s="0" t="n">
        <v>5.33</v>
      </c>
      <c r="F660" s="0" t="n">
        <v>0</v>
      </c>
      <c r="G660" s="0" t="n">
        <v>0</v>
      </c>
      <c r="H660" s="0" t="n">
        <v>4.24</v>
      </c>
      <c r="I660" s="0" t="n">
        <v>0</v>
      </c>
      <c r="J660" s="0" t="n">
        <v>0</v>
      </c>
      <c r="K660" s="0" t="n">
        <v>0.83</v>
      </c>
      <c r="L660" s="0" t="n">
        <v>0.21</v>
      </c>
      <c r="M660" s="0" t="n">
        <v>0.05</v>
      </c>
      <c r="N660" s="0" t="n">
        <v>0</v>
      </c>
      <c r="O660" s="0" t="n">
        <v>532.83</v>
      </c>
    </row>
    <row r="661" customFormat="false" ht="15" hidden="false" customHeight="false" outlineLevel="0" collapsed="false">
      <c r="A661" s="0" t="s">
        <v>229</v>
      </c>
      <c r="B661" s="0" t="s">
        <v>467</v>
      </c>
      <c r="C661" s="0" t="n">
        <v>2024</v>
      </c>
      <c r="D661" s="0" t="n">
        <v>1358287</v>
      </c>
      <c r="E661" s="0" t="n">
        <v>5.79</v>
      </c>
      <c r="F661" s="0" t="n">
        <v>0</v>
      </c>
      <c r="G661" s="0" t="n">
        <v>0</v>
      </c>
      <c r="H661" s="0" t="n">
        <v>4.4</v>
      </c>
      <c r="I661" s="0" t="n">
        <v>0</v>
      </c>
      <c r="J661" s="0" t="n">
        <v>0</v>
      </c>
      <c r="K661" s="0" t="n">
        <v>1.11</v>
      </c>
      <c r="L661" s="0" t="n">
        <v>0.22</v>
      </c>
      <c r="M661" s="0" t="n">
        <v>0.06</v>
      </c>
      <c r="N661" s="0" t="n">
        <v>0</v>
      </c>
      <c r="O661" s="0" t="n">
        <v>511.23</v>
      </c>
    </row>
    <row r="662" customFormat="false" ht="15" hidden="false" customHeight="false" outlineLevel="0" collapsed="false">
      <c r="A662" s="0" t="s">
        <v>229</v>
      </c>
      <c r="B662" s="0" t="s">
        <v>467</v>
      </c>
      <c r="C662" s="0" t="n">
        <v>2025</v>
      </c>
      <c r="D662" s="0" t="n">
        <v>1370754</v>
      </c>
      <c r="E662" s="0" t="n">
        <v>5.91</v>
      </c>
      <c r="F662" s="0" t="n">
        <v>0</v>
      </c>
      <c r="G662" s="0" t="n">
        <v>0</v>
      </c>
      <c r="H662" s="0" t="n">
        <v>4.27</v>
      </c>
      <c r="I662" s="0" t="n">
        <v>0</v>
      </c>
      <c r="J662" s="0" t="n">
        <v>0</v>
      </c>
      <c r="K662" s="0" t="n">
        <v>1.37</v>
      </c>
      <c r="L662" s="0" t="n">
        <v>0.21</v>
      </c>
      <c r="M662" s="0" t="n">
        <v>0.06</v>
      </c>
      <c r="N662" s="0" t="n">
        <v>0</v>
      </c>
      <c r="O662" s="0" t="n">
        <v>489</v>
      </c>
    </row>
    <row r="663" customFormat="false" ht="15" hidden="false" customHeight="false" outlineLevel="0" collapsed="false">
      <c r="A663" s="0" t="s">
        <v>230</v>
      </c>
      <c r="B663" s="0" t="s">
        <v>468</v>
      </c>
      <c r="C663" s="0" t="n">
        <v>2015</v>
      </c>
      <c r="D663" s="0" t="n">
        <v>10524418</v>
      </c>
      <c r="E663" s="0" t="n">
        <v>82.49</v>
      </c>
      <c r="F663" s="0" t="n">
        <v>41.14</v>
      </c>
      <c r="G663" s="0" t="n">
        <v>2.28</v>
      </c>
      <c r="H663" s="0" t="n">
        <v>2.82</v>
      </c>
      <c r="I663" s="0" t="n">
        <v>26.84</v>
      </c>
      <c r="J663" s="0" t="n">
        <v>1.79</v>
      </c>
      <c r="K663" s="0" t="n">
        <v>2.26</v>
      </c>
      <c r="L663" s="0" t="n">
        <v>0.57</v>
      </c>
      <c r="M663" s="0" t="n">
        <v>4.79</v>
      </c>
      <c r="N663" s="0" t="n">
        <v>0</v>
      </c>
      <c r="O663" s="0" t="n">
        <v>553.16</v>
      </c>
    </row>
    <row r="664" customFormat="false" ht="15" hidden="false" customHeight="false" outlineLevel="0" collapsed="false">
      <c r="A664" s="0" t="s">
        <v>230</v>
      </c>
      <c r="B664" s="0" t="s">
        <v>468</v>
      </c>
      <c r="C664" s="0" t="n">
        <v>2016</v>
      </c>
      <c r="D664" s="0" t="n">
        <v>10531946</v>
      </c>
      <c r="E664" s="0" t="n">
        <v>82</v>
      </c>
      <c r="F664" s="0" t="n">
        <v>41.97</v>
      </c>
      <c r="G664" s="0" t="n">
        <v>3.73</v>
      </c>
      <c r="H664" s="0" t="n">
        <v>2.81</v>
      </c>
      <c r="I664" s="0" t="n">
        <v>24.1</v>
      </c>
      <c r="J664" s="0" t="n">
        <v>2</v>
      </c>
      <c r="K664" s="0" t="n">
        <v>2.13</v>
      </c>
      <c r="L664" s="0" t="n">
        <v>0.5</v>
      </c>
      <c r="M664" s="0" t="n">
        <v>4.76</v>
      </c>
      <c r="N664" s="0" t="n">
        <v>0</v>
      </c>
      <c r="O664" s="0" t="n">
        <v>573.9</v>
      </c>
    </row>
    <row r="665" customFormat="false" ht="15" hidden="false" customHeight="false" outlineLevel="0" collapsed="false">
      <c r="A665" s="0" t="s">
        <v>230</v>
      </c>
      <c r="B665" s="0" t="s">
        <v>468</v>
      </c>
      <c r="C665" s="0" t="n">
        <v>2017</v>
      </c>
      <c r="D665" s="0" t="n">
        <v>10541343</v>
      </c>
      <c r="E665" s="0" t="n">
        <v>85.76</v>
      </c>
      <c r="F665" s="0" t="n">
        <v>41.44</v>
      </c>
      <c r="G665" s="0" t="n">
        <v>3.7</v>
      </c>
      <c r="H665" s="0" t="n">
        <v>2.65</v>
      </c>
      <c r="I665" s="0" t="n">
        <v>28.34</v>
      </c>
      <c r="J665" s="0" t="n">
        <v>1.87</v>
      </c>
      <c r="K665" s="0" t="n">
        <v>2.2</v>
      </c>
      <c r="L665" s="0" t="n">
        <v>0.59</v>
      </c>
      <c r="M665" s="0" t="n">
        <v>4.97</v>
      </c>
      <c r="N665" s="0" t="n">
        <v>0</v>
      </c>
      <c r="O665" s="0" t="n">
        <v>542.33</v>
      </c>
    </row>
    <row r="666" customFormat="false" ht="15" hidden="false" customHeight="false" outlineLevel="0" collapsed="false">
      <c r="A666" s="0" t="s">
        <v>230</v>
      </c>
      <c r="B666" s="0" t="s">
        <v>468</v>
      </c>
      <c r="C666" s="0" t="n">
        <v>2018</v>
      </c>
      <c r="D666" s="0" t="n">
        <v>10548934</v>
      </c>
      <c r="E666" s="0" t="n">
        <v>86.84</v>
      </c>
      <c r="F666" s="0" t="n">
        <v>41.2</v>
      </c>
      <c r="G666" s="0" t="n">
        <v>3.77</v>
      </c>
      <c r="H666" s="0" t="n">
        <v>2.52</v>
      </c>
      <c r="I666" s="0" t="n">
        <v>29.92</v>
      </c>
      <c r="J666" s="0" t="n">
        <v>1.63</v>
      </c>
      <c r="K666" s="0" t="n">
        <v>2.36</v>
      </c>
      <c r="L666" s="0" t="n">
        <v>0.61</v>
      </c>
      <c r="M666" s="0" t="n">
        <v>4.83</v>
      </c>
      <c r="N666" s="0" t="n">
        <v>0</v>
      </c>
      <c r="O666" s="0" t="n">
        <v>532.59</v>
      </c>
    </row>
    <row r="667" customFormat="false" ht="15" hidden="false" customHeight="false" outlineLevel="0" collapsed="false">
      <c r="A667" s="0" t="s">
        <v>230</v>
      </c>
      <c r="B667" s="0" t="s">
        <v>468</v>
      </c>
      <c r="C667" s="0" t="n">
        <v>2019</v>
      </c>
      <c r="D667" s="0" t="n">
        <v>10554872</v>
      </c>
      <c r="E667" s="0" t="n">
        <v>85.72</v>
      </c>
      <c r="F667" s="0" t="n">
        <v>37.33</v>
      </c>
      <c r="G667" s="0" t="n">
        <v>5.81</v>
      </c>
      <c r="H667" s="0" t="n">
        <v>2.27</v>
      </c>
      <c r="I667" s="0" t="n">
        <v>30.25</v>
      </c>
      <c r="J667" s="0" t="n">
        <v>2.01</v>
      </c>
      <c r="K667" s="0" t="n">
        <v>2.32</v>
      </c>
      <c r="L667" s="0" t="n">
        <v>0.7</v>
      </c>
      <c r="M667" s="0" t="n">
        <v>5.03</v>
      </c>
      <c r="N667" s="0" t="n">
        <v>0</v>
      </c>
      <c r="O667" s="0" t="n">
        <v>503.5</v>
      </c>
    </row>
    <row r="668" customFormat="false" ht="15" hidden="false" customHeight="false" outlineLevel="0" collapsed="false">
      <c r="A668" s="0" t="s">
        <v>230</v>
      </c>
      <c r="B668" s="0" t="s">
        <v>468</v>
      </c>
      <c r="C668" s="0" t="n">
        <v>2020</v>
      </c>
      <c r="D668" s="0" t="n">
        <v>10550129</v>
      </c>
      <c r="E668" s="0" t="n">
        <v>80.1</v>
      </c>
      <c r="F668" s="0" t="n">
        <v>31</v>
      </c>
      <c r="G668" s="0" t="n">
        <v>6.87</v>
      </c>
      <c r="H668" s="0" t="n">
        <v>1.85</v>
      </c>
      <c r="I668" s="0" t="n">
        <v>30.04</v>
      </c>
      <c r="J668" s="0" t="n">
        <v>2.14</v>
      </c>
      <c r="K668" s="0" t="n">
        <v>2.29</v>
      </c>
      <c r="L668" s="0" t="n">
        <v>0.7</v>
      </c>
      <c r="M668" s="0" t="n">
        <v>5.21</v>
      </c>
      <c r="N668" s="0" t="n">
        <v>0</v>
      </c>
      <c r="O668" s="0" t="n">
        <v>460.18</v>
      </c>
    </row>
    <row r="669" customFormat="false" ht="15" hidden="false" customHeight="false" outlineLevel="0" collapsed="false">
      <c r="A669" s="0" t="s">
        <v>230</v>
      </c>
      <c r="B669" s="0" t="s">
        <v>468</v>
      </c>
      <c r="C669" s="0" t="n">
        <v>2021</v>
      </c>
      <c r="D669" s="0" t="n">
        <v>10530683</v>
      </c>
      <c r="E669" s="0" t="n">
        <v>83.66</v>
      </c>
      <c r="F669" s="0" t="n">
        <v>34.18</v>
      </c>
      <c r="G669" s="0" t="n">
        <v>7.31</v>
      </c>
      <c r="H669" s="0" t="n">
        <v>0.8</v>
      </c>
      <c r="I669" s="0" t="n">
        <v>30.73</v>
      </c>
      <c r="J669" s="0" t="n">
        <v>2.41</v>
      </c>
      <c r="K669" s="0" t="n">
        <v>2.25</v>
      </c>
      <c r="L669" s="0" t="n">
        <v>0.6</v>
      </c>
      <c r="M669" s="0" t="n">
        <v>5.38</v>
      </c>
      <c r="N669" s="0" t="n">
        <v>0</v>
      </c>
      <c r="O669" s="0" t="n">
        <v>471.79</v>
      </c>
    </row>
    <row r="670" customFormat="false" ht="15" hidden="false" customHeight="false" outlineLevel="0" collapsed="false">
      <c r="A670" s="0" t="s">
        <v>230</v>
      </c>
      <c r="B670" s="0" t="s">
        <v>468</v>
      </c>
      <c r="C670" s="0" t="n">
        <v>2022</v>
      </c>
      <c r="D670" s="0" t="n">
        <v>10673216</v>
      </c>
      <c r="E670" s="0" t="n">
        <v>83.73</v>
      </c>
      <c r="F670" s="0" t="n">
        <v>36.88</v>
      </c>
      <c r="G670" s="0" t="n">
        <v>4.33</v>
      </c>
      <c r="H670" s="0" t="n">
        <v>0.73</v>
      </c>
      <c r="I670" s="0" t="n">
        <v>31.02</v>
      </c>
      <c r="J670" s="0" t="n">
        <v>2.09</v>
      </c>
      <c r="K670" s="0" t="n">
        <v>2.63</v>
      </c>
      <c r="L670" s="0" t="n">
        <v>0.64</v>
      </c>
      <c r="M670" s="0" t="n">
        <v>5.41</v>
      </c>
      <c r="N670" s="0" t="n">
        <v>0</v>
      </c>
      <c r="O670" s="0" t="n">
        <v>488.36</v>
      </c>
    </row>
    <row r="671" customFormat="false" ht="15" hidden="false" customHeight="false" outlineLevel="0" collapsed="false">
      <c r="A671" s="0" t="s">
        <v>230</v>
      </c>
      <c r="B671" s="0" t="s">
        <v>468</v>
      </c>
      <c r="C671" s="0" t="n">
        <v>2023</v>
      </c>
      <c r="D671" s="0" t="n">
        <v>10809722</v>
      </c>
      <c r="E671" s="0" t="n">
        <v>75.8</v>
      </c>
      <c r="F671" s="0" t="n">
        <v>29.94</v>
      </c>
      <c r="G671" s="0" t="n">
        <v>3.68</v>
      </c>
      <c r="H671" s="0" t="n">
        <v>0.63</v>
      </c>
      <c r="I671" s="0" t="n">
        <v>30.41</v>
      </c>
      <c r="J671" s="0" t="n">
        <v>2.36</v>
      </c>
      <c r="K671" s="0" t="n">
        <v>2.89</v>
      </c>
      <c r="L671" s="0" t="n">
        <v>0.7</v>
      </c>
      <c r="M671" s="0" t="n">
        <v>5.19</v>
      </c>
      <c r="N671" s="0" t="n">
        <v>0</v>
      </c>
      <c r="O671" s="0" t="n">
        <v>442.61</v>
      </c>
    </row>
    <row r="672" customFormat="false" ht="15" hidden="false" customHeight="false" outlineLevel="0" collapsed="false">
      <c r="A672" s="0" t="s">
        <v>230</v>
      </c>
      <c r="B672" s="0" t="s">
        <v>468</v>
      </c>
      <c r="C672" s="0" t="n">
        <v>2024</v>
      </c>
      <c r="D672" s="0" t="n">
        <v>10735857</v>
      </c>
      <c r="E672" s="0" t="n">
        <v>72.81</v>
      </c>
      <c r="F672" s="0" t="n">
        <v>26.52</v>
      </c>
      <c r="G672" s="0" t="n">
        <v>3.79</v>
      </c>
      <c r="H672" s="0" t="n">
        <v>0.5</v>
      </c>
      <c r="I672" s="0" t="n">
        <v>29.7</v>
      </c>
      <c r="J672" s="0" t="n">
        <v>2.66</v>
      </c>
      <c r="K672" s="0" t="n">
        <v>3.59</v>
      </c>
      <c r="L672" s="0" t="n">
        <v>0.67</v>
      </c>
      <c r="M672" s="0" t="n">
        <v>5.38</v>
      </c>
      <c r="N672" s="0" t="n">
        <v>0</v>
      </c>
      <c r="O672" s="0" t="n">
        <v>414.23</v>
      </c>
    </row>
    <row r="673" customFormat="false" ht="15" hidden="false" customHeight="false" outlineLevel="0" collapsed="false">
      <c r="A673" s="0" t="s">
        <v>230</v>
      </c>
      <c r="B673" s="0" t="s">
        <v>468</v>
      </c>
      <c r="C673" s="0" t="n">
        <v>2025</v>
      </c>
      <c r="D673" s="0" t="n">
        <v>10609241</v>
      </c>
      <c r="E673" s="0" t="n">
        <v>75.5</v>
      </c>
      <c r="F673" s="0" t="n">
        <v>26.6</v>
      </c>
      <c r="G673" s="0" t="n">
        <v>4.08</v>
      </c>
      <c r="H673" s="0" t="n">
        <v>0.16</v>
      </c>
      <c r="I673" s="0" t="n">
        <v>31.94</v>
      </c>
      <c r="J673" s="0" t="n">
        <v>1.71</v>
      </c>
      <c r="K673" s="0" t="n">
        <v>4.39</v>
      </c>
      <c r="L673" s="0" t="n">
        <v>0.57</v>
      </c>
      <c r="M673" s="0" t="n">
        <v>6.05</v>
      </c>
      <c r="N673" s="0" t="n">
        <v>0</v>
      </c>
      <c r="O673" s="0" t="n">
        <v>401.46</v>
      </c>
    </row>
    <row r="674" customFormat="false" ht="15" hidden="false" customHeight="false" outlineLevel="0" collapsed="false">
      <c r="A674" s="0" t="s">
        <v>231</v>
      </c>
      <c r="B674" s="0" t="s">
        <v>469</v>
      </c>
      <c r="C674" s="0" t="n">
        <v>2015</v>
      </c>
      <c r="D674" s="0" t="n">
        <v>81035532</v>
      </c>
      <c r="E674" s="0" t="n">
        <v>8.84</v>
      </c>
      <c r="F674" s="0" t="n">
        <v>0</v>
      </c>
      <c r="G674" s="0" t="n">
        <v>0</v>
      </c>
      <c r="H674" s="0" t="n">
        <v>0.01</v>
      </c>
      <c r="I674" s="0" t="n">
        <v>0</v>
      </c>
      <c r="J674" s="0" t="n">
        <v>8.83</v>
      </c>
      <c r="K674" s="0" t="n">
        <v>0</v>
      </c>
      <c r="L674" s="0" t="n">
        <v>0</v>
      </c>
      <c r="M674" s="0" t="n">
        <v>0</v>
      </c>
      <c r="N674" s="0" t="n">
        <v>0</v>
      </c>
      <c r="O674" s="0" t="n">
        <v>24.89</v>
      </c>
    </row>
    <row r="675" customFormat="false" ht="15" hidden="false" customHeight="false" outlineLevel="0" collapsed="false">
      <c r="A675" s="0" t="s">
        <v>231</v>
      </c>
      <c r="B675" s="0" t="s">
        <v>469</v>
      </c>
      <c r="C675" s="0" t="n">
        <v>2016</v>
      </c>
      <c r="D675" s="0" t="n">
        <v>83956416</v>
      </c>
      <c r="E675" s="0" t="n">
        <v>9.02</v>
      </c>
      <c r="F675" s="0" t="n">
        <v>0</v>
      </c>
      <c r="G675" s="0" t="n">
        <v>0</v>
      </c>
      <c r="H675" s="0" t="n">
        <v>0.01</v>
      </c>
      <c r="I675" s="0" t="n">
        <v>0</v>
      </c>
      <c r="J675" s="0" t="n">
        <v>9.01</v>
      </c>
      <c r="K675" s="0" t="n">
        <v>0</v>
      </c>
      <c r="L675" s="0" t="n">
        <v>0</v>
      </c>
      <c r="M675" s="0" t="n">
        <v>0</v>
      </c>
      <c r="N675" s="0" t="n">
        <v>0</v>
      </c>
      <c r="O675" s="0" t="n">
        <v>24.39</v>
      </c>
    </row>
    <row r="676" customFormat="false" ht="15" hidden="false" customHeight="false" outlineLevel="0" collapsed="false">
      <c r="A676" s="0" t="s">
        <v>231</v>
      </c>
      <c r="B676" s="0" t="s">
        <v>469</v>
      </c>
      <c r="C676" s="0" t="n">
        <v>2017</v>
      </c>
      <c r="D676" s="0" t="n">
        <v>87083400</v>
      </c>
      <c r="E676" s="0" t="n">
        <v>9.42</v>
      </c>
      <c r="F676" s="0" t="n">
        <v>0</v>
      </c>
      <c r="G676" s="0" t="n">
        <v>0</v>
      </c>
      <c r="H676" s="0" t="n">
        <v>0.01</v>
      </c>
      <c r="I676" s="0" t="n">
        <v>0</v>
      </c>
      <c r="J676" s="0" t="n">
        <v>9.39</v>
      </c>
      <c r="K676" s="0" t="n">
        <v>0.01</v>
      </c>
      <c r="L676" s="0" t="n">
        <v>0</v>
      </c>
      <c r="M676" s="0" t="n">
        <v>0.01</v>
      </c>
      <c r="N676" s="0" t="n">
        <v>0</v>
      </c>
      <c r="O676" s="0" t="n">
        <v>24.42</v>
      </c>
    </row>
    <row r="677" customFormat="false" ht="15" hidden="false" customHeight="false" outlineLevel="0" collapsed="false">
      <c r="A677" s="0" t="s">
        <v>231</v>
      </c>
      <c r="B677" s="0" t="s">
        <v>469</v>
      </c>
      <c r="C677" s="0" t="n">
        <v>2018</v>
      </c>
      <c r="D677" s="0" t="n">
        <v>90047647</v>
      </c>
      <c r="E677" s="0" t="n">
        <v>10.46</v>
      </c>
      <c r="F677" s="0" t="n">
        <v>0</v>
      </c>
      <c r="G677" s="0" t="n">
        <v>0</v>
      </c>
      <c r="H677" s="0" t="n">
        <v>0.01</v>
      </c>
      <c r="I677" s="0" t="n">
        <v>0</v>
      </c>
      <c r="J677" s="0" t="n">
        <v>10.43</v>
      </c>
      <c r="K677" s="0" t="n">
        <v>0.01</v>
      </c>
      <c r="L677" s="0" t="n">
        <v>0</v>
      </c>
      <c r="M677" s="0" t="n">
        <v>0.01</v>
      </c>
      <c r="N677" s="0" t="n">
        <v>0</v>
      </c>
      <c r="O677" s="0" t="n">
        <v>24.86</v>
      </c>
    </row>
    <row r="678" customFormat="false" ht="15" hidden="false" customHeight="false" outlineLevel="0" collapsed="false">
      <c r="A678" s="0" t="s">
        <v>231</v>
      </c>
      <c r="B678" s="0" t="s">
        <v>469</v>
      </c>
      <c r="C678" s="0" t="n">
        <v>2019</v>
      </c>
      <c r="D678" s="0" t="n">
        <v>92947450</v>
      </c>
      <c r="E678" s="0" t="n">
        <v>11.79</v>
      </c>
      <c r="F678" s="0" t="n">
        <v>0</v>
      </c>
      <c r="G678" s="0" t="n">
        <v>0</v>
      </c>
      <c r="H678" s="0" t="n">
        <v>0.01</v>
      </c>
      <c r="I678" s="0" t="n">
        <v>0</v>
      </c>
      <c r="J678" s="0" t="n">
        <v>11.76</v>
      </c>
      <c r="K678" s="0" t="n">
        <v>0.01</v>
      </c>
      <c r="L678" s="0" t="n">
        <v>0</v>
      </c>
      <c r="M678" s="0" t="n">
        <v>0.01</v>
      </c>
      <c r="N678" s="0" t="n">
        <v>0</v>
      </c>
      <c r="O678" s="0" t="n">
        <v>24.6</v>
      </c>
    </row>
    <row r="679" customFormat="false" ht="15" hidden="false" customHeight="false" outlineLevel="0" collapsed="false">
      <c r="A679" s="0" t="s">
        <v>231</v>
      </c>
      <c r="B679" s="0" t="s">
        <v>469</v>
      </c>
      <c r="C679" s="0" t="n">
        <v>2020</v>
      </c>
      <c r="D679" s="0" t="n">
        <v>95990000</v>
      </c>
      <c r="E679" s="0" t="n">
        <v>12.49</v>
      </c>
      <c r="F679" s="0" t="n">
        <v>0</v>
      </c>
      <c r="G679" s="0" t="n">
        <v>0</v>
      </c>
      <c r="H679" s="0" t="n">
        <v>0.01</v>
      </c>
      <c r="I679" s="0" t="n">
        <v>0</v>
      </c>
      <c r="J679" s="0" t="n">
        <v>12.45</v>
      </c>
      <c r="K679" s="0" t="n">
        <v>0.02</v>
      </c>
      <c r="L679" s="0" t="n">
        <v>0</v>
      </c>
      <c r="M679" s="0" t="n">
        <v>0.01</v>
      </c>
      <c r="N679" s="0" t="n">
        <v>0</v>
      </c>
      <c r="O679" s="0" t="n">
        <v>24.82</v>
      </c>
    </row>
    <row r="680" customFormat="false" ht="15" hidden="false" customHeight="false" outlineLevel="0" collapsed="false">
      <c r="A680" s="0" t="s">
        <v>231</v>
      </c>
      <c r="B680" s="0" t="s">
        <v>469</v>
      </c>
      <c r="C680" s="0" t="n">
        <v>2021</v>
      </c>
      <c r="D680" s="0" t="n">
        <v>99148930</v>
      </c>
      <c r="E680" s="0" t="n">
        <v>14.19</v>
      </c>
      <c r="F680" s="0" t="n">
        <v>0</v>
      </c>
      <c r="G680" s="0" t="n">
        <v>0</v>
      </c>
      <c r="H680" s="0" t="n">
        <v>0</v>
      </c>
      <c r="I680" s="0" t="n">
        <v>0</v>
      </c>
      <c r="J680" s="0" t="n">
        <v>13.13</v>
      </c>
      <c r="K680" s="0" t="n">
        <v>1.05</v>
      </c>
      <c r="L680" s="0" t="n">
        <v>0</v>
      </c>
      <c r="M680" s="0" t="n">
        <v>0.01</v>
      </c>
      <c r="N680" s="0" t="n">
        <v>0</v>
      </c>
      <c r="O680" s="0" t="n">
        <v>25.37</v>
      </c>
    </row>
    <row r="681" customFormat="false" ht="15" hidden="false" customHeight="false" outlineLevel="0" collapsed="false">
      <c r="A681" s="0" t="s">
        <v>231</v>
      </c>
      <c r="B681" s="0" t="s">
        <v>469</v>
      </c>
      <c r="C681" s="0" t="n">
        <v>2022</v>
      </c>
      <c r="D681" s="0" t="n">
        <v>102396974</v>
      </c>
      <c r="E681" s="0" t="n">
        <v>15.31</v>
      </c>
      <c r="F681" s="0" t="n">
        <v>0</v>
      </c>
      <c r="G681" s="0" t="n">
        <v>0</v>
      </c>
      <c r="H681" s="0" t="n">
        <v>0</v>
      </c>
      <c r="I681" s="0" t="n">
        <v>0</v>
      </c>
      <c r="J681" s="0" t="n">
        <v>13.19</v>
      </c>
      <c r="K681" s="0" t="n">
        <v>2.11</v>
      </c>
      <c r="L681" s="0" t="n">
        <v>0</v>
      </c>
      <c r="M681" s="0" t="n">
        <v>0.01</v>
      </c>
      <c r="N681" s="0" t="n">
        <v>0</v>
      </c>
      <c r="O681" s="0" t="n">
        <v>26.78</v>
      </c>
    </row>
    <row r="682" customFormat="false" ht="15" hidden="false" customHeight="false" outlineLevel="0" collapsed="false">
      <c r="A682" s="0" t="s">
        <v>231</v>
      </c>
      <c r="B682" s="0" t="s">
        <v>469</v>
      </c>
      <c r="C682" s="0" t="n">
        <v>2023</v>
      </c>
      <c r="D682" s="0" t="n">
        <v>105789733</v>
      </c>
      <c r="E682" s="0" t="n">
        <v>15.63</v>
      </c>
      <c r="F682" s="0" t="n">
        <v>0</v>
      </c>
      <c r="G682" s="0" t="n">
        <v>0</v>
      </c>
      <c r="H682" s="0" t="n">
        <v>0</v>
      </c>
      <c r="I682" s="0" t="n">
        <v>0</v>
      </c>
      <c r="J682" s="0" t="n">
        <v>13.42</v>
      </c>
      <c r="K682" s="0" t="n">
        <v>2.2</v>
      </c>
      <c r="L682" s="0" t="n">
        <v>0</v>
      </c>
      <c r="M682" s="0" t="n">
        <v>0.01</v>
      </c>
      <c r="N682" s="0" t="n">
        <v>0</v>
      </c>
      <c r="O682" s="0" t="n">
        <v>26.87</v>
      </c>
    </row>
    <row r="683" customFormat="false" ht="15" hidden="false" customHeight="false" outlineLevel="0" collapsed="false">
      <c r="A683" s="0" t="s">
        <v>231</v>
      </c>
      <c r="B683" s="0" t="s">
        <v>469</v>
      </c>
      <c r="C683" s="0" t="n">
        <v>2024</v>
      </c>
      <c r="D683" s="0" t="n">
        <v>109276264</v>
      </c>
      <c r="E683" s="0" t="n">
        <v>15.92</v>
      </c>
      <c r="F683" s="0" t="n">
        <v>0</v>
      </c>
      <c r="G683" s="0" t="n">
        <v>0</v>
      </c>
      <c r="H683" s="0" t="n">
        <v>0</v>
      </c>
      <c r="I683" s="0" t="n">
        <v>0</v>
      </c>
      <c r="J683" s="0" t="n">
        <v>13.4</v>
      </c>
      <c r="K683" s="0" t="n">
        <v>2.51</v>
      </c>
      <c r="L683" s="0" t="n">
        <v>0</v>
      </c>
      <c r="M683" s="0" t="n">
        <v>0.01</v>
      </c>
      <c r="N683" s="0" t="n">
        <v>0</v>
      </c>
      <c r="O683" s="0" t="n">
        <v>27.64</v>
      </c>
    </row>
    <row r="684" customFormat="false" ht="15" hidden="false" customHeight="false" outlineLevel="0" collapsed="false">
      <c r="A684" s="0" t="s">
        <v>232</v>
      </c>
      <c r="B684" s="0" t="s">
        <v>470</v>
      </c>
      <c r="C684" s="0" t="n">
        <v>2015</v>
      </c>
      <c r="D684" s="0" t="n">
        <v>5683698</v>
      </c>
      <c r="E684" s="0" t="n">
        <v>28.78</v>
      </c>
      <c r="F684" s="0" t="n">
        <v>7.11</v>
      </c>
      <c r="G684" s="0" t="n">
        <v>1.82</v>
      </c>
      <c r="H684" s="0" t="n">
        <v>0.92</v>
      </c>
      <c r="I684" s="0" t="n">
        <v>0</v>
      </c>
      <c r="J684" s="0" t="n">
        <v>0.02</v>
      </c>
      <c r="K684" s="0" t="n">
        <v>0.6</v>
      </c>
      <c r="L684" s="0" t="n">
        <v>14.13</v>
      </c>
      <c r="M684" s="0" t="n">
        <v>4.18</v>
      </c>
      <c r="N684" s="0" t="n">
        <v>0</v>
      </c>
      <c r="O684" s="0" t="n">
        <v>313.76</v>
      </c>
    </row>
    <row r="685" customFormat="false" ht="15" hidden="false" customHeight="false" outlineLevel="0" collapsed="false">
      <c r="A685" s="0" t="s">
        <v>232</v>
      </c>
      <c r="B685" s="0" t="s">
        <v>470</v>
      </c>
      <c r="C685" s="0" t="n">
        <v>2016</v>
      </c>
      <c r="D685" s="0" t="n">
        <v>5728196</v>
      </c>
      <c r="E685" s="0" t="n">
        <v>30.4</v>
      </c>
      <c r="F685" s="0" t="n">
        <v>8.87</v>
      </c>
      <c r="G685" s="0" t="n">
        <v>2.26</v>
      </c>
      <c r="H685" s="0" t="n">
        <v>0.88</v>
      </c>
      <c r="I685" s="0" t="n">
        <v>0</v>
      </c>
      <c r="J685" s="0" t="n">
        <v>0.02</v>
      </c>
      <c r="K685" s="0" t="n">
        <v>0.74</v>
      </c>
      <c r="L685" s="0" t="n">
        <v>12.78</v>
      </c>
      <c r="M685" s="0" t="n">
        <v>4.85</v>
      </c>
      <c r="N685" s="0" t="n">
        <v>0</v>
      </c>
      <c r="O685" s="0" t="n">
        <v>360.86</v>
      </c>
    </row>
    <row r="686" customFormat="false" ht="15" hidden="false" customHeight="false" outlineLevel="0" collapsed="false">
      <c r="A686" s="0" t="s">
        <v>232</v>
      </c>
      <c r="B686" s="0" t="s">
        <v>470</v>
      </c>
      <c r="C686" s="0" t="n">
        <v>2017</v>
      </c>
      <c r="D686" s="0" t="n">
        <v>5765164</v>
      </c>
      <c r="E686" s="0" t="n">
        <v>30.9</v>
      </c>
      <c r="F686" s="0" t="n">
        <v>6.21</v>
      </c>
      <c r="G686" s="0" t="n">
        <v>2.02</v>
      </c>
      <c r="H686" s="0" t="n">
        <v>0.87</v>
      </c>
      <c r="I686" s="0" t="n">
        <v>0</v>
      </c>
      <c r="J686" s="0" t="n">
        <v>0.02</v>
      </c>
      <c r="K686" s="0" t="n">
        <v>0.75</v>
      </c>
      <c r="L686" s="0" t="n">
        <v>14.78</v>
      </c>
      <c r="M686" s="0" t="n">
        <v>6.25</v>
      </c>
      <c r="N686" s="0" t="n">
        <v>0</v>
      </c>
      <c r="O686" s="0" t="n">
        <v>282.85</v>
      </c>
    </row>
    <row r="687" customFormat="false" ht="15" hidden="false" customHeight="false" outlineLevel="0" collapsed="false">
      <c r="A687" s="0" t="s">
        <v>232</v>
      </c>
      <c r="B687" s="0" t="s">
        <v>470</v>
      </c>
      <c r="C687" s="0" t="n">
        <v>2018</v>
      </c>
      <c r="D687" s="0" t="n">
        <v>5793824</v>
      </c>
      <c r="E687" s="0" t="n">
        <v>30.21</v>
      </c>
      <c r="F687" s="0" t="n">
        <v>6.57</v>
      </c>
      <c r="G687" s="0" t="n">
        <v>2.07</v>
      </c>
      <c r="H687" s="0" t="n">
        <v>0.82</v>
      </c>
      <c r="I687" s="0" t="n">
        <v>0</v>
      </c>
      <c r="J687" s="0" t="n">
        <v>0.01</v>
      </c>
      <c r="K687" s="0" t="n">
        <v>0.95</v>
      </c>
      <c r="L687" s="0" t="n">
        <v>13.9</v>
      </c>
      <c r="M687" s="0" t="n">
        <v>5.89</v>
      </c>
      <c r="N687" s="0" t="n">
        <v>0</v>
      </c>
      <c r="O687" s="0" t="n">
        <v>296.92</v>
      </c>
    </row>
    <row r="688" customFormat="false" ht="15" hidden="false" customHeight="false" outlineLevel="0" collapsed="false">
      <c r="A688" s="0" t="s">
        <v>232</v>
      </c>
      <c r="B688" s="0" t="s">
        <v>470</v>
      </c>
      <c r="C688" s="0" t="n">
        <v>2019</v>
      </c>
      <c r="D688" s="0" t="n">
        <v>5814618</v>
      </c>
      <c r="E688" s="0" t="n">
        <v>29.37</v>
      </c>
      <c r="F688" s="0" t="n">
        <v>3.31</v>
      </c>
      <c r="G688" s="0" t="n">
        <v>2.1</v>
      </c>
      <c r="H688" s="0" t="n">
        <v>0.89</v>
      </c>
      <c r="I688" s="0" t="n">
        <v>0</v>
      </c>
      <c r="J688" s="0" t="n">
        <v>0.02</v>
      </c>
      <c r="K688" s="0" t="n">
        <v>0.96</v>
      </c>
      <c r="L688" s="0" t="n">
        <v>16.15</v>
      </c>
      <c r="M688" s="0" t="n">
        <v>5.94</v>
      </c>
      <c r="N688" s="0" t="n">
        <v>0</v>
      </c>
      <c r="O688" s="0" t="n">
        <v>204.29</v>
      </c>
    </row>
    <row r="689" customFormat="false" ht="15" hidden="false" customHeight="false" outlineLevel="0" collapsed="false">
      <c r="A689" s="0" t="s">
        <v>232</v>
      </c>
      <c r="B689" s="0" t="s">
        <v>470</v>
      </c>
      <c r="C689" s="0" t="n">
        <v>2020</v>
      </c>
      <c r="D689" s="0" t="n">
        <v>5831529</v>
      </c>
      <c r="E689" s="0" t="n">
        <v>28.58</v>
      </c>
      <c r="F689" s="0" t="n">
        <v>3.06</v>
      </c>
      <c r="G689" s="0" t="n">
        <v>1.18</v>
      </c>
      <c r="H689" s="0" t="n">
        <v>0.89</v>
      </c>
      <c r="I689" s="0" t="n">
        <v>0</v>
      </c>
      <c r="J689" s="0" t="n">
        <v>0.02</v>
      </c>
      <c r="K689" s="0" t="n">
        <v>1.18</v>
      </c>
      <c r="L689" s="0" t="n">
        <v>16.33</v>
      </c>
      <c r="M689" s="0" t="n">
        <v>5.92</v>
      </c>
      <c r="N689" s="0" t="n">
        <v>0</v>
      </c>
      <c r="O689" s="0" t="n">
        <v>188.94</v>
      </c>
    </row>
    <row r="690" customFormat="false" ht="15" hidden="false" customHeight="false" outlineLevel="0" collapsed="false">
      <c r="A690" s="0" t="s">
        <v>232</v>
      </c>
      <c r="B690" s="0" t="s">
        <v>470</v>
      </c>
      <c r="C690" s="0" t="n">
        <v>2021</v>
      </c>
      <c r="D690" s="0" t="n">
        <v>5856774</v>
      </c>
      <c r="E690" s="0" t="n">
        <v>32.92</v>
      </c>
      <c r="F690" s="0" t="n">
        <v>4.37</v>
      </c>
      <c r="G690" s="0" t="n">
        <v>1.54</v>
      </c>
      <c r="H690" s="0" t="n">
        <v>0.91</v>
      </c>
      <c r="I690" s="0" t="n">
        <v>0</v>
      </c>
      <c r="J690" s="0" t="n">
        <v>0.02</v>
      </c>
      <c r="K690" s="0" t="n">
        <v>1.31</v>
      </c>
      <c r="L690" s="0" t="n">
        <v>16.05</v>
      </c>
      <c r="M690" s="0" t="n">
        <v>8.72</v>
      </c>
      <c r="N690" s="0" t="n">
        <v>0</v>
      </c>
      <c r="O690" s="0" t="n">
        <v>222.97</v>
      </c>
    </row>
    <row r="691" customFormat="false" ht="15" hidden="false" customHeight="false" outlineLevel="0" collapsed="false">
      <c r="A691" s="0" t="s">
        <v>232</v>
      </c>
      <c r="B691" s="0" t="s">
        <v>470</v>
      </c>
      <c r="C691" s="0" t="n">
        <v>2022</v>
      </c>
      <c r="D691" s="0" t="n">
        <v>5902901</v>
      </c>
      <c r="E691" s="0" t="n">
        <v>35.16</v>
      </c>
      <c r="F691" s="0" t="n">
        <v>4.43</v>
      </c>
      <c r="G691" s="0" t="n">
        <v>1.02</v>
      </c>
      <c r="H691" s="0" t="n">
        <v>1.28</v>
      </c>
      <c r="I691" s="0" t="n">
        <v>0</v>
      </c>
      <c r="J691" s="0" t="n">
        <v>0.01</v>
      </c>
      <c r="K691" s="0" t="n">
        <v>2.38</v>
      </c>
      <c r="L691" s="0" t="n">
        <v>19.02</v>
      </c>
      <c r="M691" s="0" t="n">
        <v>7.02</v>
      </c>
      <c r="N691" s="0" t="n">
        <v>0</v>
      </c>
      <c r="O691" s="0" t="n">
        <v>203.64</v>
      </c>
    </row>
    <row r="692" customFormat="false" ht="15" hidden="false" customHeight="false" outlineLevel="0" collapsed="false">
      <c r="A692" s="0" t="s">
        <v>232</v>
      </c>
      <c r="B692" s="0" t="s">
        <v>470</v>
      </c>
      <c r="C692" s="0" t="n">
        <v>2023</v>
      </c>
      <c r="D692" s="0" t="n">
        <v>5948134</v>
      </c>
      <c r="E692" s="0" t="n">
        <v>33.89</v>
      </c>
      <c r="F692" s="0" t="n">
        <v>2.53</v>
      </c>
      <c r="G692" s="0" t="n">
        <v>1</v>
      </c>
      <c r="H692" s="0" t="n">
        <v>1.08</v>
      </c>
      <c r="I692" s="0" t="n">
        <v>0</v>
      </c>
      <c r="J692" s="0" t="n">
        <v>0.02</v>
      </c>
      <c r="K692" s="0" t="n">
        <v>3.66</v>
      </c>
      <c r="L692" s="0" t="n">
        <v>19.39</v>
      </c>
      <c r="M692" s="0" t="n">
        <v>6.21</v>
      </c>
      <c r="N692" s="0" t="n">
        <v>0</v>
      </c>
      <c r="O692" s="0" t="n">
        <v>151.96</v>
      </c>
    </row>
    <row r="693" customFormat="false" ht="15" hidden="false" customHeight="false" outlineLevel="0" collapsed="false">
      <c r="A693" s="0" t="s">
        <v>232</v>
      </c>
      <c r="B693" s="0" t="s">
        <v>470</v>
      </c>
      <c r="C693" s="0" t="n">
        <v>2024</v>
      </c>
      <c r="D693" s="0" t="n">
        <v>5977417</v>
      </c>
      <c r="E693" s="0" t="n">
        <v>35.06</v>
      </c>
      <c r="F693" s="0" t="n">
        <v>1.75</v>
      </c>
      <c r="G693" s="0" t="n">
        <v>0.91</v>
      </c>
      <c r="H693" s="0" t="n">
        <v>1.13</v>
      </c>
      <c r="I693" s="0" t="n">
        <v>0</v>
      </c>
      <c r="J693" s="0" t="n">
        <v>0.02</v>
      </c>
      <c r="K693" s="0" t="n">
        <v>3.78</v>
      </c>
      <c r="L693" s="0" t="n">
        <v>20.41</v>
      </c>
      <c r="M693" s="0" t="n">
        <v>7.06</v>
      </c>
      <c r="N693" s="0" t="n">
        <v>0</v>
      </c>
      <c r="O693" s="0" t="n">
        <v>131.77</v>
      </c>
    </row>
    <row r="694" customFormat="false" ht="15" hidden="false" customHeight="false" outlineLevel="0" collapsed="false">
      <c r="A694" s="0" t="s">
        <v>232</v>
      </c>
      <c r="B694" s="0" t="s">
        <v>470</v>
      </c>
      <c r="C694" s="0" t="n">
        <v>2025</v>
      </c>
      <c r="D694" s="0" t="n">
        <v>6002515</v>
      </c>
      <c r="E694" s="0" t="n">
        <v>33.3</v>
      </c>
      <c r="F694" s="0" t="n">
        <v>0.89</v>
      </c>
      <c r="G694" s="0" t="n">
        <v>0.81</v>
      </c>
      <c r="H694" s="0" t="n">
        <v>1.24</v>
      </c>
      <c r="I694" s="0" t="n">
        <v>0</v>
      </c>
      <c r="J694" s="0" t="n">
        <v>0.02</v>
      </c>
      <c r="K694" s="0" t="n">
        <v>4.45</v>
      </c>
      <c r="L694" s="0" t="n">
        <v>19.21</v>
      </c>
      <c r="M694" s="0" t="n">
        <v>6.68</v>
      </c>
      <c r="N694" s="0" t="n">
        <v>0</v>
      </c>
      <c r="O694" s="0" t="n">
        <v>114.41</v>
      </c>
    </row>
    <row r="695" customFormat="false" ht="15" hidden="false" customHeight="false" outlineLevel="0" collapsed="false">
      <c r="A695" s="0" t="s">
        <v>233</v>
      </c>
      <c r="B695" s="0" t="s">
        <v>471</v>
      </c>
      <c r="C695" s="0" t="n">
        <v>2015</v>
      </c>
      <c r="D695" s="0" t="n">
        <v>1020316</v>
      </c>
      <c r="E695" s="0" t="n">
        <v>0.18</v>
      </c>
      <c r="F695" s="0" t="n">
        <v>0</v>
      </c>
      <c r="G695" s="0" t="n">
        <v>0</v>
      </c>
      <c r="H695" s="0" t="n">
        <v>0.18</v>
      </c>
      <c r="I695" s="0" t="n">
        <v>0</v>
      </c>
      <c r="J695" s="0" t="n">
        <v>0</v>
      </c>
      <c r="K695" s="0" t="n">
        <v>0</v>
      </c>
      <c r="L695" s="0" t="n">
        <v>0</v>
      </c>
      <c r="M695" s="0" t="n">
        <v>0</v>
      </c>
      <c r="N695" s="0" t="n">
        <v>0</v>
      </c>
      <c r="O695" s="0" t="n">
        <v>666.67</v>
      </c>
    </row>
    <row r="696" customFormat="false" ht="15" hidden="false" customHeight="false" outlineLevel="0" collapsed="false">
      <c r="A696" s="0" t="s">
        <v>233</v>
      </c>
      <c r="B696" s="0" t="s">
        <v>471</v>
      </c>
      <c r="C696" s="0" t="n">
        <v>2016</v>
      </c>
      <c r="D696" s="0" t="n">
        <v>1037660</v>
      </c>
      <c r="E696" s="0" t="n">
        <v>0.09</v>
      </c>
      <c r="F696" s="0" t="n">
        <v>0</v>
      </c>
      <c r="G696" s="0" t="n">
        <v>0</v>
      </c>
      <c r="H696" s="0" t="n">
        <v>0.09</v>
      </c>
      <c r="I696" s="0" t="n">
        <v>0</v>
      </c>
      <c r="J696" s="0" t="n">
        <v>0</v>
      </c>
      <c r="K696" s="0" t="n">
        <v>0</v>
      </c>
      <c r="L696" s="0" t="n">
        <v>0</v>
      </c>
      <c r="M696" s="0" t="n">
        <v>0</v>
      </c>
      <c r="N696" s="0" t="n">
        <v>0</v>
      </c>
      <c r="O696" s="0" t="n">
        <v>666.67</v>
      </c>
    </row>
    <row r="697" customFormat="false" ht="15" hidden="false" customHeight="false" outlineLevel="0" collapsed="false">
      <c r="A697" s="0" t="s">
        <v>233</v>
      </c>
      <c r="B697" s="0" t="s">
        <v>471</v>
      </c>
      <c r="C697" s="0" t="n">
        <v>2017</v>
      </c>
      <c r="D697" s="0" t="n">
        <v>1054844</v>
      </c>
      <c r="E697" s="0" t="n">
        <v>0.06</v>
      </c>
      <c r="F697" s="0" t="n">
        <v>0</v>
      </c>
      <c r="G697" s="0" t="n">
        <v>0</v>
      </c>
      <c r="H697" s="0" t="n">
        <v>0.06</v>
      </c>
      <c r="I697" s="0" t="n">
        <v>0</v>
      </c>
      <c r="J697" s="0" t="n">
        <v>0</v>
      </c>
      <c r="K697" s="0" t="n">
        <v>0</v>
      </c>
      <c r="L697" s="0" t="n">
        <v>0</v>
      </c>
      <c r="M697" s="0" t="n">
        <v>0</v>
      </c>
      <c r="N697" s="0" t="n">
        <v>0</v>
      </c>
      <c r="O697" s="0" t="n">
        <v>666.67</v>
      </c>
    </row>
    <row r="698" customFormat="false" ht="15" hidden="false" customHeight="false" outlineLevel="0" collapsed="false">
      <c r="A698" s="0" t="s">
        <v>233</v>
      </c>
      <c r="B698" s="0" t="s">
        <v>471</v>
      </c>
      <c r="C698" s="0" t="n">
        <v>2018</v>
      </c>
      <c r="D698" s="0" t="n">
        <v>1071886</v>
      </c>
      <c r="E698" s="0" t="n">
        <v>0.05</v>
      </c>
      <c r="F698" s="0" t="n">
        <v>0</v>
      </c>
      <c r="G698" s="0" t="n">
        <v>0</v>
      </c>
      <c r="H698" s="0" t="n">
        <v>0.05</v>
      </c>
      <c r="I698" s="0" t="n">
        <v>0</v>
      </c>
      <c r="J698" s="0" t="n">
        <v>0</v>
      </c>
      <c r="K698" s="0" t="n">
        <v>0</v>
      </c>
      <c r="L698" s="0" t="n">
        <v>0</v>
      </c>
      <c r="M698" s="0" t="n">
        <v>0</v>
      </c>
      <c r="N698" s="0" t="n">
        <v>0</v>
      </c>
      <c r="O698" s="0" t="n">
        <v>600</v>
      </c>
    </row>
    <row r="699" customFormat="false" ht="15" hidden="false" customHeight="false" outlineLevel="0" collapsed="false">
      <c r="A699" s="0" t="s">
        <v>233</v>
      </c>
      <c r="B699" s="0" t="s">
        <v>471</v>
      </c>
      <c r="C699" s="0" t="n">
        <v>2019</v>
      </c>
      <c r="D699" s="0" t="n">
        <v>1088710</v>
      </c>
      <c r="E699" s="0" t="n">
        <v>0.09</v>
      </c>
      <c r="F699" s="0" t="n">
        <v>0</v>
      </c>
      <c r="G699" s="0" t="n">
        <v>0</v>
      </c>
      <c r="H699" s="0" t="n">
        <v>0.09</v>
      </c>
      <c r="I699" s="0" t="n">
        <v>0</v>
      </c>
      <c r="J699" s="0" t="n">
        <v>0</v>
      </c>
      <c r="K699" s="0" t="n">
        <v>0</v>
      </c>
      <c r="L699" s="0" t="n">
        <v>0</v>
      </c>
      <c r="M699" s="0" t="n">
        <v>0</v>
      </c>
      <c r="N699" s="0" t="n">
        <v>0</v>
      </c>
      <c r="O699" s="0" t="n">
        <v>666.67</v>
      </c>
    </row>
    <row r="700" customFormat="false" ht="15" hidden="false" customHeight="false" outlineLevel="0" collapsed="false">
      <c r="A700" s="0" t="s">
        <v>233</v>
      </c>
      <c r="B700" s="0" t="s">
        <v>471</v>
      </c>
      <c r="C700" s="0" t="n">
        <v>2020</v>
      </c>
      <c r="D700" s="0" t="n">
        <v>1105193</v>
      </c>
      <c r="E700" s="0" t="n">
        <v>0.13</v>
      </c>
      <c r="F700" s="0" t="n">
        <v>0</v>
      </c>
      <c r="G700" s="0" t="n">
        <v>0</v>
      </c>
      <c r="H700" s="0" t="n">
        <v>0.13</v>
      </c>
      <c r="I700" s="0" t="n">
        <v>0</v>
      </c>
      <c r="J700" s="0" t="n">
        <v>0</v>
      </c>
      <c r="K700" s="0" t="n">
        <v>0</v>
      </c>
      <c r="L700" s="0" t="n">
        <v>0</v>
      </c>
      <c r="M700" s="0" t="n">
        <v>0</v>
      </c>
      <c r="N700" s="0" t="n">
        <v>0</v>
      </c>
      <c r="O700" s="0" t="n">
        <v>692.31</v>
      </c>
    </row>
    <row r="701" customFormat="false" ht="15" hidden="false" customHeight="false" outlineLevel="0" collapsed="false">
      <c r="A701" s="0" t="s">
        <v>233</v>
      </c>
      <c r="B701" s="0" t="s">
        <v>471</v>
      </c>
      <c r="C701" s="0" t="n">
        <v>2021</v>
      </c>
      <c r="D701" s="0" t="n">
        <v>1121251</v>
      </c>
      <c r="E701" s="0" t="n">
        <v>0.2</v>
      </c>
      <c r="F701" s="0" t="n">
        <v>0</v>
      </c>
      <c r="G701" s="0" t="n">
        <v>0</v>
      </c>
      <c r="H701" s="0" t="n">
        <v>0.13</v>
      </c>
      <c r="I701" s="0" t="n">
        <v>0</v>
      </c>
      <c r="J701" s="0" t="n">
        <v>0</v>
      </c>
      <c r="K701" s="0" t="n">
        <v>0</v>
      </c>
      <c r="L701" s="0" t="n">
        <v>0.07</v>
      </c>
      <c r="M701" s="0" t="n">
        <v>0</v>
      </c>
      <c r="N701" s="0" t="n">
        <v>0</v>
      </c>
      <c r="O701" s="0" t="n">
        <v>450</v>
      </c>
    </row>
    <row r="702" customFormat="false" ht="15" hidden="false" customHeight="false" outlineLevel="0" collapsed="false">
      <c r="A702" s="0" t="s">
        <v>233</v>
      </c>
      <c r="B702" s="0" t="s">
        <v>471</v>
      </c>
      <c r="C702" s="0" t="n">
        <v>2022</v>
      </c>
      <c r="D702" s="0" t="n">
        <v>1137101</v>
      </c>
      <c r="E702" s="0" t="n">
        <v>0.2</v>
      </c>
      <c r="F702" s="0" t="n">
        <v>0</v>
      </c>
      <c r="G702" s="0" t="n">
        <v>0</v>
      </c>
      <c r="H702" s="0" t="n">
        <v>0.13</v>
      </c>
      <c r="I702" s="0" t="n">
        <v>0</v>
      </c>
      <c r="J702" s="0" t="n">
        <v>0</v>
      </c>
      <c r="K702" s="0" t="n">
        <v>0</v>
      </c>
      <c r="L702" s="0" t="n">
        <v>0.07</v>
      </c>
      <c r="M702" s="0" t="n">
        <v>0</v>
      </c>
      <c r="N702" s="0" t="n">
        <v>0</v>
      </c>
      <c r="O702" s="0" t="n">
        <v>450</v>
      </c>
    </row>
    <row r="703" customFormat="false" ht="15" hidden="false" customHeight="false" outlineLevel="0" collapsed="false">
      <c r="A703" s="0" t="s">
        <v>233</v>
      </c>
      <c r="B703" s="0" t="s">
        <v>471</v>
      </c>
      <c r="C703" s="0" t="n">
        <v>2023</v>
      </c>
      <c r="D703" s="0" t="n">
        <v>1152951</v>
      </c>
      <c r="E703" s="0" t="n">
        <v>0.2</v>
      </c>
      <c r="F703" s="0" t="n">
        <v>0</v>
      </c>
      <c r="G703" s="0" t="n">
        <v>0</v>
      </c>
      <c r="H703" s="0" t="n">
        <v>0.13</v>
      </c>
      <c r="I703" s="0" t="n">
        <v>0</v>
      </c>
      <c r="J703" s="0" t="n">
        <v>0</v>
      </c>
      <c r="K703" s="0" t="n">
        <v>0</v>
      </c>
      <c r="L703" s="0" t="n">
        <v>0.07</v>
      </c>
      <c r="M703" s="0" t="n">
        <v>0</v>
      </c>
      <c r="N703" s="0" t="n">
        <v>0</v>
      </c>
      <c r="O703" s="0" t="n">
        <v>450</v>
      </c>
    </row>
    <row r="704" customFormat="false" ht="15" hidden="false" customHeight="false" outlineLevel="0" collapsed="false">
      <c r="A704" s="0" t="s">
        <v>233</v>
      </c>
      <c r="B704" s="0" t="s">
        <v>471</v>
      </c>
      <c r="C704" s="0" t="n">
        <v>2024</v>
      </c>
      <c r="D704" s="0" t="n">
        <v>1168726</v>
      </c>
      <c r="E704" s="0" t="n">
        <v>0.2</v>
      </c>
      <c r="F704" s="0" t="n">
        <v>0</v>
      </c>
      <c r="G704" s="0" t="n">
        <v>0</v>
      </c>
      <c r="H704" s="0" t="n">
        <v>0.13</v>
      </c>
      <c r="I704" s="0" t="n">
        <v>0</v>
      </c>
      <c r="J704" s="0" t="n">
        <v>0</v>
      </c>
      <c r="K704" s="0" t="n">
        <v>0</v>
      </c>
      <c r="L704" s="0" t="n">
        <v>0.07</v>
      </c>
      <c r="M704" s="0" t="n">
        <v>0</v>
      </c>
      <c r="N704" s="0" t="n">
        <v>0</v>
      </c>
      <c r="O704" s="0" t="n">
        <v>450</v>
      </c>
    </row>
    <row r="705" customFormat="false" ht="15" hidden="false" customHeight="false" outlineLevel="0" collapsed="false">
      <c r="A705" s="0" t="s">
        <v>234</v>
      </c>
      <c r="B705" s="0" t="s">
        <v>472</v>
      </c>
      <c r="C705" s="0" t="n">
        <v>2015</v>
      </c>
      <c r="D705" s="0" t="n">
        <v>70429</v>
      </c>
      <c r="E705" s="0" t="n">
        <v>0.15</v>
      </c>
      <c r="F705" s="0" t="n">
        <v>0</v>
      </c>
      <c r="G705" s="0" t="n">
        <v>0</v>
      </c>
      <c r="H705" s="0" t="n">
        <v>0.13</v>
      </c>
      <c r="I705" s="0" t="n">
        <v>0</v>
      </c>
      <c r="J705" s="0" t="n">
        <v>0.02</v>
      </c>
      <c r="K705" s="0" t="n">
        <v>0</v>
      </c>
      <c r="L705" s="0" t="n">
        <v>0</v>
      </c>
      <c r="M705" s="0" t="n">
        <v>0</v>
      </c>
      <c r="N705" s="0" t="n">
        <v>0</v>
      </c>
      <c r="O705" s="0" t="n">
        <v>600</v>
      </c>
    </row>
    <row r="706" customFormat="false" ht="15" hidden="false" customHeight="false" outlineLevel="0" collapsed="false">
      <c r="A706" s="0" t="s">
        <v>234</v>
      </c>
      <c r="B706" s="0" t="s">
        <v>472</v>
      </c>
      <c r="C706" s="0" t="n">
        <v>2016</v>
      </c>
      <c r="D706" s="0" t="n">
        <v>69627</v>
      </c>
      <c r="E706" s="0" t="n">
        <v>0.16</v>
      </c>
      <c r="F706" s="0" t="n">
        <v>0</v>
      </c>
      <c r="G706" s="0" t="n">
        <v>0</v>
      </c>
      <c r="H706" s="0" t="n">
        <v>0.12</v>
      </c>
      <c r="I706" s="0" t="n">
        <v>0</v>
      </c>
      <c r="J706" s="0" t="n">
        <v>0.04</v>
      </c>
      <c r="K706" s="0" t="n">
        <v>0</v>
      </c>
      <c r="L706" s="0" t="n">
        <v>0</v>
      </c>
      <c r="M706" s="0" t="n">
        <v>0</v>
      </c>
      <c r="N706" s="0" t="n">
        <v>0</v>
      </c>
      <c r="O706" s="0" t="n">
        <v>500</v>
      </c>
    </row>
    <row r="707" customFormat="false" ht="15" hidden="false" customHeight="false" outlineLevel="0" collapsed="false">
      <c r="A707" s="0" t="s">
        <v>234</v>
      </c>
      <c r="B707" s="0" t="s">
        <v>472</v>
      </c>
      <c r="C707" s="0" t="n">
        <v>2017</v>
      </c>
      <c r="D707" s="0" t="n">
        <v>68514</v>
      </c>
      <c r="E707" s="0" t="n">
        <v>0.13</v>
      </c>
      <c r="F707" s="0" t="n">
        <v>0</v>
      </c>
      <c r="G707" s="0" t="n">
        <v>0</v>
      </c>
      <c r="H707" s="0" t="n">
        <v>0.1</v>
      </c>
      <c r="I707" s="0" t="n">
        <v>0</v>
      </c>
      <c r="J707" s="0" t="n">
        <v>0.03</v>
      </c>
      <c r="K707" s="0" t="n">
        <v>0</v>
      </c>
      <c r="L707" s="0" t="n">
        <v>0</v>
      </c>
      <c r="M707" s="0" t="n">
        <v>0</v>
      </c>
      <c r="N707" s="0" t="n">
        <v>0</v>
      </c>
      <c r="O707" s="0" t="n">
        <v>538.46</v>
      </c>
    </row>
    <row r="708" customFormat="false" ht="15" hidden="false" customHeight="false" outlineLevel="0" collapsed="false">
      <c r="A708" s="0" t="s">
        <v>234</v>
      </c>
      <c r="B708" s="0" t="s">
        <v>472</v>
      </c>
      <c r="C708" s="0" t="n">
        <v>2018</v>
      </c>
      <c r="D708" s="0" t="n">
        <v>68195</v>
      </c>
      <c r="E708" s="0" t="n">
        <v>0.11</v>
      </c>
      <c r="F708" s="0" t="n">
        <v>0</v>
      </c>
      <c r="G708" s="0" t="n">
        <v>0</v>
      </c>
      <c r="H708" s="0" t="n">
        <v>0.09</v>
      </c>
      <c r="I708" s="0" t="n">
        <v>0</v>
      </c>
      <c r="J708" s="0" t="n">
        <v>0.02</v>
      </c>
      <c r="K708" s="0" t="n">
        <v>0</v>
      </c>
      <c r="L708" s="0" t="n">
        <v>0</v>
      </c>
      <c r="M708" s="0" t="n">
        <v>0</v>
      </c>
      <c r="N708" s="0" t="n">
        <v>0</v>
      </c>
      <c r="O708" s="0" t="n">
        <v>545.46</v>
      </c>
    </row>
    <row r="709" customFormat="false" ht="15" hidden="false" customHeight="false" outlineLevel="0" collapsed="false">
      <c r="A709" s="0" t="s">
        <v>234</v>
      </c>
      <c r="B709" s="0" t="s">
        <v>472</v>
      </c>
      <c r="C709" s="0" t="n">
        <v>2019</v>
      </c>
      <c r="D709" s="0" t="n">
        <v>67901</v>
      </c>
      <c r="E709" s="0" t="n">
        <v>0.14</v>
      </c>
      <c r="F709" s="0" t="n">
        <v>0</v>
      </c>
      <c r="G709" s="0" t="n">
        <v>0</v>
      </c>
      <c r="H709" s="0" t="n">
        <v>0.12</v>
      </c>
      <c r="I709" s="0" t="n">
        <v>0</v>
      </c>
      <c r="J709" s="0" t="n">
        <v>0.02</v>
      </c>
      <c r="K709" s="0" t="n">
        <v>0</v>
      </c>
      <c r="L709" s="0" t="n">
        <v>0</v>
      </c>
      <c r="M709" s="0" t="n">
        <v>0</v>
      </c>
      <c r="N709" s="0" t="n">
        <v>0</v>
      </c>
      <c r="O709" s="0" t="n">
        <v>571.43</v>
      </c>
    </row>
    <row r="710" customFormat="false" ht="15" hidden="false" customHeight="false" outlineLevel="0" collapsed="false">
      <c r="A710" s="0" t="s">
        <v>234</v>
      </c>
      <c r="B710" s="0" t="s">
        <v>472</v>
      </c>
      <c r="C710" s="0" t="n">
        <v>2020</v>
      </c>
      <c r="D710" s="0" t="n">
        <v>67588</v>
      </c>
      <c r="E710" s="0" t="n">
        <v>0.14</v>
      </c>
      <c r="F710" s="0" t="n">
        <v>0</v>
      </c>
      <c r="G710" s="0" t="n">
        <v>0</v>
      </c>
      <c r="H710" s="0" t="n">
        <v>0.12</v>
      </c>
      <c r="I710" s="0" t="n">
        <v>0</v>
      </c>
      <c r="J710" s="0" t="n">
        <v>0.02</v>
      </c>
      <c r="K710" s="0" t="n">
        <v>0</v>
      </c>
      <c r="L710" s="0" t="n">
        <v>0</v>
      </c>
      <c r="M710" s="0" t="n">
        <v>0</v>
      </c>
      <c r="N710" s="0" t="n">
        <v>0</v>
      </c>
      <c r="O710" s="0" t="n">
        <v>571.43</v>
      </c>
    </row>
    <row r="711" customFormat="false" ht="15" hidden="false" customHeight="false" outlineLevel="0" collapsed="false">
      <c r="A711" s="0" t="s">
        <v>234</v>
      </c>
      <c r="B711" s="0" t="s">
        <v>472</v>
      </c>
      <c r="C711" s="0" t="n">
        <v>2021</v>
      </c>
      <c r="D711" s="0" t="n">
        <v>67222</v>
      </c>
      <c r="E711" s="0" t="n">
        <v>0.14</v>
      </c>
      <c r="F711" s="0" t="n">
        <v>0</v>
      </c>
      <c r="G711" s="0" t="n">
        <v>0</v>
      </c>
      <c r="H711" s="0" t="n">
        <v>0.12</v>
      </c>
      <c r="I711" s="0" t="n">
        <v>0</v>
      </c>
      <c r="J711" s="0" t="n">
        <v>0.02</v>
      </c>
      <c r="K711" s="0" t="n">
        <v>0</v>
      </c>
      <c r="L711" s="0" t="n">
        <v>0</v>
      </c>
      <c r="M711" s="0" t="n">
        <v>0</v>
      </c>
      <c r="N711" s="0" t="n">
        <v>0</v>
      </c>
      <c r="O711" s="0" t="n">
        <v>571.43</v>
      </c>
    </row>
    <row r="712" customFormat="false" ht="15" hidden="false" customHeight="false" outlineLevel="0" collapsed="false">
      <c r="A712" s="0" t="s">
        <v>234</v>
      </c>
      <c r="B712" s="0" t="s">
        <v>472</v>
      </c>
      <c r="C712" s="0" t="n">
        <v>2022</v>
      </c>
      <c r="D712" s="0" t="n">
        <v>66847</v>
      </c>
      <c r="E712" s="0" t="n">
        <v>0.15</v>
      </c>
      <c r="F712" s="0" t="n">
        <v>0</v>
      </c>
      <c r="G712" s="0" t="n">
        <v>0</v>
      </c>
      <c r="H712" s="0" t="n">
        <v>0.13</v>
      </c>
      <c r="I712" s="0" t="n">
        <v>0</v>
      </c>
      <c r="J712" s="0" t="n">
        <v>0.02</v>
      </c>
      <c r="K712" s="0" t="n">
        <v>0</v>
      </c>
      <c r="L712" s="0" t="n">
        <v>0</v>
      </c>
      <c r="M712" s="0" t="n">
        <v>0</v>
      </c>
      <c r="N712" s="0" t="n">
        <v>0</v>
      </c>
      <c r="O712" s="0" t="n">
        <v>600</v>
      </c>
    </row>
    <row r="713" customFormat="false" ht="15" hidden="false" customHeight="false" outlineLevel="0" collapsed="false">
      <c r="A713" s="0" t="s">
        <v>234</v>
      </c>
      <c r="B713" s="0" t="s">
        <v>472</v>
      </c>
      <c r="C713" s="0" t="n">
        <v>2023</v>
      </c>
      <c r="D713" s="0" t="n">
        <v>66531</v>
      </c>
      <c r="E713" s="0" t="n">
        <v>0.15</v>
      </c>
      <c r="F713" s="0" t="n">
        <v>0</v>
      </c>
      <c r="G713" s="0" t="n">
        <v>0</v>
      </c>
      <c r="H713" s="0" t="n">
        <v>0.13</v>
      </c>
      <c r="I713" s="0" t="n">
        <v>0</v>
      </c>
      <c r="J713" s="0" t="n">
        <v>0.02</v>
      </c>
      <c r="K713" s="0" t="n">
        <v>0</v>
      </c>
      <c r="L713" s="0" t="n">
        <v>0</v>
      </c>
      <c r="M713" s="0" t="n">
        <v>0</v>
      </c>
      <c r="N713" s="0" t="n">
        <v>0</v>
      </c>
      <c r="O713" s="0" t="n">
        <v>600</v>
      </c>
    </row>
    <row r="714" customFormat="false" ht="15" hidden="false" customHeight="false" outlineLevel="0" collapsed="false">
      <c r="A714" s="0" t="s">
        <v>235</v>
      </c>
      <c r="B714" s="0" t="s">
        <v>473</v>
      </c>
      <c r="C714" s="0" t="n">
        <v>2015</v>
      </c>
      <c r="D714" s="0" t="n">
        <v>10434826</v>
      </c>
      <c r="E714" s="0" t="n">
        <v>18</v>
      </c>
      <c r="F714" s="0" t="n">
        <v>2.31</v>
      </c>
      <c r="G714" s="0" t="n">
        <v>4.28</v>
      </c>
      <c r="H714" s="0" t="n">
        <v>9.99</v>
      </c>
      <c r="I714" s="0" t="n">
        <v>0</v>
      </c>
      <c r="J714" s="0" t="n">
        <v>0.93</v>
      </c>
      <c r="K714" s="0" t="n">
        <v>0.03</v>
      </c>
      <c r="L714" s="0" t="n">
        <v>0.29</v>
      </c>
      <c r="M714" s="0" t="n">
        <v>0.17</v>
      </c>
      <c r="N714" s="0" t="n">
        <v>0</v>
      </c>
      <c r="O714" s="0" t="n">
        <v>606.11</v>
      </c>
    </row>
    <row r="715" customFormat="false" ht="15" hidden="false" customHeight="false" outlineLevel="0" collapsed="false">
      <c r="A715" s="0" t="s">
        <v>235</v>
      </c>
      <c r="B715" s="0" t="s">
        <v>473</v>
      </c>
      <c r="C715" s="0" t="n">
        <v>2016</v>
      </c>
      <c r="D715" s="0" t="n">
        <v>10551430</v>
      </c>
      <c r="E715" s="0" t="n">
        <v>18.78</v>
      </c>
      <c r="F715" s="0" t="n">
        <v>2.36</v>
      </c>
      <c r="G715" s="0" t="n">
        <v>3.82</v>
      </c>
      <c r="H715" s="0" t="n">
        <v>10.52</v>
      </c>
      <c r="I715" s="0" t="n">
        <v>0</v>
      </c>
      <c r="J715" s="0" t="n">
        <v>1.5</v>
      </c>
      <c r="K715" s="0" t="n">
        <v>0.08</v>
      </c>
      <c r="L715" s="0" t="n">
        <v>0.32</v>
      </c>
      <c r="M715" s="0" t="n">
        <v>0.18</v>
      </c>
      <c r="N715" s="0" t="n">
        <v>0</v>
      </c>
      <c r="O715" s="0" t="n">
        <v>589.99</v>
      </c>
    </row>
    <row r="716" customFormat="false" ht="15" hidden="false" customHeight="false" outlineLevel="0" collapsed="false">
      <c r="A716" s="0" t="s">
        <v>235</v>
      </c>
      <c r="B716" s="0" t="s">
        <v>473</v>
      </c>
      <c r="C716" s="0" t="n">
        <v>2017</v>
      </c>
      <c r="D716" s="0" t="n">
        <v>10666846</v>
      </c>
      <c r="E716" s="0" t="n">
        <v>19.2</v>
      </c>
      <c r="F716" s="0" t="n">
        <v>2.41</v>
      </c>
      <c r="G716" s="0" t="n">
        <v>5.5</v>
      </c>
      <c r="H716" s="0" t="n">
        <v>8.25</v>
      </c>
      <c r="I716" s="0" t="n">
        <v>0</v>
      </c>
      <c r="J716" s="0" t="n">
        <v>2.17</v>
      </c>
      <c r="K716" s="0" t="n">
        <v>0.14</v>
      </c>
      <c r="L716" s="0" t="n">
        <v>0.39</v>
      </c>
      <c r="M716" s="0" t="n">
        <v>0.34</v>
      </c>
      <c r="N716" s="0" t="n">
        <v>0</v>
      </c>
      <c r="O716" s="0" t="n">
        <v>550.52</v>
      </c>
    </row>
    <row r="717" customFormat="false" ht="15" hidden="false" customHeight="false" outlineLevel="0" collapsed="false">
      <c r="A717" s="0" t="s">
        <v>235</v>
      </c>
      <c r="B717" s="0" t="s">
        <v>473</v>
      </c>
      <c r="C717" s="0" t="n">
        <v>2018</v>
      </c>
      <c r="D717" s="0" t="n">
        <v>10782048</v>
      </c>
      <c r="E717" s="0" t="n">
        <v>19.6</v>
      </c>
      <c r="F717" s="0" t="n">
        <v>2.28</v>
      </c>
      <c r="G717" s="0" t="n">
        <v>4.74</v>
      </c>
      <c r="H717" s="0" t="n">
        <v>9.88</v>
      </c>
      <c r="I717" s="0" t="n">
        <v>0</v>
      </c>
      <c r="J717" s="0" t="n">
        <v>1.76</v>
      </c>
      <c r="K717" s="0" t="n">
        <v>0.23</v>
      </c>
      <c r="L717" s="0" t="n">
        <v>0.5</v>
      </c>
      <c r="M717" s="0" t="n">
        <v>0.21</v>
      </c>
      <c r="N717" s="0" t="n">
        <v>0</v>
      </c>
      <c r="O717" s="0" t="n">
        <v>566.33</v>
      </c>
    </row>
    <row r="718" customFormat="false" ht="15" hidden="false" customHeight="false" outlineLevel="0" collapsed="false">
      <c r="A718" s="0" t="s">
        <v>235</v>
      </c>
      <c r="B718" s="0" t="s">
        <v>473</v>
      </c>
      <c r="C718" s="0" t="n">
        <v>2019</v>
      </c>
      <c r="D718" s="0" t="n">
        <v>10894043</v>
      </c>
      <c r="E718" s="0" t="n">
        <v>21.28</v>
      </c>
      <c r="F718" s="0" t="n">
        <v>3.56</v>
      </c>
      <c r="G718" s="0" t="n">
        <v>5.55</v>
      </c>
      <c r="H718" s="0" t="n">
        <v>9.5</v>
      </c>
      <c r="I718" s="0" t="n">
        <v>0</v>
      </c>
      <c r="J718" s="0" t="n">
        <v>1.3</v>
      </c>
      <c r="K718" s="0" t="n">
        <v>0.37</v>
      </c>
      <c r="L718" s="0" t="n">
        <v>0.79</v>
      </c>
      <c r="M718" s="0" t="n">
        <v>0.21</v>
      </c>
      <c r="N718" s="0" t="n">
        <v>0</v>
      </c>
      <c r="O718" s="0" t="n">
        <v>582.71</v>
      </c>
    </row>
    <row r="719" customFormat="false" ht="15" hidden="false" customHeight="false" outlineLevel="0" collapsed="false">
      <c r="A719" s="0" t="s">
        <v>235</v>
      </c>
      <c r="B719" s="0" t="s">
        <v>473</v>
      </c>
      <c r="C719" s="0" t="n">
        <v>2020</v>
      </c>
      <c r="D719" s="0" t="n">
        <v>11008298</v>
      </c>
      <c r="E719" s="0" t="n">
        <v>19.49</v>
      </c>
      <c r="F719" s="0" t="n">
        <v>5.97</v>
      </c>
      <c r="G719" s="0" t="n">
        <v>6.25</v>
      </c>
      <c r="H719" s="0" t="n">
        <v>4.12</v>
      </c>
      <c r="I719" s="0" t="n">
        <v>0</v>
      </c>
      <c r="J719" s="0" t="n">
        <v>1.29</v>
      </c>
      <c r="K719" s="0" t="n">
        <v>0.6</v>
      </c>
      <c r="L719" s="0" t="n">
        <v>1.07</v>
      </c>
      <c r="M719" s="0" t="n">
        <v>0.19</v>
      </c>
      <c r="N719" s="0" t="n">
        <v>0</v>
      </c>
      <c r="O719" s="0" t="n">
        <v>581.32</v>
      </c>
    </row>
    <row r="720" customFormat="false" ht="15" hidden="false" customHeight="false" outlineLevel="0" collapsed="false">
      <c r="A720" s="0" t="s">
        <v>235</v>
      </c>
      <c r="B720" s="0" t="s">
        <v>473</v>
      </c>
      <c r="C720" s="0" t="n">
        <v>2021</v>
      </c>
      <c r="D720" s="0" t="n">
        <v>11123480</v>
      </c>
      <c r="E720" s="0" t="n">
        <v>21.43</v>
      </c>
      <c r="F720" s="0" t="n">
        <v>5.76</v>
      </c>
      <c r="G720" s="0" t="n">
        <v>7.71</v>
      </c>
      <c r="H720" s="0" t="n">
        <v>4.15</v>
      </c>
      <c r="I720" s="0" t="n">
        <v>0</v>
      </c>
      <c r="J720" s="0" t="n">
        <v>1.5</v>
      </c>
      <c r="K720" s="0" t="n">
        <v>0.85</v>
      </c>
      <c r="L720" s="0" t="n">
        <v>1.22</v>
      </c>
      <c r="M720" s="0" t="n">
        <v>0.24</v>
      </c>
      <c r="N720" s="0" t="n">
        <v>0</v>
      </c>
      <c r="O720" s="0" t="n">
        <v>558.56</v>
      </c>
    </row>
    <row r="721" customFormat="false" ht="15" hidden="false" customHeight="false" outlineLevel="0" collapsed="false">
      <c r="A721" s="0" t="s">
        <v>235</v>
      </c>
      <c r="B721" s="0" t="s">
        <v>473</v>
      </c>
      <c r="C721" s="0" t="n">
        <v>2022</v>
      </c>
      <c r="D721" s="0" t="n">
        <v>11230734</v>
      </c>
      <c r="E721" s="0" t="n">
        <v>22.17</v>
      </c>
      <c r="F721" s="0" t="n">
        <v>7.16</v>
      </c>
      <c r="G721" s="0" t="n">
        <v>5.55</v>
      </c>
      <c r="H721" s="0" t="n">
        <v>5.37</v>
      </c>
      <c r="I721" s="0" t="n">
        <v>0</v>
      </c>
      <c r="J721" s="0" t="n">
        <v>1.47</v>
      </c>
      <c r="K721" s="0" t="n">
        <v>1.24</v>
      </c>
      <c r="L721" s="0" t="n">
        <v>1.17</v>
      </c>
      <c r="M721" s="0" t="n">
        <v>0.21</v>
      </c>
      <c r="N721" s="0" t="n">
        <v>0</v>
      </c>
      <c r="O721" s="0" t="n">
        <v>580.06</v>
      </c>
    </row>
    <row r="722" customFormat="false" ht="15" hidden="false" customHeight="false" outlineLevel="0" collapsed="false">
      <c r="A722" s="0" t="s">
        <v>235</v>
      </c>
      <c r="B722" s="0" t="s">
        <v>473</v>
      </c>
      <c r="C722" s="0" t="n">
        <v>2023</v>
      </c>
      <c r="D722" s="0" t="n">
        <v>11331269</v>
      </c>
      <c r="E722" s="0" t="n">
        <v>24.56</v>
      </c>
      <c r="F722" s="0" t="n">
        <v>7.72</v>
      </c>
      <c r="G722" s="0" t="n">
        <v>7.3</v>
      </c>
      <c r="H722" s="0" t="n">
        <v>5.3</v>
      </c>
      <c r="I722" s="0" t="n">
        <v>0</v>
      </c>
      <c r="J722" s="0" t="n">
        <v>1.47</v>
      </c>
      <c r="K722" s="0" t="n">
        <v>1.36</v>
      </c>
      <c r="L722" s="0" t="n">
        <v>1.2</v>
      </c>
      <c r="M722" s="0" t="n">
        <v>0.21</v>
      </c>
      <c r="N722" s="0" t="n">
        <v>0</v>
      </c>
      <c r="O722" s="0" t="n">
        <v>579.4</v>
      </c>
    </row>
    <row r="723" customFormat="false" ht="15" hidden="false" customHeight="false" outlineLevel="0" collapsed="false">
      <c r="A723" s="0" t="s">
        <v>235</v>
      </c>
      <c r="B723" s="0" t="s">
        <v>473</v>
      </c>
      <c r="C723" s="0" t="n">
        <v>2024</v>
      </c>
      <c r="D723" s="0" t="n">
        <v>11427558</v>
      </c>
      <c r="E723" s="0" t="n">
        <v>24.03</v>
      </c>
      <c r="F723" s="0" t="n">
        <v>7.2</v>
      </c>
      <c r="G723" s="0" t="n">
        <v>7</v>
      </c>
      <c r="H723" s="0" t="n">
        <v>5.3</v>
      </c>
      <c r="I723" s="0" t="n">
        <v>0</v>
      </c>
      <c r="J723" s="0" t="n">
        <v>1.47</v>
      </c>
      <c r="K723" s="0" t="n">
        <v>1.55</v>
      </c>
      <c r="L723" s="0" t="n">
        <v>1.3</v>
      </c>
      <c r="M723" s="0" t="n">
        <v>0.21</v>
      </c>
      <c r="N723" s="0" t="n">
        <v>0</v>
      </c>
      <c r="O723" s="0" t="n">
        <v>567.62</v>
      </c>
    </row>
    <row r="724" customFormat="false" ht="15" hidden="false" customHeight="false" outlineLevel="0" collapsed="false">
      <c r="A724" s="0" t="s">
        <v>235</v>
      </c>
      <c r="B724" s="0" t="s">
        <v>473</v>
      </c>
      <c r="C724" s="0" t="n">
        <v>2025</v>
      </c>
      <c r="D724" s="0" t="n">
        <v>11520483</v>
      </c>
      <c r="E724" s="0" t="n">
        <v>22.68</v>
      </c>
      <c r="F724" s="0" t="n">
        <v>6.59</v>
      </c>
      <c r="G724" s="0" t="n">
        <v>6.07</v>
      </c>
      <c r="H724" s="0" t="n">
        <v>4.62</v>
      </c>
      <c r="I724" s="0" t="n">
        <v>0</v>
      </c>
      <c r="J724" s="0" t="n">
        <v>1.53</v>
      </c>
      <c r="K724" s="0" t="n">
        <v>2.25</v>
      </c>
      <c r="L724" s="0" t="n">
        <v>1.42</v>
      </c>
      <c r="M724" s="0" t="n">
        <v>0.2</v>
      </c>
      <c r="N724" s="0" t="n">
        <v>0</v>
      </c>
      <c r="O724" s="0" t="n">
        <v>537.48</v>
      </c>
    </row>
    <row r="725" customFormat="false" ht="15" hidden="false" customHeight="false" outlineLevel="0" collapsed="false">
      <c r="A725" s="0" t="s">
        <v>666</v>
      </c>
      <c r="C725" s="0" t="n">
        <v>2015</v>
      </c>
      <c r="E725" s="0" t="n">
        <v>2870.37</v>
      </c>
      <c r="F725" s="0" t="n">
        <v>705.03</v>
      </c>
      <c r="G725" s="0" t="n">
        <v>394.92</v>
      </c>
      <c r="H725" s="0" t="n">
        <v>127.79</v>
      </c>
      <c r="I725" s="0" t="n">
        <v>786.69</v>
      </c>
      <c r="J725" s="0" t="n">
        <v>336</v>
      </c>
      <c r="K725" s="0" t="n">
        <v>100.2</v>
      </c>
      <c r="L725" s="0" t="n">
        <v>263.28</v>
      </c>
      <c r="M725" s="0" t="n">
        <v>149.37</v>
      </c>
      <c r="N725" s="0" t="n">
        <v>7.09</v>
      </c>
      <c r="O725" s="0" t="n">
        <v>348.32</v>
      </c>
    </row>
    <row r="726" customFormat="false" ht="15" hidden="false" customHeight="false" outlineLevel="0" collapsed="false">
      <c r="A726" s="0" t="s">
        <v>666</v>
      </c>
      <c r="C726" s="0" t="n">
        <v>2016</v>
      </c>
      <c r="E726" s="0" t="n">
        <v>2891.4</v>
      </c>
      <c r="F726" s="0" t="n">
        <v>659.16</v>
      </c>
      <c r="G726" s="0" t="n">
        <v>464.78</v>
      </c>
      <c r="H726" s="0" t="n">
        <v>128.19</v>
      </c>
      <c r="I726" s="0" t="n">
        <v>767.95</v>
      </c>
      <c r="J726" s="0" t="n">
        <v>345.6</v>
      </c>
      <c r="K726" s="0" t="n">
        <v>100.49</v>
      </c>
      <c r="L726" s="0" t="n">
        <v>266.91</v>
      </c>
      <c r="M726" s="0" t="n">
        <v>151.09</v>
      </c>
      <c r="N726" s="0" t="n">
        <v>7.23</v>
      </c>
      <c r="O726" s="0" t="n">
        <v>341.43</v>
      </c>
    </row>
    <row r="727" customFormat="false" ht="15" hidden="false" customHeight="false" outlineLevel="0" collapsed="false">
      <c r="A727" s="0" t="s">
        <v>666</v>
      </c>
      <c r="C727" s="0" t="n">
        <v>2017</v>
      </c>
      <c r="E727" s="0" t="n">
        <v>2922.98</v>
      </c>
      <c r="F727" s="0" t="n">
        <v>638.86</v>
      </c>
      <c r="G727" s="0" t="n">
        <v>523.62</v>
      </c>
      <c r="H727" s="0" t="n">
        <v>126.88</v>
      </c>
      <c r="I727" s="0" t="n">
        <v>759.4</v>
      </c>
      <c r="J727" s="0" t="n">
        <v>294.34</v>
      </c>
      <c r="K727" s="0" t="n">
        <v>106.58</v>
      </c>
      <c r="L727" s="0" t="n">
        <v>312.43</v>
      </c>
      <c r="M727" s="0" t="n">
        <v>153.64</v>
      </c>
      <c r="N727" s="0" t="n">
        <v>7.23</v>
      </c>
      <c r="O727" s="0" t="n">
        <v>340.41</v>
      </c>
    </row>
    <row r="728" customFormat="false" ht="15" hidden="false" customHeight="false" outlineLevel="0" collapsed="false">
      <c r="A728" s="0" t="s">
        <v>666</v>
      </c>
      <c r="C728" s="0" t="n">
        <v>2018</v>
      </c>
      <c r="E728" s="0" t="n">
        <v>2908.62</v>
      </c>
      <c r="F728" s="0" t="n">
        <v>595.54</v>
      </c>
      <c r="G728" s="0" t="n">
        <v>488.95</v>
      </c>
      <c r="H728" s="0" t="n">
        <v>120.86</v>
      </c>
      <c r="I728" s="0" t="n">
        <v>761.94</v>
      </c>
      <c r="J728" s="0" t="n">
        <v>343.84</v>
      </c>
      <c r="K728" s="0" t="n">
        <v>114.13</v>
      </c>
      <c r="L728" s="0" t="n">
        <v>320.76</v>
      </c>
      <c r="M728" s="0" t="n">
        <v>155.46</v>
      </c>
      <c r="N728" s="0" t="n">
        <v>7.14</v>
      </c>
      <c r="O728" s="0" t="n">
        <v>321.26</v>
      </c>
    </row>
    <row r="729" customFormat="false" ht="15" hidden="false" customHeight="false" outlineLevel="0" collapsed="false">
      <c r="A729" s="0" t="s">
        <v>666</v>
      </c>
      <c r="C729" s="0" t="n">
        <v>2019</v>
      </c>
      <c r="E729" s="0" t="n">
        <v>2874.5</v>
      </c>
      <c r="F729" s="0" t="n">
        <v>450.79</v>
      </c>
      <c r="G729" s="0" t="n">
        <v>568.62</v>
      </c>
      <c r="H729" s="0" t="n">
        <v>110.91</v>
      </c>
      <c r="I729" s="0" t="n">
        <v>765.34</v>
      </c>
      <c r="J729" s="0" t="n">
        <v>320.29</v>
      </c>
      <c r="K729" s="0" t="n">
        <v>124.38</v>
      </c>
      <c r="L729" s="0" t="n">
        <v>367.29</v>
      </c>
      <c r="M729" s="0" t="n">
        <v>159.65</v>
      </c>
      <c r="N729" s="0" t="n">
        <v>7.23</v>
      </c>
      <c r="O729" s="0" t="n">
        <v>287.35</v>
      </c>
    </row>
    <row r="730" customFormat="false" ht="15" hidden="false" customHeight="false" outlineLevel="0" collapsed="false">
      <c r="A730" s="0" t="s">
        <v>666</v>
      </c>
      <c r="C730" s="0" t="n">
        <v>2020</v>
      </c>
      <c r="E730" s="0" t="n">
        <v>2753.09</v>
      </c>
      <c r="F730" s="0" t="n">
        <v>352.33</v>
      </c>
      <c r="G730" s="0" t="n">
        <v>559.7</v>
      </c>
      <c r="H730" s="0" t="n">
        <v>97.76</v>
      </c>
      <c r="I730" s="0" t="n">
        <v>683.51</v>
      </c>
      <c r="J730" s="0" t="n">
        <v>347.09</v>
      </c>
      <c r="K730" s="0" t="n">
        <v>144.72</v>
      </c>
      <c r="L730" s="0" t="n">
        <v>398.16</v>
      </c>
      <c r="M730" s="0" t="n">
        <v>162.59</v>
      </c>
      <c r="N730" s="0" t="n">
        <v>7.23</v>
      </c>
      <c r="O730" s="0" t="n">
        <v>261.18</v>
      </c>
    </row>
    <row r="731" customFormat="false" ht="15" hidden="false" customHeight="false" outlineLevel="0" collapsed="false">
      <c r="A731" s="0" t="s">
        <v>666</v>
      </c>
      <c r="C731" s="0" t="n">
        <v>2021</v>
      </c>
      <c r="E731" s="0" t="n">
        <v>2874.99</v>
      </c>
      <c r="F731" s="0" t="n">
        <v>419</v>
      </c>
      <c r="G731" s="0" t="n">
        <v>547.04</v>
      </c>
      <c r="H731" s="0" t="n">
        <v>100.41</v>
      </c>
      <c r="I731" s="0" t="n">
        <v>731.71</v>
      </c>
      <c r="J731" s="0" t="n">
        <v>348.25</v>
      </c>
      <c r="K731" s="0" t="n">
        <v>163.05</v>
      </c>
      <c r="L731" s="0" t="n">
        <v>386.94</v>
      </c>
      <c r="M731" s="0" t="n">
        <v>171.56</v>
      </c>
      <c r="N731" s="0" t="n">
        <v>7.03</v>
      </c>
      <c r="O731" s="0" t="n">
        <v>272.52</v>
      </c>
    </row>
    <row r="732" customFormat="false" ht="15" hidden="false" customHeight="false" outlineLevel="0" collapsed="false">
      <c r="A732" s="0" t="s">
        <v>666</v>
      </c>
      <c r="C732" s="0" t="n">
        <v>2022</v>
      </c>
      <c r="E732" s="0" t="n">
        <v>2777.49</v>
      </c>
      <c r="F732" s="0" t="n">
        <v>448.43</v>
      </c>
      <c r="G732" s="0" t="n">
        <v>533.96</v>
      </c>
      <c r="H732" s="0" t="n">
        <v>105.86</v>
      </c>
      <c r="I732" s="0" t="n">
        <v>609.26</v>
      </c>
      <c r="J732" s="0" t="n">
        <v>276.19</v>
      </c>
      <c r="K732" s="0" t="n">
        <v>209.76</v>
      </c>
      <c r="L732" s="0" t="n">
        <v>421.83</v>
      </c>
      <c r="M732" s="0" t="n">
        <v>165.27</v>
      </c>
      <c r="N732" s="0" t="n">
        <v>6.93</v>
      </c>
      <c r="O732" s="0" t="n">
        <v>291.55</v>
      </c>
    </row>
    <row r="733" customFormat="false" ht="15" hidden="false" customHeight="false" outlineLevel="0" collapsed="false">
      <c r="A733" s="0" t="s">
        <v>666</v>
      </c>
      <c r="C733" s="0" t="n">
        <v>2023</v>
      </c>
      <c r="E733" s="0" t="n">
        <v>2710.2</v>
      </c>
      <c r="F733" s="0" t="n">
        <v>318.59</v>
      </c>
      <c r="G733" s="0" t="n">
        <v>454.83</v>
      </c>
      <c r="H733" s="0" t="n">
        <v>91.08</v>
      </c>
      <c r="I733" s="0" t="n">
        <v>619.6</v>
      </c>
      <c r="J733" s="0" t="n">
        <v>330.44</v>
      </c>
      <c r="K733" s="0" t="n">
        <v>254.04</v>
      </c>
      <c r="L733" s="0" t="n">
        <v>478.06</v>
      </c>
      <c r="M733" s="0" t="n">
        <v>156.84</v>
      </c>
      <c r="N733" s="0" t="n">
        <v>6.72</v>
      </c>
      <c r="O733" s="0" t="n">
        <v>235.84</v>
      </c>
    </row>
    <row r="734" customFormat="false" ht="15" hidden="false" customHeight="false" outlineLevel="0" collapsed="false">
      <c r="A734" s="0" t="s">
        <v>666</v>
      </c>
      <c r="C734" s="0" t="n">
        <v>2024</v>
      </c>
      <c r="E734" s="0" t="n">
        <v>2773.21</v>
      </c>
      <c r="F734" s="0" t="n">
        <v>270.95</v>
      </c>
      <c r="G734" s="0" t="n">
        <v>432.11</v>
      </c>
      <c r="H734" s="0" t="n">
        <v>89.11</v>
      </c>
      <c r="I734" s="0" t="n">
        <v>649.55</v>
      </c>
      <c r="J734" s="0" t="n">
        <v>369.68</v>
      </c>
      <c r="K734" s="0" t="n">
        <v>307.07</v>
      </c>
      <c r="L734" s="0" t="n">
        <v>491.21</v>
      </c>
      <c r="M734" s="0" t="n">
        <v>156.85</v>
      </c>
      <c r="N734" s="0" t="n">
        <v>6.68</v>
      </c>
      <c r="O734" s="0" t="n">
        <v>211.2</v>
      </c>
    </row>
    <row r="735" customFormat="false" ht="15" hidden="false" customHeight="false" outlineLevel="0" collapsed="false">
      <c r="A735" s="0" t="s">
        <v>666</v>
      </c>
      <c r="C735" s="0" t="n">
        <v>2025</v>
      </c>
      <c r="E735" s="0" t="n">
        <v>2797.09</v>
      </c>
      <c r="F735" s="0" t="n">
        <v>256.79</v>
      </c>
      <c r="G735" s="0" t="n">
        <v>466.46</v>
      </c>
      <c r="H735" s="0" t="n">
        <v>86.45</v>
      </c>
      <c r="I735" s="0" t="n">
        <v>652.41</v>
      </c>
      <c r="J735" s="0" t="n">
        <v>326.37</v>
      </c>
      <c r="K735" s="0" t="n">
        <v>367.36</v>
      </c>
      <c r="L735" s="0" t="n">
        <v>478.8</v>
      </c>
      <c r="M735" s="0" t="n">
        <v>155.6</v>
      </c>
      <c r="N735" s="0" t="n">
        <v>6.85</v>
      </c>
      <c r="O735" s="0" t="n">
        <v>209.9</v>
      </c>
    </row>
    <row r="736" customFormat="false" ht="15" hidden="false" customHeight="false" outlineLevel="0" collapsed="false">
      <c r="A736" s="0" t="s">
        <v>667</v>
      </c>
      <c r="C736" s="0" t="n">
        <v>2015</v>
      </c>
    </row>
    <row r="737" customFormat="false" ht="15" hidden="false" customHeight="false" outlineLevel="0" collapsed="false">
      <c r="A737" s="0" t="s">
        <v>667</v>
      </c>
      <c r="C737" s="0" t="n">
        <v>2016</v>
      </c>
    </row>
    <row r="738" customFormat="false" ht="15" hidden="false" customHeight="false" outlineLevel="0" collapsed="false">
      <c r="A738" s="0" t="s">
        <v>236</v>
      </c>
      <c r="B738" s="0" t="s">
        <v>474</v>
      </c>
      <c r="C738" s="0" t="n">
        <v>2015</v>
      </c>
      <c r="D738" s="0" t="n">
        <v>1205133</v>
      </c>
      <c r="E738" s="0" t="n">
        <v>0.35</v>
      </c>
      <c r="F738" s="0" t="n">
        <v>0</v>
      </c>
      <c r="G738" s="0" t="n">
        <v>0</v>
      </c>
      <c r="H738" s="0" t="n">
        <v>0.35</v>
      </c>
      <c r="I738" s="0" t="n">
        <v>0</v>
      </c>
      <c r="J738" s="0" t="n">
        <v>0</v>
      </c>
      <c r="K738" s="0" t="n">
        <v>0</v>
      </c>
      <c r="L738" s="0" t="n">
        <v>0</v>
      </c>
      <c r="M738" s="0" t="n">
        <v>0</v>
      </c>
      <c r="N738" s="0" t="n">
        <v>0</v>
      </c>
      <c r="O738" s="0" t="n">
        <v>657.14</v>
      </c>
    </row>
    <row r="739" customFormat="false" ht="15" hidden="false" customHeight="false" outlineLevel="0" collapsed="false">
      <c r="A739" s="0" t="s">
        <v>236</v>
      </c>
      <c r="B739" s="0" t="s">
        <v>474</v>
      </c>
      <c r="C739" s="0" t="n">
        <v>2016</v>
      </c>
      <c r="D739" s="0" t="n">
        <v>1228314</v>
      </c>
      <c r="E739" s="0" t="n">
        <v>0.41</v>
      </c>
      <c r="F739" s="0" t="n">
        <v>0</v>
      </c>
      <c r="G739" s="0" t="n">
        <v>0</v>
      </c>
      <c r="H739" s="0" t="n">
        <v>0.41</v>
      </c>
      <c r="I739" s="0" t="n">
        <v>0</v>
      </c>
      <c r="J739" s="0" t="n">
        <v>0</v>
      </c>
      <c r="K739" s="0" t="n">
        <v>0</v>
      </c>
      <c r="L739" s="0" t="n">
        <v>0</v>
      </c>
      <c r="M739" s="0" t="n">
        <v>0</v>
      </c>
      <c r="N739" s="0" t="n">
        <v>0</v>
      </c>
      <c r="O739" s="0" t="n">
        <v>658.54</v>
      </c>
    </row>
    <row r="740" customFormat="false" ht="15" hidden="false" customHeight="false" outlineLevel="0" collapsed="false">
      <c r="A740" s="0" t="s">
        <v>236</v>
      </c>
      <c r="B740" s="0" t="s">
        <v>474</v>
      </c>
      <c r="C740" s="0" t="n">
        <v>2017</v>
      </c>
      <c r="D740" s="0" t="n">
        <v>1251711</v>
      </c>
      <c r="E740" s="0" t="n">
        <v>0.43</v>
      </c>
      <c r="F740" s="0" t="n">
        <v>0</v>
      </c>
      <c r="G740" s="0" t="n">
        <v>0</v>
      </c>
      <c r="H740" s="0" t="n">
        <v>0.43</v>
      </c>
      <c r="I740" s="0" t="n">
        <v>0</v>
      </c>
      <c r="J740" s="0" t="n">
        <v>0</v>
      </c>
      <c r="K740" s="0" t="n">
        <v>0</v>
      </c>
      <c r="L740" s="0" t="n">
        <v>0</v>
      </c>
      <c r="M740" s="0" t="n">
        <v>0</v>
      </c>
      <c r="N740" s="0" t="n">
        <v>0</v>
      </c>
      <c r="O740" s="0" t="n">
        <v>651.16</v>
      </c>
    </row>
    <row r="741" customFormat="false" ht="15" hidden="false" customHeight="false" outlineLevel="0" collapsed="false">
      <c r="A741" s="0" t="s">
        <v>236</v>
      </c>
      <c r="B741" s="0" t="s">
        <v>474</v>
      </c>
      <c r="C741" s="0" t="n">
        <v>2018</v>
      </c>
      <c r="D741" s="0" t="n">
        <v>1275962</v>
      </c>
      <c r="E741" s="0" t="n">
        <v>0.45</v>
      </c>
      <c r="F741" s="0" t="n">
        <v>0</v>
      </c>
      <c r="G741" s="0" t="n">
        <v>0</v>
      </c>
      <c r="H741" s="0" t="n">
        <v>0.45</v>
      </c>
      <c r="I741" s="0" t="n">
        <v>0</v>
      </c>
      <c r="J741" s="0" t="n">
        <v>0</v>
      </c>
      <c r="K741" s="0" t="n">
        <v>0</v>
      </c>
      <c r="L741" s="0" t="n">
        <v>0</v>
      </c>
      <c r="M741" s="0" t="n">
        <v>0</v>
      </c>
      <c r="N741" s="0" t="n">
        <v>0</v>
      </c>
      <c r="O741" s="0" t="n">
        <v>666.67</v>
      </c>
    </row>
    <row r="742" customFormat="false" ht="15" hidden="false" customHeight="false" outlineLevel="0" collapsed="false">
      <c r="A742" s="0" t="s">
        <v>236</v>
      </c>
      <c r="B742" s="0" t="s">
        <v>474</v>
      </c>
      <c r="C742" s="0" t="n">
        <v>2019</v>
      </c>
      <c r="D742" s="0" t="n">
        <v>1300946</v>
      </c>
      <c r="E742" s="0" t="n">
        <v>0.52</v>
      </c>
      <c r="F742" s="0" t="n">
        <v>0</v>
      </c>
      <c r="G742" s="0" t="n">
        <v>0</v>
      </c>
      <c r="H742" s="0" t="n">
        <v>0.52</v>
      </c>
      <c r="I742" s="0" t="n">
        <v>0</v>
      </c>
      <c r="J742" s="0" t="n">
        <v>0</v>
      </c>
      <c r="K742" s="0" t="n">
        <v>0</v>
      </c>
      <c r="L742" s="0" t="n">
        <v>0</v>
      </c>
      <c r="M742" s="0" t="n">
        <v>0</v>
      </c>
      <c r="N742" s="0" t="n">
        <v>0</v>
      </c>
      <c r="O742" s="0" t="n">
        <v>653.85</v>
      </c>
    </row>
    <row r="743" customFormat="false" ht="15" hidden="false" customHeight="false" outlineLevel="0" collapsed="false">
      <c r="A743" s="0" t="s">
        <v>236</v>
      </c>
      <c r="B743" s="0" t="s">
        <v>474</v>
      </c>
      <c r="C743" s="0" t="n">
        <v>2020</v>
      </c>
      <c r="D743" s="0" t="n">
        <v>1326051</v>
      </c>
      <c r="E743" s="0" t="n">
        <v>0.5</v>
      </c>
      <c r="F743" s="0" t="n">
        <v>0</v>
      </c>
      <c r="G743" s="0" t="n">
        <v>0</v>
      </c>
      <c r="H743" s="0" t="n">
        <v>0.5</v>
      </c>
      <c r="I743" s="0" t="n">
        <v>0</v>
      </c>
      <c r="J743" s="0" t="n">
        <v>0</v>
      </c>
      <c r="K743" s="0" t="n">
        <v>0</v>
      </c>
      <c r="L743" s="0" t="n">
        <v>0</v>
      </c>
      <c r="M743" s="0" t="n">
        <v>0</v>
      </c>
      <c r="N743" s="0" t="n">
        <v>0</v>
      </c>
      <c r="O743" s="0" t="n">
        <v>660</v>
      </c>
    </row>
    <row r="744" customFormat="false" ht="15" hidden="false" customHeight="false" outlineLevel="0" collapsed="false">
      <c r="A744" s="0" t="s">
        <v>236</v>
      </c>
      <c r="B744" s="0" t="s">
        <v>474</v>
      </c>
      <c r="C744" s="0" t="n">
        <v>2021</v>
      </c>
      <c r="D744" s="0" t="n">
        <v>1350142</v>
      </c>
      <c r="E744" s="0" t="n">
        <v>0.51</v>
      </c>
      <c r="F744" s="0" t="n">
        <v>0</v>
      </c>
      <c r="G744" s="0" t="n">
        <v>0</v>
      </c>
      <c r="H744" s="0" t="n">
        <v>0.51</v>
      </c>
      <c r="I744" s="0" t="n">
        <v>0</v>
      </c>
      <c r="J744" s="0" t="n">
        <v>0</v>
      </c>
      <c r="K744" s="0" t="n">
        <v>0</v>
      </c>
      <c r="L744" s="0" t="n">
        <v>0</v>
      </c>
      <c r="M744" s="0" t="n">
        <v>0</v>
      </c>
      <c r="N744" s="0" t="n">
        <v>0</v>
      </c>
      <c r="O744" s="0" t="n">
        <v>666.67</v>
      </c>
    </row>
    <row r="745" customFormat="false" ht="15" hidden="false" customHeight="false" outlineLevel="0" collapsed="false">
      <c r="A745" s="0" t="s">
        <v>236</v>
      </c>
      <c r="B745" s="0" t="s">
        <v>474</v>
      </c>
      <c r="C745" s="0" t="n">
        <v>2022</v>
      </c>
      <c r="D745" s="0" t="n">
        <v>1369299</v>
      </c>
      <c r="E745" s="0" t="n">
        <v>0.51</v>
      </c>
      <c r="F745" s="0" t="n">
        <v>0</v>
      </c>
      <c r="G745" s="0" t="n">
        <v>0</v>
      </c>
      <c r="H745" s="0" t="n">
        <v>0.51</v>
      </c>
      <c r="I745" s="0" t="n">
        <v>0</v>
      </c>
      <c r="J745" s="0" t="n">
        <v>0</v>
      </c>
      <c r="K745" s="0" t="n">
        <v>0</v>
      </c>
      <c r="L745" s="0" t="n">
        <v>0</v>
      </c>
      <c r="M745" s="0" t="n">
        <v>0</v>
      </c>
      <c r="N745" s="0" t="n">
        <v>0</v>
      </c>
      <c r="O745" s="0" t="n">
        <v>666.67</v>
      </c>
    </row>
    <row r="746" customFormat="false" ht="15" hidden="false" customHeight="false" outlineLevel="0" collapsed="false">
      <c r="A746" s="0" t="s">
        <v>236</v>
      </c>
      <c r="B746" s="0" t="s">
        <v>474</v>
      </c>
      <c r="C746" s="0" t="n">
        <v>2023</v>
      </c>
      <c r="D746" s="0" t="n">
        <v>1384292</v>
      </c>
      <c r="E746" s="0" t="n">
        <v>0.51</v>
      </c>
      <c r="F746" s="0" t="n">
        <v>0</v>
      </c>
      <c r="G746" s="0" t="n">
        <v>0</v>
      </c>
      <c r="H746" s="0" t="n">
        <v>0.51</v>
      </c>
      <c r="I746" s="0" t="n">
        <v>0</v>
      </c>
      <c r="J746" s="0" t="n">
        <v>0</v>
      </c>
      <c r="K746" s="0" t="n">
        <v>0</v>
      </c>
      <c r="L746" s="0" t="n">
        <v>0</v>
      </c>
      <c r="M746" s="0" t="n">
        <v>0</v>
      </c>
      <c r="N746" s="0" t="n">
        <v>0</v>
      </c>
      <c r="O746" s="0" t="n">
        <v>666.67</v>
      </c>
    </row>
    <row r="747" customFormat="false" ht="15" hidden="false" customHeight="false" outlineLevel="0" collapsed="false">
      <c r="A747" s="0" t="s">
        <v>236</v>
      </c>
      <c r="B747" s="0" t="s">
        <v>474</v>
      </c>
      <c r="C747" s="0" t="n">
        <v>2024</v>
      </c>
      <c r="D747" s="0" t="n">
        <v>1400638</v>
      </c>
      <c r="E747" s="0" t="n">
        <v>0.51</v>
      </c>
      <c r="F747" s="0" t="n">
        <v>0</v>
      </c>
      <c r="G747" s="0" t="n">
        <v>0</v>
      </c>
      <c r="H747" s="0" t="n">
        <v>0.51</v>
      </c>
      <c r="I747" s="0" t="n">
        <v>0</v>
      </c>
      <c r="J747" s="0" t="n">
        <v>0</v>
      </c>
      <c r="K747" s="0" t="n">
        <v>0</v>
      </c>
      <c r="L747" s="0" t="n">
        <v>0</v>
      </c>
      <c r="M747" s="0" t="n">
        <v>0</v>
      </c>
      <c r="N747" s="0" t="n">
        <v>0</v>
      </c>
      <c r="O747" s="0" t="n">
        <v>666.67</v>
      </c>
    </row>
    <row r="748" customFormat="false" ht="15" hidden="false" customHeight="false" outlineLevel="0" collapsed="false">
      <c r="A748" s="0" t="s">
        <v>668</v>
      </c>
      <c r="C748" s="0" t="n">
        <v>2015</v>
      </c>
      <c r="E748" s="0" t="n">
        <v>98.672</v>
      </c>
      <c r="I748" s="0" t="n">
        <v>0</v>
      </c>
      <c r="J748" s="0" t="n">
        <v>65.01</v>
      </c>
      <c r="K748" s="0" t="n">
        <v>0.456</v>
      </c>
      <c r="L748" s="0" t="n">
        <v>0.778</v>
      </c>
    </row>
    <row r="749" customFormat="false" ht="15" hidden="false" customHeight="false" outlineLevel="0" collapsed="false">
      <c r="A749" s="0" t="s">
        <v>668</v>
      </c>
      <c r="C749" s="0" t="n">
        <v>2016</v>
      </c>
      <c r="E749" s="0" t="n">
        <v>97.152</v>
      </c>
      <c r="I749" s="0" t="n">
        <v>0</v>
      </c>
      <c r="J749" s="0" t="n">
        <v>61.473</v>
      </c>
      <c r="K749" s="0" t="n">
        <v>0.52</v>
      </c>
      <c r="L749" s="0" t="n">
        <v>0.89</v>
      </c>
    </row>
    <row r="750" customFormat="false" ht="15" hidden="false" customHeight="false" outlineLevel="0" collapsed="false">
      <c r="A750" s="0" t="s">
        <v>668</v>
      </c>
      <c r="C750" s="0" t="n">
        <v>2017</v>
      </c>
      <c r="E750" s="0" t="n">
        <v>103.542</v>
      </c>
      <c r="I750" s="0" t="n">
        <v>0</v>
      </c>
      <c r="J750" s="0" t="n">
        <v>64.509</v>
      </c>
      <c r="K750" s="0" t="n">
        <v>0.613</v>
      </c>
      <c r="L750" s="0" t="n">
        <v>0.791</v>
      </c>
    </row>
    <row r="751" customFormat="false" ht="15" hidden="false" customHeight="false" outlineLevel="0" collapsed="false">
      <c r="A751" s="0" t="s">
        <v>668</v>
      </c>
      <c r="C751" s="0" t="n">
        <v>2018</v>
      </c>
      <c r="E751" s="0" t="n">
        <v>108.758</v>
      </c>
      <c r="I751" s="0" t="n">
        <v>0</v>
      </c>
      <c r="J751" s="0" t="n">
        <v>68.397</v>
      </c>
      <c r="K751" s="0" t="n">
        <v>0.679</v>
      </c>
      <c r="L751" s="0" t="n">
        <v>0.862</v>
      </c>
    </row>
    <row r="752" customFormat="false" ht="15" hidden="false" customHeight="false" outlineLevel="0" collapsed="false">
      <c r="A752" s="0" t="s">
        <v>668</v>
      </c>
      <c r="C752" s="0" t="n">
        <v>2019</v>
      </c>
      <c r="E752" s="0" t="n">
        <v>110.869</v>
      </c>
      <c r="I752" s="0" t="n">
        <v>0</v>
      </c>
      <c r="J752" s="0" t="n">
        <v>68.49</v>
      </c>
      <c r="K752" s="0" t="n">
        <v>1.075</v>
      </c>
      <c r="L752" s="0" t="n">
        <v>2.222</v>
      </c>
    </row>
    <row r="753" customFormat="false" ht="15" hidden="false" customHeight="false" outlineLevel="0" collapsed="false">
      <c r="A753" s="0" t="s">
        <v>668</v>
      </c>
      <c r="C753" s="0" t="n">
        <v>2020</v>
      </c>
      <c r="E753" s="0" t="n">
        <v>110.858</v>
      </c>
      <c r="I753" s="0" t="n">
        <v>0</v>
      </c>
      <c r="J753" s="0" t="n">
        <v>73.491</v>
      </c>
      <c r="K753" s="0" t="n">
        <v>1.183</v>
      </c>
      <c r="L753" s="0" t="n">
        <v>1.978</v>
      </c>
    </row>
    <row r="754" customFormat="false" ht="15" hidden="false" customHeight="false" outlineLevel="0" collapsed="false">
      <c r="A754" s="0" t="s">
        <v>668</v>
      </c>
      <c r="C754" s="0" t="n">
        <v>2021</v>
      </c>
      <c r="E754" s="0" t="n">
        <v>117.221</v>
      </c>
      <c r="I754" s="0" t="n">
        <v>0</v>
      </c>
      <c r="J754" s="0" t="n">
        <v>77.144</v>
      </c>
      <c r="K754" s="0" t="n">
        <v>1.375</v>
      </c>
      <c r="L754" s="0" t="n">
        <v>2.659</v>
      </c>
    </row>
    <row r="755" customFormat="false" ht="15" hidden="false" customHeight="false" outlineLevel="0" collapsed="false">
      <c r="A755" s="0" t="s">
        <v>668</v>
      </c>
      <c r="C755" s="0" t="n">
        <v>2022</v>
      </c>
      <c r="E755" s="0" t="n">
        <v>123.355</v>
      </c>
      <c r="I755" s="0" t="n">
        <v>0</v>
      </c>
      <c r="J755" s="0" t="n">
        <v>80.938</v>
      </c>
      <c r="K755" s="0" t="n">
        <v>1.76</v>
      </c>
      <c r="L755" s="0" t="n">
        <v>2.823</v>
      </c>
    </row>
    <row r="756" customFormat="false" ht="15" hidden="false" customHeight="false" outlineLevel="0" collapsed="false">
      <c r="A756" s="0" t="s">
        <v>668</v>
      </c>
      <c r="C756" s="0" t="n">
        <v>2023</v>
      </c>
      <c r="E756" s="0" t="n">
        <v>126.976</v>
      </c>
      <c r="I756" s="0" t="n">
        <v>0</v>
      </c>
      <c r="J756" s="0" t="n">
        <v>81.542</v>
      </c>
      <c r="K756" s="0" t="n">
        <v>1.959</v>
      </c>
      <c r="L756" s="0" t="n">
        <v>2.923</v>
      </c>
    </row>
    <row r="757" customFormat="false" ht="15" hidden="false" customHeight="false" outlineLevel="0" collapsed="false">
      <c r="A757" s="0" t="s">
        <v>668</v>
      </c>
      <c r="C757" s="0" t="n">
        <v>2024</v>
      </c>
      <c r="E757" s="0" t="n">
        <v>129.125</v>
      </c>
      <c r="I757" s="0" t="n">
        <v>0</v>
      </c>
      <c r="J757" s="0" t="n">
        <v>82.436</v>
      </c>
      <c r="K757" s="0" t="n">
        <v>2.046</v>
      </c>
      <c r="L757" s="0" t="n">
        <v>2.96</v>
      </c>
    </row>
    <row r="758" customFormat="false" ht="15" hidden="false" customHeight="false" outlineLevel="0" collapsed="false">
      <c r="A758" s="0" t="s">
        <v>669</v>
      </c>
      <c r="C758" s="0" t="n">
        <v>2015</v>
      </c>
    </row>
    <row r="759" customFormat="false" ht="15" hidden="false" customHeight="false" outlineLevel="0" collapsed="false">
      <c r="A759" s="0" t="s">
        <v>669</v>
      </c>
      <c r="C759" s="0" t="n">
        <v>2016</v>
      </c>
    </row>
    <row r="760" customFormat="false" ht="15" hidden="false" customHeight="false" outlineLevel="0" collapsed="false">
      <c r="A760" s="0" t="s">
        <v>669</v>
      </c>
      <c r="C760" s="0" t="n">
        <v>2017</v>
      </c>
    </row>
    <row r="761" customFormat="false" ht="15" hidden="false" customHeight="false" outlineLevel="0" collapsed="false">
      <c r="A761" s="0" t="s">
        <v>669</v>
      </c>
      <c r="C761" s="0" t="n">
        <v>2018</v>
      </c>
    </row>
    <row r="762" customFormat="false" ht="15" hidden="false" customHeight="false" outlineLevel="0" collapsed="false">
      <c r="A762" s="0" t="s">
        <v>669</v>
      </c>
      <c r="C762" s="0" t="n">
        <v>2019</v>
      </c>
    </row>
    <row r="763" customFormat="false" ht="15" hidden="false" customHeight="false" outlineLevel="0" collapsed="false">
      <c r="A763" s="0" t="s">
        <v>669</v>
      </c>
      <c r="C763" s="0" t="n">
        <v>2020</v>
      </c>
    </row>
    <row r="764" customFormat="false" ht="15" hidden="false" customHeight="false" outlineLevel="0" collapsed="false">
      <c r="A764" s="0" t="s">
        <v>669</v>
      </c>
      <c r="C764" s="0" t="n">
        <v>2021</v>
      </c>
    </row>
    <row r="765" customFormat="false" ht="15" hidden="false" customHeight="false" outlineLevel="0" collapsed="false">
      <c r="A765" s="0" t="s">
        <v>669</v>
      </c>
      <c r="C765" s="0" t="n">
        <v>2022</v>
      </c>
    </row>
    <row r="766" customFormat="false" ht="15" hidden="false" customHeight="false" outlineLevel="0" collapsed="false">
      <c r="A766" s="0" t="s">
        <v>669</v>
      </c>
      <c r="C766" s="0" t="n">
        <v>2023</v>
      </c>
    </row>
    <row r="767" customFormat="false" ht="15" hidden="false" customHeight="false" outlineLevel="0" collapsed="false">
      <c r="A767" s="0" t="s">
        <v>237</v>
      </c>
      <c r="B767" s="0" t="s">
        <v>475</v>
      </c>
      <c r="C767" s="0" t="n">
        <v>2015</v>
      </c>
      <c r="D767" s="0" t="n">
        <v>16266229</v>
      </c>
      <c r="E767" s="0" t="n">
        <v>25.83</v>
      </c>
      <c r="F767" s="0" t="n">
        <v>0</v>
      </c>
      <c r="G767" s="0" t="n">
        <v>2.81</v>
      </c>
      <c r="H767" s="0" t="n">
        <v>9.82</v>
      </c>
      <c r="I767" s="0" t="n">
        <v>0</v>
      </c>
      <c r="J767" s="0" t="n">
        <v>12.97</v>
      </c>
      <c r="K767" s="0" t="n">
        <v>0.04</v>
      </c>
      <c r="L767" s="0" t="n">
        <v>0.1</v>
      </c>
      <c r="M767" s="0" t="n">
        <v>0.09</v>
      </c>
      <c r="N767" s="0" t="n">
        <v>0</v>
      </c>
      <c r="O767" s="0" t="n">
        <v>345.72</v>
      </c>
    </row>
    <row r="768" customFormat="false" ht="15" hidden="false" customHeight="false" outlineLevel="0" collapsed="false">
      <c r="A768" s="0" t="s">
        <v>237</v>
      </c>
      <c r="B768" s="0" t="s">
        <v>475</v>
      </c>
      <c r="C768" s="0" t="n">
        <v>2016</v>
      </c>
      <c r="D768" s="0" t="n">
        <v>16505142</v>
      </c>
      <c r="E768" s="0" t="n">
        <v>27.16</v>
      </c>
      <c r="F768" s="0" t="n">
        <v>0</v>
      </c>
      <c r="G768" s="0" t="n">
        <v>2.02</v>
      </c>
      <c r="H768" s="0" t="n">
        <v>8.85</v>
      </c>
      <c r="I768" s="0" t="n">
        <v>0</v>
      </c>
      <c r="J768" s="0" t="n">
        <v>15.68</v>
      </c>
      <c r="K768" s="0" t="n">
        <v>0.04</v>
      </c>
      <c r="L768" s="0" t="n">
        <v>0.08</v>
      </c>
      <c r="M768" s="0" t="n">
        <v>0.49</v>
      </c>
      <c r="N768" s="0" t="n">
        <v>0</v>
      </c>
      <c r="O768" s="0" t="n">
        <v>288.66</v>
      </c>
    </row>
    <row r="769" customFormat="false" ht="15" hidden="false" customHeight="false" outlineLevel="0" collapsed="false">
      <c r="A769" s="0" t="s">
        <v>237</v>
      </c>
      <c r="B769" s="0" t="s">
        <v>475</v>
      </c>
      <c r="C769" s="0" t="n">
        <v>2017</v>
      </c>
      <c r="D769" s="0" t="n">
        <v>16759515</v>
      </c>
      <c r="E769" s="0" t="n">
        <v>27.83</v>
      </c>
      <c r="F769" s="0" t="n">
        <v>0</v>
      </c>
      <c r="G769" s="0" t="n">
        <v>1.73</v>
      </c>
      <c r="H769" s="0" t="n">
        <v>5.64</v>
      </c>
      <c r="I769" s="0" t="n">
        <v>0</v>
      </c>
      <c r="J769" s="0" t="n">
        <v>19.89</v>
      </c>
      <c r="K769" s="0" t="n">
        <v>0.04</v>
      </c>
      <c r="L769" s="0" t="n">
        <v>0.07</v>
      </c>
      <c r="M769" s="0" t="n">
        <v>0.46</v>
      </c>
      <c r="N769" s="0" t="n">
        <v>0</v>
      </c>
      <c r="O769" s="0" t="n">
        <v>201.22</v>
      </c>
    </row>
    <row r="770" customFormat="false" ht="15" hidden="false" customHeight="false" outlineLevel="0" collapsed="false">
      <c r="A770" s="0" t="s">
        <v>237</v>
      </c>
      <c r="B770" s="0" t="s">
        <v>475</v>
      </c>
      <c r="C770" s="0" t="n">
        <v>2018</v>
      </c>
      <c r="D770" s="0" t="n">
        <v>17049542</v>
      </c>
      <c r="E770" s="0" t="n">
        <v>29.23</v>
      </c>
      <c r="F770" s="0" t="n">
        <v>0</v>
      </c>
      <c r="G770" s="0" t="n">
        <v>1.53</v>
      </c>
      <c r="H770" s="0" t="n">
        <v>6.68</v>
      </c>
      <c r="I770" s="0" t="n">
        <v>0</v>
      </c>
      <c r="J770" s="0" t="n">
        <v>20.47</v>
      </c>
      <c r="K770" s="0" t="n">
        <v>0.04</v>
      </c>
      <c r="L770" s="0" t="n">
        <v>0.08</v>
      </c>
      <c r="M770" s="0" t="n">
        <v>0.43</v>
      </c>
      <c r="N770" s="0" t="n">
        <v>0</v>
      </c>
      <c r="O770" s="0" t="n">
        <v>210.06</v>
      </c>
    </row>
    <row r="771" customFormat="false" ht="15" hidden="false" customHeight="false" outlineLevel="0" collapsed="false">
      <c r="A771" s="0" t="s">
        <v>237</v>
      </c>
      <c r="B771" s="0" t="s">
        <v>475</v>
      </c>
      <c r="C771" s="0" t="n">
        <v>2019</v>
      </c>
      <c r="D771" s="0" t="n">
        <v>17340017</v>
      </c>
      <c r="E771" s="0" t="n">
        <v>32.45</v>
      </c>
      <c r="F771" s="0" t="n">
        <v>0</v>
      </c>
      <c r="G771" s="0" t="n">
        <v>1.39</v>
      </c>
      <c r="H771" s="0" t="n">
        <v>5.82</v>
      </c>
      <c r="I771" s="0" t="n">
        <v>0</v>
      </c>
      <c r="J771" s="0" t="n">
        <v>24.66</v>
      </c>
      <c r="K771" s="0" t="n">
        <v>0.04</v>
      </c>
      <c r="L771" s="0" t="n">
        <v>0.09</v>
      </c>
      <c r="M771" s="0" t="n">
        <v>0.45</v>
      </c>
      <c r="N771" s="0" t="n">
        <v>0</v>
      </c>
      <c r="O771" s="0" t="n">
        <v>171.96</v>
      </c>
    </row>
    <row r="772" customFormat="false" ht="15" hidden="false" customHeight="false" outlineLevel="0" collapsed="false">
      <c r="A772" s="0" t="s">
        <v>237</v>
      </c>
      <c r="B772" s="0" t="s">
        <v>475</v>
      </c>
      <c r="C772" s="0" t="n">
        <v>2020</v>
      </c>
      <c r="D772" s="0" t="n">
        <v>17546058</v>
      </c>
      <c r="E772" s="0" t="n">
        <v>31.29</v>
      </c>
      <c r="F772" s="0" t="n">
        <v>0</v>
      </c>
      <c r="G772" s="0" t="n">
        <v>1.15</v>
      </c>
      <c r="H772" s="0" t="n">
        <v>5.22</v>
      </c>
      <c r="I772" s="0" t="n">
        <v>0</v>
      </c>
      <c r="J772" s="0" t="n">
        <v>24.33</v>
      </c>
      <c r="K772" s="0" t="n">
        <v>0.04</v>
      </c>
      <c r="L772" s="0" t="n">
        <v>0.08</v>
      </c>
      <c r="M772" s="0" t="n">
        <v>0.47</v>
      </c>
      <c r="N772" s="0" t="n">
        <v>0</v>
      </c>
      <c r="O772" s="0" t="n">
        <v>159.48</v>
      </c>
    </row>
    <row r="773" customFormat="false" ht="15" hidden="false" customHeight="false" outlineLevel="0" collapsed="false">
      <c r="A773" s="0" t="s">
        <v>237</v>
      </c>
      <c r="B773" s="0" t="s">
        <v>475</v>
      </c>
      <c r="C773" s="0" t="n">
        <v>2021</v>
      </c>
      <c r="D773" s="0" t="n">
        <v>17682454</v>
      </c>
      <c r="E773" s="0" t="n">
        <v>32.12</v>
      </c>
      <c r="F773" s="0" t="n">
        <v>0</v>
      </c>
      <c r="G773" s="0" t="n">
        <v>1.13</v>
      </c>
      <c r="H773" s="0" t="n">
        <v>4.91</v>
      </c>
      <c r="I773" s="0" t="n">
        <v>0</v>
      </c>
      <c r="J773" s="0" t="n">
        <v>25.57</v>
      </c>
      <c r="K773" s="0" t="n">
        <v>0.04</v>
      </c>
      <c r="L773" s="0" t="n">
        <v>0.06</v>
      </c>
      <c r="M773" s="0" t="n">
        <v>0.41</v>
      </c>
      <c r="N773" s="0" t="n">
        <v>0</v>
      </c>
      <c r="O773" s="0" t="n">
        <v>149.13</v>
      </c>
    </row>
    <row r="774" customFormat="false" ht="15" hidden="false" customHeight="false" outlineLevel="0" collapsed="false">
      <c r="A774" s="0" t="s">
        <v>237</v>
      </c>
      <c r="B774" s="0" t="s">
        <v>475</v>
      </c>
      <c r="C774" s="0" t="n">
        <v>2022</v>
      </c>
      <c r="D774" s="0" t="n">
        <v>17823900</v>
      </c>
      <c r="E774" s="0" t="n">
        <v>33.06</v>
      </c>
      <c r="F774" s="0" t="n">
        <v>0</v>
      </c>
      <c r="G774" s="0" t="n">
        <v>1.04</v>
      </c>
      <c r="H774" s="0" t="n">
        <v>6.89</v>
      </c>
      <c r="I774" s="0" t="n">
        <v>0</v>
      </c>
      <c r="J774" s="0" t="n">
        <v>24.64</v>
      </c>
      <c r="K774" s="0" t="n">
        <v>0.04</v>
      </c>
      <c r="L774" s="0" t="n">
        <v>0.06</v>
      </c>
      <c r="M774" s="0" t="n">
        <v>0.39</v>
      </c>
      <c r="N774" s="0" t="n">
        <v>0</v>
      </c>
      <c r="O774" s="0" t="n">
        <v>181.19</v>
      </c>
    </row>
    <row r="775" customFormat="false" ht="15" hidden="false" customHeight="false" outlineLevel="0" collapsed="false">
      <c r="A775" s="0" t="s">
        <v>237</v>
      </c>
      <c r="B775" s="0" t="s">
        <v>475</v>
      </c>
      <c r="C775" s="0" t="n">
        <v>2023</v>
      </c>
      <c r="D775" s="0" t="n">
        <v>17980079</v>
      </c>
      <c r="E775" s="0" t="n">
        <v>35.82</v>
      </c>
      <c r="F775" s="0" t="n">
        <v>0</v>
      </c>
      <c r="G775" s="0" t="n">
        <v>0.95</v>
      </c>
      <c r="H775" s="0" t="n">
        <v>8.5</v>
      </c>
      <c r="I775" s="0" t="n">
        <v>0</v>
      </c>
      <c r="J775" s="0" t="n">
        <v>25.73</v>
      </c>
      <c r="K775" s="0" t="n">
        <v>0.04</v>
      </c>
      <c r="L775" s="0" t="n">
        <v>0.21</v>
      </c>
      <c r="M775" s="0" t="n">
        <v>0.39</v>
      </c>
      <c r="N775" s="0" t="n">
        <v>0</v>
      </c>
      <c r="O775" s="0" t="n">
        <v>195.42</v>
      </c>
    </row>
    <row r="776" customFormat="false" ht="15" hidden="false" customHeight="false" outlineLevel="0" collapsed="false">
      <c r="A776" s="0" t="s">
        <v>237</v>
      </c>
      <c r="B776" s="0" t="s">
        <v>475</v>
      </c>
      <c r="C776" s="0" t="n">
        <v>2024</v>
      </c>
      <c r="D776" s="0" t="n">
        <v>18135478</v>
      </c>
      <c r="E776" s="0" t="n">
        <v>32.66</v>
      </c>
      <c r="F776" s="0" t="n">
        <v>0</v>
      </c>
      <c r="G776" s="0" t="n">
        <v>0.95</v>
      </c>
      <c r="H776" s="0" t="n">
        <v>8.05</v>
      </c>
      <c r="I776" s="0" t="n">
        <v>0</v>
      </c>
      <c r="J776" s="0" t="n">
        <v>23</v>
      </c>
      <c r="K776" s="0" t="n">
        <v>0.04</v>
      </c>
      <c r="L776" s="0" t="n">
        <v>0.23</v>
      </c>
      <c r="M776" s="0" t="n">
        <v>0.39</v>
      </c>
      <c r="N776" s="0" t="n">
        <v>0</v>
      </c>
      <c r="O776" s="0" t="n">
        <v>203.61</v>
      </c>
    </row>
    <row r="777" customFormat="false" ht="15" hidden="false" customHeight="false" outlineLevel="0" collapsed="false">
      <c r="A777" s="0" t="s">
        <v>237</v>
      </c>
      <c r="B777" s="0" t="s">
        <v>475</v>
      </c>
      <c r="C777" s="0" t="n">
        <v>2025</v>
      </c>
      <c r="D777" s="0" t="n">
        <v>18289898</v>
      </c>
      <c r="E777" s="0" t="n">
        <v>36.6</v>
      </c>
      <c r="F777" s="0" t="n">
        <v>0</v>
      </c>
      <c r="G777" s="0" t="n">
        <v>0.98</v>
      </c>
      <c r="H777" s="0" t="n">
        <v>6.56</v>
      </c>
      <c r="I777" s="0" t="n">
        <v>0</v>
      </c>
      <c r="J777" s="0" t="n">
        <v>28.51</v>
      </c>
      <c r="K777" s="0" t="n">
        <v>0.04</v>
      </c>
      <c r="L777" s="0" t="n">
        <v>0.19</v>
      </c>
      <c r="M777" s="0" t="n">
        <v>0.32</v>
      </c>
      <c r="N777" s="0" t="n">
        <v>0</v>
      </c>
      <c r="O777" s="0" t="n">
        <v>159.02</v>
      </c>
    </row>
    <row r="778" customFormat="false" ht="15" hidden="false" customHeight="false" outlineLevel="0" collapsed="false">
      <c r="A778" s="0" t="s">
        <v>238</v>
      </c>
      <c r="B778" s="0" t="s">
        <v>476</v>
      </c>
      <c r="C778" s="0" t="n">
        <v>2015</v>
      </c>
      <c r="D778" s="0" t="n">
        <v>99597334</v>
      </c>
      <c r="E778" s="0" t="n">
        <v>181.83</v>
      </c>
      <c r="F778" s="0" t="n">
        <v>0</v>
      </c>
      <c r="G778" s="0" t="n">
        <v>129.81</v>
      </c>
      <c r="H778" s="0" t="n">
        <v>36.41</v>
      </c>
      <c r="I778" s="0" t="n">
        <v>0</v>
      </c>
      <c r="J778" s="0" t="n">
        <v>13.68</v>
      </c>
      <c r="K778" s="0" t="n">
        <v>0.04</v>
      </c>
      <c r="L778" s="0" t="n">
        <v>1.89</v>
      </c>
      <c r="M778" s="0" t="n">
        <v>0</v>
      </c>
      <c r="O778" s="0" t="n">
        <v>592.26</v>
      </c>
    </row>
    <row r="779" customFormat="false" ht="15" hidden="false" customHeight="false" outlineLevel="0" collapsed="false">
      <c r="A779" s="0" t="s">
        <v>238</v>
      </c>
      <c r="B779" s="0" t="s">
        <v>476</v>
      </c>
      <c r="C779" s="0" t="n">
        <v>2016</v>
      </c>
      <c r="D779" s="0" t="n">
        <v>101644583</v>
      </c>
      <c r="E779" s="0" t="n">
        <v>188.19</v>
      </c>
      <c r="F779" s="0" t="n">
        <v>0</v>
      </c>
      <c r="G779" s="0" t="n">
        <v>138.47</v>
      </c>
      <c r="H779" s="0" t="n">
        <v>33.89</v>
      </c>
      <c r="I779" s="0" t="n">
        <v>0</v>
      </c>
      <c r="J779" s="0" t="n">
        <v>13.2</v>
      </c>
      <c r="K779" s="0" t="n">
        <v>0.23</v>
      </c>
      <c r="L779" s="0" t="n">
        <v>2.4</v>
      </c>
      <c r="M779" s="0" t="n">
        <v>0</v>
      </c>
      <c r="O779" s="0" t="n">
        <v>592.97</v>
      </c>
    </row>
    <row r="780" customFormat="false" ht="15" hidden="false" customHeight="false" outlineLevel="0" collapsed="false">
      <c r="A780" s="0" t="s">
        <v>238</v>
      </c>
      <c r="B780" s="0" t="s">
        <v>476</v>
      </c>
      <c r="C780" s="0" t="n">
        <v>2017</v>
      </c>
      <c r="D780" s="0" t="n">
        <v>103696055</v>
      </c>
      <c r="E780" s="0" t="n">
        <v>193.21</v>
      </c>
      <c r="F780" s="0" t="n">
        <v>0</v>
      </c>
      <c r="G780" s="0" t="n">
        <v>151.93</v>
      </c>
      <c r="H780" s="0" t="n">
        <v>25.78</v>
      </c>
      <c r="I780" s="0" t="n">
        <v>0</v>
      </c>
      <c r="J780" s="0" t="n">
        <v>12.79</v>
      </c>
      <c r="K780" s="0" t="n">
        <v>0.6</v>
      </c>
      <c r="L780" s="0" t="n">
        <v>2.11</v>
      </c>
      <c r="M780" s="0" t="n">
        <v>0</v>
      </c>
      <c r="O780" s="0" t="n">
        <v>594.69</v>
      </c>
    </row>
    <row r="781" customFormat="false" ht="15" hidden="false" customHeight="false" outlineLevel="0" collapsed="false">
      <c r="A781" s="0" t="s">
        <v>238</v>
      </c>
      <c r="B781" s="0" t="s">
        <v>476</v>
      </c>
      <c r="C781" s="0" t="n">
        <v>2018</v>
      </c>
      <c r="D781" s="0" t="n">
        <v>105682092</v>
      </c>
      <c r="E781" s="0" t="n">
        <v>199.39</v>
      </c>
      <c r="F781" s="0" t="n">
        <v>0</v>
      </c>
      <c r="G781" s="0" t="n">
        <v>167.18</v>
      </c>
      <c r="H781" s="0" t="n">
        <v>15.75</v>
      </c>
      <c r="I781" s="0" t="n">
        <v>0</v>
      </c>
      <c r="J781" s="0" t="n">
        <v>12.92</v>
      </c>
      <c r="K781" s="0" t="n">
        <v>0.55</v>
      </c>
      <c r="L781" s="0" t="n">
        <v>2.99</v>
      </c>
      <c r="M781" s="0" t="n">
        <v>0</v>
      </c>
      <c r="O781" s="0" t="n">
        <v>592.41</v>
      </c>
    </row>
    <row r="782" customFormat="false" ht="15" hidden="false" customHeight="false" outlineLevel="0" collapsed="false">
      <c r="A782" s="0" t="s">
        <v>238</v>
      </c>
      <c r="B782" s="0" t="s">
        <v>476</v>
      </c>
      <c r="C782" s="0" t="n">
        <v>2019</v>
      </c>
      <c r="D782" s="0" t="n">
        <v>107553159</v>
      </c>
      <c r="E782" s="0" t="n">
        <v>200.57</v>
      </c>
      <c r="F782" s="0" t="n">
        <v>0</v>
      </c>
      <c r="G782" s="0" t="n">
        <v>171.82</v>
      </c>
      <c r="H782" s="0" t="n">
        <v>9.16</v>
      </c>
      <c r="I782" s="0" t="n">
        <v>0</v>
      </c>
      <c r="J782" s="0" t="n">
        <v>13.12</v>
      </c>
      <c r="K782" s="0" t="n">
        <v>1.49</v>
      </c>
      <c r="L782" s="0" t="n">
        <v>4.98</v>
      </c>
      <c r="M782" s="0" t="n">
        <v>0</v>
      </c>
      <c r="O782" s="0" t="n">
        <v>582.49</v>
      </c>
    </row>
    <row r="783" customFormat="false" ht="15" hidden="false" customHeight="false" outlineLevel="0" collapsed="false">
      <c r="A783" s="0" t="s">
        <v>238</v>
      </c>
      <c r="B783" s="0" t="s">
        <v>476</v>
      </c>
      <c r="C783" s="0" t="n">
        <v>2020</v>
      </c>
      <c r="D783" s="0" t="n">
        <v>109315118</v>
      </c>
      <c r="E783" s="0" t="n">
        <v>198.6</v>
      </c>
      <c r="F783" s="0" t="n">
        <v>0</v>
      </c>
      <c r="G783" s="0" t="n">
        <v>166.86</v>
      </c>
      <c r="H783" s="0" t="n">
        <v>7.98</v>
      </c>
      <c r="I783" s="0" t="n">
        <v>0</v>
      </c>
      <c r="J783" s="0" t="n">
        <v>14.08</v>
      </c>
      <c r="K783" s="0" t="n">
        <v>4.45</v>
      </c>
      <c r="L783" s="0" t="n">
        <v>5.23</v>
      </c>
      <c r="M783" s="0" t="n">
        <v>0</v>
      </c>
      <c r="O783" s="0" t="n">
        <v>569.08</v>
      </c>
    </row>
    <row r="784" customFormat="false" ht="15" hidden="false" customHeight="false" outlineLevel="0" collapsed="false">
      <c r="A784" s="0" t="s">
        <v>238</v>
      </c>
      <c r="B784" s="0" t="s">
        <v>476</v>
      </c>
      <c r="C784" s="0" t="n">
        <v>2021</v>
      </c>
      <c r="D784" s="0" t="n">
        <v>110957005</v>
      </c>
      <c r="E784" s="0" t="n">
        <v>209.66</v>
      </c>
      <c r="F784" s="0" t="n">
        <v>0</v>
      </c>
      <c r="G784" s="0" t="n">
        <v>179.45</v>
      </c>
      <c r="H784" s="0" t="n">
        <v>4.85</v>
      </c>
      <c r="I784" s="0" t="n">
        <v>0</v>
      </c>
      <c r="J784" s="0" t="n">
        <v>14.9</v>
      </c>
      <c r="K784" s="0" t="n">
        <v>4.97</v>
      </c>
      <c r="L784" s="0" t="n">
        <v>5.49</v>
      </c>
      <c r="M784" s="0" t="n">
        <v>0</v>
      </c>
      <c r="O784" s="0" t="n">
        <v>568.06</v>
      </c>
    </row>
    <row r="785" customFormat="false" ht="15" hidden="false" customHeight="false" outlineLevel="0" collapsed="false">
      <c r="A785" s="0" t="s">
        <v>238</v>
      </c>
      <c r="B785" s="0" t="s">
        <v>476</v>
      </c>
      <c r="C785" s="0" t="n">
        <v>2022</v>
      </c>
      <c r="D785" s="0" t="n">
        <v>112618252</v>
      </c>
      <c r="E785" s="0" t="n">
        <v>216.72</v>
      </c>
      <c r="F785" s="0" t="n">
        <v>0</v>
      </c>
      <c r="G785" s="0" t="n">
        <v>183.07</v>
      </c>
      <c r="H785" s="0" t="n">
        <v>8.04</v>
      </c>
      <c r="I785" s="0" t="n">
        <v>0</v>
      </c>
      <c r="J785" s="0" t="n">
        <v>14.71</v>
      </c>
      <c r="K785" s="0" t="n">
        <v>5</v>
      </c>
      <c r="L785" s="0" t="n">
        <v>5.9</v>
      </c>
      <c r="M785" s="0" t="n">
        <v>0</v>
      </c>
      <c r="O785" s="0" t="n">
        <v>570.04</v>
      </c>
    </row>
    <row r="786" customFormat="false" ht="15" hidden="false" customHeight="false" outlineLevel="0" collapsed="false">
      <c r="A786" s="0" t="s">
        <v>238</v>
      </c>
      <c r="B786" s="0" t="s">
        <v>476</v>
      </c>
      <c r="C786" s="0" t="n">
        <v>2023</v>
      </c>
      <c r="D786" s="0" t="n">
        <v>114535772</v>
      </c>
      <c r="E786" s="0" t="n">
        <v>221.92</v>
      </c>
      <c r="F786" s="0" t="n">
        <v>0</v>
      </c>
      <c r="G786" s="0" t="n">
        <v>179.37</v>
      </c>
      <c r="H786" s="0" t="n">
        <v>16.58</v>
      </c>
      <c r="I786" s="0" t="n">
        <v>0</v>
      </c>
      <c r="J786" s="0" t="n">
        <v>15.05</v>
      </c>
      <c r="K786" s="0" t="n">
        <v>4.93</v>
      </c>
      <c r="L786" s="0" t="n">
        <v>5.99</v>
      </c>
      <c r="M786" s="0" t="n">
        <v>0</v>
      </c>
      <c r="O786" s="0" t="n">
        <v>571.29</v>
      </c>
    </row>
    <row r="787" customFormat="false" ht="15" hidden="false" customHeight="false" outlineLevel="0" collapsed="false">
      <c r="A787" s="0" t="s">
        <v>238</v>
      </c>
      <c r="B787" s="0" t="s">
        <v>476</v>
      </c>
      <c r="C787" s="0" t="n">
        <v>2024</v>
      </c>
      <c r="D787" s="0" t="n">
        <v>116538256</v>
      </c>
      <c r="E787" s="0" t="n">
        <v>237.39</v>
      </c>
      <c r="F787" s="0" t="n">
        <v>0</v>
      </c>
      <c r="G787" s="0" t="n">
        <v>192.98</v>
      </c>
      <c r="H787" s="0" t="n">
        <v>17.83</v>
      </c>
      <c r="I787" s="0" t="n">
        <v>0</v>
      </c>
      <c r="J787" s="0" t="n">
        <v>14.37</v>
      </c>
      <c r="K787" s="0" t="n">
        <v>6.07</v>
      </c>
      <c r="L787" s="0" t="n">
        <v>6.14</v>
      </c>
      <c r="M787" s="0" t="n">
        <v>0</v>
      </c>
      <c r="O787" s="0" t="n">
        <v>574.5</v>
      </c>
    </row>
    <row r="788" customFormat="false" ht="15" hidden="false" customHeight="false" outlineLevel="0" collapsed="false">
      <c r="A788" s="0" t="s">
        <v>238</v>
      </c>
      <c r="B788" s="0" t="s">
        <v>476</v>
      </c>
      <c r="C788" s="0" t="n">
        <v>2025</v>
      </c>
      <c r="D788" s="0" t="n">
        <v>118365995</v>
      </c>
      <c r="E788" s="0" t="n">
        <v>245.71</v>
      </c>
      <c r="F788" s="0" t="n">
        <v>0</v>
      </c>
      <c r="G788" s="0" t="n">
        <v>195.65</v>
      </c>
      <c r="H788" s="0" t="n">
        <v>18.08</v>
      </c>
      <c r="J788" s="0" t="n">
        <v>15.07</v>
      </c>
      <c r="K788" s="0" t="n">
        <v>7.61</v>
      </c>
      <c r="L788" s="0" t="n">
        <v>9.3</v>
      </c>
      <c r="M788" s="0" t="n">
        <v>0</v>
      </c>
      <c r="O788" s="0" t="n">
        <v>563.23</v>
      </c>
    </row>
    <row r="789" customFormat="false" ht="15" hidden="false" customHeight="false" outlineLevel="0" collapsed="false">
      <c r="A789" s="0" t="s">
        <v>239</v>
      </c>
      <c r="B789" s="0" t="s">
        <v>477</v>
      </c>
      <c r="C789" s="0" t="n">
        <v>2015</v>
      </c>
      <c r="D789" s="0" t="n">
        <v>6183675</v>
      </c>
      <c r="E789" s="0" t="n">
        <v>6.07</v>
      </c>
      <c r="H789" s="0" t="n">
        <v>2.53</v>
      </c>
      <c r="J789" s="0" t="n">
        <v>1.42</v>
      </c>
      <c r="K789" s="0" t="n">
        <v>0.01</v>
      </c>
      <c r="M789" s="0" t="n">
        <v>0.57</v>
      </c>
      <c r="N789" s="0" t="n">
        <v>1.54</v>
      </c>
      <c r="O789" s="0" t="n">
        <v>308.07</v>
      </c>
    </row>
    <row r="790" customFormat="false" ht="15" hidden="false" customHeight="false" outlineLevel="0" collapsed="false">
      <c r="A790" s="0" t="s">
        <v>239</v>
      </c>
      <c r="B790" s="0" t="s">
        <v>477</v>
      </c>
      <c r="C790" s="0" t="n">
        <v>2016</v>
      </c>
      <c r="D790" s="0" t="n">
        <v>6200808</v>
      </c>
      <c r="E790" s="0" t="n">
        <v>6.16</v>
      </c>
      <c r="H790" s="0" t="n">
        <v>2.5</v>
      </c>
      <c r="J790" s="0" t="n">
        <v>1.34</v>
      </c>
      <c r="K790" s="0" t="n">
        <v>0.02</v>
      </c>
      <c r="M790" s="0" t="n">
        <v>0.72</v>
      </c>
      <c r="N790" s="0" t="n">
        <v>1.58</v>
      </c>
      <c r="O790" s="0" t="n">
        <v>308.44</v>
      </c>
    </row>
    <row r="791" customFormat="false" ht="15" hidden="false" customHeight="false" outlineLevel="0" collapsed="false">
      <c r="A791" s="0" t="s">
        <v>239</v>
      </c>
      <c r="B791" s="0" t="s">
        <v>477</v>
      </c>
      <c r="C791" s="0" t="n">
        <v>2017</v>
      </c>
      <c r="D791" s="0" t="n">
        <v>6213538</v>
      </c>
      <c r="E791" s="0" t="n">
        <v>5.55</v>
      </c>
      <c r="H791" s="0" t="n">
        <v>1.4</v>
      </c>
      <c r="J791" s="0" t="n">
        <v>1.71</v>
      </c>
      <c r="K791" s="0" t="n">
        <v>0.16</v>
      </c>
      <c r="M791" s="0" t="n">
        <v>0.71</v>
      </c>
      <c r="N791" s="0" t="n">
        <v>1.57</v>
      </c>
      <c r="O791" s="0" t="n">
        <v>212.61</v>
      </c>
    </row>
    <row r="792" customFormat="false" ht="15" hidden="false" customHeight="false" outlineLevel="0" collapsed="false">
      <c r="A792" s="0" t="s">
        <v>239</v>
      </c>
      <c r="B792" s="0" t="s">
        <v>477</v>
      </c>
      <c r="C792" s="0" t="n">
        <v>2018</v>
      </c>
      <c r="D792" s="0" t="n">
        <v>6219803</v>
      </c>
      <c r="E792" s="0" t="n">
        <v>5.44</v>
      </c>
      <c r="H792" s="0" t="n">
        <v>1.2</v>
      </c>
      <c r="J792" s="0" t="n">
        <v>1.63</v>
      </c>
      <c r="K792" s="0" t="n">
        <v>0.31</v>
      </c>
      <c r="M792" s="0" t="n">
        <v>0.75</v>
      </c>
      <c r="N792" s="0" t="n">
        <v>1.55</v>
      </c>
      <c r="O792" s="0" t="n">
        <v>194.85</v>
      </c>
    </row>
    <row r="793" customFormat="false" ht="15" hidden="false" customHeight="false" outlineLevel="0" collapsed="false">
      <c r="A793" s="0" t="s">
        <v>239</v>
      </c>
      <c r="B793" s="0" t="s">
        <v>477</v>
      </c>
      <c r="C793" s="0" t="n">
        <v>2019</v>
      </c>
      <c r="D793" s="0" t="n">
        <v>6222316</v>
      </c>
      <c r="E793" s="0" t="n">
        <v>6.17</v>
      </c>
      <c r="H793" s="0" t="n">
        <v>1.76</v>
      </c>
      <c r="J793" s="0" t="n">
        <v>1.53</v>
      </c>
      <c r="K793" s="0" t="n">
        <v>0.58</v>
      </c>
      <c r="M793" s="0" t="n">
        <v>0.83</v>
      </c>
      <c r="N793" s="0" t="n">
        <v>1.47</v>
      </c>
      <c r="O793" s="0" t="n">
        <v>238.25</v>
      </c>
    </row>
    <row r="794" customFormat="false" ht="15" hidden="false" customHeight="false" outlineLevel="0" collapsed="false">
      <c r="A794" s="0" t="s">
        <v>239</v>
      </c>
      <c r="B794" s="0" t="s">
        <v>477</v>
      </c>
      <c r="C794" s="0" t="n">
        <v>2020</v>
      </c>
      <c r="D794" s="0" t="n">
        <v>6234679</v>
      </c>
      <c r="E794" s="0" t="n">
        <v>6.43</v>
      </c>
      <c r="H794" s="0" t="n">
        <v>0.98</v>
      </c>
      <c r="J794" s="0" t="n">
        <v>2.07</v>
      </c>
      <c r="K794" s="0" t="n">
        <v>0.99</v>
      </c>
      <c r="L794" s="0" t="n">
        <v>0.01</v>
      </c>
      <c r="M794" s="0" t="n">
        <v>0.82</v>
      </c>
      <c r="N794" s="0" t="n">
        <v>1.56</v>
      </c>
      <c r="O794" s="0" t="n">
        <v>152.41</v>
      </c>
    </row>
    <row r="795" customFormat="false" ht="15" hidden="false" customHeight="false" outlineLevel="0" collapsed="false">
      <c r="A795" s="0" t="s">
        <v>239</v>
      </c>
      <c r="B795" s="0" t="s">
        <v>477</v>
      </c>
      <c r="C795" s="0" t="n">
        <v>2021</v>
      </c>
      <c r="D795" s="0" t="n">
        <v>6255780</v>
      </c>
      <c r="E795" s="0" t="n">
        <v>7.09</v>
      </c>
      <c r="H795" s="0" t="n">
        <v>0.99</v>
      </c>
      <c r="J795" s="0" t="n">
        <v>1.82</v>
      </c>
      <c r="K795" s="0" t="n">
        <v>1.69</v>
      </c>
      <c r="L795" s="0" t="n">
        <v>0.13</v>
      </c>
      <c r="M795" s="0" t="n">
        <v>0.9</v>
      </c>
      <c r="N795" s="0" t="n">
        <v>1.56</v>
      </c>
      <c r="O795" s="0" t="n">
        <v>143.87</v>
      </c>
    </row>
    <row r="796" customFormat="false" ht="15" hidden="false" customHeight="false" outlineLevel="0" collapsed="false">
      <c r="A796" s="0" t="s">
        <v>239</v>
      </c>
      <c r="B796" s="0" t="s">
        <v>477</v>
      </c>
      <c r="C796" s="0" t="n">
        <v>2022</v>
      </c>
      <c r="D796" s="0" t="n">
        <v>6280316</v>
      </c>
      <c r="E796" s="0" t="n">
        <v>6.63</v>
      </c>
      <c r="H796" s="0" t="n">
        <v>0.61</v>
      </c>
      <c r="J796" s="0" t="n">
        <v>2.24</v>
      </c>
      <c r="K796" s="0" t="n">
        <v>1.24</v>
      </c>
      <c r="L796" s="0" t="n">
        <v>0.14</v>
      </c>
      <c r="M796" s="0" t="n">
        <v>0.82</v>
      </c>
      <c r="N796" s="0" t="n">
        <v>1.58</v>
      </c>
      <c r="O796" s="0" t="n">
        <v>113.12</v>
      </c>
    </row>
    <row r="797" customFormat="false" ht="15" hidden="false" customHeight="false" outlineLevel="0" collapsed="false">
      <c r="A797" s="0" t="s">
        <v>239</v>
      </c>
      <c r="B797" s="0" t="s">
        <v>477</v>
      </c>
      <c r="C797" s="0" t="n">
        <v>2023</v>
      </c>
      <c r="D797" s="0" t="n">
        <v>6309629</v>
      </c>
      <c r="E797" s="0" t="n">
        <v>5.98</v>
      </c>
      <c r="H797" s="0" t="n">
        <v>0.73</v>
      </c>
      <c r="J797" s="0" t="n">
        <v>1.49</v>
      </c>
      <c r="K797" s="0" t="n">
        <v>1.2</v>
      </c>
      <c r="L797" s="0" t="n">
        <v>0.17</v>
      </c>
      <c r="M797" s="0" t="n">
        <v>0.8</v>
      </c>
      <c r="N797" s="0" t="n">
        <v>1.59</v>
      </c>
      <c r="O797" s="0" t="n">
        <v>135.45</v>
      </c>
    </row>
    <row r="798" customFormat="false" ht="15" hidden="false" customHeight="false" outlineLevel="0" collapsed="false">
      <c r="A798" s="0" t="s">
        <v>239</v>
      </c>
      <c r="B798" s="0" t="s">
        <v>477</v>
      </c>
      <c r="C798" s="0" t="n">
        <v>2024</v>
      </c>
      <c r="D798" s="0" t="n">
        <v>6338197</v>
      </c>
      <c r="E798" s="0" t="n">
        <v>6.53</v>
      </c>
      <c r="H798" s="0" t="n">
        <v>0.6</v>
      </c>
      <c r="J798" s="0" t="n">
        <v>2.13</v>
      </c>
      <c r="K798" s="0" t="n">
        <v>1.25</v>
      </c>
      <c r="L798" s="0" t="n">
        <v>0.14</v>
      </c>
      <c r="M798" s="0" t="n">
        <v>0.83</v>
      </c>
      <c r="N798" s="0" t="n">
        <v>1.58</v>
      </c>
      <c r="O798" s="0" t="n">
        <v>113.32</v>
      </c>
    </row>
    <row r="799" customFormat="false" ht="15" hidden="false" customHeight="false" outlineLevel="0" collapsed="false">
      <c r="A799" s="0" t="s">
        <v>239</v>
      </c>
      <c r="B799" s="0" t="s">
        <v>477</v>
      </c>
      <c r="C799" s="0" t="n">
        <v>2025</v>
      </c>
      <c r="D799" s="0" t="n">
        <v>6365506</v>
      </c>
      <c r="E799" s="0" t="n">
        <v>6.46</v>
      </c>
      <c r="H799" s="0" t="n">
        <v>0.87</v>
      </c>
      <c r="J799" s="0" t="n">
        <v>1.96</v>
      </c>
      <c r="K799" s="0" t="n">
        <v>1.31</v>
      </c>
      <c r="L799" s="0" t="n">
        <v>0.2</v>
      </c>
      <c r="M799" s="0" t="n">
        <v>0.78</v>
      </c>
      <c r="N799" s="0" t="n">
        <v>1.34</v>
      </c>
      <c r="O799" s="0" t="n">
        <v>139.32</v>
      </c>
    </row>
    <row r="800" customFormat="false" ht="15" hidden="false" customHeight="false" outlineLevel="0" collapsed="false">
      <c r="A800" s="0" t="s">
        <v>240</v>
      </c>
      <c r="B800" s="0" t="s">
        <v>478</v>
      </c>
      <c r="C800" s="0" t="n">
        <v>2015</v>
      </c>
      <c r="D800" s="0" t="n">
        <v>1453925</v>
      </c>
      <c r="E800" s="0" t="n">
        <v>1.3</v>
      </c>
      <c r="F800" s="0" t="n">
        <v>0</v>
      </c>
      <c r="G800" s="0" t="n">
        <v>0.82</v>
      </c>
      <c r="H800" s="0" t="n">
        <v>0.01</v>
      </c>
      <c r="I800" s="0" t="n">
        <v>0</v>
      </c>
      <c r="J800" s="0" t="n">
        <v>0.47</v>
      </c>
      <c r="K800" s="0" t="n">
        <v>0</v>
      </c>
      <c r="L800" s="0" t="n">
        <v>0</v>
      </c>
      <c r="M800" s="0" t="n">
        <v>0</v>
      </c>
      <c r="N800" s="0" t="n">
        <v>0</v>
      </c>
      <c r="O800" s="0" t="n">
        <v>569.23</v>
      </c>
    </row>
    <row r="801" customFormat="false" ht="15" hidden="false" customHeight="false" outlineLevel="0" collapsed="false">
      <c r="A801" s="0" t="s">
        <v>240</v>
      </c>
      <c r="B801" s="0" t="s">
        <v>478</v>
      </c>
      <c r="C801" s="0" t="n">
        <v>2016</v>
      </c>
      <c r="D801" s="0" t="n">
        <v>1508192</v>
      </c>
      <c r="E801" s="0" t="n">
        <v>1.4</v>
      </c>
      <c r="F801" s="0" t="n">
        <v>0</v>
      </c>
      <c r="G801" s="0" t="n">
        <v>0.92</v>
      </c>
      <c r="H801" s="0" t="n">
        <v>0.01</v>
      </c>
      <c r="I801" s="0" t="n">
        <v>0</v>
      </c>
      <c r="J801" s="0" t="n">
        <v>0.47</v>
      </c>
      <c r="K801" s="0" t="n">
        <v>0</v>
      </c>
      <c r="L801" s="0" t="n">
        <v>0</v>
      </c>
      <c r="M801" s="0" t="n">
        <v>0</v>
      </c>
      <c r="N801" s="0" t="n">
        <v>0</v>
      </c>
      <c r="O801" s="0" t="n">
        <v>585.71</v>
      </c>
    </row>
    <row r="802" customFormat="false" ht="15" hidden="false" customHeight="false" outlineLevel="0" collapsed="false">
      <c r="A802" s="0" t="s">
        <v>240</v>
      </c>
      <c r="B802" s="0" t="s">
        <v>478</v>
      </c>
      <c r="C802" s="0" t="n">
        <v>2017</v>
      </c>
      <c r="D802" s="0" t="n">
        <v>1562401</v>
      </c>
      <c r="E802" s="0" t="n">
        <v>1.34</v>
      </c>
      <c r="F802" s="0" t="n">
        <v>0</v>
      </c>
      <c r="G802" s="0" t="n">
        <v>0.89</v>
      </c>
      <c r="H802" s="0" t="n">
        <v>0.01</v>
      </c>
      <c r="I802" s="0" t="n">
        <v>0</v>
      </c>
      <c r="J802" s="0" t="n">
        <v>0.44</v>
      </c>
      <c r="K802" s="0" t="n">
        <v>0</v>
      </c>
      <c r="L802" s="0" t="n">
        <v>0</v>
      </c>
      <c r="M802" s="0" t="n">
        <v>0</v>
      </c>
      <c r="N802" s="0" t="n">
        <v>0</v>
      </c>
      <c r="O802" s="0" t="n">
        <v>597.02</v>
      </c>
    </row>
    <row r="803" customFormat="false" ht="15" hidden="false" customHeight="false" outlineLevel="0" collapsed="false">
      <c r="A803" s="0" t="s">
        <v>240</v>
      </c>
      <c r="B803" s="0" t="s">
        <v>478</v>
      </c>
      <c r="C803" s="0" t="n">
        <v>2018</v>
      </c>
      <c r="D803" s="0" t="n">
        <v>1616425</v>
      </c>
      <c r="E803" s="0" t="n">
        <v>1.35</v>
      </c>
      <c r="F803" s="0" t="n">
        <v>0</v>
      </c>
      <c r="G803" s="0" t="n">
        <v>0.9</v>
      </c>
      <c r="H803" s="0" t="n">
        <v>0.01</v>
      </c>
      <c r="I803" s="0" t="n">
        <v>0</v>
      </c>
      <c r="J803" s="0" t="n">
        <v>0.44</v>
      </c>
      <c r="K803" s="0" t="n">
        <v>0</v>
      </c>
      <c r="L803" s="0" t="n">
        <v>0</v>
      </c>
      <c r="M803" s="0" t="n">
        <v>0</v>
      </c>
      <c r="N803" s="0" t="n">
        <v>0</v>
      </c>
      <c r="O803" s="0" t="n">
        <v>592.59</v>
      </c>
    </row>
    <row r="804" customFormat="false" ht="15" hidden="false" customHeight="false" outlineLevel="0" collapsed="false">
      <c r="A804" s="0" t="s">
        <v>240</v>
      </c>
      <c r="B804" s="0" t="s">
        <v>478</v>
      </c>
      <c r="C804" s="0" t="n">
        <v>2019</v>
      </c>
      <c r="D804" s="0" t="n">
        <v>1670184</v>
      </c>
      <c r="E804" s="0" t="n">
        <v>1.4</v>
      </c>
      <c r="F804" s="0" t="n">
        <v>0</v>
      </c>
      <c r="G804" s="0" t="n">
        <v>0.94</v>
      </c>
      <c r="H804" s="0" t="n">
        <v>0.01</v>
      </c>
      <c r="I804" s="0" t="n">
        <v>0</v>
      </c>
      <c r="J804" s="0" t="n">
        <v>0.45</v>
      </c>
      <c r="K804" s="0" t="n">
        <v>0</v>
      </c>
      <c r="L804" s="0" t="n">
        <v>0</v>
      </c>
      <c r="M804" s="0" t="n">
        <v>0</v>
      </c>
      <c r="N804" s="0" t="n">
        <v>0</v>
      </c>
      <c r="O804" s="0" t="n">
        <v>600</v>
      </c>
    </row>
    <row r="805" customFormat="false" ht="15" hidden="false" customHeight="false" outlineLevel="0" collapsed="false">
      <c r="A805" s="0" t="s">
        <v>240</v>
      </c>
      <c r="B805" s="0" t="s">
        <v>478</v>
      </c>
      <c r="C805" s="0" t="n">
        <v>2020</v>
      </c>
      <c r="D805" s="0" t="n">
        <v>1716479</v>
      </c>
      <c r="E805" s="0" t="n">
        <v>1.41</v>
      </c>
      <c r="F805" s="0" t="n">
        <v>0</v>
      </c>
      <c r="G805" s="0" t="n">
        <v>0.91</v>
      </c>
      <c r="H805" s="0" t="n">
        <v>0.01</v>
      </c>
      <c r="I805" s="0" t="n">
        <v>0</v>
      </c>
      <c r="J805" s="0" t="n">
        <v>0.49</v>
      </c>
      <c r="K805" s="0" t="n">
        <v>0</v>
      </c>
      <c r="L805" s="0" t="n">
        <v>0</v>
      </c>
      <c r="M805" s="0" t="n">
        <v>0</v>
      </c>
      <c r="N805" s="0" t="n">
        <v>0</v>
      </c>
      <c r="O805" s="0" t="n">
        <v>574.47</v>
      </c>
    </row>
    <row r="806" customFormat="false" ht="15" hidden="false" customHeight="false" outlineLevel="0" collapsed="false">
      <c r="A806" s="0" t="s">
        <v>240</v>
      </c>
      <c r="B806" s="0" t="s">
        <v>478</v>
      </c>
      <c r="C806" s="0" t="n">
        <v>2021</v>
      </c>
      <c r="D806" s="0" t="n">
        <v>1758796</v>
      </c>
      <c r="E806" s="0" t="n">
        <v>1.43</v>
      </c>
      <c r="F806" s="0" t="n">
        <v>0</v>
      </c>
      <c r="G806" s="0" t="n">
        <v>0.95</v>
      </c>
      <c r="H806" s="0" t="n">
        <v>0.01</v>
      </c>
      <c r="I806" s="0" t="n">
        <v>0</v>
      </c>
      <c r="J806" s="0" t="n">
        <v>0.47</v>
      </c>
      <c r="K806" s="0" t="n">
        <v>0</v>
      </c>
      <c r="L806" s="0" t="n">
        <v>0</v>
      </c>
      <c r="M806" s="0" t="n">
        <v>0</v>
      </c>
      <c r="N806" s="0" t="n">
        <v>0</v>
      </c>
      <c r="O806" s="0" t="n">
        <v>594.41</v>
      </c>
    </row>
    <row r="807" customFormat="false" ht="15" hidden="false" customHeight="false" outlineLevel="0" collapsed="false">
      <c r="A807" s="0" t="s">
        <v>240</v>
      </c>
      <c r="B807" s="0" t="s">
        <v>478</v>
      </c>
      <c r="C807" s="0" t="n">
        <v>2022</v>
      </c>
      <c r="D807" s="0" t="n">
        <v>1803549</v>
      </c>
      <c r="E807" s="0" t="n">
        <v>1.51</v>
      </c>
      <c r="F807" s="0" t="n">
        <v>0</v>
      </c>
      <c r="G807" s="0" t="n">
        <v>1.02</v>
      </c>
      <c r="H807" s="0" t="n">
        <v>0.01</v>
      </c>
      <c r="I807" s="0" t="n">
        <v>0</v>
      </c>
      <c r="J807" s="0" t="n">
        <v>0.48</v>
      </c>
      <c r="K807" s="0" t="n">
        <v>0</v>
      </c>
      <c r="L807" s="0" t="n">
        <v>0</v>
      </c>
      <c r="M807" s="0" t="n">
        <v>0</v>
      </c>
      <c r="N807" s="0" t="n">
        <v>0</v>
      </c>
      <c r="O807" s="0" t="n">
        <v>602.65</v>
      </c>
    </row>
    <row r="808" customFormat="false" ht="15" hidden="false" customHeight="false" outlineLevel="0" collapsed="false">
      <c r="A808" s="0" t="s">
        <v>240</v>
      </c>
      <c r="B808" s="0" t="s">
        <v>478</v>
      </c>
      <c r="C808" s="0" t="n">
        <v>2023</v>
      </c>
      <c r="D808" s="0" t="n">
        <v>1847556</v>
      </c>
      <c r="E808" s="0" t="n">
        <v>1.43</v>
      </c>
      <c r="F808" s="0" t="n">
        <v>0</v>
      </c>
      <c r="G808" s="0" t="n">
        <v>1.07</v>
      </c>
      <c r="H808" s="0" t="n">
        <v>0.01</v>
      </c>
      <c r="I808" s="0" t="n">
        <v>0</v>
      </c>
      <c r="J808" s="0" t="n">
        <v>0.35</v>
      </c>
      <c r="K808" s="0" t="n">
        <v>0</v>
      </c>
      <c r="L808" s="0" t="n">
        <v>0</v>
      </c>
      <c r="M808" s="0" t="n">
        <v>0</v>
      </c>
      <c r="N808" s="0" t="n">
        <v>0</v>
      </c>
      <c r="O808" s="0" t="n">
        <v>664.34</v>
      </c>
    </row>
    <row r="809" customFormat="false" ht="15" hidden="false" customHeight="false" outlineLevel="0" collapsed="false">
      <c r="A809" s="0" t="s">
        <v>240</v>
      </c>
      <c r="B809" s="0" t="s">
        <v>478</v>
      </c>
      <c r="C809" s="0" t="n">
        <v>2024</v>
      </c>
      <c r="D809" s="0" t="n">
        <v>1892523</v>
      </c>
      <c r="E809" s="0" t="n">
        <v>1.49</v>
      </c>
      <c r="F809" s="0" t="n">
        <v>0</v>
      </c>
      <c r="G809" s="0" t="n">
        <v>1.08</v>
      </c>
      <c r="H809" s="0" t="n">
        <v>0.01</v>
      </c>
      <c r="I809" s="0" t="n">
        <v>0</v>
      </c>
      <c r="J809" s="0" t="n">
        <v>0.4</v>
      </c>
      <c r="K809" s="0" t="n">
        <v>0</v>
      </c>
      <c r="L809" s="0" t="n">
        <v>0</v>
      </c>
      <c r="M809" s="0" t="n">
        <v>0</v>
      </c>
      <c r="N809" s="0" t="n">
        <v>0</v>
      </c>
      <c r="O809" s="0" t="n">
        <v>644.3</v>
      </c>
    </row>
    <row r="810" customFormat="false" ht="15" hidden="false" customHeight="false" outlineLevel="0" collapsed="false">
      <c r="A810" s="0" t="s">
        <v>241</v>
      </c>
      <c r="B810" s="0" t="s">
        <v>479</v>
      </c>
      <c r="C810" s="0" t="n">
        <v>2015</v>
      </c>
      <c r="D810" s="0" t="n">
        <v>3105554</v>
      </c>
      <c r="E810" s="0" t="n">
        <v>0.26</v>
      </c>
      <c r="F810" s="0" t="n">
        <v>0</v>
      </c>
      <c r="G810" s="0" t="n">
        <v>0</v>
      </c>
      <c r="H810" s="0" t="n">
        <v>0.26</v>
      </c>
      <c r="I810" s="0" t="n">
        <v>0</v>
      </c>
      <c r="J810" s="0" t="n">
        <v>0</v>
      </c>
      <c r="K810" s="0" t="n">
        <v>0</v>
      </c>
      <c r="L810" s="0" t="n">
        <v>0</v>
      </c>
      <c r="M810" s="0" t="n">
        <v>0</v>
      </c>
      <c r="N810" s="0" t="n">
        <v>0</v>
      </c>
      <c r="O810" s="0" t="n">
        <v>653.85</v>
      </c>
    </row>
    <row r="811" customFormat="false" ht="15" hidden="false" customHeight="false" outlineLevel="0" collapsed="false">
      <c r="A811" s="0" t="s">
        <v>241</v>
      </c>
      <c r="B811" s="0" t="s">
        <v>479</v>
      </c>
      <c r="C811" s="0" t="n">
        <v>2016</v>
      </c>
      <c r="D811" s="0" t="n">
        <v>3124700</v>
      </c>
      <c r="E811" s="0" t="n">
        <v>0.27</v>
      </c>
      <c r="F811" s="0" t="n">
        <v>0</v>
      </c>
      <c r="G811" s="0" t="n">
        <v>0</v>
      </c>
      <c r="H811" s="0" t="n">
        <v>0.27</v>
      </c>
      <c r="I811" s="0" t="n">
        <v>0</v>
      </c>
      <c r="J811" s="0" t="n">
        <v>0</v>
      </c>
      <c r="K811" s="0" t="n">
        <v>0</v>
      </c>
      <c r="L811" s="0" t="n">
        <v>0</v>
      </c>
      <c r="M811" s="0" t="n">
        <v>0</v>
      </c>
      <c r="N811" s="0" t="n">
        <v>0</v>
      </c>
      <c r="O811" s="0" t="n">
        <v>666.67</v>
      </c>
    </row>
    <row r="812" customFormat="false" ht="15" hidden="false" customHeight="false" outlineLevel="0" collapsed="false">
      <c r="A812" s="0" t="s">
        <v>241</v>
      </c>
      <c r="B812" s="0" t="s">
        <v>479</v>
      </c>
      <c r="C812" s="0" t="n">
        <v>2017</v>
      </c>
      <c r="D812" s="0" t="n">
        <v>3150350</v>
      </c>
      <c r="E812" s="0" t="n">
        <v>0.34</v>
      </c>
      <c r="F812" s="0" t="n">
        <v>0</v>
      </c>
      <c r="G812" s="0" t="n">
        <v>0</v>
      </c>
      <c r="H812" s="0" t="n">
        <v>0.33</v>
      </c>
      <c r="I812" s="0" t="n">
        <v>0</v>
      </c>
      <c r="J812" s="0" t="n">
        <v>0</v>
      </c>
      <c r="K812" s="0" t="n">
        <v>0.01</v>
      </c>
      <c r="L812" s="0" t="n">
        <v>0</v>
      </c>
      <c r="M812" s="0" t="n">
        <v>0</v>
      </c>
      <c r="N812" s="0" t="n">
        <v>0</v>
      </c>
      <c r="O812" s="0" t="n">
        <v>647.06</v>
      </c>
    </row>
    <row r="813" customFormat="false" ht="15" hidden="false" customHeight="false" outlineLevel="0" collapsed="false">
      <c r="A813" s="0" t="s">
        <v>241</v>
      </c>
      <c r="B813" s="0" t="s">
        <v>479</v>
      </c>
      <c r="C813" s="0" t="n">
        <v>2018</v>
      </c>
      <c r="D813" s="0" t="n">
        <v>3192763</v>
      </c>
      <c r="E813" s="0" t="n">
        <v>0.39</v>
      </c>
      <c r="F813" s="0" t="n">
        <v>0</v>
      </c>
      <c r="G813" s="0" t="n">
        <v>0</v>
      </c>
      <c r="H813" s="0" t="n">
        <v>0.34</v>
      </c>
      <c r="I813" s="0" t="n">
        <v>0</v>
      </c>
      <c r="J813" s="0" t="n">
        <v>0</v>
      </c>
      <c r="K813" s="0" t="n">
        <v>0.05</v>
      </c>
      <c r="L813" s="0" t="n">
        <v>0</v>
      </c>
      <c r="M813" s="0" t="n">
        <v>0</v>
      </c>
      <c r="N813" s="0" t="n">
        <v>0</v>
      </c>
      <c r="O813" s="0" t="n">
        <v>564.1</v>
      </c>
    </row>
    <row r="814" customFormat="false" ht="15" hidden="false" customHeight="false" outlineLevel="0" collapsed="false">
      <c r="A814" s="0" t="s">
        <v>241</v>
      </c>
      <c r="B814" s="0" t="s">
        <v>479</v>
      </c>
      <c r="C814" s="0" t="n">
        <v>2019</v>
      </c>
      <c r="D814" s="0" t="n">
        <v>3240194</v>
      </c>
      <c r="E814" s="0" t="n">
        <v>0.4</v>
      </c>
      <c r="F814" s="0" t="n">
        <v>0</v>
      </c>
      <c r="G814" s="0" t="n">
        <v>0</v>
      </c>
      <c r="H814" s="0" t="n">
        <v>0.35</v>
      </c>
      <c r="I814" s="0" t="n">
        <v>0</v>
      </c>
      <c r="J814" s="0" t="n">
        <v>0</v>
      </c>
      <c r="K814" s="0" t="n">
        <v>0.05</v>
      </c>
      <c r="L814" s="0" t="n">
        <v>0</v>
      </c>
      <c r="M814" s="0" t="n">
        <v>0</v>
      </c>
      <c r="N814" s="0" t="n">
        <v>0</v>
      </c>
      <c r="O814" s="0" t="n">
        <v>575</v>
      </c>
    </row>
    <row r="815" customFormat="false" ht="15" hidden="false" customHeight="false" outlineLevel="0" collapsed="false">
      <c r="A815" s="0" t="s">
        <v>241</v>
      </c>
      <c r="B815" s="0" t="s">
        <v>479</v>
      </c>
      <c r="C815" s="0" t="n">
        <v>2020</v>
      </c>
      <c r="D815" s="0" t="n">
        <v>3291277</v>
      </c>
      <c r="E815" s="0" t="n">
        <v>0.41</v>
      </c>
      <c r="F815" s="0" t="n">
        <v>0</v>
      </c>
      <c r="G815" s="0" t="n">
        <v>0</v>
      </c>
      <c r="H815" s="0" t="n">
        <v>0.36</v>
      </c>
      <c r="I815" s="0" t="n">
        <v>0</v>
      </c>
      <c r="J815" s="0" t="n">
        <v>0</v>
      </c>
      <c r="K815" s="0" t="n">
        <v>0.05</v>
      </c>
      <c r="L815" s="0" t="n">
        <v>0</v>
      </c>
      <c r="M815" s="0" t="n">
        <v>0</v>
      </c>
      <c r="N815" s="0" t="n">
        <v>0</v>
      </c>
      <c r="O815" s="0" t="n">
        <v>585.37</v>
      </c>
    </row>
    <row r="816" customFormat="false" ht="15" hidden="false" customHeight="false" outlineLevel="0" collapsed="false">
      <c r="A816" s="0" t="s">
        <v>241</v>
      </c>
      <c r="B816" s="0" t="s">
        <v>479</v>
      </c>
      <c r="C816" s="0" t="n">
        <v>2021</v>
      </c>
      <c r="D816" s="0" t="n">
        <v>3350185</v>
      </c>
      <c r="E816" s="0" t="n">
        <v>0.42</v>
      </c>
      <c r="F816" s="0" t="n">
        <v>0</v>
      </c>
      <c r="G816" s="0" t="n">
        <v>0</v>
      </c>
      <c r="H816" s="0" t="n">
        <v>0.37</v>
      </c>
      <c r="I816" s="0" t="n">
        <v>0</v>
      </c>
      <c r="J816" s="0" t="n">
        <v>0</v>
      </c>
      <c r="K816" s="0" t="n">
        <v>0.05</v>
      </c>
      <c r="L816" s="0" t="n">
        <v>0</v>
      </c>
      <c r="M816" s="0" t="n">
        <v>0</v>
      </c>
      <c r="N816" s="0" t="n">
        <v>0</v>
      </c>
      <c r="O816" s="0" t="n">
        <v>571.43</v>
      </c>
    </row>
    <row r="817" customFormat="false" ht="15" hidden="false" customHeight="false" outlineLevel="0" collapsed="false">
      <c r="A817" s="0" t="s">
        <v>241</v>
      </c>
      <c r="B817" s="0" t="s">
        <v>479</v>
      </c>
      <c r="C817" s="0" t="n">
        <v>2022</v>
      </c>
      <c r="D817" s="0" t="n">
        <v>3409450</v>
      </c>
      <c r="E817" s="0" t="n">
        <v>0.44</v>
      </c>
      <c r="F817" s="0" t="n">
        <v>0</v>
      </c>
      <c r="G817" s="0" t="n">
        <v>0</v>
      </c>
      <c r="H817" s="0" t="n">
        <v>0.39</v>
      </c>
      <c r="I817" s="0" t="n">
        <v>0</v>
      </c>
      <c r="J817" s="0" t="n">
        <v>0</v>
      </c>
      <c r="K817" s="0" t="n">
        <v>0.05</v>
      </c>
      <c r="L817" s="0" t="n">
        <v>0</v>
      </c>
      <c r="M817" s="0" t="n">
        <v>0</v>
      </c>
      <c r="N817" s="0" t="n">
        <v>0</v>
      </c>
      <c r="O817" s="0" t="n">
        <v>590.91</v>
      </c>
    </row>
    <row r="818" customFormat="false" ht="15" hidden="false" customHeight="false" outlineLevel="0" collapsed="false">
      <c r="A818" s="0" t="s">
        <v>241</v>
      </c>
      <c r="B818" s="0" t="s">
        <v>479</v>
      </c>
      <c r="C818" s="0" t="n">
        <v>2023</v>
      </c>
      <c r="D818" s="0" t="n">
        <v>3470391</v>
      </c>
      <c r="E818" s="0" t="n">
        <v>0.49</v>
      </c>
      <c r="F818" s="0" t="n">
        <v>0</v>
      </c>
      <c r="G818" s="0" t="n">
        <v>0</v>
      </c>
      <c r="H818" s="0" t="n">
        <v>0.44</v>
      </c>
      <c r="I818" s="0" t="n">
        <v>0</v>
      </c>
      <c r="J818" s="0" t="n">
        <v>0</v>
      </c>
      <c r="K818" s="0" t="n">
        <v>0.05</v>
      </c>
      <c r="L818" s="0" t="n">
        <v>0</v>
      </c>
      <c r="M818" s="0" t="n">
        <v>0</v>
      </c>
      <c r="N818" s="0" t="n">
        <v>0</v>
      </c>
      <c r="O818" s="0" t="n">
        <v>591.84</v>
      </c>
    </row>
    <row r="819" customFormat="false" ht="15" hidden="false" customHeight="false" outlineLevel="0" collapsed="false">
      <c r="A819" s="0" t="s">
        <v>241</v>
      </c>
      <c r="B819" s="0" t="s">
        <v>479</v>
      </c>
      <c r="C819" s="0" t="n">
        <v>2024</v>
      </c>
      <c r="D819" s="0" t="n">
        <v>3535610</v>
      </c>
      <c r="E819" s="0" t="n">
        <v>0.45</v>
      </c>
      <c r="F819" s="0" t="n">
        <v>0</v>
      </c>
      <c r="G819" s="0" t="n">
        <v>0</v>
      </c>
      <c r="H819" s="0" t="n">
        <v>0.4</v>
      </c>
      <c r="I819" s="0" t="n">
        <v>0</v>
      </c>
      <c r="J819" s="0" t="n">
        <v>0</v>
      </c>
      <c r="K819" s="0" t="n">
        <v>0.05</v>
      </c>
      <c r="L819" s="0" t="n">
        <v>0</v>
      </c>
      <c r="M819" s="0" t="n">
        <v>0</v>
      </c>
      <c r="N819" s="0" t="n">
        <v>0</v>
      </c>
      <c r="O819" s="0" t="n">
        <v>577.78</v>
      </c>
    </row>
    <row r="820" customFormat="false" ht="15" hidden="false" customHeight="false" outlineLevel="0" collapsed="false">
      <c r="A820" s="0" t="s">
        <v>242</v>
      </c>
      <c r="B820" s="0" t="s">
        <v>480</v>
      </c>
      <c r="C820" s="0" t="n">
        <v>2015</v>
      </c>
      <c r="D820" s="0" t="n">
        <v>1314580</v>
      </c>
      <c r="E820" s="0" t="n">
        <v>10.15</v>
      </c>
      <c r="F820" s="0" t="n">
        <v>0</v>
      </c>
      <c r="G820" s="0" t="n">
        <v>0.06</v>
      </c>
      <c r="H820" s="0" t="n">
        <v>8.53</v>
      </c>
      <c r="I820" s="0" t="n">
        <v>0</v>
      </c>
      <c r="J820" s="0" t="n">
        <v>0.03</v>
      </c>
      <c r="K820" s="0" t="n">
        <v>0</v>
      </c>
      <c r="L820" s="0" t="n">
        <v>0.71</v>
      </c>
      <c r="M820" s="0" t="n">
        <v>0.82</v>
      </c>
      <c r="N820" s="0" t="n">
        <v>0</v>
      </c>
      <c r="O820" s="0" t="n">
        <v>573.4</v>
      </c>
    </row>
    <row r="821" customFormat="false" ht="15" hidden="false" customHeight="false" outlineLevel="0" collapsed="false">
      <c r="A821" s="0" t="s">
        <v>242</v>
      </c>
      <c r="B821" s="0" t="s">
        <v>480</v>
      </c>
      <c r="C821" s="0" t="n">
        <v>2016</v>
      </c>
      <c r="D821" s="0" t="n">
        <v>1315850</v>
      </c>
      <c r="E821" s="0" t="n">
        <v>12.17</v>
      </c>
      <c r="F821" s="0" t="n">
        <v>0</v>
      </c>
      <c r="G821" s="0" t="n">
        <v>0.07</v>
      </c>
      <c r="H821" s="0" t="n">
        <v>10.51</v>
      </c>
      <c r="I821" s="0" t="n">
        <v>0</v>
      </c>
      <c r="J821" s="0" t="n">
        <v>0.04</v>
      </c>
      <c r="K821" s="0" t="n">
        <v>0.01</v>
      </c>
      <c r="L821" s="0" t="n">
        <v>0.59</v>
      </c>
      <c r="M821" s="0" t="n">
        <v>0.95</v>
      </c>
      <c r="N821" s="0" t="n">
        <v>0</v>
      </c>
      <c r="O821" s="0" t="n">
        <v>588.33</v>
      </c>
    </row>
    <row r="822" customFormat="false" ht="15" hidden="false" customHeight="false" outlineLevel="0" collapsed="false">
      <c r="A822" s="0" t="s">
        <v>242</v>
      </c>
      <c r="B822" s="0" t="s">
        <v>480</v>
      </c>
      <c r="C822" s="0" t="n">
        <v>2017</v>
      </c>
      <c r="D822" s="0" t="n">
        <v>1317430</v>
      </c>
      <c r="E822" s="0" t="n">
        <v>13.16</v>
      </c>
      <c r="F822" s="0" t="n">
        <v>0.02</v>
      </c>
      <c r="G822" s="0" t="n">
        <v>0.06</v>
      </c>
      <c r="H822" s="0" t="n">
        <v>11.22</v>
      </c>
      <c r="I822" s="0" t="n">
        <v>0</v>
      </c>
      <c r="J822" s="0" t="n">
        <v>0.03</v>
      </c>
      <c r="K822" s="0" t="n">
        <v>0.01</v>
      </c>
      <c r="L822" s="0" t="n">
        <v>0.72</v>
      </c>
      <c r="M822" s="0" t="n">
        <v>1.1</v>
      </c>
      <c r="N822" s="0" t="n">
        <v>0</v>
      </c>
      <c r="O822" s="0" t="n">
        <v>582.83</v>
      </c>
    </row>
    <row r="823" customFormat="false" ht="15" hidden="false" customHeight="false" outlineLevel="0" collapsed="false">
      <c r="A823" s="0" t="s">
        <v>242</v>
      </c>
      <c r="B823" s="0" t="s">
        <v>480</v>
      </c>
      <c r="C823" s="0" t="n">
        <v>2018</v>
      </c>
      <c r="D823" s="0" t="n">
        <v>1321972</v>
      </c>
      <c r="E823" s="0" t="n">
        <v>12.37</v>
      </c>
      <c r="F823" s="0" t="n">
        <v>0</v>
      </c>
      <c r="G823" s="0" t="n">
        <v>0.06</v>
      </c>
      <c r="H823" s="0" t="n">
        <v>10.32</v>
      </c>
      <c r="I823" s="0" t="n">
        <v>0</v>
      </c>
      <c r="J823" s="0" t="n">
        <v>0.01</v>
      </c>
      <c r="K823" s="0" t="n">
        <v>0.03</v>
      </c>
      <c r="L823" s="0" t="n">
        <v>0.64</v>
      </c>
      <c r="M823" s="0" t="n">
        <v>1.31</v>
      </c>
      <c r="N823" s="0" t="n">
        <v>0</v>
      </c>
      <c r="O823" s="0" t="n">
        <v>573.97</v>
      </c>
    </row>
    <row r="824" customFormat="false" ht="15" hidden="false" customHeight="false" outlineLevel="0" collapsed="false">
      <c r="A824" s="0" t="s">
        <v>242</v>
      </c>
      <c r="B824" s="0" t="s">
        <v>480</v>
      </c>
      <c r="C824" s="0" t="n">
        <v>2019</v>
      </c>
      <c r="D824" s="0" t="n">
        <v>1326822</v>
      </c>
      <c r="E824" s="0" t="n">
        <v>7.61</v>
      </c>
      <c r="F824" s="0" t="n">
        <v>0</v>
      </c>
      <c r="G824" s="0" t="n">
        <v>0.04</v>
      </c>
      <c r="H824" s="0" t="n">
        <v>5.43</v>
      </c>
      <c r="I824" s="0" t="n">
        <v>0</v>
      </c>
      <c r="J824" s="0" t="n">
        <v>0.02</v>
      </c>
      <c r="K824" s="0" t="n">
        <v>0.07</v>
      </c>
      <c r="L824" s="0" t="n">
        <v>0.69</v>
      </c>
      <c r="M824" s="0" t="n">
        <v>1.36</v>
      </c>
      <c r="N824" s="0" t="n">
        <v>0</v>
      </c>
      <c r="O824" s="0" t="n">
        <v>509.86</v>
      </c>
    </row>
    <row r="825" customFormat="false" ht="15" hidden="false" customHeight="false" outlineLevel="0" collapsed="false">
      <c r="A825" s="0" t="s">
        <v>242</v>
      </c>
      <c r="B825" s="0" t="s">
        <v>480</v>
      </c>
      <c r="C825" s="0" t="n">
        <v>2020</v>
      </c>
      <c r="D825" s="0" t="n">
        <v>1329675</v>
      </c>
      <c r="E825" s="0" t="n">
        <v>6.08</v>
      </c>
      <c r="F825" s="0" t="n">
        <v>0</v>
      </c>
      <c r="G825" s="0" t="n">
        <v>0.03</v>
      </c>
      <c r="H825" s="0" t="n">
        <v>3.08</v>
      </c>
      <c r="I825" s="0" t="n">
        <v>0</v>
      </c>
      <c r="J825" s="0" t="n">
        <v>0.03</v>
      </c>
      <c r="K825" s="0" t="n">
        <v>0.25</v>
      </c>
      <c r="L825" s="0" t="n">
        <v>0.84</v>
      </c>
      <c r="M825" s="0" t="n">
        <v>1.85</v>
      </c>
      <c r="N825" s="0" t="n">
        <v>0</v>
      </c>
      <c r="O825" s="0" t="n">
        <v>404.61</v>
      </c>
    </row>
    <row r="826" customFormat="false" ht="15" hidden="false" customHeight="false" outlineLevel="0" collapsed="false">
      <c r="A826" s="0" t="s">
        <v>242</v>
      </c>
      <c r="B826" s="0" t="s">
        <v>480</v>
      </c>
      <c r="C826" s="0" t="n">
        <v>2021</v>
      </c>
      <c r="D826" s="0" t="n">
        <v>1331750</v>
      </c>
      <c r="E826" s="0" t="n">
        <v>7.19</v>
      </c>
      <c r="F826" s="0" t="n">
        <v>0</v>
      </c>
      <c r="G826" s="0" t="n">
        <v>0.04</v>
      </c>
      <c r="H826" s="0" t="n">
        <v>4.28</v>
      </c>
      <c r="I826" s="0" t="n">
        <v>0</v>
      </c>
      <c r="J826" s="0" t="n">
        <v>0.02</v>
      </c>
      <c r="K826" s="0" t="n">
        <v>0.35</v>
      </c>
      <c r="L826" s="0" t="n">
        <v>0.73</v>
      </c>
      <c r="M826" s="0" t="n">
        <v>1.77</v>
      </c>
      <c r="N826" s="0" t="n">
        <v>0</v>
      </c>
      <c r="O826" s="0" t="n">
        <v>450.63</v>
      </c>
    </row>
    <row r="827" customFormat="false" ht="15" hidden="false" customHeight="false" outlineLevel="0" collapsed="false">
      <c r="A827" s="0" t="s">
        <v>242</v>
      </c>
      <c r="B827" s="0" t="s">
        <v>480</v>
      </c>
      <c r="C827" s="0" t="n">
        <v>2022</v>
      </c>
      <c r="D827" s="0" t="n">
        <v>1350093</v>
      </c>
      <c r="E827" s="0" t="n">
        <v>8.94</v>
      </c>
      <c r="F827" s="0" t="n">
        <v>0</v>
      </c>
      <c r="G827" s="0" t="n">
        <v>0.06</v>
      </c>
      <c r="H827" s="0" t="n">
        <v>6.02</v>
      </c>
      <c r="I827" s="0" t="n">
        <v>0</v>
      </c>
      <c r="J827" s="0" t="n">
        <v>0.02</v>
      </c>
      <c r="K827" s="0" t="n">
        <v>0.6</v>
      </c>
      <c r="L827" s="0" t="n">
        <v>0.67</v>
      </c>
      <c r="M827" s="0" t="n">
        <v>1.57</v>
      </c>
      <c r="N827" s="0" t="n">
        <v>0</v>
      </c>
      <c r="O827" s="0" t="n">
        <v>487.7</v>
      </c>
    </row>
    <row r="828" customFormat="false" ht="15" hidden="false" customHeight="false" outlineLevel="0" collapsed="false">
      <c r="A828" s="0" t="s">
        <v>242</v>
      </c>
      <c r="B828" s="0" t="s">
        <v>480</v>
      </c>
      <c r="C828" s="0" t="n">
        <v>2023</v>
      </c>
      <c r="D828" s="0" t="n">
        <v>1367195</v>
      </c>
      <c r="E828" s="0" t="n">
        <v>5.74</v>
      </c>
      <c r="F828" s="0" t="n">
        <v>0</v>
      </c>
      <c r="G828" s="0" t="n">
        <v>0.02</v>
      </c>
      <c r="H828" s="0" t="n">
        <v>2.92</v>
      </c>
      <c r="I828" s="0" t="n">
        <v>0</v>
      </c>
      <c r="J828" s="0" t="n">
        <v>0.02</v>
      </c>
      <c r="K828" s="0" t="n">
        <v>0.72</v>
      </c>
      <c r="L828" s="0" t="n">
        <v>0.68</v>
      </c>
      <c r="M828" s="0" t="n">
        <v>1.38</v>
      </c>
      <c r="N828" s="0" t="n">
        <v>0</v>
      </c>
      <c r="O828" s="0" t="n">
        <v>395.47</v>
      </c>
    </row>
    <row r="829" customFormat="false" ht="15" hidden="false" customHeight="false" outlineLevel="0" collapsed="false">
      <c r="A829" s="0" t="s">
        <v>242</v>
      </c>
      <c r="B829" s="0" t="s">
        <v>480</v>
      </c>
      <c r="C829" s="0" t="n">
        <v>2024</v>
      </c>
      <c r="D829" s="0" t="n">
        <v>1360548</v>
      </c>
      <c r="E829" s="0" t="n">
        <v>6.26</v>
      </c>
      <c r="F829" s="0" t="n">
        <v>0</v>
      </c>
      <c r="G829" s="0" t="n">
        <v>0.08</v>
      </c>
      <c r="H829" s="0" t="n">
        <v>2.69</v>
      </c>
      <c r="I829" s="0" t="n">
        <v>0</v>
      </c>
      <c r="J829" s="0" t="n">
        <v>0.03</v>
      </c>
      <c r="K829" s="0" t="n">
        <v>1.07</v>
      </c>
      <c r="L829" s="0" t="n">
        <v>1.05</v>
      </c>
      <c r="M829" s="0" t="n">
        <v>1.34</v>
      </c>
      <c r="N829" s="0" t="n">
        <v>0</v>
      </c>
      <c r="O829" s="0" t="n">
        <v>343.45</v>
      </c>
    </row>
    <row r="830" customFormat="false" ht="15" hidden="false" customHeight="false" outlineLevel="0" collapsed="false">
      <c r="A830" s="0" t="s">
        <v>242</v>
      </c>
      <c r="B830" s="0" t="s">
        <v>480</v>
      </c>
      <c r="C830" s="0" t="n">
        <v>2025</v>
      </c>
      <c r="D830" s="0" t="n">
        <v>1344236</v>
      </c>
      <c r="E830" s="0" t="n">
        <v>6.11</v>
      </c>
      <c r="F830" s="0" t="n">
        <v>0</v>
      </c>
      <c r="G830" s="0" t="n">
        <v>0.08</v>
      </c>
      <c r="H830" s="0" t="n">
        <v>2.39</v>
      </c>
      <c r="I830" s="0" t="n">
        <v>0</v>
      </c>
      <c r="J830" s="0" t="n">
        <v>0.03</v>
      </c>
      <c r="K830" s="0" t="n">
        <v>1.13</v>
      </c>
      <c r="L830" s="0" t="n">
        <v>1.15</v>
      </c>
      <c r="M830" s="0" t="n">
        <v>1.33</v>
      </c>
      <c r="N830" s="0" t="n">
        <v>0</v>
      </c>
      <c r="O830" s="0" t="n">
        <v>319.15</v>
      </c>
    </row>
    <row r="831" customFormat="false" ht="15" hidden="false" customHeight="false" outlineLevel="0" collapsed="false">
      <c r="A831" s="0" t="s">
        <v>243</v>
      </c>
      <c r="B831" s="0" t="s">
        <v>481</v>
      </c>
      <c r="C831" s="0" t="n">
        <v>2015</v>
      </c>
      <c r="D831" s="0" t="n">
        <v>1142822</v>
      </c>
      <c r="E831" s="0" t="n">
        <v>0.38</v>
      </c>
      <c r="F831" s="0" t="n">
        <v>0.02</v>
      </c>
      <c r="G831" s="0" t="n">
        <v>0</v>
      </c>
      <c r="H831" s="0" t="n">
        <v>0</v>
      </c>
      <c r="I831" s="0" t="n">
        <v>0</v>
      </c>
      <c r="J831" s="0" t="n">
        <v>0.12</v>
      </c>
      <c r="K831" s="0" t="n">
        <v>0</v>
      </c>
      <c r="L831" s="0" t="n">
        <v>0</v>
      </c>
      <c r="M831" s="0" t="n">
        <v>0.24</v>
      </c>
      <c r="N831" s="0" t="n">
        <v>0</v>
      </c>
      <c r="O831" s="0" t="n">
        <v>184.21</v>
      </c>
    </row>
    <row r="832" customFormat="false" ht="15" hidden="false" customHeight="false" outlineLevel="0" collapsed="false">
      <c r="A832" s="0" t="s">
        <v>243</v>
      </c>
      <c r="B832" s="0" t="s">
        <v>481</v>
      </c>
      <c r="C832" s="0" t="n">
        <v>2016</v>
      </c>
      <c r="D832" s="0" t="n">
        <v>1149516</v>
      </c>
      <c r="E832" s="0" t="n">
        <v>0.36</v>
      </c>
      <c r="F832" s="0" t="n">
        <v>0.03</v>
      </c>
      <c r="G832" s="0" t="n">
        <v>0</v>
      </c>
      <c r="H832" s="0" t="n">
        <v>0</v>
      </c>
      <c r="I832" s="0" t="n">
        <v>0</v>
      </c>
      <c r="J832" s="0" t="n">
        <v>0.12</v>
      </c>
      <c r="K832" s="0" t="n">
        <v>0</v>
      </c>
      <c r="L832" s="0" t="n">
        <v>0</v>
      </c>
      <c r="M832" s="0" t="n">
        <v>0.21</v>
      </c>
      <c r="N832" s="0" t="n">
        <v>0</v>
      </c>
      <c r="O832" s="0" t="n">
        <v>222.22</v>
      </c>
    </row>
    <row r="833" customFormat="false" ht="15" hidden="false" customHeight="false" outlineLevel="0" collapsed="false">
      <c r="A833" s="0" t="s">
        <v>243</v>
      </c>
      <c r="B833" s="0" t="s">
        <v>481</v>
      </c>
      <c r="C833" s="0" t="n">
        <v>2017</v>
      </c>
      <c r="D833" s="0" t="n">
        <v>1158198</v>
      </c>
      <c r="E833" s="0" t="n">
        <v>0.43</v>
      </c>
      <c r="F833" s="0" t="n">
        <v>0.02</v>
      </c>
      <c r="G833" s="0" t="n">
        <v>0</v>
      </c>
      <c r="H833" s="0" t="n">
        <v>0</v>
      </c>
      <c r="I833" s="0" t="n">
        <v>0</v>
      </c>
      <c r="J833" s="0" t="n">
        <v>0.21</v>
      </c>
      <c r="K833" s="0" t="n">
        <v>0</v>
      </c>
      <c r="L833" s="0" t="n">
        <v>0</v>
      </c>
      <c r="M833" s="0" t="n">
        <v>0.2</v>
      </c>
      <c r="N833" s="0" t="n">
        <v>0</v>
      </c>
      <c r="O833" s="0" t="n">
        <v>139.54</v>
      </c>
    </row>
    <row r="834" customFormat="false" ht="15" hidden="false" customHeight="false" outlineLevel="0" collapsed="false">
      <c r="A834" s="0" t="s">
        <v>243</v>
      </c>
      <c r="B834" s="0" t="s">
        <v>481</v>
      </c>
      <c r="C834" s="0" t="n">
        <v>2018</v>
      </c>
      <c r="D834" s="0" t="n">
        <v>1168933</v>
      </c>
      <c r="E834" s="0" t="n">
        <v>0.49</v>
      </c>
      <c r="F834" s="0" t="n">
        <v>0.02</v>
      </c>
      <c r="G834" s="0" t="n">
        <v>0</v>
      </c>
      <c r="H834" s="0" t="n">
        <v>0</v>
      </c>
      <c r="I834" s="0" t="n">
        <v>0</v>
      </c>
      <c r="J834" s="0" t="n">
        <v>0.27</v>
      </c>
      <c r="K834" s="0" t="n">
        <v>0</v>
      </c>
      <c r="L834" s="0" t="n">
        <v>0</v>
      </c>
      <c r="M834" s="0" t="n">
        <v>0.2</v>
      </c>
      <c r="N834" s="0" t="n">
        <v>0</v>
      </c>
      <c r="O834" s="0" t="n">
        <v>142.86</v>
      </c>
    </row>
    <row r="835" customFormat="false" ht="15" hidden="false" customHeight="false" outlineLevel="0" collapsed="false">
      <c r="A835" s="0" t="s">
        <v>243</v>
      </c>
      <c r="B835" s="0" t="s">
        <v>481</v>
      </c>
      <c r="C835" s="0" t="n">
        <v>2019</v>
      </c>
      <c r="D835" s="0" t="n">
        <v>1179885</v>
      </c>
      <c r="E835" s="0" t="n">
        <v>0.49</v>
      </c>
      <c r="F835" s="0" t="n">
        <v>0.04</v>
      </c>
      <c r="G835" s="0" t="n">
        <v>0</v>
      </c>
      <c r="H835" s="0" t="n">
        <v>0</v>
      </c>
      <c r="I835" s="0" t="n">
        <v>0</v>
      </c>
      <c r="J835" s="0" t="n">
        <v>0.23</v>
      </c>
      <c r="K835" s="0" t="n">
        <v>0</v>
      </c>
      <c r="L835" s="0" t="n">
        <v>0</v>
      </c>
      <c r="M835" s="0" t="n">
        <v>0.22</v>
      </c>
      <c r="N835" s="0" t="n">
        <v>0</v>
      </c>
      <c r="O835" s="0" t="n">
        <v>204.08</v>
      </c>
    </row>
    <row r="836" customFormat="false" ht="15" hidden="false" customHeight="false" outlineLevel="0" collapsed="false">
      <c r="A836" s="0" t="s">
        <v>243</v>
      </c>
      <c r="B836" s="0" t="s">
        <v>481</v>
      </c>
      <c r="C836" s="0" t="n">
        <v>2020</v>
      </c>
      <c r="D836" s="0" t="n">
        <v>1192734</v>
      </c>
      <c r="E836" s="0" t="n">
        <v>0.49</v>
      </c>
      <c r="F836" s="0" t="n">
        <v>0.02</v>
      </c>
      <c r="G836" s="0" t="n">
        <v>0</v>
      </c>
      <c r="H836" s="0" t="n">
        <v>0</v>
      </c>
      <c r="I836" s="0" t="n">
        <v>0</v>
      </c>
      <c r="J836" s="0" t="n">
        <v>0.23</v>
      </c>
      <c r="K836" s="0" t="n">
        <v>0</v>
      </c>
      <c r="L836" s="0" t="n">
        <v>0</v>
      </c>
      <c r="M836" s="0" t="n">
        <v>0.24</v>
      </c>
      <c r="N836" s="0" t="n">
        <v>0</v>
      </c>
      <c r="O836" s="0" t="n">
        <v>163.27</v>
      </c>
    </row>
    <row r="837" customFormat="false" ht="15" hidden="false" customHeight="false" outlineLevel="0" collapsed="false">
      <c r="A837" s="0" t="s">
        <v>243</v>
      </c>
      <c r="B837" s="0" t="s">
        <v>481</v>
      </c>
      <c r="C837" s="0" t="n">
        <v>2021</v>
      </c>
      <c r="D837" s="0" t="n">
        <v>1206598</v>
      </c>
      <c r="E837" s="0" t="n">
        <v>0.51</v>
      </c>
      <c r="F837" s="0" t="n">
        <v>0.02</v>
      </c>
      <c r="G837" s="0" t="n">
        <v>0</v>
      </c>
      <c r="H837" s="0" t="n">
        <v>0</v>
      </c>
      <c r="I837" s="0" t="n">
        <v>0</v>
      </c>
      <c r="J837" s="0" t="n">
        <v>0.26</v>
      </c>
      <c r="K837" s="0" t="n">
        <v>0.03</v>
      </c>
      <c r="L837" s="0" t="n">
        <v>0</v>
      </c>
      <c r="M837" s="0" t="n">
        <v>0.2</v>
      </c>
      <c r="N837" s="0" t="n">
        <v>0</v>
      </c>
      <c r="O837" s="0" t="n">
        <v>137.26</v>
      </c>
    </row>
    <row r="838" customFormat="false" ht="15" hidden="false" customHeight="false" outlineLevel="0" collapsed="false">
      <c r="A838" s="0" t="s">
        <v>243</v>
      </c>
      <c r="B838" s="0" t="s">
        <v>481</v>
      </c>
      <c r="C838" s="0" t="n">
        <v>2022</v>
      </c>
      <c r="D838" s="0" t="n">
        <v>1218921</v>
      </c>
      <c r="E838" s="0" t="n">
        <v>0.55</v>
      </c>
      <c r="F838" s="0" t="n">
        <v>0.02</v>
      </c>
      <c r="G838" s="0" t="n">
        <v>0</v>
      </c>
      <c r="H838" s="0" t="n">
        <v>0</v>
      </c>
      <c r="I838" s="0" t="n">
        <v>0</v>
      </c>
      <c r="J838" s="0" t="n">
        <v>0.3</v>
      </c>
      <c r="K838" s="0" t="n">
        <v>0.03</v>
      </c>
      <c r="L838" s="0" t="n">
        <v>0</v>
      </c>
      <c r="M838" s="0" t="n">
        <v>0.2</v>
      </c>
      <c r="N838" s="0" t="n">
        <v>0</v>
      </c>
      <c r="O838" s="0" t="n">
        <v>127.27</v>
      </c>
    </row>
    <row r="839" customFormat="false" ht="15" hidden="false" customHeight="false" outlineLevel="0" collapsed="false">
      <c r="A839" s="0" t="s">
        <v>243</v>
      </c>
      <c r="B839" s="0" t="s">
        <v>481</v>
      </c>
      <c r="C839" s="0" t="n">
        <v>2023</v>
      </c>
      <c r="D839" s="0" t="n">
        <v>1230507</v>
      </c>
      <c r="E839" s="0" t="n">
        <v>0.66</v>
      </c>
      <c r="F839" s="0" t="n">
        <v>0.02</v>
      </c>
      <c r="G839" s="0" t="n">
        <v>0</v>
      </c>
      <c r="H839" s="0" t="n">
        <v>0</v>
      </c>
      <c r="I839" s="0" t="n">
        <v>0</v>
      </c>
      <c r="J839" s="0" t="n">
        <v>0.4</v>
      </c>
      <c r="K839" s="0" t="n">
        <v>0.03</v>
      </c>
      <c r="L839" s="0" t="n">
        <v>0</v>
      </c>
      <c r="M839" s="0" t="n">
        <v>0.21</v>
      </c>
      <c r="N839" s="0" t="n">
        <v>0</v>
      </c>
      <c r="O839" s="0" t="n">
        <v>121.21</v>
      </c>
    </row>
    <row r="840" customFormat="false" ht="15" hidden="false" customHeight="false" outlineLevel="0" collapsed="false">
      <c r="A840" s="0" t="s">
        <v>243</v>
      </c>
      <c r="B840" s="0" t="s">
        <v>481</v>
      </c>
      <c r="C840" s="0" t="n">
        <v>2024</v>
      </c>
      <c r="D840" s="0" t="n">
        <v>1242829</v>
      </c>
      <c r="E840" s="0" t="n">
        <v>0.61</v>
      </c>
      <c r="F840" s="0" t="n">
        <v>0.02</v>
      </c>
      <c r="G840" s="0" t="n">
        <v>0</v>
      </c>
      <c r="H840" s="0" t="n">
        <v>0</v>
      </c>
      <c r="I840" s="0" t="n">
        <v>0</v>
      </c>
      <c r="J840" s="0" t="n">
        <v>0.35</v>
      </c>
      <c r="K840" s="0" t="n">
        <v>0.03</v>
      </c>
      <c r="L840" s="0" t="n">
        <v>0</v>
      </c>
      <c r="M840" s="0" t="n">
        <v>0.21</v>
      </c>
      <c r="N840" s="0" t="n">
        <v>0</v>
      </c>
      <c r="O840" s="0" t="n">
        <v>131.15</v>
      </c>
    </row>
    <row r="841" customFormat="false" ht="15" hidden="false" customHeight="false" outlineLevel="0" collapsed="false">
      <c r="A841" s="0" t="s">
        <v>244</v>
      </c>
      <c r="B841" s="0" t="s">
        <v>482</v>
      </c>
      <c r="C841" s="0" t="n">
        <v>2015</v>
      </c>
      <c r="D841" s="0" t="n">
        <v>103867140</v>
      </c>
      <c r="E841" s="0" t="n">
        <v>10.39</v>
      </c>
      <c r="F841" s="0" t="n">
        <v>0</v>
      </c>
      <c r="G841" s="0" t="n">
        <v>0</v>
      </c>
      <c r="H841" s="0" t="n">
        <v>0</v>
      </c>
      <c r="I841" s="0" t="n">
        <v>0</v>
      </c>
      <c r="J841" s="0" t="n">
        <v>9.58</v>
      </c>
      <c r="K841" s="0" t="n">
        <v>0.02</v>
      </c>
      <c r="L841" s="0" t="n">
        <v>0.76</v>
      </c>
      <c r="M841" s="0" t="n">
        <v>0.03</v>
      </c>
      <c r="N841" s="0" t="n">
        <v>0</v>
      </c>
      <c r="O841" s="0" t="n">
        <v>24.06</v>
      </c>
    </row>
    <row r="842" customFormat="false" ht="15" hidden="false" customHeight="false" outlineLevel="0" collapsed="false">
      <c r="A842" s="0" t="s">
        <v>244</v>
      </c>
      <c r="B842" s="0" t="s">
        <v>482</v>
      </c>
      <c r="C842" s="0" t="n">
        <v>2016</v>
      </c>
      <c r="D842" s="0" t="n">
        <v>106718163</v>
      </c>
      <c r="E842" s="0" t="n">
        <v>12.47</v>
      </c>
      <c r="F842" s="0" t="n">
        <v>0</v>
      </c>
      <c r="G842" s="0" t="n">
        <v>0</v>
      </c>
      <c r="H842" s="0" t="n">
        <v>0</v>
      </c>
      <c r="I842" s="0" t="n">
        <v>0</v>
      </c>
      <c r="J842" s="0" t="n">
        <v>11.64</v>
      </c>
      <c r="K842" s="0" t="n">
        <v>0.02</v>
      </c>
      <c r="L842" s="0" t="n">
        <v>0.78</v>
      </c>
      <c r="M842" s="0" t="n">
        <v>0.03</v>
      </c>
      <c r="N842" s="0" t="n">
        <v>0</v>
      </c>
      <c r="O842" s="0" t="n">
        <v>24.06</v>
      </c>
    </row>
    <row r="843" customFormat="false" ht="15" hidden="false" customHeight="false" outlineLevel="0" collapsed="false">
      <c r="A843" s="0" t="s">
        <v>244</v>
      </c>
      <c r="B843" s="0" t="s">
        <v>482</v>
      </c>
      <c r="C843" s="0" t="n">
        <v>2017</v>
      </c>
      <c r="D843" s="0" t="n">
        <v>109666482</v>
      </c>
      <c r="E843" s="0" t="n">
        <v>13.12</v>
      </c>
      <c r="F843" s="0" t="n">
        <v>0</v>
      </c>
      <c r="G843" s="0" t="n">
        <v>0</v>
      </c>
      <c r="H843" s="0" t="n">
        <v>0</v>
      </c>
      <c r="I843" s="0" t="n">
        <v>0</v>
      </c>
      <c r="J843" s="0" t="n">
        <v>12.55</v>
      </c>
      <c r="K843" s="0" t="n">
        <v>0.02</v>
      </c>
      <c r="L843" s="0" t="n">
        <v>0.53</v>
      </c>
      <c r="M843" s="0" t="n">
        <v>0.02</v>
      </c>
      <c r="N843" s="0" t="n">
        <v>0</v>
      </c>
      <c r="O843" s="0" t="n">
        <v>23.63</v>
      </c>
    </row>
    <row r="844" customFormat="false" ht="15" hidden="false" customHeight="false" outlineLevel="0" collapsed="false">
      <c r="A844" s="0" t="s">
        <v>244</v>
      </c>
      <c r="B844" s="0" t="s">
        <v>482</v>
      </c>
      <c r="C844" s="0" t="n">
        <v>2018</v>
      </c>
      <c r="D844" s="0" t="n">
        <v>112664157</v>
      </c>
      <c r="E844" s="0" t="n">
        <v>14.23</v>
      </c>
      <c r="F844" s="0" t="n">
        <v>0</v>
      </c>
      <c r="G844" s="0" t="n">
        <v>0</v>
      </c>
      <c r="H844" s="0" t="n">
        <v>0</v>
      </c>
      <c r="I844" s="0" t="n">
        <v>0</v>
      </c>
      <c r="J844" s="0" t="n">
        <v>13.65</v>
      </c>
      <c r="K844" s="0" t="n">
        <v>0.02</v>
      </c>
      <c r="L844" s="0" t="n">
        <v>0.53</v>
      </c>
      <c r="M844" s="0" t="n">
        <v>0.03</v>
      </c>
      <c r="N844" s="0" t="n">
        <v>0</v>
      </c>
      <c r="O844" s="0" t="n">
        <v>23.89</v>
      </c>
    </row>
    <row r="845" customFormat="false" ht="15" hidden="false" customHeight="false" outlineLevel="0" collapsed="false">
      <c r="A845" s="0" t="s">
        <v>244</v>
      </c>
      <c r="B845" s="0" t="s">
        <v>482</v>
      </c>
      <c r="C845" s="0" t="n">
        <v>2019</v>
      </c>
      <c r="D845" s="0" t="n">
        <v>115737384</v>
      </c>
      <c r="E845" s="0" t="n">
        <v>15.31</v>
      </c>
      <c r="F845" s="0" t="n">
        <v>0</v>
      </c>
      <c r="G845" s="0" t="n">
        <v>0</v>
      </c>
      <c r="H845" s="0" t="n">
        <v>0.01</v>
      </c>
      <c r="I845" s="0" t="n">
        <v>0</v>
      </c>
      <c r="J845" s="0" t="n">
        <v>14.4</v>
      </c>
      <c r="K845" s="0" t="n">
        <v>0.02</v>
      </c>
      <c r="L845" s="0" t="n">
        <v>0.85</v>
      </c>
      <c r="M845" s="0" t="n">
        <v>0.03</v>
      </c>
      <c r="N845" s="0" t="n">
        <v>0</v>
      </c>
      <c r="O845" s="0" t="n">
        <v>24.17</v>
      </c>
    </row>
    <row r="846" customFormat="false" ht="15" hidden="false" customHeight="false" outlineLevel="0" collapsed="false">
      <c r="A846" s="0" t="s">
        <v>244</v>
      </c>
      <c r="B846" s="0" t="s">
        <v>482</v>
      </c>
      <c r="C846" s="0" t="n">
        <v>2020</v>
      </c>
      <c r="D846" s="0" t="n">
        <v>118917670</v>
      </c>
      <c r="E846" s="0" t="n">
        <v>15.62</v>
      </c>
      <c r="F846" s="0" t="n">
        <v>0</v>
      </c>
      <c r="G846" s="0" t="n">
        <v>0</v>
      </c>
      <c r="H846" s="0" t="n">
        <v>0.01</v>
      </c>
      <c r="I846" s="0" t="n">
        <v>0</v>
      </c>
      <c r="J846" s="0" t="n">
        <v>14.94</v>
      </c>
      <c r="K846" s="0" t="n">
        <v>0.03</v>
      </c>
      <c r="L846" s="0" t="n">
        <v>0.61</v>
      </c>
      <c r="M846" s="0" t="n">
        <v>0.03</v>
      </c>
      <c r="N846" s="0" t="n">
        <v>0</v>
      </c>
      <c r="O846" s="0" t="n">
        <v>24.33</v>
      </c>
    </row>
    <row r="847" customFormat="false" ht="15" hidden="false" customHeight="false" outlineLevel="0" collapsed="false">
      <c r="A847" s="0" t="s">
        <v>244</v>
      </c>
      <c r="B847" s="0" t="s">
        <v>482</v>
      </c>
      <c r="C847" s="0" t="n">
        <v>2021</v>
      </c>
      <c r="D847" s="0" t="n">
        <v>122138588</v>
      </c>
      <c r="E847" s="0" t="n">
        <v>15.78</v>
      </c>
      <c r="F847" s="0" t="n">
        <v>0</v>
      </c>
      <c r="G847" s="0" t="n">
        <v>0</v>
      </c>
      <c r="H847" s="0" t="n">
        <v>0</v>
      </c>
      <c r="I847" s="0" t="n">
        <v>0</v>
      </c>
      <c r="J847" s="0" t="n">
        <v>14.91</v>
      </c>
      <c r="K847" s="0" t="n">
        <v>0.03</v>
      </c>
      <c r="L847" s="0" t="n">
        <v>0.82</v>
      </c>
      <c r="M847" s="0" t="n">
        <v>0.02</v>
      </c>
      <c r="N847" s="0" t="n">
        <v>0</v>
      </c>
      <c r="O847" s="0" t="n">
        <v>22.81</v>
      </c>
    </row>
    <row r="848" customFormat="false" ht="15" hidden="false" customHeight="false" outlineLevel="0" collapsed="false">
      <c r="A848" s="0" t="s">
        <v>244</v>
      </c>
      <c r="B848" s="0" t="s">
        <v>482</v>
      </c>
      <c r="C848" s="0" t="n">
        <v>2022</v>
      </c>
      <c r="D848" s="0" t="n">
        <v>125384285</v>
      </c>
      <c r="E848" s="0" t="n">
        <v>17.41</v>
      </c>
      <c r="F848" s="0" t="n">
        <v>0</v>
      </c>
      <c r="G848" s="0" t="n">
        <v>0</v>
      </c>
      <c r="H848" s="0" t="n">
        <v>0</v>
      </c>
      <c r="I848" s="0" t="n">
        <v>0</v>
      </c>
      <c r="J848" s="0" t="n">
        <v>16.77</v>
      </c>
      <c r="K848" s="0" t="n">
        <v>0.04</v>
      </c>
      <c r="L848" s="0" t="n">
        <v>0.56</v>
      </c>
      <c r="M848" s="0" t="n">
        <v>0.01</v>
      </c>
      <c r="N848" s="0" t="n">
        <v>0.03</v>
      </c>
      <c r="O848" s="0" t="n">
        <v>23.55</v>
      </c>
    </row>
    <row r="849" customFormat="false" ht="15" hidden="false" customHeight="false" outlineLevel="0" collapsed="false">
      <c r="A849" s="0" t="s">
        <v>244</v>
      </c>
      <c r="B849" s="0" t="s">
        <v>482</v>
      </c>
      <c r="C849" s="0" t="n">
        <v>2023</v>
      </c>
      <c r="D849" s="0" t="n">
        <v>128691695</v>
      </c>
      <c r="E849" s="0" t="n">
        <v>17.77</v>
      </c>
      <c r="F849" s="0" t="n">
        <v>0</v>
      </c>
      <c r="G849" s="0" t="n">
        <v>0</v>
      </c>
      <c r="H849" s="0" t="n">
        <v>0</v>
      </c>
      <c r="I849" s="0" t="n">
        <v>0</v>
      </c>
      <c r="J849" s="0" t="n">
        <v>17.13</v>
      </c>
      <c r="K849" s="0" t="n">
        <v>0.04</v>
      </c>
      <c r="L849" s="0" t="n">
        <v>0.56</v>
      </c>
      <c r="M849" s="0" t="n">
        <v>0.01</v>
      </c>
      <c r="N849" s="0" t="n">
        <v>0.03</v>
      </c>
      <c r="O849" s="0" t="n">
        <v>23.64</v>
      </c>
    </row>
    <row r="850" customFormat="false" ht="15" hidden="false" customHeight="false" outlineLevel="0" collapsed="false">
      <c r="A850" s="0" t="s">
        <v>244</v>
      </c>
      <c r="B850" s="0" t="s">
        <v>482</v>
      </c>
      <c r="C850" s="0" t="n">
        <v>2024</v>
      </c>
      <c r="D850" s="0" t="n">
        <v>132059770</v>
      </c>
      <c r="E850" s="0" t="n">
        <v>25.2</v>
      </c>
      <c r="F850" s="0" t="n">
        <v>0</v>
      </c>
      <c r="G850" s="0" t="n">
        <v>0</v>
      </c>
      <c r="H850" s="0" t="n">
        <v>0</v>
      </c>
      <c r="I850" s="0" t="n">
        <v>0</v>
      </c>
      <c r="J850" s="0" t="n">
        <v>24.42</v>
      </c>
      <c r="K850" s="0" t="n">
        <v>0.04</v>
      </c>
      <c r="L850" s="0" t="n">
        <v>0.7</v>
      </c>
      <c r="M850" s="0" t="n">
        <v>0.01</v>
      </c>
      <c r="N850" s="0" t="n">
        <v>0.03</v>
      </c>
      <c r="O850" s="0" t="n">
        <v>23.41</v>
      </c>
    </row>
    <row r="851" customFormat="false" ht="15" hidden="false" customHeight="false" outlineLevel="0" collapsed="false">
      <c r="A851" s="0" t="s">
        <v>244</v>
      </c>
      <c r="B851" s="0" t="s">
        <v>482</v>
      </c>
      <c r="C851" s="0" t="n">
        <v>2025</v>
      </c>
      <c r="D851" s="0" t="n">
        <v>135472048</v>
      </c>
      <c r="E851" s="0" t="n">
        <v>33.37</v>
      </c>
      <c r="F851" s="0" t="n">
        <v>0</v>
      </c>
      <c r="G851" s="0" t="n">
        <v>0</v>
      </c>
      <c r="H851" s="0" t="n">
        <v>0</v>
      </c>
      <c r="I851" s="0" t="n">
        <v>0</v>
      </c>
      <c r="J851" s="0" t="n">
        <v>32.19</v>
      </c>
      <c r="K851" s="0" t="n">
        <v>0.04</v>
      </c>
      <c r="L851" s="0" t="n">
        <v>1.1</v>
      </c>
      <c r="M851" s="0" t="n">
        <v>0.01</v>
      </c>
      <c r="N851" s="0" t="n">
        <v>0.03</v>
      </c>
      <c r="O851" s="0" t="n">
        <v>23.08</v>
      </c>
    </row>
    <row r="852" customFormat="false" ht="15" hidden="false" customHeight="false" outlineLevel="0" collapsed="false">
      <c r="A852" s="0" t="s">
        <v>670</v>
      </c>
      <c r="C852" s="0" t="n">
        <v>2015</v>
      </c>
    </row>
    <row r="853" customFormat="false" ht="15" hidden="false" customHeight="false" outlineLevel="0" collapsed="false">
      <c r="A853" s="0" t="s">
        <v>670</v>
      </c>
      <c r="C853" s="0" t="n">
        <v>2016</v>
      </c>
    </row>
    <row r="854" customFormat="false" ht="15" hidden="false" customHeight="false" outlineLevel="0" collapsed="false">
      <c r="A854" s="0" t="s">
        <v>670</v>
      </c>
      <c r="C854" s="0" t="n">
        <v>2017</v>
      </c>
    </row>
    <row r="855" customFormat="false" ht="15" hidden="false" customHeight="false" outlineLevel="0" collapsed="false">
      <c r="A855" s="0" t="s">
        <v>670</v>
      </c>
      <c r="C855" s="0" t="n">
        <v>2018</v>
      </c>
    </row>
    <row r="856" customFormat="false" ht="15" hidden="false" customHeight="false" outlineLevel="0" collapsed="false">
      <c r="A856" s="0" t="s">
        <v>670</v>
      </c>
      <c r="C856" s="0" t="n">
        <v>2019</v>
      </c>
    </row>
    <row r="857" customFormat="false" ht="15" hidden="false" customHeight="false" outlineLevel="0" collapsed="false">
      <c r="A857" s="0" t="s">
        <v>670</v>
      </c>
      <c r="C857" s="0" t="n">
        <v>2020</v>
      </c>
    </row>
    <row r="858" customFormat="false" ht="15" hidden="false" customHeight="false" outlineLevel="0" collapsed="false">
      <c r="A858" s="0" t="s">
        <v>670</v>
      </c>
      <c r="C858" s="0" t="n">
        <v>2021</v>
      </c>
    </row>
    <row r="859" customFormat="false" ht="15" hidden="false" customHeight="false" outlineLevel="0" collapsed="false">
      <c r="A859" s="0" t="s">
        <v>670</v>
      </c>
      <c r="C859" s="0" t="n">
        <v>2022</v>
      </c>
    </row>
    <row r="860" customFormat="false" ht="15" hidden="false" customHeight="false" outlineLevel="0" collapsed="false">
      <c r="A860" s="0" t="s">
        <v>670</v>
      </c>
      <c r="C860" s="0" t="n">
        <v>2023</v>
      </c>
    </row>
    <row r="861" customFormat="false" ht="15" hidden="false" customHeight="false" outlineLevel="0" collapsed="false">
      <c r="A861" s="0" t="s">
        <v>671</v>
      </c>
      <c r="C861" s="0" t="n">
        <v>2015</v>
      </c>
    </row>
    <row r="862" customFormat="false" ht="15" hidden="false" customHeight="false" outlineLevel="0" collapsed="false">
      <c r="A862" s="0" t="s">
        <v>671</v>
      </c>
      <c r="C862" s="0" t="n">
        <v>2016</v>
      </c>
    </row>
    <row r="863" customFormat="false" ht="15" hidden="false" customHeight="false" outlineLevel="0" collapsed="false">
      <c r="A863" s="0" t="s">
        <v>672</v>
      </c>
      <c r="C863" s="0" t="n">
        <v>2015</v>
      </c>
      <c r="D863" s="0" t="n">
        <v>745474876</v>
      </c>
      <c r="E863" s="0" t="n">
        <v>4783.43</v>
      </c>
      <c r="F863" s="0" t="n">
        <v>1044.8</v>
      </c>
      <c r="G863" s="0" t="n">
        <v>1077.03</v>
      </c>
      <c r="H863" s="0" t="n">
        <v>157.27</v>
      </c>
      <c r="I863" s="0" t="n">
        <v>1163.22</v>
      </c>
      <c r="J863" s="0" t="n">
        <v>730.3</v>
      </c>
      <c r="K863" s="0" t="n">
        <v>109.72</v>
      </c>
      <c r="L863" s="0" t="n">
        <v>307.63</v>
      </c>
      <c r="M863" s="0" t="n">
        <v>180.26</v>
      </c>
      <c r="N863" s="0" t="n">
        <v>13.2</v>
      </c>
      <c r="O863" s="0" t="n">
        <v>365.995</v>
      </c>
    </row>
    <row r="864" customFormat="false" ht="15" hidden="false" customHeight="false" outlineLevel="0" collapsed="false">
      <c r="A864" s="0" t="s">
        <v>672</v>
      </c>
      <c r="C864" s="0" t="n">
        <v>2016</v>
      </c>
      <c r="D864" s="0" t="n">
        <v>747258527</v>
      </c>
      <c r="E864" s="0" t="n">
        <v>4832.22</v>
      </c>
      <c r="F864" s="0" t="n">
        <v>971.81</v>
      </c>
      <c r="G864" s="0" t="n">
        <v>1181.71</v>
      </c>
      <c r="H864" s="0" t="n">
        <v>160.68</v>
      </c>
      <c r="I864" s="0" t="n">
        <v>1138.39</v>
      </c>
      <c r="J864" s="0" t="n">
        <v>762.4</v>
      </c>
      <c r="K864" s="0" t="n">
        <v>113.27</v>
      </c>
      <c r="L864" s="0" t="n">
        <v>307.67</v>
      </c>
      <c r="M864" s="0" t="n">
        <v>182.82</v>
      </c>
      <c r="N864" s="0" t="n">
        <v>13.47</v>
      </c>
      <c r="O864" s="0" t="n">
        <v>358.138</v>
      </c>
    </row>
    <row r="865" customFormat="false" ht="15" hidden="false" customHeight="false" outlineLevel="0" collapsed="false">
      <c r="A865" s="0" t="s">
        <v>672</v>
      </c>
      <c r="C865" s="0" t="n">
        <v>2017</v>
      </c>
      <c r="D865" s="0" t="n">
        <v>748701837</v>
      </c>
      <c r="E865" s="0" t="n">
        <v>4847.12</v>
      </c>
      <c r="F865" s="0" t="n">
        <v>934.08</v>
      </c>
      <c r="G865" s="0" t="n">
        <v>1226.34</v>
      </c>
      <c r="H865" s="0" t="n">
        <v>153.73</v>
      </c>
      <c r="I865" s="0" t="n">
        <v>1138.84</v>
      </c>
      <c r="J865" s="0" t="n">
        <v>705.25</v>
      </c>
      <c r="K865" s="0" t="n">
        <v>121.12</v>
      </c>
      <c r="L865" s="0" t="n">
        <v>366.62</v>
      </c>
      <c r="M865" s="0" t="n">
        <v>187.57</v>
      </c>
      <c r="N865" s="0" t="n">
        <v>13.57</v>
      </c>
      <c r="O865" s="0" t="n">
        <v>352.966</v>
      </c>
    </row>
    <row r="866" customFormat="false" ht="15" hidden="false" customHeight="false" outlineLevel="0" collapsed="false">
      <c r="A866" s="0" t="s">
        <v>672</v>
      </c>
      <c r="C866" s="0" t="n">
        <v>2018</v>
      </c>
      <c r="D866" s="0" t="n">
        <v>749853945</v>
      </c>
      <c r="E866" s="0" t="n">
        <v>4867.9</v>
      </c>
      <c r="F866" s="0" t="n">
        <v>885.57</v>
      </c>
      <c r="G866" s="0" t="n">
        <v>1201.85</v>
      </c>
      <c r="H866" s="0" t="n">
        <v>149.06</v>
      </c>
      <c r="I866" s="0" t="n">
        <v>1141.49</v>
      </c>
      <c r="J866" s="0" t="n">
        <v>768.47</v>
      </c>
      <c r="K866" s="0" t="n">
        <v>130.71</v>
      </c>
      <c r="L866" s="0" t="n">
        <v>383.79</v>
      </c>
      <c r="M866" s="0" t="n">
        <v>192.64</v>
      </c>
      <c r="N866" s="0" t="n">
        <v>14.32</v>
      </c>
      <c r="O866" s="0" t="n">
        <v>339.689</v>
      </c>
    </row>
    <row r="867" customFormat="false" ht="15" hidden="false" customHeight="false" outlineLevel="0" collapsed="false">
      <c r="A867" s="0" t="s">
        <v>672</v>
      </c>
      <c r="C867" s="0" t="n">
        <v>2019</v>
      </c>
      <c r="D867" s="0" t="n">
        <v>750809114</v>
      </c>
      <c r="E867" s="0" t="n">
        <v>4819.63</v>
      </c>
      <c r="F867" s="0" t="n">
        <v>738.43</v>
      </c>
      <c r="G867" s="0" t="n">
        <v>1274.87</v>
      </c>
      <c r="H867" s="0" t="n">
        <v>139.81</v>
      </c>
      <c r="I867" s="0" t="n">
        <v>1139.93</v>
      </c>
      <c r="J867" s="0" t="n">
        <v>728.25</v>
      </c>
      <c r="K867" s="0" t="n">
        <v>143.18</v>
      </c>
      <c r="L867" s="0" t="n">
        <v>441.05</v>
      </c>
      <c r="M867" s="0" t="n">
        <v>199.68</v>
      </c>
      <c r="N867" s="0" t="n">
        <v>14.43</v>
      </c>
      <c r="O867" s="0" t="n">
        <v>319.495</v>
      </c>
    </row>
    <row r="868" customFormat="false" ht="15" hidden="false" customHeight="false" outlineLevel="0" collapsed="false">
      <c r="A868" s="0" t="s">
        <v>672</v>
      </c>
      <c r="C868" s="0" t="n">
        <v>2020</v>
      </c>
      <c r="D868" s="0" t="n">
        <v>750844584</v>
      </c>
      <c r="E868" s="0" t="n">
        <v>4658.36</v>
      </c>
      <c r="F868" s="0" t="n">
        <v>622.15</v>
      </c>
      <c r="G868" s="0" t="n">
        <v>1196.26</v>
      </c>
      <c r="H868" s="0" t="n">
        <v>123.73</v>
      </c>
      <c r="I868" s="0" t="n">
        <v>1050.22</v>
      </c>
      <c r="J868" s="0" t="n">
        <v>789.17</v>
      </c>
      <c r="K868" s="0" t="n">
        <v>167.48</v>
      </c>
      <c r="L868" s="0" t="n">
        <v>490.31</v>
      </c>
      <c r="M868" s="0" t="n">
        <v>204.67</v>
      </c>
      <c r="N868" s="0" t="n">
        <v>14.37</v>
      </c>
      <c r="O868" s="0" t="n">
        <v>295.812</v>
      </c>
    </row>
    <row r="869" customFormat="false" ht="15" hidden="false" customHeight="false" outlineLevel="0" collapsed="false">
      <c r="A869" s="0" t="s">
        <v>672</v>
      </c>
      <c r="C869" s="0" t="n">
        <v>2021</v>
      </c>
      <c r="D869" s="0" t="n">
        <v>749949128</v>
      </c>
      <c r="E869" s="0" t="n">
        <v>4865.6</v>
      </c>
      <c r="F869" s="0" t="n">
        <v>695.53</v>
      </c>
      <c r="G869" s="0" t="n">
        <v>1235.64</v>
      </c>
      <c r="H869" s="0" t="n">
        <v>129.21</v>
      </c>
      <c r="I869" s="0" t="n">
        <v>1111.55</v>
      </c>
      <c r="J869" s="0" t="n">
        <v>804.51</v>
      </c>
      <c r="K869" s="0" t="n">
        <v>187.32</v>
      </c>
      <c r="L869" s="0" t="n">
        <v>472.49</v>
      </c>
      <c r="M869" s="0" t="n">
        <v>215.41</v>
      </c>
      <c r="N869" s="0" t="n">
        <v>13.94</v>
      </c>
      <c r="O869" s="0" t="n">
        <v>304.339</v>
      </c>
    </row>
    <row r="870" customFormat="false" ht="15" hidden="false" customHeight="false" outlineLevel="0" collapsed="false">
      <c r="A870" s="0" t="s">
        <v>672</v>
      </c>
      <c r="C870" s="0" t="n">
        <v>2022</v>
      </c>
      <c r="D870" s="0" t="n">
        <v>748314268</v>
      </c>
      <c r="E870" s="0" t="n">
        <v>4725.05</v>
      </c>
      <c r="F870" s="0" t="n">
        <v>715.02</v>
      </c>
      <c r="G870" s="0" t="n">
        <v>1236.05</v>
      </c>
      <c r="H870" s="0" t="n">
        <v>137.01</v>
      </c>
      <c r="I870" s="0" t="n">
        <v>971.37</v>
      </c>
      <c r="J870" s="0" t="n">
        <v>686.62</v>
      </c>
      <c r="K870" s="0" t="n">
        <v>235.28</v>
      </c>
      <c r="L870" s="0" t="n">
        <v>524.93</v>
      </c>
      <c r="M870" s="0" t="n">
        <v>204.83</v>
      </c>
      <c r="N870" s="0" t="n">
        <v>13.94</v>
      </c>
      <c r="O870" s="0" t="n">
        <v>318.475</v>
      </c>
    </row>
    <row r="871" customFormat="false" ht="15" hidden="false" customHeight="false" outlineLevel="0" collapsed="false">
      <c r="A871" s="0" t="s">
        <v>672</v>
      </c>
      <c r="C871" s="0" t="n">
        <v>2023</v>
      </c>
      <c r="D871" s="0" t="n">
        <v>746966209</v>
      </c>
      <c r="E871" s="0" t="n">
        <v>4556.24</v>
      </c>
      <c r="F871" s="0" t="n">
        <v>569.66</v>
      </c>
      <c r="G871" s="0" t="n">
        <v>1127.62</v>
      </c>
      <c r="H871" s="0" t="n">
        <v>121.15</v>
      </c>
      <c r="I871" s="0" t="n">
        <v>913.69</v>
      </c>
      <c r="J871" s="0" t="n">
        <v>757.96</v>
      </c>
      <c r="K871" s="0" t="n">
        <v>276.84</v>
      </c>
      <c r="L871" s="0" t="n">
        <v>581.87</v>
      </c>
      <c r="M871" s="0" t="n">
        <v>193.99</v>
      </c>
      <c r="N871" s="0" t="n">
        <v>13.46</v>
      </c>
      <c r="O871" s="0" t="n">
        <v>286.058</v>
      </c>
    </row>
    <row r="872" customFormat="false" ht="15" hidden="false" customHeight="false" outlineLevel="0" collapsed="false">
      <c r="A872" s="0" t="s">
        <v>672</v>
      </c>
      <c r="C872" s="0" t="n">
        <v>2024</v>
      </c>
      <c r="D872" s="0" t="n">
        <v>746460441</v>
      </c>
      <c r="E872" s="0" t="n">
        <v>4650.72</v>
      </c>
      <c r="F872" s="0" t="n">
        <v>530.36</v>
      </c>
      <c r="G872" s="0" t="n">
        <v>1101.32</v>
      </c>
      <c r="H872" s="0" t="n">
        <v>118.71</v>
      </c>
      <c r="I872" s="0" t="n">
        <v>945.56</v>
      </c>
      <c r="J872" s="0" t="n">
        <v>811.55</v>
      </c>
      <c r="K872" s="0" t="n">
        <v>333.19</v>
      </c>
      <c r="L872" s="0" t="n">
        <v>596.68</v>
      </c>
      <c r="M872" s="0" t="n">
        <v>200.06</v>
      </c>
      <c r="N872" s="0" t="n">
        <v>13.29</v>
      </c>
      <c r="O872" s="0" t="n">
        <v>270.638</v>
      </c>
    </row>
    <row r="873" customFormat="false" ht="15" hidden="false" customHeight="false" outlineLevel="0" collapsed="false">
      <c r="A873" s="0" t="s">
        <v>672</v>
      </c>
      <c r="C873" s="0" t="n">
        <v>2025</v>
      </c>
      <c r="D873" s="0" t="n">
        <v>745787940</v>
      </c>
      <c r="E873" s="0" t="n">
        <v>4626.24</v>
      </c>
      <c r="F873" s="0" t="n">
        <v>515.92</v>
      </c>
      <c r="G873" s="0" t="n">
        <v>1126.08</v>
      </c>
      <c r="H873" s="0" t="n">
        <v>118.16</v>
      </c>
      <c r="I873" s="0" t="n">
        <v>943.83</v>
      </c>
      <c r="J873" s="0" t="n">
        <v>728.15</v>
      </c>
      <c r="K873" s="0" t="n">
        <v>400.99</v>
      </c>
      <c r="L873" s="0" t="n">
        <v>585.29</v>
      </c>
      <c r="M873" s="0" t="n">
        <v>199.83</v>
      </c>
      <c r="N873" s="0" t="n">
        <v>7.99</v>
      </c>
      <c r="O873" s="0" t="n">
        <v>271.19</v>
      </c>
    </row>
    <row r="874" customFormat="false" ht="15" hidden="false" customHeight="false" outlineLevel="0" collapsed="false">
      <c r="A874" s="0" t="s">
        <v>673</v>
      </c>
      <c r="C874" s="0" t="n">
        <v>2015</v>
      </c>
      <c r="E874" s="0" t="n">
        <v>3983.585</v>
      </c>
      <c r="F874" s="0" t="n">
        <v>992.689</v>
      </c>
      <c r="G874" s="0" t="n">
        <v>612.547</v>
      </c>
      <c r="H874" s="0" t="n">
        <v>67.282</v>
      </c>
      <c r="I874" s="0" t="n">
        <v>968.016</v>
      </c>
      <c r="J874" s="0" t="n">
        <v>637.357</v>
      </c>
      <c r="K874" s="0" t="n">
        <v>109.129</v>
      </c>
      <c r="L874" s="0" t="n">
        <v>319.391</v>
      </c>
    </row>
    <row r="875" customFormat="false" ht="15" hidden="false" customHeight="false" outlineLevel="0" collapsed="false">
      <c r="A875" s="0" t="s">
        <v>673</v>
      </c>
      <c r="C875" s="0" t="n">
        <v>2016</v>
      </c>
      <c r="E875" s="0" t="n">
        <v>4022.54</v>
      </c>
      <c r="F875" s="0" t="n">
        <v>923.965</v>
      </c>
      <c r="G875" s="0" t="n">
        <v>716.222</v>
      </c>
      <c r="H875" s="0" t="n">
        <v>65.972</v>
      </c>
      <c r="I875" s="0" t="n">
        <v>941.921</v>
      </c>
      <c r="J875" s="0" t="n">
        <v>653.546</v>
      </c>
      <c r="K875" s="0" t="n">
        <v>113.336</v>
      </c>
      <c r="L875" s="0" t="n">
        <v>323.347</v>
      </c>
    </row>
    <row r="876" customFormat="false" ht="15" hidden="false" customHeight="false" outlineLevel="0" collapsed="false">
      <c r="A876" s="0" t="s">
        <v>673</v>
      </c>
      <c r="C876" s="0" t="n">
        <v>2017</v>
      </c>
      <c r="E876" s="0" t="n">
        <v>4062.601</v>
      </c>
      <c r="F876" s="0" t="n">
        <v>889.591</v>
      </c>
      <c r="G876" s="0" t="n">
        <v>787.564</v>
      </c>
      <c r="H876" s="0" t="n">
        <v>62.572</v>
      </c>
      <c r="I876" s="0" t="n">
        <v>935.893</v>
      </c>
      <c r="J876" s="0" t="n">
        <v>586.474</v>
      </c>
      <c r="K876" s="0" t="n">
        <v>123.608</v>
      </c>
      <c r="L876" s="0" t="n">
        <v>384.789</v>
      </c>
    </row>
    <row r="877" customFormat="false" ht="15" hidden="false" customHeight="false" outlineLevel="0" collapsed="false">
      <c r="A877" s="0" t="s">
        <v>673</v>
      </c>
      <c r="C877" s="0" t="n">
        <v>2018</v>
      </c>
      <c r="E877" s="0" t="n">
        <v>4065.767</v>
      </c>
      <c r="F877" s="0" t="n">
        <v>854.502</v>
      </c>
      <c r="G877" s="0" t="n">
        <v>732.777</v>
      </c>
      <c r="H877" s="0" t="n">
        <v>57.216</v>
      </c>
      <c r="I877" s="0" t="n">
        <v>935.818</v>
      </c>
      <c r="J877" s="0" t="n">
        <v>646.371</v>
      </c>
      <c r="K877" s="0" t="n">
        <v>136.95</v>
      </c>
      <c r="L877" s="0" t="n">
        <v>403.976</v>
      </c>
    </row>
    <row r="878" customFormat="false" ht="15" hidden="false" customHeight="false" outlineLevel="0" collapsed="false">
      <c r="A878" s="0" t="s">
        <v>673</v>
      </c>
      <c r="C878" s="0" t="n">
        <v>2019</v>
      </c>
      <c r="E878" s="0" t="n">
        <v>3998.091</v>
      </c>
      <c r="F878" s="0" t="n">
        <v>689.689</v>
      </c>
      <c r="G878" s="0" t="n">
        <v>780.203</v>
      </c>
      <c r="H878" s="0" t="n">
        <v>54.485</v>
      </c>
      <c r="I878" s="0" t="n">
        <v>929.733</v>
      </c>
      <c r="J878" s="0" t="n">
        <v>628.23</v>
      </c>
      <c r="K878" s="0" t="n">
        <v>150.989</v>
      </c>
      <c r="L878" s="0" t="n">
        <v>460.352</v>
      </c>
    </row>
    <row r="879" customFormat="false" ht="15" hidden="false" customHeight="false" outlineLevel="0" collapsed="false">
      <c r="A879" s="0" t="s">
        <v>673</v>
      </c>
      <c r="C879" s="0" t="n">
        <v>2020</v>
      </c>
      <c r="E879" s="0" t="n">
        <v>3880.632</v>
      </c>
      <c r="F879" s="0" t="n">
        <v>571.704</v>
      </c>
      <c r="G879" s="0" t="n">
        <v>765.592</v>
      </c>
      <c r="H879" s="0" t="n">
        <v>49.276</v>
      </c>
      <c r="I879" s="0" t="n">
        <v>832.944</v>
      </c>
      <c r="J879" s="0" t="n">
        <v>660.872</v>
      </c>
      <c r="K879" s="0" t="n">
        <v>176.009</v>
      </c>
      <c r="L879" s="0" t="n">
        <v>514.352</v>
      </c>
    </row>
    <row r="880" customFormat="false" ht="15" hidden="false" customHeight="false" outlineLevel="0" collapsed="false">
      <c r="A880" s="0" t="s">
        <v>673</v>
      </c>
      <c r="C880" s="0" t="n">
        <v>2021</v>
      </c>
      <c r="E880" s="0" t="n">
        <v>4042.213</v>
      </c>
      <c r="F880" s="0" t="n">
        <v>632.609</v>
      </c>
      <c r="G880" s="0" t="n">
        <v>799.329</v>
      </c>
      <c r="H880" s="0" t="n">
        <v>50.114</v>
      </c>
      <c r="I880" s="0" t="n">
        <v>882.541</v>
      </c>
      <c r="J880" s="0" t="n">
        <v>655.14</v>
      </c>
      <c r="K880" s="0" t="n">
        <v>198.373</v>
      </c>
      <c r="L880" s="0" t="n">
        <v>501.85</v>
      </c>
    </row>
    <row r="881" customFormat="false" ht="15" hidden="false" customHeight="false" outlineLevel="0" collapsed="false">
      <c r="A881" s="0" t="s">
        <v>673</v>
      </c>
      <c r="C881" s="0" t="n">
        <v>2022</v>
      </c>
      <c r="E881" s="0" t="n">
        <v>3903.207</v>
      </c>
      <c r="F881" s="0" t="n">
        <v>657.855</v>
      </c>
      <c r="G881" s="0" t="n">
        <v>750.125</v>
      </c>
      <c r="H881" s="0" t="n">
        <v>58.822</v>
      </c>
      <c r="I881" s="0" t="n">
        <v>741.951</v>
      </c>
      <c r="J881" s="0" t="n">
        <v>565.272</v>
      </c>
      <c r="K881" s="0" t="n">
        <v>248.991</v>
      </c>
      <c r="L881" s="0" t="n">
        <v>556.507</v>
      </c>
    </row>
    <row r="882" customFormat="false" ht="15" hidden="false" customHeight="false" outlineLevel="0" collapsed="false">
      <c r="A882" s="0" t="s">
        <v>673</v>
      </c>
      <c r="C882" s="0" t="n">
        <v>2023</v>
      </c>
      <c r="E882" s="0" t="n">
        <v>3818.348</v>
      </c>
      <c r="F882" s="0" t="n">
        <v>523.005</v>
      </c>
      <c r="G882" s="0" t="n">
        <v>644.67</v>
      </c>
      <c r="H882" s="0" t="n">
        <v>50.452</v>
      </c>
      <c r="I882" s="0" t="n">
        <v>735.631</v>
      </c>
      <c r="J882" s="0" t="n">
        <v>642.632</v>
      </c>
      <c r="K882" s="0" t="n">
        <v>299.456</v>
      </c>
      <c r="L882" s="0" t="n">
        <v>614.071</v>
      </c>
    </row>
    <row r="883" customFormat="false" ht="15" hidden="false" customHeight="false" outlineLevel="0" collapsed="false">
      <c r="A883" s="0" t="s">
        <v>673</v>
      </c>
      <c r="C883" s="0" t="n">
        <v>2024</v>
      </c>
      <c r="E883" s="0" t="n">
        <v>3887.631</v>
      </c>
      <c r="F883" s="0" t="n">
        <v>483.675</v>
      </c>
      <c r="G883" s="0" t="n">
        <v>588.643</v>
      </c>
      <c r="H883" s="0" t="n">
        <v>52.059</v>
      </c>
      <c r="I883" s="0" t="n">
        <v>766.111</v>
      </c>
      <c r="J883" s="0" t="n">
        <v>697.996</v>
      </c>
      <c r="K883" s="0" t="n">
        <v>362.169</v>
      </c>
      <c r="L883" s="0" t="n">
        <v>627.995</v>
      </c>
    </row>
    <row r="884" customFormat="false" ht="15" hidden="false" customHeight="false" outlineLevel="0" collapsed="false">
      <c r="A884" s="0" t="s">
        <v>674</v>
      </c>
      <c r="C884" s="0" t="n">
        <v>2015</v>
      </c>
    </row>
    <row r="885" customFormat="false" ht="15" hidden="false" customHeight="false" outlineLevel="0" collapsed="false">
      <c r="A885" s="0" t="s">
        <v>674</v>
      </c>
      <c r="C885" s="0" t="n">
        <v>2016</v>
      </c>
    </row>
    <row r="886" customFormat="false" ht="15" hidden="false" customHeight="false" outlineLevel="0" collapsed="false">
      <c r="A886" s="0" t="s">
        <v>674</v>
      </c>
      <c r="C886" s="0" t="n">
        <v>2017</v>
      </c>
    </row>
    <row r="887" customFormat="false" ht="15" hidden="false" customHeight="false" outlineLevel="0" collapsed="false">
      <c r="A887" s="0" t="s">
        <v>674</v>
      </c>
      <c r="C887" s="0" t="n">
        <v>2018</v>
      </c>
    </row>
    <row r="888" customFormat="false" ht="15" hidden="false" customHeight="false" outlineLevel="0" collapsed="false">
      <c r="A888" s="0" t="s">
        <v>674</v>
      </c>
      <c r="C888" s="0" t="n">
        <v>2019</v>
      </c>
    </row>
    <row r="889" customFormat="false" ht="15" hidden="false" customHeight="false" outlineLevel="0" collapsed="false">
      <c r="A889" s="0" t="s">
        <v>674</v>
      </c>
      <c r="C889" s="0" t="n">
        <v>2020</v>
      </c>
    </row>
    <row r="890" customFormat="false" ht="15" hidden="false" customHeight="false" outlineLevel="0" collapsed="false">
      <c r="A890" s="0" t="s">
        <v>674</v>
      </c>
      <c r="C890" s="0" t="n">
        <v>2021</v>
      </c>
    </row>
    <row r="891" customFormat="false" ht="15" hidden="false" customHeight="false" outlineLevel="0" collapsed="false">
      <c r="A891" s="0" t="s">
        <v>674</v>
      </c>
      <c r="C891" s="0" t="n">
        <v>2022</v>
      </c>
    </row>
    <row r="892" customFormat="false" ht="15" hidden="false" customHeight="false" outlineLevel="0" collapsed="false">
      <c r="A892" s="0" t="s">
        <v>674</v>
      </c>
      <c r="C892" s="0" t="n">
        <v>2023</v>
      </c>
    </row>
    <row r="893" customFormat="false" ht="15" hidden="false" customHeight="false" outlineLevel="0" collapsed="false">
      <c r="A893" s="0" t="s">
        <v>675</v>
      </c>
      <c r="C893" s="0" t="n">
        <v>2015</v>
      </c>
      <c r="E893" s="0" t="n">
        <v>5045.2</v>
      </c>
      <c r="F893" s="0" t="n">
        <v>1120.96</v>
      </c>
      <c r="G893" s="0" t="n">
        <v>1176.25</v>
      </c>
      <c r="H893" s="0" t="n">
        <v>160.01</v>
      </c>
      <c r="I893" s="0" t="n">
        <v>1163.22</v>
      </c>
      <c r="J893" s="0" t="n">
        <v>797.45</v>
      </c>
      <c r="K893" s="0" t="n">
        <v>109.91</v>
      </c>
      <c r="L893" s="0" t="n">
        <v>319.28</v>
      </c>
      <c r="M893" s="0" t="n">
        <v>181.5</v>
      </c>
      <c r="N893" s="0" t="n">
        <v>16.62</v>
      </c>
      <c r="O893" s="0" t="n">
        <v>373.19</v>
      </c>
    </row>
    <row r="894" customFormat="false" ht="15" hidden="false" customHeight="false" outlineLevel="0" collapsed="false">
      <c r="A894" s="0" t="s">
        <v>675</v>
      </c>
      <c r="C894" s="0" t="n">
        <v>2016</v>
      </c>
      <c r="E894" s="0" t="n">
        <v>5106.62</v>
      </c>
      <c r="F894" s="0" t="n">
        <v>1064.08</v>
      </c>
      <c r="G894" s="0" t="n">
        <v>1270.94</v>
      </c>
      <c r="H894" s="0" t="n">
        <v>163.34</v>
      </c>
      <c r="I894" s="0" t="n">
        <v>1138.39</v>
      </c>
      <c r="J894" s="0" t="n">
        <v>829.63</v>
      </c>
      <c r="K894" s="0" t="n">
        <v>114.31</v>
      </c>
      <c r="L894" s="0" t="n">
        <v>323.19</v>
      </c>
      <c r="M894" s="0" t="n">
        <v>184.45</v>
      </c>
      <c r="N894" s="0" t="n">
        <v>18.29</v>
      </c>
      <c r="O894" s="0" t="n">
        <v>366.99</v>
      </c>
    </row>
    <row r="895" customFormat="false" ht="15" hidden="false" customHeight="false" outlineLevel="0" collapsed="false">
      <c r="A895" s="0" t="s">
        <v>675</v>
      </c>
      <c r="C895" s="0" t="n">
        <v>2017</v>
      </c>
      <c r="E895" s="0" t="n">
        <v>5144.41</v>
      </c>
      <c r="F895" s="0" t="n">
        <v>1031.56</v>
      </c>
      <c r="G895" s="0" t="n">
        <v>1336.83</v>
      </c>
      <c r="H895" s="0" t="n">
        <v>155.81</v>
      </c>
      <c r="I895" s="0" t="n">
        <v>1138.84</v>
      </c>
      <c r="J895" s="0" t="n">
        <v>763.47</v>
      </c>
      <c r="K895" s="0" t="n">
        <v>124.01</v>
      </c>
      <c r="L895" s="0" t="n">
        <v>384.52</v>
      </c>
      <c r="M895" s="0" t="n">
        <v>189.67</v>
      </c>
      <c r="N895" s="0" t="n">
        <v>19.7</v>
      </c>
      <c r="O895" s="0" t="n">
        <v>363.45</v>
      </c>
    </row>
    <row r="896" customFormat="false" ht="15" hidden="false" customHeight="false" outlineLevel="0" collapsed="false">
      <c r="A896" s="0" t="s">
        <v>675</v>
      </c>
      <c r="C896" s="0" t="n">
        <v>2018</v>
      </c>
      <c r="E896" s="0" t="n">
        <v>5168.05</v>
      </c>
      <c r="F896" s="0" t="n">
        <v>997.37</v>
      </c>
      <c r="G896" s="0" t="n">
        <v>1291.94</v>
      </c>
      <c r="H896" s="0" t="n">
        <v>150.5</v>
      </c>
      <c r="I896" s="0" t="n">
        <v>1141.49</v>
      </c>
      <c r="J896" s="0" t="n">
        <v>828.22</v>
      </c>
      <c r="K896" s="0" t="n">
        <v>138.51</v>
      </c>
      <c r="L896" s="0" t="n">
        <v>403.65</v>
      </c>
      <c r="M896" s="0" t="n">
        <v>195.14</v>
      </c>
      <c r="N896" s="0" t="n">
        <v>21.23</v>
      </c>
      <c r="O896" s="0" t="n">
        <v>351.43</v>
      </c>
    </row>
    <row r="897" customFormat="false" ht="15" hidden="false" customHeight="false" outlineLevel="0" collapsed="false">
      <c r="A897" s="0" t="s">
        <v>675</v>
      </c>
      <c r="C897" s="0" t="n">
        <v>2019</v>
      </c>
      <c r="E897" s="0" t="n">
        <v>5119.81</v>
      </c>
      <c r="F897" s="0" t="n">
        <v>851.29</v>
      </c>
      <c r="G897" s="0" t="n">
        <v>1329.75</v>
      </c>
      <c r="H897" s="0" t="n">
        <v>140.78</v>
      </c>
      <c r="I897" s="0" t="n">
        <v>1139.93</v>
      </c>
      <c r="J897" s="0" t="n">
        <v>816.89</v>
      </c>
      <c r="K897" s="0" t="n">
        <v>152.75</v>
      </c>
      <c r="L897" s="0" t="n">
        <v>462.68</v>
      </c>
      <c r="M897" s="0" t="n">
        <v>203.08</v>
      </c>
      <c r="N897" s="0" t="n">
        <v>22.66</v>
      </c>
      <c r="O897" s="0" t="n">
        <v>329.41</v>
      </c>
    </row>
    <row r="898" customFormat="false" ht="15" hidden="false" customHeight="false" outlineLevel="0" collapsed="false">
      <c r="A898" s="0" t="s">
        <v>675</v>
      </c>
      <c r="C898" s="0" t="n">
        <v>2020</v>
      </c>
      <c r="E898" s="0" t="n">
        <v>4960.36</v>
      </c>
      <c r="F898" s="0" t="n">
        <v>728.41</v>
      </c>
      <c r="G898" s="0" t="n">
        <v>1264.33</v>
      </c>
      <c r="H898" s="0" t="n">
        <v>124.07</v>
      </c>
      <c r="I898" s="0" t="n">
        <v>1050.22</v>
      </c>
      <c r="J898" s="0" t="n">
        <v>867.03</v>
      </c>
      <c r="K898" s="0" t="n">
        <v>178.68</v>
      </c>
      <c r="L898" s="0" t="n">
        <v>514.92</v>
      </c>
      <c r="M898" s="0" t="n">
        <v>209.01</v>
      </c>
      <c r="N898" s="0" t="n">
        <v>23.69</v>
      </c>
      <c r="O898" s="0" t="n">
        <v>307.19</v>
      </c>
    </row>
    <row r="899" customFormat="false" ht="15" hidden="false" customHeight="false" outlineLevel="0" collapsed="false">
      <c r="A899" s="0" t="s">
        <v>675</v>
      </c>
      <c r="C899" s="0" t="n">
        <v>2021</v>
      </c>
      <c r="E899" s="0" t="n">
        <v>5193.48</v>
      </c>
      <c r="F899" s="0" t="n">
        <v>799.65</v>
      </c>
      <c r="G899" s="0" t="n">
        <v>1342.98</v>
      </c>
      <c r="H899" s="0" t="n">
        <v>129.56</v>
      </c>
      <c r="I899" s="0" t="n">
        <v>1111.55</v>
      </c>
      <c r="J899" s="0" t="n">
        <v>860.02</v>
      </c>
      <c r="K899" s="0" t="n">
        <v>200.6</v>
      </c>
      <c r="L899" s="0" t="n">
        <v>503.51</v>
      </c>
      <c r="M899" s="0" t="n">
        <v>221.56</v>
      </c>
      <c r="N899" s="0" t="n">
        <v>24.05</v>
      </c>
      <c r="O899" s="0" t="n">
        <v>316.74</v>
      </c>
    </row>
    <row r="900" customFormat="false" ht="15" hidden="false" customHeight="false" outlineLevel="0" collapsed="false">
      <c r="A900" s="0" t="s">
        <v>675</v>
      </c>
      <c r="C900" s="0" t="n">
        <v>2022</v>
      </c>
      <c r="E900" s="0" t="n">
        <v>5045.61</v>
      </c>
      <c r="F900" s="0" t="n">
        <v>828.64</v>
      </c>
      <c r="G900" s="0" t="n">
        <v>1307.91</v>
      </c>
      <c r="H900" s="0" t="n">
        <v>137.74</v>
      </c>
      <c r="I900" s="0" t="n">
        <v>971.37</v>
      </c>
      <c r="J900" s="0" t="n">
        <v>753.28</v>
      </c>
      <c r="K900" s="0" t="n">
        <v>250.44</v>
      </c>
      <c r="L900" s="0" t="n">
        <v>559.62</v>
      </c>
      <c r="M900" s="0" t="n">
        <v>212.45</v>
      </c>
      <c r="N900" s="0" t="n">
        <v>24.16</v>
      </c>
      <c r="O900" s="0" t="n">
        <v>329.25</v>
      </c>
    </row>
    <row r="901" customFormat="false" ht="15" hidden="false" customHeight="false" outlineLevel="0" collapsed="false">
      <c r="A901" s="0" t="s">
        <v>675</v>
      </c>
      <c r="C901" s="0" t="n">
        <v>2023</v>
      </c>
      <c r="E901" s="0" t="n">
        <v>4979.97</v>
      </c>
      <c r="F901" s="0" t="n">
        <v>710.17</v>
      </c>
      <c r="G901" s="0" t="n">
        <v>1202.18</v>
      </c>
      <c r="H901" s="0" t="n">
        <v>122.94</v>
      </c>
      <c r="I901" s="0" t="n">
        <v>965.79</v>
      </c>
      <c r="J901" s="0" t="n">
        <v>834.41</v>
      </c>
      <c r="K901" s="0" t="n">
        <v>300.95</v>
      </c>
      <c r="L901" s="0" t="n">
        <v>616.69</v>
      </c>
      <c r="M901" s="0" t="n">
        <v>203.25</v>
      </c>
      <c r="N901" s="0" t="n">
        <v>23.59</v>
      </c>
      <c r="O901" s="0" t="n">
        <v>299.06</v>
      </c>
    </row>
    <row r="902" customFormat="false" ht="15" hidden="false" customHeight="false" outlineLevel="0" collapsed="false">
      <c r="A902" s="0" t="s">
        <v>675</v>
      </c>
      <c r="C902" s="0" t="n">
        <v>2024</v>
      </c>
      <c r="E902" s="0" t="n">
        <v>5093.6</v>
      </c>
      <c r="F902" s="0" t="n">
        <v>671.3</v>
      </c>
      <c r="G902" s="0" t="n">
        <v>1172.7</v>
      </c>
      <c r="H902" s="0" t="n">
        <v>120.58</v>
      </c>
      <c r="I902" s="0" t="n">
        <v>998.56</v>
      </c>
      <c r="J902" s="0" t="n">
        <v>899.01</v>
      </c>
      <c r="K902" s="0" t="n">
        <v>364.91</v>
      </c>
      <c r="L902" s="0" t="n">
        <v>633.55</v>
      </c>
      <c r="M902" s="0" t="n">
        <v>209.5</v>
      </c>
      <c r="N902" s="0" t="n">
        <v>23.49</v>
      </c>
      <c r="O902" s="0" t="n">
        <v>283.55</v>
      </c>
    </row>
    <row r="903" customFormat="false" ht="15" hidden="false" customHeight="false" outlineLevel="0" collapsed="false">
      <c r="A903" s="0" t="s">
        <v>675</v>
      </c>
      <c r="C903" s="0" t="n">
        <v>2025</v>
      </c>
      <c r="E903" s="0" t="n">
        <v>5101.69</v>
      </c>
      <c r="F903" s="0" t="n">
        <v>650.82</v>
      </c>
      <c r="G903" s="0" t="n">
        <v>1211.5</v>
      </c>
      <c r="H903" s="0" t="n">
        <v>120.15</v>
      </c>
      <c r="I903" s="0" t="n">
        <v>996.71</v>
      </c>
      <c r="J903" s="0" t="n">
        <v>819.49</v>
      </c>
      <c r="K903" s="0" t="n">
        <v>444.71</v>
      </c>
      <c r="L903" s="0" t="n">
        <v>625.09</v>
      </c>
      <c r="M903" s="0" t="n">
        <v>209.07</v>
      </c>
      <c r="N903" s="0" t="n">
        <v>24.15</v>
      </c>
      <c r="O903" s="0" t="n">
        <v>282.68</v>
      </c>
    </row>
    <row r="904" customFormat="false" ht="15" hidden="false" customHeight="false" outlineLevel="0" collapsed="false">
      <c r="A904" s="0" t="s">
        <v>676</v>
      </c>
      <c r="C904" s="0" t="n">
        <v>2015</v>
      </c>
    </row>
    <row r="905" customFormat="false" ht="15" hidden="false" customHeight="false" outlineLevel="0" collapsed="false">
      <c r="A905" s="0" t="s">
        <v>676</v>
      </c>
      <c r="C905" s="0" t="n">
        <v>2016</v>
      </c>
    </row>
    <row r="906" customFormat="false" ht="15" hidden="false" customHeight="false" outlineLevel="0" collapsed="false">
      <c r="A906" s="0" t="s">
        <v>677</v>
      </c>
      <c r="C906" s="0" t="n">
        <v>2015</v>
      </c>
      <c r="D906" s="0" t="n">
        <v>443910920</v>
      </c>
      <c r="E906" s="0" t="n">
        <v>2870.37</v>
      </c>
      <c r="F906" s="0" t="n">
        <v>705.03</v>
      </c>
      <c r="G906" s="0" t="n">
        <v>394.92</v>
      </c>
      <c r="H906" s="0" t="n">
        <v>127.79</v>
      </c>
      <c r="I906" s="0" t="n">
        <v>786.69</v>
      </c>
      <c r="J906" s="0" t="n">
        <v>336</v>
      </c>
      <c r="K906" s="0" t="n">
        <v>100.2</v>
      </c>
      <c r="L906" s="0" t="n">
        <v>263.28</v>
      </c>
      <c r="M906" s="0" t="n">
        <v>149.37</v>
      </c>
      <c r="N906" s="0" t="n">
        <v>7.09</v>
      </c>
      <c r="O906" s="0" t="n">
        <v>348.321</v>
      </c>
    </row>
    <row r="907" customFormat="false" ht="15" hidden="false" customHeight="false" outlineLevel="0" collapsed="false">
      <c r="A907" s="0" t="s">
        <v>677</v>
      </c>
      <c r="C907" s="0" t="n">
        <v>2016</v>
      </c>
      <c r="D907" s="0" t="n">
        <v>444911502</v>
      </c>
      <c r="E907" s="0" t="n">
        <v>2891.4</v>
      </c>
      <c r="F907" s="0" t="n">
        <v>659.16</v>
      </c>
      <c r="G907" s="0" t="n">
        <v>464.78</v>
      </c>
      <c r="H907" s="0" t="n">
        <v>128.19</v>
      </c>
      <c r="I907" s="0" t="n">
        <v>767.95</v>
      </c>
      <c r="J907" s="0" t="n">
        <v>345.6</v>
      </c>
      <c r="K907" s="0" t="n">
        <v>100.49</v>
      </c>
      <c r="L907" s="0" t="n">
        <v>266.91</v>
      </c>
      <c r="M907" s="0" t="n">
        <v>151.09</v>
      </c>
      <c r="N907" s="0" t="n">
        <v>7.23</v>
      </c>
      <c r="O907" s="0" t="n">
        <v>341.426</v>
      </c>
    </row>
    <row r="908" customFormat="false" ht="15" hidden="false" customHeight="false" outlineLevel="0" collapsed="false">
      <c r="A908" s="0" t="s">
        <v>677</v>
      </c>
      <c r="C908" s="0" t="n">
        <v>2017</v>
      </c>
      <c r="D908" s="0" t="n">
        <v>445696788</v>
      </c>
      <c r="E908" s="0" t="n">
        <v>2922.98</v>
      </c>
      <c r="F908" s="0" t="n">
        <v>638.86</v>
      </c>
      <c r="G908" s="0" t="n">
        <v>523.62</v>
      </c>
      <c r="H908" s="0" t="n">
        <v>126.88</v>
      </c>
      <c r="I908" s="0" t="n">
        <v>759.4</v>
      </c>
      <c r="J908" s="0" t="n">
        <v>294.34</v>
      </c>
      <c r="K908" s="0" t="n">
        <v>106.58</v>
      </c>
      <c r="L908" s="0" t="n">
        <v>312.43</v>
      </c>
      <c r="M908" s="0" t="n">
        <v>153.64</v>
      </c>
      <c r="N908" s="0" t="n">
        <v>7.23</v>
      </c>
      <c r="O908" s="0" t="n">
        <v>340.413</v>
      </c>
    </row>
    <row r="909" customFormat="false" ht="15" hidden="false" customHeight="false" outlineLevel="0" collapsed="false">
      <c r="A909" s="0" t="s">
        <v>677</v>
      </c>
      <c r="C909" s="0" t="n">
        <v>2018</v>
      </c>
      <c r="D909" s="0" t="n">
        <v>446503671</v>
      </c>
      <c r="E909" s="0" t="n">
        <v>2908.62</v>
      </c>
      <c r="F909" s="0" t="n">
        <v>595.54</v>
      </c>
      <c r="G909" s="0" t="n">
        <v>488.95</v>
      </c>
      <c r="H909" s="0" t="n">
        <v>120.86</v>
      </c>
      <c r="I909" s="0" t="n">
        <v>761.94</v>
      </c>
      <c r="J909" s="0" t="n">
        <v>343.84</v>
      </c>
      <c r="K909" s="0" t="n">
        <v>114.13</v>
      </c>
      <c r="L909" s="0" t="n">
        <v>320.76</v>
      </c>
      <c r="M909" s="0" t="n">
        <v>155.46</v>
      </c>
      <c r="N909" s="0" t="n">
        <v>7.14</v>
      </c>
      <c r="O909" s="0" t="n">
        <v>321.259</v>
      </c>
    </row>
    <row r="910" customFormat="false" ht="15" hidden="false" customHeight="false" outlineLevel="0" collapsed="false">
      <c r="A910" s="0" t="s">
        <v>677</v>
      </c>
      <c r="C910" s="0" t="n">
        <v>2019</v>
      </c>
      <c r="D910" s="0" t="n">
        <v>447369201</v>
      </c>
      <c r="E910" s="0" t="n">
        <v>2874.5</v>
      </c>
      <c r="F910" s="0" t="n">
        <v>450.79</v>
      </c>
      <c r="G910" s="0" t="n">
        <v>568.62</v>
      </c>
      <c r="H910" s="0" t="n">
        <v>110.91</v>
      </c>
      <c r="I910" s="0" t="n">
        <v>765.34</v>
      </c>
      <c r="J910" s="0" t="n">
        <v>320.29</v>
      </c>
      <c r="K910" s="0" t="n">
        <v>124.38</v>
      </c>
      <c r="L910" s="0" t="n">
        <v>367.29</v>
      </c>
      <c r="M910" s="0" t="n">
        <v>159.65</v>
      </c>
      <c r="N910" s="0" t="n">
        <v>7.23</v>
      </c>
      <c r="O910" s="0" t="n">
        <v>287.347</v>
      </c>
    </row>
    <row r="911" customFormat="false" ht="15" hidden="false" customHeight="false" outlineLevel="0" collapsed="false">
      <c r="A911" s="0" t="s">
        <v>677</v>
      </c>
      <c r="C911" s="0" t="n">
        <v>2020</v>
      </c>
      <c r="D911" s="0" t="n">
        <v>447777523</v>
      </c>
      <c r="E911" s="0" t="n">
        <v>2753.09</v>
      </c>
      <c r="F911" s="0" t="n">
        <v>352.33</v>
      </c>
      <c r="G911" s="0" t="n">
        <v>559.7</v>
      </c>
      <c r="H911" s="0" t="n">
        <v>97.76</v>
      </c>
      <c r="I911" s="0" t="n">
        <v>683.51</v>
      </c>
      <c r="J911" s="0" t="n">
        <v>347.09</v>
      </c>
      <c r="K911" s="0" t="n">
        <v>144.72</v>
      </c>
      <c r="L911" s="0" t="n">
        <v>398.16</v>
      </c>
      <c r="M911" s="0" t="n">
        <v>162.59</v>
      </c>
      <c r="N911" s="0" t="n">
        <v>7.23</v>
      </c>
      <c r="O911" s="0" t="n">
        <v>261.183</v>
      </c>
    </row>
    <row r="912" customFormat="false" ht="15" hidden="false" customHeight="false" outlineLevel="0" collapsed="false">
      <c r="A912" s="0" t="s">
        <v>677</v>
      </c>
      <c r="C912" s="0" t="n">
        <v>2021</v>
      </c>
      <c r="D912" s="0" t="n">
        <v>447705920</v>
      </c>
      <c r="E912" s="0" t="n">
        <v>2874.99</v>
      </c>
      <c r="F912" s="0" t="n">
        <v>419</v>
      </c>
      <c r="G912" s="0" t="n">
        <v>547.04</v>
      </c>
      <c r="H912" s="0" t="n">
        <v>100.41</v>
      </c>
      <c r="I912" s="0" t="n">
        <v>731.71</v>
      </c>
      <c r="J912" s="0" t="n">
        <v>348.25</v>
      </c>
      <c r="K912" s="0" t="n">
        <v>163.05</v>
      </c>
      <c r="L912" s="0" t="n">
        <v>386.94</v>
      </c>
      <c r="M912" s="0" t="n">
        <v>171.56</v>
      </c>
      <c r="N912" s="0" t="n">
        <v>7.03</v>
      </c>
      <c r="O912" s="0" t="n">
        <v>272.523</v>
      </c>
    </row>
    <row r="913" customFormat="false" ht="15" hidden="false" customHeight="false" outlineLevel="0" collapsed="false">
      <c r="A913" s="0" t="s">
        <v>677</v>
      </c>
      <c r="C913" s="0" t="n">
        <v>2022</v>
      </c>
      <c r="D913" s="0" t="n">
        <v>449113463</v>
      </c>
      <c r="E913" s="0" t="n">
        <v>2777.49</v>
      </c>
      <c r="F913" s="0" t="n">
        <v>448.43</v>
      </c>
      <c r="G913" s="0" t="n">
        <v>533.96</v>
      </c>
      <c r="H913" s="0" t="n">
        <v>105.86</v>
      </c>
      <c r="I913" s="0" t="n">
        <v>609.26</v>
      </c>
      <c r="J913" s="0" t="n">
        <v>276.19</v>
      </c>
      <c r="K913" s="0" t="n">
        <v>209.76</v>
      </c>
      <c r="L913" s="0" t="n">
        <v>421.83</v>
      </c>
      <c r="M913" s="0" t="n">
        <v>165.27</v>
      </c>
      <c r="N913" s="0" t="n">
        <v>6.93</v>
      </c>
      <c r="O913" s="0" t="n">
        <v>291.551</v>
      </c>
    </row>
    <row r="914" customFormat="false" ht="15" hidden="false" customHeight="false" outlineLevel="0" collapsed="false">
      <c r="A914" s="0" t="s">
        <v>677</v>
      </c>
      <c r="C914" s="0" t="n">
        <v>2023</v>
      </c>
      <c r="D914" s="0" t="n">
        <v>450657572</v>
      </c>
      <c r="E914" s="0" t="n">
        <v>2710.2</v>
      </c>
      <c r="F914" s="0" t="n">
        <v>318.59</v>
      </c>
      <c r="G914" s="0" t="n">
        <v>454.83</v>
      </c>
      <c r="H914" s="0" t="n">
        <v>91.08</v>
      </c>
      <c r="I914" s="0" t="n">
        <v>619.6</v>
      </c>
      <c r="J914" s="0" t="n">
        <v>330.44</v>
      </c>
      <c r="K914" s="0" t="n">
        <v>254.04</v>
      </c>
      <c r="L914" s="0" t="n">
        <v>478.06</v>
      </c>
      <c r="M914" s="0" t="n">
        <v>156.84</v>
      </c>
      <c r="N914" s="0" t="n">
        <v>6.72</v>
      </c>
      <c r="O914" s="0" t="n">
        <v>235.842</v>
      </c>
    </row>
    <row r="915" customFormat="false" ht="15" hidden="false" customHeight="false" outlineLevel="0" collapsed="false">
      <c r="A915" s="0" t="s">
        <v>677</v>
      </c>
      <c r="C915" s="0" t="n">
        <v>2024</v>
      </c>
      <c r="D915" s="0" t="n">
        <v>450259560</v>
      </c>
      <c r="E915" s="0" t="n">
        <v>2773.21</v>
      </c>
      <c r="F915" s="0" t="n">
        <v>270.95</v>
      </c>
      <c r="G915" s="0" t="n">
        <v>432.11</v>
      </c>
      <c r="H915" s="0" t="n">
        <v>89.11</v>
      </c>
      <c r="I915" s="0" t="n">
        <v>649.55</v>
      </c>
      <c r="J915" s="0" t="n">
        <v>369.68</v>
      </c>
      <c r="K915" s="0" t="n">
        <v>307.07</v>
      </c>
      <c r="L915" s="0" t="n">
        <v>491.21</v>
      </c>
      <c r="M915" s="0" t="n">
        <v>156.85</v>
      </c>
      <c r="N915" s="0" t="n">
        <v>6.68</v>
      </c>
      <c r="O915" s="0" t="n">
        <v>211.203</v>
      </c>
    </row>
    <row r="916" customFormat="false" ht="15" hidden="false" customHeight="false" outlineLevel="0" collapsed="false">
      <c r="A916" s="0" t="s">
        <v>677</v>
      </c>
      <c r="C916" s="0" t="n">
        <v>2025</v>
      </c>
      <c r="D916" s="0" t="n">
        <v>448992615</v>
      </c>
      <c r="E916" s="0" t="n">
        <v>2797.09</v>
      </c>
      <c r="F916" s="0" t="n">
        <v>256.79</v>
      </c>
      <c r="G916" s="0" t="n">
        <v>466.46</v>
      </c>
      <c r="H916" s="0" t="n">
        <v>86.45</v>
      </c>
      <c r="I916" s="0" t="n">
        <v>652.41</v>
      </c>
      <c r="J916" s="0" t="n">
        <v>326.37</v>
      </c>
      <c r="K916" s="0" t="n">
        <v>367.36</v>
      </c>
      <c r="L916" s="0" t="n">
        <v>478.8</v>
      </c>
      <c r="M916" s="0" t="n">
        <v>155.6</v>
      </c>
      <c r="N916" s="0" t="n">
        <v>6.85</v>
      </c>
      <c r="O916" s="0" t="n">
        <v>209.897</v>
      </c>
    </row>
    <row r="917" customFormat="false" ht="15" hidden="false" customHeight="false" outlineLevel="0" collapsed="false">
      <c r="A917" s="0" t="s">
        <v>245</v>
      </c>
      <c r="B917" s="0" t="s">
        <v>483</v>
      </c>
      <c r="C917" s="0" t="n">
        <v>2015</v>
      </c>
      <c r="D917" s="0" t="n">
        <v>3432</v>
      </c>
      <c r="E917" s="0" t="n">
        <v>0.02</v>
      </c>
      <c r="F917" s="0" t="n">
        <v>0</v>
      </c>
      <c r="G917" s="0" t="n">
        <v>0</v>
      </c>
      <c r="H917" s="0" t="n">
        <v>0.01</v>
      </c>
      <c r="I917" s="0" t="n">
        <v>0</v>
      </c>
      <c r="J917" s="0" t="n">
        <v>0</v>
      </c>
      <c r="K917" s="0" t="n">
        <v>0</v>
      </c>
      <c r="L917" s="0" t="n">
        <v>0.01</v>
      </c>
      <c r="M917" s="0" t="n">
        <v>0</v>
      </c>
      <c r="N917" s="0" t="n">
        <v>0</v>
      </c>
      <c r="O917" s="0" t="n">
        <v>500</v>
      </c>
    </row>
    <row r="918" customFormat="false" ht="15" hidden="false" customHeight="false" outlineLevel="0" collapsed="false">
      <c r="A918" s="0" t="s">
        <v>245</v>
      </c>
      <c r="B918" s="0" t="s">
        <v>483</v>
      </c>
      <c r="C918" s="0" t="n">
        <v>2016</v>
      </c>
      <c r="D918" s="0" t="n">
        <v>3499</v>
      </c>
      <c r="E918" s="0" t="n">
        <v>0.02</v>
      </c>
      <c r="F918" s="0" t="n">
        <v>0</v>
      </c>
      <c r="G918" s="0" t="n">
        <v>0</v>
      </c>
      <c r="H918" s="0" t="n">
        <v>0.01</v>
      </c>
      <c r="I918" s="0" t="n">
        <v>0</v>
      </c>
      <c r="J918" s="0" t="n">
        <v>0</v>
      </c>
      <c r="K918" s="0" t="n">
        <v>0</v>
      </c>
      <c r="L918" s="0" t="n">
        <v>0.01</v>
      </c>
      <c r="M918" s="0" t="n">
        <v>0</v>
      </c>
      <c r="N918" s="0" t="n">
        <v>0</v>
      </c>
      <c r="O918" s="0" t="n">
        <v>500</v>
      </c>
    </row>
    <row r="919" customFormat="false" ht="15" hidden="false" customHeight="false" outlineLevel="0" collapsed="false">
      <c r="A919" s="0" t="s">
        <v>245</v>
      </c>
      <c r="B919" s="0" t="s">
        <v>483</v>
      </c>
      <c r="C919" s="0" t="n">
        <v>2017</v>
      </c>
      <c r="D919" s="0" t="n">
        <v>3541</v>
      </c>
      <c r="E919" s="0" t="n">
        <v>0.01</v>
      </c>
      <c r="F919" s="0" t="n">
        <v>0</v>
      </c>
      <c r="G919" s="0" t="n">
        <v>0</v>
      </c>
      <c r="H919" s="0" t="n">
        <v>0.01</v>
      </c>
      <c r="I919" s="0" t="n">
        <v>0</v>
      </c>
      <c r="J919" s="0" t="n">
        <v>0</v>
      </c>
      <c r="K919" s="0" t="n">
        <v>0</v>
      </c>
      <c r="L919" s="0" t="n">
        <v>0</v>
      </c>
      <c r="M919" s="0" t="n">
        <v>0</v>
      </c>
      <c r="N919" s="0" t="n">
        <v>0</v>
      </c>
      <c r="O919" s="0" t="n">
        <v>1000</v>
      </c>
    </row>
    <row r="920" customFormat="false" ht="15" hidden="false" customHeight="false" outlineLevel="0" collapsed="false">
      <c r="A920" s="0" t="s">
        <v>245</v>
      </c>
      <c r="B920" s="0" t="s">
        <v>483</v>
      </c>
      <c r="C920" s="0" t="n">
        <v>2018</v>
      </c>
      <c r="D920" s="0" t="n">
        <v>3549</v>
      </c>
      <c r="E920" s="0" t="n">
        <v>0.01</v>
      </c>
      <c r="F920" s="0" t="n">
        <v>0</v>
      </c>
      <c r="G920" s="0" t="n">
        <v>0</v>
      </c>
      <c r="H920" s="0" t="n">
        <v>0.01</v>
      </c>
      <c r="I920" s="0" t="n">
        <v>0</v>
      </c>
      <c r="J920" s="0" t="n">
        <v>0</v>
      </c>
      <c r="K920" s="0" t="n">
        <v>0</v>
      </c>
      <c r="L920" s="0" t="n">
        <v>0</v>
      </c>
      <c r="M920" s="0" t="n">
        <v>0</v>
      </c>
      <c r="N920" s="0" t="n">
        <v>0</v>
      </c>
      <c r="O920" s="0" t="n">
        <v>1000</v>
      </c>
    </row>
    <row r="921" customFormat="false" ht="15" hidden="false" customHeight="false" outlineLevel="0" collapsed="false">
      <c r="A921" s="0" t="s">
        <v>245</v>
      </c>
      <c r="B921" s="0" t="s">
        <v>483</v>
      </c>
      <c r="C921" s="0" t="n">
        <v>2019</v>
      </c>
      <c r="D921" s="0" t="n">
        <v>3541</v>
      </c>
      <c r="E921" s="0" t="n">
        <v>0.01</v>
      </c>
      <c r="F921" s="0" t="n">
        <v>0</v>
      </c>
      <c r="G921" s="0" t="n">
        <v>0</v>
      </c>
      <c r="H921" s="0" t="n">
        <v>0.01</v>
      </c>
      <c r="I921" s="0" t="n">
        <v>0</v>
      </c>
      <c r="J921" s="0" t="n">
        <v>0</v>
      </c>
      <c r="K921" s="0" t="n">
        <v>0</v>
      </c>
      <c r="L921" s="0" t="n">
        <v>0</v>
      </c>
      <c r="M921" s="0" t="n">
        <v>0</v>
      </c>
      <c r="N921" s="0" t="n">
        <v>0</v>
      </c>
      <c r="O921" s="0" t="n">
        <v>1000</v>
      </c>
    </row>
    <row r="922" customFormat="false" ht="15" hidden="false" customHeight="false" outlineLevel="0" collapsed="false">
      <c r="A922" s="0" t="s">
        <v>245</v>
      </c>
      <c r="B922" s="0" t="s">
        <v>483</v>
      </c>
      <c r="C922" s="0" t="n">
        <v>2020</v>
      </c>
      <c r="D922" s="0" t="n">
        <v>3537</v>
      </c>
      <c r="E922" s="0" t="n">
        <v>0.01</v>
      </c>
      <c r="F922" s="0" t="n">
        <v>0</v>
      </c>
      <c r="G922" s="0" t="n">
        <v>0</v>
      </c>
      <c r="H922" s="0" t="n">
        <v>0.01</v>
      </c>
      <c r="I922" s="0" t="n">
        <v>0</v>
      </c>
      <c r="J922" s="0" t="n">
        <v>0</v>
      </c>
      <c r="K922" s="0" t="n">
        <v>0</v>
      </c>
      <c r="L922" s="0" t="n">
        <v>0</v>
      </c>
      <c r="M922" s="0" t="n">
        <v>0</v>
      </c>
      <c r="N922" s="0" t="n">
        <v>0</v>
      </c>
      <c r="O922" s="0" t="n">
        <v>1000</v>
      </c>
    </row>
    <row r="923" customFormat="false" ht="15" hidden="false" customHeight="false" outlineLevel="0" collapsed="false">
      <c r="A923" s="0" t="s">
        <v>245</v>
      </c>
      <c r="B923" s="0" t="s">
        <v>483</v>
      </c>
      <c r="C923" s="0" t="n">
        <v>2021</v>
      </c>
      <c r="D923" s="0" t="n">
        <v>3524</v>
      </c>
      <c r="E923" s="0" t="n">
        <v>0.01</v>
      </c>
      <c r="F923" s="0" t="n">
        <v>0</v>
      </c>
      <c r="G923" s="0" t="n">
        <v>0</v>
      </c>
      <c r="H923" s="0" t="n">
        <v>0.01</v>
      </c>
      <c r="I923" s="0" t="n">
        <v>0</v>
      </c>
      <c r="J923" s="0" t="n">
        <v>0</v>
      </c>
      <c r="K923" s="0" t="n">
        <v>0</v>
      </c>
      <c r="L923" s="0" t="n">
        <v>0</v>
      </c>
      <c r="M923" s="0" t="n">
        <v>0</v>
      </c>
      <c r="N923" s="0" t="n">
        <v>0</v>
      </c>
      <c r="O923" s="0" t="n">
        <v>1000</v>
      </c>
    </row>
    <row r="924" customFormat="false" ht="15" hidden="false" customHeight="false" outlineLevel="0" collapsed="false">
      <c r="A924" s="0" t="s">
        <v>245</v>
      </c>
      <c r="B924" s="0" t="s">
        <v>483</v>
      </c>
      <c r="C924" s="0" t="n">
        <v>2022</v>
      </c>
      <c r="D924" s="0" t="n">
        <v>3515</v>
      </c>
      <c r="E924" s="0" t="n">
        <v>0.01</v>
      </c>
      <c r="F924" s="0" t="n">
        <v>0</v>
      </c>
      <c r="G924" s="0" t="n">
        <v>0</v>
      </c>
      <c r="H924" s="0" t="n">
        <v>0.01</v>
      </c>
      <c r="I924" s="0" t="n">
        <v>0</v>
      </c>
      <c r="J924" s="0" t="n">
        <v>0</v>
      </c>
      <c r="K924" s="0" t="n">
        <v>0</v>
      </c>
      <c r="L924" s="0" t="n">
        <v>0</v>
      </c>
      <c r="M924" s="0" t="n">
        <v>0</v>
      </c>
      <c r="N924" s="0" t="n">
        <v>0</v>
      </c>
      <c r="O924" s="0" t="n">
        <v>1000</v>
      </c>
    </row>
    <row r="925" customFormat="false" ht="15" hidden="false" customHeight="false" outlineLevel="0" collapsed="false">
      <c r="A925" s="0" t="s">
        <v>245</v>
      </c>
      <c r="B925" s="0" t="s">
        <v>483</v>
      </c>
      <c r="C925" s="0" t="n">
        <v>2023</v>
      </c>
      <c r="D925" s="0" t="n">
        <v>3498</v>
      </c>
      <c r="E925" s="0" t="n">
        <v>0.01</v>
      </c>
      <c r="F925" s="0" t="n">
        <v>0</v>
      </c>
      <c r="G925" s="0" t="n">
        <v>0</v>
      </c>
      <c r="H925" s="0" t="n">
        <v>0.01</v>
      </c>
      <c r="I925" s="0" t="n">
        <v>0</v>
      </c>
      <c r="J925" s="0" t="n">
        <v>0</v>
      </c>
      <c r="K925" s="0" t="n">
        <v>0</v>
      </c>
      <c r="L925" s="0" t="n">
        <v>0</v>
      </c>
      <c r="M925" s="0" t="n">
        <v>0</v>
      </c>
      <c r="N925" s="0" t="n">
        <v>0</v>
      </c>
      <c r="O925" s="0" t="n">
        <v>1000</v>
      </c>
    </row>
    <row r="926" customFormat="false" ht="15" hidden="false" customHeight="false" outlineLevel="0" collapsed="false">
      <c r="A926" s="0" t="s">
        <v>246</v>
      </c>
      <c r="B926" s="0" t="s">
        <v>484</v>
      </c>
      <c r="C926" s="0" t="n">
        <v>2015</v>
      </c>
      <c r="D926" s="0" t="n">
        <v>48916</v>
      </c>
      <c r="E926" s="0" t="n">
        <v>0.32</v>
      </c>
      <c r="F926" s="0" t="n">
        <v>0</v>
      </c>
      <c r="G926" s="0" t="n">
        <v>0</v>
      </c>
      <c r="H926" s="0" t="n">
        <v>0.13</v>
      </c>
      <c r="I926" s="0" t="n">
        <v>0</v>
      </c>
      <c r="J926" s="0" t="n">
        <v>0.13</v>
      </c>
      <c r="K926" s="0" t="n">
        <v>0</v>
      </c>
      <c r="L926" s="0" t="n">
        <v>0.06</v>
      </c>
      <c r="M926" s="0" t="n">
        <v>0</v>
      </c>
      <c r="N926" s="0" t="n">
        <v>0</v>
      </c>
      <c r="O926" s="0" t="n">
        <v>281.25</v>
      </c>
    </row>
    <row r="927" customFormat="false" ht="15" hidden="false" customHeight="false" outlineLevel="0" collapsed="false">
      <c r="A927" s="0" t="s">
        <v>246</v>
      </c>
      <c r="B927" s="0" t="s">
        <v>484</v>
      </c>
      <c r="C927" s="0" t="n">
        <v>2016</v>
      </c>
      <c r="D927" s="0" t="n">
        <v>49554</v>
      </c>
      <c r="E927" s="0" t="n">
        <v>0.31</v>
      </c>
      <c r="F927" s="0" t="n">
        <v>0</v>
      </c>
      <c r="G927" s="0" t="n">
        <v>0</v>
      </c>
      <c r="H927" s="0" t="n">
        <v>0.16</v>
      </c>
      <c r="I927" s="0" t="n">
        <v>0</v>
      </c>
      <c r="J927" s="0" t="n">
        <v>0.1</v>
      </c>
      <c r="K927" s="0" t="n">
        <v>0</v>
      </c>
      <c r="L927" s="0" t="n">
        <v>0.05</v>
      </c>
      <c r="M927" s="0" t="n">
        <v>0</v>
      </c>
      <c r="N927" s="0" t="n">
        <v>0</v>
      </c>
      <c r="O927" s="0" t="n">
        <v>354.84</v>
      </c>
    </row>
    <row r="928" customFormat="false" ht="15" hidden="false" customHeight="false" outlineLevel="0" collapsed="false">
      <c r="A928" s="0" t="s">
        <v>246</v>
      </c>
      <c r="B928" s="0" t="s">
        <v>484</v>
      </c>
      <c r="C928" s="0" t="n">
        <v>2017</v>
      </c>
      <c r="D928" s="0" t="n">
        <v>50268</v>
      </c>
      <c r="E928" s="0" t="n">
        <v>0.33</v>
      </c>
      <c r="F928" s="0" t="n">
        <v>0</v>
      </c>
      <c r="G928" s="0" t="n">
        <v>0</v>
      </c>
      <c r="H928" s="0" t="n">
        <v>0.16</v>
      </c>
      <c r="I928" s="0" t="n">
        <v>0</v>
      </c>
      <c r="J928" s="0" t="n">
        <v>0.11</v>
      </c>
      <c r="K928" s="0" t="n">
        <v>0</v>
      </c>
      <c r="L928" s="0" t="n">
        <v>0.06</v>
      </c>
      <c r="M928" s="0" t="n">
        <v>0</v>
      </c>
      <c r="N928" s="0" t="n">
        <v>0</v>
      </c>
      <c r="O928" s="0" t="n">
        <v>333.33</v>
      </c>
    </row>
    <row r="929" customFormat="false" ht="15" hidden="false" customHeight="false" outlineLevel="0" collapsed="false">
      <c r="A929" s="0" t="s">
        <v>246</v>
      </c>
      <c r="B929" s="0" t="s">
        <v>484</v>
      </c>
      <c r="C929" s="0" t="n">
        <v>2018</v>
      </c>
      <c r="D929" s="0" t="n">
        <v>51062</v>
      </c>
      <c r="E929" s="0" t="n">
        <v>0.35</v>
      </c>
      <c r="F929" s="0" t="n">
        <v>0</v>
      </c>
      <c r="G929" s="0" t="n">
        <v>0</v>
      </c>
      <c r="H929" s="0" t="n">
        <v>0.18</v>
      </c>
      <c r="I929" s="0" t="n">
        <v>0</v>
      </c>
      <c r="J929" s="0" t="n">
        <v>0.11</v>
      </c>
      <c r="K929" s="0" t="n">
        <v>0</v>
      </c>
      <c r="L929" s="0" t="n">
        <v>0.06</v>
      </c>
      <c r="M929" s="0" t="n">
        <v>0</v>
      </c>
      <c r="N929" s="0" t="n">
        <v>0</v>
      </c>
      <c r="O929" s="0" t="n">
        <v>342.86</v>
      </c>
    </row>
    <row r="930" customFormat="false" ht="15" hidden="false" customHeight="false" outlineLevel="0" collapsed="false">
      <c r="A930" s="0" t="s">
        <v>246</v>
      </c>
      <c r="B930" s="0" t="s">
        <v>484</v>
      </c>
      <c r="C930" s="0" t="n">
        <v>2019</v>
      </c>
      <c r="D930" s="0" t="n">
        <v>51868</v>
      </c>
      <c r="E930" s="0" t="n">
        <v>0.38</v>
      </c>
      <c r="F930" s="0" t="n">
        <v>0</v>
      </c>
      <c r="G930" s="0" t="n">
        <v>0</v>
      </c>
      <c r="H930" s="0" t="n">
        <v>0.23</v>
      </c>
      <c r="I930" s="0" t="n">
        <v>0</v>
      </c>
      <c r="J930" s="0" t="n">
        <v>0.1</v>
      </c>
      <c r="K930" s="0" t="n">
        <v>0</v>
      </c>
      <c r="L930" s="0" t="n">
        <v>0.05</v>
      </c>
      <c r="M930" s="0" t="n">
        <v>0</v>
      </c>
      <c r="N930" s="0" t="n">
        <v>0</v>
      </c>
      <c r="O930" s="0" t="n">
        <v>394.74</v>
      </c>
    </row>
    <row r="931" customFormat="false" ht="15" hidden="false" customHeight="false" outlineLevel="0" collapsed="false">
      <c r="A931" s="0" t="s">
        <v>246</v>
      </c>
      <c r="B931" s="0" t="s">
        <v>484</v>
      </c>
      <c r="C931" s="0" t="n">
        <v>2020</v>
      </c>
      <c r="D931" s="0" t="n">
        <v>52615</v>
      </c>
      <c r="E931" s="0" t="n">
        <v>0.41</v>
      </c>
      <c r="F931" s="0" t="n">
        <v>0</v>
      </c>
      <c r="G931" s="0" t="n">
        <v>0</v>
      </c>
      <c r="H931" s="0" t="n">
        <v>0.25</v>
      </c>
      <c r="I931" s="0" t="n">
        <v>0</v>
      </c>
      <c r="J931" s="0" t="n">
        <v>0.11</v>
      </c>
      <c r="K931" s="0" t="n">
        <v>0</v>
      </c>
      <c r="L931" s="0" t="n">
        <v>0.05</v>
      </c>
      <c r="M931" s="0" t="n">
        <v>0</v>
      </c>
      <c r="N931" s="0" t="n">
        <v>0</v>
      </c>
      <c r="O931" s="0" t="n">
        <v>390.24</v>
      </c>
    </row>
    <row r="932" customFormat="false" ht="15" hidden="false" customHeight="false" outlineLevel="0" collapsed="false">
      <c r="A932" s="0" t="s">
        <v>246</v>
      </c>
      <c r="B932" s="0" t="s">
        <v>484</v>
      </c>
      <c r="C932" s="0" t="n">
        <v>2021</v>
      </c>
      <c r="D932" s="0" t="n">
        <v>53324</v>
      </c>
      <c r="E932" s="0" t="n">
        <v>0.43</v>
      </c>
      <c r="F932" s="0" t="n">
        <v>0</v>
      </c>
      <c r="G932" s="0" t="n">
        <v>0</v>
      </c>
      <c r="H932" s="0" t="n">
        <v>0.26</v>
      </c>
      <c r="I932" s="0" t="n">
        <v>0</v>
      </c>
      <c r="J932" s="0" t="n">
        <v>0.11</v>
      </c>
      <c r="K932" s="0" t="n">
        <v>0</v>
      </c>
      <c r="L932" s="0" t="n">
        <v>0.05</v>
      </c>
      <c r="M932" s="0" t="n">
        <v>0.01</v>
      </c>
      <c r="N932" s="0" t="n">
        <v>0</v>
      </c>
      <c r="O932" s="0" t="n">
        <v>395.35</v>
      </c>
    </row>
    <row r="933" customFormat="false" ht="15" hidden="false" customHeight="false" outlineLevel="0" collapsed="false">
      <c r="A933" s="0" t="s">
        <v>246</v>
      </c>
      <c r="B933" s="0" t="s">
        <v>484</v>
      </c>
      <c r="C933" s="0" t="n">
        <v>2022</v>
      </c>
      <c r="D933" s="0" t="n">
        <v>54039</v>
      </c>
      <c r="E933" s="0" t="n">
        <v>0.48</v>
      </c>
      <c r="F933" s="0" t="n">
        <v>0</v>
      </c>
      <c r="G933" s="0" t="n">
        <v>0</v>
      </c>
      <c r="H933" s="0" t="n">
        <v>0.26</v>
      </c>
      <c r="I933" s="0" t="n">
        <v>0</v>
      </c>
      <c r="J933" s="0" t="n">
        <v>0.13</v>
      </c>
      <c r="K933" s="0" t="n">
        <v>0</v>
      </c>
      <c r="L933" s="0" t="n">
        <v>0.09</v>
      </c>
      <c r="M933" s="0" t="n">
        <v>0</v>
      </c>
      <c r="N933" s="0" t="n">
        <v>0</v>
      </c>
      <c r="O933" s="0" t="n">
        <v>354.17</v>
      </c>
    </row>
    <row r="934" customFormat="false" ht="15" hidden="false" customHeight="false" outlineLevel="0" collapsed="false">
      <c r="A934" s="0" t="s">
        <v>246</v>
      </c>
      <c r="B934" s="0" t="s">
        <v>484</v>
      </c>
      <c r="C934" s="0" t="n">
        <v>2023</v>
      </c>
      <c r="D934" s="0" t="n">
        <v>54738</v>
      </c>
      <c r="E934" s="0" t="n">
        <v>0.49</v>
      </c>
      <c r="F934" s="0" t="n">
        <v>0</v>
      </c>
      <c r="G934" s="0" t="n">
        <v>0</v>
      </c>
      <c r="H934" s="0" t="n">
        <v>0.26</v>
      </c>
      <c r="I934" s="0" t="n">
        <v>0</v>
      </c>
      <c r="J934" s="0" t="n">
        <v>0.13</v>
      </c>
      <c r="K934" s="0" t="n">
        <v>0</v>
      </c>
      <c r="L934" s="0" t="n">
        <v>0.09</v>
      </c>
      <c r="M934" s="0" t="n">
        <v>0.01</v>
      </c>
      <c r="N934" s="0" t="n">
        <v>0</v>
      </c>
      <c r="O934" s="0" t="n">
        <v>346.94</v>
      </c>
    </row>
    <row r="935" customFormat="false" ht="15" hidden="false" customHeight="false" outlineLevel="0" collapsed="false">
      <c r="A935" s="0" t="s">
        <v>247</v>
      </c>
      <c r="B935" s="0" t="s">
        <v>485</v>
      </c>
      <c r="C935" s="0" t="n">
        <v>2015</v>
      </c>
      <c r="D935" s="0" t="n">
        <v>918585</v>
      </c>
      <c r="E935" s="0" t="n">
        <v>0.93</v>
      </c>
      <c r="F935" s="0" t="n">
        <v>0</v>
      </c>
      <c r="G935" s="0" t="n">
        <v>0</v>
      </c>
      <c r="H935" s="0" t="n">
        <v>0.48</v>
      </c>
      <c r="I935" s="0" t="n">
        <v>0</v>
      </c>
      <c r="J935" s="0" t="n">
        <v>0.4</v>
      </c>
      <c r="K935" s="0" t="n">
        <v>0</v>
      </c>
      <c r="L935" s="0" t="n">
        <v>0.01</v>
      </c>
      <c r="M935" s="0" t="n">
        <v>0.04</v>
      </c>
      <c r="N935" s="0" t="n">
        <v>0</v>
      </c>
      <c r="O935" s="0" t="n">
        <v>365.59</v>
      </c>
    </row>
    <row r="936" customFormat="false" ht="15" hidden="false" customHeight="false" outlineLevel="0" collapsed="false">
      <c r="A936" s="0" t="s">
        <v>247</v>
      </c>
      <c r="B936" s="0" t="s">
        <v>485</v>
      </c>
      <c r="C936" s="0" t="n">
        <v>2016</v>
      </c>
      <c r="D936" s="0" t="n">
        <v>919167</v>
      </c>
      <c r="E936" s="0" t="n">
        <v>0.95</v>
      </c>
      <c r="F936" s="0" t="n">
        <v>0</v>
      </c>
      <c r="G936" s="0" t="n">
        <v>0</v>
      </c>
      <c r="H936" s="0" t="n">
        <v>0.43</v>
      </c>
      <c r="I936" s="0" t="n">
        <v>0</v>
      </c>
      <c r="J936" s="0" t="n">
        <v>0.49</v>
      </c>
      <c r="K936" s="0" t="n">
        <v>0.01</v>
      </c>
      <c r="L936" s="0" t="n">
        <v>0</v>
      </c>
      <c r="M936" s="0" t="n">
        <v>0.02</v>
      </c>
      <c r="N936" s="0" t="n">
        <v>0</v>
      </c>
      <c r="O936" s="0" t="n">
        <v>305.26</v>
      </c>
    </row>
    <row r="937" customFormat="false" ht="15" hidden="false" customHeight="false" outlineLevel="0" collapsed="false">
      <c r="A937" s="0" t="s">
        <v>247</v>
      </c>
      <c r="B937" s="0" t="s">
        <v>485</v>
      </c>
      <c r="C937" s="0" t="n">
        <v>2017</v>
      </c>
      <c r="D937" s="0" t="n">
        <v>918762</v>
      </c>
      <c r="E937" s="0" t="n">
        <v>1.02</v>
      </c>
      <c r="F937" s="0" t="n">
        <v>0</v>
      </c>
      <c r="G937" s="0" t="n">
        <v>0</v>
      </c>
      <c r="H937" s="0" t="n">
        <v>0.51</v>
      </c>
      <c r="I937" s="0" t="n">
        <v>0</v>
      </c>
      <c r="J937" s="0" t="n">
        <v>0.49</v>
      </c>
      <c r="K937" s="0" t="n">
        <v>0.01</v>
      </c>
      <c r="L937" s="0" t="n">
        <v>0</v>
      </c>
      <c r="M937" s="0" t="n">
        <v>0.01</v>
      </c>
      <c r="N937" s="0" t="n">
        <v>0</v>
      </c>
      <c r="O937" s="0" t="n">
        <v>343.14</v>
      </c>
    </row>
    <row r="938" customFormat="false" ht="15" hidden="false" customHeight="false" outlineLevel="0" collapsed="false">
      <c r="A938" s="0" t="s">
        <v>247</v>
      </c>
      <c r="B938" s="0" t="s">
        <v>485</v>
      </c>
      <c r="C938" s="0" t="n">
        <v>2018</v>
      </c>
      <c r="D938" s="0" t="n">
        <v>917185</v>
      </c>
      <c r="E938" s="0" t="n">
        <v>1.1</v>
      </c>
      <c r="F938" s="0" t="n">
        <v>0</v>
      </c>
      <c r="G938" s="0" t="n">
        <v>0</v>
      </c>
      <c r="H938" s="0" t="n">
        <v>0.45</v>
      </c>
      <c r="I938" s="0" t="n">
        <v>0</v>
      </c>
      <c r="J938" s="0" t="n">
        <v>0.56</v>
      </c>
      <c r="K938" s="0" t="n">
        <v>0.01</v>
      </c>
      <c r="L938" s="0" t="n">
        <v>0</v>
      </c>
      <c r="M938" s="0" t="n">
        <v>0.08</v>
      </c>
      <c r="N938" s="0" t="n">
        <v>0</v>
      </c>
      <c r="O938" s="0" t="n">
        <v>300</v>
      </c>
    </row>
    <row r="939" customFormat="false" ht="15" hidden="false" customHeight="false" outlineLevel="0" collapsed="false">
      <c r="A939" s="0" t="s">
        <v>247</v>
      </c>
      <c r="B939" s="0" t="s">
        <v>485</v>
      </c>
      <c r="C939" s="0" t="n">
        <v>2019</v>
      </c>
      <c r="D939" s="0" t="n">
        <v>914906</v>
      </c>
      <c r="E939" s="0" t="n">
        <v>1.14</v>
      </c>
      <c r="F939" s="0" t="n">
        <v>0</v>
      </c>
      <c r="G939" s="0" t="n">
        <v>0</v>
      </c>
      <c r="H939" s="0" t="n">
        <v>0.48</v>
      </c>
      <c r="I939" s="0" t="n">
        <v>0</v>
      </c>
      <c r="J939" s="0" t="n">
        <v>0.56</v>
      </c>
      <c r="K939" s="0" t="n">
        <v>0.01</v>
      </c>
      <c r="L939" s="0" t="n">
        <v>0</v>
      </c>
      <c r="M939" s="0" t="n">
        <v>0.09</v>
      </c>
      <c r="N939" s="0" t="n">
        <v>0</v>
      </c>
      <c r="O939" s="0" t="n">
        <v>307.02</v>
      </c>
    </row>
    <row r="940" customFormat="false" ht="15" hidden="false" customHeight="false" outlineLevel="0" collapsed="false">
      <c r="A940" s="0" t="s">
        <v>247</v>
      </c>
      <c r="B940" s="0" t="s">
        <v>485</v>
      </c>
      <c r="C940" s="0" t="n">
        <v>2020</v>
      </c>
      <c r="D940" s="0" t="n">
        <v>914971</v>
      </c>
      <c r="E940" s="0" t="n">
        <v>1.08</v>
      </c>
      <c r="F940" s="0" t="n">
        <v>0</v>
      </c>
      <c r="G940" s="0" t="n">
        <v>0</v>
      </c>
      <c r="H940" s="0" t="n">
        <v>0.4</v>
      </c>
      <c r="I940" s="0" t="n">
        <v>0</v>
      </c>
      <c r="J940" s="0" t="n">
        <v>0.56</v>
      </c>
      <c r="K940" s="0" t="n">
        <v>0.01</v>
      </c>
      <c r="L940" s="0" t="n">
        <v>0</v>
      </c>
      <c r="M940" s="0" t="n">
        <v>0.11</v>
      </c>
      <c r="N940" s="0" t="n">
        <v>0</v>
      </c>
      <c r="O940" s="0" t="n">
        <v>268.52</v>
      </c>
    </row>
    <row r="941" customFormat="false" ht="15" hidden="false" customHeight="false" outlineLevel="0" collapsed="false">
      <c r="A941" s="0" t="s">
        <v>247</v>
      </c>
      <c r="B941" s="0" t="s">
        <v>485</v>
      </c>
      <c r="C941" s="0" t="n">
        <v>2021</v>
      </c>
      <c r="D941" s="0" t="n">
        <v>916718</v>
      </c>
      <c r="E941" s="0" t="n">
        <v>1.06</v>
      </c>
      <c r="F941" s="0" t="n">
        <v>0</v>
      </c>
      <c r="G941" s="0" t="n">
        <v>0</v>
      </c>
      <c r="H941" s="0" t="n">
        <v>0.4</v>
      </c>
      <c r="I941" s="0" t="n">
        <v>0</v>
      </c>
      <c r="J941" s="0" t="n">
        <v>0.55</v>
      </c>
      <c r="K941" s="0" t="n">
        <v>0.01</v>
      </c>
      <c r="L941" s="0" t="n">
        <v>0</v>
      </c>
      <c r="M941" s="0" t="n">
        <v>0.1</v>
      </c>
      <c r="N941" s="0" t="n">
        <v>0</v>
      </c>
      <c r="O941" s="0" t="n">
        <v>273.59</v>
      </c>
    </row>
    <row r="942" customFormat="false" ht="15" hidden="false" customHeight="false" outlineLevel="0" collapsed="false">
      <c r="A942" s="0" t="s">
        <v>247</v>
      </c>
      <c r="B942" s="0" t="s">
        <v>485</v>
      </c>
      <c r="C942" s="0" t="n">
        <v>2022</v>
      </c>
      <c r="D942" s="0" t="n">
        <v>919428</v>
      </c>
      <c r="E942" s="0" t="n">
        <v>1.07</v>
      </c>
      <c r="F942" s="0" t="n">
        <v>0</v>
      </c>
      <c r="G942" s="0" t="n">
        <v>0</v>
      </c>
      <c r="H942" s="0" t="n">
        <v>0.42</v>
      </c>
      <c r="I942" s="0" t="n">
        <v>0</v>
      </c>
      <c r="J942" s="0" t="n">
        <v>0.6</v>
      </c>
      <c r="K942" s="0" t="n">
        <v>0.01</v>
      </c>
      <c r="L942" s="0" t="n">
        <v>0</v>
      </c>
      <c r="M942" s="0" t="n">
        <v>0.04</v>
      </c>
      <c r="N942" s="0" t="n">
        <v>0</v>
      </c>
      <c r="O942" s="0" t="n">
        <v>280.37</v>
      </c>
    </row>
    <row r="943" customFormat="false" ht="15" hidden="false" customHeight="false" outlineLevel="0" collapsed="false">
      <c r="A943" s="0" t="s">
        <v>247</v>
      </c>
      <c r="B943" s="0" t="s">
        <v>485</v>
      </c>
      <c r="C943" s="0" t="n">
        <v>2023</v>
      </c>
      <c r="D943" s="0" t="n">
        <v>924150</v>
      </c>
      <c r="E943" s="0" t="n">
        <v>1.15</v>
      </c>
      <c r="F943" s="0" t="n">
        <v>0</v>
      </c>
      <c r="G943" s="0" t="n">
        <v>0</v>
      </c>
      <c r="H943" s="0" t="n">
        <v>0.42</v>
      </c>
      <c r="I943" s="0" t="n">
        <v>0</v>
      </c>
      <c r="J943" s="0" t="n">
        <v>0.6</v>
      </c>
      <c r="K943" s="0" t="n">
        <v>0.01</v>
      </c>
      <c r="L943" s="0" t="n">
        <v>0</v>
      </c>
      <c r="M943" s="0" t="n">
        <v>0.12</v>
      </c>
      <c r="N943" s="0" t="n">
        <v>0</v>
      </c>
      <c r="O943" s="0" t="n">
        <v>278.26</v>
      </c>
    </row>
    <row r="944" customFormat="false" ht="15" hidden="false" customHeight="false" outlineLevel="0" collapsed="false">
      <c r="A944" s="0" t="s">
        <v>247</v>
      </c>
      <c r="B944" s="0" t="s">
        <v>485</v>
      </c>
      <c r="C944" s="0" t="n">
        <v>2024</v>
      </c>
      <c r="D944" s="0" t="n">
        <v>928800</v>
      </c>
      <c r="E944" s="0" t="n">
        <v>1.15</v>
      </c>
      <c r="F944" s="0" t="n">
        <v>0</v>
      </c>
      <c r="G944" s="0" t="n">
        <v>0</v>
      </c>
      <c r="H944" s="0" t="n">
        <v>0.42</v>
      </c>
      <c r="I944" s="0" t="n">
        <v>0</v>
      </c>
      <c r="J944" s="0" t="n">
        <v>0.6</v>
      </c>
      <c r="K944" s="0" t="n">
        <v>0.01</v>
      </c>
      <c r="L944" s="0" t="n">
        <v>0</v>
      </c>
      <c r="M944" s="0" t="n">
        <v>0.12</v>
      </c>
      <c r="N944" s="0" t="n">
        <v>0</v>
      </c>
      <c r="O944" s="0" t="n">
        <v>278.26</v>
      </c>
    </row>
    <row r="945" customFormat="false" ht="15" hidden="false" customHeight="false" outlineLevel="0" collapsed="false">
      <c r="A945" s="0" t="s">
        <v>248</v>
      </c>
      <c r="B945" s="0" t="s">
        <v>486</v>
      </c>
      <c r="C945" s="0" t="n">
        <v>2015</v>
      </c>
      <c r="D945" s="0" t="n">
        <v>5479719</v>
      </c>
      <c r="E945" s="0" t="n">
        <v>68.61</v>
      </c>
      <c r="F945" s="0" t="n">
        <v>5.12</v>
      </c>
      <c r="G945" s="0" t="n">
        <v>5.2</v>
      </c>
      <c r="H945" s="0" t="n">
        <v>4.51</v>
      </c>
      <c r="I945" s="0" t="n">
        <v>23.25</v>
      </c>
      <c r="J945" s="0" t="n">
        <v>16.77</v>
      </c>
      <c r="K945" s="0" t="n">
        <v>0.01</v>
      </c>
      <c r="L945" s="0" t="n">
        <v>2.33</v>
      </c>
      <c r="M945" s="0" t="n">
        <v>11.42</v>
      </c>
      <c r="N945" s="0" t="n">
        <v>0</v>
      </c>
      <c r="O945" s="0" t="n">
        <v>182.04</v>
      </c>
    </row>
    <row r="946" customFormat="false" ht="15" hidden="false" customHeight="false" outlineLevel="0" collapsed="false">
      <c r="A946" s="0" t="s">
        <v>248</v>
      </c>
      <c r="B946" s="0" t="s">
        <v>486</v>
      </c>
      <c r="C946" s="0" t="n">
        <v>2016</v>
      </c>
      <c r="D946" s="0" t="n">
        <v>5495468</v>
      </c>
      <c r="E946" s="0" t="n">
        <v>68.75</v>
      </c>
      <c r="F946" s="0" t="n">
        <v>6.97</v>
      </c>
      <c r="G946" s="0" t="n">
        <v>3.74</v>
      </c>
      <c r="H946" s="0" t="n">
        <v>4.43</v>
      </c>
      <c r="I946" s="0" t="n">
        <v>23.2</v>
      </c>
      <c r="J946" s="0" t="n">
        <v>15.8</v>
      </c>
      <c r="K946" s="0" t="n">
        <v>0.02</v>
      </c>
      <c r="L946" s="0" t="n">
        <v>3.07</v>
      </c>
      <c r="M946" s="0" t="n">
        <v>11.52</v>
      </c>
      <c r="N946" s="0" t="n">
        <v>0</v>
      </c>
      <c r="O946" s="0" t="n">
        <v>199.56</v>
      </c>
    </row>
    <row r="947" customFormat="false" ht="15" hidden="false" customHeight="false" outlineLevel="0" collapsed="false">
      <c r="A947" s="0" t="s">
        <v>248</v>
      </c>
      <c r="B947" s="0" t="s">
        <v>486</v>
      </c>
      <c r="C947" s="0" t="n">
        <v>2017</v>
      </c>
      <c r="D947" s="0" t="n">
        <v>5508398</v>
      </c>
      <c r="E947" s="0" t="n">
        <v>67.52</v>
      </c>
      <c r="F947" s="0" t="n">
        <v>5.86</v>
      </c>
      <c r="G947" s="0" t="n">
        <v>3.3</v>
      </c>
      <c r="H947" s="0" t="n">
        <v>4.41</v>
      </c>
      <c r="I947" s="0" t="n">
        <v>22.48</v>
      </c>
      <c r="J947" s="0" t="n">
        <v>14.77</v>
      </c>
      <c r="K947" s="0" t="n">
        <v>0.05</v>
      </c>
      <c r="L947" s="0" t="n">
        <v>4.79</v>
      </c>
      <c r="M947" s="0" t="n">
        <v>11.86</v>
      </c>
      <c r="N947" s="0" t="n">
        <v>0</v>
      </c>
      <c r="O947" s="0" t="n">
        <v>186.17</v>
      </c>
    </row>
    <row r="948" customFormat="false" ht="15" hidden="false" customHeight="false" outlineLevel="0" collapsed="false">
      <c r="A948" s="0" t="s">
        <v>248</v>
      </c>
      <c r="B948" s="0" t="s">
        <v>486</v>
      </c>
      <c r="C948" s="0" t="n">
        <v>2018</v>
      </c>
      <c r="D948" s="0" t="n">
        <v>5515730</v>
      </c>
      <c r="E948" s="0" t="n">
        <v>70.23</v>
      </c>
      <c r="F948" s="0" t="n">
        <v>5.79</v>
      </c>
      <c r="G948" s="0" t="n">
        <v>4.2</v>
      </c>
      <c r="H948" s="0" t="n">
        <v>5.31</v>
      </c>
      <c r="I948" s="0" t="n">
        <v>22.79</v>
      </c>
      <c r="J948" s="0" t="n">
        <v>13.3</v>
      </c>
      <c r="K948" s="0" t="n">
        <v>0.09</v>
      </c>
      <c r="L948" s="0" t="n">
        <v>5.84</v>
      </c>
      <c r="M948" s="0" t="n">
        <v>12.91</v>
      </c>
      <c r="N948" s="0" t="n">
        <v>0</v>
      </c>
      <c r="O948" s="0" t="n">
        <v>193.37</v>
      </c>
    </row>
    <row r="949" customFormat="false" ht="15" hidden="false" customHeight="false" outlineLevel="0" collapsed="false">
      <c r="A949" s="0" t="s">
        <v>248</v>
      </c>
      <c r="B949" s="0" t="s">
        <v>486</v>
      </c>
      <c r="C949" s="0" t="n">
        <v>2019</v>
      </c>
      <c r="D949" s="0" t="n">
        <v>5521754</v>
      </c>
      <c r="E949" s="0" t="n">
        <v>68.61</v>
      </c>
      <c r="F949" s="0" t="n">
        <v>4.36</v>
      </c>
      <c r="G949" s="0" t="n">
        <v>3.85</v>
      </c>
      <c r="H949" s="0" t="n">
        <v>4.65</v>
      </c>
      <c r="I949" s="0" t="n">
        <v>23.87</v>
      </c>
      <c r="J949" s="0" t="n">
        <v>12.42</v>
      </c>
      <c r="K949" s="0" t="n">
        <v>0.15</v>
      </c>
      <c r="L949" s="0" t="n">
        <v>6.02</v>
      </c>
      <c r="M949" s="0" t="n">
        <v>13.29</v>
      </c>
      <c r="N949" s="0" t="n">
        <v>0</v>
      </c>
      <c r="O949" s="0" t="n">
        <v>171.55</v>
      </c>
    </row>
    <row r="950" customFormat="false" ht="15" hidden="false" customHeight="false" outlineLevel="0" collapsed="false">
      <c r="A950" s="0" t="s">
        <v>248</v>
      </c>
      <c r="B950" s="0" t="s">
        <v>486</v>
      </c>
      <c r="C950" s="0" t="n">
        <v>2020</v>
      </c>
      <c r="D950" s="0" t="n">
        <v>5529616</v>
      </c>
      <c r="E950" s="0" t="n">
        <v>69.24</v>
      </c>
      <c r="F950" s="0" t="n">
        <v>2.44</v>
      </c>
      <c r="G950" s="0" t="n">
        <v>3.99</v>
      </c>
      <c r="H950" s="0" t="n">
        <v>3.59</v>
      </c>
      <c r="I950" s="0" t="n">
        <v>23.29</v>
      </c>
      <c r="J950" s="0" t="n">
        <v>15.88</v>
      </c>
      <c r="K950" s="0" t="n">
        <v>0.22</v>
      </c>
      <c r="L950" s="0" t="n">
        <v>8.26</v>
      </c>
      <c r="M950" s="0" t="n">
        <v>11.57</v>
      </c>
      <c r="N950" s="0" t="n">
        <v>0</v>
      </c>
      <c r="O950" s="0" t="n">
        <v>130.27</v>
      </c>
    </row>
    <row r="951" customFormat="false" ht="15" hidden="false" customHeight="false" outlineLevel="0" collapsed="false">
      <c r="A951" s="0" t="s">
        <v>248</v>
      </c>
      <c r="B951" s="0" t="s">
        <v>486</v>
      </c>
      <c r="C951" s="0" t="n">
        <v>2021</v>
      </c>
      <c r="D951" s="0" t="n">
        <v>5541069</v>
      </c>
      <c r="E951" s="0" t="n">
        <v>72.11</v>
      </c>
      <c r="F951" s="0" t="n">
        <v>2.67</v>
      </c>
      <c r="G951" s="0" t="n">
        <v>3.83</v>
      </c>
      <c r="H951" s="0" t="n">
        <v>3.83</v>
      </c>
      <c r="I951" s="0" t="n">
        <v>23.6</v>
      </c>
      <c r="J951" s="0" t="n">
        <v>15.79</v>
      </c>
      <c r="K951" s="0" t="n">
        <v>0.3</v>
      </c>
      <c r="L951" s="0" t="n">
        <v>8.51</v>
      </c>
      <c r="M951" s="0" t="n">
        <v>13.58</v>
      </c>
      <c r="N951" s="0" t="n">
        <v>0</v>
      </c>
      <c r="O951" s="0" t="n">
        <v>135.63</v>
      </c>
    </row>
    <row r="952" customFormat="false" ht="15" hidden="false" customHeight="false" outlineLevel="0" collapsed="false">
      <c r="A952" s="0" t="s">
        <v>248</v>
      </c>
      <c r="B952" s="0" t="s">
        <v>486</v>
      </c>
      <c r="C952" s="0" t="n">
        <v>2022</v>
      </c>
      <c r="D952" s="0" t="n">
        <v>5569300</v>
      </c>
      <c r="E952" s="0" t="n">
        <v>72.17</v>
      </c>
      <c r="F952" s="0" t="n">
        <v>3.44</v>
      </c>
      <c r="G952" s="0" t="n">
        <v>0.96</v>
      </c>
      <c r="H952" s="0" t="n">
        <v>3.77</v>
      </c>
      <c r="I952" s="0" t="n">
        <v>25.34</v>
      </c>
      <c r="J952" s="0" t="n">
        <v>13.49</v>
      </c>
      <c r="K952" s="0" t="n">
        <v>0.39</v>
      </c>
      <c r="L952" s="0" t="n">
        <v>12.02</v>
      </c>
      <c r="M952" s="0" t="n">
        <v>12.76</v>
      </c>
      <c r="N952" s="0" t="n">
        <v>0</v>
      </c>
      <c r="O952" s="0" t="n">
        <v>129.97</v>
      </c>
    </row>
    <row r="953" customFormat="false" ht="15" hidden="false" customHeight="false" outlineLevel="0" collapsed="false">
      <c r="A953" s="0" t="s">
        <v>248</v>
      </c>
      <c r="B953" s="0" t="s">
        <v>486</v>
      </c>
      <c r="C953" s="0" t="n">
        <v>2023</v>
      </c>
      <c r="D953" s="0" t="n">
        <v>5601185</v>
      </c>
      <c r="E953" s="0" t="n">
        <v>81.52</v>
      </c>
      <c r="F953" s="0" t="n">
        <v>1.56</v>
      </c>
      <c r="G953" s="0" t="n">
        <v>0.66</v>
      </c>
      <c r="H953" s="0" t="n">
        <v>2.69</v>
      </c>
      <c r="I953" s="0" t="n">
        <v>34.31</v>
      </c>
      <c r="J953" s="0" t="n">
        <v>15.2</v>
      </c>
      <c r="K953" s="0" t="n">
        <v>0.72</v>
      </c>
      <c r="L953" s="0" t="n">
        <v>15.04</v>
      </c>
      <c r="M953" s="0" t="n">
        <v>11.34</v>
      </c>
      <c r="N953" s="0" t="n">
        <v>0</v>
      </c>
      <c r="O953" s="0" t="n">
        <v>81.21</v>
      </c>
    </row>
    <row r="954" customFormat="false" ht="15" hidden="false" customHeight="false" outlineLevel="0" collapsed="false">
      <c r="A954" s="0" t="s">
        <v>248</v>
      </c>
      <c r="B954" s="0" t="s">
        <v>486</v>
      </c>
      <c r="C954" s="0" t="n">
        <v>2024</v>
      </c>
      <c r="D954" s="0" t="n">
        <v>5617311</v>
      </c>
      <c r="E954" s="0" t="n">
        <v>82.55</v>
      </c>
      <c r="F954" s="0" t="n">
        <v>0.83</v>
      </c>
      <c r="G954" s="0" t="n">
        <v>0.82</v>
      </c>
      <c r="H954" s="0" t="n">
        <v>2.19</v>
      </c>
      <c r="I954" s="0" t="n">
        <v>32.6</v>
      </c>
      <c r="J954" s="0" t="n">
        <v>14.3</v>
      </c>
      <c r="K954" s="0" t="n">
        <v>0.94</v>
      </c>
      <c r="L954" s="0" t="n">
        <v>20.48</v>
      </c>
      <c r="M954" s="0" t="n">
        <v>10.39</v>
      </c>
      <c r="N954" s="0" t="n">
        <v>0</v>
      </c>
      <c r="O954" s="0" t="n">
        <v>66.63</v>
      </c>
    </row>
    <row r="955" customFormat="false" ht="15" hidden="false" customHeight="false" outlineLevel="0" collapsed="false">
      <c r="A955" s="0" t="s">
        <v>248</v>
      </c>
      <c r="B955" s="0" t="s">
        <v>486</v>
      </c>
      <c r="C955" s="0" t="n">
        <v>2025</v>
      </c>
      <c r="D955" s="0" t="n">
        <v>5623328</v>
      </c>
      <c r="E955" s="0" t="n">
        <v>82.3</v>
      </c>
      <c r="F955" s="0" t="n">
        <v>0.16</v>
      </c>
      <c r="G955" s="0" t="n">
        <v>0.95</v>
      </c>
      <c r="H955" s="0" t="n">
        <v>1.9</v>
      </c>
      <c r="I955" s="0" t="n">
        <v>32.82</v>
      </c>
      <c r="J955" s="0" t="n">
        <v>12.44</v>
      </c>
      <c r="K955" s="0" t="n">
        <v>0.98</v>
      </c>
      <c r="L955" s="0" t="n">
        <v>22.58</v>
      </c>
      <c r="M955" s="0" t="n">
        <v>10.34</v>
      </c>
      <c r="N955" s="0" t="n">
        <v>0.13</v>
      </c>
      <c r="O955" s="0" t="n">
        <v>57.47</v>
      </c>
    </row>
    <row r="956" customFormat="false" ht="15" hidden="false" customHeight="false" outlineLevel="0" collapsed="false">
      <c r="A956" s="0" t="s">
        <v>249</v>
      </c>
      <c r="B956" s="0" t="s">
        <v>487</v>
      </c>
      <c r="C956" s="0" t="n">
        <v>2015</v>
      </c>
      <c r="D956" s="0" t="n">
        <v>64916337</v>
      </c>
      <c r="E956" s="0" t="n">
        <v>574.14</v>
      </c>
      <c r="F956" s="0" t="n">
        <v>11.89</v>
      </c>
      <c r="G956" s="0" t="n">
        <v>21.14</v>
      </c>
      <c r="H956" s="0" t="n">
        <v>11.84</v>
      </c>
      <c r="I956" s="0" t="n">
        <v>437.43</v>
      </c>
      <c r="J956" s="0" t="n">
        <v>55.56</v>
      </c>
      <c r="K956" s="0" t="n">
        <v>7.75</v>
      </c>
      <c r="L956" s="0" t="n">
        <v>21.42</v>
      </c>
      <c r="M956" s="0" t="n">
        <v>6.53</v>
      </c>
      <c r="N956" s="0" t="n">
        <v>0.58</v>
      </c>
      <c r="O956" s="0" t="n">
        <v>59.17</v>
      </c>
    </row>
    <row r="957" customFormat="false" ht="15" hidden="false" customHeight="false" outlineLevel="0" collapsed="false">
      <c r="A957" s="0" t="s">
        <v>249</v>
      </c>
      <c r="B957" s="0" t="s">
        <v>487</v>
      </c>
      <c r="C957" s="0" t="n">
        <v>2016</v>
      </c>
      <c r="D957" s="0" t="n">
        <v>65086853</v>
      </c>
      <c r="E957" s="0" t="n">
        <v>558.84</v>
      </c>
      <c r="F957" s="0" t="n">
        <v>10.23</v>
      </c>
      <c r="G957" s="0" t="n">
        <v>34.97</v>
      </c>
      <c r="H957" s="0" t="n">
        <v>11.44</v>
      </c>
      <c r="I957" s="0" t="n">
        <v>403.2</v>
      </c>
      <c r="J957" s="0" t="n">
        <v>60.84</v>
      </c>
      <c r="K957" s="0" t="n">
        <v>8.66</v>
      </c>
      <c r="L957" s="0" t="n">
        <v>21.38</v>
      </c>
      <c r="M957" s="0" t="n">
        <v>7.52</v>
      </c>
      <c r="N957" s="0" t="n">
        <v>0.6</v>
      </c>
      <c r="O957" s="0" t="n">
        <v>68.62</v>
      </c>
    </row>
    <row r="958" customFormat="false" ht="15" hidden="false" customHeight="false" outlineLevel="0" collapsed="false">
      <c r="A958" s="0" t="s">
        <v>249</v>
      </c>
      <c r="B958" s="0" t="s">
        <v>487</v>
      </c>
      <c r="C958" s="0" t="n">
        <v>2017</v>
      </c>
      <c r="D958" s="0" t="n">
        <v>65284775</v>
      </c>
      <c r="E958" s="0" t="n">
        <v>555.74</v>
      </c>
      <c r="F958" s="0" t="n">
        <v>12.81</v>
      </c>
      <c r="G958" s="0" t="n">
        <v>40.5</v>
      </c>
      <c r="H958" s="0" t="n">
        <v>12.16</v>
      </c>
      <c r="I958" s="0" t="n">
        <v>398.36</v>
      </c>
      <c r="J958" s="0" t="n">
        <v>50</v>
      </c>
      <c r="K958" s="0" t="n">
        <v>8.87</v>
      </c>
      <c r="L958" s="0" t="n">
        <v>24.61</v>
      </c>
      <c r="M958" s="0" t="n">
        <v>7.78</v>
      </c>
      <c r="N958" s="0" t="n">
        <v>0.65</v>
      </c>
      <c r="O958" s="0" t="n">
        <v>78.31</v>
      </c>
    </row>
    <row r="959" customFormat="false" ht="15" hidden="false" customHeight="false" outlineLevel="0" collapsed="false">
      <c r="A959" s="0" t="s">
        <v>249</v>
      </c>
      <c r="B959" s="0" t="s">
        <v>487</v>
      </c>
      <c r="C959" s="0" t="n">
        <v>2018</v>
      </c>
      <c r="D959" s="0" t="n">
        <v>65519537</v>
      </c>
      <c r="E959" s="0" t="n">
        <v>576.24</v>
      </c>
      <c r="F959" s="0" t="n">
        <v>8.31</v>
      </c>
      <c r="G959" s="0" t="n">
        <v>30.55</v>
      </c>
      <c r="H959" s="0" t="n">
        <v>10.59</v>
      </c>
      <c r="I959" s="0" t="n">
        <v>412.94</v>
      </c>
      <c r="J959" s="0" t="n">
        <v>65.11</v>
      </c>
      <c r="K959" s="0" t="n">
        <v>11.15</v>
      </c>
      <c r="L959" s="0" t="n">
        <v>28.6</v>
      </c>
      <c r="M959" s="0" t="n">
        <v>8.38</v>
      </c>
      <c r="N959" s="0" t="n">
        <v>0.61</v>
      </c>
      <c r="O959" s="0" t="n">
        <v>59.92</v>
      </c>
    </row>
    <row r="960" customFormat="false" ht="15" hidden="false" customHeight="false" outlineLevel="0" collapsed="false">
      <c r="A960" s="0" t="s">
        <v>249</v>
      </c>
      <c r="B960" s="0" t="s">
        <v>487</v>
      </c>
      <c r="C960" s="0" t="n">
        <v>2019</v>
      </c>
      <c r="D960" s="0" t="n">
        <v>65729460</v>
      </c>
      <c r="E960" s="0" t="n">
        <v>565.52</v>
      </c>
      <c r="F960" s="0" t="n">
        <v>3.64</v>
      </c>
      <c r="G960" s="0" t="n">
        <v>39.24</v>
      </c>
      <c r="H960" s="0" t="n">
        <v>10.73</v>
      </c>
      <c r="I960" s="0" t="n">
        <v>399.01</v>
      </c>
      <c r="J960" s="0" t="n">
        <v>56.91</v>
      </c>
      <c r="K960" s="0" t="n">
        <v>12.02</v>
      </c>
      <c r="L960" s="0" t="n">
        <v>34.72</v>
      </c>
      <c r="M960" s="0" t="n">
        <v>8.64</v>
      </c>
      <c r="N960" s="0" t="n">
        <v>0.61</v>
      </c>
      <c r="O960" s="0" t="n">
        <v>59.79</v>
      </c>
    </row>
    <row r="961" customFormat="false" ht="15" hidden="false" customHeight="false" outlineLevel="0" collapsed="false">
      <c r="A961" s="0" t="s">
        <v>249</v>
      </c>
      <c r="B961" s="0" t="s">
        <v>487</v>
      </c>
      <c r="C961" s="0" t="n">
        <v>2020</v>
      </c>
      <c r="D961" s="0" t="n">
        <v>65905273</v>
      </c>
      <c r="E961" s="0" t="n">
        <v>527.25</v>
      </c>
      <c r="F961" s="0" t="n">
        <v>3.09</v>
      </c>
      <c r="G961" s="0" t="n">
        <v>35.25</v>
      </c>
      <c r="H961" s="0" t="n">
        <v>10.05</v>
      </c>
      <c r="I961" s="0" t="n">
        <v>353.83</v>
      </c>
      <c r="J961" s="0" t="n">
        <v>62.52</v>
      </c>
      <c r="K961" s="0" t="n">
        <v>13.09</v>
      </c>
      <c r="L961" s="0" t="n">
        <v>40.05</v>
      </c>
      <c r="M961" s="0" t="n">
        <v>8.76</v>
      </c>
      <c r="N961" s="0" t="n">
        <v>0.61</v>
      </c>
      <c r="O961" s="0" t="n">
        <v>59.08</v>
      </c>
    </row>
    <row r="962" customFormat="false" ht="15" hidden="false" customHeight="false" outlineLevel="0" collapsed="false">
      <c r="A962" s="0" t="s">
        <v>249</v>
      </c>
      <c r="B962" s="0" t="s">
        <v>487</v>
      </c>
      <c r="C962" s="0" t="n">
        <v>2021</v>
      </c>
      <c r="D962" s="0" t="n">
        <v>66083547</v>
      </c>
      <c r="E962" s="0" t="n">
        <v>550.31</v>
      </c>
      <c r="F962" s="0" t="n">
        <v>5.44</v>
      </c>
      <c r="G962" s="0" t="n">
        <v>33.31</v>
      </c>
      <c r="H962" s="0" t="n">
        <v>10.1</v>
      </c>
      <c r="I962" s="0" t="n">
        <v>379.36</v>
      </c>
      <c r="J962" s="0" t="n">
        <v>59.54</v>
      </c>
      <c r="K962" s="0" t="n">
        <v>15.28</v>
      </c>
      <c r="L962" s="0" t="n">
        <v>37.12</v>
      </c>
      <c r="M962" s="0" t="n">
        <v>9.58</v>
      </c>
      <c r="N962" s="0" t="n">
        <v>0.58</v>
      </c>
      <c r="O962" s="0" t="n">
        <v>59.8</v>
      </c>
    </row>
    <row r="963" customFormat="false" ht="15" hidden="false" customHeight="false" outlineLevel="0" collapsed="false">
      <c r="A963" s="0" t="s">
        <v>249</v>
      </c>
      <c r="B963" s="0" t="s">
        <v>487</v>
      </c>
      <c r="C963" s="0" t="n">
        <v>2022</v>
      </c>
      <c r="D963" s="0" t="n">
        <v>66277412</v>
      </c>
      <c r="E963" s="0" t="n">
        <v>468.45</v>
      </c>
      <c r="F963" s="0" t="n">
        <v>4.16</v>
      </c>
      <c r="G963" s="0" t="n">
        <v>45.74</v>
      </c>
      <c r="H963" s="0" t="n">
        <v>10.45</v>
      </c>
      <c r="I963" s="0" t="n">
        <v>294.73</v>
      </c>
      <c r="J963" s="0" t="n">
        <v>45.56</v>
      </c>
      <c r="K963" s="0" t="n">
        <v>19.34</v>
      </c>
      <c r="L963" s="0" t="n">
        <v>38.2</v>
      </c>
      <c r="M963" s="0" t="n">
        <v>9.67</v>
      </c>
      <c r="N963" s="0" t="n">
        <v>0.6</v>
      </c>
      <c r="O963" s="0" t="n">
        <v>78.54</v>
      </c>
    </row>
    <row r="964" customFormat="false" ht="15" hidden="false" customHeight="false" outlineLevel="0" collapsed="false">
      <c r="A964" s="0" t="s">
        <v>249</v>
      </c>
      <c r="B964" s="0" t="s">
        <v>487</v>
      </c>
      <c r="C964" s="0" t="n">
        <v>2023</v>
      </c>
      <c r="D964" s="0" t="n">
        <v>66438828</v>
      </c>
      <c r="E964" s="0" t="n">
        <v>518.75</v>
      </c>
      <c r="F964" s="0" t="n">
        <v>1.61</v>
      </c>
      <c r="G964" s="0" t="n">
        <v>30.02</v>
      </c>
      <c r="H964" s="0" t="n">
        <v>9.43</v>
      </c>
      <c r="I964" s="0" t="n">
        <v>338.2</v>
      </c>
      <c r="J964" s="0" t="n">
        <v>55.9</v>
      </c>
      <c r="K964" s="0" t="n">
        <v>22.59</v>
      </c>
      <c r="L964" s="0" t="n">
        <v>50.48</v>
      </c>
      <c r="M964" s="0" t="n">
        <v>9.94</v>
      </c>
      <c r="N964" s="0" t="n">
        <v>0.58</v>
      </c>
      <c r="O964" s="0" t="n">
        <v>53.26</v>
      </c>
    </row>
    <row r="965" customFormat="false" ht="15" hidden="false" customHeight="false" outlineLevel="0" collapsed="false">
      <c r="A965" s="0" t="s">
        <v>249</v>
      </c>
      <c r="B965" s="0" t="s">
        <v>487</v>
      </c>
      <c r="C965" s="0" t="n">
        <v>2024</v>
      </c>
      <c r="D965" s="0" t="n">
        <v>66548532</v>
      </c>
      <c r="E965" s="0" t="n">
        <v>561.78</v>
      </c>
      <c r="F965" s="0" t="n">
        <v>1.02</v>
      </c>
      <c r="G965" s="0" t="n">
        <v>18.1</v>
      </c>
      <c r="H965" s="0" t="n">
        <v>9.54</v>
      </c>
      <c r="I965" s="0" t="n">
        <v>380.45</v>
      </c>
      <c r="J965" s="0" t="n">
        <v>71.12</v>
      </c>
      <c r="K965" s="0" t="n">
        <v>24.87</v>
      </c>
      <c r="L965" s="0" t="n">
        <v>45.43</v>
      </c>
      <c r="M965" s="0" t="n">
        <v>10.68</v>
      </c>
      <c r="N965" s="0" t="n">
        <v>0.57</v>
      </c>
      <c r="O965" s="0" t="n">
        <v>40.48</v>
      </c>
    </row>
    <row r="966" customFormat="false" ht="15" hidden="false" customHeight="false" outlineLevel="0" collapsed="false">
      <c r="A966" s="0" t="s">
        <v>249</v>
      </c>
      <c r="B966" s="0" t="s">
        <v>487</v>
      </c>
      <c r="C966" s="0" t="n">
        <v>2025</v>
      </c>
      <c r="D966" s="0" t="n">
        <v>66650804</v>
      </c>
      <c r="E966" s="0" t="n">
        <v>569.98</v>
      </c>
      <c r="F966" s="0" t="n">
        <v>1.74</v>
      </c>
      <c r="G966" s="0" t="n">
        <v>17.25</v>
      </c>
      <c r="H966" s="0" t="n">
        <v>10.36</v>
      </c>
      <c r="I966" s="0" t="n">
        <v>392.07</v>
      </c>
      <c r="J966" s="0" t="n">
        <v>59.41</v>
      </c>
      <c r="K966" s="0" t="n">
        <v>31.82</v>
      </c>
      <c r="L966" s="0" t="n">
        <v>46.49</v>
      </c>
      <c r="M966" s="0" t="n">
        <v>10.27</v>
      </c>
      <c r="N966" s="0" t="n">
        <v>0.57</v>
      </c>
      <c r="O966" s="0" t="n">
        <v>41.44</v>
      </c>
    </row>
    <row r="967" customFormat="false" ht="15" hidden="false" customHeight="false" outlineLevel="0" collapsed="false">
      <c r="A967" s="0" t="s">
        <v>250</v>
      </c>
      <c r="B967" s="0" t="s">
        <v>488</v>
      </c>
      <c r="C967" s="0" t="n">
        <v>2015</v>
      </c>
      <c r="D967" s="0" t="n">
        <v>266377</v>
      </c>
      <c r="E967" s="0" t="n">
        <v>0.93</v>
      </c>
      <c r="H967" s="0" t="n">
        <v>0.38</v>
      </c>
      <c r="J967" s="0" t="n">
        <v>0.49</v>
      </c>
      <c r="K967" s="0" t="n">
        <v>0.05</v>
      </c>
      <c r="M967" s="0" t="n">
        <v>0.01</v>
      </c>
      <c r="O967" s="0" t="n">
        <v>279.57</v>
      </c>
    </row>
    <row r="968" customFormat="false" ht="15" hidden="false" customHeight="false" outlineLevel="0" collapsed="false">
      <c r="A968" s="0" t="s">
        <v>250</v>
      </c>
      <c r="B968" s="0" t="s">
        <v>488</v>
      </c>
      <c r="C968" s="0" t="n">
        <v>2016</v>
      </c>
      <c r="D968" s="0" t="n">
        <v>271278</v>
      </c>
      <c r="E968" s="0" t="n">
        <v>0.91</v>
      </c>
      <c r="H968" s="0" t="n">
        <v>0.41</v>
      </c>
      <c r="J968" s="0" t="n">
        <v>0.44</v>
      </c>
      <c r="K968" s="0" t="n">
        <v>0.05</v>
      </c>
      <c r="M968" s="0" t="n">
        <v>0.01</v>
      </c>
      <c r="O968" s="0" t="n">
        <v>307.69</v>
      </c>
    </row>
    <row r="969" customFormat="false" ht="15" hidden="false" customHeight="false" outlineLevel="0" collapsed="false">
      <c r="A969" s="0" t="s">
        <v>250</v>
      </c>
      <c r="B969" s="0" t="s">
        <v>488</v>
      </c>
      <c r="C969" s="0" t="n">
        <v>2017</v>
      </c>
      <c r="D969" s="0" t="n">
        <v>276158</v>
      </c>
      <c r="E969" s="0" t="n">
        <v>0.92</v>
      </c>
      <c r="H969" s="0" t="n">
        <v>0.3</v>
      </c>
      <c r="J969" s="0" t="n">
        <v>0.56</v>
      </c>
      <c r="K969" s="0" t="n">
        <v>0.05</v>
      </c>
      <c r="M969" s="0" t="n">
        <v>0.01</v>
      </c>
      <c r="O969" s="0" t="n">
        <v>228.26</v>
      </c>
    </row>
    <row r="970" customFormat="false" ht="15" hidden="false" customHeight="false" outlineLevel="0" collapsed="false">
      <c r="A970" s="0" t="s">
        <v>250</v>
      </c>
      <c r="B970" s="0" t="s">
        <v>488</v>
      </c>
      <c r="C970" s="0" t="n">
        <v>2018</v>
      </c>
      <c r="D970" s="0" t="n">
        <v>280972</v>
      </c>
      <c r="E970" s="0" t="n">
        <v>0.93</v>
      </c>
      <c r="H970" s="0" t="n">
        <v>0.33</v>
      </c>
      <c r="J970" s="0" t="n">
        <v>0.54</v>
      </c>
      <c r="K970" s="0" t="n">
        <v>0.05</v>
      </c>
      <c r="M970" s="0" t="n">
        <v>0.01</v>
      </c>
      <c r="O970" s="0" t="n">
        <v>247.31</v>
      </c>
    </row>
    <row r="971" customFormat="false" ht="15" hidden="false" customHeight="false" outlineLevel="0" collapsed="false">
      <c r="A971" s="0" t="s">
        <v>250</v>
      </c>
      <c r="B971" s="0" t="s">
        <v>488</v>
      </c>
      <c r="C971" s="0" t="n">
        <v>2019</v>
      </c>
      <c r="D971" s="0" t="n">
        <v>285574</v>
      </c>
      <c r="E971" s="0" t="n">
        <v>0.95</v>
      </c>
      <c r="H971" s="0" t="n">
        <v>0.48</v>
      </c>
      <c r="J971" s="0" t="n">
        <v>0.41</v>
      </c>
      <c r="K971" s="0" t="n">
        <v>0.05</v>
      </c>
      <c r="M971" s="0" t="n">
        <v>0.01</v>
      </c>
      <c r="O971" s="0" t="n">
        <v>347.37</v>
      </c>
    </row>
    <row r="972" customFormat="false" ht="15" hidden="false" customHeight="false" outlineLevel="0" collapsed="false">
      <c r="A972" s="0" t="s">
        <v>250</v>
      </c>
      <c r="B972" s="0" t="s">
        <v>488</v>
      </c>
      <c r="C972" s="0" t="n">
        <v>2020</v>
      </c>
      <c r="D972" s="0" t="n">
        <v>289063</v>
      </c>
      <c r="E972" s="0" t="n">
        <v>0.95</v>
      </c>
      <c r="H972" s="0" t="n">
        <v>0.45</v>
      </c>
      <c r="J972" s="0" t="n">
        <v>0.43</v>
      </c>
      <c r="K972" s="0" t="n">
        <v>0.06</v>
      </c>
      <c r="M972" s="0" t="n">
        <v>0.01</v>
      </c>
      <c r="O972" s="0" t="n">
        <v>326.32</v>
      </c>
    </row>
    <row r="973" customFormat="false" ht="15" hidden="false" customHeight="false" outlineLevel="0" collapsed="false">
      <c r="A973" s="0" t="s">
        <v>250</v>
      </c>
      <c r="B973" s="0" t="s">
        <v>488</v>
      </c>
      <c r="C973" s="0" t="n">
        <v>2021</v>
      </c>
      <c r="D973" s="0" t="n">
        <v>293023</v>
      </c>
      <c r="E973" s="0" t="n">
        <v>0.97</v>
      </c>
      <c r="H973" s="0" t="n">
        <v>0.29</v>
      </c>
      <c r="J973" s="0" t="n">
        <v>0.58</v>
      </c>
      <c r="K973" s="0" t="n">
        <v>0.06</v>
      </c>
      <c r="M973" s="0" t="n">
        <v>0.04</v>
      </c>
      <c r="O973" s="0" t="n">
        <v>216.5</v>
      </c>
    </row>
    <row r="974" customFormat="false" ht="15" hidden="false" customHeight="false" outlineLevel="0" collapsed="false">
      <c r="A974" s="0" t="s">
        <v>250</v>
      </c>
      <c r="B974" s="0" t="s">
        <v>488</v>
      </c>
      <c r="C974" s="0" t="n">
        <v>2022</v>
      </c>
      <c r="D974" s="0" t="n">
        <v>298319</v>
      </c>
      <c r="E974" s="0" t="n">
        <v>0.95</v>
      </c>
      <c r="H974" s="0" t="n">
        <v>0.27</v>
      </c>
      <c r="J974" s="0" t="n">
        <v>0.59</v>
      </c>
      <c r="K974" s="0" t="n">
        <v>0.05</v>
      </c>
      <c r="M974" s="0" t="n">
        <v>0.04</v>
      </c>
      <c r="O974" s="0" t="n">
        <v>210.53</v>
      </c>
    </row>
    <row r="975" customFormat="false" ht="15" hidden="false" customHeight="false" outlineLevel="0" collapsed="false">
      <c r="A975" s="0" t="s">
        <v>250</v>
      </c>
      <c r="B975" s="0" t="s">
        <v>488</v>
      </c>
      <c r="C975" s="0" t="n">
        <v>2023</v>
      </c>
      <c r="D975" s="0" t="n">
        <v>303408</v>
      </c>
      <c r="E975" s="0" t="n">
        <v>0.98</v>
      </c>
      <c r="H975" s="0" t="n">
        <v>0.34</v>
      </c>
      <c r="J975" s="0" t="n">
        <v>0.52</v>
      </c>
      <c r="K975" s="0" t="n">
        <v>0.06</v>
      </c>
      <c r="M975" s="0" t="n">
        <v>0.06</v>
      </c>
      <c r="O975" s="0" t="n">
        <v>244.9</v>
      </c>
    </row>
    <row r="976" customFormat="false" ht="15" hidden="false" customHeight="false" outlineLevel="0" collapsed="false">
      <c r="A976" s="0" t="s">
        <v>251</v>
      </c>
      <c r="B976" s="0" t="s">
        <v>489</v>
      </c>
      <c r="C976" s="0" t="n">
        <v>2015</v>
      </c>
      <c r="D976" s="0" t="n">
        <v>277877</v>
      </c>
      <c r="E976" s="0" t="n">
        <v>0.68</v>
      </c>
      <c r="F976" s="0" t="n">
        <v>0</v>
      </c>
      <c r="G976" s="0" t="n">
        <v>0</v>
      </c>
      <c r="H976" s="0" t="n">
        <v>0.48</v>
      </c>
      <c r="I976" s="0" t="n">
        <v>0</v>
      </c>
      <c r="J976" s="0" t="n">
        <v>0.17</v>
      </c>
      <c r="K976" s="0" t="n">
        <v>0.03</v>
      </c>
      <c r="L976" s="0" t="n">
        <v>0</v>
      </c>
      <c r="M976" s="0" t="n">
        <v>0</v>
      </c>
      <c r="N976" s="0" t="n">
        <v>0</v>
      </c>
      <c r="O976" s="0" t="n">
        <v>470.59</v>
      </c>
    </row>
    <row r="977" customFormat="false" ht="15" hidden="false" customHeight="false" outlineLevel="0" collapsed="false">
      <c r="A977" s="0" t="s">
        <v>251</v>
      </c>
      <c r="B977" s="0" t="s">
        <v>489</v>
      </c>
      <c r="C977" s="0" t="n">
        <v>2016</v>
      </c>
      <c r="D977" s="0" t="n">
        <v>279180</v>
      </c>
      <c r="E977" s="0" t="n">
        <v>0.68</v>
      </c>
      <c r="F977" s="0" t="n">
        <v>0</v>
      </c>
      <c r="G977" s="0" t="n">
        <v>0</v>
      </c>
      <c r="H977" s="0" t="n">
        <v>0.47</v>
      </c>
      <c r="I977" s="0" t="n">
        <v>0</v>
      </c>
      <c r="J977" s="0" t="n">
        <v>0.18</v>
      </c>
      <c r="K977" s="0" t="n">
        <v>0.03</v>
      </c>
      <c r="L977" s="0" t="n">
        <v>0</v>
      </c>
      <c r="M977" s="0" t="n">
        <v>0</v>
      </c>
      <c r="N977" s="0" t="n">
        <v>0</v>
      </c>
      <c r="O977" s="0" t="n">
        <v>455.88</v>
      </c>
    </row>
    <row r="978" customFormat="false" ht="15" hidden="false" customHeight="false" outlineLevel="0" collapsed="false">
      <c r="A978" s="0" t="s">
        <v>251</v>
      </c>
      <c r="B978" s="0" t="s">
        <v>489</v>
      </c>
      <c r="C978" s="0" t="n">
        <v>2017</v>
      </c>
      <c r="D978" s="0" t="n">
        <v>280096</v>
      </c>
      <c r="E978" s="0" t="n">
        <v>0.69</v>
      </c>
      <c r="F978" s="0" t="n">
        <v>0</v>
      </c>
      <c r="G978" s="0" t="n">
        <v>0</v>
      </c>
      <c r="H978" s="0" t="n">
        <v>0.47</v>
      </c>
      <c r="I978" s="0" t="n">
        <v>0</v>
      </c>
      <c r="J978" s="0" t="n">
        <v>0.18</v>
      </c>
      <c r="K978" s="0" t="n">
        <v>0.04</v>
      </c>
      <c r="L978" s="0" t="n">
        <v>0</v>
      </c>
      <c r="M978" s="0" t="n">
        <v>0</v>
      </c>
      <c r="N978" s="0" t="n">
        <v>0</v>
      </c>
      <c r="O978" s="0" t="n">
        <v>449.28</v>
      </c>
    </row>
    <row r="979" customFormat="false" ht="15" hidden="false" customHeight="false" outlineLevel="0" collapsed="false">
      <c r="A979" s="0" t="s">
        <v>251</v>
      </c>
      <c r="B979" s="0" t="s">
        <v>489</v>
      </c>
      <c r="C979" s="0" t="n">
        <v>2018</v>
      </c>
      <c r="D979" s="0" t="n">
        <v>279823</v>
      </c>
      <c r="E979" s="0" t="n">
        <v>0.68</v>
      </c>
      <c r="F979" s="0" t="n">
        <v>0</v>
      </c>
      <c r="G979" s="0" t="n">
        <v>0</v>
      </c>
      <c r="H979" s="0" t="n">
        <v>0.48</v>
      </c>
      <c r="I979" s="0" t="n">
        <v>0</v>
      </c>
      <c r="J979" s="0" t="n">
        <v>0.16</v>
      </c>
      <c r="K979" s="0" t="n">
        <v>0.04</v>
      </c>
      <c r="L979" s="0" t="n">
        <v>0</v>
      </c>
      <c r="M979" s="0" t="n">
        <v>0</v>
      </c>
      <c r="N979" s="0" t="n">
        <v>0</v>
      </c>
      <c r="O979" s="0" t="n">
        <v>470.59</v>
      </c>
    </row>
    <row r="980" customFormat="false" ht="15" hidden="false" customHeight="false" outlineLevel="0" collapsed="false">
      <c r="A980" s="0" t="s">
        <v>251</v>
      </c>
      <c r="B980" s="0" t="s">
        <v>489</v>
      </c>
      <c r="C980" s="0" t="n">
        <v>2019</v>
      </c>
      <c r="D980" s="0" t="n">
        <v>279040</v>
      </c>
      <c r="E980" s="0" t="n">
        <v>0.69</v>
      </c>
      <c r="F980" s="0" t="n">
        <v>0</v>
      </c>
      <c r="G980" s="0" t="n">
        <v>0</v>
      </c>
      <c r="H980" s="0" t="n">
        <v>0.49</v>
      </c>
      <c r="I980" s="0" t="n">
        <v>0</v>
      </c>
      <c r="J980" s="0" t="n">
        <v>0.16</v>
      </c>
      <c r="K980" s="0" t="n">
        <v>0.04</v>
      </c>
      <c r="L980" s="0" t="n">
        <v>0</v>
      </c>
      <c r="M980" s="0" t="n">
        <v>0</v>
      </c>
      <c r="N980" s="0" t="n">
        <v>0</v>
      </c>
      <c r="O980" s="0" t="n">
        <v>463.77</v>
      </c>
    </row>
    <row r="981" customFormat="false" ht="15" hidden="false" customHeight="false" outlineLevel="0" collapsed="false">
      <c r="A981" s="0" t="s">
        <v>251</v>
      </c>
      <c r="B981" s="0" t="s">
        <v>489</v>
      </c>
      <c r="C981" s="0" t="n">
        <v>2020</v>
      </c>
      <c r="D981" s="0" t="n">
        <v>279218</v>
      </c>
      <c r="E981" s="0" t="n">
        <v>0.66</v>
      </c>
      <c r="F981" s="0" t="n">
        <v>0</v>
      </c>
      <c r="G981" s="0" t="n">
        <v>0</v>
      </c>
      <c r="H981" s="0" t="n">
        <v>0.46</v>
      </c>
      <c r="I981" s="0" t="n">
        <v>0</v>
      </c>
      <c r="J981" s="0" t="n">
        <v>0.16</v>
      </c>
      <c r="K981" s="0" t="n">
        <v>0.04</v>
      </c>
      <c r="L981" s="0" t="n">
        <v>0</v>
      </c>
      <c r="M981" s="0" t="n">
        <v>0</v>
      </c>
      <c r="N981" s="0" t="n">
        <v>0</v>
      </c>
      <c r="O981" s="0" t="n">
        <v>454.55</v>
      </c>
    </row>
    <row r="982" customFormat="false" ht="15" hidden="false" customHeight="false" outlineLevel="0" collapsed="false">
      <c r="A982" s="0" t="s">
        <v>251</v>
      </c>
      <c r="B982" s="0" t="s">
        <v>489</v>
      </c>
      <c r="C982" s="0" t="n">
        <v>2021</v>
      </c>
      <c r="D982" s="0" t="n">
        <v>279808</v>
      </c>
      <c r="E982" s="0" t="n">
        <v>0.66</v>
      </c>
      <c r="F982" s="0" t="n">
        <v>0</v>
      </c>
      <c r="G982" s="0" t="n">
        <v>0</v>
      </c>
      <c r="H982" s="0" t="n">
        <v>0.47</v>
      </c>
      <c r="I982" s="0" t="n">
        <v>0</v>
      </c>
      <c r="J982" s="0" t="n">
        <v>0.14</v>
      </c>
      <c r="K982" s="0" t="n">
        <v>0.05</v>
      </c>
      <c r="L982" s="0" t="n">
        <v>0</v>
      </c>
      <c r="M982" s="0" t="n">
        <v>0</v>
      </c>
      <c r="N982" s="0" t="n">
        <v>0</v>
      </c>
      <c r="O982" s="0" t="n">
        <v>469.7</v>
      </c>
    </row>
    <row r="983" customFormat="false" ht="15" hidden="false" customHeight="false" outlineLevel="0" collapsed="false">
      <c r="A983" s="0" t="s">
        <v>251</v>
      </c>
      <c r="B983" s="0" t="s">
        <v>489</v>
      </c>
      <c r="C983" s="0" t="n">
        <v>2022</v>
      </c>
      <c r="D983" s="0" t="n">
        <v>280388</v>
      </c>
      <c r="E983" s="0" t="n">
        <v>0.71</v>
      </c>
      <c r="F983" s="0" t="n">
        <v>0</v>
      </c>
      <c r="G983" s="0" t="n">
        <v>0</v>
      </c>
      <c r="H983" s="0" t="n">
        <v>0.47</v>
      </c>
      <c r="I983" s="0" t="n">
        <v>0</v>
      </c>
      <c r="J983" s="0" t="n">
        <v>0.19</v>
      </c>
      <c r="K983" s="0" t="n">
        <v>0.05</v>
      </c>
      <c r="L983" s="0" t="n">
        <v>0</v>
      </c>
      <c r="M983" s="0" t="n">
        <v>0</v>
      </c>
      <c r="N983" s="0" t="n">
        <v>0</v>
      </c>
      <c r="O983" s="0" t="n">
        <v>436.62</v>
      </c>
    </row>
    <row r="984" customFormat="false" ht="15" hidden="false" customHeight="false" outlineLevel="0" collapsed="false">
      <c r="A984" s="0" t="s">
        <v>251</v>
      </c>
      <c r="B984" s="0" t="s">
        <v>489</v>
      </c>
      <c r="C984" s="0" t="n">
        <v>2023</v>
      </c>
      <c r="D984" s="0" t="n">
        <v>281125</v>
      </c>
      <c r="E984" s="0" t="n">
        <v>0.71</v>
      </c>
      <c r="F984" s="0" t="n">
        <v>0</v>
      </c>
      <c r="G984" s="0" t="n">
        <v>0</v>
      </c>
      <c r="H984" s="0" t="n">
        <v>0.47</v>
      </c>
      <c r="I984" s="0" t="n">
        <v>0</v>
      </c>
      <c r="J984" s="0" t="n">
        <v>0.19</v>
      </c>
      <c r="K984" s="0" t="n">
        <v>0.05</v>
      </c>
      <c r="L984" s="0" t="n">
        <v>0</v>
      </c>
      <c r="M984" s="0" t="n">
        <v>0</v>
      </c>
      <c r="N984" s="0" t="n">
        <v>0</v>
      </c>
      <c r="O984" s="0" t="n">
        <v>436.62</v>
      </c>
    </row>
    <row r="985" customFormat="false" ht="15" hidden="false" customHeight="false" outlineLevel="0" collapsed="false">
      <c r="A985" s="0" t="s">
        <v>251</v>
      </c>
      <c r="B985" s="0" t="s">
        <v>489</v>
      </c>
      <c r="C985" s="0" t="n">
        <v>2024</v>
      </c>
      <c r="D985" s="0" t="n">
        <v>281816</v>
      </c>
      <c r="E985" s="0" t="n">
        <v>0.72</v>
      </c>
      <c r="F985" s="0" t="n">
        <v>0</v>
      </c>
      <c r="G985" s="0" t="n">
        <v>0</v>
      </c>
      <c r="H985" s="0" t="n">
        <v>0.47</v>
      </c>
      <c r="I985" s="0" t="n">
        <v>0</v>
      </c>
      <c r="J985" s="0" t="n">
        <v>0.19</v>
      </c>
      <c r="K985" s="0" t="n">
        <v>0.06</v>
      </c>
      <c r="L985" s="0" t="n">
        <v>0</v>
      </c>
      <c r="M985" s="0" t="n">
        <v>0</v>
      </c>
      <c r="N985" s="0" t="n">
        <v>0</v>
      </c>
      <c r="O985" s="0" t="n">
        <v>430.56</v>
      </c>
    </row>
    <row r="986" customFormat="false" ht="15" hidden="false" customHeight="false" outlineLevel="0" collapsed="false">
      <c r="A986" s="0" t="s">
        <v>678</v>
      </c>
      <c r="C986" s="0" t="n">
        <v>2015</v>
      </c>
      <c r="E986" s="0" t="n">
        <v>20121.65</v>
      </c>
      <c r="F986" s="0" t="n">
        <v>8645.31</v>
      </c>
      <c r="G986" s="0" t="n">
        <v>3909.78</v>
      </c>
      <c r="H986" s="0" t="n">
        <v>676.32</v>
      </c>
      <c r="I986" s="0" t="n">
        <v>2375.34</v>
      </c>
      <c r="J986" s="0" t="n">
        <v>2991.07</v>
      </c>
      <c r="K986" s="0" t="n">
        <v>244.45</v>
      </c>
      <c r="L986" s="0" t="n">
        <v>803.8</v>
      </c>
      <c r="M986" s="0" t="n">
        <v>435.89</v>
      </c>
      <c r="N986" s="0" t="n">
        <v>39.69</v>
      </c>
      <c r="O986" s="0" t="n">
        <v>536.11</v>
      </c>
    </row>
    <row r="987" customFormat="false" ht="15" hidden="false" customHeight="false" outlineLevel="0" collapsed="false">
      <c r="A987" s="0" t="s">
        <v>678</v>
      </c>
      <c r="C987" s="0" t="n">
        <v>2016</v>
      </c>
      <c r="E987" s="0" t="n">
        <v>20676.08</v>
      </c>
      <c r="F987" s="0" t="n">
        <v>8648.54</v>
      </c>
      <c r="G987" s="0" t="n">
        <v>4144.98</v>
      </c>
      <c r="H987" s="0" t="n">
        <v>643.56</v>
      </c>
      <c r="I987" s="0" t="n">
        <v>2423.19</v>
      </c>
      <c r="J987" s="0" t="n">
        <v>3091.09</v>
      </c>
      <c r="K987" s="0" t="n">
        <v>308.74</v>
      </c>
      <c r="L987" s="0" t="n">
        <v>930.67</v>
      </c>
      <c r="M987" s="0" t="n">
        <v>443.44</v>
      </c>
      <c r="N987" s="0" t="n">
        <v>41.87</v>
      </c>
      <c r="O987" s="0" t="n">
        <v>526.09</v>
      </c>
    </row>
    <row r="988" customFormat="false" ht="15" hidden="false" customHeight="false" outlineLevel="0" collapsed="false">
      <c r="A988" s="0" t="s">
        <v>678</v>
      </c>
      <c r="C988" s="0" t="n">
        <v>2017</v>
      </c>
      <c r="E988" s="0" t="n">
        <v>21330.369</v>
      </c>
      <c r="F988" s="0" t="n">
        <v>8962.61</v>
      </c>
      <c r="G988" s="0" t="n">
        <v>4210.66</v>
      </c>
      <c r="H988" s="0" t="n">
        <v>589.59</v>
      </c>
      <c r="I988" s="0" t="n">
        <v>2448.34</v>
      </c>
      <c r="J988" s="0" t="n">
        <v>3081.41</v>
      </c>
      <c r="K988" s="0" t="n">
        <v>419</v>
      </c>
      <c r="L988" s="0" t="n">
        <v>1105.38</v>
      </c>
      <c r="M988" s="0" t="n">
        <v>467.92</v>
      </c>
      <c r="N988" s="0" t="n">
        <v>45.46</v>
      </c>
      <c r="O988" s="0" t="n">
        <v>523.19</v>
      </c>
    </row>
    <row r="989" customFormat="false" ht="15" hidden="false" customHeight="false" outlineLevel="0" collapsed="false">
      <c r="A989" s="0" t="s">
        <v>678</v>
      </c>
      <c r="C989" s="0" t="n">
        <v>2018</v>
      </c>
      <c r="E989" s="0" t="n">
        <v>22203.051</v>
      </c>
      <c r="F989" s="0" t="n">
        <v>9283.77</v>
      </c>
      <c r="G989" s="0" t="n">
        <v>4371.1</v>
      </c>
      <c r="H989" s="0" t="n">
        <v>547.43</v>
      </c>
      <c r="I989" s="0" t="n">
        <v>2503.03</v>
      </c>
      <c r="J989" s="0" t="n">
        <v>3188.88</v>
      </c>
      <c r="K989" s="0" t="n">
        <v>541.71</v>
      </c>
      <c r="L989" s="0" t="n">
        <v>1225.04</v>
      </c>
      <c r="M989" s="0" t="n">
        <v>495.01</v>
      </c>
      <c r="N989" s="0" t="n">
        <v>47.08</v>
      </c>
      <c r="O989" s="0" t="n">
        <v>518.7</v>
      </c>
    </row>
    <row r="990" customFormat="false" ht="15" hidden="false" customHeight="false" outlineLevel="0" collapsed="false">
      <c r="A990" s="0" t="s">
        <v>678</v>
      </c>
      <c r="C990" s="0" t="n">
        <v>2019</v>
      </c>
      <c r="E990" s="0" t="n">
        <v>22483.109</v>
      </c>
      <c r="F990" s="0" t="n">
        <v>9028.03</v>
      </c>
      <c r="G990" s="0" t="n">
        <v>4511.73</v>
      </c>
      <c r="H990" s="0" t="n">
        <v>502.24</v>
      </c>
      <c r="I990" s="0" t="n">
        <v>2594.83</v>
      </c>
      <c r="J990" s="0" t="n">
        <v>3270.06</v>
      </c>
      <c r="K990" s="0" t="n">
        <v>642.51</v>
      </c>
      <c r="L990" s="0" t="n">
        <v>1364.89</v>
      </c>
      <c r="M990" s="0" t="n">
        <v>521.37</v>
      </c>
      <c r="N990" s="0" t="n">
        <v>47.45</v>
      </c>
      <c r="O990" s="0" t="n">
        <v>503.11</v>
      </c>
    </row>
    <row r="991" customFormat="false" ht="15" hidden="false" customHeight="false" outlineLevel="0" collapsed="false">
      <c r="A991" s="0" t="s">
        <v>678</v>
      </c>
      <c r="C991" s="0" t="n">
        <v>2020</v>
      </c>
      <c r="E991" s="0" t="n">
        <v>22358.26</v>
      </c>
      <c r="F991" s="0" t="n">
        <v>8638.14</v>
      </c>
      <c r="G991" s="0" t="n">
        <v>4497.93</v>
      </c>
      <c r="H991" s="0" t="n">
        <v>452.95</v>
      </c>
      <c r="I991" s="0" t="n">
        <v>2496.18</v>
      </c>
      <c r="J991" s="0" t="n">
        <v>3365.72</v>
      </c>
      <c r="K991" s="0" t="n">
        <v>774.22</v>
      </c>
      <c r="L991" s="0" t="n">
        <v>1527.38</v>
      </c>
      <c r="M991" s="0" t="n">
        <v>555.53</v>
      </c>
      <c r="N991" s="0" t="n">
        <v>50.21</v>
      </c>
      <c r="O991" s="0" t="n">
        <v>487.82</v>
      </c>
    </row>
    <row r="992" customFormat="false" ht="15" hidden="false" customHeight="false" outlineLevel="0" collapsed="false">
      <c r="A992" s="0" t="s">
        <v>678</v>
      </c>
      <c r="C992" s="0" t="n">
        <v>2021</v>
      </c>
      <c r="E992" s="0" t="n">
        <v>23682.631</v>
      </c>
      <c r="F992" s="0" t="n">
        <v>9373.1</v>
      </c>
      <c r="G992" s="0" t="n">
        <v>4586.8</v>
      </c>
      <c r="H992" s="0" t="n">
        <v>497.63</v>
      </c>
      <c r="I992" s="0" t="n">
        <v>2591.62</v>
      </c>
      <c r="J992" s="0" t="n">
        <v>3255.71</v>
      </c>
      <c r="K992" s="0" t="n">
        <v>941.14</v>
      </c>
      <c r="L992" s="0" t="n">
        <v>1779.78</v>
      </c>
      <c r="M992" s="0" t="n">
        <v>605.56</v>
      </c>
      <c r="N992" s="0" t="n">
        <v>51.29</v>
      </c>
      <c r="O992" s="0" t="n">
        <v>492.81</v>
      </c>
    </row>
    <row r="993" customFormat="false" ht="15" hidden="false" customHeight="false" outlineLevel="0" collapsed="false">
      <c r="A993" s="0" t="s">
        <v>678</v>
      </c>
      <c r="C993" s="0" t="n">
        <v>2022</v>
      </c>
      <c r="E993" s="0" t="n">
        <v>24275.41</v>
      </c>
      <c r="F993" s="0" t="n">
        <v>9500.71</v>
      </c>
      <c r="G993" s="0" t="n">
        <v>4592.6</v>
      </c>
      <c r="H993" s="0" t="n">
        <v>542.23</v>
      </c>
      <c r="I993" s="0" t="n">
        <v>2473.3</v>
      </c>
      <c r="J993" s="0" t="n">
        <v>3276.79</v>
      </c>
      <c r="K993" s="0" t="n">
        <v>1199.53</v>
      </c>
      <c r="L993" s="0" t="n">
        <v>2017.44</v>
      </c>
      <c r="M993" s="0" t="n">
        <v>620.81</v>
      </c>
      <c r="N993" s="0" t="n">
        <v>52</v>
      </c>
      <c r="O993" s="0" t="n">
        <v>487.43</v>
      </c>
    </row>
    <row r="994" customFormat="false" ht="15" hidden="false" customHeight="false" outlineLevel="0" collapsed="false">
      <c r="A994" s="0" t="s">
        <v>678</v>
      </c>
      <c r="C994" s="0" t="n">
        <v>2023</v>
      </c>
      <c r="E994" s="0" t="n">
        <v>24889.289</v>
      </c>
      <c r="F994" s="0" t="n">
        <v>9633.11</v>
      </c>
      <c r="G994" s="0" t="n">
        <v>4638.81</v>
      </c>
      <c r="H994" s="0" t="n">
        <v>509.16</v>
      </c>
      <c r="I994" s="0" t="n">
        <v>2525.7</v>
      </c>
      <c r="J994" s="0" t="n">
        <v>3173.77</v>
      </c>
      <c r="K994" s="0" t="n">
        <v>1506.35</v>
      </c>
      <c r="L994" s="0" t="n">
        <v>2218.34</v>
      </c>
      <c r="M994" s="0" t="n">
        <v>631.81</v>
      </c>
      <c r="N994" s="0" t="n">
        <v>52.24</v>
      </c>
      <c r="O994" s="0" t="n">
        <v>480.57</v>
      </c>
    </row>
    <row r="995" customFormat="false" ht="15" hidden="false" customHeight="false" outlineLevel="0" collapsed="false">
      <c r="A995" s="0" t="s">
        <v>678</v>
      </c>
      <c r="C995" s="0" t="n">
        <v>2024</v>
      </c>
      <c r="E995" s="0" t="n">
        <v>26009.641</v>
      </c>
      <c r="F995" s="0" t="n">
        <v>9742.53</v>
      </c>
      <c r="G995" s="0" t="n">
        <v>4766.96</v>
      </c>
      <c r="H995" s="0" t="n">
        <v>504.05</v>
      </c>
      <c r="I995" s="0" t="n">
        <v>2598.73</v>
      </c>
      <c r="J995" s="0" t="n">
        <v>3342.98</v>
      </c>
      <c r="K995" s="0" t="n">
        <v>1954.25</v>
      </c>
      <c r="L995" s="0" t="n">
        <v>2398.11</v>
      </c>
      <c r="M995" s="0" t="n">
        <v>650.86</v>
      </c>
      <c r="N995" s="0" t="n">
        <v>51.17</v>
      </c>
      <c r="O995" s="0" t="n">
        <v>466.91</v>
      </c>
    </row>
    <row r="996" customFormat="false" ht="15" hidden="false" customHeight="false" outlineLevel="0" collapsed="false">
      <c r="A996" s="0" t="s">
        <v>678</v>
      </c>
      <c r="C996" s="0" t="n">
        <v>2025</v>
      </c>
      <c r="E996" s="0" t="n">
        <v>26769.539</v>
      </c>
      <c r="F996" s="0" t="n">
        <v>9703.64</v>
      </c>
      <c r="G996" s="0" t="n">
        <v>4766.7</v>
      </c>
      <c r="H996" s="0" t="n">
        <v>492.66</v>
      </c>
      <c r="I996" s="0" t="n">
        <v>2644.74</v>
      </c>
      <c r="J996" s="0" t="n">
        <v>3311.71</v>
      </c>
      <c r="K996" s="0" t="n">
        <v>2546.58</v>
      </c>
      <c r="L996" s="0" t="n">
        <v>2589.72</v>
      </c>
      <c r="M996" s="0" t="n">
        <v>661.89</v>
      </c>
      <c r="N996" s="0" t="n">
        <v>51.9</v>
      </c>
      <c r="O996" s="0" t="n">
        <v>453.29</v>
      </c>
    </row>
    <row r="997" customFormat="false" ht="15" hidden="false" customHeight="false" outlineLevel="0" collapsed="false">
      <c r="A997" s="0" t="s">
        <v>679</v>
      </c>
      <c r="C997" s="0" t="n">
        <v>2015</v>
      </c>
      <c r="E997" s="0" t="n">
        <v>7607.07</v>
      </c>
      <c r="F997" s="0" t="n">
        <v>2170.17</v>
      </c>
      <c r="G997" s="0" t="n">
        <v>2112.33</v>
      </c>
      <c r="H997" s="0" t="n">
        <v>217.43</v>
      </c>
      <c r="I997" s="0" t="n">
        <v>1502.36</v>
      </c>
      <c r="J997" s="0" t="n">
        <v>838.33</v>
      </c>
      <c r="K997" s="0" t="n">
        <v>152.76</v>
      </c>
      <c r="L997" s="0" t="n">
        <v>380.06</v>
      </c>
      <c r="M997" s="0" t="n">
        <v>207.62</v>
      </c>
      <c r="N997" s="0" t="n">
        <v>26.01</v>
      </c>
      <c r="O997" s="0" t="n">
        <v>444.52</v>
      </c>
    </row>
    <row r="998" customFormat="false" ht="15" hidden="false" customHeight="false" outlineLevel="0" collapsed="false">
      <c r="A998" s="0" t="s">
        <v>679</v>
      </c>
      <c r="C998" s="0" t="n">
        <v>2016</v>
      </c>
      <c r="E998" s="0" t="n">
        <v>7643.88</v>
      </c>
      <c r="F998" s="0" t="n">
        <v>1981.02</v>
      </c>
      <c r="G998" s="0" t="n">
        <v>2287.45</v>
      </c>
      <c r="H998" s="0" t="n">
        <v>205.2</v>
      </c>
      <c r="I998" s="0" t="n">
        <v>1483.65</v>
      </c>
      <c r="J998" s="0" t="n">
        <v>855.18</v>
      </c>
      <c r="K998" s="0" t="n">
        <v>179.94</v>
      </c>
      <c r="L998" s="0" t="n">
        <v>419.41</v>
      </c>
      <c r="M998" s="0" t="n">
        <v>205.81</v>
      </c>
      <c r="N998" s="0" t="n">
        <v>26.22</v>
      </c>
      <c r="O998" s="0" t="n">
        <v>429.37</v>
      </c>
    </row>
    <row r="999" customFormat="false" ht="15" hidden="false" customHeight="false" outlineLevel="0" collapsed="false">
      <c r="A999" s="0" t="s">
        <v>679</v>
      </c>
      <c r="C999" s="0" t="n">
        <v>2017</v>
      </c>
      <c r="E999" s="0" t="n">
        <v>7629.03</v>
      </c>
      <c r="F999" s="0" t="n">
        <v>1941.35</v>
      </c>
      <c r="G999" s="0" t="n">
        <v>2225.68</v>
      </c>
      <c r="H999" s="0" t="n">
        <v>160.94</v>
      </c>
      <c r="I999" s="0" t="n">
        <v>1479.64</v>
      </c>
      <c r="J999" s="0" t="n">
        <v>879.9</v>
      </c>
      <c r="K999" s="0" t="n">
        <v>218.1</v>
      </c>
      <c r="L999" s="0" t="n">
        <v>489.72</v>
      </c>
      <c r="M999" s="0" t="n">
        <v>207.65</v>
      </c>
      <c r="N999" s="0" t="n">
        <v>26.05</v>
      </c>
      <c r="O999" s="0" t="n">
        <v>416.81</v>
      </c>
    </row>
    <row r="1000" customFormat="false" ht="15" hidden="false" customHeight="false" outlineLevel="0" collapsed="false">
      <c r="A1000" s="0" t="s">
        <v>679</v>
      </c>
      <c r="C1000" s="0" t="n">
        <v>2018</v>
      </c>
      <c r="E1000" s="0" t="n">
        <v>7774.02</v>
      </c>
      <c r="F1000" s="0" t="n">
        <v>1844.94</v>
      </c>
      <c r="G1000" s="0" t="n">
        <v>2357.64</v>
      </c>
      <c r="H1000" s="0" t="n">
        <v>157.99</v>
      </c>
      <c r="I1000" s="0" t="n">
        <v>1510.22</v>
      </c>
      <c r="J1000" s="0" t="n">
        <v>890.54</v>
      </c>
      <c r="K1000" s="0" t="n">
        <v>248.86</v>
      </c>
      <c r="L1000" s="0" t="n">
        <v>526.69</v>
      </c>
      <c r="M1000" s="0" t="n">
        <v>211.54</v>
      </c>
      <c r="N1000" s="0" t="n">
        <v>25.6</v>
      </c>
      <c r="O1000" s="0" t="n">
        <v>407.15</v>
      </c>
    </row>
    <row r="1001" customFormat="false" ht="15" hidden="false" customHeight="false" outlineLevel="0" collapsed="false">
      <c r="A1001" s="0" t="s">
        <v>679</v>
      </c>
      <c r="C1001" s="0" t="n">
        <v>2019</v>
      </c>
      <c r="E1001" s="0" t="n">
        <v>7644.27</v>
      </c>
      <c r="F1001" s="0" t="n">
        <v>1566.72</v>
      </c>
      <c r="G1001" s="0" t="n">
        <v>2479.73</v>
      </c>
      <c r="H1001" s="0" t="n">
        <v>136.5</v>
      </c>
      <c r="I1001" s="0" t="n">
        <v>1505.8</v>
      </c>
      <c r="J1001" s="0" t="n">
        <v>867.19</v>
      </c>
      <c r="K1001" s="0" t="n">
        <v>271.42</v>
      </c>
      <c r="L1001" s="0" t="n">
        <v>580.87</v>
      </c>
      <c r="M1001" s="0" t="n">
        <v>211.28</v>
      </c>
      <c r="N1001" s="0" t="n">
        <v>24.76</v>
      </c>
      <c r="O1001" s="0" t="n">
        <v>386.1</v>
      </c>
    </row>
    <row r="1002" customFormat="false" ht="15" hidden="false" customHeight="false" outlineLevel="0" collapsed="false">
      <c r="A1002" s="0" t="s">
        <v>679</v>
      </c>
      <c r="C1002" s="0" t="n">
        <v>2020</v>
      </c>
      <c r="E1002" s="0" t="n">
        <v>7391.21</v>
      </c>
      <c r="F1002" s="0" t="n">
        <v>1309.45</v>
      </c>
      <c r="G1002" s="0" t="n">
        <v>2485.04</v>
      </c>
      <c r="H1002" s="0" t="n">
        <v>119.61</v>
      </c>
      <c r="I1002" s="0" t="n">
        <v>1398.84</v>
      </c>
      <c r="J1002" s="0" t="n">
        <v>880.5</v>
      </c>
      <c r="K1002" s="0" t="n">
        <v>310.79</v>
      </c>
      <c r="L1002" s="0" t="n">
        <v>648.65</v>
      </c>
      <c r="M1002" s="0" t="n">
        <v>213.37</v>
      </c>
      <c r="N1002" s="0" t="n">
        <v>24.96</v>
      </c>
      <c r="O1002" s="0" t="n">
        <v>365.95</v>
      </c>
    </row>
    <row r="1003" customFormat="false" ht="15" hidden="false" customHeight="false" outlineLevel="0" collapsed="false">
      <c r="A1003" s="0" t="s">
        <v>679</v>
      </c>
      <c r="C1003" s="0" t="n">
        <v>2021</v>
      </c>
      <c r="E1003" s="0" t="n">
        <v>7563.22</v>
      </c>
      <c r="F1003" s="0" t="n">
        <v>1471.99</v>
      </c>
      <c r="G1003" s="0" t="n">
        <v>2439.04</v>
      </c>
      <c r="H1003" s="0" t="n">
        <v>126.22</v>
      </c>
      <c r="I1003" s="0" t="n">
        <v>1427.44</v>
      </c>
      <c r="J1003" s="0" t="n">
        <v>838.54</v>
      </c>
      <c r="K1003" s="0" t="n">
        <v>355.5</v>
      </c>
      <c r="L1003" s="0" t="n">
        <v>662.18</v>
      </c>
      <c r="M1003" s="0" t="n">
        <v>217.34</v>
      </c>
      <c r="N1003" s="0" t="n">
        <v>24.97</v>
      </c>
      <c r="O1003" s="0" t="n">
        <v>375.61</v>
      </c>
    </row>
    <row r="1004" customFormat="false" ht="15" hidden="false" customHeight="false" outlineLevel="0" collapsed="false">
      <c r="A1004" s="0" t="s">
        <v>679</v>
      </c>
      <c r="C1004" s="0" t="n">
        <v>2022</v>
      </c>
      <c r="E1004" s="0" t="n">
        <v>7631.62</v>
      </c>
      <c r="F1004" s="0" t="n">
        <v>1421.63</v>
      </c>
      <c r="G1004" s="0" t="n">
        <v>2547.71</v>
      </c>
      <c r="H1004" s="0" t="n">
        <v>151.27</v>
      </c>
      <c r="I1004" s="0" t="n">
        <v>1286.78</v>
      </c>
      <c r="J1004" s="0" t="n">
        <v>818.6</v>
      </c>
      <c r="K1004" s="0" t="n">
        <v>422.98</v>
      </c>
      <c r="L1004" s="0" t="n">
        <v>746.91</v>
      </c>
      <c r="M1004" s="0" t="n">
        <v>210.93</v>
      </c>
      <c r="N1004" s="0" t="n">
        <v>24.81</v>
      </c>
      <c r="O1004" s="0" t="n">
        <v>376.06</v>
      </c>
    </row>
    <row r="1005" customFormat="false" ht="15" hidden="false" customHeight="false" outlineLevel="0" collapsed="false">
      <c r="A1005" s="0" t="s">
        <v>679</v>
      </c>
      <c r="C1005" s="0" t="n">
        <v>2023</v>
      </c>
      <c r="E1005" s="0" t="n">
        <v>7481.58</v>
      </c>
      <c r="F1005" s="0" t="n">
        <v>1169.17</v>
      </c>
      <c r="G1005" s="0" t="n">
        <v>2583.28</v>
      </c>
      <c r="H1005" s="0" t="n">
        <v>126.52</v>
      </c>
      <c r="I1005" s="0" t="n">
        <v>1326.78</v>
      </c>
      <c r="J1005" s="0" t="n">
        <v>797.48</v>
      </c>
      <c r="K1005" s="0" t="n">
        <v>474.75</v>
      </c>
      <c r="L1005" s="0" t="n">
        <v>768.37</v>
      </c>
      <c r="M1005" s="0" t="n">
        <v>210.32</v>
      </c>
      <c r="N1005" s="0" t="n">
        <v>24.91</v>
      </c>
      <c r="O1005" s="0" t="n">
        <v>353.39</v>
      </c>
    </row>
    <row r="1006" customFormat="false" ht="15" hidden="false" customHeight="false" outlineLevel="0" collapsed="false">
      <c r="A1006" s="0" t="s">
        <v>679</v>
      </c>
      <c r="C1006" s="0" t="n">
        <v>2024</v>
      </c>
      <c r="E1006" s="0" t="n">
        <v>7653.69</v>
      </c>
      <c r="F1006" s="0" t="n">
        <v>1117.63</v>
      </c>
      <c r="G1006" s="0" t="n">
        <v>2627.14</v>
      </c>
      <c r="H1006" s="0" t="n">
        <v>114.93</v>
      </c>
      <c r="I1006" s="0" t="n">
        <v>1373.28</v>
      </c>
      <c r="J1006" s="0" t="n">
        <v>813.53</v>
      </c>
      <c r="K1006" s="0" t="n">
        <v>559.65</v>
      </c>
      <c r="L1006" s="0" t="n">
        <v>802.8</v>
      </c>
      <c r="M1006" s="0" t="n">
        <v>220.75</v>
      </c>
      <c r="N1006" s="0" t="n">
        <v>23.98</v>
      </c>
      <c r="O1006" s="0" t="n">
        <v>342.44</v>
      </c>
    </row>
    <row r="1007" customFormat="false" ht="15" hidden="false" customHeight="false" outlineLevel="0" collapsed="false">
      <c r="A1007" s="0" t="s">
        <v>679</v>
      </c>
      <c r="C1007" s="0" t="n">
        <v>2025</v>
      </c>
      <c r="E1007" s="0" t="n">
        <v>7829.55</v>
      </c>
      <c r="F1007" s="0" t="n">
        <v>1202.86</v>
      </c>
      <c r="G1007" s="0" t="n">
        <v>2576.69</v>
      </c>
      <c r="H1007" s="0" t="n">
        <v>113.59</v>
      </c>
      <c r="I1007" s="0" t="n">
        <v>1392.64</v>
      </c>
      <c r="J1007" s="0" t="n">
        <v>786.56</v>
      </c>
      <c r="K1007" s="0" t="n">
        <v>685.44</v>
      </c>
      <c r="L1007" s="0" t="n">
        <v>818.56</v>
      </c>
      <c r="M1007" s="0" t="n">
        <v>229.25</v>
      </c>
      <c r="N1007" s="0" t="n">
        <v>23.96</v>
      </c>
      <c r="O1007" s="0" t="n">
        <v>342.42</v>
      </c>
    </row>
    <row r="1008" customFormat="false" ht="15" hidden="false" customHeight="false" outlineLevel="0" collapsed="false">
      <c r="A1008" s="0" t="s">
        <v>252</v>
      </c>
      <c r="B1008" s="0" t="s">
        <v>490</v>
      </c>
      <c r="C1008" s="0" t="n">
        <v>2015</v>
      </c>
      <c r="D1008" s="0" t="n">
        <v>2040990</v>
      </c>
      <c r="E1008" s="0" t="n">
        <v>2.12</v>
      </c>
      <c r="F1008" s="0" t="n">
        <v>0</v>
      </c>
      <c r="G1008" s="0" t="n">
        <v>0.98</v>
      </c>
      <c r="H1008" s="0" t="n">
        <v>0.22</v>
      </c>
      <c r="I1008" s="0" t="n">
        <v>0</v>
      </c>
      <c r="J1008" s="0" t="n">
        <v>0.91</v>
      </c>
      <c r="K1008" s="0" t="n">
        <v>0</v>
      </c>
      <c r="L1008" s="0" t="n">
        <v>0</v>
      </c>
      <c r="M1008" s="0" t="n">
        <v>0.01</v>
      </c>
      <c r="N1008" s="0" t="n">
        <v>0</v>
      </c>
      <c r="O1008" s="0" t="n">
        <v>476.42</v>
      </c>
    </row>
    <row r="1009" customFormat="false" ht="15" hidden="false" customHeight="false" outlineLevel="0" collapsed="false">
      <c r="A1009" s="0" t="s">
        <v>252</v>
      </c>
      <c r="B1009" s="0" t="s">
        <v>490</v>
      </c>
      <c r="C1009" s="0" t="n">
        <v>2016</v>
      </c>
      <c r="D1009" s="0" t="n">
        <v>2100310</v>
      </c>
      <c r="E1009" s="0" t="n">
        <v>2.19</v>
      </c>
      <c r="F1009" s="0" t="n">
        <v>0</v>
      </c>
      <c r="G1009" s="0" t="n">
        <v>1.15</v>
      </c>
      <c r="H1009" s="0" t="n">
        <v>0.21</v>
      </c>
      <c r="I1009" s="0" t="n">
        <v>0</v>
      </c>
      <c r="J1009" s="0" t="n">
        <v>0.82</v>
      </c>
      <c r="K1009" s="0" t="n">
        <v>0</v>
      </c>
      <c r="L1009" s="0" t="n">
        <v>0</v>
      </c>
      <c r="M1009" s="0" t="n">
        <v>0.01</v>
      </c>
      <c r="N1009" s="0" t="n">
        <v>0</v>
      </c>
      <c r="O1009" s="0" t="n">
        <v>525.11</v>
      </c>
    </row>
    <row r="1010" customFormat="false" ht="15" hidden="false" customHeight="false" outlineLevel="0" collapsed="false">
      <c r="A1010" s="0" t="s">
        <v>252</v>
      </c>
      <c r="B1010" s="0" t="s">
        <v>490</v>
      </c>
      <c r="C1010" s="0" t="n">
        <v>2017</v>
      </c>
      <c r="D1010" s="0" t="n">
        <v>2156902</v>
      </c>
      <c r="E1010" s="0" t="n">
        <v>2.24</v>
      </c>
      <c r="F1010" s="0" t="n">
        <v>0</v>
      </c>
      <c r="G1010" s="0" t="n">
        <v>1.11</v>
      </c>
      <c r="H1010" s="0" t="n">
        <v>0.19</v>
      </c>
      <c r="I1010" s="0" t="n">
        <v>0</v>
      </c>
      <c r="J1010" s="0" t="n">
        <v>0.93</v>
      </c>
      <c r="K1010" s="0" t="n">
        <v>0</v>
      </c>
      <c r="L1010" s="0" t="n">
        <v>0</v>
      </c>
      <c r="M1010" s="0" t="n">
        <v>0.01</v>
      </c>
      <c r="N1010" s="0" t="n">
        <v>0</v>
      </c>
      <c r="O1010" s="0" t="n">
        <v>495.54</v>
      </c>
    </row>
    <row r="1011" customFormat="false" ht="15" hidden="false" customHeight="false" outlineLevel="0" collapsed="false">
      <c r="A1011" s="0" t="s">
        <v>252</v>
      </c>
      <c r="B1011" s="0" t="s">
        <v>490</v>
      </c>
      <c r="C1011" s="0" t="n">
        <v>2018</v>
      </c>
      <c r="D1011" s="0" t="n">
        <v>2212320</v>
      </c>
      <c r="E1011" s="0" t="n">
        <v>2.78</v>
      </c>
      <c r="F1011" s="0" t="n">
        <v>0</v>
      </c>
      <c r="G1011" s="0" t="n">
        <v>1.08</v>
      </c>
      <c r="H1011" s="0" t="n">
        <v>0.39</v>
      </c>
      <c r="I1011" s="0" t="n">
        <v>0</v>
      </c>
      <c r="J1011" s="0" t="n">
        <v>1.3</v>
      </c>
      <c r="K1011" s="0" t="n">
        <v>0</v>
      </c>
      <c r="L1011" s="0" t="n">
        <v>0</v>
      </c>
      <c r="M1011" s="0" t="n">
        <v>0.01</v>
      </c>
      <c r="N1011" s="0" t="n">
        <v>0</v>
      </c>
      <c r="O1011" s="0" t="n">
        <v>438.85</v>
      </c>
    </row>
    <row r="1012" customFormat="false" ht="15" hidden="false" customHeight="false" outlineLevel="0" collapsed="false">
      <c r="A1012" s="0" t="s">
        <v>252</v>
      </c>
      <c r="B1012" s="0" t="s">
        <v>490</v>
      </c>
      <c r="C1012" s="0" t="n">
        <v>2019</v>
      </c>
      <c r="D1012" s="0" t="n">
        <v>2267711</v>
      </c>
      <c r="E1012" s="0" t="n">
        <v>2.84</v>
      </c>
      <c r="F1012" s="0" t="n">
        <v>0</v>
      </c>
      <c r="G1012" s="0" t="n">
        <v>1.1</v>
      </c>
      <c r="H1012" s="0" t="n">
        <v>0.42</v>
      </c>
      <c r="I1012" s="0" t="n">
        <v>0</v>
      </c>
      <c r="J1012" s="0" t="n">
        <v>1.31</v>
      </c>
      <c r="K1012" s="0" t="n">
        <v>0</v>
      </c>
      <c r="L1012" s="0" t="n">
        <v>0</v>
      </c>
      <c r="M1012" s="0" t="n">
        <v>0.01</v>
      </c>
      <c r="N1012" s="0" t="n">
        <v>0</v>
      </c>
      <c r="O1012" s="0" t="n">
        <v>443.66</v>
      </c>
    </row>
    <row r="1013" customFormat="false" ht="15" hidden="false" customHeight="false" outlineLevel="0" collapsed="false">
      <c r="A1013" s="0" t="s">
        <v>252</v>
      </c>
      <c r="B1013" s="0" t="s">
        <v>490</v>
      </c>
      <c r="C1013" s="0" t="n">
        <v>2020</v>
      </c>
      <c r="D1013" s="0" t="n">
        <v>2322538</v>
      </c>
      <c r="E1013" s="0" t="n">
        <v>2.93</v>
      </c>
      <c r="F1013" s="0" t="n">
        <v>0</v>
      </c>
      <c r="G1013" s="0" t="n">
        <v>1.1</v>
      </c>
      <c r="H1013" s="0" t="n">
        <v>0.4</v>
      </c>
      <c r="I1013" s="0" t="n">
        <v>0</v>
      </c>
      <c r="J1013" s="0" t="n">
        <v>1.42</v>
      </c>
      <c r="K1013" s="0" t="n">
        <v>0</v>
      </c>
      <c r="L1013" s="0" t="n">
        <v>0</v>
      </c>
      <c r="M1013" s="0" t="n">
        <v>0.01</v>
      </c>
      <c r="N1013" s="0" t="n">
        <v>0</v>
      </c>
      <c r="O1013" s="0" t="n">
        <v>423.21</v>
      </c>
    </row>
    <row r="1014" customFormat="false" ht="15" hidden="false" customHeight="false" outlineLevel="0" collapsed="false">
      <c r="A1014" s="0" t="s">
        <v>252</v>
      </c>
      <c r="B1014" s="0" t="s">
        <v>490</v>
      </c>
      <c r="C1014" s="0" t="n">
        <v>2021</v>
      </c>
      <c r="D1014" s="0" t="n">
        <v>2376729</v>
      </c>
      <c r="E1014" s="0" t="n">
        <v>2.96</v>
      </c>
      <c r="F1014" s="0" t="n">
        <v>0</v>
      </c>
      <c r="G1014" s="0" t="n">
        <v>1.11</v>
      </c>
      <c r="H1014" s="0" t="n">
        <v>0.47</v>
      </c>
      <c r="I1014" s="0" t="n">
        <v>0</v>
      </c>
      <c r="J1014" s="0" t="n">
        <v>1.37</v>
      </c>
      <c r="K1014" s="0" t="n">
        <v>0</v>
      </c>
      <c r="L1014" s="0" t="n">
        <v>0</v>
      </c>
      <c r="M1014" s="0" t="n">
        <v>0.01</v>
      </c>
      <c r="N1014" s="0" t="n">
        <v>0</v>
      </c>
      <c r="O1014" s="0" t="n">
        <v>439.19</v>
      </c>
    </row>
    <row r="1015" customFormat="false" ht="15" hidden="false" customHeight="false" outlineLevel="0" collapsed="false">
      <c r="A1015" s="0" t="s">
        <v>252</v>
      </c>
      <c r="B1015" s="0" t="s">
        <v>490</v>
      </c>
      <c r="C1015" s="0" t="n">
        <v>2022</v>
      </c>
      <c r="D1015" s="0" t="n">
        <v>2430750</v>
      </c>
      <c r="E1015" s="0" t="n">
        <v>3.19</v>
      </c>
      <c r="F1015" s="0" t="n">
        <v>0</v>
      </c>
      <c r="G1015" s="0" t="n">
        <v>1.12</v>
      </c>
      <c r="H1015" s="0" t="n">
        <v>0.54</v>
      </c>
      <c r="I1015" s="0" t="n">
        <v>0</v>
      </c>
      <c r="J1015" s="0" t="n">
        <v>1.52</v>
      </c>
      <c r="K1015" s="0" t="n">
        <v>0</v>
      </c>
      <c r="L1015" s="0" t="n">
        <v>0</v>
      </c>
      <c r="M1015" s="0" t="n">
        <v>0.01</v>
      </c>
      <c r="N1015" s="0" t="n">
        <v>0</v>
      </c>
      <c r="O1015" s="0" t="n">
        <v>429.47</v>
      </c>
    </row>
    <row r="1016" customFormat="false" ht="15" hidden="false" customHeight="false" outlineLevel="0" collapsed="false">
      <c r="A1016" s="0" t="s">
        <v>252</v>
      </c>
      <c r="B1016" s="0" t="s">
        <v>490</v>
      </c>
      <c r="C1016" s="0" t="n">
        <v>2023</v>
      </c>
      <c r="D1016" s="0" t="n">
        <v>2484790</v>
      </c>
      <c r="E1016" s="0" t="n">
        <v>2.59</v>
      </c>
      <c r="F1016" s="0" t="n">
        <v>0</v>
      </c>
      <c r="G1016" s="0" t="n">
        <v>1.14</v>
      </c>
      <c r="H1016" s="0" t="n">
        <v>0.53</v>
      </c>
      <c r="I1016" s="0" t="n">
        <v>0</v>
      </c>
      <c r="J1016" s="0" t="n">
        <v>0.91</v>
      </c>
      <c r="K1016" s="0" t="n">
        <v>0</v>
      </c>
      <c r="L1016" s="0" t="n">
        <v>0</v>
      </c>
      <c r="M1016" s="0" t="n">
        <v>0.01</v>
      </c>
      <c r="N1016" s="0" t="n">
        <v>0</v>
      </c>
      <c r="O1016" s="0" t="n">
        <v>525.1</v>
      </c>
    </row>
    <row r="1017" customFormat="false" ht="15" hidden="false" customHeight="false" outlineLevel="0" collapsed="false">
      <c r="A1017" s="0" t="s">
        <v>252</v>
      </c>
      <c r="B1017" s="0" t="s">
        <v>490</v>
      </c>
      <c r="C1017" s="0" t="n">
        <v>2024</v>
      </c>
      <c r="D1017" s="0" t="n">
        <v>2538953</v>
      </c>
      <c r="E1017" s="0" t="n">
        <v>2.6</v>
      </c>
      <c r="F1017" s="0" t="n">
        <v>0</v>
      </c>
      <c r="G1017" s="0" t="n">
        <v>1.15</v>
      </c>
      <c r="H1017" s="0" t="n">
        <v>0.53</v>
      </c>
      <c r="I1017" s="0" t="n">
        <v>0</v>
      </c>
      <c r="J1017" s="0" t="n">
        <v>0.91</v>
      </c>
      <c r="K1017" s="0" t="n">
        <v>0</v>
      </c>
      <c r="L1017" s="0" t="n">
        <v>0</v>
      </c>
      <c r="M1017" s="0" t="n">
        <v>0.01</v>
      </c>
      <c r="N1017" s="0" t="n">
        <v>0</v>
      </c>
      <c r="O1017" s="0" t="n">
        <v>523.08</v>
      </c>
    </row>
    <row r="1018" customFormat="false" ht="15" hidden="false" customHeight="false" outlineLevel="0" collapsed="false">
      <c r="A1018" s="0" t="s">
        <v>253</v>
      </c>
      <c r="B1018" s="0" t="s">
        <v>491</v>
      </c>
      <c r="C1018" s="0" t="n">
        <v>2015</v>
      </c>
      <c r="D1018" s="0" t="n">
        <v>2224530</v>
      </c>
      <c r="E1018" s="0" t="n">
        <v>0.28</v>
      </c>
      <c r="F1018" s="0" t="n">
        <v>0</v>
      </c>
      <c r="G1018" s="0" t="n">
        <v>0</v>
      </c>
      <c r="H1018" s="0" t="n">
        <v>0.28</v>
      </c>
      <c r="I1018" s="0" t="n">
        <v>0</v>
      </c>
      <c r="J1018" s="0" t="n">
        <v>0</v>
      </c>
      <c r="K1018" s="0" t="n">
        <v>0</v>
      </c>
      <c r="L1018" s="0" t="n">
        <v>0</v>
      </c>
      <c r="M1018" s="0" t="n">
        <v>0</v>
      </c>
      <c r="N1018" s="0" t="n">
        <v>0</v>
      </c>
      <c r="O1018" s="0" t="n">
        <v>642.86</v>
      </c>
    </row>
    <row r="1019" customFormat="false" ht="15" hidden="false" customHeight="false" outlineLevel="0" collapsed="false">
      <c r="A1019" s="0" t="s">
        <v>253</v>
      </c>
      <c r="B1019" s="0" t="s">
        <v>491</v>
      </c>
      <c r="C1019" s="0" t="n">
        <v>2016</v>
      </c>
      <c r="D1019" s="0" t="n">
        <v>2283775</v>
      </c>
      <c r="E1019" s="0" t="n">
        <v>0.3</v>
      </c>
      <c r="F1019" s="0" t="n">
        <v>0</v>
      </c>
      <c r="G1019" s="0" t="n">
        <v>0</v>
      </c>
      <c r="H1019" s="0" t="n">
        <v>0.3</v>
      </c>
      <c r="I1019" s="0" t="n">
        <v>0</v>
      </c>
      <c r="J1019" s="0" t="n">
        <v>0</v>
      </c>
      <c r="K1019" s="0" t="n">
        <v>0</v>
      </c>
      <c r="L1019" s="0" t="n">
        <v>0</v>
      </c>
      <c r="M1019" s="0" t="n">
        <v>0</v>
      </c>
      <c r="N1019" s="0" t="n">
        <v>0</v>
      </c>
      <c r="O1019" s="0" t="n">
        <v>666.67</v>
      </c>
    </row>
    <row r="1020" customFormat="false" ht="15" hidden="false" customHeight="false" outlineLevel="0" collapsed="false">
      <c r="A1020" s="0" t="s">
        <v>253</v>
      </c>
      <c r="B1020" s="0" t="s">
        <v>491</v>
      </c>
      <c r="C1020" s="0" t="n">
        <v>2017</v>
      </c>
      <c r="D1020" s="0" t="n">
        <v>2342191</v>
      </c>
      <c r="E1020" s="0" t="n">
        <v>0.31</v>
      </c>
      <c r="F1020" s="0" t="n">
        <v>0</v>
      </c>
      <c r="G1020" s="0" t="n">
        <v>0</v>
      </c>
      <c r="H1020" s="0" t="n">
        <v>0.31</v>
      </c>
      <c r="I1020" s="0" t="n">
        <v>0</v>
      </c>
      <c r="J1020" s="0" t="n">
        <v>0</v>
      </c>
      <c r="K1020" s="0" t="n">
        <v>0</v>
      </c>
      <c r="L1020" s="0" t="n">
        <v>0</v>
      </c>
      <c r="M1020" s="0" t="n">
        <v>0</v>
      </c>
      <c r="N1020" s="0" t="n">
        <v>0</v>
      </c>
      <c r="O1020" s="0" t="n">
        <v>645.16</v>
      </c>
    </row>
    <row r="1021" customFormat="false" ht="15" hidden="false" customHeight="false" outlineLevel="0" collapsed="false">
      <c r="A1021" s="0" t="s">
        <v>253</v>
      </c>
      <c r="B1021" s="0" t="s">
        <v>491</v>
      </c>
      <c r="C1021" s="0" t="n">
        <v>2018</v>
      </c>
      <c r="D1021" s="0" t="n">
        <v>2399633</v>
      </c>
      <c r="E1021" s="0" t="n">
        <v>0.39</v>
      </c>
      <c r="F1021" s="0" t="n">
        <v>0</v>
      </c>
      <c r="G1021" s="0" t="n">
        <v>0</v>
      </c>
      <c r="H1021" s="0" t="n">
        <v>0.39</v>
      </c>
      <c r="I1021" s="0" t="n">
        <v>0</v>
      </c>
      <c r="J1021" s="0" t="n">
        <v>0</v>
      </c>
      <c r="K1021" s="0" t="n">
        <v>0</v>
      </c>
      <c r="L1021" s="0" t="n">
        <v>0</v>
      </c>
      <c r="M1021" s="0" t="n">
        <v>0</v>
      </c>
      <c r="N1021" s="0" t="n">
        <v>0</v>
      </c>
      <c r="O1021" s="0" t="n">
        <v>666.67</v>
      </c>
    </row>
    <row r="1022" customFormat="false" ht="15" hidden="false" customHeight="false" outlineLevel="0" collapsed="false">
      <c r="A1022" s="0" t="s">
        <v>253</v>
      </c>
      <c r="B1022" s="0" t="s">
        <v>491</v>
      </c>
      <c r="C1022" s="0" t="n">
        <v>2019</v>
      </c>
      <c r="D1022" s="0" t="n">
        <v>2456847</v>
      </c>
      <c r="E1022" s="0" t="n">
        <v>0.46</v>
      </c>
      <c r="F1022" s="0" t="n">
        <v>0</v>
      </c>
      <c r="G1022" s="0" t="n">
        <v>0</v>
      </c>
      <c r="H1022" s="0" t="n">
        <v>0.46</v>
      </c>
      <c r="I1022" s="0" t="n">
        <v>0</v>
      </c>
      <c r="J1022" s="0" t="n">
        <v>0</v>
      </c>
      <c r="K1022" s="0" t="n">
        <v>0</v>
      </c>
      <c r="L1022" s="0" t="n">
        <v>0</v>
      </c>
      <c r="M1022" s="0" t="n">
        <v>0</v>
      </c>
      <c r="N1022" s="0" t="n">
        <v>0</v>
      </c>
      <c r="O1022" s="0" t="n">
        <v>652.17</v>
      </c>
    </row>
    <row r="1023" customFormat="false" ht="15" hidden="false" customHeight="false" outlineLevel="0" collapsed="false">
      <c r="A1023" s="0" t="s">
        <v>253</v>
      </c>
      <c r="B1023" s="0" t="s">
        <v>491</v>
      </c>
      <c r="C1023" s="0" t="n">
        <v>2020</v>
      </c>
      <c r="D1023" s="0" t="n">
        <v>2515744</v>
      </c>
      <c r="E1023" s="0" t="n">
        <v>0.48</v>
      </c>
      <c r="F1023" s="0" t="n">
        <v>0</v>
      </c>
      <c r="G1023" s="0" t="n">
        <v>0</v>
      </c>
      <c r="H1023" s="0" t="n">
        <v>0.48</v>
      </c>
      <c r="I1023" s="0" t="n">
        <v>0</v>
      </c>
      <c r="J1023" s="0" t="n">
        <v>0</v>
      </c>
      <c r="K1023" s="0" t="n">
        <v>0</v>
      </c>
      <c r="L1023" s="0" t="n">
        <v>0</v>
      </c>
      <c r="M1023" s="0" t="n">
        <v>0</v>
      </c>
      <c r="N1023" s="0" t="n">
        <v>0</v>
      </c>
      <c r="O1023" s="0" t="n">
        <v>666.67</v>
      </c>
    </row>
    <row r="1024" customFormat="false" ht="15" hidden="false" customHeight="false" outlineLevel="0" collapsed="false">
      <c r="A1024" s="0" t="s">
        <v>253</v>
      </c>
      <c r="B1024" s="0" t="s">
        <v>491</v>
      </c>
      <c r="C1024" s="0" t="n">
        <v>2021</v>
      </c>
      <c r="D1024" s="0" t="n">
        <v>2576015</v>
      </c>
      <c r="E1024" s="0" t="n">
        <v>0.5</v>
      </c>
      <c r="F1024" s="0" t="n">
        <v>0</v>
      </c>
      <c r="G1024" s="0" t="n">
        <v>0</v>
      </c>
      <c r="H1024" s="0" t="n">
        <v>0.5</v>
      </c>
      <c r="I1024" s="0" t="n">
        <v>0</v>
      </c>
      <c r="J1024" s="0" t="n">
        <v>0</v>
      </c>
      <c r="K1024" s="0" t="n">
        <v>0</v>
      </c>
      <c r="L1024" s="0" t="n">
        <v>0</v>
      </c>
      <c r="M1024" s="0" t="n">
        <v>0</v>
      </c>
      <c r="N1024" s="0" t="n">
        <v>0</v>
      </c>
      <c r="O1024" s="0" t="n">
        <v>660</v>
      </c>
    </row>
    <row r="1025" customFormat="false" ht="15" hidden="false" customHeight="false" outlineLevel="0" collapsed="false">
      <c r="A1025" s="0" t="s">
        <v>253</v>
      </c>
      <c r="B1025" s="0" t="s">
        <v>491</v>
      </c>
      <c r="C1025" s="0" t="n">
        <v>2022</v>
      </c>
      <c r="D1025" s="0" t="n">
        <v>2636472</v>
      </c>
      <c r="E1025" s="0" t="n">
        <v>0.51</v>
      </c>
      <c r="F1025" s="0" t="n">
        <v>0</v>
      </c>
      <c r="G1025" s="0" t="n">
        <v>0</v>
      </c>
      <c r="H1025" s="0" t="n">
        <v>0.51</v>
      </c>
      <c r="I1025" s="0" t="n">
        <v>0</v>
      </c>
      <c r="J1025" s="0" t="n">
        <v>0</v>
      </c>
      <c r="K1025" s="0" t="n">
        <v>0</v>
      </c>
      <c r="L1025" s="0" t="n">
        <v>0</v>
      </c>
      <c r="M1025" s="0" t="n">
        <v>0</v>
      </c>
      <c r="N1025" s="0" t="n">
        <v>0</v>
      </c>
      <c r="O1025" s="0" t="n">
        <v>666.67</v>
      </c>
    </row>
    <row r="1026" customFormat="false" ht="15" hidden="false" customHeight="false" outlineLevel="0" collapsed="false">
      <c r="A1026" s="0" t="s">
        <v>253</v>
      </c>
      <c r="B1026" s="0" t="s">
        <v>491</v>
      </c>
      <c r="C1026" s="0" t="n">
        <v>2023</v>
      </c>
      <c r="D1026" s="0" t="n">
        <v>2697846</v>
      </c>
      <c r="E1026" s="0" t="n">
        <v>0.51</v>
      </c>
      <c r="F1026" s="0" t="n">
        <v>0</v>
      </c>
      <c r="G1026" s="0" t="n">
        <v>0</v>
      </c>
      <c r="H1026" s="0" t="n">
        <v>0.51</v>
      </c>
      <c r="I1026" s="0" t="n">
        <v>0</v>
      </c>
      <c r="J1026" s="0" t="n">
        <v>0</v>
      </c>
      <c r="K1026" s="0" t="n">
        <v>0</v>
      </c>
      <c r="L1026" s="0" t="n">
        <v>0</v>
      </c>
      <c r="M1026" s="0" t="n">
        <v>0</v>
      </c>
      <c r="N1026" s="0" t="n">
        <v>0</v>
      </c>
      <c r="O1026" s="0" t="n">
        <v>666.67</v>
      </c>
    </row>
    <row r="1027" customFormat="false" ht="15" hidden="false" customHeight="false" outlineLevel="0" collapsed="false">
      <c r="A1027" s="0" t="s">
        <v>253</v>
      </c>
      <c r="B1027" s="0" t="s">
        <v>491</v>
      </c>
      <c r="C1027" s="0" t="n">
        <v>2024</v>
      </c>
      <c r="D1027" s="0" t="n">
        <v>2759999</v>
      </c>
      <c r="E1027" s="0" t="n">
        <v>0.51</v>
      </c>
      <c r="F1027" s="0" t="n">
        <v>0</v>
      </c>
      <c r="G1027" s="0" t="n">
        <v>0</v>
      </c>
      <c r="H1027" s="0" t="n">
        <v>0.51</v>
      </c>
      <c r="I1027" s="0" t="n">
        <v>0</v>
      </c>
      <c r="J1027" s="0" t="n">
        <v>0</v>
      </c>
      <c r="K1027" s="0" t="n">
        <v>0</v>
      </c>
      <c r="L1027" s="0" t="n">
        <v>0</v>
      </c>
      <c r="M1027" s="0" t="n">
        <v>0</v>
      </c>
      <c r="N1027" s="0" t="n">
        <v>0</v>
      </c>
      <c r="O1027" s="0" t="n">
        <v>666.67</v>
      </c>
    </row>
    <row r="1028" customFormat="false" ht="15" hidden="false" customHeight="false" outlineLevel="0" collapsed="false">
      <c r="A1028" s="0" t="s">
        <v>254</v>
      </c>
      <c r="B1028" s="0" t="s">
        <v>492</v>
      </c>
      <c r="C1028" s="0" t="n">
        <v>2015</v>
      </c>
      <c r="D1028" s="0" t="n">
        <v>3791570</v>
      </c>
      <c r="E1028" s="0" t="n">
        <v>10.75</v>
      </c>
      <c r="F1028" s="0" t="n">
        <v>0</v>
      </c>
      <c r="G1028" s="0" t="n">
        <v>2.38</v>
      </c>
      <c r="H1028" s="0" t="n">
        <v>0</v>
      </c>
      <c r="I1028" s="0" t="n">
        <v>0</v>
      </c>
      <c r="J1028" s="0" t="n">
        <v>8.37</v>
      </c>
      <c r="K1028" s="0" t="n">
        <v>0</v>
      </c>
      <c r="L1028" s="0" t="n">
        <v>0</v>
      </c>
      <c r="M1028" s="0" t="n">
        <v>0</v>
      </c>
      <c r="N1028" s="0" t="n">
        <v>0</v>
      </c>
      <c r="O1028" s="0" t="n">
        <v>157.21</v>
      </c>
    </row>
    <row r="1029" customFormat="false" ht="15" hidden="false" customHeight="false" outlineLevel="0" collapsed="false">
      <c r="A1029" s="0" t="s">
        <v>254</v>
      </c>
      <c r="B1029" s="0" t="s">
        <v>492</v>
      </c>
      <c r="C1029" s="0" t="n">
        <v>2016</v>
      </c>
      <c r="D1029" s="0" t="n">
        <v>3792061</v>
      </c>
      <c r="E1029" s="0" t="n">
        <v>11.49</v>
      </c>
      <c r="F1029" s="0" t="n">
        <v>0.02</v>
      </c>
      <c r="G1029" s="0" t="n">
        <v>2.22</v>
      </c>
      <c r="H1029" s="0" t="n">
        <v>0</v>
      </c>
      <c r="I1029" s="0" t="n">
        <v>0</v>
      </c>
      <c r="J1029" s="0" t="n">
        <v>9.24</v>
      </c>
      <c r="K1029" s="0" t="n">
        <v>0</v>
      </c>
      <c r="L1029" s="0" t="n">
        <v>0.01</v>
      </c>
      <c r="M1029" s="0" t="n">
        <v>0</v>
      </c>
      <c r="N1029" s="0" t="n">
        <v>0</v>
      </c>
      <c r="O1029" s="0" t="n">
        <v>141.86</v>
      </c>
    </row>
    <row r="1030" customFormat="false" ht="15" hidden="false" customHeight="false" outlineLevel="0" collapsed="false">
      <c r="A1030" s="0" t="s">
        <v>254</v>
      </c>
      <c r="B1030" s="0" t="s">
        <v>492</v>
      </c>
      <c r="C1030" s="0" t="n">
        <v>2017</v>
      </c>
      <c r="D1030" s="0" t="n">
        <v>3792860</v>
      </c>
      <c r="E1030" s="0" t="n">
        <v>11.44</v>
      </c>
      <c r="F1030" s="0" t="n">
        <v>0.02</v>
      </c>
      <c r="G1030" s="0" t="n">
        <v>2.21</v>
      </c>
      <c r="H1030" s="0" t="n">
        <v>0</v>
      </c>
      <c r="I1030" s="0" t="n">
        <v>0</v>
      </c>
      <c r="J1030" s="0" t="n">
        <v>9.12</v>
      </c>
      <c r="K1030" s="0" t="n">
        <v>0</v>
      </c>
      <c r="L1030" s="0" t="n">
        <v>0.09</v>
      </c>
      <c r="M1030" s="0" t="n">
        <v>0</v>
      </c>
      <c r="N1030" s="0" t="n">
        <v>0</v>
      </c>
      <c r="O1030" s="0" t="n">
        <v>141.61</v>
      </c>
    </row>
    <row r="1031" customFormat="false" ht="15" hidden="false" customHeight="false" outlineLevel="0" collapsed="false">
      <c r="A1031" s="0" t="s">
        <v>254</v>
      </c>
      <c r="B1031" s="0" t="s">
        <v>492</v>
      </c>
      <c r="C1031" s="0" t="n">
        <v>2018</v>
      </c>
      <c r="D1031" s="0" t="n">
        <v>3794881</v>
      </c>
      <c r="E1031" s="0" t="n">
        <v>12.04</v>
      </c>
      <c r="F1031" s="0" t="n">
        <v>0.01</v>
      </c>
      <c r="G1031" s="0" t="n">
        <v>2.1</v>
      </c>
      <c r="H1031" s="0" t="n">
        <v>0</v>
      </c>
      <c r="I1031" s="0" t="n">
        <v>0</v>
      </c>
      <c r="J1031" s="0" t="n">
        <v>9.85</v>
      </c>
      <c r="K1031" s="0" t="n">
        <v>0</v>
      </c>
      <c r="L1031" s="0" t="n">
        <v>0.08</v>
      </c>
      <c r="M1031" s="0" t="n">
        <v>0</v>
      </c>
      <c r="N1031" s="0" t="n">
        <v>0</v>
      </c>
      <c r="O1031" s="0" t="n">
        <v>128.74</v>
      </c>
    </row>
    <row r="1032" customFormat="false" ht="15" hidden="false" customHeight="false" outlineLevel="0" collapsed="false">
      <c r="A1032" s="0" t="s">
        <v>254</v>
      </c>
      <c r="B1032" s="0" t="s">
        <v>492</v>
      </c>
      <c r="C1032" s="0" t="n">
        <v>2019</v>
      </c>
      <c r="D1032" s="0" t="n">
        <v>3796722</v>
      </c>
      <c r="E1032" s="0" t="n">
        <v>11.86</v>
      </c>
      <c r="F1032" s="0" t="n">
        <v>0</v>
      </c>
      <c r="G1032" s="0" t="n">
        <v>2.84</v>
      </c>
      <c r="H1032" s="0" t="n">
        <v>0</v>
      </c>
      <c r="I1032" s="0" t="n">
        <v>0</v>
      </c>
      <c r="J1032" s="0" t="n">
        <v>8.93</v>
      </c>
      <c r="K1032" s="0" t="n">
        <v>0</v>
      </c>
      <c r="L1032" s="0" t="n">
        <v>0.09</v>
      </c>
      <c r="M1032" s="0" t="n">
        <v>0</v>
      </c>
      <c r="N1032" s="0" t="n">
        <v>0</v>
      </c>
      <c r="O1032" s="0" t="n">
        <v>167.79</v>
      </c>
    </row>
    <row r="1033" customFormat="false" ht="15" hidden="false" customHeight="false" outlineLevel="0" collapsed="false">
      <c r="A1033" s="0" t="s">
        <v>254</v>
      </c>
      <c r="B1033" s="0" t="s">
        <v>492</v>
      </c>
      <c r="C1033" s="0" t="n">
        <v>2020</v>
      </c>
      <c r="D1033" s="0" t="n">
        <v>3795680</v>
      </c>
      <c r="E1033" s="0" t="n">
        <v>11.16</v>
      </c>
      <c r="F1033" s="0" t="n">
        <v>0</v>
      </c>
      <c r="G1033" s="0" t="n">
        <v>2.82</v>
      </c>
      <c r="H1033" s="0" t="n">
        <v>0</v>
      </c>
      <c r="I1033" s="0" t="n">
        <v>0</v>
      </c>
      <c r="J1033" s="0" t="n">
        <v>8.25</v>
      </c>
      <c r="K1033" s="0" t="n">
        <v>0</v>
      </c>
      <c r="L1033" s="0" t="n">
        <v>0.09</v>
      </c>
      <c r="M1033" s="0" t="n">
        <v>0</v>
      </c>
      <c r="N1033" s="0" t="n">
        <v>0</v>
      </c>
      <c r="O1033" s="0" t="n">
        <v>175.63</v>
      </c>
    </row>
    <row r="1034" customFormat="false" ht="15" hidden="false" customHeight="false" outlineLevel="0" collapsed="false">
      <c r="A1034" s="0" t="s">
        <v>254</v>
      </c>
      <c r="B1034" s="0" t="s">
        <v>492</v>
      </c>
      <c r="C1034" s="0" t="n">
        <v>2021</v>
      </c>
      <c r="D1034" s="0" t="n">
        <v>3788450</v>
      </c>
      <c r="E1034" s="0" t="n">
        <v>12.64</v>
      </c>
      <c r="F1034" s="0" t="n">
        <v>0</v>
      </c>
      <c r="G1034" s="0" t="n">
        <v>2.38</v>
      </c>
      <c r="H1034" s="0" t="n">
        <v>0</v>
      </c>
      <c r="I1034" s="0" t="n">
        <v>0</v>
      </c>
      <c r="J1034" s="0" t="n">
        <v>10.18</v>
      </c>
      <c r="K1034" s="0" t="n">
        <v>0</v>
      </c>
      <c r="L1034" s="0" t="n">
        <v>0.08</v>
      </c>
      <c r="M1034" s="0" t="n">
        <v>0</v>
      </c>
      <c r="N1034" s="0" t="n">
        <v>0</v>
      </c>
      <c r="O1034" s="0" t="n">
        <v>136.87</v>
      </c>
    </row>
    <row r="1035" customFormat="false" ht="15" hidden="false" customHeight="false" outlineLevel="0" collapsed="false">
      <c r="A1035" s="0" t="s">
        <v>254</v>
      </c>
      <c r="B1035" s="0" t="s">
        <v>492</v>
      </c>
      <c r="C1035" s="0" t="n">
        <v>2022</v>
      </c>
      <c r="D1035" s="0" t="n">
        <v>3794782</v>
      </c>
      <c r="E1035" s="0" t="n">
        <v>14.25</v>
      </c>
      <c r="F1035" s="0" t="n">
        <v>0</v>
      </c>
      <c r="G1035" s="0" t="n">
        <v>3.39</v>
      </c>
      <c r="H1035" s="0" t="n">
        <v>0</v>
      </c>
      <c r="I1035" s="0" t="n">
        <v>0</v>
      </c>
      <c r="J1035" s="0" t="n">
        <v>10.77</v>
      </c>
      <c r="K1035" s="0" t="n">
        <v>0</v>
      </c>
      <c r="L1035" s="0" t="n">
        <v>0.09</v>
      </c>
      <c r="M1035" s="0" t="n">
        <v>0</v>
      </c>
      <c r="N1035" s="0" t="n">
        <v>0</v>
      </c>
      <c r="O1035" s="0" t="n">
        <v>167.02</v>
      </c>
    </row>
    <row r="1036" customFormat="false" ht="15" hidden="false" customHeight="false" outlineLevel="0" collapsed="false">
      <c r="A1036" s="0" t="s">
        <v>254</v>
      </c>
      <c r="B1036" s="0" t="s">
        <v>492</v>
      </c>
      <c r="C1036" s="0" t="n">
        <v>2023</v>
      </c>
      <c r="D1036" s="0" t="n">
        <v>3807494</v>
      </c>
      <c r="E1036" s="0" t="n">
        <v>14.43</v>
      </c>
      <c r="F1036" s="0" t="n">
        <v>0</v>
      </c>
      <c r="G1036" s="0" t="n">
        <v>3.45</v>
      </c>
      <c r="H1036" s="0" t="n">
        <v>0</v>
      </c>
      <c r="I1036" s="0" t="n">
        <v>0</v>
      </c>
      <c r="J1036" s="0" t="n">
        <v>10.86</v>
      </c>
      <c r="K1036" s="0" t="n">
        <v>0.03</v>
      </c>
      <c r="L1036" s="0" t="n">
        <v>0.09</v>
      </c>
      <c r="M1036" s="0" t="n">
        <v>0</v>
      </c>
      <c r="N1036" s="0" t="n">
        <v>0</v>
      </c>
      <c r="O1036" s="0" t="n">
        <v>167.71</v>
      </c>
    </row>
    <row r="1037" customFormat="false" ht="15" hidden="false" customHeight="false" outlineLevel="0" collapsed="false">
      <c r="A1037" s="0" t="s">
        <v>254</v>
      </c>
      <c r="B1037" s="0" t="s">
        <v>492</v>
      </c>
      <c r="C1037" s="0" t="n">
        <v>2024</v>
      </c>
      <c r="D1037" s="0" t="n">
        <v>3807668</v>
      </c>
      <c r="E1037" s="0" t="n">
        <v>13.93</v>
      </c>
      <c r="F1037" s="0" t="n">
        <v>0</v>
      </c>
      <c r="G1037" s="0" t="n">
        <v>2.81</v>
      </c>
      <c r="H1037" s="0" t="n">
        <v>0</v>
      </c>
      <c r="I1037" s="0" t="n">
        <v>0</v>
      </c>
      <c r="J1037" s="0" t="n">
        <v>11</v>
      </c>
      <c r="K1037" s="0" t="n">
        <v>0.03</v>
      </c>
      <c r="L1037" s="0" t="n">
        <v>0.09</v>
      </c>
      <c r="M1037" s="0" t="n">
        <v>0</v>
      </c>
      <c r="N1037" s="0" t="n">
        <v>0</v>
      </c>
      <c r="O1037" s="0" t="n">
        <v>145.01</v>
      </c>
    </row>
    <row r="1038" customFormat="false" ht="15" hidden="false" customHeight="false" outlineLevel="0" collapsed="false">
      <c r="A1038" s="0" t="s">
        <v>254</v>
      </c>
      <c r="B1038" s="0" t="s">
        <v>492</v>
      </c>
      <c r="C1038" s="0" t="n">
        <v>2025</v>
      </c>
      <c r="D1038" s="0" t="n">
        <v>3806669</v>
      </c>
      <c r="E1038" s="0" t="n">
        <v>13.5</v>
      </c>
      <c r="F1038" s="0" t="n">
        <v>0</v>
      </c>
      <c r="G1038" s="0" t="n">
        <v>2.75</v>
      </c>
      <c r="H1038" s="0" t="n">
        <v>0</v>
      </c>
      <c r="I1038" s="0" t="n">
        <v>0</v>
      </c>
      <c r="J1038" s="0" t="n">
        <v>10.64</v>
      </c>
      <c r="K1038" s="0" t="n">
        <v>0.03</v>
      </c>
      <c r="L1038" s="0" t="n">
        <v>0.08</v>
      </c>
      <c r="M1038" s="0" t="n">
        <v>0</v>
      </c>
      <c r="N1038" s="0" t="n">
        <v>0</v>
      </c>
      <c r="O1038" s="0" t="n">
        <v>145.93</v>
      </c>
    </row>
    <row r="1039" customFormat="false" ht="15" hidden="false" customHeight="false" outlineLevel="0" collapsed="false">
      <c r="A1039" s="0" t="s">
        <v>255</v>
      </c>
      <c r="B1039" s="0" t="s">
        <v>493</v>
      </c>
      <c r="C1039" s="0" t="n">
        <v>2015</v>
      </c>
      <c r="D1039" s="0" t="n">
        <v>82077546</v>
      </c>
      <c r="E1039" s="0" t="n">
        <v>639.17</v>
      </c>
      <c r="F1039" s="0" t="n">
        <v>272.2</v>
      </c>
      <c r="G1039" s="0" t="n">
        <v>61.47</v>
      </c>
      <c r="H1039" s="0" t="n">
        <v>25.57</v>
      </c>
      <c r="I1039" s="0" t="n">
        <v>91.79</v>
      </c>
      <c r="J1039" s="0" t="n">
        <v>18.98</v>
      </c>
      <c r="K1039" s="0" t="n">
        <v>38.08</v>
      </c>
      <c r="L1039" s="0" t="n">
        <v>80.62</v>
      </c>
      <c r="M1039" s="0" t="n">
        <v>50.33</v>
      </c>
      <c r="N1039" s="0" t="n">
        <v>0.13</v>
      </c>
      <c r="O1039" s="0" t="n">
        <v>503.59</v>
      </c>
    </row>
    <row r="1040" customFormat="false" ht="15" hidden="false" customHeight="false" outlineLevel="0" collapsed="false">
      <c r="A1040" s="0" t="s">
        <v>255</v>
      </c>
      <c r="B1040" s="0" t="s">
        <v>493</v>
      </c>
      <c r="C1040" s="0" t="n">
        <v>2016</v>
      </c>
      <c r="D1040" s="0" t="n">
        <v>82760102</v>
      </c>
      <c r="E1040" s="0" t="n">
        <v>641.52</v>
      </c>
      <c r="F1040" s="0" t="n">
        <v>261.75</v>
      </c>
      <c r="G1040" s="0" t="n">
        <v>80.62</v>
      </c>
      <c r="H1040" s="0" t="n">
        <v>25.39</v>
      </c>
      <c r="I1040" s="0" t="n">
        <v>84.63</v>
      </c>
      <c r="J1040" s="0" t="n">
        <v>20.55</v>
      </c>
      <c r="K1040" s="0" t="n">
        <v>37.56</v>
      </c>
      <c r="L1040" s="0" t="n">
        <v>79.92</v>
      </c>
      <c r="M1040" s="0" t="n">
        <v>50.93</v>
      </c>
      <c r="N1040" s="0" t="n">
        <v>0.17</v>
      </c>
      <c r="O1040" s="0" t="n">
        <v>498.3</v>
      </c>
    </row>
    <row r="1041" customFormat="false" ht="15" hidden="false" customHeight="false" outlineLevel="0" collapsed="false">
      <c r="A1041" s="0" t="s">
        <v>255</v>
      </c>
      <c r="B1041" s="0" t="s">
        <v>493</v>
      </c>
      <c r="C1041" s="0" t="n">
        <v>2017</v>
      </c>
      <c r="D1041" s="0" t="n">
        <v>83104010</v>
      </c>
      <c r="E1041" s="0" t="n">
        <v>644.46</v>
      </c>
      <c r="F1041" s="0" t="n">
        <v>241.26</v>
      </c>
      <c r="G1041" s="0" t="n">
        <v>86.04</v>
      </c>
      <c r="H1041" s="0" t="n">
        <v>25.16</v>
      </c>
      <c r="I1041" s="0" t="n">
        <v>76.32</v>
      </c>
      <c r="J1041" s="0" t="n">
        <v>20.15</v>
      </c>
      <c r="K1041" s="0" t="n">
        <v>38.76</v>
      </c>
      <c r="L1041" s="0" t="n">
        <v>105.69</v>
      </c>
      <c r="M1041" s="0" t="n">
        <v>50.92</v>
      </c>
      <c r="N1041" s="0" t="n">
        <v>0.16</v>
      </c>
      <c r="O1041" s="0" t="n">
        <v>469.71</v>
      </c>
    </row>
    <row r="1042" customFormat="false" ht="15" hidden="false" customHeight="false" outlineLevel="0" collapsed="false">
      <c r="A1042" s="0" t="s">
        <v>255</v>
      </c>
      <c r="B1042" s="0" t="s">
        <v>493</v>
      </c>
      <c r="C1042" s="0" t="n">
        <v>2018</v>
      </c>
      <c r="D1042" s="0" t="n">
        <v>83368507</v>
      </c>
      <c r="E1042" s="0" t="n">
        <v>632.28</v>
      </c>
      <c r="F1042" s="0" t="n">
        <v>228.16</v>
      </c>
      <c r="G1042" s="0" t="n">
        <v>81.56</v>
      </c>
      <c r="H1042" s="0" t="n">
        <v>23.63</v>
      </c>
      <c r="I1042" s="0" t="n">
        <v>76</v>
      </c>
      <c r="J1042" s="0" t="n">
        <v>17.69</v>
      </c>
      <c r="K1042" s="0" t="n">
        <v>44.32</v>
      </c>
      <c r="L1042" s="0" t="n">
        <v>109.95</v>
      </c>
      <c r="M1042" s="0" t="n">
        <v>50.79</v>
      </c>
      <c r="N1042" s="0" t="n">
        <v>0.18</v>
      </c>
      <c r="O1042" s="0" t="n">
        <v>454.55</v>
      </c>
    </row>
    <row r="1043" customFormat="false" ht="15" hidden="false" customHeight="false" outlineLevel="0" collapsed="false">
      <c r="A1043" s="0" t="s">
        <v>255</v>
      </c>
      <c r="B1043" s="0" t="s">
        <v>493</v>
      </c>
      <c r="C1043" s="0" t="n">
        <v>2019</v>
      </c>
      <c r="D1043" s="0" t="n">
        <v>83559184</v>
      </c>
      <c r="E1043" s="0" t="n">
        <v>600.09</v>
      </c>
      <c r="F1043" s="0" t="n">
        <v>171.45</v>
      </c>
      <c r="G1043" s="0" t="n">
        <v>90</v>
      </c>
      <c r="H1043" s="0" t="n">
        <v>22.4</v>
      </c>
      <c r="I1043" s="0" t="n">
        <v>75.07</v>
      </c>
      <c r="J1043" s="0" t="n">
        <v>19.73</v>
      </c>
      <c r="K1043" s="0" t="n">
        <v>45.22</v>
      </c>
      <c r="L1043" s="0" t="n">
        <v>125.89</v>
      </c>
      <c r="M1043" s="0" t="n">
        <v>50.13</v>
      </c>
      <c r="N1043" s="0" t="n">
        <v>0.2</v>
      </c>
      <c r="O1043" s="0" t="n">
        <v>392.51</v>
      </c>
    </row>
    <row r="1044" customFormat="false" ht="15" hidden="false" customHeight="false" outlineLevel="0" collapsed="false">
      <c r="A1044" s="0" t="s">
        <v>255</v>
      </c>
      <c r="B1044" s="0" t="s">
        <v>493</v>
      </c>
      <c r="C1044" s="0" t="n">
        <v>2020</v>
      </c>
      <c r="D1044" s="0" t="n">
        <v>83628711</v>
      </c>
      <c r="E1044" s="0" t="n">
        <v>566.75</v>
      </c>
      <c r="F1044" s="0" t="n">
        <v>134.6</v>
      </c>
      <c r="G1044" s="0" t="n">
        <v>95</v>
      </c>
      <c r="H1044" s="0" t="n">
        <v>21.28</v>
      </c>
      <c r="I1044" s="0" t="n">
        <v>64.38</v>
      </c>
      <c r="J1044" s="0" t="n">
        <v>18.72</v>
      </c>
      <c r="K1044" s="0" t="n">
        <v>49.5</v>
      </c>
      <c r="L1044" s="0" t="n">
        <v>132.11</v>
      </c>
      <c r="M1044" s="0" t="n">
        <v>50.93</v>
      </c>
      <c r="N1044" s="0" t="n">
        <v>0.23</v>
      </c>
      <c r="O1044" s="0" t="n">
        <v>355.61</v>
      </c>
    </row>
    <row r="1045" customFormat="false" ht="15" hidden="false" customHeight="false" outlineLevel="0" collapsed="false">
      <c r="A1045" s="0" t="s">
        <v>255</v>
      </c>
      <c r="B1045" s="0" t="s">
        <v>493</v>
      </c>
      <c r="C1045" s="0" t="n">
        <v>2021</v>
      </c>
      <c r="D1045" s="0" t="n">
        <v>83697080</v>
      </c>
      <c r="E1045" s="0" t="n">
        <v>578.83</v>
      </c>
      <c r="F1045" s="0" t="n">
        <v>164.65</v>
      </c>
      <c r="G1045" s="0" t="n">
        <v>90.31</v>
      </c>
      <c r="H1045" s="0" t="n">
        <v>22.24</v>
      </c>
      <c r="I1045" s="0" t="n">
        <v>69.13</v>
      </c>
      <c r="J1045" s="0" t="n">
        <v>19.66</v>
      </c>
      <c r="K1045" s="0" t="n">
        <v>49.34</v>
      </c>
      <c r="L1045" s="0" t="n">
        <v>114.16</v>
      </c>
      <c r="M1045" s="0" t="n">
        <v>49.1</v>
      </c>
      <c r="N1045" s="0" t="n">
        <v>0.24</v>
      </c>
      <c r="O1045" s="0" t="n">
        <v>394.64</v>
      </c>
    </row>
    <row r="1046" customFormat="false" ht="15" hidden="false" customHeight="false" outlineLevel="0" collapsed="false">
      <c r="A1046" s="0" t="s">
        <v>255</v>
      </c>
      <c r="B1046" s="0" t="s">
        <v>493</v>
      </c>
      <c r="C1046" s="0" t="n">
        <v>2022</v>
      </c>
      <c r="D1046" s="0" t="n">
        <v>84086227</v>
      </c>
      <c r="E1046" s="0" t="n">
        <v>566.88</v>
      </c>
      <c r="F1046" s="0" t="n">
        <v>179.93</v>
      </c>
      <c r="G1046" s="0" t="n">
        <v>79.05</v>
      </c>
      <c r="H1046" s="0" t="n">
        <v>21.65</v>
      </c>
      <c r="I1046" s="0" t="n">
        <v>34.71</v>
      </c>
      <c r="J1046" s="0" t="n">
        <v>17.62</v>
      </c>
      <c r="K1046" s="0" t="n">
        <v>60.3</v>
      </c>
      <c r="L1046" s="0" t="n">
        <v>124.81</v>
      </c>
      <c r="M1046" s="0" t="n">
        <v>48.6</v>
      </c>
      <c r="N1046" s="0" t="n">
        <v>0.21</v>
      </c>
      <c r="O1046" s="0" t="n">
        <v>419.74</v>
      </c>
    </row>
    <row r="1047" customFormat="false" ht="15" hidden="false" customHeight="false" outlineLevel="0" collapsed="false">
      <c r="A1047" s="0" t="s">
        <v>255</v>
      </c>
      <c r="B1047" s="0" t="s">
        <v>493</v>
      </c>
      <c r="C1047" s="0" t="n">
        <v>2023</v>
      </c>
      <c r="D1047" s="0" t="n">
        <v>84548233</v>
      </c>
      <c r="E1047" s="0" t="n">
        <v>506.72</v>
      </c>
      <c r="F1047" s="0" t="n">
        <v>124.78</v>
      </c>
      <c r="G1047" s="0" t="n">
        <v>76.66</v>
      </c>
      <c r="H1047" s="0" t="n">
        <v>20.96</v>
      </c>
      <c r="I1047" s="0" t="n">
        <v>7.22</v>
      </c>
      <c r="J1047" s="0" t="n">
        <v>21.24</v>
      </c>
      <c r="K1047" s="0" t="n">
        <v>63.87</v>
      </c>
      <c r="L1047" s="0" t="n">
        <v>140.54</v>
      </c>
      <c r="M1047" s="0" t="n">
        <v>51.26</v>
      </c>
      <c r="N1047" s="0" t="n">
        <v>0.19</v>
      </c>
      <c r="O1047" s="0" t="n">
        <v>362.92</v>
      </c>
    </row>
    <row r="1048" customFormat="false" ht="15" hidden="false" customHeight="false" outlineLevel="0" collapsed="false">
      <c r="A1048" s="0" t="s">
        <v>255</v>
      </c>
      <c r="B1048" s="0" t="s">
        <v>493</v>
      </c>
      <c r="C1048" s="0" t="n">
        <v>2024</v>
      </c>
      <c r="D1048" s="0" t="n">
        <v>84552234</v>
      </c>
      <c r="E1048" s="0" t="n">
        <v>495.99</v>
      </c>
      <c r="F1048" s="0" t="n">
        <v>106.33</v>
      </c>
      <c r="G1048" s="0" t="n">
        <v>78.41</v>
      </c>
      <c r="H1048" s="0" t="n">
        <v>20.39</v>
      </c>
      <c r="I1048" s="0" t="n">
        <v>0</v>
      </c>
      <c r="J1048" s="0" t="n">
        <v>23.83</v>
      </c>
      <c r="K1048" s="0" t="n">
        <v>74.13</v>
      </c>
      <c r="L1048" s="0" t="n">
        <v>141.6</v>
      </c>
      <c r="M1048" s="0" t="n">
        <v>51.08</v>
      </c>
      <c r="N1048" s="0" t="n">
        <v>0.22</v>
      </c>
      <c r="O1048" s="0" t="n">
        <v>336.38</v>
      </c>
    </row>
    <row r="1049" customFormat="false" ht="15" hidden="false" customHeight="false" outlineLevel="0" collapsed="false">
      <c r="A1049" s="0" t="s">
        <v>255</v>
      </c>
      <c r="B1049" s="0" t="s">
        <v>493</v>
      </c>
      <c r="C1049" s="0" t="n">
        <v>2025</v>
      </c>
      <c r="D1049" s="0" t="n">
        <v>84075075</v>
      </c>
      <c r="E1049" s="0" t="n">
        <v>500.47</v>
      </c>
      <c r="F1049" s="0" t="n">
        <v>103.15</v>
      </c>
      <c r="G1049" s="0" t="n">
        <v>82.67</v>
      </c>
      <c r="H1049" s="0" t="n">
        <v>18.91</v>
      </c>
      <c r="I1049" s="0" t="n">
        <v>0</v>
      </c>
      <c r="J1049" s="0" t="n">
        <v>19.56</v>
      </c>
      <c r="K1049" s="0" t="n">
        <v>89.62</v>
      </c>
      <c r="L1049" s="0" t="n">
        <v>136.03</v>
      </c>
      <c r="M1049" s="0" t="n">
        <v>50.53</v>
      </c>
      <c r="N1049" s="0" t="n">
        <v>0</v>
      </c>
      <c r="O1049" s="0" t="n">
        <v>329.65</v>
      </c>
    </row>
    <row r="1050" customFormat="false" ht="15" hidden="false" customHeight="false" outlineLevel="0" collapsed="false">
      <c r="A1050" s="0" t="s">
        <v>256</v>
      </c>
      <c r="B1050" s="0" t="s">
        <v>494</v>
      </c>
      <c r="C1050" s="0" t="n">
        <v>2015</v>
      </c>
      <c r="D1050" s="0" t="n">
        <v>28696071</v>
      </c>
      <c r="E1050" s="0" t="n">
        <v>11.64</v>
      </c>
      <c r="F1050" s="0" t="n">
        <v>0</v>
      </c>
      <c r="G1050" s="0" t="n">
        <v>4.86</v>
      </c>
      <c r="H1050" s="0" t="n">
        <v>0.97</v>
      </c>
      <c r="I1050" s="0" t="n">
        <v>0</v>
      </c>
      <c r="J1050" s="0" t="n">
        <v>5.79</v>
      </c>
      <c r="K1050" s="0" t="n">
        <v>0</v>
      </c>
      <c r="L1050" s="0" t="n">
        <v>0</v>
      </c>
      <c r="M1050" s="0" t="n">
        <v>0.02</v>
      </c>
      <c r="N1050" s="0" t="n">
        <v>0</v>
      </c>
      <c r="O1050" s="0" t="n">
        <v>369.42</v>
      </c>
    </row>
    <row r="1051" customFormat="false" ht="15" hidden="false" customHeight="false" outlineLevel="0" collapsed="false">
      <c r="A1051" s="0" t="s">
        <v>256</v>
      </c>
      <c r="B1051" s="0" t="s">
        <v>494</v>
      </c>
      <c r="C1051" s="0" t="n">
        <v>2016</v>
      </c>
      <c r="D1051" s="0" t="n">
        <v>29356736</v>
      </c>
      <c r="E1051" s="0" t="n">
        <v>13.17</v>
      </c>
      <c r="F1051" s="0" t="n">
        <v>0</v>
      </c>
      <c r="G1051" s="0" t="n">
        <v>4</v>
      </c>
      <c r="H1051" s="0" t="n">
        <v>3.61</v>
      </c>
      <c r="I1051" s="0" t="n">
        <v>0</v>
      </c>
      <c r="J1051" s="0" t="n">
        <v>5.51</v>
      </c>
      <c r="K1051" s="0" t="n">
        <v>0.03</v>
      </c>
      <c r="L1051" s="0" t="n">
        <v>0</v>
      </c>
      <c r="M1051" s="0" t="n">
        <v>0.02</v>
      </c>
      <c r="N1051" s="0" t="n">
        <v>0</v>
      </c>
      <c r="O1051" s="0" t="n">
        <v>410.02</v>
      </c>
    </row>
    <row r="1052" customFormat="false" ht="15" hidden="false" customHeight="false" outlineLevel="0" collapsed="false">
      <c r="A1052" s="0" t="s">
        <v>256</v>
      </c>
      <c r="B1052" s="0" t="s">
        <v>494</v>
      </c>
      <c r="C1052" s="0" t="n">
        <v>2017</v>
      </c>
      <c r="D1052" s="0" t="n">
        <v>30008364</v>
      </c>
      <c r="E1052" s="0" t="n">
        <v>13.3</v>
      </c>
      <c r="F1052" s="0" t="n">
        <v>0</v>
      </c>
      <c r="G1052" s="0" t="n">
        <v>3.99</v>
      </c>
      <c r="H1052" s="0" t="n">
        <v>3.64</v>
      </c>
      <c r="I1052" s="0" t="n">
        <v>0</v>
      </c>
      <c r="J1052" s="0" t="n">
        <v>5.62</v>
      </c>
      <c r="K1052" s="0" t="n">
        <v>0.03</v>
      </c>
      <c r="L1052" s="0" t="n">
        <v>0</v>
      </c>
      <c r="M1052" s="0" t="n">
        <v>0.02</v>
      </c>
      <c r="N1052" s="0" t="n">
        <v>0</v>
      </c>
      <c r="O1052" s="0" t="n">
        <v>407.52</v>
      </c>
    </row>
    <row r="1053" customFormat="false" ht="15" hidden="false" customHeight="false" outlineLevel="0" collapsed="false">
      <c r="A1053" s="0" t="s">
        <v>256</v>
      </c>
      <c r="B1053" s="0" t="s">
        <v>494</v>
      </c>
      <c r="C1053" s="0" t="n">
        <v>2018</v>
      </c>
      <c r="D1053" s="0" t="n">
        <v>30637592</v>
      </c>
      <c r="E1053" s="0" t="n">
        <v>14.91</v>
      </c>
      <c r="F1053" s="0" t="n">
        <v>0</v>
      </c>
      <c r="G1053" s="0" t="n">
        <v>5.12</v>
      </c>
      <c r="H1053" s="0" t="n">
        <v>3.72</v>
      </c>
      <c r="I1053" s="0" t="n">
        <v>0</v>
      </c>
      <c r="J1053" s="0" t="n">
        <v>6.02</v>
      </c>
      <c r="K1053" s="0" t="n">
        <v>0.03</v>
      </c>
      <c r="L1053" s="0" t="n">
        <v>0</v>
      </c>
      <c r="M1053" s="0" t="n">
        <v>0.02</v>
      </c>
      <c r="N1053" s="0" t="n">
        <v>0</v>
      </c>
      <c r="O1053" s="0" t="n">
        <v>421.87</v>
      </c>
    </row>
    <row r="1054" customFormat="false" ht="15" hidden="false" customHeight="false" outlineLevel="0" collapsed="false">
      <c r="A1054" s="0" t="s">
        <v>256</v>
      </c>
      <c r="B1054" s="0" t="s">
        <v>494</v>
      </c>
      <c r="C1054" s="0" t="n">
        <v>2019</v>
      </c>
      <c r="D1054" s="0" t="n">
        <v>31258943</v>
      </c>
      <c r="E1054" s="0" t="n">
        <v>17.3</v>
      </c>
      <c r="F1054" s="0" t="n">
        <v>0</v>
      </c>
      <c r="G1054" s="0" t="n">
        <v>7.19</v>
      </c>
      <c r="H1054" s="0" t="n">
        <v>2.79</v>
      </c>
      <c r="I1054" s="0" t="n">
        <v>0</v>
      </c>
      <c r="J1054" s="0" t="n">
        <v>7.25</v>
      </c>
      <c r="K1054" s="0" t="n">
        <v>0.05</v>
      </c>
      <c r="L1054" s="0" t="n">
        <v>0</v>
      </c>
      <c r="M1054" s="0" t="n">
        <v>0.02</v>
      </c>
      <c r="N1054" s="0" t="n">
        <v>0</v>
      </c>
      <c r="O1054" s="0" t="n">
        <v>416.76</v>
      </c>
    </row>
    <row r="1055" customFormat="false" ht="15" hidden="false" customHeight="false" outlineLevel="0" collapsed="false">
      <c r="A1055" s="0" t="s">
        <v>256</v>
      </c>
      <c r="B1055" s="0" t="s">
        <v>494</v>
      </c>
      <c r="C1055" s="0" t="n">
        <v>2020</v>
      </c>
      <c r="D1055" s="0" t="n">
        <v>31887802</v>
      </c>
      <c r="E1055" s="0" t="n">
        <v>19.73</v>
      </c>
      <c r="F1055" s="0" t="n">
        <v>0</v>
      </c>
      <c r="G1055" s="0" t="n">
        <v>11.59</v>
      </c>
      <c r="H1055" s="0" t="n">
        <v>0.77</v>
      </c>
      <c r="I1055" s="0" t="n">
        <v>0</v>
      </c>
      <c r="J1055" s="0" t="n">
        <v>7.29</v>
      </c>
      <c r="K1055" s="0" t="n">
        <v>0.06</v>
      </c>
      <c r="L1055" s="0" t="n">
        <v>0</v>
      </c>
      <c r="M1055" s="0" t="n">
        <v>0.02</v>
      </c>
      <c r="N1055" s="0" t="n">
        <v>0</v>
      </c>
      <c r="O1055" s="0" t="n">
        <v>459.2</v>
      </c>
    </row>
    <row r="1056" customFormat="false" ht="15" hidden="false" customHeight="false" outlineLevel="0" collapsed="false">
      <c r="A1056" s="0" t="s">
        <v>256</v>
      </c>
      <c r="B1056" s="0" t="s">
        <v>494</v>
      </c>
      <c r="C1056" s="0" t="n">
        <v>2021</v>
      </c>
      <c r="D1056" s="0" t="n">
        <v>32518662</v>
      </c>
      <c r="E1056" s="0" t="n">
        <v>22.08</v>
      </c>
      <c r="F1056" s="0" t="n">
        <v>0</v>
      </c>
      <c r="G1056" s="0" t="n">
        <v>13.8</v>
      </c>
      <c r="H1056" s="0" t="n">
        <v>0.6</v>
      </c>
      <c r="I1056" s="0" t="n">
        <v>0</v>
      </c>
      <c r="J1056" s="0" t="n">
        <v>7.53</v>
      </c>
      <c r="K1056" s="0" t="n">
        <v>0.13</v>
      </c>
      <c r="L1056" s="0" t="n">
        <v>0</v>
      </c>
      <c r="M1056" s="0" t="n">
        <v>0.02</v>
      </c>
      <c r="N1056" s="0" t="n">
        <v>0</v>
      </c>
      <c r="O1056" s="0" t="n">
        <v>478.26</v>
      </c>
    </row>
    <row r="1057" customFormat="false" ht="15" hidden="false" customHeight="false" outlineLevel="0" collapsed="false">
      <c r="A1057" s="0" t="s">
        <v>256</v>
      </c>
      <c r="B1057" s="0" t="s">
        <v>494</v>
      </c>
      <c r="C1057" s="0" t="n">
        <v>2022</v>
      </c>
      <c r="D1057" s="0" t="n">
        <v>33149152</v>
      </c>
      <c r="E1057" s="0" t="n">
        <v>23.22</v>
      </c>
      <c r="F1057" s="0" t="n">
        <v>0</v>
      </c>
      <c r="G1057" s="0" t="n">
        <v>14.23</v>
      </c>
      <c r="H1057" s="0" t="n">
        <v>0.62</v>
      </c>
      <c r="I1057" s="0" t="n">
        <v>0</v>
      </c>
      <c r="J1057" s="0" t="n">
        <v>8.19</v>
      </c>
      <c r="K1057" s="0" t="n">
        <v>0.16</v>
      </c>
      <c r="L1057" s="0" t="n">
        <v>0</v>
      </c>
      <c r="M1057" s="0" t="n">
        <v>0.02</v>
      </c>
      <c r="N1057" s="0" t="n">
        <v>0</v>
      </c>
      <c r="O1057" s="0" t="n">
        <v>469.42</v>
      </c>
    </row>
    <row r="1058" customFormat="false" ht="15" hidden="false" customHeight="false" outlineLevel="0" collapsed="false">
      <c r="A1058" s="0" t="s">
        <v>256</v>
      </c>
      <c r="B1058" s="0" t="s">
        <v>494</v>
      </c>
      <c r="C1058" s="0" t="n">
        <v>2023</v>
      </c>
      <c r="D1058" s="0" t="n">
        <v>33787916</v>
      </c>
      <c r="E1058" s="0" t="n">
        <v>24.3</v>
      </c>
      <c r="F1058" s="0" t="n">
        <v>0</v>
      </c>
      <c r="G1058" s="0" t="n">
        <v>14.39</v>
      </c>
      <c r="H1058" s="0" t="n">
        <v>0.55</v>
      </c>
      <c r="I1058" s="0" t="n">
        <v>0</v>
      </c>
      <c r="J1058" s="0" t="n">
        <v>9.19</v>
      </c>
      <c r="K1058" s="0" t="n">
        <v>0.15</v>
      </c>
      <c r="L1058" s="0" t="n">
        <v>0</v>
      </c>
      <c r="M1058" s="0" t="n">
        <v>0.02</v>
      </c>
      <c r="N1058" s="0" t="n">
        <v>0</v>
      </c>
      <c r="O1058" s="0" t="n">
        <v>452.68</v>
      </c>
    </row>
    <row r="1059" customFormat="false" ht="15" hidden="false" customHeight="false" outlineLevel="0" collapsed="false">
      <c r="A1059" s="0" t="s">
        <v>256</v>
      </c>
      <c r="B1059" s="0" t="s">
        <v>494</v>
      </c>
      <c r="C1059" s="0" t="n">
        <v>2024</v>
      </c>
      <c r="D1059" s="0" t="n">
        <v>34427417</v>
      </c>
      <c r="E1059" s="0" t="n">
        <v>24.27</v>
      </c>
      <c r="F1059" s="0" t="n">
        <v>0</v>
      </c>
      <c r="G1059" s="0" t="n">
        <v>14.91</v>
      </c>
      <c r="H1059" s="0" t="n">
        <v>0.57</v>
      </c>
      <c r="I1059" s="0" t="n">
        <v>0</v>
      </c>
      <c r="J1059" s="0" t="n">
        <v>8.6</v>
      </c>
      <c r="K1059" s="0" t="n">
        <v>0.17</v>
      </c>
      <c r="L1059" s="0" t="n">
        <v>0</v>
      </c>
      <c r="M1059" s="0" t="n">
        <v>0.02</v>
      </c>
      <c r="N1059" s="0" t="n">
        <v>0</v>
      </c>
      <c r="O1059" s="0" t="n">
        <v>468.89</v>
      </c>
    </row>
    <row r="1060" customFormat="false" ht="15" hidden="false" customHeight="false" outlineLevel="0" collapsed="false">
      <c r="A1060" s="0" t="s">
        <v>257</v>
      </c>
      <c r="B1060" s="0" t="s">
        <v>495</v>
      </c>
      <c r="C1060" s="0" t="n">
        <v>2015</v>
      </c>
      <c r="D1060" s="0" t="n">
        <v>33214</v>
      </c>
      <c r="E1060" s="0" t="n">
        <v>0.22</v>
      </c>
      <c r="F1060" s="0" t="n">
        <v>0</v>
      </c>
      <c r="G1060" s="0" t="n">
        <v>0</v>
      </c>
      <c r="H1060" s="0" t="n">
        <v>0.22</v>
      </c>
      <c r="I1060" s="0" t="n">
        <v>0</v>
      </c>
      <c r="J1060" s="0" t="n">
        <v>0</v>
      </c>
      <c r="K1060" s="0" t="n">
        <v>0</v>
      </c>
      <c r="L1060" s="0" t="n">
        <v>0</v>
      </c>
      <c r="M1060" s="0" t="n">
        <v>0</v>
      </c>
      <c r="N1060" s="0" t="n">
        <v>0</v>
      </c>
      <c r="O1060" s="0" t="n">
        <v>636.36</v>
      </c>
    </row>
    <row r="1061" customFormat="false" ht="15" hidden="false" customHeight="false" outlineLevel="0" collapsed="false">
      <c r="A1061" s="0" t="s">
        <v>257</v>
      </c>
      <c r="B1061" s="0" t="s">
        <v>495</v>
      </c>
      <c r="C1061" s="0" t="n">
        <v>2016</v>
      </c>
      <c r="D1061" s="0" t="n">
        <v>33682</v>
      </c>
      <c r="E1061" s="0" t="n">
        <v>0.21</v>
      </c>
      <c r="F1061" s="0" t="n">
        <v>0</v>
      </c>
      <c r="G1061" s="0" t="n">
        <v>0</v>
      </c>
      <c r="H1061" s="0" t="n">
        <v>0.21</v>
      </c>
      <c r="I1061" s="0" t="n">
        <v>0</v>
      </c>
      <c r="J1061" s="0" t="n">
        <v>0</v>
      </c>
      <c r="K1061" s="0" t="n">
        <v>0</v>
      </c>
      <c r="L1061" s="0" t="n">
        <v>0</v>
      </c>
      <c r="M1061" s="0" t="n">
        <v>0</v>
      </c>
      <c r="N1061" s="0" t="n">
        <v>0</v>
      </c>
      <c r="O1061" s="0" t="n">
        <v>666.67</v>
      </c>
    </row>
    <row r="1062" customFormat="false" ht="15" hidden="false" customHeight="false" outlineLevel="0" collapsed="false">
      <c r="A1062" s="0" t="s">
        <v>257</v>
      </c>
      <c r="B1062" s="0" t="s">
        <v>495</v>
      </c>
      <c r="C1062" s="0" t="n">
        <v>2017</v>
      </c>
      <c r="D1062" s="0" t="n">
        <v>34267</v>
      </c>
      <c r="E1062" s="0" t="n">
        <v>0.21</v>
      </c>
      <c r="F1062" s="0" t="n">
        <v>0</v>
      </c>
      <c r="G1062" s="0" t="n">
        <v>0</v>
      </c>
      <c r="H1062" s="0" t="n">
        <v>0.21</v>
      </c>
      <c r="I1062" s="0" t="n">
        <v>0</v>
      </c>
      <c r="J1062" s="0" t="n">
        <v>0</v>
      </c>
      <c r="K1062" s="0" t="n">
        <v>0</v>
      </c>
      <c r="L1062" s="0" t="n">
        <v>0</v>
      </c>
      <c r="M1062" s="0" t="n">
        <v>0</v>
      </c>
      <c r="N1062" s="0" t="n">
        <v>0</v>
      </c>
      <c r="O1062" s="0" t="n">
        <v>666.67</v>
      </c>
    </row>
    <row r="1063" customFormat="false" ht="15" hidden="false" customHeight="false" outlineLevel="0" collapsed="false">
      <c r="A1063" s="0" t="s">
        <v>257</v>
      </c>
      <c r="B1063" s="0" t="s">
        <v>495</v>
      </c>
      <c r="C1063" s="0" t="n">
        <v>2018</v>
      </c>
      <c r="D1063" s="0" t="n">
        <v>34883</v>
      </c>
      <c r="E1063" s="0" t="n">
        <v>0.22</v>
      </c>
      <c r="F1063" s="0" t="n">
        <v>0</v>
      </c>
      <c r="G1063" s="0" t="n">
        <v>0</v>
      </c>
      <c r="H1063" s="0" t="n">
        <v>0.22</v>
      </c>
      <c r="I1063" s="0" t="n">
        <v>0</v>
      </c>
      <c r="J1063" s="0" t="n">
        <v>0</v>
      </c>
      <c r="K1063" s="0" t="n">
        <v>0</v>
      </c>
      <c r="L1063" s="0" t="n">
        <v>0</v>
      </c>
      <c r="M1063" s="0" t="n">
        <v>0</v>
      </c>
      <c r="N1063" s="0" t="n">
        <v>0</v>
      </c>
      <c r="O1063" s="0" t="n">
        <v>636.36</v>
      </c>
    </row>
    <row r="1064" customFormat="false" ht="15" hidden="false" customHeight="false" outlineLevel="0" collapsed="false">
      <c r="A1064" s="0" t="s">
        <v>257</v>
      </c>
      <c r="B1064" s="0" t="s">
        <v>495</v>
      </c>
      <c r="C1064" s="0" t="n">
        <v>2019</v>
      </c>
      <c r="D1064" s="0" t="n">
        <v>35518</v>
      </c>
      <c r="E1064" s="0" t="n">
        <v>0.22</v>
      </c>
      <c r="F1064" s="0" t="n">
        <v>0</v>
      </c>
      <c r="G1064" s="0" t="n">
        <v>0.07</v>
      </c>
      <c r="H1064" s="0" t="n">
        <v>0.15</v>
      </c>
      <c r="I1064" s="0" t="n">
        <v>0</v>
      </c>
      <c r="J1064" s="0" t="n">
        <v>0</v>
      </c>
      <c r="K1064" s="0" t="n">
        <v>0</v>
      </c>
      <c r="L1064" s="0" t="n">
        <v>0</v>
      </c>
      <c r="M1064" s="0" t="n">
        <v>0</v>
      </c>
      <c r="N1064" s="0" t="n">
        <v>0</v>
      </c>
      <c r="O1064" s="0" t="n">
        <v>636.36</v>
      </c>
    </row>
    <row r="1065" customFormat="false" ht="15" hidden="false" customHeight="false" outlineLevel="0" collapsed="false">
      <c r="A1065" s="0" t="s">
        <v>257</v>
      </c>
      <c r="B1065" s="0" t="s">
        <v>495</v>
      </c>
      <c r="C1065" s="0" t="n">
        <v>2020</v>
      </c>
      <c r="D1065" s="0" t="n">
        <v>36198</v>
      </c>
      <c r="E1065" s="0" t="n">
        <v>0.21</v>
      </c>
      <c r="F1065" s="0" t="n">
        <v>0</v>
      </c>
      <c r="G1065" s="0" t="n">
        <v>0.21</v>
      </c>
      <c r="H1065" s="0" t="n">
        <v>0</v>
      </c>
      <c r="I1065" s="0" t="n">
        <v>0</v>
      </c>
      <c r="J1065" s="0" t="n">
        <v>0</v>
      </c>
      <c r="K1065" s="0" t="n">
        <v>0</v>
      </c>
      <c r="L1065" s="0" t="n">
        <v>0</v>
      </c>
      <c r="M1065" s="0" t="n">
        <v>0</v>
      </c>
      <c r="N1065" s="0" t="n">
        <v>0</v>
      </c>
      <c r="O1065" s="0" t="n">
        <v>571.43</v>
      </c>
    </row>
    <row r="1066" customFormat="false" ht="15" hidden="false" customHeight="false" outlineLevel="0" collapsed="false">
      <c r="A1066" s="0" t="s">
        <v>257</v>
      </c>
      <c r="B1066" s="0" t="s">
        <v>495</v>
      </c>
      <c r="C1066" s="0" t="n">
        <v>2021</v>
      </c>
      <c r="D1066" s="0" t="n">
        <v>36881</v>
      </c>
      <c r="E1066" s="0" t="n">
        <v>0.23</v>
      </c>
      <c r="F1066" s="0" t="n">
        <v>0</v>
      </c>
      <c r="G1066" s="0" t="n">
        <v>0.23</v>
      </c>
      <c r="H1066" s="0" t="n">
        <v>0</v>
      </c>
      <c r="I1066" s="0" t="n">
        <v>0</v>
      </c>
      <c r="J1066" s="0" t="n">
        <v>0</v>
      </c>
      <c r="K1066" s="0" t="n">
        <v>0</v>
      </c>
      <c r="L1066" s="0" t="n">
        <v>0</v>
      </c>
      <c r="M1066" s="0" t="n">
        <v>0</v>
      </c>
      <c r="N1066" s="0" t="n">
        <v>0</v>
      </c>
      <c r="O1066" s="0" t="n">
        <v>565.22</v>
      </c>
    </row>
    <row r="1067" customFormat="false" ht="15" hidden="false" customHeight="false" outlineLevel="0" collapsed="false">
      <c r="A1067" s="0" t="s">
        <v>257</v>
      </c>
      <c r="B1067" s="0" t="s">
        <v>495</v>
      </c>
      <c r="C1067" s="0" t="n">
        <v>2022</v>
      </c>
      <c r="D1067" s="0" t="n">
        <v>37631</v>
      </c>
      <c r="E1067" s="0" t="n">
        <v>0.21</v>
      </c>
      <c r="F1067" s="0" t="n">
        <v>0</v>
      </c>
      <c r="G1067" s="0" t="n">
        <v>0.21</v>
      </c>
      <c r="H1067" s="0" t="n">
        <v>0</v>
      </c>
      <c r="I1067" s="0" t="n">
        <v>0</v>
      </c>
      <c r="J1067" s="0" t="n">
        <v>0</v>
      </c>
      <c r="K1067" s="0" t="n">
        <v>0</v>
      </c>
      <c r="L1067" s="0" t="n">
        <v>0</v>
      </c>
      <c r="M1067" s="0" t="n">
        <v>0</v>
      </c>
      <c r="N1067" s="0" t="n">
        <v>0</v>
      </c>
      <c r="O1067" s="0" t="n">
        <v>571.43</v>
      </c>
    </row>
    <row r="1068" customFormat="false" ht="15" hidden="false" customHeight="false" outlineLevel="0" collapsed="false">
      <c r="A1068" s="0" t="s">
        <v>257</v>
      </c>
      <c r="B1068" s="0" t="s">
        <v>495</v>
      </c>
      <c r="C1068" s="0" t="n">
        <v>2023</v>
      </c>
      <c r="D1068" s="0" t="n">
        <v>38493</v>
      </c>
      <c r="E1068" s="0" t="n">
        <v>0.23</v>
      </c>
      <c r="F1068" s="0" t="n">
        <v>0</v>
      </c>
      <c r="G1068" s="0" t="n">
        <v>0.19</v>
      </c>
      <c r="H1068" s="0" t="n">
        <v>0.04</v>
      </c>
      <c r="I1068" s="0" t="n">
        <v>0</v>
      </c>
      <c r="J1068" s="0" t="n">
        <v>0</v>
      </c>
      <c r="K1068" s="0" t="n">
        <v>0</v>
      </c>
      <c r="L1068" s="0" t="n">
        <v>0</v>
      </c>
      <c r="M1068" s="0" t="n">
        <v>0</v>
      </c>
      <c r="N1068" s="0" t="n">
        <v>0</v>
      </c>
      <c r="O1068" s="0" t="n">
        <v>608.7</v>
      </c>
    </row>
    <row r="1069" customFormat="false" ht="15" hidden="false" customHeight="false" outlineLevel="0" collapsed="false">
      <c r="A1069" s="0" t="s">
        <v>257</v>
      </c>
      <c r="B1069" s="0" t="s">
        <v>495</v>
      </c>
      <c r="C1069" s="0" t="n">
        <v>2024</v>
      </c>
      <c r="D1069" s="0" t="n">
        <v>39351</v>
      </c>
      <c r="E1069" s="0" t="n">
        <v>0.22</v>
      </c>
      <c r="F1069" s="0" t="n">
        <v>0</v>
      </c>
      <c r="G1069" s="0" t="n">
        <v>0.18</v>
      </c>
      <c r="H1069" s="0" t="n">
        <v>0.04</v>
      </c>
      <c r="I1069" s="0" t="n">
        <v>0</v>
      </c>
      <c r="J1069" s="0" t="n">
        <v>0</v>
      </c>
      <c r="K1069" s="0" t="n">
        <v>0</v>
      </c>
      <c r="L1069" s="0" t="n">
        <v>0</v>
      </c>
      <c r="M1069" s="0" t="n">
        <v>0</v>
      </c>
      <c r="N1069" s="0" t="n">
        <v>0</v>
      </c>
      <c r="O1069" s="0" t="n">
        <v>590.91</v>
      </c>
    </row>
    <row r="1070" customFormat="false" ht="15" hidden="false" customHeight="false" outlineLevel="0" collapsed="false">
      <c r="A1070" s="0" t="s">
        <v>258</v>
      </c>
      <c r="B1070" s="0" t="s">
        <v>496</v>
      </c>
      <c r="C1070" s="0" t="n">
        <v>2015</v>
      </c>
      <c r="D1070" s="0" t="n">
        <v>10820902</v>
      </c>
      <c r="E1070" s="0" t="n">
        <v>51.05</v>
      </c>
      <c r="F1070" s="0" t="n">
        <v>22.11</v>
      </c>
      <c r="G1070" s="0" t="n">
        <v>9.09</v>
      </c>
      <c r="H1070" s="0" t="n">
        <v>5</v>
      </c>
      <c r="I1070" s="0" t="n">
        <v>0</v>
      </c>
      <c r="J1070" s="0" t="n">
        <v>6.1</v>
      </c>
      <c r="K1070" s="0" t="n">
        <v>3.9</v>
      </c>
      <c r="L1070" s="0" t="n">
        <v>4.62</v>
      </c>
      <c r="M1070" s="0" t="n">
        <v>0.23</v>
      </c>
      <c r="N1070" s="0" t="n">
        <v>0</v>
      </c>
      <c r="O1070" s="0" t="n">
        <v>603.53</v>
      </c>
    </row>
    <row r="1071" customFormat="false" ht="15" hidden="false" customHeight="false" outlineLevel="0" collapsed="false">
      <c r="A1071" s="0" t="s">
        <v>258</v>
      </c>
      <c r="B1071" s="0" t="s">
        <v>496</v>
      </c>
      <c r="C1071" s="0" t="n">
        <v>2016</v>
      </c>
      <c r="D1071" s="0" t="n">
        <v>10775506</v>
      </c>
      <c r="E1071" s="0" t="n">
        <v>53.84</v>
      </c>
      <c r="F1071" s="0" t="n">
        <v>18.88</v>
      </c>
      <c r="G1071" s="0" t="n">
        <v>14.97</v>
      </c>
      <c r="H1071" s="0" t="n">
        <v>5.1</v>
      </c>
      <c r="I1071" s="0" t="n">
        <v>0</v>
      </c>
      <c r="J1071" s="0" t="n">
        <v>5.54</v>
      </c>
      <c r="K1071" s="0" t="n">
        <v>3.93</v>
      </c>
      <c r="L1071" s="0" t="n">
        <v>5.15</v>
      </c>
      <c r="M1071" s="0" t="n">
        <v>0.27</v>
      </c>
      <c r="N1071" s="0" t="n">
        <v>0</v>
      </c>
      <c r="O1071" s="0" t="n">
        <v>571.51</v>
      </c>
    </row>
    <row r="1072" customFormat="false" ht="15" hidden="false" customHeight="false" outlineLevel="0" collapsed="false">
      <c r="A1072" s="0" t="s">
        <v>258</v>
      </c>
      <c r="B1072" s="0" t="s">
        <v>496</v>
      </c>
      <c r="C1072" s="0" t="n">
        <v>2017</v>
      </c>
      <c r="D1072" s="0" t="n">
        <v>10753532</v>
      </c>
      <c r="E1072" s="0" t="n">
        <v>54.8</v>
      </c>
      <c r="F1072" s="0" t="n">
        <v>18.76</v>
      </c>
      <c r="G1072" s="0" t="n">
        <v>17.13</v>
      </c>
      <c r="H1072" s="0" t="n">
        <v>5.11</v>
      </c>
      <c r="I1072" s="0" t="n">
        <v>0</v>
      </c>
      <c r="J1072" s="0" t="n">
        <v>3.96</v>
      </c>
      <c r="K1072" s="0" t="n">
        <v>3.99</v>
      </c>
      <c r="L1072" s="0" t="n">
        <v>5.54</v>
      </c>
      <c r="M1072" s="0" t="n">
        <v>0.31</v>
      </c>
      <c r="N1072" s="0" t="n">
        <v>0</v>
      </c>
      <c r="O1072" s="0" t="n">
        <v>579.75</v>
      </c>
    </row>
    <row r="1073" customFormat="false" ht="15" hidden="false" customHeight="false" outlineLevel="0" collapsed="false">
      <c r="A1073" s="0" t="s">
        <v>258</v>
      </c>
      <c r="B1073" s="0" t="s">
        <v>496</v>
      </c>
      <c r="C1073" s="0" t="n">
        <v>2018</v>
      </c>
      <c r="D1073" s="0" t="n">
        <v>10730846</v>
      </c>
      <c r="E1073" s="0" t="n">
        <v>52.61</v>
      </c>
      <c r="F1073" s="0" t="n">
        <v>17.19</v>
      </c>
      <c r="G1073" s="0" t="n">
        <v>14.09</v>
      </c>
      <c r="H1073" s="0" t="n">
        <v>5.19</v>
      </c>
      <c r="I1073" s="0" t="n">
        <v>0</v>
      </c>
      <c r="J1073" s="0" t="n">
        <v>5.74</v>
      </c>
      <c r="K1073" s="0" t="n">
        <v>3.79</v>
      </c>
      <c r="L1073" s="0" t="n">
        <v>6.3</v>
      </c>
      <c r="M1073" s="0" t="n">
        <v>0.31</v>
      </c>
      <c r="N1073" s="0" t="n">
        <v>0</v>
      </c>
      <c r="O1073" s="0" t="n">
        <v>545.14</v>
      </c>
    </row>
    <row r="1074" customFormat="false" ht="15" hidden="false" customHeight="false" outlineLevel="0" collapsed="false">
      <c r="A1074" s="0" t="s">
        <v>258</v>
      </c>
      <c r="B1074" s="0" t="s">
        <v>496</v>
      </c>
      <c r="C1074" s="0" t="n">
        <v>2019</v>
      </c>
      <c r="D1074" s="0" t="n">
        <v>10718581</v>
      </c>
      <c r="E1074" s="0" t="n">
        <v>47.95</v>
      </c>
      <c r="F1074" s="0" t="n">
        <v>12.12</v>
      </c>
      <c r="G1074" s="0" t="n">
        <v>14.5</v>
      </c>
      <c r="H1074" s="0" t="n">
        <v>5.23</v>
      </c>
      <c r="I1074" s="0" t="n">
        <v>0</v>
      </c>
      <c r="J1074" s="0" t="n">
        <v>4</v>
      </c>
      <c r="K1074" s="0" t="n">
        <v>4.43</v>
      </c>
      <c r="L1074" s="0" t="n">
        <v>7.27</v>
      </c>
      <c r="M1074" s="0" t="n">
        <v>0.4</v>
      </c>
      <c r="N1074" s="0" t="n">
        <v>0</v>
      </c>
      <c r="O1074" s="0" t="n">
        <v>496.98</v>
      </c>
    </row>
    <row r="1075" customFormat="false" ht="15" hidden="false" customHeight="false" outlineLevel="0" collapsed="false">
      <c r="A1075" s="0" t="s">
        <v>258</v>
      </c>
      <c r="B1075" s="0" t="s">
        <v>496</v>
      </c>
      <c r="C1075" s="0" t="n">
        <v>2020</v>
      </c>
      <c r="D1075" s="0" t="n">
        <v>10699370</v>
      </c>
      <c r="E1075" s="0" t="n">
        <v>47.51</v>
      </c>
      <c r="F1075" s="0" t="n">
        <v>6.61</v>
      </c>
      <c r="G1075" s="0" t="n">
        <v>19.23</v>
      </c>
      <c r="H1075" s="0" t="n">
        <v>4.12</v>
      </c>
      <c r="I1075" s="0" t="n">
        <v>0</v>
      </c>
      <c r="J1075" s="0" t="n">
        <v>3.34</v>
      </c>
      <c r="K1075" s="0" t="n">
        <v>4.45</v>
      </c>
      <c r="L1075" s="0" t="n">
        <v>9.31</v>
      </c>
      <c r="M1075" s="0" t="n">
        <v>0.45</v>
      </c>
      <c r="N1075" s="0" t="n">
        <v>0</v>
      </c>
      <c r="O1075" s="0" t="n">
        <v>423.07</v>
      </c>
    </row>
    <row r="1076" customFormat="false" ht="15" hidden="false" customHeight="false" outlineLevel="0" collapsed="false">
      <c r="A1076" s="0" t="s">
        <v>258</v>
      </c>
      <c r="B1076" s="0" t="s">
        <v>496</v>
      </c>
      <c r="C1076" s="0" t="n">
        <v>2021</v>
      </c>
      <c r="D1076" s="0" t="n">
        <v>10579561</v>
      </c>
      <c r="E1076" s="0" t="n">
        <v>54.24</v>
      </c>
      <c r="F1076" s="0" t="n">
        <v>5.32</v>
      </c>
      <c r="G1076" s="0" t="n">
        <v>22.49</v>
      </c>
      <c r="H1076" s="0" t="n">
        <v>4.3</v>
      </c>
      <c r="I1076" s="0" t="n">
        <v>0</v>
      </c>
      <c r="J1076" s="0" t="n">
        <v>5.9</v>
      </c>
      <c r="K1076" s="0" t="n">
        <v>5.25</v>
      </c>
      <c r="L1076" s="0" t="n">
        <v>10.48</v>
      </c>
      <c r="M1076" s="0" t="n">
        <v>0.5</v>
      </c>
      <c r="N1076" s="0" t="n">
        <v>0</v>
      </c>
      <c r="O1076" s="0" t="n">
        <v>383.11</v>
      </c>
    </row>
    <row r="1077" customFormat="false" ht="15" hidden="false" customHeight="false" outlineLevel="0" collapsed="false">
      <c r="A1077" s="0" t="s">
        <v>258</v>
      </c>
      <c r="B1077" s="0" t="s">
        <v>496</v>
      </c>
      <c r="C1077" s="0" t="n">
        <v>2022</v>
      </c>
      <c r="D1077" s="0" t="n">
        <v>10412481</v>
      </c>
      <c r="E1077" s="0" t="n">
        <v>51.67</v>
      </c>
      <c r="F1077" s="0" t="n">
        <v>5.76</v>
      </c>
      <c r="G1077" s="0" t="n">
        <v>19.14</v>
      </c>
      <c r="H1077" s="0" t="n">
        <v>4.32</v>
      </c>
      <c r="I1077" s="0" t="n">
        <v>0</v>
      </c>
      <c r="J1077" s="0" t="n">
        <v>3.86</v>
      </c>
      <c r="K1077" s="0" t="n">
        <v>7.14</v>
      </c>
      <c r="L1077" s="0" t="n">
        <v>10.88</v>
      </c>
      <c r="M1077" s="0" t="n">
        <v>0.57</v>
      </c>
      <c r="N1077" s="0" t="n">
        <v>0</v>
      </c>
      <c r="O1077" s="0" t="n">
        <v>376.81</v>
      </c>
    </row>
    <row r="1078" customFormat="false" ht="15" hidden="false" customHeight="false" outlineLevel="0" collapsed="false">
      <c r="A1078" s="0" t="s">
        <v>258</v>
      </c>
      <c r="B1078" s="0" t="s">
        <v>496</v>
      </c>
      <c r="C1078" s="0" t="n">
        <v>2023</v>
      </c>
      <c r="D1078" s="0" t="n">
        <v>10242910</v>
      </c>
      <c r="E1078" s="0" t="n">
        <v>48.93</v>
      </c>
      <c r="F1078" s="0" t="n">
        <v>4.59</v>
      </c>
      <c r="G1078" s="0" t="n">
        <v>15.98</v>
      </c>
      <c r="H1078" s="0" t="n">
        <v>3.98</v>
      </c>
      <c r="I1078" s="0" t="n">
        <v>0</v>
      </c>
      <c r="J1078" s="0" t="n">
        <v>3.82</v>
      </c>
      <c r="K1078" s="0" t="n">
        <v>8.89</v>
      </c>
      <c r="L1078" s="0" t="n">
        <v>11.02</v>
      </c>
      <c r="M1078" s="0" t="n">
        <v>0.65</v>
      </c>
      <c r="N1078" s="0" t="n">
        <v>0</v>
      </c>
      <c r="O1078" s="0" t="n">
        <v>336.4</v>
      </c>
    </row>
    <row r="1079" customFormat="false" ht="15" hidden="false" customHeight="false" outlineLevel="0" collapsed="false">
      <c r="A1079" s="0" t="s">
        <v>258</v>
      </c>
      <c r="B1079" s="0" t="s">
        <v>496</v>
      </c>
      <c r="C1079" s="0" t="n">
        <v>2024</v>
      </c>
      <c r="D1079" s="0" t="n">
        <v>10047813</v>
      </c>
      <c r="E1079" s="0" t="n">
        <v>57.08</v>
      </c>
      <c r="F1079" s="0" t="n">
        <v>3.27</v>
      </c>
      <c r="G1079" s="0" t="n">
        <v>21.53</v>
      </c>
      <c r="H1079" s="0" t="n">
        <v>4.18</v>
      </c>
      <c r="I1079" s="0" t="n">
        <v>0</v>
      </c>
      <c r="J1079" s="0" t="n">
        <v>3.58</v>
      </c>
      <c r="K1079" s="0" t="n">
        <v>11.26</v>
      </c>
      <c r="L1079" s="0" t="n">
        <v>12.55</v>
      </c>
      <c r="M1079" s="0" t="n">
        <v>0.71</v>
      </c>
      <c r="N1079" s="0" t="n">
        <v>0</v>
      </c>
      <c r="O1079" s="0" t="n">
        <v>321.65</v>
      </c>
    </row>
    <row r="1080" customFormat="false" ht="15" hidden="false" customHeight="false" outlineLevel="0" collapsed="false">
      <c r="A1080" s="0" t="s">
        <v>258</v>
      </c>
      <c r="B1080" s="0" t="s">
        <v>496</v>
      </c>
      <c r="C1080" s="0" t="n">
        <v>2025</v>
      </c>
      <c r="D1080" s="0" t="n">
        <v>9938847</v>
      </c>
      <c r="E1080" s="0" t="n">
        <v>58.27</v>
      </c>
      <c r="F1080" s="0" t="n">
        <v>2.74</v>
      </c>
      <c r="G1080" s="0" t="n">
        <v>22.39</v>
      </c>
      <c r="H1080" s="0" t="n">
        <v>4.18</v>
      </c>
      <c r="I1080" s="0" t="n">
        <v>0</v>
      </c>
      <c r="J1080" s="0" t="n">
        <v>3.42</v>
      </c>
      <c r="K1080" s="0" t="n">
        <v>12.92</v>
      </c>
      <c r="L1080" s="0" t="n">
        <v>11.91</v>
      </c>
      <c r="M1080" s="0" t="n">
        <v>0.71</v>
      </c>
      <c r="N1080" s="0" t="n">
        <v>0</v>
      </c>
      <c r="O1080" s="0" t="n">
        <v>315.09</v>
      </c>
    </row>
    <row r="1081" customFormat="false" ht="15" hidden="false" customHeight="false" outlineLevel="0" collapsed="false">
      <c r="A1081" s="0" t="s">
        <v>259</v>
      </c>
      <c r="B1081" s="0" t="s">
        <v>497</v>
      </c>
      <c r="C1081" s="0" t="n">
        <v>2015</v>
      </c>
      <c r="D1081" s="0" t="n">
        <v>56048</v>
      </c>
      <c r="E1081" s="0" t="n">
        <v>0.51</v>
      </c>
      <c r="F1081" s="0" t="n">
        <v>0</v>
      </c>
      <c r="G1081" s="0" t="n">
        <v>0</v>
      </c>
      <c r="H1081" s="0" t="n">
        <v>0.09</v>
      </c>
      <c r="I1081" s="0" t="n">
        <v>0</v>
      </c>
      <c r="J1081" s="0" t="n">
        <v>0.42</v>
      </c>
      <c r="K1081" s="0" t="n">
        <v>0</v>
      </c>
      <c r="L1081" s="0" t="n">
        <v>0</v>
      </c>
      <c r="M1081" s="0" t="n">
        <v>0</v>
      </c>
      <c r="N1081" s="0" t="n">
        <v>0</v>
      </c>
      <c r="O1081" s="0" t="n">
        <v>137.26</v>
      </c>
    </row>
    <row r="1082" customFormat="false" ht="15" hidden="false" customHeight="false" outlineLevel="0" collapsed="false">
      <c r="A1082" s="0" t="s">
        <v>259</v>
      </c>
      <c r="B1082" s="0" t="s">
        <v>497</v>
      </c>
      <c r="C1082" s="0" t="n">
        <v>2016</v>
      </c>
      <c r="D1082" s="0" t="n">
        <v>56082</v>
      </c>
      <c r="E1082" s="0" t="n">
        <v>0.48</v>
      </c>
      <c r="F1082" s="0" t="n">
        <v>0</v>
      </c>
      <c r="G1082" s="0" t="n">
        <v>0</v>
      </c>
      <c r="H1082" s="0" t="n">
        <v>0.08</v>
      </c>
      <c r="I1082" s="0" t="n">
        <v>0</v>
      </c>
      <c r="J1082" s="0" t="n">
        <v>0.4</v>
      </c>
      <c r="K1082" s="0" t="n">
        <v>0</v>
      </c>
      <c r="L1082" s="0" t="n">
        <v>0</v>
      </c>
      <c r="M1082" s="0" t="n">
        <v>0</v>
      </c>
      <c r="N1082" s="0" t="n">
        <v>0</v>
      </c>
      <c r="O1082" s="0" t="n">
        <v>125</v>
      </c>
    </row>
    <row r="1083" customFormat="false" ht="15" hidden="false" customHeight="false" outlineLevel="0" collapsed="false">
      <c r="A1083" s="0" t="s">
        <v>259</v>
      </c>
      <c r="B1083" s="0" t="s">
        <v>497</v>
      </c>
      <c r="C1083" s="0" t="n">
        <v>2017</v>
      </c>
      <c r="D1083" s="0" t="n">
        <v>56094</v>
      </c>
      <c r="E1083" s="0" t="n">
        <v>0.5</v>
      </c>
      <c r="F1083" s="0" t="n">
        <v>0</v>
      </c>
      <c r="G1083" s="0" t="n">
        <v>0</v>
      </c>
      <c r="H1083" s="0" t="n">
        <v>0.12</v>
      </c>
      <c r="I1083" s="0" t="n">
        <v>0</v>
      </c>
      <c r="J1083" s="0" t="n">
        <v>0.38</v>
      </c>
      <c r="K1083" s="0" t="n">
        <v>0</v>
      </c>
      <c r="L1083" s="0" t="n">
        <v>0</v>
      </c>
      <c r="M1083" s="0" t="n">
        <v>0</v>
      </c>
      <c r="N1083" s="0" t="n">
        <v>0</v>
      </c>
      <c r="O1083" s="0" t="n">
        <v>180</v>
      </c>
    </row>
    <row r="1084" customFormat="false" ht="15" hidden="false" customHeight="false" outlineLevel="0" collapsed="false">
      <c r="A1084" s="0" t="s">
        <v>259</v>
      </c>
      <c r="B1084" s="0" t="s">
        <v>497</v>
      </c>
      <c r="C1084" s="0" t="n">
        <v>2018</v>
      </c>
      <c r="D1084" s="0" t="n">
        <v>56100</v>
      </c>
      <c r="E1084" s="0" t="n">
        <v>0.52</v>
      </c>
      <c r="F1084" s="0" t="n">
        <v>0</v>
      </c>
      <c r="G1084" s="0" t="n">
        <v>0</v>
      </c>
      <c r="H1084" s="0" t="n">
        <v>0.1</v>
      </c>
      <c r="I1084" s="0" t="n">
        <v>0</v>
      </c>
      <c r="J1084" s="0" t="n">
        <v>0.42</v>
      </c>
      <c r="K1084" s="0" t="n">
        <v>0</v>
      </c>
      <c r="L1084" s="0" t="n">
        <v>0</v>
      </c>
      <c r="M1084" s="0" t="n">
        <v>0</v>
      </c>
      <c r="N1084" s="0" t="n">
        <v>0</v>
      </c>
      <c r="O1084" s="0" t="n">
        <v>153.85</v>
      </c>
    </row>
    <row r="1085" customFormat="false" ht="15" hidden="false" customHeight="false" outlineLevel="0" collapsed="false">
      <c r="A1085" s="0" t="s">
        <v>259</v>
      </c>
      <c r="B1085" s="0" t="s">
        <v>497</v>
      </c>
      <c r="C1085" s="0" t="n">
        <v>2019</v>
      </c>
      <c r="D1085" s="0" t="n">
        <v>56109</v>
      </c>
      <c r="E1085" s="0" t="n">
        <v>0.49</v>
      </c>
      <c r="F1085" s="0" t="n">
        <v>0</v>
      </c>
      <c r="G1085" s="0" t="n">
        <v>0</v>
      </c>
      <c r="H1085" s="0" t="n">
        <v>0.08</v>
      </c>
      <c r="I1085" s="0" t="n">
        <v>0</v>
      </c>
      <c r="J1085" s="0" t="n">
        <v>0.41</v>
      </c>
      <c r="K1085" s="0" t="n">
        <v>0</v>
      </c>
      <c r="L1085" s="0" t="n">
        <v>0</v>
      </c>
      <c r="M1085" s="0" t="n">
        <v>0</v>
      </c>
      <c r="N1085" s="0" t="n">
        <v>0</v>
      </c>
      <c r="O1085" s="0" t="n">
        <v>122.45</v>
      </c>
    </row>
    <row r="1086" customFormat="false" ht="15" hidden="false" customHeight="false" outlineLevel="0" collapsed="false">
      <c r="A1086" s="0" t="s">
        <v>259</v>
      </c>
      <c r="B1086" s="0" t="s">
        <v>497</v>
      </c>
      <c r="C1086" s="0" t="n">
        <v>2020</v>
      </c>
      <c r="D1086" s="0" t="n">
        <v>56105</v>
      </c>
      <c r="E1086" s="0" t="n">
        <v>0.52</v>
      </c>
      <c r="F1086" s="0" t="n">
        <v>0</v>
      </c>
      <c r="G1086" s="0" t="n">
        <v>0</v>
      </c>
      <c r="H1086" s="0" t="n">
        <v>0.09</v>
      </c>
      <c r="I1086" s="0" t="n">
        <v>0</v>
      </c>
      <c r="J1086" s="0" t="n">
        <v>0.43</v>
      </c>
      <c r="K1086" s="0" t="n">
        <v>0</v>
      </c>
      <c r="L1086" s="0" t="n">
        <v>0</v>
      </c>
      <c r="M1086" s="0" t="n">
        <v>0</v>
      </c>
      <c r="N1086" s="0" t="n">
        <v>0</v>
      </c>
      <c r="O1086" s="0" t="n">
        <v>134.62</v>
      </c>
    </row>
    <row r="1087" customFormat="false" ht="15" hidden="false" customHeight="false" outlineLevel="0" collapsed="false">
      <c r="A1087" s="0" t="s">
        <v>259</v>
      </c>
      <c r="B1087" s="0" t="s">
        <v>497</v>
      </c>
      <c r="C1087" s="0" t="n">
        <v>2021</v>
      </c>
      <c r="D1087" s="0" t="n">
        <v>56065</v>
      </c>
      <c r="E1087" s="0" t="n">
        <v>0.51</v>
      </c>
      <c r="F1087" s="0" t="n">
        <v>0</v>
      </c>
      <c r="G1087" s="0" t="n">
        <v>0</v>
      </c>
      <c r="H1087" s="0" t="n">
        <v>0.08</v>
      </c>
      <c r="I1087" s="0" t="n">
        <v>0</v>
      </c>
      <c r="J1087" s="0" t="n">
        <v>0.43</v>
      </c>
      <c r="K1087" s="0" t="n">
        <v>0</v>
      </c>
      <c r="L1087" s="0" t="n">
        <v>0</v>
      </c>
      <c r="M1087" s="0" t="n">
        <v>0</v>
      </c>
      <c r="N1087" s="0" t="n">
        <v>0</v>
      </c>
      <c r="O1087" s="0" t="n">
        <v>117.65</v>
      </c>
    </row>
    <row r="1088" customFormat="false" ht="15" hidden="false" customHeight="false" outlineLevel="0" collapsed="false">
      <c r="A1088" s="0" t="s">
        <v>259</v>
      </c>
      <c r="B1088" s="0" t="s">
        <v>497</v>
      </c>
      <c r="C1088" s="0" t="n">
        <v>2022</v>
      </c>
      <c r="D1088" s="0" t="n">
        <v>56014</v>
      </c>
      <c r="E1088" s="0" t="n">
        <v>0.54</v>
      </c>
      <c r="F1088" s="0" t="n">
        <v>0</v>
      </c>
      <c r="G1088" s="0" t="n">
        <v>0</v>
      </c>
      <c r="H1088" s="0" t="n">
        <v>0.07</v>
      </c>
      <c r="I1088" s="0" t="n">
        <v>0</v>
      </c>
      <c r="J1088" s="0" t="n">
        <v>0.47</v>
      </c>
      <c r="K1088" s="0" t="n">
        <v>0</v>
      </c>
      <c r="L1088" s="0" t="n">
        <v>0</v>
      </c>
      <c r="M1088" s="0" t="n">
        <v>0</v>
      </c>
      <c r="N1088" s="0" t="n">
        <v>0</v>
      </c>
      <c r="O1088" s="0" t="n">
        <v>111.11</v>
      </c>
    </row>
    <row r="1089" customFormat="false" ht="15" hidden="false" customHeight="false" outlineLevel="0" collapsed="false">
      <c r="A1089" s="0" t="s">
        <v>259</v>
      </c>
      <c r="B1089" s="0" t="s">
        <v>497</v>
      </c>
      <c r="C1089" s="0" t="n">
        <v>2023</v>
      </c>
      <c r="D1089" s="0" t="n">
        <v>55951</v>
      </c>
      <c r="E1089" s="0" t="n">
        <v>0.61</v>
      </c>
      <c r="F1089" s="0" t="n">
        <v>0</v>
      </c>
      <c r="G1089" s="0" t="n">
        <v>0</v>
      </c>
      <c r="H1089" s="0" t="n">
        <v>0.11</v>
      </c>
      <c r="I1089" s="0" t="n">
        <v>0</v>
      </c>
      <c r="J1089" s="0" t="n">
        <v>0.48</v>
      </c>
      <c r="K1089" s="0" t="n">
        <v>0</v>
      </c>
      <c r="L1089" s="0" t="n">
        <v>0</v>
      </c>
      <c r="M1089" s="0" t="n">
        <v>0.02</v>
      </c>
      <c r="N1089" s="0" t="n">
        <v>0</v>
      </c>
      <c r="O1089" s="0" t="n">
        <v>131.15</v>
      </c>
    </row>
    <row r="1090" customFormat="false" ht="15" hidden="false" customHeight="false" outlineLevel="0" collapsed="false">
      <c r="A1090" s="0" t="s">
        <v>259</v>
      </c>
      <c r="B1090" s="0" t="s">
        <v>497</v>
      </c>
      <c r="C1090" s="0" t="n">
        <v>2024</v>
      </c>
      <c r="D1090" s="0" t="n">
        <v>55864</v>
      </c>
      <c r="E1090" s="0" t="n">
        <v>0.6</v>
      </c>
      <c r="F1090" s="0" t="n">
        <v>0</v>
      </c>
      <c r="G1090" s="0" t="n">
        <v>0</v>
      </c>
      <c r="H1090" s="0" t="n">
        <v>0.1</v>
      </c>
      <c r="I1090" s="0" t="n">
        <v>0</v>
      </c>
      <c r="J1090" s="0" t="n">
        <v>0.47</v>
      </c>
      <c r="K1090" s="0" t="n">
        <v>0</v>
      </c>
      <c r="L1090" s="0" t="n">
        <v>0</v>
      </c>
      <c r="M1090" s="0" t="n">
        <v>0.03</v>
      </c>
      <c r="N1090" s="0" t="n">
        <v>0</v>
      </c>
      <c r="O1090" s="0" t="n">
        <v>150</v>
      </c>
    </row>
    <row r="1091" customFormat="false" ht="15" hidden="false" customHeight="false" outlineLevel="0" collapsed="false">
      <c r="A1091" s="0" t="s">
        <v>260</v>
      </c>
      <c r="B1091" s="0" t="s">
        <v>498</v>
      </c>
      <c r="C1091" s="0" t="n">
        <v>2015</v>
      </c>
      <c r="D1091" s="0" t="n">
        <v>114691</v>
      </c>
      <c r="E1091" s="0" t="n">
        <v>0.21</v>
      </c>
      <c r="F1091" s="0" t="n">
        <v>0</v>
      </c>
      <c r="G1091" s="0" t="n">
        <v>0</v>
      </c>
      <c r="H1091" s="0" t="n">
        <v>0.21</v>
      </c>
      <c r="I1091" s="0" t="n">
        <v>0</v>
      </c>
      <c r="J1091" s="0" t="n">
        <v>0</v>
      </c>
      <c r="K1091" s="0" t="n">
        <v>0</v>
      </c>
      <c r="L1091" s="0" t="n">
        <v>0</v>
      </c>
      <c r="M1091" s="0" t="n">
        <v>0</v>
      </c>
      <c r="N1091" s="0" t="n">
        <v>0</v>
      </c>
      <c r="O1091" s="0" t="n">
        <v>666.67</v>
      </c>
    </row>
    <row r="1092" customFormat="false" ht="15" hidden="false" customHeight="false" outlineLevel="0" collapsed="false">
      <c r="A1092" s="0" t="s">
        <v>260</v>
      </c>
      <c r="B1092" s="0" t="s">
        <v>498</v>
      </c>
      <c r="C1092" s="0" t="n">
        <v>2016</v>
      </c>
      <c r="D1092" s="0" t="n">
        <v>115147</v>
      </c>
      <c r="E1092" s="0" t="n">
        <v>0.22</v>
      </c>
      <c r="F1092" s="0" t="n">
        <v>0</v>
      </c>
      <c r="G1092" s="0" t="n">
        <v>0</v>
      </c>
      <c r="H1092" s="0" t="n">
        <v>0.22</v>
      </c>
      <c r="I1092" s="0" t="n">
        <v>0</v>
      </c>
      <c r="J1092" s="0" t="n">
        <v>0</v>
      </c>
      <c r="K1092" s="0" t="n">
        <v>0</v>
      </c>
      <c r="L1092" s="0" t="n">
        <v>0</v>
      </c>
      <c r="M1092" s="0" t="n">
        <v>0</v>
      </c>
      <c r="N1092" s="0" t="n">
        <v>0</v>
      </c>
      <c r="O1092" s="0" t="n">
        <v>636.36</v>
      </c>
    </row>
    <row r="1093" customFormat="false" ht="15" hidden="false" customHeight="false" outlineLevel="0" collapsed="false">
      <c r="A1093" s="0" t="s">
        <v>260</v>
      </c>
      <c r="B1093" s="0" t="s">
        <v>498</v>
      </c>
      <c r="C1093" s="0" t="n">
        <v>2017</v>
      </c>
      <c r="D1093" s="0" t="n">
        <v>115448</v>
      </c>
      <c r="E1093" s="0" t="n">
        <v>0.23</v>
      </c>
      <c r="F1093" s="0" t="n">
        <v>0</v>
      </c>
      <c r="G1093" s="0" t="n">
        <v>0</v>
      </c>
      <c r="H1093" s="0" t="n">
        <v>0.23</v>
      </c>
      <c r="I1093" s="0" t="n">
        <v>0</v>
      </c>
      <c r="J1093" s="0" t="n">
        <v>0</v>
      </c>
      <c r="K1093" s="0" t="n">
        <v>0</v>
      </c>
      <c r="L1093" s="0" t="n">
        <v>0</v>
      </c>
      <c r="M1093" s="0" t="n">
        <v>0</v>
      </c>
      <c r="N1093" s="0" t="n">
        <v>0</v>
      </c>
      <c r="O1093" s="0" t="n">
        <v>652.17</v>
      </c>
    </row>
    <row r="1094" customFormat="false" ht="15" hidden="false" customHeight="false" outlineLevel="0" collapsed="false">
      <c r="A1094" s="0" t="s">
        <v>260</v>
      </c>
      <c r="B1094" s="0" t="s">
        <v>498</v>
      </c>
      <c r="C1094" s="0" t="n">
        <v>2018</v>
      </c>
      <c r="D1094" s="0" t="n">
        <v>115703</v>
      </c>
      <c r="E1094" s="0" t="n">
        <v>0.23</v>
      </c>
      <c r="F1094" s="0" t="n">
        <v>0</v>
      </c>
      <c r="G1094" s="0" t="n">
        <v>0</v>
      </c>
      <c r="H1094" s="0" t="n">
        <v>0.23</v>
      </c>
      <c r="I1094" s="0" t="n">
        <v>0</v>
      </c>
      <c r="J1094" s="0" t="n">
        <v>0</v>
      </c>
      <c r="K1094" s="0" t="n">
        <v>0</v>
      </c>
      <c r="L1094" s="0" t="n">
        <v>0</v>
      </c>
      <c r="M1094" s="0" t="n">
        <v>0</v>
      </c>
      <c r="N1094" s="0" t="n">
        <v>0</v>
      </c>
      <c r="O1094" s="0" t="n">
        <v>652.17</v>
      </c>
    </row>
    <row r="1095" customFormat="false" ht="15" hidden="false" customHeight="false" outlineLevel="0" collapsed="false">
      <c r="A1095" s="0" t="s">
        <v>260</v>
      </c>
      <c r="B1095" s="0" t="s">
        <v>498</v>
      </c>
      <c r="C1095" s="0" t="n">
        <v>2019</v>
      </c>
      <c r="D1095" s="0" t="n">
        <v>115995</v>
      </c>
      <c r="E1095" s="0" t="n">
        <v>0.24</v>
      </c>
      <c r="F1095" s="0" t="n">
        <v>0</v>
      </c>
      <c r="G1095" s="0" t="n">
        <v>0</v>
      </c>
      <c r="H1095" s="0" t="n">
        <v>0.24</v>
      </c>
      <c r="I1095" s="0" t="n">
        <v>0</v>
      </c>
      <c r="J1095" s="0" t="n">
        <v>0</v>
      </c>
      <c r="K1095" s="0" t="n">
        <v>0</v>
      </c>
      <c r="L1095" s="0" t="n">
        <v>0</v>
      </c>
      <c r="M1095" s="0" t="n">
        <v>0</v>
      </c>
      <c r="N1095" s="0" t="n">
        <v>0</v>
      </c>
      <c r="O1095" s="0" t="n">
        <v>666.67</v>
      </c>
    </row>
    <row r="1096" customFormat="false" ht="15" hidden="false" customHeight="false" outlineLevel="0" collapsed="false">
      <c r="A1096" s="0" t="s">
        <v>260</v>
      </c>
      <c r="B1096" s="0" t="s">
        <v>498</v>
      </c>
      <c r="C1096" s="0" t="n">
        <v>2020</v>
      </c>
      <c r="D1096" s="0" t="n">
        <v>116353</v>
      </c>
      <c r="E1096" s="0" t="n">
        <v>0.22</v>
      </c>
      <c r="F1096" s="0" t="n">
        <v>0</v>
      </c>
      <c r="G1096" s="0" t="n">
        <v>0</v>
      </c>
      <c r="H1096" s="0" t="n">
        <v>0.22</v>
      </c>
      <c r="I1096" s="0" t="n">
        <v>0</v>
      </c>
      <c r="J1096" s="0" t="n">
        <v>0</v>
      </c>
      <c r="K1096" s="0" t="n">
        <v>0</v>
      </c>
      <c r="L1096" s="0" t="n">
        <v>0</v>
      </c>
      <c r="M1096" s="0" t="n">
        <v>0</v>
      </c>
      <c r="N1096" s="0" t="n">
        <v>0</v>
      </c>
      <c r="O1096" s="0" t="n">
        <v>636.36</v>
      </c>
    </row>
    <row r="1097" customFormat="false" ht="15" hidden="false" customHeight="false" outlineLevel="0" collapsed="false">
      <c r="A1097" s="0" t="s">
        <v>260</v>
      </c>
      <c r="B1097" s="0" t="s">
        <v>498</v>
      </c>
      <c r="C1097" s="0" t="n">
        <v>2021</v>
      </c>
      <c r="D1097" s="0" t="n">
        <v>116696</v>
      </c>
      <c r="E1097" s="0" t="n">
        <v>0.23</v>
      </c>
      <c r="F1097" s="0" t="n">
        <v>0</v>
      </c>
      <c r="G1097" s="0" t="n">
        <v>0</v>
      </c>
      <c r="H1097" s="0" t="n">
        <v>0.23</v>
      </c>
      <c r="I1097" s="0" t="n">
        <v>0</v>
      </c>
      <c r="J1097" s="0" t="n">
        <v>0</v>
      </c>
      <c r="K1097" s="0" t="n">
        <v>0</v>
      </c>
      <c r="L1097" s="0" t="n">
        <v>0</v>
      </c>
      <c r="M1097" s="0" t="n">
        <v>0</v>
      </c>
      <c r="N1097" s="0" t="n">
        <v>0</v>
      </c>
      <c r="O1097" s="0" t="n">
        <v>652.17</v>
      </c>
    </row>
    <row r="1098" customFormat="false" ht="15" hidden="false" customHeight="false" outlineLevel="0" collapsed="false">
      <c r="A1098" s="0" t="s">
        <v>260</v>
      </c>
      <c r="B1098" s="0" t="s">
        <v>498</v>
      </c>
      <c r="C1098" s="0" t="n">
        <v>2022</v>
      </c>
      <c r="D1098" s="0" t="n">
        <v>116928</v>
      </c>
      <c r="E1098" s="0" t="n">
        <v>0.24</v>
      </c>
      <c r="F1098" s="0" t="n">
        <v>0</v>
      </c>
      <c r="G1098" s="0" t="n">
        <v>0</v>
      </c>
      <c r="H1098" s="0" t="n">
        <v>0.24</v>
      </c>
      <c r="I1098" s="0" t="n">
        <v>0</v>
      </c>
      <c r="J1098" s="0" t="n">
        <v>0</v>
      </c>
      <c r="K1098" s="0" t="n">
        <v>0</v>
      </c>
      <c r="L1098" s="0" t="n">
        <v>0</v>
      </c>
      <c r="M1098" s="0" t="n">
        <v>0</v>
      </c>
      <c r="N1098" s="0" t="n">
        <v>0</v>
      </c>
      <c r="O1098" s="0" t="n">
        <v>666.67</v>
      </c>
    </row>
    <row r="1099" customFormat="false" ht="15" hidden="false" customHeight="false" outlineLevel="0" collapsed="false">
      <c r="A1099" s="0" t="s">
        <v>260</v>
      </c>
      <c r="B1099" s="0" t="s">
        <v>498</v>
      </c>
      <c r="C1099" s="0" t="n">
        <v>2023</v>
      </c>
      <c r="D1099" s="0" t="n">
        <v>117094</v>
      </c>
      <c r="E1099" s="0" t="n">
        <v>0.24</v>
      </c>
      <c r="F1099" s="0" t="n">
        <v>0</v>
      </c>
      <c r="G1099" s="0" t="n">
        <v>0</v>
      </c>
      <c r="H1099" s="0" t="n">
        <v>0.24</v>
      </c>
      <c r="I1099" s="0" t="n">
        <v>0</v>
      </c>
      <c r="J1099" s="0" t="n">
        <v>0</v>
      </c>
      <c r="K1099" s="0" t="n">
        <v>0</v>
      </c>
      <c r="L1099" s="0" t="n">
        <v>0</v>
      </c>
      <c r="M1099" s="0" t="n">
        <v>0</v>
      </c>
      <c r="N1099" s="0" t="n">
        <v>0</v>
      </c>
      <c r="O1099" s="0" t="n">
        <v>666.67</v>
      </c>
    </row>
    <row r="1100" customFormat="false" ht="15" hidden="false" customHeight="false" outlineLevel="0" collapsed="false">
      <c r="A1100" s="0" t="s">
        <v>260</v>
      </c>
      <c r="B1100" s="0" t="s">
        <v>498</v>
      </c>
      <c r="C1100" s="0" t="n">
        <v>2024</v>
      </c>
      <c r="D1100" s="0" t="n">
        <v>117218</v>
      </c>
      <c r="E1100" s="0" t="n">
        <v>0.24</v>
      </c>
      <c r="F1100" s="0" t="n">
        <v>0</v>
      </c>
      <c r="G1100" s="0" t="n">
        <v>0</v>
      </c>
      <c r="H1100" s="0" t="n">
        <v>0.24</v>
      </c>
      <c r="I1100" s="0" t="n">
        <v>0</v>
      </c>
      <c r="J1100" s="0" t="n">
        <v>0</v>
      </c>
      <c r="K1100" s="0" t="n">
        <v>0</v>
      </c>
      <c r="L1100" s="0" t="n">
        <v>0</v>
      </c>
      <c r="M1100" s="0" t="n">
        <v>0</v>
      </c>
      <c r="N1100" s="0" t="n">
        <v>0</v>
      </c>
      <c r="O1100" s="0" t="n">
        <v>666.67</v>
      </c>
    </row>
    <row r="1101" customFormat="false" ht="15" hidden="false" customHeight="false" outlineLevel="0" collapsed="false">
      <c r="A1101" s="0" t="s">
        <v>261</v>
      </c>
      <c r="B1101" s="0" t="s">
        <v>499</v>
      </c>
      <c r="C1101" s="0" t="n">
        <v>2015</v>
      </c>
      <c r="D1101" s="0" t="n">
        <v>403950</v>
      </c>
      <c r="E1101" s="0" t="n">
        <v>1.76</v>
      </c>
      <c r="F1101" s="0" t="n">
        <v>0.41</v>
      </c>
      <c r="H1101" s="0" t="n">
        <v>1.04</v>
      </c>
      <c r="J1101" s="0" t="n">
        <v>0.02</v>
      </c>
      <c r="K1101" s="0" t="n">
        <v>0.1</v>
      </c>
      <c r="L1101" s="0" t="n">
        <v>0.05</v>
      </c>
      <c r="M1101" s="0" t="n">
        <v>0.06</v>
      </c>
      <c r="N1101" s="0" t="n">
        <v>0.08</v>
      </c>
      <c r="O1101" s="0" t="n">
        <v>596.59</v>
      </c>
    </row>
    <row r="1102" customFormat="false" ht="15" hidden="false" customHeight="false" outlineLevel="0" collapsed="false">
      <c r="A1102" s="0" t="s">
        <v>261</v>
      </c>
      <c r="B1102" s="0" t="s">
        <v>499</v>
      </c>
      <c r="C1102" s="0" t="n">
        <v>2016</v>
      </c>
      <c r="D1102" s="0" t="n">
        <v>404642</v>
      </c>
      <c r="E1102" s="0" t="n">
        <v>1.77</v>
      </c>
      <c r="F1102" s="0" t="n">
        <v>0.51</v>
      </c>
      <c r="H1102" s="0" t="n">
        <v>0.96</v>
      </c>
      <c r="J1102" s="0" t="n">
        <v>0.03</v>
      </c>
      <c r="K1102" s="0" t="n">
        <v>0.09</v>
      </c>
      <c r="L1102" s="0" t="n">
        <v>0.05</v>
      </c>
      <c r="M1102" s="0" t="n">
        <v>0.05</v>
      </c>
      <c r="N1102" s="0" t="n">
        <v>0.08</v>
      </c>
      <c r="O1102" s="0" t="n">
        <v>610.17</v>
      </c>
    </row>
    <row r="1103" customFormat="false" ht="15" hidden="false" customHeight="false" outlineLevel="0" collapsed="false">
      <c r="A1103" s="0" t="s">
        <v>261</v>
      </c>
      <c r="B1103" s="0" t="s">
        <v>499</v>
      </c>
      <c r="C1103" s="0" t="n">
        <v>2017</v>
      </c>
      <c r="D1103" s="0" t="n">
        <v>412701</v>
      </c>
      <c r="E1103" s="0" t="n">
        <v>1.76</v>
      </c>
      <c r="F1103" s="0" t="n">
        <v>0.49</v>
      </c>
      <c r="H1103" s="0" t="n">
        <v>0.91</v>
      </c>
      <c r="J1103" s="0" t="n">
        <v>0.04</v>
      </c>
      <c r="K1103" s="0" t="n">
        <v>0.09</v>
      </c>
      <c r="L1103" s="0" t="n">
        <v>0.05</v>
      </c>
      <c r="M1103" s="0" t="n">
        <v>0.07</v>
      </c>
      <c r="N1103" s="0" t="n">
        <v>0.11</v>
      </c>
      <c r="O1103" s="0" t="n">
        <v>596.59</v>
      </c>
    </row>
    <row r="1104" customFormat="false" ht="15" hidden="false" customHeight="false" outlineLevel="0" collapsed="false">
      <c r="A1104" s="0" t="s">
        <v>261</v>
      </c>
      <c r="B1104" s="0" t="s">
        <v>499</v>
      </c>
      <c r="C1104" s="0" t="n">
        <v>2018</v>
      </c>
      <c r="D1104" s="0" t="n">
        <v>415184</v>
      </c>
      <c r="E1104" s="0" t="n">
        <v>1.71</v>
      </c>
      <c r="F1104" s="0" t="n">
        <v>0.45</v>
      </c>
      <c r="H1104" s="0" t="n">
        <v>0.89</v>
      </c>
      <c r="J1104" s="0" t="n">
        <v>0.04</v>
      </c>
      <c r="K1104" s="0" t="n">
        <v>0.1</v>
      </c>
      <c r="L1104" s="0" t="n">
        <v>0.05</v>
      </c>
      <c r="M1104" s="0" t="n">
        <v>0.07</v>
      </c>
      <c r="N1104" s="0" t="n">
        <v>0.11</v>
      </c>
      <c r="O1104" s="0" t="n">
        <v>584.8</v>
      </c>
    </row>
    <row r="1105" customFormat="false" ht="15" hidden="false" customHeight="false" outlineLevel="0" collapsed="false">
      <c r="A1105" s="0" t="s">
        <v>261</v>
      </c>
      <c r="B1105" s="0" t="s">
        <v>499</v>
      </c>
      <c r="C1105" s="0" t="n">
        <v>2019</v>
      </c>
      <c r="D1105" s="0" t="n">
        <v>410266</v>
      </c>
      <c r="E1105" s="0" t="n">
        <v>1.72</v>
      </c>
      <c r="F1105" s="0" t="n">
        <v>0.39</v>
      </c>
      <c r="H1105" s="0" t="n">
        <v>0.96</v>
      </c>
      <c r="J1105" s="0" t="n">
        <v>0.04</v>
      </c>
      <c r="K1105" s="0" t="n">
        <v>0.1</v>
      </c>
      <c r="L1105" s="0" t="n">
        <v>0.06</v>
      </c>
      <c r="M1105" s="0" t="n">
        <v>0.06</v>
      </c>
      <c r="N1105" s="0" t="n">
        <v>0.11</v>
      </c>
      <c r="O1105" s="0" t="n">
        <v>569.77</v>
      </c>
    </row>
    <row r="1106" customFormat="false" ht="15" hidden="false" customHeight="false" outlineLevel="0" collapsed="false">
      <c r="A1106" s="0" t="s">
        <v>261</v>
      </c>
      <c r="B1106" s="0" t="s">
        <v>499</v>
      </c>
      <c r="C1106" s="0" t="n">
        <v>2020</v>
      </c>
      <c r="D1106" s="0" t="n">
        <v>407401</v>
      </c>
      <c r="E1106" s="0" t="n">
        <v>1.7</v>
      </c>
      <c r="F1106" s="0" t="n">
        <v>0.28</v>
      </c>
      <c r="H1106" s="0" t="n">
        <v>1.01</v>
      </c>
      <c r="J1106" s="0" t="n">
        <v>0.03</v>
      </c>
      <c r="K1106" s="0" t="n">
        <v>0.11</v>
      </c>
      <c r="L1106" s="0" t="n">
        <v>0.07</v>
      </c>
      <c r="M1106" s="0" t="n">
        <v>0.08</v>
      </c>
      <c r="N1106" s="0" t="n">
        <v>0.12</v>
      </c>
      <c r="O1106" s="0" t="n">
        <v>547.06</v>
      </c>
    </row>
    <row r="1107" customFormat="false" ht="15" hidden="false" customHeight="false" outlineLevel="0" collapsed="false">
      <c r="A1107" s="0" t="s">
        <v>261</v>
      </c>
      <c r="B1107" s="0" t="s">
        <v>499</v>
      </c>
      <c r="C1107" s="0" t="n">
        <v>2021</v>
      </c>
      <c r="D1107" s="0" t="n">
        <v>399157</v>
      </c>
      <c r="E1107" s="0" t="n">
        <v>1.66</v>
      </c>
      <c r="F1107" s="0" t="n">
        <v>0.23</v>
      </c>
      <c r="H1107" s="0" t="n">
        <v>0.87</v>
      </c>
      <c r="J1107" s="0" t="n">
        <v>0.01</v>
      </c>
      <c r="K1107" s="0" t="n">
        <v>0.11</v>
      </c>
      <c r="L1107" s="0" t="n">
        <v>0.11</v>
      </c>
      <c r="M1107" s="0" t="n">
        <v>0.25</v>
      </c>
      <c r="N1107" s="0" t="n">
        <v>0.08</v>
      </c>
      <c r="O1107" s="0" t="n">
        <v>500</v>
      </c>
    </row>
    <row r="1108" customFormat="false" ht="15" hidden="false" customHeight="false" outlineLevel="0" collapsed="false">
      <c r="A1108" s="0" t="s">
        <v>261</v>
      </c>
      <c r="B1108" s="0" t="s">
        <v>499</v>
      </c>
      <c r="C1108" s="0" t="n">
        <v>2022</v>
      </c>
      <c r="D1108" s="0" t="n">
        <v>384702</v>
      </c>
      <c r="E1108" s="0" t="n">
        <v>1.64</v>
      </c>
      <c r="F1108" s="0" t="n">
        <v>0.22</v>
      </c>
      <c r="H1108" s="0" t="n">
        <v>0.85</v>
      </c>
      <c r="J1108" s="0" t="n">
        <v>0.01</v>
      </c>
      <c r="K1108" s="0" t="n">
        <v>0.11</v>
      </c>
      <c r="L1108" s="0" t="n">
        <v>0.11</v>
      </c>
      <c r="M1108" s="0" t="n">
        <v>0.24</v>
      </c>
      <c r="N1108" s="0" t="n">
        <v>0.1</v>
      </c>
      <c r="O1108" s="0" t="n">
        <v>493.9</v>
      </c>
    </row>
    <row r="1109" customFormat="false" ht="15" hidden="false" customHeight="false" outlineLevel="0" collapsed="false">
      <c r="A1109" s="0" t="s">
        <v>261</v>
      </c>
      <c r="B1109" s="0" t="s">
        <v>499</v>
      </c>
      <c r="C1109" s="0" t="n">
        <v>2023</v>
      </c>
      <c r="D1109" s="0" t="n">
        <v>376518</v>
      </c>
      <c r="E1109" s="0" t="n">
        <v>1.67</v>
      </c>
      <c r="F1109" s="0" t="n">
        <v>0.22</v>
      </c>
      <c r="H1109" s="0" t="n">
        <v>0.86</v>
      </c>
      <c r="J1109" s="0" t="n">
        <v>0.01</v>
      </c>
      <c r="K1109" s="0" t="n">
        <v>0.11</v>
      </c>
      <c r="L1109" s="0" t="n">
        <v>0.1</v>
      </c>
      <c r="M1109" s="0" t="n">
        <v>0.26</v>
      </c>
      <c r="N1109" s="0" t="n">
        <v>0.11</v>
      </c>
      <c r="O1109" s="0" t="n">
        <v>497.01</v>
      </c>
    </row>
    <row r="1110" customFormat="false" ht="15" hidden="false" customHeight="false" outlineLevel="0" collapsed="false">
      <c r="A1110" s="0" t="s">
        <v>262</v>
      </c>
      <c r="B1110" s="0" t="s">
        <v>500</v>
      </c>
      <c r="C1110" s="0" t="n">
        <v>2015</v>
      </c>
      <c r="D1110" s="0" t="n">
        <v>164914</v>
      </c>
      <c r="E1110" s="0" t="n">
        <v>1.71</v>
      </c>
      <c r="F1110" s="0" t="n">
        <v>0</v>
      </c>
      <c r="G1110" s="0" t="n">
        <v>0</v>
      </c>
      <c r="H1110" s="0" t="n">
        <v>1.68</v>
      </c>
      <c r="I1110" s="0" t="n">
        <v>0</v>
      </c>
      <c r="J1110" s="0" t="n">
        <v>0</v>
      </c>
      <c r="K1110" s="0" t="n">
        <v>0.03</v>
      </c>
      <c r="L1110" s="0" t="n">
        <v>0</v>
      </c>
      <c r="M1110" s="0" t="n">
        <v>0</v>
      </c>
      <c r="N1110" s="0" t="n">
        <v>0</v>
      </c>
      <c r="O1110" s="0" t="n">
        <v>649.12</v>
      </c>
    </row>
    <row r="1111" customFormat="false" ht="15" hidden="false" customHeight="false" outlineLevel="0" collapsed="false">
      <c r="A1111" s="0" t="s">
        <v>262</v>
      </c>
      <c r="B1111" s="0" t="s">
        <v>500</v>
      </c>
      <c r="C1111" s="0" t="n">
        <v>2016</v>
      </c>
      <c r="D1111" s="0" t="n">
        <v>164240</v>
      </c>
      <c r="E1111" s="0" t="n">
        <v>1.74</v>
      </c>
      <c r="F1111" s="0" t="n">
        <v>0</v>
      </c>
      <c r="G1111" s="0" t="n">
        <v>0</v>
      </c>
      <c r="H1111" s="0" t="n">
        <v>1.67</v>
      </c>
      <c r="I1111" s="0" t="n">
        <v>0</v>
      </c>
      <c r="J1111" s="0" t="n">
        <v>0</v>
      </c>
      <c r="K1111" s="0" t="n">
        <v>0.07</v>
      </c>
      <c r="L1111" s="0" t="n">
        <v>0</v>
      </c>
      <c r="M1111" s="0" t="n">
        <v>0</v>
      </c>
      <c r="N1111" s="0" t="n">
        <v>0</v>
      </c>
      <c r="O1111" s="0" t="n">
        <v>632.18</v>
      </c>
    </row>
    <row r="1112" customFormat="false" ht="15" hidden="false" customHeight="false" outlineLevel="0" collapsed="false">
      <c r="A1112" s="0" t="s">
        <v>262</v>
      </c>
      <c r="B1112" s="0" t="s">
        <v>500</v>
      </c>
      <c r="C1112" s="0" t="n">
        <v>2017</v>
      </c>
      <c r="D1112" s="0" t="n">
        <v>163501</v>
      </c>
      <c r="E1112" s="0" t="n">
        <v>1.77</v>
      </c>
      <c r="F1112" s="0" t="n">
        <v>0</v>
      </c>
      <c r="G1112" s="0" t="n">
        <v>0</v>
      </c>
      <c r="H1112" s="0" t="n">
        <v>1.71</v>
      </c>
      <c r="I1112" s="0" t="n">
        <v>0</v>
      </c>
      <c r="J1112" s="0" t="n">
        <v>0</v>
      </c>
      <c r="K1112" s="0" t="n">
        <v>0.06</v>
      </c>
      <c r="L1112" s="0" t="n">
        <v>0</v>
      </c>
      <c r="M1112" s="0" t="n">
        <v>0</v>
      </c>
      <c r="N1112" s="0" t="n">
        <v>0</v>
      </c>
      <c r="O1112" s="0" t="n">
        <v>638.42</v>
      </c>
    </row>
    <row r="1113" customFormat="false" ht="15" hidden="false" customHeight="false" outlineLevel="0" collapsed="false">
      <c r="A1113" s="0" t="s">
        <v>262</v>
      </c>
      <c r="B1113" s="0" t="s">
        <v>500</v>
      </c>
      <c r="C1113" s="0" t="n">
        <v>2018</v>
      </c>
      <c r="D1113" s="0" t="n">
        <v>162689</v>
      </c>
      <c r="E1113" s="0" t="n">
        <v>1.73</v>
      </c>
      <c r="F1113" s="0" t="n">
        <v>0</v>
      </c>
      <c r="G1113" s="0" t="n">
        <v>0</v>
      </c>
      <c r="H1113" s="0" t="n">
        <v>1.66</v>
      </c>
      <c r="I1113" s="0" t="n">
        <v>0</v>
      </c>
      <c r="J1113" s="0" t="n">
        <v>0</v>
      </c>
      <c r="K1113" s="0" t="n">
        <v>0.07</v>
      </c>
      <c r="L1113" s="0" t="n">
        <v>0</v>
      </c>
      <c r="M1113" s="0" t="n">
        <v>0</v>
      </c>
      <c r="N1113" s="0" t="n">
        <v>0</v>
      </c>
      <c r="O1113" s="0" t="n">
        <v>630.06</v>
      </c>
    </row>
    <row r="1114" customFormat="false" ht="15" hidden="false" customHeight="false" outlineLevel="0" collapsed="false">
      <c r="A1114" s="0" t="s">
        <v>262</v>
      </c>
      <c r="B1114" s="0" t="s">
        <v>500</v>
      </c>
      <c r="C1114" s="0" t="n">
        <v>2019</v>
      </c>
      <c r="D1114" s="0" t="n">
        <v>161819</v>
      </c>
      <c r="E1114" s="0" t="n">
        <v>1.75</v>
      </c>
      <c r="F1114" s="0" t="n">
        <v>0</v>
      </c>
      <c r="G1114" s="0" t="n">
        <v>0</v>
      </c>
      <c r="H1114" s="0" t="n">
        <v>1.67</v>
      </c>
      <c r="I1114" s="0" t="n">
        <v>0</v>
      </c>
      <c r="J1114" s="0" t="n">
        <v>0</v>
      </c>
      <c r="K1114" s="0" t="n">
        <v>0.08</v>
      </c>
      <c r="L1114" s="0" t="n">
        <v>0</v>
      </c>
      <c r="M1114" s="0" t="n">
        <v>0</v>
      </c>
      <c r="N1114" s="0" t="n">
        <v>0</v>
      </c>
      <c r="O1114" s="0" t="n">
        <v>628.57</v>
      </c>
    </row>
    <row r="1115" customFormat="false" ht="15" hidden="false" customHeight="false" outlineLevel="0" collapsed="false">
      <c r="A1115" s="0" t="s">
        <v>262</v>
      </c>
      <c r="B1115" s="0" t="s">
        <v>500</v>
      </c>
      <c r="C1115" s="0" t="n">
        <v>2020</v>
      </c>
      <c r="D1115" s="0" t="n">
        <v>162167</v>
      </c>
      <c r="E1115" s="0" t="n">
        <v>1.71</v>
      </c>
      <c r="F1115" s="0" t="n">
        <v>0</v>
      </c>
      <c r="G1115" s="0" t="n">
        <v>0</v>
      </c>
      <c r="H1115" s="0" t="n">
        <v>1.63</v>
      </c>
      <c r="I1115" s="0" t="n">
        <v>0</v>
      </c>
      <c r="J1115" s="0" t="n">
        <v>0</v>
      </c>
      <c r="K1115" s="0" t="n">
        <v>0.08</v>
      </c>
      <c r="L1115" s="0" t="n">
        <v>0</v>
      </c>
      <c r="M1115" s="0" t="n">
        <v>0</v>
      </c>
      <c r="N1115" s="0" t="n">
        <v>0</v>
      </c>
      <c r="O1115" s="0" t="n">
        <v>625.73</v>
      </c>
    </row>
    <row r="1116" customFormat="false" ht="15" hidden="false" customHeight="false" outlineLevel="0" collapsed="false">
      <c r="A1116" s="0" t="s">
        <v>262</v>
      </c>
      <c r="B1116" s="0" t="s">
        <v>500</v>
      </c>
      <c r="C1116" s="0" t="n">
        <v>2021</v>
      </c>
      <c r="D1116" s="0" t="n">
        <v>163741</v>
      </c>
      <c r="E1116" s="0" t="n">
        <v>1.74</v>
      </c>
      <c r="F1116" s="0" t="n">
        <v>0</v>
      </c>
      <c r="G1116" s="0" t="n">
        <v>0</v>
      </c>
      <c r="H1116" s="0" t="n">
        <v>1.66</v>
      </c>
      <c r="I1116" s="0" t="n">
        <v>0</v>
      </c>
      <c r="J1116" s="0" t="n">
        <v>0</v>
      </c>
      <c r="K1116" s="0" t="n">
        <v>0.08</v>
      </c>
      <c r="L1116" s="0" t="n">
        <v>0</v>
      </c>
      <c r="M1116" s="0" t="n">
        <v>0</v>
      </c>
      <c r="N1116" s="0" t="n">
        <v>0</v>
      </c>
      <c r="O1116" s="0" t="n">
        <v>626.44</v>
      </c>
    </row>
    <row r="1117" customFormat="false" ht="15" hidden="false" customHeight="false" outlineLevel="0" collapsed="false">
      <c r="A1117" s="0" t="s">
        <v>262</v>
      </c>
      <c r="B1117" s="0" t="s">
        <v>500</v>
      </c>
      <c r="C1117" s="0" t="n">
        <v>2022</v>
      </c>
      <c r="D1117" s="0" t="n">
        <v>165193</v>
      </c>
      <c r="E1117" s="0" t="n">
        <v>1.8</v>
      </c>
      <c r="F1117" s="0" t="n">
        <v>0</v>
      </c>
      <c r="G1117" s="0" t="n">
        <v>0</v>
      </c>
      <c r="H1117" s="0" t="n">
        <v>1.66</v>
      </c>
      <c r="I1117" s="0" t="n">
        <v>0</v>
      </c>
      <c r="J1117" s="0" t="n">
        <v>0</v>
      </c>
      <c r="K1117" s="0" t="n">
        <v>0.14</v>
      </c>
      <c r="L1117" s="0" t="n">
        <v>0</v>
      </c>
      <c r="M1117" s="0" t="n">
        <v>0</v>
      </c>
      <c r="N1117" s="0" t="n">
        <v>0</v>
      </c>
      <c r="O1117" s="0" t="n">
        <v>611.11</v>
      </c>
    </row>
    <row r="1118" customFormat="false" ht="15" hidden="false" customHeight="false" outlineLevel="0" collapsed="false">
      <c r="A1118" s="0" t="s">
        <v>262</v>
      </c>
      <c r="B1118" s="0" t="s">
        <v>500</v>
      </c>
      <c r="C1118" s="0" t="n">
        <v>2023</v>
      </c>
      <c r="D1118" s="0" t="n">
        <v>166522</v>
      </c>
      <c r="E1118" s="0" t="n">
        <v>1.8</v>
      </c>
      <c r="F1118" s="0" t="n">
        <v>0</v>
      </c>
      <c r="G1118" s="0" t="n">
        <v>0</v>
      </c>
      <c r="H1118" s="0" t="n">
        <v>1.66</v>
      </c>
      <c r="I1118" s="0" t="n">
        <v>0</v>
      </c>
      <c r="J1118" s="0" t="n">
        <v>0</v>
      </c>
      <c r="K1118" s="0" t="n">
        <v>0.14</v>
      </c>
      <c r="L1118" s="0" t="n">
        <v>0</v>
      </c>
      <c r="M1118" s="0" t="n">
        <v>0</v>
      </c>
      <c r="N1118" s="0" t="n">
        <v>0</v>
      </c>
      <c r="O1118" s="0" t="n">
        <v>611.11</v>
      </c>
    </row>
    <row r="1119" customFormat="false" ht="15" hidden="false" customHeight="false" outlineLevel="0" collapsed="false">
      <c r="A1119" s="0" t="s">
        <v>262</v>
      </c>
      <c r="B1119" s="0" t="s">
        <v>500</v>
      </c>
      <c r="C1119" s="0" t="n">
        <v>2024</v>
      </c>
      <c r="D1119" s="0" t="n">
        <v>167790</v>
      </c>
      <c r="E1119" s="0" t="n">
        <v>1.86</v>
      </c>
      <c r="F1119" s="0" t="n">
        <v>0</v>
      </c>
      <c r="G1119" s="0" t="n">
        <v>0</v>
      </c>
      <c r="H1119" s="0" t="n">
        <v>1.7</v>
      </c>
      <c r="I1119" s="0" t="n">
        <v>0</v>
      </c>
      <c r="J1119" s="0" t="n">
        <v>0</v>
      </c>
      <c r="K1119" s="0" t="n">
        <v>0.16</v>
      </c>
      <c r="L1119" s="0" t="n">
        <v>0</v>
      </c>
      <c r="M1119" s="0" t="n">
        <v>0</v>
      </c>
      <c r="N1119" s="0" t="n">
        <v>0</v>
      </c>
      <c r="O1119" s="0" t="n">
        <v>607.53</v>
      </c>
    </row>
    <row r="1120" customFormat="false" ht="15" hidden="false" customHeight="false" outlineLevel="0" collapsed="false">
      <c r="A1120" s="0" t="s">
        <v>263</v>
      </c>
      <c r="B1120" s="0" t="s">
        <v>501</v>
      </c>
      <c r="C1120" s="0" t="n">
        <v>2015</v>
      </c>
      <c r="D1120" s="0" t="n">
        <v>15971745</v>
      </c>
      <c r="E1120" s="0" t="n">
        <v>11.17</v>
      </c>
      <c r="F1120" s="0" t="n">
        <v>2.92</v>
      </c>
      <c r="G1120" s="0" t="n">
        <v>0</v>
      </c>
      <c r="H1120" s="0" t="n">
        <v>1.42</v>
      </c>
      <c r="I1120" s="0" t="n">
        <v>0</v>
      </c>
      <c r="J1120" s="0" t="n">
        <v>3.87</v>
      </c>
      <c r="K1120" s="0" t="n">
        <v>0.16</v>
      </c>
      <c r="L1120" s="0" t="n">
        <v>0.11</v>
      </c>
      <c r="M1120" s="0" t="n">
        <v>2.43</v>
      </c>
      <c r="N1120" s="0" t="n">
        <v>0.26</v>
      </c>
      <c r="O1120" s="0" t="n">
        <v>368.85</v>
      </c>
    </row>
    <row r="1121" customFormat="false" ht="15" hidden="false" customHeight="false" outlineLevel="0" collapsed="false">
      <c r="A1121" s="0" t="s">
        <v>263</v>
      </c>
      <c r="B1121" s="0" t="s">
        <v>501</v>
      </c>
      <c r="C1121" s="0" t="n">
        <v>2016</v>
      </c>
      <c r="D1121" s="0" t="n">
        <v>16268761</v>
      </c>
      <c r="E1121" s="0" t="n">
        <v>11.86</v>
      </c>
      <c r="F1121" s="0" t="n">
        <v>3.53</v>
      </c>
      <c r="G1121" s="0" t="n">
        <v>0</v>
      </c>
      <c r="H1121" s="0" t="n">
        <v>1</v>
      </c>
      <c r="I1121" s="0" t="n">
        <v>0</v>
      </c>
      <c r="J1121" s="0" t="n">
        <v>3.99</v>
      </c>
      <c r="K1121" s="0" t="n">
        <v>0.19</v>
      </c>
      <c r="L1121" s="0" t="n">
        <v>0.22</v>
      </c>
      <c r="M1121" s="0" t="n">
        <v>2.59</v>
      </c>
      <c r="N1121" s="0" t="n">
        <v>0.34</v>
      </c>
      <c r="O1121" s="0" t="n">
        <v>371.84</v>
      </c>
    </row>
    <row r="1122" customFormat="false" ht="15" hidden="false" customHeight="false" outlineLevel="0" collapsed="false">
      <c r="A1122" s="0" t="s">
        <v>263</v>
      </c>
      <c r="B1122" s="0" t="s">
        <v>501</v>
      </c>
      <c r="C1122" s="0" t="n">
        <v>2017</v>
      </c>
      <c r="D1122" s="0" t="n">
        <v>16567363</v>
      </c>
      <c r="E1122" s="0" t="n">
        <v>12.34</v>
      </c>
      <c r="F1122" s="0" t="n">
        <v>3.43</v>
      </c>
      <c r="G1122" s="0" t="n">
        <v>0</v>
      </c>
      <c r="H1122" s="0" t="n">
        <v>0.44</v>
      </c>
      <c r="I1122" s="0" t="n">
        <v>0</v>
      </c>
      <c r="J1122" s="0" t="n">
        <v>5.81</v>
      </c>
      <c r="K1122" s="0" t="n">
        <v>0.2</v>
      </c>
      <c r="L1122" s="0" t="n">
        <v>0.22</v>
      </c>
      <c r="M1122" s="0" t="n">
        <v>1.94</v>
      </c>
      <c r="N1122" s="0" t="n">
        <v>0.3</v>
      </c>
      <c r="O1122" s="0" t="n">
        <v>312.8</v>
      </c>
    </row>
    <row r="1123" customFormat="false" ht="15" hidden="false" customHeight="false" outlineLevel="0" collapsed="false">
      <c r="A1123" s="0" t="s">
        <v>263</v>
      </c>
      <c r="B1123" s="0" t="s">
        <v>501</v>
      </c>
      <c r="C1123" s="0" t="n">
        <v>2018</v>
      </c>
      <c r="D1123" s="0" t="n">
        <v>16845688</v>
      </c>
      <c r="E1123" s="0" t="n">
        <v>13.25</v>
      </c>
      <c r="F1123" s="0" t="n">
        <v>3.9</v>
      </c>
      <c r="G1123" s="0" t="n">
        <v>0</v>
      </c>
      <c r="H1123" s="0" t="n">
        <v>0.59</v>
      </c>
      <c r="I1123" s="0" t="n">
        <v>0</v>
      </c>
      <c r="J1123" s="0" t="n">
        <v>5.31</v>
      </c>
      <c r="K1123" s="0" t="n">
        <v>0.2</v>
      </c>
      <c r="L1123" s="0" t="n">
        <v>0.32</v>
      </c>
      <c r="M1123" s="0" t="n">
        <v>2.63</v>
      </c>
      <c r="N1123" s="0" t="n">
        <v>0.3</v>
      </c>
      <c r="O1123" s="0" t="n">
        <v>340.38</v>
      </c>
    </row>
    <row r="1124" customFormat="false" ht="15" hidden="false" customHeight="false" outlineLevel="0" collapsed="false">
      <c r="A1124" s="0" t="s">
        <v>263</v>
      </c>
      <c r="B1124" s="0" t="s">
        <v>501</v>
      </c>
      <c r="C1124" s="0" t="n">
        <v>2019</v>
      </c>
      <c r="D1124" s="0" t="n">
        <v>17103803</v>
      </c>
      <c r="E1124" s="0" t="n">
        <v>12.7</v>
      </c>
      <c r="F1124" s="0" t="n">
        <v>4.06</v>
      </c>
      <c r="G1124" s="0" t="n">
        <v>0</v>
      </c>
      <c r="H1124" s="0" t="n">
        <v>0.53</v>
      </c>
      <c r="I1124" s="0" t="n">
        <v>0</v>
      </c>
      <c r="J1124" s="0" t="n">
        <v>4.47</v>
      </c>
      <c r="K1124" s="0" t="n">
        <v>0.23</v>
      </c>
      <c r="L1124" s="0" t="n">
        <v>0.33</v>
      </c>
      <c r="M1124" s="0" t="n">
        <v>2.77</v>
      </c>
      <c r="N1124" s="0" t="n">
        <v>0.31</v>
      </c>
      <c r="O1124" s="0" t="n">
        <v>363.78</v>
      </c>
    </row>
    <row r="1125" customFormat="false" ht="15" hidden="false" customHeight="false" outlineLevel="0" collapsed="false">
      <c r="A1125" s="0" t="s">
        <v>263</v>
      </c>
      <c r="B1125" s="0" t="s">
        <v>501</v>
      </c>
      <c r="C1125" s="0" t="n">
        <v>2020</v>
      </c>
      <c r="D1125" s="0" t="n">
        <v>17357331</v>
      </c>
      <c r="E1125" s="0" t="n">
        <v>12.42</v>
      </c>
      <c r="F1125" s="0" t="n">
        <v>2.62</v>
      </c>
      <c r="G1125" s="0" t="n">
        <v>0.01</v>
      </c>
      <c r="H1125" s="0" t="n">
        <v>0.38</v>
      </c>
      <c r="I1125" s="0" t="n">
        <v>0</v>
      </c>
      <c r="J1125" s="0" t="n">
        <v>5.78</v>
      </c>
      <c r="K1125" s="0" t="n">
        <v>0.22</v>
      </c>
      <c r="L1125" s="0" t="n">
        <v>0.31</v>
      </c>
      <c r="M1125" s="0" t="n">
        <v>2.77</v>
      </c>
      <c r="N1125" s="0" t="n">
        <v>0.33</v>
      </c>
      <c r="O1125" s="0" t="n">
        <v>265.7</v>
      </c>
    </row>
    <row r="1126" customFormat="false" ht="15" hidden="false" customHeight="false" outlineLevel="0" collapsed="false">
      <c r="A1126" s="0" t="s">
        <v>263</v>
      </c>
      <c r="B1126" s="0" t="s">
        <v>501</v>
      </c>
      <c r="C1126" s="0" t="n">
        <v>2021</v>
      </c>
      <c r="D1126" s="0" t="n">
        <v>17598652</v>
      </c>
      <c r="E1126" s="0" t="n">
        <v>15.47</v>
      </c>
      <c r="F1126" s="0" t="n">
        <v>3.34</v>
      </c>
      <c r="G1126" s="0" t="n">
        <v>0.01</v>
      </c>
      <c r="H1126" s="0" t="n">
        <v>0.75</v>
      </c>
      <c r="I1126" s="0" t="n">
        <v>0</v>
      </c>
      <c r="J1126" s="0" t="n">
        <v>6.66</v>
      </c>
      <c r="K1126" s="0" t="n">
        <v>0.23</v>
      </c>
      <c r="L1126" s="0" t="n">
        <v>0.32</v>
      </c>
      <c r="M1126" s="0" t="n">
        <v>3.85</v>
      </c>
      <c r="N1126" s="0" t="n">
        <v>0.31</v>
      </c>
      <c r="O1126" s="0" t="n">
        <v>285.71</v>
      </c>
    </row>
    <row r="1127" customFormat="false" ht="15" hidden="false" customHeight="false" outlineLevel="0" collapsed="false">
      <c r="A1127" s="0" t="s">
        <v>263</v>
      </c>
      <c r="B1127" s="0" t="s">
        <v>501</v>
      </c>
      <c r="C1127" s="0" t="n">
        <v>2022</v>
      </c>
      <c r="D1127" s="0" t="n">
        <v>17847877</v>
      </c>
      <c r="E1127" s="0" t="n">
        <v>13.48</v>
      </c>
      <c r="F1127" s="0" t="n">
        <v>1.27</v>
      </c>
      <c r="G1127" s="0" t="n">
        <v>0.01</v>
      </c>
      <c r="H1127" s="0" t="n">
        <v>0.79</v>
      </c>
      <c r="I1127" s="0" t="n">
        <v>0</v>
      </c>
      <c r="J1127" s="0" t="n">
        <v>7.04</v>
      </c>
      <c r="K1127" s="0" t="n">
        <v>0.23</v>
      </c>
      <c r="L1127" s="0" t="n">
        <v>0.31</v>
      </c>
      <c r="M1127" s="0" t="n">
        <v>3.49</v>
      </c>
      <c r="N1127" s="0" t="n">
        <v>0.34</v>
      </c>
      <c r="O1127" s="0" t="n">
        <v>191.4</v>
      </c>
    </row>
    <row r="1128" customFormat="false" ht="15" hidden="false" customHeight="false" outlineLevel="0" collapsed="false">
      <c r="A1128" s="0" t="s">
        <v>263</v>
      </c>
      <c r="B1128" s="0" t="s">
        <v>501</v>
      </c>
      <c r="C1128" s="0" t="n">
        <v>2023</v>
      </c>
      <c r="D1128" s="0" t="n">
        <v>18124841</v>
      </c>
      <c r="E1128" s="0" t="n">
        <v>14.91</v>
      </c>
      <c r="F1128" s="0" t="n">
        <v>2.38</v>
      </c>
      <c r="G1128" s="0" t="n">
        <v>0</v>
      </c>
      <c r="H1128" s="0" t="n">
        <v>2.5</v>
      </c>
      <c r="I1128" s="0" t="n">
        <v>0</v>
      </c>
      <c r="J1128" s="0" t="n">
        <v>5.65</v>
      </c>
      <c r="K1128" s="0" t="n">
        <v>0.24</v>
      </c>
      <c r="L1128" s="0" t="n">
        <v>0.34</v>
      </c>
      <c r="M1128" s="0" t="n">
        <v>3.46</v>
      </c>
      <c r="N1128" s="0" t="n">
        <v>0.34</v>
      </c>
      <c r="O1128" s="0" t="n">
        <v>309.86</v>
      </c>
    </row>
    <row r="1129" customFormat="false" ht="15" hidden="false" customHeight="false" outlineLevel="0" collapsed="false">
      <c r="A1129" s="0" t="s">
        <v>263</v>
      </c>
      <c r="B1129" s="0" t="s">
        <v>501</v>
      </c>
      <c r="C1129" s="0" t="n">
        <v>2024</v>
      </c>
      <c r="D1129" s="0" t="n">
        <v>18406366</v>
      </c>
      <c r="E1129" s="0" t="n">
        <v>15.79</v>
      </c>
      <c r="F1129" s="0" t="n">
        <v>2.5</v>
      </c>
      <c r="G1129" s="0" t="n">
        <v>0</v>
      </c>
      <c r="H1129" s="0" t="n">
        <v>2.5</v>
      </c>
      <c r="I1129" s="0" t="n">
        <v>0</v>
      </c>
      <c r="J1129" s="0" t="n">
        <v>6.3</v>
      </c>
      <c r="K1129" s="0" t="n">
        <v>0.28</v>
      </c>
      <c r="L1129" s="0" t="n">
        <v>0.37</v>
      </c>
      <c r="M1129" s="0" t="n">
        <v>3.5</v>
      </c>
      <c r="N1129" s="0" t="n">
        <v>0.34</v>
      </c>
      <c r="O1129" s="0" t="n">
        <v>301.46</v>
      </c>
    </row>
    <row r="1130" customFormat="false" ht="15" hidden="false" customHeight="false" outlineLevel="0" collapsed="false">
      <c r="A1130" s="0" t="s">
        <v>264</v>
      </c>
      <c r="B1130" s="0" t="s">
        <v>502</v>
      </c>
      <c r="C1130" s="0" t="n">
        <v>2015</v>
      </c>
      <c r="D1130" s="0" t="n">
        <v>11767077</v>
      </c>
      <c r="E1130" s="0" t="n">
        <v>1.14</v>
      </c>
      <c r="F1130" s="0" t="n">
        <v>0</v>
      </c>
      <c r="G1130" s="0" t="n">
        <v>0</v>
      </c>
      <c r="H1130" s="0" t="n">
        <v>0.24</v>
      </c>
      <c r="I1130" s="0" t="n">
        <v>0</v>
      </c>
      <c r="J1130" s="0" t="n">
        <v>0.88</v>
      </c>
      <c r="K1130" s="0" t="n">
        <v>0.02</v>
      </c>
      <c r="L1130" s="0" t="n">
        <v>0</v>
      </c>
      <c r="M1130" s="0" t="n">
        <v>0</v>
      </c>
      <c r="N1130" s="0" t="n">
        <v>0</v>
      </c>
      <c r="O1130" s="0" t="n">
        <v>157.9</v>
      </c>
    </row>
    <row r="1131" customFormat="false" ht="15" hidden="false" customHeight="false" outlineLevel="0" collapsed="false">
      <c r="A1131" s="0" t="s">
        <v>264</v>
      </c>
      <c r="B1131" s="0" t="s">
        <v>502</v>
      </c>
      <c r="C1131" s="0" t="n">
        <v>2016</v>
      </c>
      <c r="D1131" s="0" t="n">
        <v>12073031</v>
      </c>
      <c r="E1131" s="0" t="n">
        <v>1.61</v>
      </c>
      <c r="F1131" s="0" t="n">
        <v>0</v>
      </c>
      <c r="G1131" s="0" t="n">
        <v>0</v>
      </c>
      <c r="H1131" s="0" t="n">
        <v>0.51</v>
      </c>
      <c r="I1131" s="0" t="n">
        <v>0</v>
      </c>
      <c r="J1131" s="0" t="n">
        <v>1.08</v>
      </c>
      <c r="K1131" s="0" t="n">
        <v>0.02</v>
      </c>
      <c r="L1131" s="0" t="n">
        <v>0</v>
      </c>
      <c r="M1131" s="0" t="n">
        <v>0</v>
      </c>
      <c r="N1131" s="0" t="n">
        <v>0</v>
      </c>
      <c r="O1131" s="0" t="n">
        <v>229.81</v>
      </c>
    </row>
    <row r="1132" customFormat="false" ht="15" hidden="false" customHeight="false" outlineLevel="0" collapsed="false">
      <c r="A1132" s="0" t="s">
        <v>264</v>
      </c>
      <c r="B1132" s="0" t="s">
        <v>502</v>
      </c>
      <c r="C1132" s="0" t="n">
        <v>2017</v>
      </c>
      <c r="D1132" s="0" t="n">
        <v>12385668</v>
      </c>
      <c r="E1132" s="0" t="n">
        <v>1.77</v>
      </c>
      <c r="F1132" s="0" t="n">
        <v>0</v>
      </c>
      <c r="G1132" s="0" t="n">
        <v>0</v>
      </c>
      <c r="H1132" s="0" t="n">
        <v>0.54</v>
      </c>
      <c r="I1132" s="0" t="n">
        <v>0</v>
      </c>
      <c r="J1132" s="0" t="n">
        <v>1.21</v>
      </c>
      <c r="K1132" s="0" t="n">
        <v>0.02</v>
      </c>
      <c r="L1132" s="0" t="n">
        <v>0</v>
      </c>
      <c r="M1132" s="0" t="n">
        <v>0</v>
      </c>
      <c r="N1132" s="0" t="n">
        <v>0</v>
      </c>
      <c r="O1132" s="0" t="n">
        <v>220.34</v>
      </c>
    </row>
    <row r="1133" customFormat="false" ht="15" hidden="false" customHeight="false" outlineLevel="0" collapsed="false">
      <c r="A1133" s="0" t="s">
        <v>264</v>
      </c>
      <c r="B1133" s="0" t="s">
        <v>502</v>
      </c>
      <c r="C1133" s="0" t="n">
        <v>2018</v>
      </c>
      <c r="D1133" s="0" t="n">
        <v>12704776</v>
      </c>
      <c r="E1133" s="0" t="n">
        <v>1.94</v>
      </c>
      <c r="F1133" s="0" t="n">
        <v>0</v>
      </c>
      <c r="G1133" s="0" t="n">
        <v>0</v>
      </c>
      <c r="H1133" s="0" t="n">
        <v>0.73</v>
      </c>
      <c r="I1133" s="0" t="n">
        <v>0</v>
      </c>
      <c r="J1133" s="0" t="n">
        <v>1.19</v>
      </c>
      <c r="K1133" s="0" t="n">
        <v>0.02</v>
      </c>
      <c r="L1133" s="0" t="n">
        <v>0</v>
      </c>
      <c r="M1133" s="0" t="n">
        <v>0</v>
      </c>
      <c r="N1133" s="0" t="n">
        <v>0</v>
      </c>
      <c r="O1133" s="0" t="n">
        <v>262.89</v>
      </c>
    </row>
    <row r="1134" customFormat="false" ht="15" hidden="false" customHeight="false" outlineLevel="0" collapsed="false">
      <c r="A1134" s="0" t="s">
        <v>264</v>
      </c>
      <c r="B1134" s="0" t="s">
        <v>502</v>
      </c>
      <c r="C1134" s="0" t="n">
        <v>2019</v>
      </c>
      <c r="D1134" s="0" t="n">
        <v>13034349</v>
      </c>
      <c r="E1134" s="0" t="n">
        <v>2.05</v>
      </c>
      <c r="F1134" s="0" t="n">
        <v>0</v>
      </c>
      <c r="G1134" s="0" t="n">
        <v>0</v>
      </c>
      <c r="H1134" s="0" t="n">
        <v>0.74</v>
      </c>
      <c r="I1134" s="0" t="n">
        <v>0</v>
      </c>
      <c r="J1134" s="0" t="n">
        <v>1.29</v>
      </c>
      <c r="K1134" s="0" t="n">
        <v>0.02</v>
      </c>
      <c r="L1134" s="0" t="n">
        <v>0</v>
      </c>
      <c r="M1134" s="0" t="n">
        <v>0</v>
      </c>
      <c r="N1134" s="0" t="n">
        <v>0</v>
      </c>
      <c r="O1134" s="0" t="n">
        <v>253.66</v>
      </c>
    </row>
    <row r="1135" customFormat="false" ht="15" hidden="false" customHeight="false" outlineLevel="0" collapsed="false">
      <c r="A1135" s="0" t="s">
        <v>264</v>
      </c>
      <c r="B1135" s="0" t="s">
        <v>502</v>
      </c>
      <c r="C1135" s="0" t="n">
        <v>2020</v>
      </c>
      <c r="D1135" s="0" t="n">
        <v>13371185</v>
      </c>
      <c r="E1135" s="0" t="n">
        <v>2.48</v>
      </c>
      <c r="F1135" s="0" t="n">
        <v>0</v>
      </c>
      <c r="G1135" s="0" t="n">
        <v>0</v>
      </c>
      <c r="H1135" s="0" t="n">
        <v>0.97</v>
      </c>
      <c r="I1135" s="0" t="n">
        <v>0</v>
      </c>
      <c r="J1135" s="0" t="n">
        <v>1.49</v>
      </c>
      <c r="K1135" s="0" t="n">
        <v>0.02</v>
      </c>
      <c r="L1135" s="0" t="n">
        <v>0</v>
      </c>
      <c r="M1135" s="0" t="n">
        <v>0</v>
      </c>
      <c r="N1135" s="0" t="n">
        <v>0</v>
      </c>
      <c r="O1135" s="0" t="n">
        <v>274.19</v>
      </c>
    </row>
    <row r="1136" customFormat="false" ht="15" hidden="false" customHeight="false" outlineLevel="0" collapsed="false">
      <c r="A1136" s="0" t="s">
        <v>264</v>
      </c>
      <c r="B1136" s="0" t="s">
        <v>502</v>
      </c>
      <c r="C1136" s="0" t="n">
        <v>2021</v>
      </c>
      <c r="D1136" s="0" t="n">
        <v>13710515</v>
      </c>
      <c r="E1136" s="0" t="n">
        <v>3.64</v>
      </c>
      <c r="F1136" s="0" t="n">
        <v>0</v>
      </c>
      <c r="G1136" s="0" t="n">
        <v>0</v>
      </c>
      <c r="H1136" s="0" t="n">
        <v>0.98</v>
      </c>
      <c r="I1136" s="0" t="n">
        <v>0</v>
      </c>
      <c r="J1136" s="0" t="n">
        <v>2.64</v>
      </c>
      <c r="K1136" s="0" t="n">
        <v>0.02</v>
      </c>
      <c r="L1136" s="0" t="n">
        <v>0</v>
      </c>
      <c r="M1136" s="0" t="n">
        <v>0</v>
      </c>
      <c r="N1136" s="0" t="n">
        <v>0</v>
      </c>
      <c r="O1136" s="0" t="n">
        <v>192.31</v>
      </c>
    </row>
    <row r="1137" customFormat="false" ht="15" hidden="false" customHeight="false" outlineLevel="0" collapsed="false">
      <c r="A1137" s="0" t="s">
        <v>264</v>
      </c>
      <c r="B1137" s="0" t="s">
        <v>502</v>
      </c>
      <c r="C1137" s="0" t="n">
        <v>2022</v>
      </c>
      <c r="D1137" s="0" t="n">
        <v>14055136</v>
      </c>
      <c r="E1137" s="0" t="n">
        <v>4</v>
      </c>
      <c r="F1137" s="0" t="n">
        <v>0</v>
      </c>
      <c r="G1137" s="0" t="n">
        <v>0</v>
      </c>
      <c r="H1137" s="0" t="n">
        <v>1.02</v>
      </c>
      <c r="I1137" s="0" t="n">
        <v>0</v>
      </c>
      <c r="J1137" s="0" t="n">
        <v>2.95</v>
      </c>
      <c r="K1137" s="0" t="n">
        <v>0.03</v>
      </c>
      <c r="L1137" s="0" t="n">
        <v>0</v>
      </c>
      <c r="M1137" s="0" t="n">
        <v>0</v>
      </c>
      <c r="N1137" s="0" t="n">
        <v>0</v>
      </c>
      <c r="O1137" s="0" t="n">
        <v>185</v>
      </c>
    </row>
    <row r="1138" customFormat="false" ht="15" hidden="false" customHeight="false" outlineLevel="0" collapsed="false">
      <c r="A1138" s="0" t="s">
        <v>264</v>
      </c>
      <c r="B1138" s="0" t="s">
        <v>502</v>
      </c>
      <c r="C1138" s="0" t="n">
        <v>2023</v>
      </c>
      <c r="D1138" s="0" t="n">
        <v>14405469</v>
      </c>
      <c r="E1138" s="0" t="n">
        <v>4</v>
      </c>
      <c r="F1138" s="0" t="n">
        <v>0</v>
      </c>
      <c r="G1138" s="0" t="n">
        <v>0</v>
      </c>
      <c r="H1138" s="0" t="n">
        <v>1.02</v>
      </c>
      <c r="I1138" s="0" t="n">
        <v>0</v>
      </c>
      <c r="J1138" s="0" t="n">
        <v>2.95</v>
      </c>
      <c r="K1138" s="0" t="n">
        <v>0.03</v>
      </c>
      <c r="L1138" s="0" t="n">
        <v>0</v>
      </c>
      <c r="M1138" s="0" t="n">
        <v>0</v>
      </c>
      <c r="N1138" s="0" t="n">
        <v>0</v>
      </c>
      <c r="O1138" s="0" t="n">
        <v>185</v>
      </c>
    </row>
    <row r="1139" customFormat="false" ht="15" hidden="false" customHeight="false" outlineLevel="0" collapsed="false">
      <c r="A1139" s="0" t="s">
        <v>264</v>
      </c>
      <c r="B1139" s="0" t="s">
        <v>502</v>
      </c>
      <c r="C1139" s="0" t="n">
        <v>2024</v>
      </c>
      <c r="D1139" s="0" t="n">
        <v>14754779</v>
      </c>
      <c r="E1139" s="0" t="n">
        <v>4.03</v>
      </c>
      <c r="F1139" s="0" t="n">
        <v>0</v>
      </c>
      <c r="G1139" s="0" t="n">
        <v>0</v>
      </c>
      <c r="H1139" s="0" t="n">
        <v>1</v>
      </c>
      <c r="I1139" s="0" t="n">
        <v>0</v>
      </c>
      <c r="J1139" s="0" t="n">
        <v>3</v>
      </c>
      <c r="K1139" s="0" t="n">
        <v>0.03</v>
      </c>
      <c r="L1139" s="0" t="n">
        <v>0</v>
      </c>
      <c r="M1139" s="0" t="n">
        <v>0</v>
      </c>
      <c r="N1139" s="0" t="n">
        <v>0</v>
      </c>
      <c r="O1139" s="0" t="n">
        <v>181.14</v>
      </c>
    </row>
    <row r="1140" customFormat="false" ht="15" hidden="false" customHeight="false" outlineLevel="0" collapsed="false">
      <c r="A1140" s="0" t="s">
        <v>265</v>
      </c>
      <c r="B1140" s="0" t="s">
        <v>503</v>
      </c>
      <c r="C1140" s="0" t="n">
        <v>2015</v>
      </c>
      <c r="D1140" s="0" t="n">
        <v>1786461</v>
      </c>
      <c r="E1140" s="0" t="n">
        <v>0.06</v>
      </c>
      <c r="F1140" s="0" t="n">
        <v>0</v>
      </c>
      <c r="G1140" s="0" t="n">
        <v>0</v>
      </c>
      <c r="H1140" s="0" t="n">
        <v>0.06</v>
      </c>
      <c r="I1140" s="0" t="n">
        <v>0</v>
      </c>
      <c r="J1140" s="0" t="n">
        <v>0</v>
      </c>
      <c r="K1140" s="0" t="n">
        <v>0</v>
      </c>
      <c r="L1140" s="0" t="n">
        <v>0</v>
      </c>
      <c r="M1140" s="0" t="n">
        <v>0</v>
      </c>
      <c r="N1140" s="0" t="n">
        <v>0</v>
      </c>
      <c r="O1140" s="0" t="n">
        <v>666.67</v>
      </c>
    </row>
    <row r="1141" customFormat="false" ht="15" hidden="false" customHeight="false" outlineLevel="0" collapsed="false">
      <c r="A1141" s="0" t="s">
        <v>265</v>
      </c>
      <c r="B1141" s="0" t="s">
        <v>503</v>
      </c>
      <c r="C1141" s="0" t="n">
        <v>2016</v>
      </c>
      <c r="D1141" s="0" t="n">
        <v>1831898</v>
      </c>
      <c r="E1141" s="0" t="n">
        <v>0.08</v>
      </c>
      <c r="F1141" s="0" t="n">
        <v>0</v>
      </c>
      <c r="G1141" s="0" t="n">
        <v>0</v>
      </c>
      <c r="H1141" s="0" t="n">
        <v>0.08</v>
      </c>
      <c r="I1141" s="0" t="n">
        <v>0</v>
      </c>
      <c r="J1141" s="0" t="n">
        <v>0</v>
      </c>
      <c r="K1141" s="0" t="n">
        <v>0</v>
      </c>
      <c r="L1141" s="0" t="n">
        <v>0</v>
      </c>
      <c r="M1141" s="0" t="n">
        <v>0</v>
      </c>
      <c r="N1141" s="0" t="n">
        <v>0</v>
      </c>
      <c r="O1141" s="0" t="n">
        <v>625</v>
      </c>
    </row>
    <row r="1142" customFormat="false" ht="15" hidden="false" customHeight="false" outlineLevel="0" collapsed="false">
      <c r="A1142" s="0" t="s">
        <v>265</v>
      </c>
      <c r="B1142" s="0" t="s">
        <v>503</v>
      </c>
      <c r="C1142" s="0" t="n">
        <v>2017</v>
      </c>
      <c r="D1142" s="0" t="n">
        <v>1877074</v>
      </c>
      <c r="E1142" s="0" t="n">
        <v>0.08</v>
      </c>
      <c r="F1142" s="0" t="n">
        <v>0</v>
      </c>
      <c r="G1142" s="0" t="n">
        <v>0</v>
      </c>
      <c r="H1142" s="0" t="n">
        <v>0.08</v>
      </c>
      <c r="I1142" s="0" t="n">
        <v>0</v>
      </c>
      <c r="J1142" s="0" t="n">
        <v>0</v>
      </c>
      <c r="K1142" s="0" t="n">
        <v>0</v>
      </c>
      <c r="L1142" s="0" t="n">
        <v>0</v>
      </c>
      <c r="M1142" s="0" t="n">
        <v>0</v>
      </c>
      <c r="N1142" s="0" t="n">
        <v>0</v>
      </c>
      <c r="O1142" s="0" t="n">
        <v>625</v>
      </c>
    </row>
    <row r="1143" customFormat="false" ht="15" hidden="false" customHeight="false" outlineLevel="0" collapsed="false">
      <c r="A1143" s="0" t="s">
        <v>265</v>
      </c>
      <c r="B1143" s="0" t="s">
        <v>503</v>
      </c>
      <c r="C1143" s="0" t="n">
        <v>2018</v>
      </c>
      <c r="D1143" s="0" t="n">
        <v>1922167</v>
      </c>
      <c r="E1143" s="0" t="n">
        <v>0.08</v>
      </c>
      <c r="F1143" s="0" t="n">
        <v>0</v>
      </c>
      <c r="G1143" s="0" t="n">
        <v>0</v>
      </c>
      <c r="H1143" s="0" t="n">
        <v>0.08</v>
      </c>
      <c r="I1143" s="0" t="n">
        <v>0</v>
      </c>
      <c r="J1143" s="0" t="n">
        <v>0</v>
      </c>
      <c r="K1143" s="0" t="n">
        <v>0</v>
      </c>
      <c r="L1143" s="0" t="n">
        <v>0</v>
      </c>
      <c r="M1143" s="0" t="n">
        <v>0</v>
      </c>
      <c r="N1143" s="0" t="n">
        <v>0</v>
      </c>
      <c r="O1143" s="0" t="n">
        <v>625</v>
      </c>
    </row>
    <row r="1144" customFormat="false" ht="15" hidden="false" customHeight="false" outlineLevel="0" collapsed="false">
      <c r="A1144" s="0" t="s">
        <v>265</v>
      </c>
      <c r="B1144" s="0" t="s">
        <v>503</v>
      </c>
      <c r="C1144" s="0" t="n">
        <v>2019</v>
      </c>
      <c r="D1144" s="0" t="n">
        <v>1967704</v>
      </c>
      <c r="E1144" s="0" t="n">
        <v>0.08</v>
      </c>
      <c r="F1144" s="0" t="n">
        <v>0</v>
      </c>
      <c r="G1144" s="0" t="n">
        <v>0</v>
      </c>
      <c r="H1144" s="0" t="n">
        <v>0.08</v>
      </c>
      <c r="I1144" s="0" t="n">
        <v>0</v>
      </c>
      <c r="J1144" s="0" t="n">
        <v>0</v>
      </c>
      <c r="K1144" s="0" t="n">
        <v>0</v>
      </c>
      <c r="L1144" s="0" t="n">
        <v>0</v>
      </c>
      <c r="M1144" s="0" t="n">
        <v>0</v>
      </c>
      <c r="N1144" s="0" t="n">
        <v>0</v>
      </c>
      <c r="O1144" s="0" t="n">
        <v>625</v>
      </c>
    </row>
    <row r="1145" customFormat="false" ht="15" hidden="false" customHeight="false" outlineLevel="0" collapsed="false">
      <c r="A1145" s="0" t="s">
        <v>265</v>
      </c>
      <c r="B1145" s="0" t="s">
        <v>503</v>
      </c>
      <c r="C1145" s="0" t="n">
        <v>2020</v>
      </c>
      <c r="D1145" s="0" t="n">
        <v>2013259</v>
      </c>
      <c r="E1145" s="0" t="n">
        <v>0.08</v>
      </c>
      <c r="F1145" s="0" t="n">
        <v>0</v>
      </c>
      <c r="G1145" s="0" t="n">
        <v>0</v>
      </c>
      <c r="H1145" s="0" t="n">
        <v>0.08</v>
      </c>
      <c r="I1145" s="0" t="n">
        <v>0</v>
      </c>
      <c r="J1145" s="0" t="n">
        <v>0</v>
      </c>
      <c r="K1145" s="0" t="n">
        <v>0</v>
      </c>
      <c r="L1145" s="0" t="n">
        <v>0</v>
      </c>
      <c r="M1145" s="0" t="n">
        <v>0</v>
      </c>
      <c r="N1145" s="0" t="n">
        <v>0</v>
      </c>
      <c r="O1145" s="0" t="n">
        <v>625</v>
      </c>
    </row>
    <row r="1146" customFormat="false" ht="15" hidden="false" customHeight="false" outlineLevel="0" collapsed="false">
      <c r="A1146" s="0" t="s">
        <v>265</v>
      </c>
      <c r="B1146" s="0" t="s">
        <v>503</v>
      </c>
      <c r="C1146" s="0" t="n">
        <v>2021</v>
      </c>
      <c r="D1146" s="0" t="n">
        <v>2058841</v>
      </c>
      <c r="E1146" s="0" t="n">
        <v>0.08</v>
      </c>
      <c r="F1146" s="0" t="n">
        <v>0</v>
      </c>
      <c r="G1146" s="0" t="n">
        <v>0</v>
      </c>
      <c r="H1146" s="0" t="n">
        <v>0.08</v>
      </c>
      <c r="I1146" s="0" t="n">
        <v>0</v>
      </c>
      <c r="J1146" s="0" t="n">
        <v>0</v>
      </c>
      <c r="K1146" s="0" t="n">
        <v>0</v>
      </c>
      <c r="L1146" s="0" t="n">
        <v>0</v>
      </c>
      <c r="M1146" s="0" t="n">
        <v>0</v>
      </c>
      <c r="N1146" s="0" t="n">
        <v>0</v>
      </c>
      <c r="O1146" s="0" t="n">
        <v>625</v>
      </c>
    </row>
    <row r="1147" customFormat="false" ht="15" hidden="false" customHeight="false" outlineLevel="0" collapsed="false">
      <c r="A1147" s="0" t="s">
        <v>265</v>
      </c>
      <c r="B1147" s="0" t="s">
        <v>503</v>
      </c>
      <c r="C1147" s="0" t="n">
        <v>2022</v>
      </c>
      <c r="D1147" s="0" t="n">
        <v>2105535</v>
      </c>
      <c r="E1147" s="0" t="n">
        <v>0.08</v>
      </c>
      <c r="F1147" s="0" t="n">
        <v>0</v>
      </c>
      <c r="G1147" s="0" t="n">
        <v>0</v>
      </c>
      <c r="H1147" s="0" t="n">
        <v>0.08</v>
      </c>
      <c r="I1147" s="0" t="n">
        <v>0</v>
      </c>
      <c r="J1147" s="0" t="n">
        <v>0</v>
      </c>
      <c r="K1147" s="0" t="n">
        <v>0</v>
      </c>
      <c r="L1147" s="0" t="n">
        <v>0</v>
      </c>
      <c r="M1147" s="0" t="n">
        <v>0</v>
      </c>
      <c r="N1147" s="0" t="n">
        <v>0</v>
      </c>
      <c r="O1147" s="0" t="n">
        <v>625</v>
      </c>
    </row>
    <row r="1148" customFormat="false" ht="15" hidden="false" customHeight="false" outlineLevel="0" collapsed="false">
      <c r="A1148" s="0" t="s">
        <v>265</v>
      </c>
      <c r="B1148" s="0" t="s">
        <v>503</v>
      </c>
      <c r="C1148" s="0" t="n">
        <v>2023</v>
      </c>
      <c r="D1148" s="0" t="n">
        <v>2153343</v>
      </c>
      <c r="E1148" s="0" t="n">
        <v>0.08</v>
      </c>
      <c r="F1148" s="0" t="n">
        <v>0</v>
      </c>
      <c r="G1148" s="0" t="n">
        <v>0</v>
      </c>
      <c r="H1148" s="0" t="n">
        <v>0.08</v>
      </c>
      <c r="I1148" s="0" t="n">
        <v>0</v>
      </c>
      <c r="J1148" s="0" t="n">
        <v>0</v>
      </c>
      <c r="K1148" s="0" t="n">
        <v>0</v>
      </c>
      <c r="L1148" s="0" t="n">
        <v>0</v>
      </c>
      <c r="M1148" s="0" t="n">
        <v>0</v>
      </c>
      <c r="N1148" s="0" t="n">
        <v>0</v>
      </c>
      <c r="O1148" s="0" t="n">
        <v>625</v>
      </c>
    </row>
    <row r="1149" customFormat="false" ht="15" hidden="false" customHeight="false" outlineLevel="0" collapsed="false">
      <c r="A1149" s="0" t="s">
        <v>265</v>
      </c>
      <c r="B1149" s="0" t="s">
        <v>503</v>
      </c>
      <c r="C1149" s="0" t="n">
        <v>2024</v>
      </c>
      <c r="D1149" s="0" t="n">
        <v>2201360</v>
      </c>
      <c r="E1149" s="0" t="n">
        <v>0.08</v>
      </c>
      <c r="F1149" s="0" t="n">
        <v>0</v>
      </c>
      <c r="G1149" s="0" t="n">
        <v>0</v>
      </c>
      <c r="H1149" s="0" t="n">
        <v>0.08</v>
      </c>
      <c r="I1149" s="0" t="n">
        <v>0</v>
      </c>
      <c r="J1149" s="0" t="n">
        <v>0</v>
      </c>
      <c r="K1149" s="0" t="n">
        <v>0</v>
      </c>
      <c r="L1149" s="0" t="n">
        <v>0</v>
      </c>
      <c r="M1149" s="0" t="n">
        <v>0</v>
      </c>
      <c r="N1149" s="0" t="n">
        <v>0</v>
      </c>
      <c r="O1149" s="0" t="n">
        <v>625</v>
      </c>
    </row>
    <row r="1150" customFormat="false" ht="15" hidden="false" customHeight="false" outlineLevel="0" collapsed="false">
      <c r="A1150" s="0" t="s">
        <v>266</v>
      </c>
      <c r="B1150" s="0" t="s">
        <v>504</v>
      </c>
      <c r="C1150" s="0" t="n">
        <v>2015</v>
      </c>
      <c r="D1150" s="0" t="n">
        <v>758783</v>
      </c>
      <c r="E1150" s="0" t="n">
        <v>1.01</v>
      </c>
      <c r="F1150" s="0" t="n">
        <v>0</v>
      </c>
      <c r="G1150" s="0" t="n">
        <v>0</v>
      </c>
      <c r="H1150" s="0" t="n">
        <v>0.97</v>
      </c>
      <c r="I1150" s="0" t="n">
        <v>0</v>
      </c>
      <c r="J1150" s="0" t="n">
        <v>0</v>
      </c>
      <c r="K1150" s="0" t="n">
        <v>0</v>
      </c>
      <c r="L1150" s="0" t="n">
        <v>0</v>
      </c>
      <c r="M1150" s="0" t="n">
        <v>0.04</v>
      </c>
      <c r="N1150" s="0" t="n">
        <v>0</v>
      </c>
      <c r="O1150" s="0" t="n">
        <v>643.56</v>
      </c>
    </row>
    <row r="1151" customFormat="false" ht="15" hidden="false" customHeight="false" outlineLevel="0" collapsed="false">
      <c r="A1151" s="0" t="s">
        <v>266</v>
      </c>
      <c r="B1151" s="0" t="s">
        <v>504</v>
      </c>
      <c r="C1151" s="0" t="n">
        <v>2016</v>
      </c>
      <c r="D1151" s="0" t="n">
        <v>763553</v>
      </c>
      <c r="E1151" s="0" t="n">
        <v>1.1</v>
      </c>
      <c r="F1151" s="0" t="n">
        <v>0</v>
      </c>
      <c r="G1151" s="0" t="n">
        <v>0</v>
      </c>
      <c r="H1151" s="0" t="n">
        <v>1.06</v>
      </c>
      <c r="I1151" s="0" t="n">
        <v>0</v>
      </c>
      <c r="J1151" s="0" t="n">
        <v>0</v>
      </c>
      <c r="K1151" s="0" t="n">
        <v>0</v>
      </c>
      <c r="L1151" s="0" t="n">
        <v>0</v>
      </c>
      <c r="M1151" s="0" t="n">
        <v>0.04</v>
      </c>
      <c r="N1151" s="0" t="n">
        <v>0</v>
      </c>
      <c r="O1151" s="0" t="n">
        <v>645.46</v>
      </c>
    </row>
    <row r="1152" customFormat="false" ht="15" hidden="false" customHeight="false" outlineLevel="0" collapsed="false">
      <c r="A1152" s="0" t="s">
        <v>266</v>
      </c>
      <c r="B1152" s="0" t="s">
        <v>504</v>
      </c>
      <c r="C1152" s="0" t="n">
        <v>2017</v>
      </c>
      <c r="D1152" s="0" t="n">
        <v>768483</v>
      </c>
      <c r="E1152" s="0" t="n">
        <v>1.12</v>
      </c>
      <c r="F1152" s="0" t="n">
        <v>0</v>
      </c>
      <c r="G1152" s="0" t="n">
        <v>0</v>
      </c>
      <c r="H1152" s="0" t="n">
        <v>1.08</v>
      </c>
      <c r="I1152" s="0" t="n">
        <v>0</v>
      </c>
      <c r="J1152" s="0" t="n">
        <v>0</v>
      </c>
      <c r="K1152" s="0" t="n">
        <v>0.01</v>
      </c>
      <c r="L1152" s="0" t="n">
        <v>0</v>
      </c>
      <c r="M1152" s="0" t="n">
        <v>0.03</v>
      </c>
      <c r="N1152" s="0" t="n">
        <v>0</v>
      </c>
      <c r="O1152" s="0" t="n">
        <v>642.86</v>
      </c>
    </row>
    <row r="1153" customFormat="false" ht="15" hidden="false" customHeight="false" outlineLevel="0" collapsed="false">
      <c r="A1153" s="0" t="s">
        <v>266</v>
      </c>
      <c r="B1153" s="0" t="s">
        <v>504</v>
      </c>
      <c r="C1153" s="0" t="n">
        <v>2018</v>
      </c>
      <c r="D1153" s="0" t="n">
        <v>791563</v>
      </c>
      <c r="E1153" s="0" t="n">
        <v>1.14</v>
      </c>
      <c r="F1153" s="0" t="n">
        <v>0</v>
      </c>
      <c r="G1153" s="0" t="n">
        <v>0</v>
      </c>
      <c r="H1153" s="0" t="n">
        <v>1.11</v>
      </c>
      <c r="I1153" s="0" t="n">
        <v>0</v>
      </c>
      <c r="J1153" s="0" t="n">
        <v>0</v>
      </c>
      <c r="K1153" s="0" t="n">
        <v>0.01</v>
      </c>
      <c r="L1153" s="0" t="n">
        <v>0</v>
      </c>
      <c r="M1153" s="0" t="n">
        <v>0.02</v>
      </c>
      <c r="N1153" s="0" t="n">
        <v>0</v>
      </c>
      <c r="O1153" s="0" t="n">
        <v>640.35</v>
      </c>
    </row>
    <row r="1154" customFormat="false" ht="15" hidden="false" customHeight="false" outlineLevel="0" collapsed="false">
      <c r="A1154" s="0" t="s">
        <v>266</v>
      </c>
      <c r="B1154" s="0" t="s">
        <v>504</v>
      </c>
      <c r="C1154" s="0" t="n">
        <v>2019</v>
      </c>
      <c r="D1154" s="0" t="n">
        <v>807668</v>
      </c>
      <c r="E1154" s="0" t="n">
        <v>1.15</v>
      </c>
      <c r="F1154" s="0" t="n">
        <v>0</v>
      </c>
      <c r="G1154" s="0" t="n">
        <v>0</v>
      </c>
      <c r="H1154" s="0" t="n">
        <v>1.11</v>
      </c>
      <c r="I1154" s="0" t="n">
        <v>0</v>
      </c>
      <c r="J1154" s="0" t="n">
        <v>0</v>
      </c>
      <c r="K1154" s="0" t="n">
        <v>0.02</v>
      </c>
      <c r="L1154" s="0" t="n">
        <v>0</v>
      </c>
      <c r="M1154" s="0" t="n">
        <v>0.02</v>
      </c>
      <c r="N1154" s="0" t="n">
        <v>0</v>
      </c>
      <c r="O1154" s="0" t="n">
        <v>634.78</v>
      </c>
    </row>
    <row r="1155" customFormat="false" ht="15" hidden="false" customHeight="false" outlineLevel="0" collapsed="false">
      <c r="A1155" s="0" t="s">
        <v>266</v>
      </c>
      <c r="B1155" s="0" t="s">
        <v>504</v>
      </c>
      <c r="C1155" s="0" t="n">
        <v>2020</v>
      </c>
      <c r="D1155" s="0" t="n">
        <v>807486</v>
      </c>
      <c r="E1155" s="0" t="n">
        <v>1.14</v>
      </c>
      <c r="F1155" s="0" t="n">
        <v>0</v>
      </c>
      <c r="G1155" s="0" t="n">
        <v>0</v>
      </c>
      <c r="H1155" s="0" t="n">
        <v>1.11</v>
      </c>
      <c r="I1155" s="0" t="n">
        <v>0</v>
      </c>
      <c r="J1155" s="0" t="n">
        <v>0</v>
      </c>
      <c r="K1155" s="0" t="n">
        <v>0.01</v>
      </c>
      <c r="L1155" s="0" t="n">
        <v>0</v>
      </c>
      <c r="M1155" s="0" t="n">
        <v>0.02</v>
      </c>
      <c r="N1155" s="0" t="n">
        <v>0</v>
      </c>
      <c r="O1155" s="0" t="n">
        <v>640.35</v>
      </c>
    </row>
    <row r="1156" customFormat="false" ht="15" hidden="false" customHeight="false" outlineLevel="0" collapsed="false">
      <c r="A1156" s="0" t="s">
        <v>266</v>
      </c>
      <c r="B1156" s="0" t="s">
        <v>504</v>
      </c>
      <c r="C1156" s="0" t="n">
        <v>2021</v>
      </c>
      <c r="D1156" s="0" t="n">
        <v>815484</v>
      </c>
      <c r="E1156" s="0" t="n">
        <v>1.14</v>
      </c>
      <c r="F1156" s="0" t="n">
        <v>0</v>
      </c>
      <c r="G1156" s="0" t="n">
        <v>0</v>
      </c>
      <c r="H1156" s="0" t="n">
        <v>1.1</v>
      </c>
      <c r="I1156" s="0" t="n">
        <v>0</v>
      </c>
      <c r="J1156" s="0" t="n">
        <v>0</v>
      </c>
      <c r="K1156" s="0" t="n">
        <v>0.01</v>
      </c>
      <c r="L1156" s="0" t="n">
        <v>0</v>
      </c>
      <c r="M1156" s="0" t="n">
        <v>0.03</v>
      </c>
      <c r="N1156" s="0" t="n">
        <v>0</v>
      </c>
      <c r="O1156" s="0" t="n">
        <v>640.35</v>
      </c>
    </row>
    <row r="1157" customFormat="false" ht="15" hidden="false" customHeight="false" outlineLevel="0" collapsed="false">
      <c r="A1157" s="0" t="s">
        <v>266</v>
      </c>
      <c r="B1157" s="0" t="s">
        <v>504</v>
      </c>
      <c r="C1157" s="0" t="n">
        <v>2022</v>
      </c>
      <c r="D1157" s="0" t="n">
        <v>821638</v>
      </c>
      <c r="E1157" s="0" t="n">
        <v>1.28</v>
      </c>
      <c r="F1157" s="0" t="n">
        <v>0</v>
      </c>
      <c r="G1157" s="0" t="n">
        <v>0.01</v>
      </c>
      <c r="H1157" s="0" t="n">
        <v>1.24</v>
      </c>
      <c r="I1157" s="0" t="n">
        <v>0</v>
      </c>
      <c r="J1157" s="0" t="n">
        <v>0</v>
      </c>
      <c r="K1157" s="0" t="n">
        <v>0.01</v>
      </c>
      <c r="L1157" s="0" t="n">
        <v>0</v>
      </c>
      <c r="M1157" s="0" t="n">
        <v>0.02</v>
      </c>
      <c r="N1157" s="0" t="n">
        <v>0</v>
      </c>
      <c r="O1157" s="0" t="n">
        <v>648.44</v>
      </c>
    </row>
    <row r="1158" customFormat="false" ht="15" hidden="false" customHeight="false" outlineLevel="0" collapsed="false">
      <c r="A1158" s="0" t="s">
        <v>266</v>
      </c>
      <c r="B1158" s="0" t="s">
        <v>504</v>
      </c>
      <c r="C1158" s="0" t="n">
        <v>2023</v>
      </c>
      <c r="D1158" s="0" t="n">
        <v>826357</v>
      </c>
      <c r="E1158" s="0" t="n">
        <v>1.38</v>
      </c>
      <c r="F1158" s="0" t="n">
        <v>0</v>
      </c>
      <c r="G1158" s="0" t="n">
        <v>0.01</v>
      </c>
      <c r="H1158" s="0" t="n">
        <v>1.33</v>
      </c>
      <c r="I1158" s="0" t="n">
        <v>0</v>
      </c>
      <c r="J1158" s="0" t="n">
        <v>0</v>
      </c>
      <c r="K1158" s="0" t="n">
        <v>0.02</v>
      </c>
      <c r="L1158" s="0" t="n">
        <v>0</v>
      </c>
      <c r="M1158" s="0" t="n">
        <v>0.02</v>
      </c>
      <c r="N1158" s="0" t="n">
        <v>0</v>
      </c>
      <c r="O1158" s="0" t="n">
        <v>644.93</v>
      </c>
    </row>
    <row r="1159" customFormat="false" ht="15" hidden="false" customHeight="false" outlineLevel="0" collapsed="false">
      <c r="A1159" s="0" t="s">
        <v>266</v>
      </c>
      <c r="B1159" s="0" t="s">
        <v>504</v>
      </c>
      <c r="C1159" s="0" t="n">
        <v>2024</v>
      </c>
      <c r="D1159" s="0" t="n">
        <v>831092</v>
      </c>
      <c r="E1159" s="0" t="n">
        <v>1.38</v>
      </c>
      <c r="F1159" s="0" t="n">
        <v>0</v>
      </c>
      <c r="G1159" s="0" t="n">
        <v>0.01</v>
      </c>
      <c r="H1159" s="0" t="n">
        <v>1.33</v>
      </c>
      <c r="I1159" s="0" t="n">
        <v>0</v>
      </c>
      <c r="J1159" s="0" t="n">
        <v>0</v>
      </c>
      <c r="K1159" s="0" t="n">
        <v>0.02</v>
      </c>
      <c r="L1159" s="0" t="n">
        <v>0</v>
      </c>
      <c r="M1159" s="0" t="n">
        <v>0.02</v>
      </c>
      <c r="N1159" s="0" t="n">
        <v>0</v>
      </c>
      <c r="O1159" s="0" t="n">
        <v>644.93</v>
      </c>
    </row>
    <row r="1160" customFormat="false" ht="15" hidden="false" customHeight="false" outlineLevel="0" collapsed="false">
      <c r="A1160" s="0" t="s">
        <v>267</v>
      </c>
      <c r="B1160" s="0" t="s">
        <v>505</v>
      </c>
      <c r="C1160" s="0" t="n">
        <v>2015</v>
      </c>
      <c r="D1160" s="0" t="n">
        <v>10523249</v>
      </c>
      <c r="E1160" s="0" t="n">
        <v>1.03</v>
      </c>
      <c r="F1160" s="0" t="n">
        <v>0</v>
      </c>
      <c r="G1160" s="0" t="n">
        <v>0</v>
      </c>
      <c r="H1160" s="0" t="n">
        <v>0.95</v>
      </c>
      <c r="I1160" s="0" t="n">
        <v>0</v>
      </c>
      <c r="J1160" s="0" t="n">
        <v>0.08</v>
      </c>
      <c r="K1160" s="0" t="n">
        <v>0</v>
      </c>
      <c r="L1160" s="0" t="n">
        <v>0</v>
      </c>
      <c r="M1160" s="0" t="n">
        <v>0</v>
      </c>
      <c r="N1160" s="0" t="n">
        <v>0</v>
      </c>
      <c r="O1160" s="0" t="n">
        <v>611.65</v>
      </c>
    </row>
    <row r="1161" customFormat="false" ht="15" hidden="false" customHeight="false" outlineLevel="0" collapsed="false">
      <c r="A1161" s="0" t="s">
        <v>267</v>
      </c>
      <c r="B1161" s="0" t="s">
        <v>505</v>
      </c>
      <c r="C1161" s="0" t="n">
        <v>2016</v>
      </c>
      <c r="D1161" s="0" t="n">
        <v>10671462</v>
      </c>
      <c r="E1161" s="0" t="n">
        <v>1.08</v>
      </c>
      <c r="F1161" s="0" t="n">
        <v>0</v>
      </c>
      <c r="G1161" s="0" t="n">
        <v>0</v>
      </c>
      <c r="H1161" s="0" t="n">
        <v>1.01</v>
      </c>
      <c r="I1161" s="0" t="n">
        <v>0</v>
      </c>
      <c r="J1161" s="0" t="n">
        <v>0.07</v>
      </c>
      <c r="K1161" s="0" t="n">
        <v>0</v>
      </c>
      <c r="L1161" s="0" t="n">
        <v>0</v>
      </c>
      <c r="M1161" s="0" t="n">
        <v>0</v>
      </c>
      <c r="N1161" s="0" t="n">
        <v>0</v>
      </c>
      <c r="O1161" s="0" t="n">
        <v>611.11</v>
      </c>
    </row>
    <row r="1162" customFormat="false" ht="15" hidden="false" customHeight="false" outlineLevel="0" collapsed="false">
      <c r="A1162" s="0" t="s">
        <v>267</v>
      </c>
      <c r="B1162" s="0" t="s">
        <v>505</v>
      </c>
      <c r="C1162" s="0" t="n">
        <v>2017</v>
      </c>
      <c r="D1162" s="0" t="n">
        <v>10817759</v>
      </c>
      <c r="E1162" s="0" t="n">
        <v>1.06</v>
      </c>
      <c r="F1162" s="0" t="n">
        <v>0</v>
      </c>
      <c r="G1162" s="0" t="n">
        <v>0</v>
      </c>
      <c r="H1162" s="0" t="n">
        <v>0.93</v>
      </c>
      <c r="I1162" s="0" t="n">
        <v>0</v>
      </c>
      <c r="J1162" s="0" t="n">
        <v>0.13</v>
      </c>
      <c r="K1162" s="0" t="n">
        <v>0</v>
      </c>
      <c r="L1162" s="0" t="n">
        <v>0</v>
      </c>
      <c r="M1162" s="0" t="n">
        <v>0</v>
      </c>
      <c r="N1162" s="0" t="n">
        <v>0</v>
      </c>
      <c r="O1162" s="0" t="n">
        <v>575.47</v>
      </c>
    </row>
    <row r="1163" customFormat="false" ht="15" hidden="false" customHeight="false" outlineLevel="0" collapsed="false">
      <c r="A1163" s="0" t="s">
        <v>267</v>
      </c>
      <c r="B1163" s="0" t="s">
        <v>505</v>
      </c>
      <c r="C1163" s="0" t="n">
        <v>2018</v>
      </c>
      <c r="D1163" s="0" t="n">
        <v>10962373</v>
      </c>
      <c r="E1163" s="0" t="n">
        <v>1.04</v>
      </c>
      <c r="F1163" s="0" t="n">
        <v>0</v>
      </c>
      <c r="G1163" s="0" t="n">
        <v>0</v>
      </c>
      <c r="H1163" s="0" t="n">
        <v>0.85</v>
      </c>
      <c r="I1163" s="0" t="n">
        <v>0</v>
      </c>
      <c r="J1163" s="0" t="n">
        <v>0.19</v>
      </c>
      <c r="K1163" s="0" t="n">
        <v>0</v>
      </c>
      <c r="L1163" s="0" t="n">
        <v>0</v>
      </c>
      <c r="M1163" s="0" t="n">
        <v>0</v>
      </c>
      <c r="N1163" s="0" t="n">
        <v>0</v>
      </c>
      <c r="O1163" s="0" t="n">
        <v>538.46</v>
      </c>
    </row>
    <row r="1164" customFormat="false" ht="15" hidden="false" customHeight="false" outlineLevel="0" collapsed="false">
      <c r="A1164" s="0" t="s">
        <v>267</v>
      </c>
      <c r="B1164" s="0" t="s">
        <v>505</v>
      </c>
      <c r="C1164" s="0" t="n">
        <v>2019</v>
      </c>
      <c r="D1164" s="0" t="n">
        <v>11105165</v>
      </c>
      <c r="E1164" s="0" t="n">
        <v>1.06</v>
      </c>
      <c r="F1164" s="0" t="n">
        <v>0</v>
      </c>
      <c r="G1164" s="0" t="n">
        <v>0</v>
      </c>
      <c r="H1164" s="0" t="n">
        <v>0.89</v>
      </c>
      <c r="I1164" s="0" t="n">
        <v>0</v>
      </c>
      <c r="J1164" s="0" t="n">
        <v>0.17</v>
      </c>
      <c r="K1164" s="0" t="n">
        <v>0</v>
      </c>
      <c r="L1164" s="0" t="n">
        <v>0</v>
      </c>
      <c r="M1164" s="0" t="n">
        <v>0</v>
      </c>
      <c r="N1164" s="0" t="n">
        <v>0</v>
      </c>
      <c r="O1164" s="0" t="n">
        <v>556.6</v>
      </c>
    </row>
    <row r="1165" customFormat="false" ht="15" hidden="false" customHeight="false" outlineLevel="0" collapsed="false">
      <c r="A1165" s="0" t="s">
        <v>267</v>
      </c>
      <c r="B1165" s="0" t="s">
        <v>505</v>
      </c>
      <c r="C1165" s="0" t="n">
        <v>2020</v>
      </c>
      <c r="D1165" s="0" t="n">
        <v>11243846</v>
      </c>
      <c r="E1165" s="0" t="n">
        <v>1.02</v>
      </c>
      <c r="F1165" s="0" t="n">
        <v>0</v>
      </c>
      <c r="G1165" s="0" t="n">
        <v>0</v>
      </c>
      <c r="H1165" s="0" t="n">
        <v>0.88</v>
      </c>
      <c r="I1165" s="0" t="n">
        <v>0</v>
      </c>
      <c r="J1165" s="0" t="n">
        <v>0.14</v>
      </c>
      <c r="K1165" s="0" t="n">
        <v>0</v>
      </c>
      <c r="L1165" s="0" t="n">
        <v>0</v>
      </c>
      <c r="M1165" s="0" t="n">
        <v>0</v>
      </c>
      <c r="N1165" s="0" t="n">
        <v>0</v>
      </c>
      <c r="O1165" s="0" t="n">
        <v>568.63</v>
      </c>
    </row>
    <row r="1166" customFormat="false" ht="15" hidden="false" customHeight="false" outlineLevel="0" collapsed="false">
      <c r="A1166" s="0" t="s">
        <v>267</v>
      </c>
      <c r="B1166" s="0" t="s">
        <v>505</v>
      </c>
      <c r="C1166" s="0" t="n">
        <v>2021</v>
      </c>
      <c r="D1166" s="0" t="n">
        <v>11374592</v>
      </c>
      <c r="E1166" s="0" t="n">
        <v>1.03</v>
      </c>
      <c r="F1166" s="0" t="n">
        <v>0</v>
      </c>
      <c r="G1166" s="0" t="n">
        <v>0</v>
      </c>
      <c r="H1166" s="0" t="n">
        <v>0.9</v>
      </c>
      <c r="I1166" s="0" t="n">
        <v>0</v>
      </c>
      <c r="J1166" s="0" t="n">
        <v>0.13</v>
      </c>
      <c r="K1166" s="0" t="n">
        <v>0</v>
      </c>
      <c r="L1166" s="0" t="n">
        <v>0</v>
      </c>
      <c r="M1166" s="0" t="n">
        <v>0</v>
      </c>
      <c r="N1166" s="0" t="n">
        <v>0</v>
      </c>
      <c r="O1166" s="0" t="n">
        <v>572.82</v>
      </c>
    </row>
    <row r="1167" customFormat="false" ht="15" hidden="false" customHeight="false" outlineLevel="0" collapsed="false">
      <c r="A1167" s="0" t="s">
        <v>267</v>
      </c>
      <c r="B1167" s="0" t="s">
        <v>505</v>
      </c>
      <c r="C1167" s="0" t="n">
        <v>2022</v>
      </c>
      <c r="D1167" s="0" t="n">
        <v>11503603</v>
      </c>
      <c r="E1167" s="0" t="n">
        <v>1.01</v>
      </c>
      <c r="F1167" s="0" t="n">
        <v>0</v>
      </c>
      <c r="G1167" s="0" t="n">
        <v>0</v>
      </c>
      <c r="H1167" s="0" t="n">
        <v>0.82</v>
      </c>
      <c r="I1167" s="0" t="n">
        <v>0</v>
      </c>
      <c r="J1167" s="0" t="n">
        <v>0.19</v>
      </c>
      <c r="K1167" s="0" t="n">
        <v>0</v>
      </c>
      <c r="L1167" s="0" t="n">
        <v>0</v>
      </c>
      <c r="M1167" s="0" t="n">
        <v>0</v>
      </c>
      <c r="N1167" s="0" t="n">
        <v>0</v>
      </c>
      <c r="O1167" s="0" t="n">
        <v>534.65</v>
      </c>
    </row>
    <row r="1168" customFormat="false" ht="15" hidden="false" customHeight="false" outlineLevel="0" collapsed="false">
      <c r="A1168" s="0" t="s">
        <v>267</v>
      </c>
      <c r="B1168" s="0" t="s">
        <v>505</v>
      </c>
      <c r="C1168" s="0" t="n">
        <v>2023</v>
      </c>
      <c r="D1168" s="0" t="n">
        <v>11637402</v>
      </c>
      <c r="E1168" s="0" t="n">
        <v>0.85</v>
      </c>
      <c r="F1168" s="0" t="n">
        <v>0</v>
      </c>
      <c r="G1168" s="0" t="n">
        <v>0</v>
      </c>
      <c r="H1168" s="0" t="n">
        <v>0.66</v>
      </c>
      <c r="I1168" s="0" t="n">
        <v>0</v>
      </c>
      <c r="J1168" s="0" t="n">
        <v>0.19</v>
      </c>
      <c r="K1168" s="0" t="n">
        <v>0</v>
      </c>
      <c r="L1168" s="0" t="n">
        <v>0</v>
      </c>
      <c r="M1168" s="0" t="n">
        <v>0</v>
      </c>
      <c r="N1168" s="0" t="n">
        <v>0</v>
      </c>
      <c r="O1168" s="0" t="n">
        <v>505.88</v>
      </c>
    </row>
    <row r="1169" customFormat="false" ht="15" hidden="false" customHeight="false" outlineLevel="0" collapsed="false">
      <c r="A1169" s="0" t="s">
        <v>267</v>
      </c>
      <c r="B1169" s="0" t="s">
        <v>505</v>
      </c>
      <c r="C1169" s="0" t="n">
        <v>2024</v>
      </c>
      <c r="D1169" s="0" t="n">
        <v>11772562</v>
      </c>
      <c r="E1169" s="0" t="n">
        <v>0.86</v>
      </c>
      <c r="F1169" s="0" t="n">
        <v>0</v>
      </c>
      <c r="G1169" s="0" t="n">
        <v>0</v>
      </c>
      <c r="H1169" s="0" t="n">
        <v>0.7</v>
      </c>
      <c r="I1169" s="0" t="n">
        <v>0</v>
      </c>
      <c r="J1169" s="0" t="n">
        <v>0.16</v>
      </c>
      <c r="K1169" s="0" t="n">
        <v>0</v>
      </c>
      <c r="L1169" s="0" t="n">
        <v>0</v>
      </c>
      <c r="M1169" s="0" t="n">
        <v>0</v>
      </c>
      <c r="N1169" s="0" t="n">
        <v>0</v>
      </c>
      <c r="O1169" s="0" t="n">
        <v>534.88</v>
      </c>
    </row>
    <row r="1170" customFormat="false" ht="15" hidden="false" customHeight="false" outlineLevel="0" collapsed="false">
      <c r="A1170" s="0" t="s">
        <v>680</v>
      </c>
      <c r="C1170" s="0" t="n">
        <v>2015</v>
      </c>
      <c r="D1170" s="0" t="n">
        <v>1372281696</v>
      </c>
      <c r="E1170" s="0" t="n">
        <v>12346.04</v>
      </c>
      <c r="F1170" s="0" t="n">
        <v>3309.9</v>
      </c>
      <c r="G1170" s="0" t="n">
        <v>3662.9</v>
      </c>
      <c r="H1170" s="0" t="n">
        <v>589.92</v>
      </c>
      <c r="I1170" s="0" t="n">
        <v>2179.62</v>
      </c>
      <c r="J1170" s="0" t="n">
        <v>1503.87</v>
      </c>
      <c r="K1170" s="0" t="n">
        <v>200.06</v>
      </c>
      <c r="L1170" s="0" t="n">
        <v>552.54</v>
      </c>
      <c r="M1170" s="0" t="n">
        <v>306.12</v>
      </c>
      <c r="N1170" s="0" t="n">
        <v>41.11</v>
      </c>
      <c r="O1170" s="0" t="n">
        <v>456.982</v>
      </c>
    </row>
    <row r="1171" customFormat="false" ht="15" hidden="false" customHeight="false" outlineLevel="0" collapsed="false">
      <c r="A1171" s="0" t="s">
        <v>680</v>
      </c>
      <c r="C1171" s="0" t="n">
        <v>2016</v>
      </c>
      <c r="D1171" s="0" t="n">
        <v>1380894709</v>
      </c>
      <c r="E1171" s="0" t="n">
        <v>12479.13</v>
      </c>
      <c r="F1171" s="0" t="n">
        <v>3109.24</v>
      </c>
      <c r="G1171" s="0" t="n">
        <v>3902.47</v>
      </c>
      <c r="H1171" s="0" t="n">
        <v>564.9</v>
      </c>
      <c r="I1171" s="0" t="n">
        <v>2175.18</v>
      </c>
      <c r="J1171" s="0" t="n">
        <v>1551.33</v>
      </c>
      <c r="K1171" s="0" t="n">
        <v>233.24</v>
      </c>
      <c r="L1171" s="0" t="n">
        <v>595.93</v>
      </c>
      <c r="M1171" s="0" t="n">
        <v>305.33</v>
      </c>
      <c r="N1171" s="0" t="n">
        <v>41.51</v>
      </c>
      <c r="O1171" s="0" t="n">
        <v>445.65</v>
      </c>
    </row>
    <row r="1172" customFormat="false" ht="15" hidden="false" customHeight="false" outlineLevel="0" collapsed="false">
      <c r="A1172" s="0" t="s">
        <v>680</v>
      </c>
      <c r="C1172" s="0" t="n">
        <v>2017</v>
      </c>
      <c r="D1172" s="0" t="n">
        <v>1388094202</v>
      </c>
      <c r="E1172" s="0" t="n">
        <v>12557.25</v>
      </c>
      <c r="F1172" s="0" t="n">
        <v>3098.59</v>
      </c>
      <c r="G1172" s="0" t="n">
        <v>3932.63</v>
      </c>
      <c r="H1172" s="0" t="n">
        <v>511.97</v>
      </c>
      <c r="I1172" s="0" t="n">
        <v>2158.76</v>
      </c>
      <c r="J1172" s="0" t="n">
        <v>1535.98</v>
      </c>
      <c r="K1172" s="0" t="n">
        <v>280.55</v>
      </c>
      <c r="L1172" s="0" t="n">
        <v>686.09</v>
      </c>
      <c r="M1172" s="0" t="n">
        <v>311.31</v>
      </c>
      <c r="N1172" s="0" t="n">
        <v>41.37</v>
      </c>
      <c r="O1172" s="0" t="n">
        <v>440.667</v>
      </c>
    </row>
    <row r="1173" customFormat="false" ht="15" hidden="false" customHeight="false" outlineLevel="0" collapsed="false">
      <c r="A1173" s="0" t="s">
        <v>680</v>
      </c>
      <c r="C1173" s="0" t="n">
        <v>2018</v>
      </c>
      <c r="D1173" s="0" t="n">
        <v>1394159697</v>
      </c>
      <c r="E1173" s="0" t="n">
        <v>12730.43</v>
      </c>
      <c r="F1173" s="0" t="n">
        <v>2979.17</v>
      </c>
      <c r="G1173" s="0" t="n">
        <v>4106.57</v>
      </c>
      <c r="H1173" s="0" t="n">
        <v>478.84</v>
      </c>
      <c r="I1173" s="0" t="n">
        <v>2174.5</v>
      </c>
      <c r="J1173" s="0" t="n">
        <v>1579.42</v>
      </c>
      <c r="K1173" s="0" t="n">
        <v>322.38</v>
      </c>
      <c r="L1173" s="0" t="n">
        <v>729.19</v>
      </c>
      <c r="M1173" s="0" t="n">
        <v>318.65</v>
      </c>
      <c r="N1173" s="0" t="n">
        <v>41.71</v>
      </c>
      <c r="O1173" s="0" t="n">
        <v>432.122</v>
      </c>
    </row>
    <row r="1174" customFormat="false" ht="15" hidden="false" customHeight="false" outlineLevel="0" collapsed="false">
      <c r="A1174" s="0" t="s">
        <v>680</v>
      </c>
      <c r="C1174" s="0" t="n">
        <v>2019</v>
      </c>
      <c r="D1174" s="0" t="n">
        <v>1400146576</v>
      </c>
      <c r="E1174" s="0" t="n">
        <v>12627.57</v>
      </c>
      <c r="F1174" s="0" t="n">
        <v>2615.2</v>
      </c>
      <c r="G1174" s="0" t="n">
        <v>4277.48</v>
      </c>
      <c r="H1174" s="0" t="n">
        <v>448.55</v>
      </c>
      <c r="I1174" s="0" t="n">
        <v>2210.7</v>
      </c>
      <c r="J1174" s="0" t="n">
        <v>1527.63</v>
      </c>
      <c r="K1174" s="0" t="n">
        <v>370.17</v>
      </c>
      <c r="L1174" s="0" t="n">
        <v>812.44</v>
      </c>
      <c r="M1174" s="0" t="n">
        <v>323.8</v>
      </c>
      <c r="N1174" s="0" t="n">
        <v>41.6</v>
      </c>
      <c r="O1174" s="0" t="n">
        <v>413.927</v>
      </c>
    </row>
    <row r="1175" customFormat="false" ht="15" hidden="false" customHeight="false" outlineLevel="0" collapsed="false">
      <c r="A1175" s="0" t="s">
        <v>680</v>
      </c>
      <c r="C1175" s="0" t="n">
        <v>2020</v>
      </c>
      <c r="D1175" s="0" t="n">
        <v>1403650770</v>
      </c>
      <c r="E1175" s="0" t="n">
        <v>12311.24</v>
      </c>
      <c r="F1175" s="0" t="n">
        <v>2231.81</v>
      </c>
      <c r="G1175" s="0" t="n">
        <v>4250.77</v>
      </c>
      <c r="H1175" s="0" t="n">
        <v>414.7</v>
      </c>
      <c r="I1175" s="0" t="n">
        <v>2097.32</v>
      </c>
      <c r="J1175" s="0" t="n">
        <v>1592.35</v>
      </c>
      <c r="K1175" s="0" t="n">
        <v>442.17</v>
      </c>
      <c r="L1175" s="0" t="n">
        <v>911.16</v>
      </c>
      <c r="M1175" s="0" t="n">
        <v>328.74</v>
      </c>
      <c r="N1175" s="0" t="n">
        <v>42.22</v>
      </c>
      <c r="O1175" s="0" t="n">
        <v>392.903</v>
      </c>
    </row>
    <row r="1176" customFormat="false" ht="15" hidden="false" customHeight="false" outlineLevel="0" collapsed="false">
      <c r="A1176" s="0" t="s">
        <v>680</v>
      </c>
      <c r="C1176" s="0" t="n">
        <v>2021</v>
      </c>
      <c r="D1176" s="0" t="n">
        <v>1404873283</v>
      </c>
      <c r="E1176" s="0" t="n">
        <v>12725.891</v>
      </c>
      <c r="F1176" s="0" t="n">
        <v>2445.08</v>
      </c>
      <c r="G1176" s="0" t="n">
        <v>4276.61</v>
      </c>
      <c r="H1176" s="0" t="n">
        <v>437.98</v>
      </c>
      <c r="I1176" s="0" t="n">
        <v>2148.76</v>
      </c>
      <c r="J1176" s="0" t="n">
        <v>1561.31</v>
      </c>
      <c r="K1176" s="0" t="n">
        <v>525.34</v>
      </c>
      <c r="L1176" s="0" t="n">
        <v>941.75</v>
      </c>
      <c r="M1176" s="0" t="n">
        <v>346.99</v>
      </c>
      <c r="N1176" s="0" t="n">
        <v>42.07</v>
      </c>
      <c r="O1176" s="0" t="n">
        <v>399.355</v>
      </c>
    </row>
    <row r="1177" customFormat="false" ht="15" hidden="false" customHeight="false" outlineLevel="0" collapsed="false">
      <c r="A1177" s="0" t="s">
        <v>680</v>
      </c>
      <c r="C1177" s="0" t="n">
        <v>2022</v>
      </c>
      <c r="D1177" s="0" t="n">
        <v>1410112397</v>
      </c>
      <c r="E1177" s="0" t="n">
        <v>12850.92</v>
      </c>
      <c r="F1177" s="0" t="n">
        <v>2375.63</v>
      </c>
      <c r="G1177" s="0" t="n">
        <v>4404.88</v>
      </c>
      <c r="H1177" s="0" t="n">
        <v>475.61</v>
      </c>
      <c r="I1177" s="0" t="n">
        <v>2034.35</v>
      </c>
      <c r="J1177" s="0" t="n">
        <v>1470.79</v>
      </c>
      <c r="K1177" s="0" t="n">
        <v>648.76</v>
      </c>
      <c r="L1177" s="0" t="n">
        <v>1063.25</v>
      </c>
      <c r="M1177" s="0" t="n">
        <v>335.79</v>
      </c>
      <c r="N1177" s="0" t="n">
        <v>41.86</v>
      </c>
      <c r="O1177" s="0" t="n">
        <v>398.503</v>
      </c>
    </row>
    <row r="1178" customFormat="false" ht="15" hidden="false" customHeight="false" outlineLevel="0" collapsed="false">
      <c r="A1178" s="0" t="s">
        <v>680</v>
      </c>
      <c r="C1178" s="0" t="n">
        <v>2023</v>
      </c>
      <c r="D1178" s="0" t="n">
        <v>1416794460</v>
      </c>
      <c r="E1178" s="0" t="n">
        <v>12720.2</v>
      </c>
      <c r="F1178" s="0" t="n">
        <v>2048.03</v>
      </c>
      <c r="G1178" s="0" t="n">
        <v>4424.62</v>
      </c>
      <c r="H1178" s="0" t="n">
        <v>431.24</v>
      </c>
      <c r="I1178" s="0" t="n">
        <v>2075.45</v>
      </c>
      <c r="J1178" s="0" t="n">
        <v>1491.68</v>
      </c>
      <c r="K1178" s="0" t="n">
        <v>763.26</v>
      </c>
      <c r="L1178" s="0" t="n">
        <v>1116.7</v>
      </c>
      <c r="M1178" s="0" t="n">
        <v>327.61</v>
      </c>
      <c r="N1178" s="0" t="n">
        <v>41.61</v>
      </c>
      <c r="O1178" s="0" t="n">
        <v>378.213</v>
      </c>
    </row>
    <row r="1179" customFormat="false" ht="15" hidden="false" customHeight="false" outlineLevel="0" collapsed="false">
      <c r="A1179" s="0" t="s">
        <v>680</v>
      </c>
      <c r="C1179" s="0" t="n">
        <v>2024</v>
      </c>
      <c r="D1179" s="0" t="n">
        <v>1420176158</v>
      </c>
      <c r="E1179" s="0" t="n">
        <v>13028.19</v>
      </c>
      <c r="F1179" s="0" t="n">
        <v>1971.55</v>
      </c>
      <c r="G1179" s="0" t="n">
        <v>4523.69</v>
      </c>
      <c r="H1179" s="0" t="n">
        <v>414.41</v>
      </c>
      <c r="I1179" s="0" t="n">
        <v>2123.67</v>
      </c>
      <c r="J1179" s="0" t="n">
        <v>1535.32</v>
      </c>
      <c r="K1179" s="0" t="n">
        <v>902.93</v>
      </c>
      <c r="L1179" s="0" t="n">
        <v>1177.24</v>
      </c>
      <c r="M1179" s="0" t="n">
        <v>337.59</v>
      </c>
      <c r="N1179" s="0" t="n">
        <v>41.79</v>
      </c>
      <c r="O1179" s="0" t="n">
        <v>368.634</v>
      </c>
    </row>
    <row r="1180" customFormat="false" ht="15" hidden="false" customHeight="false" outlineLevel="0" collapsed="false">
      <c r="A1180" s="0" t="s">
        <v>268</v>
      </c>
      <c r="B1180" s="0" t="s">
        <v>506</v>
      </c>
      <c r="C1180" s="0" t="n">
        <v>2015</v>
      </c>
      <c r="D1180" s="0" t="n">
        <v>9237306</v>
      </c>
      <c r="E1180" s="0" t="n">
        <v>9.01</v>
      </c>
      <c r="F1180" s="0" t="n">
        <v>0.09</v>
      </c>
      <c r="G1180" s="0" t="n">
        <v>0</v>
      </c>
      <c r="H1180" s="0" t="n">
        <v>4.95</v>
      </c>
      <c r="I1180" s="0" t="n">
        <v>0</v>
      </c>
      <c r="J1180" s="0" t="n">
        <v>2.32</v>
      </c>
      <c r="K1180" s="0" t="n">
        <v>0.44</v>
      </c>
      <c r="L1180" s="0" t="n">
        <v>0.67</v>
      </c>
      <c r="M1180" s="0" t="n">
        <v>0.54</v>
      </c>
      <c r="N1180" s="0" t="n">
        <v>0</v>
      </c>
      <c r="O1180" s="0" t="n">
        <v>394.01</v>
      </c>
    </row>
    <row r="1181" customFormat="false" ht="15" hidden="false" customHeight="false" outlineLevel="0" collapsed="false">
      <c r="A1181" s="0" t="s">
        <v>268</v>
      </c>
      <c r="B1181" s="0" t="s">
        <v>506</v>
      </c>
      <c r="C1181" s="0" t="n">
        <v>2016</v>
      </c>
      <c r="D1181" s="0" t="n">
        <v>9412380</v>
      </c>
      <c r="E1181" s="0" t="n">
        <v>9.3</v>
      </c>
      <c r="F1181" s="0" t="n">
        <v>0.04</v>
      </c>
      <c r="G1181" s="0" t="n">
        <v>0</v>
      </c>
      <c r="H1181" s="0" t="n">
        <v>4.79</v>
      </c>
      <c r="I1181" s="0" t="n">
        <v>0</v>
      </c>
      <c r="J1181" s="0" t="n">
        <v>2.25</v>
      </c>
      <c r="K1181" s="0" t="n">
        <v>0.89</v>
      </c>
      <c r="L1181" s="0" t="n">
        <v>0.58</v>
      </c>
      <c r="M1181" s="0" t="n">
        <v>0.75</v>
      </c>
      <c r="N1181" s="0" t="n">
        <v>0</v>
      </c>
      <c r="O1181" s="0" t="n">
        <v>368.82</v>
      </c>
    </row>
    <row r="1182" customFormat="false" ht="15" hidden="false" customHeight="false" outlineLevel="0" collapsed="false">
      <c r="A1182" s="0" t="s">
        <v>268</v>
      </c>
      <c r="B1182" s="0" t="s">
        <v>506</v>
      </c>
      <c r="C1182" s="0" t="n">
        <v>2017</v>
      </c>
      <c r="D1182" s="0" t="n">
        <v>9588144</v>
      </c>
      <c r="E1182" s="0" t="n">
        <v>9.38</v>
      </c>
      <c r="F1182" s="0" t="n">
        <v>0</v>
      </c>
      <c r="G1182" s="0" t="n">
        <v>0</v>
      </c>
      <c r="H1182" s="0" t="n">
        <v>4</v>
      </c>
      <c r="I1182" s="0" t="n">
        <v>0</v>
      </c>
      <c r="J1182" s="0" t="n">
        <v>2.97</v>
      </c>
      <c r="K1182" s="0" t="n">
        <v>0.93</v>
      </c>
      <c r="L1182" s="0" t="n">
        <v>0.58</v>
      </c>
      <c r="M1182" s="0" t="n">
        <v>0.81</v>
      </c>
      <c r="N1182" s="0" t="n">
        <v>0.09</v>
      </c>
      <c r="O1182" s="0" t="n">
        <v>311.3</v>
      </c>
    </row>
    <row r="1183" customFormat="false" ht="15" hidden="false" customHeight="false" outlineLevel="0" collapsed="false">
      <c r="A1183" s="0" t="s">
        <v>268</v>
      </c>
      <c r="B1183" s="0" t="s">
        <v>506</v>
      </c>
      <c r="C1183" s="0" t="n">
        <v>2018</v>
      </c>
      <c r="D1183" s="0" t="n">
        <v>9765209</v>
      </c>
      <c r="E1183" s="0" t="n">
        <v>9.71</v>
      </c>
      <c r="F1183" s="0" t="n">
        <v>0</v>
      </c>
      <c r="G1183" s="0" t="n">
        <v>0</v>
      </c>
      <c r="H1183" s="0" t="n">
        <v>3.61</v>
      </c>
      <c r="I1183" s="0" t="n">
        <v>0</v>
      </c>
      <c r="J1183" s="0" t="n">
        <v>3.15</v>
      </c>
      <c r="K1183" s="0" t="n">
        <v>1</v>
      </c>
      <c r="L1183" s="0" t="n">
        <v>0.93</v>
      </c>
      <c r="M1183" s="0" t="n">
        <v>0.72</v>
      </c>
      <c r="N1183" s="0" t="n">
        <v>0.3</v>
      </c>
      <c r="O1183" s="0" t="n">
        <v>276</v>
      </c>
    </row>
    <row r="1184" customFormat="false" ht="15" hidden="false" customHeight="false" outlineLevel="0" collapsed="false">
      <c r="A1184" s="0" t="s">
        <v>268</v>
      </c>
      <c r="B1184" s="0" t="s">
        <v>506</v>
      </c>
      <c r="C1184" s="0" t="n">
        <v>2019</v>
      </c>
      <c r="D1184" s="0" t="n">
        <v>9943637</v>
      </c>
      <c r="E1184" s="0" t="n">
        <v>10.66</v>
      </c>
      <c r="F1184" s="0" t="n">
        <v>0.05</v>
      </c>
      <c r="G1184" s="0" t="n">
        <v>0</v>
      </c>
      <c r="H1184" s="0" t="n">
        <v>4.97</v>
      </c>
      <c r="I1184" s="0" t="n">
        <v>0</v>
      </c>
      <c r="J1184" s="0" t="n">
        <v>2.43</v>
      </c>
      <c r="K1184" s="0" t="n">
        <v>1.12</v>
      </c>
      <c r="L1184" s="0" t="n">
        <v>0.82</v>
      </c>
      <c r="M1184" s="0" t="n">
        <v>0.97</v>
      </c>
      <c r="N1184" s="0" t="n">
        <v>0.3</v>
      </c>
      <c r="O1184" s="0" t="n">
        <v>342.4</v>
      </c>
    </row>
    <row r="1185" customFormat="false" ht="15" hidden="false" customHeight="false" outlineLevel="0" collapsed="false">
      <c r="A1185" s="0" t="s">
        <v>268</v>
      </c>
      <c r="B1185" s="0" t="s">
        <v>506</v>
      </c>
      <c r="C1185" s="0" t="n">
        <v>2020</v>
      </c>
      <c r="D1185" s="0" t="n">
        <v>10119638</v>
      </c>
      <c r="E1185" s="0" t="n">
        <v>10.14</v>
      </c>
      <c r="F1185" s="0" t="n">
        <v>0.05</v>
      </c>
      <c r="G1185" s="0" t="n">
        <v>0</v>
      </c>
      <c r="H1185" s="0" t="n">
        <v>4.55</v>
      </c>
      <c r="I1185" s="0" t="n">
        <v>0</v>
      </c>
      <c r="J1185" s="0" t="n">
        <v>2.7</v>
      </c>
      <c r="K1185" s="0" t="n">
        <v>1.11</v>
      </c>
      <c r="L1185" s="0" t="n">
        <v>0.71</v>
      </c>
      <c r="M1185" s="0" t="n">
        <v>0.71</v>
      </c>
      <c r="N1185" s="0" t="n">
        <v>0.31</v>
      </c>
      <c r="O1185" s="0" t="n">
        <v>326.43</v>
      </c>
    </row>
    <row r="1186" customFormat="false" ht="15" hidden="false" customHeight="false" outlineLevel="0" collapsed="false">
      <c r="A1186" s="0" t="s">
        <v>268</v>
      </c>
      <c r="B1186" s="0" t="s">
        <v>506</v>
      </c>
      <c r="C1186" s="0" t="n">
        <v>2021</v>
      </c>
      <c r="D1186" s="0" t="n">
        <v>10289881</v>
      </c>
      <c r="E1186" s="0" t="n">
        <v>11.12</v>
      </c>
      <c r="F1186" s="0" t="n">
        <v>0.06</v>
      </c>
      <c r="G1186" s="0" t="n">
        <v>0</v>
      </c>
      <c r="H1186" s="0" t="n">
        <v>4.23</v>
      </c>
      <c r="I1186" s="0" t="n">
        <v>0</v>
      </c>
      <c r="J1186" s="0" t="n">
        <v>3.77</v>
      </c>
      <c r="K1186" s="0" t="n">
        <v>1.14</v>
      </c>
      <c r="L1186" s="0" t="n">
        <v>0.77</v>
      </c>
      <c r="M1186" s="0" t="n">
        <v>0.8</v>
      </c>
      <c r="N1186" s="0" t="n">
        <v>0.35</v>
      </c>
      <c r="O1186" s="0" t="n">
        <v>284.17</v>
      </c>
    </row>
    <row r="1187" customFormat="false" ht="15" hidden="false" customHeight="false" outlineLevel="0" collapsed="false">
      <c r="A1187" s="0" t="s">
        <v>268</v>
      </c>
      <c r="B1187" s="0" t="s">
        <v>506</v>
      </c>
      <c r="C1187" s="0" t="n">
        <v>2022</v>
      </c>
      <c r="D1187" s="0" t="n">
        <v>10463880</v>
      </c>
      <c r="E1187" s="0" t="n">
        <v>11.33</v>
      </c>
      <c r="F1187" s="0" t="n">
        <v>0.07</v>
      </c>
      <c r="G1187" s="0" t="n">
        <v>0</v>
      </c>
      <c r="H1187" s="0" t="n">
        <v>4.5</v>
      </c>
      <c r="I1187" s="0" t="n">
        <v>0</v>
      </c>
      <c r="J1187" s="0" t="n">
        <v>3.88</v>
      </c>
      <c r="K1187" s="0" t="n">
        <v>1.04</v>
      </c>
      <c r="L1187" s="0" t="n">
        <v>0.69</v>
      </c>
      <c r="M1187" s="0" t="n">
        <v>0.81</v>
      </c>
      <c r="N1187" s="0" t="n">
        <v>0.34</v>
      </c>
      <c r="O1187" s="0" t="n">
        <v>296.56</v>
      </c>
    </row>
    <row r="1188" customFormat="false" ht="15" hidden="false" customHeight="false" outlineLevel="0" collapsed="false">
      <c r="A1188" s="0" t="s">
        <v>268</v>
      </c>
      <c r="B1188" s="0" t="s">
        <v>506</v>
      </c>
      <c r="C1188" s="0" t="n">
        <v>2023</v>
      </c>
      <c r="D1188" s="0" t="n">
        <v>10644853</v>
      </c>
      <c r="E1188" s="0" t="n">
        <v>12.49</v>
      </c>
      <c r="F1188" s="0" t="n">
        <v>0.06</v>
      </c>
      <c r="G1188" s="0" t="n">
        <v>0</v>
      </c>
      <c r="H1188" s="0" t="n">
        <v>5.64</v>
      </c>
      <c r="I1188" s="0" t="n">
        <v>0</v>
      </c>
      <c r="J1188" s="0" t="n">
        <v>3.88</v>
      </c>
      <c r="K1188" s="0" t="n">
        <v>1.04</v>
      </c>
      <c r="L1188" s="0" t="n">
        <v>0.69</v>
      </c>
      <c r="M1188" s="0" t="n">
        <v>0.83</v>
      </c>
      <c r="N1188" s="0" t="n">
        <v>0.35</v>
      </c>
      <c r="O1188" s="0" t="n">
        <v>328.26</v>
      </c>
    </row>
    <row r="1189" customFormat="false" ht="15" hidden="false" customHeight="false" outlineLevel="0" collapsed="false">
      <c r="A1189" s="0" t="s">
        <v>268</v>
      </c>
      <c r="B1189" s="0" t="s">
        <v>506</v>
      </c>
      <c r="C1189" s="0" t="n">
        <v>2024</v>
      </c>
      <c r="D1189" s="0" t="n">
        <v>10825704</v>
      </c>
      <c r="E1189" s="0" t="n">
        <v>12.48</v>
      </c>
      <c r="F1189" s="0" t="n">
        <v>0.06</v>
      </c>
      <c r="G1189" s="0" t="n">
        <v>0</v>
      </c>
      <c r="H1189" s="0" t="n">
        <v>5.5</v>
      </c>
      <c r="I1189" s="0" t="n">
        <v>0</v>
      </c>
      <c r="J1189" s="0" t="n">
        <v>3.8</v>
      </c>
      <c r="K1189" s="0" t="n">
        <v>1.18</v>
      </c>
      <c r="L1189" s="0" t="n">
        <v>0.75</v>
      </c>
      <c r="M1189" s="0" t="n">
        <v>0.84</v>
      </c>
      <c r="N1189" s="0" t="n">
        <v>0.35</v>
      </c>
      <c r="O1189" s="0" t="n">
        <v>322.12</v>
      </c>
    </row>
    <row r="1190" customFormat="false" ht="15" hidden="false" customHeight="false" outlineLevel="0" collapsed="false">
      <c r="A1190" s="0" t="s">
        <v>269</v>
      </c>
      <c r="B1190" s="0" t="s">
        <v>507</v>
      </c>
      <c r="C1190" s="0" t="n">
        <v>2015</v>
      </c>
      <c r="D1190" s="0" t="n">
        <v>7366411</v>
      </c>
      <c r="E1190" s="0" t="n">
        <v>37.86</v>
      </c>
      <c r="F1190" s="0" t="n">
        <v>24.89</v>
      </c>
      <c r="G1190" s="0" t="n">
        <v>12.67</v>
      </c>
      <c r="H1190" s="0" t="n">
        <v>0.23</v>
      </c>
      <c r="I1190" s="0" t="n">
        <v>0</v>
      </c>
      <c r="J1190" s="0" t="n">
        <v>0</v>
      </c>
      <c r="K1190" s="0" t="n">
        <v>0</v>
      </c>
      <c r="L1190" s="0" t="n">
        <v>0</v>
      </c>
      <c r="M1190" s="0" t="n">
        <v>0.07</v>
      </c>
      <c r="N1190" s="0" t="n">
        <v>0</v>
      </c>
      <c r="O1190" s="0" t="n">
        <v>814.84</v>
      </c>
    </row>
    <row r="1191" customFormat="false" ht="15" hidden="false" customHeight="false" outlineLevel="0" collapsed="false">
      <c r="A1191" s="0" t="s">
        <v>269</v>
      </c>
      <c r="B1191" s="0" t="s">
        <v>507</v>
      </c>
      <c r="C1191" s="0" t="n">
        <v>2016</v>
      </c>
      <c r="D1191" s="0" t="n">
        <v>7408006</v>
      </c>
      <c r="E1191" s="0" t="n">
        <v>38.12</v>
      </c>
      <c r="F1191" s="0" t="n">
        <v>25.12</v>
      </c>
      <c r="G1191" s="0" t="n">
        <v>12.5</v>
      </c>
      <c r="H1191" s="0" t="n">
        <v>0.36</v>
      </c>
      <c r="I1191" s="0" t="n">
        <v>0</v>
      </c>
      <c r="J1191" s="0" t="n">
        <v>0</v>
      </c>
      <c r="K1191" s="0" t="n">
        <v>0</v>
      </c>
      <c r="L1191" s="0" t="n">
        <v>0</v>
      </c>
      <c r="M1191" s="0" t="n">
        <v>0.14</v>
      </c>
      <c r="N1191" s="0" t="n">
        <v>0</v>
      </c>
      <c r="O1191" s="0" t="n">
        <v>815.32</v>
      </c>
    </row>
    <row r="1192" customFormat="false" ht="15" hidden="false" customHeight="false" outlineLevel="0" collapsed="false">
      <c r="A1192" s="0" t="s">
        <v>269</v>
      </c>
      <c r="B1192" s="0" t="s">
        <v>507</v>
      </c>
      <c r="C1192" s="0" t="n">
        <v>2017</v>
      </c>
      <c r="D1192" s="0" t="n">
        <v>7444889</v>
      </c>
      <c r="E1192" s="0" t="n">
        <v>36.94</v>
      </c>
      <c r="F1192" s="0" t="n">
        <v>23.94</v>
      </c>
      <c r="G1192" s="0" t="n">
        <v>12.44</v>
      </c>
      <c r="H1192" s="0" t="n">
        <v>0.41</v>
      </c>
      <c r="I1192" s="0" t="n">
        <v>0</v>
      </c>
      <c r="J1192" s="0" t="n">
        <v>0</v>
      </c>
      <c r="K1192" s="0" t="n">
        <v>0.01</v>
      </c>
      <c r="L1192" s="0" t="n">
        <v>0</v>
      </c>
      <c r="M1192" s="0" t="n">
        <v>0.14</v>
      </c>
      <c r="N1192" s="0" t="n">
        <v>0</v>
      </c>
      <c r="O1192" s="0" t="n">
        <v>810.5</v>
      </c>
    </row>
    <row r="1193" customFormat="false" ht="15" hidden="false" customHeight="false" outlineLevel="0" collapsed="false">
      <c r="A1193" s="0" t="s">
        <v>269</v>
      </c>
      <c r="B1193" s="0" t="s">
        <v>507</v>
      </c>
      <c r="C1193" s="0" t="n">
        <v>2018</v>
      </c>
      <c r="D1193" s="0" t="n">
        <v>7471190</v>
      </c>
      <c r="E1193" s="0" t="n">
        <v>36.57</v>
      </c>
      <c r="F1193" s="0" t="n">
        <v>21.99</v>
      </c>
      <c r="G1193" s="0" t="n">
        <v>14.14</v>
      </c>
      <c r="H1193" s="0" t="n">
        <v>0.29</v>
      </c>
      <c r="I1193" s="0" t="n">
        <v>0</v>
      </c>
      <c r="J1193" s="0" t="n">
        <v>0</v>
      </c>
      <c r="K1193" s="0" t="n">
        <v>0.01</v>
      </c>
      <c r="L1193" s="0" t="n">
        <v>0</v>
      </c>
      <c r="M1193" s="0" t="n">
        <v>0.14</v>
      </c>
      <c r="N1193" s="0" t="n">
        <v>0</v>
      </c>
      <c r="O1193" s="0" t="n">
        <v>790.27</v>
      </c>
    </row>
    <row r="1194" customFormat="false" ht="15" hidden="false" customHeight="false" outlineLevel="0" collapsed="false">
      <c r="A1194" s="0" t="s">
        <v>269</v>
      </c>
      <c r="B1194" s="0" t="s">
        <v>507</v>
      </c>
      <c r="C1194" s="0" t="n">
        <v>2019</v>
      </c>
      <c r="D1194" s="0" t="n">
        <v>7485817</v>
      </c>
      <c r="E1194" s="0" t="n">
        <v>36.94</v>
      </c>
      <c r="F1194" s="0" t="n">
        <v>21.06</v>
      </c>
      <c r="G1194" s="0" t="n">
        <v>15.54</v>
      </c>
      <c r="H1194" s="0" t="n">
        <v>0.18</v>
      </c>
      <c r="I1194" s="0" t="n">
        <v>0</v>
      </c>
      <c r="J1194" s="0" t="n">
        <v>0</v>
      </c>
      <c r="K1194" s="0" t="n">
        <v>0.02</v>
      </c>
      <c r="L1194" s="0" t="n">
        <v>0</v>
      </c>
      <c r="M1194" s="0" t="n">
        <v>0.14</v>
      </c>
      <c r="N1194" s="0" t="n">
        <v>0</v>
      </c>
      <c r="O1194" s="0" t="n">
        <v>776.67</v>
      </c>
    </row>
    <row r="1195" customFormat="false" ht="15" hidden="false" customHeight="false" outlineLevel="0" collapsed="false">
      <c r="A1195" s="0" t="s">
        <v>269</v>
      </c>
      <c r="B1195" s="0" t="s">
        <v>507</v>
      </c>
      <c r="C1195" s="0" t="n">
        <v>2020</v>
      </c>
      <c r="D1195" s="0" t="n">
        <v>7490240</v>
      </c>
      <c r="E1195" s="0" t="n">
        <v>34.35</v>
      </c>
      <c r="F1195" s="0" t="n">
        <v>12.13</v>
      </c>
      <c r="G1195" s="0" t="n">
        <v>21.87</v>
      </c>
      <c r="H1195" s="0" t="n">
        <v>0.16</v>
      </c>
      <c r="I1195" s="0" t="n">
        <v>0</v>
      </c>
      <c r="J1195" s="0" t="n">
        <v>0</v>
      </c>
      <c r="K1195" s="0" t="n">
        <v>0.05</v>
      </c>
      <c r="L1195" s="0" t="n">
        <v>0</v>
      </c>
      <c r="M1195" s="0" t="n">
        <v>0.14</v>
      </c>
      <c r="N1195" s="0" t="n">
        <v>0</v>
      </c>
      <c r="O1195" s="0" t="n">
        <v>684.13</v>
      </c>
    </row>
    <row r="1196" customFormat="false" ht="15" hidden="false" customHeight="false" outlineLevel="0" collapsed="false">
      <c r="A1196" s="0" t="s">
        <v>269</v>
      </c>
      <c r="B1196" s="0" t="s">
        <v>507</v>
      </c>
      <c r="C1196" s="0" t="n">
        <v>2021</v>
      </c>
      <c r="D1196" s="0" t="n">
        <v>7484604</v>
      </c>
      <c r="E1196" s="0" t="n">
        <v>36.22</v>
      </c>
      <c r="F1196" s="0" t="n">
        <v>13.5</v>
      </c>
      <c r="G1196" s="0" t="n">
        <v>22.26</v>
      </c>
      <c r="H1196" s="0" t="n">
        <v>0.2</v>
      </c>
      <c r="I1196" s="0" t="n">
        <v>0</v>
      </c>
      <c r="J1196" s="0" t="n">
        <v>0</v>
      </c>
      <c r="K1196" s="0" t="n">
        <v>0.12</v>
      </c>
      <c r="L1196" s="0" t="n">
        <v>0</v>
      </c>
      <c r="M1196" s="0" t="n">
        <v>0.14</v>
      </c>
      <c r="N1196" s="0" t="n">
        <v>0</v>
      </c>
      <c r="O1196" s="0" t="n">
        <v>691.61</v>
      </c>
    </row>
    <row r="1197" customFormat="false" ht="15" hidden="false" customHeight="false" outlineLevel="0" collapsed="false">
      <c r="A1197" s="0" t="s">
        <v>269</v>
      </c>
      <c r="B1197" s="0" t="s">
        <v>507</v>
      </c>
      <c r="C1197" s="0" t="n">
        <v>2022</v>
      </c>
      <c r="D1197" s="0" t="n">
        <v>7465913</v>
      </c>
      <c r="E1197" s="0" t="n">
        <v>36.1</v>
      </c>
      <c r="F1197" s="0" t="n">
        <v>12.73</v>
      </c>
      <c r="G1197" s="0" t="n">
        <v>22.84</v>
      </c>
      <c r="H1197" s="0" t="n">
        <v>0.2</v>
      </c>
      <c r="I1197" s="0" t="n">
        <v>0</v>
      </c>
      <c r="J1197" s="0" t="n">
        <v>0</v>
      </c>
      <c r="K1197" s="0" t="n">
        <v>0.18</v>
      </c>
      <c r="L1197" s="0" t="n">
        <v>0</v>
      </c>
      <c r="M1197" s="0" t="n">
        <v>0.15</v>
      </c>
      <c r="N1197" s="0" t="n">
        <v>0</v>
      </c>
      <c r="O1197" s="0" t="n">
        <v>682.27</v>
      </c>
    </row>
    <row r="1198" customFormat="false" ht="15" hidden="false" customHeight="false" outlineLevel="0" collapsed="false">
      <c r="A1198" s="0" t="s">
        <v>269</v>
      </c>
      <c r="B1198" s="0" t="s">
        <v>507</v>
      </c>
      <c r="C1198" s="0" t="n">
        <v>2023</v>
      </c>
      <c r="D1198" s="0" t="n">
        <v>7442738</v>
      </c>
      <c r="E1198" s="0" t="n">
        <v>37.75</v>
      </c>
      <c r="F1198" s="0" t="n">
        <v>12.56</v>
      </c>
      <c r="G1198" s="0" t="n">
        <v>24.39</v>
      </c>
      <c r="H1198" s="0" t="n">
        <v>0.44</v>
      </c>
      <c r="I1198" s="0" t="n">
        <v>0</v>
      </c>
      <c r="J1198" s="0" t="n">
        <v>0</v>
      </c>
      <c r="K1198" s="0" t="n">
        <v>0.2</v>
      </c>
      <c r="L1198" s="0" t="n">
        <v>0</v>
      </c>
      <c r="M1198" s="0" t="n">
        <v>0.16</v>
      </c>
      <c r="N1198" s="0" t="n">
        <v>0</v>
      </c>
      <c r="O1198" s="0" t="n">
        <v>674.44</v>
      </c>
    </row>
    <row r="1199" customFormat="false" ht="15" hidden="false" customHeight="false" outlineLevel="0" collapsed="false">
      <c r="A1199" s="0" t="s">
        <v>269</v>
      </c>
      <c r="B1199" s="0" t="s">
        <v>507</v>
      </c>
      <c r="C1199" s="0" t="n">
        <v>2024</v>
      </c>
      <c r="D1199" s="0" t="n">
        <v>7414914</v>
      </c>
      <c r="E1199" s="0" t="n">
        <v>37.44</v>
      </c>
      <c r="F1199" s="0" t="n">
        <v>12.6</v>
      </c>
      <c r="G1199" s="0" t="n">
        <v>24</v>
      </c>
      <c r="H1199" s="0" t="n">
        <v>0.45</v>
      </c>
      <c r="I1199" s="0" t="n">
        <v>0</v>
      </c>
      <c r="J1199" s="0" t="n">
        <v>0</v>
      </c>
      <c r="K1199" s="0" t="n">
        <v>0.23</v>
      </c>
      <c r="L1199" s="0" t="n">
        <v>0</v>
      </c>
      <c r="M1199" s="0" t="n">
        <v>0.16</v>
      </c>
      <c r="N1199" s="0" t="n">
        <v>0</v>
      </c>
      <c r="O1199" s="0" t="n">
        <v>675.48</v>
      </c>
    </row>
    <row r="1200" customFormat="false" ht="15" hidden="false" customHeight="false" outlineLevel="0" collapsed="false">
      <c r="A1200" s="0" t="s">
        <v>270</v>
      </c>
      <c r="B1200" s="0" t="s">
        <v>508</v>
      </c>
      <c r="C1200" s="0" t="n">
        <v>2015</v>
      </c>
      <c r="D1200" s="0" t="n">
        <v>9839211</v>
      </c>
      <c r="E1200" s="0" t="n">
        <v>30.33</v>
      </c>
      <c r="F1200" s="0" t="n">
        <v>5.79</v>
      </c>
      <c r="G1200" s="0" t="n">
        <v>5.11</v>
      </c>
      <c r="H1200" s="0" t="n">
        <v>0.38</v>
      </c>
      <c r="I1200" s="0" t="n">
        <v>15.83</v>
      </c>
      <c r="J1200" s="0" t="n">
        <v>0.23</v>
      </c>
      <c r="K1200" s="0" t="n">
        <v>0.14</v>
      </c>
      <c r="L1200" s="0" t="n">
        <v>0.69</v>
      </c>
      <c r="M1200" s="0" t="n">
        <v>2.16</v>
      </c>
      <c r="N1200" s="0" t="n">
        <v>0</v>
      </c>
      <c r="O1200" s="0" t="n">
        <v>299.04</v>
      </c>
    </row>
    <row r="1201" customFormat="false" ht="15" hidden="false" customHeight="false" outlineLevel="0" collapsed="false">
      <c r="A1201" s="0" t="s">
        <v>270</v>
      </c>
      <c r="B1201" s="0" t="s">
        <v>508</v>
      </c>
      <c r="C1201" s="0" t="n">
        <v>2016</v>
      </c>
      <c r="D1201" s="0" t="n">
        <v>9810529</v>
      </c>
      <c r="E1201" s="0" t="n">
        <v>31.88</v>
      </c>
      <c r="F1201" s="0" t="n">
        <v>5.63</v>
      </c>
      <c r="G1201" s="0" t="n">
        <v>6.48</v>
      </c>
      <c r="H1201" s="0" t="n">
        <v>0.47</v>
      </c>
      <c r="I1201" s="0" t="n">
        <v>16.05</v>
      </c>
      <c r="J1201" s="0" t="n">
        <v>0.26</v>
      </c>
      <c r="K1201" s="0" t="n">
        <v>0.24</v>
      </c>
      <c r="L1201" s="0" t="n">
        <v>0.68</v>
      </c>
      <c r="M1201" s="0" t="n">
        <v>2.07</v>
      </c>
      <c r="N1201" s="0" t="n">
        <v>0</v>
      </c>
      <c r="O1201" s="0" t="n">
        <v>300.19</v>
      </c>
    </row>
    <row r="1202" customFormat="false" ht="15" hidden="false" customHeight="false" outlineLevel="0" collapsed="false">
      <c r="A1202" s="0" t="s">
        <v>270</v>
      </c>
      <c r="B1202" s="0" t="s">
        <v>508</v>
      </c>
      <c r="C1202" s="0" t="n">
        <v>2017</v>
      </c>
      <c r="D1202" s="0" t="n">
        <v>9785608</v>
      </c>
      <c r="E1202" s="0" t="n">
        <v>32.92</v>
      </c>
      <c r="F1202" s="0" t="n">
        <v>4.93</v>
      </c>
      <c r="G1202" s="0" t="n">
        <v>7.87</v>
      </c>
      <c r="H1202" s="0" t="n">
        <v>0.54</v>
      </c>
      <c r="I1202" s="0" t="n">
        <v>16.1</v>
      </c>
      <c r="J1202" s="0" t="n">
        <v>0.22</v>
      </c>
      <c r="K1202" s="0" t="n">
        <v>0.35</v>
      </c>
      <c r="L1202" s="0" t="n">
        <v>0.76</v>
      </c>
      <c r="M1202" s="0" t="n">
        <v>2.15</v>
      </c>
      <c r="N1202" s="0" t="n">
        <v>0</v>
      </c>
      <c r="O1202" s="0" t="n">
        <v>290.71</v>
      </c>
    </row>
    <row r="1203" customFormat="false" ht="15" hidden="false" customHeight="false" outlineLevel="0" collapsed="false">
      <c r="A1203" s="0" t="s">
        <v>270</v>
      </c>
      <c r="B1203" s="0" t="s">
        <v>508</v>
      </c>
      <c r="C1203" s="0" t="n">
        <v>2018</v>
      </c>
      <c r="D1203" s="0" t="n">
        <v>9774395</v>
      </c>
      <c r="E1203" s="0" t="n">
        <v>32.05</v>
      </c>
      <c r="F1203" s="0" t="n">
        <v>4.67</v>
      </c>
      <c r="G1203" s="0" t="n">
        <v>7.28</v>
      </c>
      <c r="H1203" s="0" t="n">
        <v>0.6</v>
      </c>
      <c r="I1203" s="0" t="n">
        <v>15.73</v>
      </c>
      <c r="J1203" s="0" t="n">
        <v>0.22</v>
      </c>
      <c r="K1203" s="0" t="n">
        <v>0.63</v>
      </c>
      <c r="L1203" s="0" t="n">
        <v>0.61</v>
      </c>
      <c r="M1203" s="0" t="n">
        <v>2.3</v>
      </c>
      <c r="N1203" s="0" t="n">
        <v>0.01</v>
      </c>
      <c r="O1203" s="0" t="n">
        <v>284.56</v>
      </c>
    </row>
    <row r="1204" customFormat="false" ht="15" hidden="false" customHeight="false" outlineLevel="0" collapsed="false">
      <c r="A1204" s="0" t="s">
        <v>270</v>
      </c>
      <c r="B1204" s="0" t="s">
        <v>508</v>
      </c>
      <c r="C1204" s="0" t="n">
        <v>2019</v>
      </c>
      <c r="D1204" s="0" t="n">
        <v>9770346</v>
      </c>
      <c r="E1204" s="0" t="n">
        <v>34.28</v>
      </c>
      <c r="F1204" s="0" t="n">
        <v>4.03</v>
      </c>
      <c r="G1204" s="0" t="n">
        <v>8.7</v>
      </c>
      <c r="H1204" s="0" t="n">
        <v>0.56</v>
      </c>
      <c r="I1204" s="0" t="n">
        <v>16.29</v>
      </c>
      <c r="J1204" s="0" t="n">
        <v>0.22</v>
      </c>
      <c r="K1204" s="0" t="n">
        <v>1.5</v>
      </c>
      <c r="L1204" s="0" t="n">
        <v>0.73</v>
      </c>
      <c r="M1204" s="0" t="n">
        <v>2.23</v>
      </c>
      <c r="N1204" s="0" t="n">
        <v>0.02</v>
      </c>
      <c r="O1204" s="0" t="n">
        <v>266.04</v>
      </c>
    </row>
    <row r="1205" customFormat="false" ht="15" hidden="false" customHeight="false" outlineLevel="0" collapsed="false">
      <c r="A1205" s="0" t="s">
        <v>270</v>
      </c>
      <c r="B1205" s="0" t="s">
        <v>508</v>
      </c>
      <c r="C1205" s="0" t="n">
        <v>2020</v>
      </c>
      <c r="D1205" s="0" t="n">
        <v>9749459</v>
      </c>
      <c r="E1205" s="0" t="n">
        <v>34.92</v>
      </c>
      <c r="F1205" s="0" t="n">
        <v>3.71</v>
      </c>
      <c r="G1205" s="0" t="n">
        <v>9.09</v>
      </c>
      <c r="H1205" s="0" t="n">
        <v>0.54</v>
      </c>
      <c r="I1205" s="0" t="n">
        <v>16.06</v>
      </c>
      <c r="J1205" s="0" t="n">
        <v>0.24</v>
      </c>
      <c r="K1205" s="0" t="n">
        <v>2.46</v>
      </c>
      <c r="L1205" s="0" t="n">
        <v>0.65</v>
      </c>
      <c r="M1205" s="0" t="n">
        <v>2.15</v>
      </c>
      <c r="N1205" s="0" t="n">
        <v>0.02</v>
      </c>
      <c r="O1205" s="0" t="n">
        <v>257.45</v>
      </c>
    </row>
    <row r="1206" customFormat="false" ht="15" hidden="false" customHeight="false" outlineLevel="0" collapsed="false">
      <c r="A1206" s="0" t="s">
        <v>270</v>
      </c>
      <c r="B1206" s="0" t="s">
        <v>508</v>
      </c>
      <c r="C1206" s="0" t="n">
        <v>2021</v>
      </c>
      <c r="D1206" s="0" t="n">
        <v>9707848</v>
      </c>
      <c r="E1206" s="0" t="n">
        <v>36.1</v>
      </c>
      <c r="F1206" s="0" t="n">
        <v>3.01</v>
      </c>
      <c r="G1206" s="0" t="n">
        <v>9.65</v>
      </c>
      <c r="H1206" s="0" t="n">
        <v>0.54</v>
      </c>
      <c r="I1206" s="0" t="n">
        <v>15.99</v>
      </c>
      <c r="J1206" s="0" t="n">
        <v>0.21</v>
      </c>
      <c r="K1206" s="0" t="n">
        <v>3.8</v>
      </c>
      <c r="L1206" s="0" t="n">
        <v>0.66</v>
      </c>
      <c r="M1206" s="0" t="n">
        <v>2.23</v>
      </c>
      <c r="N1206" s="0" t="n">
        <v>0.01</v>
      </c>
      <c r="O1206" s="0" t="n">
        <v>238.5</v>
      </c>
    </row>
    <row r="1207" customFormat="false" ht="15" hidden="false" customHeight="false" outlineLevel="0" collapsed="false">
      <c r="A1207" s="0" t="s">
        <v>270</v>
      </c>
      <c r="B1207" s="0" t="s">
        <v>508</v>
      </c>
      <c r="C1207" s="0" t="n">
        <v>2022</v>
      </c>
      <c r="D1207" s="0" t="n">
        <v>9684308</v>
      </c>
      <c r="E1207" s="0" t="n">
        <v>35.78</v>
      </c>
      <c r="F1207" s="0" t="n">
        <v>2.99</v>
      </c>
      <c r="G1207" s="0" t="n">
        <v>8.87</v>
      </c>
      <c r="H1207" s="0" t="n">
        <v>0.45</v>
      </c>
      <c r="I1207" s="0" t="n">
        <v>15.81</v>
      </c>
      <c r="J1207" s="0" t="n">
        <v>0.18</v>
      </c>
      <c r="K1207" s="0" t="n">
        <v>4.73</v>
      </c>
      <c r="L1207" s="0" t="n">
        <v>0.61</v>
      </c>
      <c r="M1207" s="0" t="n">
        <v>2.14</v>
      </c>
      <c r="N1207" s="0" t="n">
        <v>0</v>
      </c>
      <c r="O1207" s="0" t="n">
        <v>228.9</v>
      </c>
    </row>
    <row r="1208" customFormat="false" ht="15" hidden="false" customHeight="false" outlineLevel="0" collapsed="false">
      <c r="A1208" s="0" t="s">
        <v>270</v>
      </c>
      <c r="B1208" s="0" t="s">
        <v>508</v>
      </c>
      <c r="C1208" s="0" t="n">
        <v>2023</v>
      </c>
      <c r="D1208" s="0" t="n">
        <v>9686465</v>
      </c>
      <c r="E1208" s="0" t="n">
        <v>35.54</v>
      </c>
      <c r="F1208" s="0" t="n">
        <v>2.49</v>
      </c>
      <c r="G1208" s="0" t="n">
        <v>7.28</v>
      </c>
      <c r="H1208" s="0" t="n">
        <v>0.47</v>
      </c>
      <c r="I1208" s="0" t="n">
        <v>15.92</v>
      </c>
      <c r="J1208" s="0" t="n">
        <v>0.22</v>
      </c>
      <c r="K1208" s="0" t="n">
        <v>6.93</v>
      </c>
      <c r="L1208" s="0" t="n">
        <v>0.65</v>
      </c>
      <c r="M1208" s="0" t="n">
        <v>1.56</v>
      </c>
      <c r="N1208" s="0" t="n">
        <v>0.02</v>
      </c>
      <c r="O1208" s="0" t="n">
        <v>196.12</v>
      </c>
    </row>
    <row r="1209" customFormat="false" ht="15" hidden="false" customHeight="false" outlineLevel="0" collapsed="false">
      <c r="A1209" s="0" t="s">
        <v>270</v>
      </c>
      <c r="B1209" s="0" t="s">
        <v>508</v>
      </c>
      <c r="C1209" s="0" t="n">
        <v>2024</v>
      </c>
      <c r="D1209" s="0" t="n">
        <v>9676135</v>
      </c>
      <c r="E1209" s="0" t="n">
        <v>38</v>
      </c>
      <c r="F1209" s="0" t="n">
        <v>2.44</v>
      </c>
      <c r="G1209" s="0" t="n">
        <v>7.13</v>
      </c>
      <c r="H1209" s="0" t="n">
        <v>0.45</v>
      </c>
      <c r="I1209" s="0" t="n">
        <v>16.02</v>
      </c>
      <c r="J1209" s="0" t="n">
        <v>0.23</v>
      </c>
      <c r="K1209" s="0" t="n">
        <v>9.2</v>
      </c>
      <c r="L1209" s="0" t="n">
        <v>0.69</v>
      </c>
      <c r="M1209" s="0" t="n">
        <v>1.83</v>
      </c>
      <c r="N1209" s="0" t="n">
        <v>0.01</v>
      </c>
      <c r="O1209" s="0" t="n">
        <v>184.47</v>
      </c>
    </row>
    <row r="1210" customFormat="false" ht="15" hidden="false" customHeight="false" outlineLevel="0" collapsed="false">
      <c r="A1210" s="0" t="s">
        <v>270</v>
      </c>
      <c r="B1210" s="0" t="s">
        <v>508</v>
      </c>
      <c r="C1210" s="0" t="n">
        <v>2025</v>
      </c>
      <c r="D1210" s="0" t="n">
        <v>9632286</v>
      </c>
      <c r="E1210" s="0" t="n">
        <v>40.24</v>
      </c>
      <c r="F1210" s="0" t="n">
        <v>1.38</v>
      </c>
      <c r="G1210" s="0" t="n">
        <v>8.15</v>
      </c>
      <c r="H1210" s="0" t="n">
        <v>0.4</v>
      </c>
      <c r="I1210" s="0" t="n">
        <v>16.1</v>
      </c>
      <c r="J1210" s="0" t="n">
        <v>0.23</v>
      </c>
      <c r="K1210" s="0" t="n">
        <v>10.98</v>
      </c>
      <c r="L1210" s="0" t="n">
        <v>0.6</v>
      </c>
      <c r="M1210" s="0" t="n">
        <v>2.39</v>
      </c>
      <c r="N1210" s="0" t="n">
        <v>0.01</v>
      </c>
      <c r="O1210" s="0" t="n">
        <v>163.02</v>
      </c>
    </row>
    <row r="1211" customFormat="false" ht="15" hidden="false" customHeight="false" outlineLevel="0" collapsed="false">
      <c r="A1211" s="0" t="s">
        <v>271</v>
      </c>
      <c r="B1211" s="0" t="s">
        <v>509</v>
      </c>
      <c r="C1211" s="0" t="n">
        <v>2015</v>
      </c>
      <c r="D1211" s="0" t="n">
        <v>330962</v>
      </c>
      <c r="E1211" s="0" t="n">
        <v>18.55</v>
      </c>
      <c r="F1211" s="0" t="n">
        <v>0</v>
      </c>
      <c r="G1211" s="0" t="n">
        <v>0</v>
      </c>
      <c r="H1211" s="0" t="n">
        <v>0</v>
      </c>
      <c r="I1211" s="0" t="n">
        <v>0</v>
      </c>
      <c r="J1211" s="0" t="n">
        <v>13.54</v>
      </c>
      <c r="K1211" s="0" t="n">
        <v>0</v>
      </c>
      <c r="L1211" s="0" t="n">
        <v>0.01</v>
      </c>
      <c r="M1211" s="0" t="n">
        <v>0</v>
      </c>
      <c r="N1211" s="0" t="n">
        <v>5</v>
      </c>
      <c r="O1211" s="0" t="n">
        <v>27.49</v>
      </c>
    </row>
    <row r="1212" customFormat="false" ht="15" hidden="false" customHeight="false" outlineLevel="0" collapsed="false">
      <c r="A1212" s="0" t="s">
        <v>271</v>
      </c>
      <c r="B1212" s="0" t="s">
        <v>509</v>
      </c>
      <c r="C1212" s="0" t="n">
        <v>2016</v>
      </c>
      <c r="D1212" s="0" t="n">
        <v>335571</v>
      </c>
      <c r="E1212" s="0" t="n">
        <v>18.17</v>
      </c>
      <c r="F1212" s="0" t="n">
        <v>0</v>
      </c>
      <c r="G1212" s="0" t="n">
        <v>0</v>
      </c>
      <c r="H1212" s="0" t="n">
        <v>0</v>
      </c>
      <c r="I1212" s="0" t="n">
        <v>0</v>
      </c>
      <c r="J1212" s="0" t="n">
        <v>13.09</v>
      </c>
      <c r="K1212" s="0" t="n">
        <v>0</v>
      </c>
      <c r="L1212" s="0" t="n">
        <v>0.01</v>
      </c>
      <c r="M1212" s="0" t="n">
        <v>0</v>
      </c>
      <c r="N1212" s="0" t="n">
        <v>5.07</v>
      </c>
      <c r="O1212" s="0" t="n">
        <v>27.52</v>
      </c>
    </row>
    <row r="1213" customFormat="false" ht="15" hidden="false" customHeight="false" outlineLevel="0" collapsed="false">
      <c r="A1213" s="0" t="s">
        <v>271</v>
      </c>
      <c r="B1213" s="0" t="s">
        <v>509</v>
      </c>
      <c r="C1213" s="0" t="n">
        <v>2017</v>
      </c>
      <c r="D1213" s="0" t="n">
        <v>343537</v>
      </c>
      <c r="E1213" s="0" t="n">
        <v>19.07</v>
      </c>
      <c r="F1213" s="0" t="n">
        <v>0</v>
      </c>
      <c r="G1213" s="0" t="n">
        <v>0</v>
      </c>
      <c r="H1213" s="0" t="n">
        <v>0</v>
      </c>
      <c r="I1213" s="0" t="n">
        <v>0</v>
      </c>
      <c r="J1213" s="0" t="n">
        <v>13.89</v>
      </c>
      <c r="K1213" s="0" t="n">
        <v>0</v>
      </c>
      <c r="L1213" s="0" t="n">
        <v>0.01</v>
      </c>
      <c r="M1213" s="0" t="n">
        <v>0</v>
      </c>
      <c r="N1213" s="0" t="n">
        <v>5.17</v>
      </c>
      <c r="O1213" s="0" t="n">
        <v>27.27</v>
      </c>
    </row>
    <row r="1214" customFormat="false" ht="15" hidden="false" customHeight="false" outlineLevel="0" collapsed="false">
      <c r="A1214" s="0" t="s">
        <v>271</v>
      </c>
      <c r="B1214" s="0" t="s">
        <v>509</v>
      </c>
      <c r="C1214" s="0" t="n">
        <v>2018</v>
      </c>
      <c r="D1214" s="0" t="n">
        <v>352860</v>
      </c>
      <c r="E1214" s="0" t="n">
        <v>19.69</v>
      </c>
      <c r="F1214" s="0" t="n">
        <v>0</v>
      </c>
      <c r="G1214" s="0" t="n">
        <v>0</v>
      </c>
      <c r="H1214" s="0" t="n">
        <v>0</v>
      </c>
      <c r="I1214" s="0" t="n">
        <v>0</v>
      </c>
      <c r="J1214" s="0" t="n">
        <v>13.68</v>
      </c>
      <c r="K1214" s="0" t="n">
        <v>0</v>
      </c>
      <c r="L1214" s="0" t="n">
        <v>0</v>
      </c>
      <c r="M1214" s="0" t="n">
        <v>0</v>
      </c>
      <c r="N1214" s="0" t="n">
        <v>6.01</v>
      </c>
      <c r="O1214" s="0" t="n">
        <v>28.44</v>
      </c>
    </row>
    <row r="1215" customFormat="false" ht="15" hidden="false" customHeight="false" outlineLevel="0" collapsed="false">
      <c r="A1215" s="0" t="s">
        <v>271</v>
      </c>
      <c r="B1215" s="0" t="s">
        <v>509</v>
      </c>
      <c r="C1215" s="0" t="n">
        <v>2019</v>
      </c>
      <c r="D1215" s="0" t="n">
        <v>360709</v>
      </c>
      <c r="E1215" s="0" t="n">
        <v>19.36</v>
      </c>
      <c r="F1215" s="0" t="n">
        <v>0</v>
      </c>
      <c r="G1215" s="0" t="n">
        <v>0</v>
      </c>
      <c r="H1215" s="0" t="n">
        <v>0</v>
      </c>
      <c r="I1215" s="0" t="n">
        <v>0</v>
      </c>
      <c r="J1215" s="0" t="n">
        <v>13.33</v>
      </c>
      <c r="K1215" s="0" t="n">
        <v>0</v>
      </c>
      <c r="L1215" s="0" t="n">
        <v>0.01</v>
      </c>
      <c r="M1215" s="0" t="n">
        <v>0</v>
      </c>
      <c r="N1215" s="0" t="n">
        <v>6.02</v>
      </c>
      <c r="O1215" s="0" t="n">
        <v>28.41</v>
      </c>
    </row>
    <row r="1216" customFormat="false" ht="15" hidden="false" customHeight="false" outlineLevel="0" collapsed="false">
      <c r="A1216" s="0" t="s">
        <v>271</v>
      </c>
      <c r="B1216" s="0" t="s">
        <v>509</v>
      </c>
      <c r="C1216" s="0" t="n">
        <v>2020</v>
      </c>
      <c r="D1216" s="0" t="n">
        <v>366626</v>
      </c>
      <c r="E1216" s="0" t="n">
        <v>18.89</v>
      </c>
      <c r="F1216" s="0" t="n">
        <v>0</v>
      </c>
      <c r="G1216" s="0" t="n">
        <v>0</v>
      </c>
      <c r="H1216" s="0" t="n">
        <v>0</v>
      </c>
      <c r="I1216" s="0" t="n">
        <v>0</v>
      </c>
      <c r="J1216" s="0" t="n">
        <v>12.92</v>
      </c>
      <c r="K1216" s="0" t="n">
        <v>0</v>
      </c>
      <c r="L1216" s="0" t="n">
        <v>0.01</v>
      </c>
      <c r="M1216" s="0" t="n">
        <v>0</v>
      </c>
      <c r="N1216" s="0" t="n">
        <v>5.96</v>
      </c>
      <c r="O1216" s="0" t="n">
        <v>28.06</v>
      </c>
    </row>
    <row r="1217" customFormat="false" ht="15" hidden="false" customHeight="false" outlineLevel="0" collapsed="false">
      <c r="A1217" s="0" t="s">
        <v>271</v>
      </c>
      <c r="B1217" s="0" t="s">
        <v>509</v>
      </c>
      <c r="C1217" s="0" t="n">
        <v>2021</v>
      </c>
      <c r="D1217" s="0" t="n">
        <v>372647</v>
      </c>
      <c r="E1217" s="0" t="n">
        <v>19.39</v>
      </c>
      <c r="F1217" s="0" t="n">
        <v>0</v>
      </c>
      <c r="G1217" s="0" t="n">
        <v>0</v>
      </c>
      <c r="H1217" s="0" t="n">
        <v>0</v>
      </c>
      <c r="I1217" s="0" t="n">
        <v>0</v>
      </c>
      <c r="J1217" s="0" t="n">
        <v>13.58</v>
      </c>
      <c r="K1217" s="0" t="n">
        <v>0</v>
      </c>
      <c r="L1217" s="0" t="n">
        <v>0.01</v>
      </c>
      <c r="M1217" s="0" t="n">
        <v>0</v>
      </c>
      <c r="N1217" s="0" t="n">
        <v>5.8</v>
      </c>
      <c r="O1217" s="0" t="n">
        <v>27.85</v>
      </c>
    </row>
    <row r="1218" customFormat="false" ht="15" hidden="false" customHeight="false" outlineLevel="0" collapsed="false">
      <c r="A1218" s="0" t="s">
        <v>271</v>
      </c>
      <c r="B1218" s="0" t="s">
        <v>509</v>
      </c>
      <c r="C1218" s="0" t="n">
        <v>2022</v>
      </c>
      <c r="D1218" s="0" t="n">
        <v>380368</v>
      </c>
      <c r="E1218" s="0" t="n">
        <v>19.87</v>
      </c>
      <c r="F1218" s="0" t="n">
        <v>0</v>
      </c>
      <c r="G1218" s="0" t="n">
        <v>0</v>
      </c>
      <c r="H1218" s="0" t="n">
        <v>0</v>
      </c>
      <c r="I1218" s="0" t="n">
        <v>0</v>
      </c>
      <c r="J1218" s="0" t="n">
        <v>13.94</v>
      </c>
      <c r="K1218" s="0" t="n">
        <v>0</v>
      </c>
      <c r="L1218" s="0" t="n">
        <v>0.01</v>
      </c>
      <c r="M1218" s="0" t="n">
        <v>0</v>
      </c>
      <c r="N1218" s="0" t="n">
        <v>5.92</v>
      </c>
      <c r="O1218" s="0" t="n">
        <v>27.68</v>
      </c>
    </row>
    <row r="1219" customFormat="false" ht="15" hidden="false" customHeight="false" outlineLevel="0" collapsed="false">
      <c r="A1219" s="0" t="s">
        <v>271</v>
      </c>
      <c r="B1219" s="0" t="s">
        <v>509</v>
      </c>
      <c r="C1219" s="0" t="n">
        <v>2023</v>
      </c>
      <c r="D1219" s="0" t="n">
        <v>387559</v>
      </c>
      <c r="E1219" s="0" t="n">
        <v>19.81</v>
      </c>
      <c r="F1219" s="0" t="n">
        <v>0</v>
      </c>
      <c r="G1219" s="0" t="n">
        <v>0</v>
      </c>
      <c r="H1219" s="0" t="n">
        <v>0</v>
      </c>
      <c r="I1219" s="0" t="n">
        <v>0</v>
      </c>
      <c r="J1219" s="0" t="n">
        <v>14.1</v>
      </c>
      <c r="K1219" s="0" t="n">
        <v>0</v>
      </c>
      <c r="L1219" s="0" t="n">
        <v>0.01</v>
      </c>
      <c r="M1219" s="0" t="n">
        <v>0</v>
      </c>
      <c r="N1219" s="0" t="n">
        <v>5.7</v>
      </c>
      <c r="O1219" s="0" t="n">
        <v>27.76</v>
      </c>
    </row>
    <row r="1220" customFormat="false" ht="15" hidden="false" customHeight="false" outlineLevel="0" collapsed="false">
      <c r="A1220" s="0" t="s">
        <v>271</v>
      </c>
      <c r="B1220" s="0" t="s">
        <v>509</v>
      </c>
      <c r="C1220" s="0" t="n">
        <v>2024</v>
      </c>
      <c r="D1220" s="0" t="n">
        <v>393404</v>
      </c>
      <c r="E1220" s="0" t="n">
        <v>19.05</v>
      </c>
      <c r="F1220" s="0" t="n">
        <v>0</v>
      </c>
      <c r="G1220" s="0" t="n">
        <v>0</v>
      </c>
      <c r="H1220" s="0" t="n">
        <v>0</v>
      </c>
      <c r="I1220" s="0" t="n">
        <v>0</v>
      </c>
      <c r="J1220" s="0" t="n">
        <v>13.46</v>
      </c>
      <c r="K1220" s="0" t="n">
        <v>0.01</v>
      </c>
      <c r="L1220" s="0" t="n">
        <v>0.01</v>
      </c>
      <c r="M1220" s="0" t="n">
        <v>0</v>
      </c>
      <c r="N1220" s="0" t="n">
        <v>5.57</v>
      </c>
      <c r="O1220" s="0" t="n">
        <v>27.82</v>
      </c>
    </row>
    <row r="1221" customFormat="false" ht="15" hidden="false" customHeight="false" outlineLevel="0" collapsed="false">
      <c r="A1221" s="0" t="s">
        <v>84</v>
      </c>
      <c r="B1221" s="0" t="s">
        <v>510</v>
      </c>
      <c r="C1221" s="0" t="n">
        <v>2015</v>
      </c>
      <c r="D1221" s="0" t="n">
        <v>1328024494</v>
      </c>
      <c r="E1221" s="0" t="n">
        <v>1310.56</v>
      </c>
      <c r="F1221" s="0" t="n">
        <v>1006.55</v>
      </c>
      <c r="G1221" s="0" t="n">
        <v>64.77</v>
      </c>
      <c r="H1221" s="0" t="n">
        <v>9.26</v>
      </c>
      <c r="I1221" s="0" t="n">
        <v>38.31</v>
      </c>
      <c r="J1221" s="0" t="n">
        <v>133.48</v>
      </c>
      <c r="K1221" s="0" t="n">
        <v>7.09</v>
      </c>
      <c r="L1221" s="0" t="n">
        <v>32.74</v>
      </c>
      <c r="M1221" s="0" t="n">
        <v>18.36</v>
      </c>
      <c r="O1221" s="0" t="n">
        <v>750.63</v>
      </c>
    </row>
    <row r="1222" customFormat="false" ht="15" hidden="false" customHeight="false" outlineLevel="0" collapsed="false">
      <c r="A1222" s="0" t="s">
        <v>84</v>
      </c>
      <c r="B1222" s="0" t="s">
        <v>510</v>
      </c>
      <c r="C1222" s="0" t="n">
        <v>2016</v>
      </c>
      <c r="D1222" s="0" t="n">
        <v>1343944296</v>
      </c>
      <c r="E1222" s="0" t="n">
        <v>1394.93</v>
      </c>
      <c r="F1222" s="0" t="n">
        <v>1073.6</v>
      </c>
      <c r="G1222" s="0" t="n">
        <v>72.62</v>
      </c>
      <c r="H1222" s="0" t="n">
        <v>9.41</v>
      </c>
      <c r="I1222" s="0" t="n">
        <v>37.9</v>
      </c>
      <c r="J1222" s="0" t="n">
        <v>128.55</v>
      </c>
      <c r="K1222" s="0" t="n">
        <v>12.2</v>
      </c>
      <c r="L1222" s="0" t="n">
        <v>43.45</v>
      </c>
      <c r="M1222" s="0" t="n">
        <v>17.2</v>
      </c>
      <c r="O1222" s="0" t="n">
        <v>751.87</v>
      </c>
    </row>
    <row r="1223" customFormat="false" ht="15" hidden="false" customHeight="false" outlineLevel="0" collapsed="false">
      <c r="A1223" s="0" t="s">
        <v>84</v>
      </c>
      <c r="B1223" s="0" t="s">
        <v>510</v>
      </c>
      <c r="C1223" s="0" t="n">
        <v>2017</v>
      </c>
      <c r="D1223" s="0" t="n">
        <v>1359657398</v>
      </c>
      <c r="E1223" s="0" t="n">
        <v>1462.39</v>
      </c>
      <c r="F1223" s="0" t="n">
        <v>1115.24</v>
      </c>
      <c r="G1223" s="0" t="n">
        <v>74.99</v>
      </c>
      <c r="H1223" s="0" t="n">
        <v>8.79</v>
      </c>
      <c r="I1223" s="0" t="n">
        <v>37.41</v>
      </c>
      <c r="J1223" s="0" t="n">
        <v>135.98</v>
      </c>
      <c r="K1223" s="0" t="n">
        <v>22.36</v>
      </c>
      <c r="L1223" s="0" t="n">
        <v>52.63</v>
      </c>
      <c r="M1223" s="0" t="n">
        <v>14.99</v>
      </c>
      <c r="O1223" s="0" t="n">
        <v>743.09</v>
      </c>
    </row>
    <row r="1224" customFormat="false" ht="15" hidden="false" customHeight="false" outlineLevel="0" collapsed="false">
      <c r="A1224" s="0" t="s">
        <v>84</v>
      </c>
      <c r="B1224" s="0" t="s">
        <v>510</v>
      </c>
      <c r="C1224" s="0" t="n">
        <v>2018</v>
      </c>
      <c r="D1224" s="0" t="n">
        <v>1374659067</v>
      </c>
      <c r="E1224" s="0" t="n">
        <v>1571.65</v>
      </c>
      <c r="F1224" s="0" t="n">
        <v>1198.86</v>
      </c>
      <c r="G1224" s="0" t="n">
        <v>71.26</v>
      </c>
      <c r="H1224" s="0" t="n">
        <v>6.4</v>
      </c>
      <c r="I1224" s="0" t="n">
        <v>39.05</v>
      </c>
      <c r="J1224" s="0" t="n">
        <v>139.92</v>
      </c>
      <c r="K1224" s="0" t="n">
        <v>37.45</v>
      </c>
      <c r="L1224" s="0" t="n">
        <v>60.31</v>
      </c>
      <c r="M1224" s="0" t="n">
        <v>18.4</v>
      </c>
      <c r="O1224" s="0" t="n">
        <v>737.72</v>
      </c>
    </row>
    <row r="1225" customFormat="false" ht="15" hidden="false" customHeight="false" outlineLevel="0" collapsed="false">
      <c r="A1225" s="0" t="s">
        <v>84</v>
      </c>
      <c r="B1225" s="0" t="s">
        <v>510</v>
      </c>
      <c r="C1225" s="0" t="n">
        <v>2019</v>
      </c>
      <c r="D1225" s="0" t="n">
        <v>1389030307</v>
      </c>
      <c r="E1225" s="0" t="n">
        <v>1600.98</v>
      </c>
      <c r="F1225" s="0" t="n">
        <v>1198.76</v>
      </c>
      <c r="G1225" s="0" t="n">
        <v>71.95</v>
      </c>
      <c r="H1225" s="0" t="n">
        <v>3.07</v>
      </c>
      <c r="I1225" s="0" t="n">
        <v>45.16</v>
      </c>
      <c r="J1225" s="0" t="n">
        <v>162.29</v>
      </c>
      <c r="K1225" s="0" t="n">
        <v>37.45</v>
      </c>
      <c r="L1225" s="0" t="n">
        <v>63.31</v>
      </c>
      <c r="M1225" s="0" t="n">
        <v>18.99</v>
      </c>
      <c r="O1225" s="0" t="n">
        <v>722.66</v>
      </c>
    </row>
    <row r="1226" customFormat="false" ht="15" hidden="false" customHeight="false" outlineLevel="0" collapsed="false">
      <c r="A1226" s="0" t="s">
        <v>84</v>
      </c>
      <c r="B1226" s="0" t="s">
        <v>510</v>
      </c>
      <c r="C1226" s="0" t="n">
        <v>2020</v>
      </c>
      <c r="D1226" s="0" t="n">
        <v>1402617694</v>
      </c>
      <c r="E1226" s="0" t="n">
        <v>1563.43</v>
      </c>
      <c r="F1226" s="0" t="n">
        <v>1143.78</v>
      </c>
      <c r="G1226" s="0" t="n">
        <v>74.79</v>
      </c>
      <c r="H1226" s="0" t="n">
        <v>3.09</v>
      </c>
      <c r="I1226" s="0" t="n">
        <v>44.61</v>
      </c>
      <c r="J1226" s="0" t="n">
        <v>163.94</v>
      </c>
      <c r="K1226" s="0" t="n">
        <v>52.91</v>
      </c>
      <c r="L1226" s="0" t="n">
        <v>60.43</v>
      </c>
      <c r="M1226" s="0" t="n">
        <v>19.88</v>
      </c>
      <c r="O1226" s="0" t="n">
        <v>709.06</v>
      </c>
    </row>
    <row r="1227" customFormat="false" ht="15" hidden="false" customHeight="false" outlineLevel="0" collapsed="false">
      <c r="A1227" s="0" t="s">
        <v>84</v>
      </c>
      <c r="B1227" s="0" t="s">
        <v>510</v>
      </c>
      <c r="C1227" s="0" t="n">
        <v>2021</v>
      </c>
      <c r="D1227" s="0" t="n">
        <v>1414203896</v>
      </c>
      <c r="E1227" s="0" t="n">
        <v>1678.72</v>
      </c>
      <c r="F1227" s="0" t="n">
        <v>1255.56</v>
      </c>
      <c r="G1227" s="0" t="n">
        <v>60.4</v>
      </c>
      <c r="H1227" s="0" t="n">
        <v>3.39</v>
      </c>
      <c r="I1227" s="0" t="n">
        <v>43.92</v>
      </c>
      <c r="J1227" s="0" t="n">
        <v>160.57</v>
      </c>
      <c r="K1227" s="0" t="n">
        <v>65.59</v>
      </c>
      <c r="L1227" s="0" t="n">
        <v>68.09</v>
      </c>
      <c r="M1227" s="0" t="n">
        <v>21.2</v>
      </c>
      <c r="O1227" s="0" t="n">
        <v>715.34</v>
      </c>
    </row>
    <row r="1228" customFormat="false" ht="15" hidden="false" customHeight="false" outlineLevel="0" collapsed="false">
      <c r="A1228" s="0" t="s">
        <v>84</v>
      </c>
      <c r="B1228" s="0" t="s">
        <v>510</v>
      </c>
      <c r="C1228" s="0" t="n">
        <v>2022</v>
      </c>
      <c r="D1228" s="0" t="n">
        <v>1425423209</v>
      </c>
      <c r="E1228" s="0" t="n">
        <v>1804.61</v>
      </c>
      <c r="F1228" s="0" t="n">
        <v>1344.42</v>
      </c>
      <c r="G1228" s="0" t="n">
        <v>46.17</v>
      </c>
      <c r="H1228" s="0" t="n">
        <v>3.48</v>
      </c>
      <c r="I1228" s="0" t="n">
        <v>46.19</v>
      </c>
      <c r="J1228" s="0" t="n">
        <v>175.09</v>
      </c>
      <c r="K1228" s="0" t="n">
        <v>95.92</v>
      </c>
      <c r="L1228" s="0" t="n">
        <v>70.05</v>
      </c>
      <c r="M1228" s="0" t="n">
        <v>23.29</v>
      </c>
      <c r="O1228" s="0" t="n">
        <v>705.75</v>
      </c>
    </row>
    <row r="1229" customFormat="false" ht="15" hidden="false" customHeight="false" outlineLevel="0" collapsed="false">
      <c r="A1229" s="0" t="s">
        <v>84</v>
      </c>
      <c r="B1229" s="0" t="s">
        <v>510</v>
      </c>
      <c r="C1229" s="0" t="n">
        <v>2023</v>
      </c>
      <c r="D1229" s="0" t="n">
        <v>1438069597</v>
      </c>
      <c r="E1229" s="0" t="n">
        <v>1918.26</v>
      </c>
      <c r="F1229" s="0" t="n">
        <v>1445.44</v>
      </c>
      <c r="G1229" s="0" t="n">
        <v>50.8</v>
      </c>
      <c r="H1229" s="0" t="n">
        <v>3.85</v>
      </c>
      <c r="I1229" s="0" t="n">
        <v>48.2</v>
      </c>
      <c r="J1229" s="0" t="n">
        <v>149.43</v>
      </c>
      <c r="K1229" s="0" t="n">
        <v>115.42</v>
      </c>
      <c r="L1229" s="0" t="n">
        <v>82.11</v>
      </c>
      <c r="M1229" s="0" t="n">
        <v>23.01</v>
      </c>
      <c r="O1229" s="0" t="n">
        <v>713.36</v>
      </c>
    </row>
    <row r="1230" customFormat="false" ht="15" hidden="false" customHeight="false" outlineLevel="0" collapsed="false">
      <c r="A1230" s="0" t="s">
        <v>84</v>
      </c>
      <c r="B1230" s="0" t="s">
        <v>510</v>
      </c>
      <c r="C1230" s="0" t="n">
        <v>2024</v>
      </c>
      <c r="D1230" s="0" t="n">
        <v>1450935785</v>
      </c>
      <c r="E1230" s="0" t="n">
        <v>2036.52</v>
      </c>
      <c r="F1230" s="0" t="n">
        <v>1517.9</v>
      </c>
      <c r="G1230" s="0" t="n">
        <v>56.44</v>
      </c>
      <c r="H1230" s="0" t="n">
        <v>4.09</v>
      </c>
      <c r="I1230" s="0" t="n">
        <v>54.7</v>
      </c>
      <c r="J1230" s="0" t="n">
        <v>156.53</v>
      </c>
      <c r="K1230" s="0" t="n">
        <v>143.07</v>
      </c>
      <c r="L1230" s="0" t="n">
        <v>81.54</v>
      </c>
      <c r="M1230" s="0" t="n">
        <v>22.25</v>
      </c>
      <c r="O1230" s="0" t="n">
        <v>705.4</v>
      </c>
    </row>
    <row r="1231" customFormat="false" ht="15" hidden="false" customHeight="false" outlineLevel="0" collapsed="false">
      <c r="A1231" s="0" t="s">
        <v>84</v>
      </c>
      <c r="B1231" s="0" t="s">
        <v>510</v>
      </c>
      <c r="C1231" s="0" t="n">
        <v>2025</v>
      </c>
      <c r="D1231" s="0" t="n">
        <v>1463865527</v>
      </c>
      <c r="E1231" s="0" t="n">
        <v>2081.6</v>
      </c>
      <c r="F1231" s="0" t="n">
        <v>1474.15</v>
      </c>
      <c r="G1231" s="0" t="n">
        <v>48.54</v>
      </c>
      <c r="H1231" s="0" t="n">
        <v>4.1</v>
      </c>
      <c r="I1231" s="0" t="n">
        <v>53.83</v>
      </c>
      <c r="J1231" s="0" t="n">
        <v>177.97</v>
      </c>
      <c r="K1231" s="0" t="n">
        <v>195.99</v>
      </c>
      <c r="L1231" s="0" t="n">
        <v>103.98</v>
      </c>
      <c r="M1231" s="0" t="n">
        <v>23.04</v>
      </c>
      <c r="O1231" s="0" t="n">
        <v>670.13</v>
      </c>
    </row>
    <row r="1232" customFormat="false" ht="15" hidden="false" customHeight="false" outlineLevel="0" collapsed="false">
      <c r="A1232" s="0" t="s">
        <v>272</v>
      </c>
      <c r="B1232" s="0" t="s">
        <v>511</v>
      </c>
      <c r="C1232" s="0" t="n">
        <v>2015</v>
      </c>
      <c r="D1232" s="0" t="n">
        <v>261799249</v>
      </c>
      <c r="E1232" s="0" t="n">
        <v>243.28</v>
      </c>
      <c r="F1232" s="0" t="n">
        <v>124.66</v>
      </c>
      <c r="G1232" s="0" t="n">
        <v>54.14</v>
      </c>
      <c r="H1232" s="0" t="n">
        <v>30.92</v>
      </c>
      <c r="I1232" s="0" t="n">
        <v>0</v>
      </c>
      <c r="J1232" s="0" t="n">
        <v>13.74</v>
      </c>
      <c r="K1232" s="0" t="n">
        <v>0.01</v>
      </c>
      <c r="L1232" s="0" t="n">
        <v>0</v>
      </c>
      <c r="M1232" s="0" t="n">
        <v>9.75</v>
      </c>
      <c r="N1232" s="0" t="n">
        <v>10.06</v>
      </c>
      <c r="O1232" s="0" t="n">
        <v>696.32</v>
      </c>
    </row>
    <row r="1233" customFormat="false" ht="15" hidden="false" customHeight="false" outlineLevel="0" collapsed="false">
      <c r="A1233" s="0" t="s">
        <v>272</v>
      </c>
      <c r="B1233" s="0" t="s">
        <v>511</v>
      </c>
      <c r="C1233" s="0" t="n">
        <v>2016</v>
      </c>
      <c r="D1233" s="0" t="n">
        <v>264627429</v>
      </c>
      <c r="E1233" s="0" t="n">
        <v>257.55</v>
      </c>
      <c r="F1233" s="0" t="n">
        <v>135.38</v>
      </c>
      <c r="G1233" s="0" t="n">
        <v>61.79</v>
      </c>
      <c r="H1233" s="0" t="n">
        <v>20.8</v>
      </c>
      <c r="I1233" s="0" t="n">
        <v>0</v>
      </c>
      <c r="J1233" s="0" t="n">
        <v>18.68</v>
      </c>
      <c r="K1233" s="0" t="n">
        <v>0.02</v>
      </c>
      <c r="L1233" s="0" t="n">
        <v>0.01</v>
      </c>
      <c r="M1233" s="0" t="n">
        <v>10.21</v>
      </c>
      <c r="N1233" s="0" t="n">
        <v>10.66</v>
      </c>
      <c r="O1233" s="0" t="n">
        <v>689.03</v>
      </c>
    </row>
    <row r="1234" customFormat="false" ht="15" hidden="false" customHeight="false" outlineLevel="0" collapsed="false">
      <c r="A1234" s="0" t="s">
        <v>272</v>
      </c>
      <c r="B1234" s="0" t="s">
        <v>511</v>
      </c>
      <c r="C1234" s="0" t="n">
        <v>2017</v>
      </c>
      <c r="D1234" s="0" t="n">
        <v>267346654</v>
      </c>
      <c r="E1234" s="0" t="n">
        <v>265.83</v>
      </c>
      <c r="F1234" s="0" t="n">
        <v>147.96</v>
      </c>
      <c r="G1234" s="0" t="n">
        <v>55.83</v>
      </c>
      <c r="H1234" s="0" t="n">
        <v>18.85</v>
      </c>
      <c r="I1234" s="0" t="n">
        <v>0</v>
      </c>
      <c r="J1234" s="0" t="n">
        <v>18.63</v>
      </c>
      <c r="K1234" s="0" t="n">
        <v>0.03</v>
      </c>
      <c r="L1234" s="0" t="n">
        <v>0</v>
      </c>
      <c r="M1234" s="0" t="n">
        <v>11.47</v>
      </c>
      <c r="N1234" s="0" t="n">
        <v>13.06</v>
      </c>
      <c r="O1234" s="0" t="n">
        <v>688.49</v>
      </c>
    </row>
    <row r="1235" customFormat="false" ht="15" hidden="false" customHeight="false" outlineLevel="0" collapsed="false">
      <c r="A1235" s="0" t="s">
        <v>272</v>
      </c>
      <c r="B1235" s="0" t="s">
        <v>511</v>
      </c>
      <c r="C1235" s="0" t="n">
        <v>2018</v>
      </c>
      <c r="D1235" s="0" t="n">
        <v>269951847</v>
      </c>
      <c r="E1235" s="0" t="n">
        <v>283.79</v>
      </c>
      <c r="F1235" s="0" t="n">
        <v>160.01</v>
      </c>
      <c r="G1235" s="0" t="n">
        <v>57.45</v>
      </c>
      <c r="H1235" s="0" t="n">
        <v>17.95</v>
      </c>
      <c r="I1235" s="0" t="n">
        <v>0</v>
      </c>
      <c r="J1235" s="0" t="n">
        <v>21.64</v>
      </c>
      <c r="K1235" s="0" t="n">
        <v>0.09</v>
      </c>
      <c r="L1235" s="0" t="n">
        <v>0.19</v>
      </c>
      <c r="M1235" s="0" t="n">
        <v>12.13</v>
      </c>
      <c r="N1235" s="0" t="n">
        <v>14.33</v>
      </c>
      <c r="O1235" s="0" t="n">
        <v>684.06</v>
      </c>
    </row>
    <row r="1236" customFormat="false" ht="15" hidden="false" customHeight="false" outlineLevel="0" collapsed="false">
      <c r="A1236" s="0" t="s">
        <v>272</v>
      </c>
      <c r="B1236" s="0" t="s">
        <v>511</v>
      </c>
      <c r="C1236" s="0" t="n">
        <v>2019</v>
      </c>
      <c r="D1236" s="0" t="n">
        <v>272489381</v>
      </c>
      <c r="E1236" s="0" t="n">
        <v>295.44</v>
      </c>
      <c r="F1236" s="0" t="n">
        <v>174.49</v>
      </c>
      <c r="G1236" s="0" t="n">
        <v>62.32</v>
      </c>
      <c r="H1236" s="0" t="n">
        <v>10.59</v>
      </c>
      <c r="I1236" s="0" t="n">
        <v>0</v>
      </c>
      <c r="J1236" s="0" t="n">
        <v>21.16</v>
      </c>
      <c r="K1236" s="0" t="n">
        <v>0.12</v>
      </c>
      <c r="L1236" s="0" t="n">
        <v>0.48</v>
      </c>
      <c r="M1236" s="0" t="n">
        <v>12.17</v>
      </c>
      <c r="N1236" s="0" t="n">
        <v>14.11</v>
      </c>
      <c r="O1236" s="0" t="n">
        <v>693.81</v>
      </c>
    </row>
    <row r="1237" customFormat="false" ht="15" hidden="false" customHeight="false" outlineLevel="0" collapsed="false">
      <c r="A1237" s="0" t="s">
        <v>272</v>
      </c>
      <c r="B1237" s="0" t="s">
        <v>511</v>
      </c>
      <c r="C1237" s="0" t="n">
        <v>2020</v>
      </c>
      <c r="D1237" s="0" t="n">
        <v>274814861</v>
      </c>
      <c r="E1237" s="0" t="n">
        <v>291.82</v>
      </c>
      <c r="F1237" s="0" t="n">
        <v>180.87</v>
      </c>
      <c r="G1237" s="0" t="n">
        <v>51.28</v>
      </c>
      <c r="H1237" s="0" t="n">
        <v>6.78</v>
      </c>
      <c r="I1237" s="0" t="n">
        <v>0</v>
      </c>
      <c r="J1237" s="0" t="n">
        <v>24.33</v>
      </c>
      <c r="K1237" s="0" t="n">
        <v>0.17</v>
      </c>
      <c r="L1237" s="0" t="n">
        <v>0.47</v>
      </c>
      <c r="M1237" s="0" t="n">
        <v>12.35</v>
      </c>
      <c r="N1237" s="0" t="n">
        <v>15.57</v>
      </c>
      <c r="O1237" s="0" t="n">
        <v>685.15</v>
      </c>
    </row>
    <row r="1238" customFormat="false" ht="15" hidden="false" customHeight="false" outlineLevel="0" collapsed="false">
      <c r="A1238" s="0" t="s">
        <v>272</v>
      </c>
      <c r="B1238" s="0" t="s">
        <v>511</v>
      </c>
      <c r="C1238" s="0" t="n">
        <v>2021</v>
      </c>
      <c r="D1238" s="0" t="n">
        <v>276758056</v>
      </c>
      <c r="E1238" s="0" t="n">
        <v>309.36</v>
      </c>
      <c r="F1238" s="0" t="n">
        <v>189.96</v>
      </c>
      <c r="G1238" s="0" t="n">
        <v>56.53</v>
      </c>
      <c r="H1238" s="0" t="n">
        <v>6.67</v>
      </c>
      <c r="I1238" s="0" t="n">
        <v>0</v>
      </c>
      <c r="J1238" s="0" t="n">
        <v>24.7</v>
      </c>
      <c r="K1238" s="0" t="n">
        <v>0.19</v>
      </c>
      <c r="L1238" s="0" t="n">
        <v>0.44</v>
      </c>
      <c r="M1238" s="0" t="n">
        <v>14.96</v>
      </c>
      <c r="N1238" s="0" t="n">
        <v>15.91</v>
      </c>
      <c r="O1238" s="0" t="n">
        <v>684.41</v>
      </c>
    </row>
    <row r="1239" customFormat="false" ht="15" hidden="false" customHeight="false" outlineLevel="0" collapsed="false">
      <c r="A1239" s="0" t="s">
        <v>272</v>
      </c>
      <c r="B1239" s="0" t="s">
        <v>511</v>
      </c>
      <c r="C1239" s="0" t="n">
        <v>2022</v>
      </c>
      <c r="D1239" s="0" t="n">
        <v>278830527</v>
      </c>
      <c r="E1239" s="0" t="n">
        <v>333.54</v>
      </c>
      <c r="F1239" s="0" t="n">
        <v>205.31</v>
      </c>
      <c r="G1239" s="0" t="n">
        <v>56.71</v>
      </c>
      <c r="H1239" s="0" t="n">
        <v>6.11</v>
      </c>
      <c r="I1239" s="0" t="n">
        <v>0</v>
      </c>
      <c r="J1239" s="0" t="n">
        <v>27.3</v>
      </c>
      <c r="K1239" s="0" t="n">
        <v>0.44</v>
      </c>
      <c r="L1239" s="0" t="n">
        <v>0.36</v>
      </c>
      <c r="M1239" s="0" t="n">
        <v>20.62</v>
      </c>
      <c r="N1239" s="0" t="n">
        <v>16.69</v>
      </c>
      <c r="O1239" s="0" t="n">
        <v>675.81</v>
      </c>
    </row>
    <row r="1240" customFormat="false" ht="15" hidden="false" customHeight="false" outlineLevel="0" collapsed="false">
      <c r="A1240" s="0" t="s">
        <v>272</v>
      </c>
      <c r="B1240" s="0" t="s">
        <v>511</v>
      </c>
      <c r="C1240" s="0" t="n">
        <v>2023</v>
      </c>
      <c r="D1240" s="0" t="n">
        <v>281190068</v>
      </c>
      <c r="E1240" s="0" t="n">
        <v>350.6</v>
      </c>
      <c r="F1240" s="0" t="n">
        <v>216.78</v>
      </c>
      <c r="G1240" s="0" t="n">
        <v>62.04</v>
      </c>
      <c r="H1240" s="0" t="n">
        <v>6.58</v>
      </c>
      <c r="I1240" s="0" t="n">
        <v>0</v>
      </c>
      <c r="J1240" s="0" t="n">
        <v>24.59</v>
      </c>
      <c r="K1240" s="0" t="n">
        <v>0.71</v>
      </c>
      <c r="L1240" s="0" t="n">
        <v>0.48</v>
      </c>
      <c r="M1240" s="0" t="n">
        <v>22.48</v>
      </c>
      <c r="N1240" s="0" t="n">
        <v>16.94</v>
      </c>
      <c r="O1240" s="0" t="n">
        <v>680.8</v>
      </c>
    </row>
    <row r="1241" customFormat="false" ht="15" hidden="false" customHeight="false" outlineLevel="0" collapsed="false">
      <c r="A1241" s="0" t="s">
        <v>272</v>
      </c>
      <c r="B1241" s="0" t="s">
        <v>511</v>
      </c>
      <c r="C1241" s="0" t="n">
        <v>2024</v>
      </c>
      <c r="D1241" s="0" t="n">
        <v>283487933</v>
      </c>
      <c r="E1241" s="0" t="n">
        <v>371.54</v>
      </c>
      <c r="F1241" s="0" t="n">
        <v>228.43</v>
      </c>
      <c r="G1241" s="0" t="n">
        <v>68.78</v>
      </c>
      <c r="H1241" s="0" t="n">
        <v>7.12</v>
      </c>
      <c r="I1241" s="0" t="n">
        <v>0</v>
      </c>
      <c r="J1241" s="0" t="n">
        <v>27.29</v>
      </c>
      <c r="K1241" s="0" t="n">
        <v>1.35</v>
      </c>
      <c r="L1241" s="0" t="n">
        <v>0.47</v>
      </c>
      <c r="M1241" s="0" t="n">
        <v>21.33</v>
      </c>
      <c r="N1241" s="0" t="n">
        <v>16.77</v>
      </c>
      <c r="O1241" s="0" t="n">
        <v>680.25</v>
      </c>
    </row>
    <row r="1242" customFormat="false" ht="15" hidden="false" customHeight="false" outlineLevel="0" collapsed="false">
      <c r="A1242" s="0" t="s">
        <v>273</v>
      </c>
      <c r="B1242" s="0" t="s">
        <v>512</v>
      </c>
      <c r="C1242" s="0" t="n">
        <v>2015</v>
      </c>
      <c r="D1242" s="0" t="n">
        <v>82619365</v>
      </c>
      <c r="E1242" s="0" t="n">
        <v>280.24</v>
      </c>
      <c r="F1242" s="0" t="n">
        <v>0.46</v>
      </c>
      <c r="G1242" s="0" t="n">
        <v>206.61</v>
      </c>
      <c r="H1242" s="0" t="n">
        <v>56.26</v>
      </c>
      <c r="I1242" s="0" t="n">
        <v>3.5</v>
      </c>
      <c r="J1242" s="0" t="n">
        <v>13.25</v>
      </c>
      <c r="K1242" s="0" t="n">
        <v>0</v>
      </c>
      <c r="L1242" s="0" t="n">
        <v>0.14</v>
      </c>
      <c r="M1242" s="0" t="n">
        <v>0.02</v>
      </c>
      <c r="O1242" s="0" t="n">
        <v>650.84</v>
      </c>
    </row>
    <row r="1243" customFormat="false" ht="15" hidden="false" customHeight="false" outlineLevel="0" collapsed="false">
      <c r="A1243" s="0" t="s">
        <v>273</v>
      </c>
      <c r="B1243" s="0" t="s">
        <v>512</v>
      </c>
      <c r="C1243" s="0" t="n">
        <v>2016</v>
      </c>
      <c r="D1243" s="0" t="n">
        <v>83812230</v>
      </c>
      <c r="E1243" s="0" t="n">
        <v>286.14</v>
      </c>
      <c r="F1243" s="0" t="n">
        <v>0.49</v>
      </c>
      <c r="G1243" s="0" t="n">
        <v>225.32</v>
      </c>
      <c r="H1243" s="0" t="n">
        <v>38.26</v>
      </c>
      <c r="I1243" s="0" t="n">
        <v>6.47</v>
      </c>
      <c r="J1243" s="0" t="n">
        <v>15.42</v>
      </c>
      <c r="K1243" s="0" t="n">
        <v>0</v>
      </c>
      <c r="L1243" s="0" t="n">
        <v>0.16</v>
      </c>
      <c r="M1243" s="0" t="n">
        <v>0.02</v>
      </c>
      <c r="O1243" s="0" t="n">
        <v>642.13</v>
      </c>
    </row>
    <row r="1244" customFormat="false" ht="15" hidden="false" customHeight="false" outlineLevel="0" collapsed="false">
      <c r="A1244" s="0" t="s">
        <v>273</v>
      </c>
      <c r="B1244" s="0" t="s">
        <v>512</v>
      </c>
      <c r="C1244" s="0" t="n">
        <v>2017</v>
      </c>
      <c r="D1244" s="0" t="n">
        <v>85026761</v>
      </c>
      <c r="E1244" s="0" t="n">
        <v>305.17</v>
      </c>
      <c r="F1244" s="0" t="n">
        <v>0.69</v>
      </c>
      <c r="G1244" s="0" t="n">
        <v>252.5</v>
      </c>
      <c r="H1244" s="0" t="n">
        <v>27.36</v>
      </c>
      <c r="I1244" s="0" t="n">
        <v>6.96</v>
      </c>
      <c r="J1244" s="0" t="n">
        <v>17.23</v>
      </c>
      <c r="K1244" s="0" t="n">
        <v>0.09</v>
      </c>
      <c r="L1244" s="0" t="n">
        <v>0.32</v>
      </c>
      <c r="M1244" s="0" t="n">
        <v>0.02</v>
      </c>
      <c r="O1244" s="0" t="n">
        <v>641.68</v>
      </c>
    </row>
    <row r="1245" customFormat="false" ht="15" hidden="false" customHeight="false" outlineLevel="0" collapsed="false">
      <c r="A1245" s="0" t="s">
        <v>273</v>
      </c>
      <c r="B1245" s="0" t="s">
        <v>512</v>
      </c>
      <c r="C1245" s="0" t="n">
        <v>2018</v>
      </c>
      <c r="D1245" s="0" t="n">
        <v>86117999</v>
      </c>
      <c r="E1245" s="0" t="n">
        <v>312.35</v>
      </c>
      <c r="F1245" s="0" t="n">
        <v>0.64</v>
      </c>
      <c r="G1245" s="0" t="n">
        <v>266.29</v>
      </c>
      <c r="H1245" s="0" t="n">
        <v>27.7</v>
      </c>
      <c r="I1245" s="0" t="n">
        <v>6.89</v>
      </c>
      <c r="J1245" s="0" t="n">
        <v>9.84</v>
      </c>
      <c r="K1245" s="0" t="n">
        <v>0.22</v>
      </c>
      <c r="L1245" s="0" t="n">
        <v>0.75</v>
      </c>
      <c r="M1245" s="0" t="n">
        <v>0.02</v>
      </c>
      <c r="O1245" s="0" t="n">
        <v>657.88</v>
      </c>
    </row>
    <row r="1246" customFormat="false" ht="15" hidden="false" customHeight="false" outlineLevel="0" collapsed="false">
      <c r="A1246" s="0" t="s">
        <v>273</v>
      </c>
      <c r="B1246" s="0" t="s">
        <v>512</v>
      </c>
      <c r="C1246" s="0" t="n">
        <v>2019</v>
      </c>
      <c r="D1246" s="0" t="n">
        <v>87051649</v>
      </c>
      <c r="E1246" s="0" t="n">
        <v>318.88</v>
      </c>
      <c r="F1246" s="0" t="n">
        <v>0.81</v>
      </c>
      <c r="G1246" s="0" t="n">
        <v>244.51</v>
      </c>
      <c r="H1246" s="0" t="n">
        <v>32.04</v>
      </c>
      <c r="I1246" s="0" t="n">
        <v>6.41</v>
      </c>
      <c r="J1246" s="0" t="n">
        <v>33.87</v>
      </c>
      <c r="K1246" s="0" t="n">
        <v>0.51</v>
      </c>
      <c r="L1246" s="0" t="n">
        <v>0.72</v>
      </c>
      <c r="M1246" s="0" t="n">
        <v>0.01</v>
      </c>
      <c r="O1246" s="0" t="n">
        <v>607.82</v>
      </c>
    </row>
    <row r="1247" customFormat="false" ht="15" hidden="false" customHeight="false" outlineLevel="0" collapsed="false">
      <c r="A1247" s="0" t="s">
        <v>273</v>
      </c>
      <c r="B1247" s="0" t="s">
        <v>512</v>
      </c>
      <c r="C1247" s="0" t="n">
        <v>2020</v>
      </c>
      <c r="D1247" s="0" t="n">
        <v>87723448</v>
      </c>
      <c r="E1247" s="0" t="n">
        <v>337.21</v>
      </c>
      <c r="F1247" s="0" t="n">
        <v>0.8</v>
      </c>
      <c r="G1247" s="0" t="n">
        <v>268.23</v>
      </c>
      <c r="H1247" s="0" t="n">
        <v>36.92</v>
      </c>
      <c r="I1247" s="0" t="n">
        <v>6.33</v>
      </c>
      <c r="J1247" s="0" t="n">
        <v>23.2</v>
      </c>
      <c r="K1247" s="0" t="n">
        <v>0.58</v>
      </c>
      <c r="L1247" s="0" t="n">
        <v>1.13</v>
      </c>
      <c r="M1247" s="0" t="n">
        <v>0.02</v>
      </c>
      <c r="O1247" s="0" t="n">
        <v>632.81</v>
      </c>
    </row>
    <row r="1248" customFormat="false" ht="15" hidden="false" customHeight="false" outlineLevel="0" collapsed="false">
      <c r="A1248" s="0" t="s">
        <v>273</v>
      </c>
      <c r="B1248" s="0" t="s">
        <v>512</v>
      </c>
      <c r="C1248" s="0" t="n">
        <v>2021</v>
      </c>
      <c r="D1248" s="0" t="n">
        <v>88455490</v>
      </c>
      <c r="E1248" s="0" t="n">
        <v>356.41</v>
      </c>
      <c r="F1248" s="0" t="n">
        <v>0.73</v>
      </c>
      <c r="G1248" s="0" t="n">
        <v>302.18</v>
      </c>
      <c r="H1248" s="0" t="n">
        <v>34.36</v>
      </c>
      <c r="I1248" s="0" t="n">
        <v>3.54</v>
      </c>
      <c r="J1248" s="0" t="n">
        <v>13.83</v>
      </c>
      <c r="K1248" s="0" t="n">
        <v>0.62</v>
      </c>
      <c r="L1248" s="0" t="n">
        <v>1.13</v>
      </c>
      <c r="M1248" s="0" t="n">
        <v>0.02</v>
      </c>
      <c r="O1248" s="0" t="n">
        <v>659.83</v>
      </c>
    </row>
    <row r="1249" customFormat="false" ht="15" hidden="false" customHeight="false" outlineLevel="0" collapsed="false">
      <c r="A1249" s="0" t="s">
        <v>273</v>
      </c>
      <c r="B1249" s="0" t="s">
        <v>512</v>
      </c>
      <c r="C1249" s="0" t="n">
        <v>2022</v>
      </c>
      <c r="D1249" s="0" t="n">
        <v>89524247</v>
      </c>
      <c r="E1249" s="0" t="n">
        <v>367.06</v>
      </c>
      <c r="F1249" s="0" t="n">
        <v>0.71</v>
      </c>
      <c r="G1249" s="0" t="n">
        <v>313.42</v>
      </c>
      <c r="H1249" s="0" t="n">
        <v>30.59</v>
      </c>
      <c r="I1249" s="0" t="n">
        <v>6.57</v>
      </c>
      <c r="J1249" s="0" t="n">
        <v>14</v>
      </c>
      <c r="K1249" s="0" t="n">
        <v>0.62</v>
      </c>
      <c r="L1249" s="0" t="n">
        <v>1.13</v>
      </c>
      <c r="M1249" s="0" t="n">
        <v>0.02</v>
      </c>
      <c r="O1249" s="0" t="n">
        <v>655.37</v>
      </c>
    </row>
    <row r="1250" customFormat="false" ht="15" hidden="false" customHeight="false" outlineLevel="0" collapsed="false">
      <c r="A1250" s="0" t="s">
        <v>273</v>
      </c>
      <c r="B1250" s="0" t="s">
        <v>512</v>
      </c>
      <c r="C1250" s="0" t="n">
        <v>2023</v>
      </c>
      <c r="D1250" s="0" t="n">
        <v>90608708</v>
      </c>
      <c r="E1250" s="0" t="n">
        <v>382.02</v>
      </c>
      <c r="F1250" s="0" t="n">
        <v>0.71</v>
      </c>
      <c r="G1250" s="0" t="n">
        <v>321.96</v>
      </c>
      <c r="H1250" s="0" t="n">
        <v>27.98</v>
      </c>
      <c r="I1250" s="0" t="n">
        <v>6.64</v>
      </c>
      <c r="J1250" s="0" t="n">
        <v>22.82</v>
      </c>
      <c r="K1250" s="0" t="n">
        <v>0.68</v>
      </c>
      <c r="L1250" s="0" t="n">
        <v>1.21</v>
      </c>
      <c r="M1250" s="0" t="n">
        <v>0.02</v>
      </c>
      <c r="O1250" s="0" t="n">
        <v>641.38</v>
      </c>
    </row>
    <row r="1251" customFormat="false" ht="15" hidden="false" customHeight="false" outlineLevel="0" collapsed="false">
      <c r="A1251" s="0" t="s">
        <v>273</v>
      </c>
      <c r="B1251" s="0" t="s">
        <v>512</v>
      </c>
      <c r="C1251" s="0" t="n">
        <v>2024</v>
      </c>
      <c r="D1251" s="0" t="n">
        <v>91567737</v>
      </c>
      <c r="E1251" s="0" t="n">
        <v>395.79</v>
      </c>
      <c r="F1251" s="0" t="n">
        <v>0.73</v>
      </c>
      <c r="G1251" s="0" t="n">
        <v>340.05</v>
      </c>
      <c r="H1251" s="0" t="n">
        <v>26.61</v>
      </c>
      <c r="I1251" s="0" t="n">
        <v>7.35</v>
      </c>
      <c r="J1251" s="0" t="n">
        <v>18.87</v>
      </c>
      <c r="K1251" s="0" t="n">
        <v>0.9</v>
      </c>
      <c r="L1251" s="0" t="n">
        <v>1.25</v>
      </c>
      <c r="M1251" s="0" t="n">
        <v>0.03</v>
      </c>
      <c r="O1251" s="0" t="n">
        <v>648.68</v>
      </c>
    </row>
    <row r="1252" customFormat="false" ht="15" hidden="false" customHeight="false" outlineLevel="0" collapsed="false">
      <c r="A1252" s="0" t="s">
        <v>273</v>
      </c>
      <c r="B1252" s="0" t="s">
        <v>512</v>
      </c>
      <c r="C1252" s="0" t="n">
        <v>2025</v>
      </c>
      <c r="D1252" s="0" t="n">
        <v>92417684</v>
      </c>
      <c r="E1252" s="0" t="n">
        <v>395.78</v>
      </c>
      <c r="F1252" s="0" t="n">
        <v>0.73</v>
      </c>
      <c r="G1252" s="0" t="n">
        <v>354.39</v>
      </c>
      <c r="H1252" s="0" t="n">
        <v>18.1</v>
      </c>
      <c r="I1252" s="0" t="n">
        <v>7.35</v>
      </c>
      <c r="J1252" s="0" t="n">
        <v>13.03</v>
      </c>
      <c r="K1252" s="0" t="n">
        <v>0.9</v>
      </c>
      <c r="L1252" s="0" t="n">
        <v>1.25</v>
      </c>
      <c r="M1252" s="0" t="n">
        <v>0.03</v>
      </c>
      <c r="O1252" s="0" t="n">
        <v>659.53</v>
      </c>
    </row>
    <row r="1253" customFormat="false" ht="15" hidden="false" customHeight="false" outlineLevel="0" collapsed="false">
      <c r="A1253" s="0" t="s">
        <v>274</v>
      </c>
      <c r="B1253" s="0" t="s">
        <v>513</v>
      </c>
      <c r="C1253" s="0" t="n">
        <v>2015</v>
      </c>
      <c r="D1253" s="0" t="n">
        <v>37560535</v>
      </c>
      <c r="E1253" s="0" t="n">
        <v>70.64</v>
      </c>
      <c r="F1253" s="0" t="n">
        <v>0</v>
      </c>
      <c r="G1253" s="0" t="n">
        <v>21.07</v>
      </c>
      <c r="H1253" s="0" t="n">
        <v>46.96</v>
      </c>
      <c r="I1253" s="0" t="n">
        <v>0</v>
      </c>
      <c r="J1253" s="0" t="n">
        <v>2.55</v>
      </c>
      <c r="K1253" s="0" t="n">
        <v>0.06</v>
      </c>
      <c r="L1253" s="0" t="n">
        <v>0</v>
      </c>
      <c r="M1253" s="0" t="n">
        <v>0</v>
      </c>
      <c r="N1253" s="0" t="n">
        <v>0</v>
      </c>
      <c r="O1253" s="0" t="n">
        <v>654.45</v>
      </c>
    </row>
    <row r="1254" customFormat="false" ht="15" hidden="false" customHeight="false" outlineLevel="0" collapsed="false">
      <c r="A1254" s="0" t="s">
        <v>274</v>
      </c>
      <c r="B1254" s="0" t="s">
        <v>513</v>
      </c>
      <c r="C1254" s="0" t="n">
        <v>2016</v>
      </c>
      <c r="D1254" s="0" t="n">
        <v>38469628</v>
      </c>
      <c r="E1254" s="0" t="n">
        <v>81.93</v>
      </c>
      <c r="F1254" s="0" t="n">
        <v>0</v>
      </c>
      <c r="G1254" s="0" t="n">
        <v>20.89</v>
      </c>
      <c r="H1254" s="0" t="n">
        <v>57.61</v>
      </c>
      <c r="I1254" s="0" t="n">
        <v>0</v>
      </c>
      <c r="J1254" s="0" t="n">
        <v>3.37</v>
      </c>
      <c r="K1254" s="0" t="n">
        <v>0.06</v>
      </c>
      <c r="L1254" s="0" t="n">
        <v>0</v>
      </c>
      <c r="M1254" s="0" t="n">
        <v>0</v>
      </c>
      <c r="N1254" s="0" t="n">
        <v>0</v>
      </c>
      <c r="O1254" s="0" t="n">
        <v>648.48</v>
      </c>
    </row>
    <row r="1255" customFormat="false" ht="15" hidden="false" customHeight="false" outlineLevel="0" collapsed="false">
      <c r="A1255" s="0" t="s">
        <v>274</v>
      </c>
      <c r="B1255" s="0" t="s">
        <v>513</v>
      </c>
      <c r="C1255" s="0" t="n">
        <v>2017</v>
      </c>
      <c r="D1255" s="0" t="n">
        <v>39337358</v>
      </c>
      <c r="E1255" s="0" t="n">
        <v>93.58</v>
      </c>
      <c r="F1255" s="0" t="n">
        <v>0</v>
      </c>
      <c r="G1255" s="0" t="n">
        <v>33.75</v>
      </c>
      <c r="H1255" s="0" t="n">
        <v>57.59</v>
      </c>
      <c r="I1255" s="0" t="n">
        <v>0</v>
      </c>
      <c r="J1255" s="0" t="n">
        <v>2.18</v>
      </c>
      <c r="K1255" s="0" t="n">
        <v>0.06</v>
      </c>
      <c r="L1255" s="0" t="n">
        <v>0</v>
      </c>
      <c r="M1255" s="0" t="n">
        <v>0</v>
      </c>
      <c r="N1255" s="0" t="n">
        <v>0</v>
      </c>
      <c r="O1255" s="0" t="n">
        <v>666.81</v>
      </c>
    </row>
    <row r="1256" customFormat="false" ht="15" hidden="false" customHeight="false" outlineLevel="0" collapsed="false">
      <c r="A1256" s="0" t="s">
        <v>274</v>
      </c>
      <c r="B1256" s="0" t="s">
        <v>513</v>
      </c>
      <c r="C1256" s="0" t="n">
        <v>2018</v>
      </c>
      <c r="D1256" s="0" t="n">
        <v>40265629</v>
      </c>
      <c r="E1256" s="0" t="n">
        <v>98.41</v>
      </c>
      <c r="F1256" s="0" t="n">
        <v>0</v>
      </c>
      <c r="G1256" s="0" t="n">
        <v>53.45</v>
      </c>
      <c r="H1256" s="0" t="n">
        <v>43.08</v>
      </c>
      <c r="I1256" s="0" t="n">
        <v>0</v>
      </c>
      <c r="J1256" s="0" t="n">
        <v>1.82</v>
      </c>
      <c r="K1256" s="0" t="n">
        <v>0.06</v>
      </c>
      <c r="L1256" s="0" t="n">
        <v>0</v>
      </c>
      <c r="M1256" s="0" t="n">
        <v>0</v>
      </c>
      <c r="N1256" s="0" t="n">
        <v>0</v>
      </c>
      <c r="O1256" s="0" t="n">
        <v>682.05</v>
      </c>
    </row>
    <row r="1257" customFormat="false" ht="15" hidden="false" customHeight="false" outlineLevel="0" collapsed="false">
      <c r="A1257" s="0" t="s">
        <v>274</v>
      </c>
      <c r="B1257" s="0" t="s">
        <v>513</v>
      </c>
      <c r="C1257" s="0" t="n">
        <v>2019</v>
      </c>
      <c r="D1257" s="0" t="n">
        <v>41192172</v>
      </c>
      <c r="E1257" s="0" t="n">
        <v>115.21</v>
      </c>
      <c r="F1257" s="0" t="n">
        <v>0</v>
      </c>
      <c r="G1257" s="0" t="n">
        <v>66.44</v>
      </c>
      <c r="H1257" s="0" t="n">
        <v>43.75</v>
      </c>
      <c r="I1257" s="0" t="n">
        <v>0</v>
      </c>
      <c r="J1257" s="0" t="n">
        <v>4.96</v>
      </c>
      <c r="K1257" s="0" t="n">
        <v>0.06</v>
      </c>
      <c r="L1257" s="0" t="n">
        <v>0</v>
      </c>
      <c r="M1257" s="0" t="n">
        <v>0</v>
      </c>
      <c r="N1257" s="0" t="n">
        <v>0</v>
      </c>
      <c r="O1257" s="0" t="n">
        <v>668.87</v>
      </c>
    </row>
    <row r="1258" customFormat="false" ht="15" hidden="false" customHeight="false" outlineLevel="0" collapsed="false">
      <c r="A1258" s="0" t="s">
        <v>274</v>
      </c>
      <c r="B1258" s="0" t="s">
        <v>513</v>
      </c>
      <c r="C1258" s="0" t="n">
        <v>2020</v>
      </c>
      <c r="D1258" s="0" t="n">
        <v>42116602</v>
      </c>
      <c r="E1258" s="0" t="n">
        <v>117.12</v>
      </c>
      <c r="F1258" s="0" t="n">
        <v>0</v>
      </c>
      <c r="G1258" s="0" t="n">
        <v>71.51</v>
      </c>
      <c r="H1258" s="0" t="n">
        <v>41.07</v>
      </c>
      <c r="I1258" s="0" t="n">
        <v>0</v>
      </c>
      <c r="J1258" s="0" t="n">
        <v>4.16</v>
      </c>
      <c r="K1258" s="0" t="n">
        <v>0.38</v>
      </c>
      <c r="L1258" s="0" t="n">
        <v>0</v>
      </c>
      <c r="M1258" s="0" t="n">
        <v>0</v>
      </c>
      <c r="N1258" s="0" t="n">
        <v>0</v>
      </c>
      <c r="O1258" s="0" t="n">
        <v>674.18</v>
      </c>
    </row>
    <row r="1259" customFormat="false" ht="15" hidden="false" customHeight="false" outlineLevel="0" collapsed="false">
      <c r="A1259" s="0" t="s">
        <v>274</v>
      </c>
      <c r="B1259" s="0" t="s">
        <v>513</v>
      </c>
      <c r="C1259" s="0" t="n">
        <v>2021</v>
      </c>
      <c r="D1259" s="0" t="n">
        <v>43071208</v>
      </c>
      <c r="E1259" s="0" t="n">
        <v>120.46</v>
      </c>
      <c r="F1259" s="0" t="n">
        <v>0</v>
      </c>
      <c r="G1259" s="0" t="n">
        <v>70.87</v>
      </c>
      <c r="H1259" s="0" t="n">
        <v>45.86</v>
      </c>
      <c r="I1259" s="0" t="n">
        <v>0</v>
      </c>
      <c r="J1259" s="0" t="n">
        <v>3.35</v>
      </c>
      <c r="K1259" s="0" t="n">
        <v>0.38</v>
      </c>
      <c r="L1259" s="0" t="n">
        <v>0</v>
      </c>
      <c r="M1259" s="0" t="n">
        <v>0</v>
      </c>
      <c r="N1259" s="0" t="n">
        <v>0</v>
      </c>
      <c r="O1259" s="0" t="n">
        <v>677.74</v>
      </c>
    </row>
    <row r="1260" customFormat="false" ht="15" hidden="false" customHeight="false" outlineLevel="0" collapsed="false">
      <c r="A1260" s="0" t="s">
        <v>274</v>
      </c>
      <c r="B1260" s="0" t="s">
        <v>513</v>
      </c>
      <c r="C1260" s="0" t="n">
        <v>2022</v>
      </c>
      <c r="D1260" s="0" t="n">
        <v>44070556</v>
      </c>
      <c r="E1260" s="0" t="n">
        <v>133.86</v>
      </c>
      <c r="F1260" s="0" t="n">
        <v>0</v>
      </c>
      <c r="G1260" s="0" t="n">
        <v>90.24</v>
      </c>
      <c r="H1260" s="0" t="n">
        <v>40.59</v>
      </c>
      <c r="I1260" s="0" t="n">
        <v>0</v>
      </c>
      <c r="J1260" s="0" t="n">
        <v>2.65</v>
      </c>
      <c r="K1260" s="0" t="n">
        <v>0.38</v>
      </c>
      <c r="L1260" s="0" t="n">
        <v>0</v>
      </c>
      <c r="M1260" s="0" t="n">
        <v>0</v>
      </c>
      <c r="N1260" s="0" t="n">
        <v>0</v>
      </c>
      <c r="O1260" s="0" t="n">
        <v>688.71</v>
      </c>
    </row>
    <row r="1261" customFormat="false" ht="15" hidden="false" customHeight="false" outlineLevel="0" collapsed="false">
      <c r="A1261" s="0" t="s">
        <v>274</v>
      </c>
      <c r="B1261" s="0" t="s">
        <v>513</v>
      </c>
      <c r="C1261" s="0" t="n">
        <v>2023</v>
      </c>
      <c r="D1261" s="0" t="n">
        <v>45074055</v>
      </c>
      <c r="E1261" s="0" t="n">
        <v>145.01</v>
      </c>
      <c r="F1261" s="0" t="n">
        <v>0</v>
      </c>
      <c r="G1261" s="0" t="n">
        <v>75.68</v>
      </c>
      <c r="H1261" s="0" t="n">
        <v>67.57</v>
      </c>
      <c r="I1261" s="0" t="n">
        <v>0</v>
      </c>
      <c r="J1261" s="0" t="n">
        <v>1.38</v>
      </c>
      <c r="K1261" s="0" t="n">
        <v>0.38</v>
      </c>
      <c r="L1261" s="0" t="n">
        <v>0</v>
      </c>
      <c r="M1261" s="0" t="n">
        <v>0</v>
      </c>
      <c r="N1261" s="0" t="n">
        <v>0</v>
      </c>
      <c r="O1261" s="0" t="n">
        <v>685.13</v>
      </c>
    </row>
    <row r="1262" customFormat="false" ht="15" hidden="false" customHeight="false" outlineLevel="0" collapsed="false">
      <c r="A1262" s="0" t="s">
        <v>274</v>
      </c>
      <c r="B1262" s="0" t="s">
        <v>513</v>
      </c>
      <c r="C1262" s="0" t="n">
        <v>2024</v>
      </c>
      <c r="D1262" s="0" t="n">
        <v>46042015</v>
      </c>
      <c r="E1262" s="0" t="n">
        <v>149.73</v>
      </c>
      <c r="F1262" s="0" t="n">
        <v>0</v>
      </c>
      <c r="G1262" s="0" t="n">
        <v>79.3</v>
      </c>
      <c r="H1262" s="0" t="n">
        <v>68</v>
      </c>
      <c r="I1262" s="0" t="n">
        <v>0</v>
      </c>
      <c r="J1262" s="0" t="n">
        <v>2</v>
      </c>
      <c r="K1262" s="0" t="n">
        <v>0.43</v>
      </c>
      <c r="L1262" s="0" t="n">
        <v>0</v>
      </c>
      <c r="M1262" s="0" t="n">
        <v>0</v>
      </c>
      <c r="N1262" s="0" t="n">
        <v>0</v>
      </c>
      <c r="O1262" s="0" t="n">
        <v>683.1</v>
      </c>
    </row>
    <row r="1263" customFormat="false" ht="15" hidden="false" customHeight="false" outlineLevel="0" collapsed="false">
      <c r="A1263" s="0" t="s">
        <v>275</v>
      </c>
      <c r="B1263" s="0" t="s">
        <v>514</v>
      </c>
      <c r="C1263" s="0" t="n">
        <v>2015</v>
      </c>
      <c r="D1263" s="0" t="n">
        <v>4702497</v>
      </c>
      <c r="E1263" s="0" t="n">
        <v>28.16</v>
      </c>
      <c r="F1263" s="0" t="n">
        <v>4.87</v>
      </c>
      <c r="G1263" s="0" t="n">
        <v>12.45</v>
      </c>
      <c r="H1263" s="0" t="n">
        <v>2.87</v>
      </c>
      <c r="I1263" s="0" t="n">
        <v>0</v>
      </c>
      <c r="J1263" s="0" t="n">
        <v>0.81</v>
      </c>
      <c r="K1263" s="0" t="n">
        <v>0</v>
      </c>
      <c r="L1263" s="0" t="n">
        <v>6.68</v>
      </c>
      <c r="M1263" s="0" t="n">
        <v>0.48</v>
      </c>
      <c r="N1263" s="0" t="n">
        <v>0</v>
      </c>
      <c r="O1263" s="0" t="n">
        <v>439.28</v>
      </c>
    </row>
    <row r="1264" customFormat="false" ht="15" hidden="false" customHeight="false" outlineLevel="0" collapsed="false">
      <c r="A1264" s="0" t="s">
        <v>275</v>
      </c>
      <c r="B1264" s="0" t="s">
        <v>514</v>
      </c>
      <c r="C1264" s="0" t="n">
        <v>2016</v>
      </c>
      <c r="D1264" s="0" t="n">
        <v>4753506</v>
      </c>
      <c r="E1264" s="0" t="n">
        <v>30.3</v>
      </c>
      <c r="F1264" s="0" t="n">
        <v>4.7</v>
      </c>
      <c r="G1264" s="0" t="n">
        <v>15.34</v>
      </c>
      <c r="H1264" s="0" t="n">
        <v>2.65</v>
      </c>
      <c r="I1264" s="0" t="n">
        <v>0</v>
      </c>
      <c r="J1264" s="0" t="n">
        <v>0.68</v>
      </c>
      <c r="K1264" s="0" t="n">
        <v>0</v>
      </c>
      <c r="L1264" s="0" t="n">
        <v>6.25</v>
      </c>
      <c r="M1264" s="0" t="n">
        <v>0.68</v>
      </c>
      <c r="N1264" s="0" t="n">
        <v>0</v>
      </c>
      <c r="O1264" s="0" t="n">
        <v>442.57</v>
      </c>
    </row>
    <row r="1265" customFormat="false" ht="15" hidden="false" customHeight="false" outlineLevel="0" collapsed="false">
      <c r="A1265" s="0" t="s">
        <v>275</v>
      </c>
      <c r="B1265" s="0" t="s">
        <v>514</v>
      </c>
      <c r="C1265" s="0" t="n">
        <v>2017</v>
      </c>
      <c r="D1265" s="0" t="n">
        <v>4810258</v>
      </c>
      <c r="E1265" s="0" t="n">
        <v>30.79</v>
      </c>
      <c r="F1265" s="0" t="n">
        <v>3.64</v>
      </c>
      <c r="G1265" s="0" t="n">
        <v>15.68</v>
      </c>
      <c r="H1265" s="0" t="n">
        <v>2.46</v>
      </c>
      <c r="I1265" s="0" t="n">
        <v>0</v>
      </c>
      <c r="J1265" s="0" t="n">
        <v>0.69</v>
      </c>
      <c r="K1265" s="0" t="n">
        <v>0.01</v>
      </c>
      <c r="L1265" s="0" t="n">
        <v>7.57</v>
      </c>
      <c r="M1265" s="0" t="n">
        <v>0.74</v>
      </c>
      <c r="N1265" s="0" t="n">
        <v>0</v>
      </c>
      <c r="O1265" s="0" t="n">
        <v>404.03</v>
      </c>
    </row>
    <row r="1266" customFormat="false" ht="15" hidden="false" customHeight="false" outlineLevel="0" collapsed="false">
      <c r="A1266" s="0" t="s">
        <v>275</v>
      </c>
      <c r="B1266" s="0" t="s">
        <v>514</v>
      </c>
      <c r="C1266" s="0" t="n">
        <v>2018</v>
      </c>
      <c r="D1266" s="0" t="n">
        <v>4872559</v>
      </c>
      <c r="E1266" s="0" t="n">
        <v>31.04</v>
      </c>
      <c r="F1266" s="0" t="n">
        <v>2.15</v>
      </c>
      <c r="G1266" s="0" t="n">
        <v>16.02</v>
      </c>
      <c r="H1266" s="0" t="n">
        <v>2.53</v>
      </c>
      <c r="I1266" s="0" t="n">
        <v>0</v>
      </c>
      <c r="J1266" s="0" t="n">
        <v>0.69</v>
      </c>
      <c r="K1266" s="0" t="n">
        <v>0.02</v>
      </c>
      <c r="L1266" s="0" t="n">
        <v>8.78</v>
      </c>
      <c r="M1266" s="0" t="n">
        <v>0.85</v>
      </c>
      <c r="N1266" s="0" t="n">
        <v>0</v>
      </c>
      <c r="O1266" s="0" t="n">
        <v>362.44</v>
      </c>
    </row>
    <row r="1267" customFormat="false" ht="15" hidden="false" customHeight="false" outlineLevel="0" collapsed="false">
      <c r="A1267" s="0" t="s">
        <v>275</v>
      </c>
      <c r="B1267" s="0" t="s">
        <v>514</v>
      </c>
      <c r="C1267" s="0" t="n">
        <v>2019</v>
      </c>
      <c r="D1267" s="0" t="n">
        <v>4933493</v>
      </c>
      <c r="E1267" s="0" t="n">
        <v>30.87</v>
      </c>
      <c r="F1267" s="0" t="n">
        <v>0.51</v>
      </c>
      <c r="G1267" s="0" t="n">
        <v>15.91</v>
      </c>
      <c r="H1267" s="0" t="n">
        <v>2.5</v>
      </c>
      <c r="I1267" s="0" t="n">
        <v>0</v>
      </c>
      <c r="J1267" s="0" t="n">
        <v>0.89</v>
      </c>
      <c r="K1267" s="0" t="n">
        <v>0.03</v>
      </c>
      <c r="L1267" s="0" t="n">
        <v>10.18</v>
      </c>
      <c r="M1267" s="0" t="n">
        <v>0.85</v>
      </c>
      <c r="N1267" s="0" t="n">
        <v>0</v>
      </c>
      <c r="O1267" s="0" t="n">
        <v>311.95</v>
      </c>
    </row>
    <row r="1268" customFormat="false" ht="15" hidden="false" customHeight="false" outlineLevel="0" collapsed="false">
      <c r="A1268" s="0" t="s">
        <v>275</v>
      </c>
      <c r="B1268" s="0" t="s">
        <v>514</v>
      </c>
      <c r="C1268" s="0" t="n">
        <v>2020</v>
      </c>
      <c r="D1268" s="0" t="n">
        <v>4982602</v>
      </c>
      <c r="E1268" s="0" t="n">
        <v>32.16</v>
      </c>
      <c r="F1268" s="0" t="n">
        <v>0.67</v>
      </c>
      <c r="G1268" s="0" t="n">
        <v>16.24</v>
      </c>
      <c r="H1268" s="0" t="n">
        <v>1.6</v>
      </c>
      <c r="I1268" s="0" t="n">
        <v>0</v>
      </c>
      <c r="J1268" s="0" t="n">
        <v>0.93</v>
      </c>
      <c r="K1268" s="0" t="n">
        <v>0.06</v>
      </c>
      <c r="L1268" s="0" t="n">
        <v>11.74</v>
      </c>
      <c r="M1268" s="0" t="n">
        <v>0.92</v>
      </c>
      <c r="N1268" s="0" t="n">
        <v>0</v>
      </c>
      <c r="O1268" s="0" t="n">
        <v>291.05</v>
      </c>
    </row>
    <row r="1269" customFormat="false" ht="15" hidden="false" customHeight="false" outlineLevel="0" collapsed="false">
      <c r="A1269" s="0" t="s">
        <v>275</v>
      </c>
      <c r="B1269" s="0" t="s">
        <v>514</v>
      </c>
      <c r="C1269" s="0" t="n">
        <v>2021</v>
      </c>
      <c r="D1269" s="0" t="n">
        <v>5028428</v>
      </c>
      <c r="E1269" s="0" t="n">
        <v>31.74</v>
      </c>
      <c r="F1269" s="0" t="n">
        <v>2.72</v>
      </c>
      <c r="G1269" s="0" t="n">
        <v>15.16</v>
      </c>
      <c r="H1269" s="0" t="n">
        <v>2.1</v>
      </c>
      <c r="I1269" s="0" t="n">
        <v>0</v>
      </c>
      <c r="J1269" s="0" t="n">
        <v>0.75</v>
      </c>
      <c r="K1269" s="0" t="n">
        <v>0.08</v>
      </c>
      <c r="L1269" s="0" t="n">
        <v>9.94</v>
      </c>
      <c r="M1269" s="0" t="n">
        <v>0.99</v>
      </c>
      <c r="N1269" s="0" t="n">
        <v>0</v>
      </c>
      <c r="O1269" s="0" t="n">
        <v>351.92</v>
      </c>
    </row>
    <row r="1270" customFormat="false" ht="15" hidden="false" customHeight="false" outlineLevel="0" collapsed="false">
      <c r="A1270" s="0" t="s">
        <v>275</v>
      </c>
      <c r="B1270" s="0" t="s">
        <v>514</v>
      </c>
      <c r="C1270" s="0" t="n">
        <v>2022</v>
      </c>
      <c r="D1270" s="0" t="n">
        <v>5110015</v>
      </c>
      <c r="E1270" s="0" t="n">
        <v>33.79</v>
      </c>
      <c r="F1270" s="0" t="n">
        <v>2.37</v>
      </c>
      <c r="G1270" s="0" t="n">
        <v>16.54</v>
      </c>
      <c r="H1270" s="0" t="n">
        <v>1.63</v>
      </c>
      <c r="I1270" s="0" t="n">
        <v>0</v>
      </c>
      <c r="J1270" s="0" t="n">
        <v>0.7</v>
      </c>
      <c r="K1270" s="0" t="n">
        <v>0.15</v>
      </c>
      <c r="L1270" s="0" t="n">
        <v>11.39</v>
      </c>
      <c r="M1270" s="0" t="n">
        <v>1.01</v>
      </c>
      <c r="N1270" s="0" t="n">
        <v>0</v>
      </c>
      <c r="O1270" s="0" t="n">
        <v>330.87</v>
      </c>
    </row>
    <row r="1271" customFormat="false" ht="15" hidden="false" customHeight="false" outlineLevel="0" collapsed="false">
      <c r="A1271" s="0" t="s">
        <v>275</v>
      </c>
      <c r="B1271" s="0" t="s">
        <v>514</v>
      </c>
      <c r="C1271" s="0" t="n">
        <v>2023</v>
      </c>
      <c r="D1271" s="0" t="n">
        <v>5196629</v>
      </c>
      <c r="E1271" s="0" t="n">
        <v>31.55</v>
      </c>
      <c r="F1271" s="0" t="n">
        <v>1.21</v>
      </c>
      <c r="G1271" s="0" t="n">
        <v>15.36</v>
      </c>
      <c r="H1271" s="0" t="n">
        <v>0.7</v>
      </c>
      <c r="I1271" s="0" t="n">
        <v>0</v>
      </c>
      <c r="J1271" s="0" t="n">
        <v>0.94</v>
      </c>
      <c r="K1271" s="0" t="n">
        <v>0.65</v>
      </c>
      <c r="L1271" s="0" t="n">
        <v>11.86</v>
      </c>
      <c r="M1271" s="0" t="n">
        <v>0.83</v>
      </c>
      <c r="N1271" s="0" t="n">
        <v>0</v>
      </c>
      <c r="O1271" s="0" t="n">
        <v>282.41</v>
      </c>
    </row>
    <row r="1272" customFormat="false" ht="15" hidden="false" customHeight="false" outlineLevel="0" collapsed="false">
      <c r="A1272" s="0" t="s">
        <v>275</v>
      </c>
      <c r="B1272" s="0" t="s">
        <v>514</v>
      </c>
      <c r="C1272" s="0" t="n">
        <v>2024</v>
      </c>
      <c r="D1272" s="0" t="n">
        <v>5255016</v>
      </c>
      <c r="E1272" s="0" t="n">
        <v>31.08</v>
      </c>
      <c r="F1272" s="0" t="n">
        <v>0.63</v>
      </c>
      <c r="G1272" s="0" t="n">
        <v>15.1</v>
      </c>
      <c r="H1272" s="0" t="n">
        <v>0.89</v>
      </c>
      <c r="I1272" s="0" t="n">
        <v>0</v>
      </c>
      <c r="J1272" s="0" t="n">
        <v>0.77</v>
      </c>
      <c r="K1272" s="0" t="n">
        <v>1.09</v>
      </c>
      <c r="L1272" s="0" t="n">
        <v>11.6</v>
      </c>
      <c r="M1272" s="0" t="n">
        <v>1</v>
      </c>
      <c r="N1272" s="0" t="n">
        <v>0</v>
      </c>
      <c r="O1272" s="0" t="n">
        <v>270.91</v>
      </c>
    </row>
    <row r="1273" customFormat="false" ht="15" hidden="false" customHeight="false" outlineLevel="0" collapsed="false">
      <c r="A1273" s="0" t="s">
        <v>275</v>
      </c>
      <c r="B1273" s="0" t="s">
        <v>514</v>
      </c>
      <c r="C1273" s="0" t="n">
        <v>2025</v>
      </c>
      <c r="D1273" s="0" t="n">
        <v>5308035</v>
      </c>
      <c r="E1273" s="0" t="n">
        <v>30.95</v>
      </c>
      <c r="F1273" s="0" t="n">
        <v>0.16</v>
      </c>
      <c r="G1273" s="0" t="n">
        <v>14.97</v>
      </c>
      <c r="H1273" s="0" t="n">
        <v>0.92</v>
      </c>
      <c r="I1273" s="0" t="n">
        <v>0</v>
      </c>
      <c r="J1273" s="0" t="n">
        <v>0.65</v>
      </c>
      <c r="K1273" s="0" t="n">
        <v>1.47</v>
      </c>
      <c r="L1273" s="0" t="n">
        <v>11.76</v>
      </c>
      <c r="M1273" s="0" t="n">
        <v>1.02</v>
      </c>
      <c r="N1273" s="0" t="n">
        <v>0</v>
      </c>
      <c r="O1273" s="0" t="n">
        <v>256.54</v>
      </c>
    </row>
    <row r="1274" customFormat="false" ht="15" hidden="false" customHeight="false" outlineLevel="0" collapsed="false">
      <c r="A1274" s="0" t="s">
        <v>276</v>
      </c>
      <c r="B1274" s="0" t="s">
        <v>515</v>
      </c>
      <c r="C1274" s="0" t="n">
        <v>2015</v>
      </c>
      <c r="D1274" s="0" t="n">
        <v>8052916</v>
      </c>
      <c r="E1274" s="0" t="n">
        <v>64.23</v>
      </c>
      <c r="F1274" s="0" t="n">
        <v>29.16</v>
      </c>
      <c r="G1274" s="0" t="n">
        <v>33.15</v>
      </c>
      <c r="H1274" s="0" t="n">
        <v>0.7</v>
      </c>
      <c r="I1274" s="0" t="n">
        <v>0</v>
      </c>
      <c r="J1274" s="0" t="n">
        <v>0.02</v>
      </c>
      <c r="K1274" s="0" t="n">
        <v>1.12</v>
      </c>
      <c r="L1274" s="0" t="n">
        <v>0.01</v>
      </c>
      <c r="M1274" s="0" t="n">
        <v>0.07</v>
      </c>
      <c r="N1274" s="0" t="n">
        <v>0</v>
      </c>
      <c r="O1274" s="0" t="n">
        <v>692.67</v>
      </c>
    </row>
    <row r="1275" customFormat="false" ht="15" hidden="false" customHeight="false" outlineLevel="0" collapsed="false">
      <c r="A1275" s="0" t="s">
        <v>276</v>
      </c>
      <c r="B1275" s="0" t="s">
        <v>515</v>
      </c>
      <c r="C1275" s="0" t="n">
        <v>2016</v>
      </c>
      <c r="D1275" s="0" t="n">
        <v>8210006</v>
      </c>
      <c r="E1275" s="0" t="n">
        <v>67.01</v>
      </c>
      <c r="F1275" s="0" t="n">
        <v>24.16</v>
      </c>
      <c r="G1275" s="0" t="n">
        <v>40.82</v>
      </c>
      <c r="H1275" s="0" t="n">
        <v>0.33</v>
      </c>
      <c r="I1275" s="0" t="n">
        <v>0</v>
      </c>
      <c r="J1275" s="0" t="n">
        <v>0</v>
      </c>
      <c r="K1275" s="0" t="n">
        <v>1.54</v>
      </c>
      <c r="L1275" s="0" t="n">
        <v>0.05</v>
      </c>
      <c r="M1275" s="0" t="n">
        <v>0.11</v>
      </c>
      <c r="N1275" s="0" t="n">
        <v>0</v>
      </c>
      <c r="O1275" s="0" t="n">
        <v>662.14</v>
      </c>
    </row>
    <row r="1276" customFormat="false" ht="15" hidden="false" customHeight="false" outlineLevel="0" collapsed="false">
      <c r="A1276" s="0" t="s">
        <v>276</v>
      </c>
      <c r="B1276" s="0" t="s">
        <v>515</v>
      </c>
      <c r="C1276" s="0" t="n">
        <v>2017</v>
      </c>
      <c r="D1276" s="0" t="n">
        <v>8361796</v>
      </c>
      <c r="E1276" s="0" t="n">
        <v>67.44</v>
      </c>
      <c r="F1276" s="0" t="n">
        <v>22.03</v>
      </c>
      <c r="G1276" s="0" t="n">
        <v>42.8</v>
      </c>
      <c r="H1276" s="0" t="n">
        <v>0.92</v>
      </c>
      <c r="I1276" s="0" t="n">
        <v>0</v>
      </c>
      <c r="J1276" s="0" t="n">
        <v>0</v>
      </c>
      <c r="K1276" s="0" t="n">
        <v>1.51</v>
      </c>
      <c r="L1276" s="0" t="n">
        <v>0.18</v>
      </c>
      <c r="M1276" s="0" t="n">
        <v>0</v>
      </c>
      <c r="N1276" s="0" t="n">
        <v>0</v>
      </c>
      <c r="O1276" s="0" t="n">
        <v>653.17</v>
      </c>
    </row>
    <row r="1277" customFormat="false" ht="15" hidden="false" customHeight="false" outlineLevel="0" collapsed="false">
      <c r="A1277" s="0" t="s">
        <v>276</v>
      </c>
      <c r="B1277" s="0" t="s">
        <v>515</v>
      </c>
      <c r="C1277" s="0" t="n">
        <v>2018</v>
      </c>
      <c r="D1277" s="0" t="n">
        <v>8510067</v>
      </c>
      <c r="E1277" s="0" t="n">
        <v>69.02</v>
      </c>
      <c r="F1277" s="0" t="n">
        <v>20.6</v>
      </c>
      <c r="G1277" s="0" t="n">
        <v>46.04</v>
      </c>
      <c r="H1277" s="0" t="n">
        <v>0.5</v>
      </c>
      <c r="I1277" s="0" t="n">
        <v>0</v>
      </c>
      <c r="J1277" s="0" t="n">
        <v>0</v>
      </c>
      <c r="K1277" s="0" t="n">
        <v>1.57</v>
      </c>
      <c r="L1277" s="0" t="n">
        <v>0.18</v>
      </c>
      <c r="M1277" s="0" t="n">
        <v>0.13</v>
      </c>
      <c r="N1277" s="0" t="n">
        <v>0</v>
      </c>
      <c r="O1277" s="0" t="n">
        <v>643.58</v>
      </c>
    </row>
    <row r="1278" customFormat="false" ht="15" hidden="false" customHeight="false" outlineLevel="0" collapsed="false">
      <c r="A1278" s="0" t="s">
        <v>276</v>
      </c>
      <c r="B1278" s="0" t="s">
        <v>515</v>
      </c>
      <c r="C1278" s="0" t="n">
        <v>2019</v>
      </c>
      <c r="D1278" s="0" t="n">
        <v>8657466</v>
      </c>
      <c r="E1278" s="0" t="n">
        <v>72.71</v>
      </c>
      <c r="F1278" s="0" t="n">
        <v>21.9</v>
      </c>
      <c r="G1278" s="0" t="n">
        <v>46.1</v>
      </c>
      <c r="H1278" s="0" t="n">
        <v>1.2</v>
      </c>
      <c r="I1278" s="0" t="n">
        <v>0</v>
      </c>
      <c r="J1278" s="0" t="n">
        <v>0</v>
      </c>
      <c r="K1278" s="0" t="n">
        <v>3.21</v>
      </c>
      <c r="L1278" s="0" t="n">
        <v>0.19</v>
      </c>
      <c r="M1278" s="0" t="n">
        <v>0.11</v>
      </c>
      <c r="N1278" s="0" t="n">
        <v>0</v>
      </c>
      <c r="O1278" s="0" t="n">
        <v>634.03</v>
      </c>
    </row>
    <row r="1279" customFormat="false" ht="15" hidden="false" customHeight="false" outlineLevel="0" collapsed="false">
      <c r="A1279" s="0" t="s">
        <v>276</v>
      </c>
      <c r="B1279" s="0" t="s">
        <v>515</v>
      </c>
      <c r="C1279" s="0" t="n">
        <v>2020</v>
      </c>
      <c r="D1279" s="0" t="n">
        <v>8800380</v>
      </c>
      <c r="E1279" s="0" t="n">
        <v>72.74</v>
      </c>
      <c r="F1279" s="0" t="n">
        <v>19</v>
      </c>
      <c r="G1279" s="0" t="n">
        <v>48.8</v>
      </c>
      <c r="H1279" s="0" t="n">
        <v>0.5</v>
      </c>
      <c r="I1279" s="0" t="n">
        <v>0</v>
      </c>
      <c r="J1279" s="0" t="n">
        <v>0.02</v>
      </c>
      <c r="K1279" s="0" t="n">
        <v>4.1</v>
      </c>
      <c r="L1279" s="0" t="n">
        <v>0.2</v>
      </c>
      <c r="M1279" s="0" t="n">
        <v>0.12</v>
      </c>
      <c r="N1279" s="0" t="n">
        <v>0</v>
      </c>
      <c r="O1279" s="0" t="n">
        <v>615.21</v>
      </c>
    </row>
    <row r="1280" customFormat="false" ht="15" hidden="false" customHeight="false" outlineLevel="0" collapsed="false">
      <c r="A1280" s="0" t="s">
        <v>276</v>
      </c>
      <c r="B1280" s="0" t="s">
        <v>515</v>
      </c>
      <c r="C1280" s="0" t="n">
        <v>2021</v>
      </c>
      <c r="D1280" s="0" t="n">
        <v>8942925</v>
      </c>
      <c r="E1280" s="0" t="n">
        <v>74.12</v>
      </c>
      <c r="F1280" s="0" t="n">
        <v>16.9</v>
      </c>
      <c r="G1280" s="0" t="n">
        <v>51</v>
      </c>
      <c r="H1280" s="0" t="n">
        <v>0.4</v>
      </c>
      <c r="I1280" s="0" t="n">
        <v>0</v>
      </c>
      <c r="J1280" s="0" t="n">
        <v>0.02</v>
      </c>
      <c r="K1280" s="0" t="n">
        <v>5.52</v>
      </c>
      <c r="L1280" s="0" t="n">
        <v>0.18</v>
      </c>
      <c r="M1280" s="0" t="n">
        <v>0.1</v>
      </c>
      <c r="N1280" s="0" t="n">
        <v>0</v>
      </c>
      <c r="O1280" s="0" t="n">
        <v>596.33</v>
      </c>
    </row>
    <row r="1281" customFormat="false" ht="15" hidden="false" customHeight="false" outlineLevel="0" collapsed="false">
      <c r="A1281" s="0" t="s">
        <v>276</v>
      </c>
      <c r="B1281" s="0" t="s">
        <v>515</v>
      </c>
      <c r="C1281" s="0" t="n">
        <v>2022</v>
      </c>
      <c r="D1281" s="0" t="n">
        <v>9103143</v>
      </c>
      <c r="E1281" s="0" t="n">
        <v>76.87</v>
      </c>
      <c r="F1281" s="0" t="n">
        <v>16.7</v>
      </c>
      <c r="G1281" s="0" t="n">
        <v>52.3</v>
      </c>
      <c r="H1281" s="0" t="n">
        <v>0.4</v>
      </c>
      <c r="I1281" s="0" t="n">
        <v>0</v>
      </c>
      <c r="J1281" s="0" t="n">
        <v>0.02</v>
      </c>
      <c r="K1281" s="0" t="n">
        <v>7.05</v>
      </c>
      <c r="L1281" s="0" t="n">
        <v>0.29</v>
      </c>
      <c r="M1281" s="0" t="n">
        <v>0.11</v>
      </c>
      <c r="N1281" s="0" t="n">
        <v>0</v>
      </c>
      <c r="O1281" s="0" t="n">
        <v>583.32</v>
      </c>
    </row>
    <row r="1282" customFormat="false" ht="15" hidden="false" customHeight="false" outlineLevel="0" collapsed="false">
      <c r="A1282" s="0" t="s">
        <v>276</v>
      </c>
      <c r="B1282" s="0" t="s">
        <v>515</v>
      </c>
      <c r="C1282" s="0" t="n">
        <v>2023</v>
      </c>
      <c r="D1282" s="0" t="n">
        <v>9256311</v>
      </c>
      <c r="E1282" s="0" t="n">
        <v>77.43</v>
      </c>
      <c r="F1282" s="0" t="n">
        <v>13.1</v>
      </c>
      <c r="G1282" s="0" t="n">
        <v>54.7</v>
      </c>
      <c r="H1282" s="0" t="n">
        <v>0.5</v>
      </c>
      <c r="I1282" s="0" t="n">
        <v>0</v>
      </c>
      <c r="J1282" s="0" t="n">
        <v>0</v>
      </c>
      <c r="K1282" s="0" t="n">
        <v>8.56</v>
      </c>
      <c r="L1282" s="0" t="n">
        <v>0.46</v>
      </c>
      <c r="M1282" s="0" t="n">
        <v>0.11</v>
      </c>
      <c r="N1282" s="0" t="n">
        <v>0</v>
      </c>
      <c r="O1282" s="0" t="n">
        <v>558.83</v>
      </c>
    </row>
    <row r="1283" customFormat="false" ht="15" hidden="false" customHeight="false" outlineLevel="0" collapsed="false">
      <c r="A1283" s="0" t="s">
        <v>276</v>
      </c>
      <c r="B1283" s="0" t="s">
        <v>515</v>
      </c>
      <c r="C1283" s="0" t="n">
        <v>2024</v>
      </c>
      <c r="D1283" s="0" t="n">
        <v>9387015</v>
      </c>
      <c r="E1283" s="0" t="n">
        <v>80.4</v>
      </c>
      <c r="F1283" s="0" t="n">
        <v>11.5</v>
      </c>
      <c r="G1283" s="0" t="n">
        <v>57.4</v>
      </c>
      <c r="H1283" s="0" t="n">
        <v>0.4</v>
      </c>
      <c r="I1283" s="0" t="n">
        <v>0</v>
      </c>
      <c r="J1283" s="0" t="n">
        <v>0.01</v>
      </c>
      <c r="K1283" s="0" t="n">
        <v>10.52</v>
      </c>
      <c r="L1283" s="0" t="n">
        <v>0.46</v>
      </c>
      <c r="M1283" s="0" t="n">
        <v>0.11</v>
      </c>
      <c r="N1283" s="0" t="n">
        <v>0</v>
      </c>
      <c r="O1283" s="0" t="n">
        <v>540.55</v>
      </c>
    </row>
    <row r="1284" customFormat="false" ht="15" hidden="false" customHeight="false" outlineLevel="0" collapsed="false">
      <c r="A1284" s="0" t="s">
        <v>276</v>
      </c>
      <c r="B1284" s="0" t="s">
        <v>515</v>
      </c>
      <c r="C1284" s="0" t="n">
        <v>2025</v>
      </c>
      <c r="D1284" s="0" t="n">
        <v>9517182</v>
      </c>
      <c r="E1284" s="0" t="n">
        <v>82.1</v>
      </c>
      <c r="F1284" s="0" t="n">
        <v>2.8</v>
      </c>
      <c r="G1284" s="0" t="n">
        <v>65.4</v>
      </c>
      <c r="H1284" s="0" t="n">
        <v>0</v>
      </c>
      <c r="I1284" s="0" t="n">
        <v>0</v>
      </c>
      <c r="J1284" s="0" t="n">
        <v>0</v>
      </c>
      <c r="K1284" s="0" t="n">
        <v>13.28</v>
      </c>
      <c r="L1284" s="0" t="n">
        <v>0.46</v>
      </c>
      <c r="M1284" s="0" t="n">
        <v>0.16</v>
      </c>
      <c r="N1284" s="0" t="n">
        <v>0</v>
      </c>
      <c r="O1284" s="0" t="n">
        <v>492.69</v>
      </c>
    </row>
    <row r="1285" customFormat="false" ht="15" hidden="false" customHeight="false" outlineLevel="0" collapsed="false">
      <c r="A1285" s="0" t="s">
        <v>277</v>
      </c>
      <c r="B1285" s="0" t="s">
        <v>516</v>
      </c>
      <c r="C1285" s="0" t="n">
        <v>2015</v>
      </c>
      <c r="D1285" s="0" t="n">
        <v>60575314</v>
      </c>
      <c r="E1285" s="0" t="n">
        <v>279.7</v>
      </c>
      <c r="F1285" s="0" t="n">
        <v>43.2</v>
      </c>
      <c r="G1285" s="0" t="n">
        <v>110.88</v>
      </c>
      <c r="H1285" s="0" t="n">
        <v>16.73</v>
      </c>
      <c r="I1285" s="0" t="n">
        <v>0</v>
      </c>
      <c r="J1285" s="0" t="n">
        <v>45.54</v>
      </c>
      <c r="K1285" s="0" t="n">
        <v>22.94</v>
      </c>
      <c r="L1285" s="0" t="n">
        <v>14.84</v>
      </c>
      <c r="M1285" s="0" t="n">
        <v>19.39</v>
      </c>
      <c r="N1285" s="0" t="n">
        <v>6.18</v>
      </c>
      <c r="O1285" s="0" t="n">
        <v>398.68</v>
      </c>
    </row>
    <row r="1286" customFormat="false" ht="15" hidden="false" customHeight="false" outlineLevel="0" collapsed="false">
      <c r="A1286" s="0" t="s">
        <v>277</v>
      </c>
      <c r="B1286" s="0" t="s">
        <v>516</v>
      </c>
      <c r="C1286" s="0" t="n">
        <v>2016</v>
      </c>
      <c r="D1286" s="0" t="n">
        <v>60478103</v>
      </c>
      <c r="E1286" s="0" t="n">
        <v>285.95</v>
      </c>
      <c r="F1286" s="0" t="n">
        <v>35.61</v>
      </c>
      <c r="G1286" s="0" t="n">
        <v>126.17</v>
      </c>
      <c r="H1286" s="0" t="n">
        <v>16.16</v>
      </c>
      <c r="I1286" s="0" t="n">
        <v>0</v>
      </c>
      <c r="J1286" s="0" t="n">
        <v>42.43</v>
      </c>
      <c r="K1286" s="0" t="n">
        <v>22.1</v>
      </c>
      <c r="L1286" s="0" t="n">
        <v>17.69</v>
      </c>
      <c r="M1286" s="0" t="n">
        <v>19.5</v>
      </c>
      <c r="N1286" s="0" t="n">
        <v>6.29</v>
      </c>
      <c r="O1286" s="0" t="n">
        <v>389.58</v>
      </c>
    </row>
    <row r="1287" customFormat="false" ht="15" hidden="false" customHeight="false" outlineLevel="0" collapsed="false">
      <c r="A1287" s="0" t="s">
        <v>277</v>
      </c>
      <c r="B1287" s="0" t="s">
        <v>516</v>
      </c>
      <c r="C1287" s="0" t="n">
        <v>2017</v>
      </c>
      <c r="D1287" s="0" t="n">
        <v>60390317</v>
      </c>
      <c r="E1287" s="0" t="n">
        <v>292.09</v>
      </c>
      <c r="F1287" s="0" t="n">
        <v>32.63</v>
      </c>
      <c r="G1287" s="0" t="n">
        <v>140.36</v>
      </c>
      <c r="H1287" s="0" t="n">
        <v>15.21</v>
      </c>
      <c r="I1287" s="0" t="n">
        <v>0</v>
      </c>
      <c r="J1287" s="0" t="n">
        <v>36.2</v>
      </c>
      <c r="K1287" s="0" t="n">
        <v>24.38</v>
      </c>
      <c r="L1287" s="0" t="n">
        <v>17.74</v>
      </c>
      <c r="M1287" s="0" t="n">
        <v>19.37</v>
      </c>
      <c r="N1287" s="0" t="n">
        <v>6.2</v>
      </c>
      <c r="O1287" s="0" t="n">
        <v>392.82</v>
      </c>
    </row>
    <row r="1288" customFormat="false" ht="15" hidden="false" customHeight="false" outlineLevel="0" collapsed="false">
      <c r="A1288" s="0" t="s">
        <v>277</v>
      </c>
      <c r="B1288" s="0" t="s">
        <v>516</v>
      </c>
      <c r="C1288" s="0" t="n">
        <v>2018</v>
      </c>
      <c r="D1288" s="0" t="n">
        <v>60277496</v>
      </c>
      <c r="E1288" s="0" t="n">
        <v>286.06</v>
      </c>
      <c r="F1288" s="0" t="n">
        <v>28.47</v>
      </c>
      <c r="G1288" s="0" t="n">
        <v>128.56</v>
      </c>
      <c r="H1288" s="0" t="n">
        <v>14.62</v>
      </c>
      <c r="I1288" s="0" t="n">
        <v>0</v>
      </c>
      <c r="J1288" s="0" t="n">
        <v>48.79</v>
      </c>
      <c r="K1288" s="0" t="n">
        <v>22.65</v>
      </c>
      <c r="L1288" s="0" t="n">
        <v>17.72</v>
      </c>
      <c r="M1288" s="0" t="n">
        <v>19.14</v>
      </c>
      <c r="N1288" s="0" t="n">
        <v>6.11</v>
      </c>
      <c r="O1288" s="0" t="n">
        <v>366.88</v>
      </c>
    </row>
    <row r="1289" customFormat="false" ht="15" hidden="false" customHeight="false" outlineLevel="0" collapsed="false">
      <c r="A1289" s="0" t="s">
        <v>277</v>
      </c>
      <c r="B1289" s="0" t="s">
        <v>516</v>
      </c>
      <c r="C1289" s="0" t="n">
        <v>2019</v>
      </c>
      <c r="D1289" s="0" t="n">
        <v>60130136</v>
      </c>
      <c r="E1289" s="0" t="n">
        <v>289.99</v>
      </c>
      <c r="F1289" s="0" t="n">
        <v>18.84</v>
      </c>
      <c r="G1289" s="0" t="n">
        <v>141.7</v>
      </c>
      <c r="H1289" s="0" t="n">
        <v>13.62</v>
      </c>
      <c r="I1289" s="0" t="n">
        <v>0</v>
      </c>
      <c r="J1289" s="0" t="n">
        <v>46.32</v>
      </c>
      <c r="K1289" s="0" t="n">
        <v>23.69</v>
      </c>
      <c r="L1289" s="0" t="n">
        <v>20.2</v>
      </c>
      <c r="M1289" s="0" t="n">
        <v>19.55</v>
      </c>
      <c r="N1289" s="0" t="n">
        <v>6.07</v>
      </c>
      <c r="O1289" s="0" t="n">
        <v>351.32</v>
      </c>
    </row>
    <row r="1290" customFormat="false" ht="15" hidden="false" customHeight="false" outlineLevel="0" collapsed="false">
      <c r="A1290" s="0" t="s">
        <v>277</v>
      </c>
      <c r="B1290" s="0" t="s">
        <v>516</v>
      </c>
      <c r="C1290" s="0" t="n">
        <v>2020</v>
      </c>
      <c r="D1290" s="0" t="n">
        <v>59912763</v>
      </c>
      <c r="E1290" s="0" t="n">
        <v>276.81</v>
      </c>
      <c r="F1290" s="0" t="n">
        <v>13.38</v>
      </c>
      <c r="G1290" s="0" t="n">
        <v>133.7</v>
      </c>
      <c r="H1290" s="0" t="n">
        <v>12.83</v>
      </c>
      <c r="I1290" s="0" t="n">
        <v>0</v>
      </c>
      <c r="J1290" s="0" t="n">
        <v>47.55</v>
      </c>
      <c r="K1290" s="0" t="n">
        <v>24.94</v>
      </c>
      <c r="L1290" s="0" t="n">
        <v>18.76</v>
      </c>
      <c r="M1290" s="0" t="n">
        <v>19.62</v>
      </c>
      <c r="N1290" s="0" t="n">
        <v>6.03</v>
      </c>
      <c r="O1290" s="0" t="n">
        <v>334.2</v>
      </c>
    </row>
    <row r="1291" customFormat="false" ht="15" hidden="false" customHeight="false" outlineLevel="0" collapsed="false">
      <c r="A1291" s="0" t="s">
        <v>277</v>
      </c>
      <c r="B1291" s="0" t="s">
        <v>516</v>
      </c>
      <c r="C1291" s="0" t="n">
        <v>2021</v>
      </c>
      <c r="D1291" s="0" t="n">
        <v>59729353</v>
      </c>
      <c r="E1291" s="0" t="n">
        <v>285.49</v>
      </c>
      <c r="F1291" s="0" t="n">
        <v>14.02</v>
      </c>
      <c r="G1291" s="0" t="n">
        <v>144.01</v>
      </c>
      <c r="H1291" s="0" t="n">
        <v>11.13</v>
      </c>
      <c r="I1291" s="0" t="n">
        <v>0</v>
      </c>
      <c r="J1291" s="0" t="n">
        <v>45.39</v>
      </c>
      <c r="K1291" s="0" t="n">
        <v>25.04</v>
      </c>
      <c r="L1291" s="0" t="n">
        <v>20.93</v>
      </c>
      <c r="M1291" s="0" t="n">
        <v>19.06</v>
      </c>
      <c r="N1291" s="0" t="n">
        <v>5.91</v>
      </c>
      <c r="O1291" s="0" t="n">
        <v>339.1</v>
      </c>
    </row>
    <row r="1292" customFormat="false" ht="15" hidden="false" customHeight="false" outlineLevel="0" collapsed="false">
      <c r="A1292" s="0" t="s">
        <v>277</v>
      </c>
      <c r="B1292" s="0" t="s">
        <v>516</v>
      </c>
      <c r="C1292" s="0" t="n">
        <v>2022</v>
      </c>
      <c r="D1292" s="0" t="n">
        <v>59619106</v>
      </c>
      <c r="E1292" s="0" t="n">
        <v>280.17</v>
      </c>
      <c r="F1292" s="0" t="n">
        <v>22.61</v>
      </c>
      <c r="G1292" s="0" t="n">
        <v>141.47</v>
      </c>
      <c r="H1292" s="0" t="n">
        <v>15.63</v>
      </c>
      <c r="I1292" s="0" t="n">
        <v>0</v>
      </c>
      <c r="J1292" s="0" t="n">
        <v>28.4</v>
      </c>
      <c r="K1292" s="0" t="n">
        <v>28.12</v>
      </c>
      <c r="L1292" s="0" t="n">
        <v>20.49</v>
      </c>
      <c r="M1292" s="0" t="n">
        <v>17.61</v>
      </c>
      <c r="N1292" s="0" t="n">
        <v>5.84</v>
      </c>
      <c r="O1292" s="0" t="n">
        <v>377.84</v>
      </c>
    </row>
    <row r="1293" customFormat="false" ht="15" hidden="false" customHeight="false" outlineLevel="0" collapsed="false">
      <c r="A1293" s="0" t="s">
        <v>277</v>
      </c>
      <c r="B1293" s="0" t="s">
        <v>516</v>
      </c>
      <c r="C1293" s="0" t="n">
        <v>2023</v>
      </c>
      <c r="D1293" s="0" t="n">
        <v>59499452</v>
      </c>
      <c r="E1293" s="0" t="n">
        <v>261.55</v>
      </c>
      <c r="F1293" s="0" t="n">
        <v>13.22</v>
      </c>
      <c r="G1293" s="0" t="n">
        <v>119.02</v>
      </c>
      <c r="H1293" s="0" t="n">
        <v>12.79</v>
      </c>
      <c r="I1293" s="0" t="n">
        <v>0</v>
      </c>
      <c r="J1293" s="0" t="n">
        <v>40.52</v>
      </c>
      <c r="K1293" s="0" t="n">
        <v>30.71</v>
      </c>
      <c r="L1293" s="0" t="n">
        <v>23.59</v>
      </c>
      <c r="M1293" s="0" t="n">
        <v>16.01</v>
      </c>
      <c r="N1293" s="0" t="n">
        <v>5.69</v>
      </c>
      <c r="O1293" s="0" t="n">
        <v>323.23</v>
      </c>
    </row>
    <row r="1294" customFormat="false" ht="15" hidden="false" customHeight="false" outlineLevel="0" collapsed="false">
      <c r="A1294" s="0" t="s">
        <v>277</v>
      </c>
      <c r="B1294" s="0" t="s">
        <v>516</v>
      </c>
      <c r="C1294" s="0" t="n">
        <v>2024</v>
      </c>
      <c r="D1294" s="0" t="n">
        <v>59342870</v>
      </c>
      <c r="E1294" s="0" t="n">
        <v>267.56</v>
      </c>
      <c r="F1294" s="0" t="n">
        <v>3.95</v>
      </c>
      <c r="G1294" s="0" t="n">
        <v>118.59</v>
      </c>
      <c r="H1294" s="0" t="n">
        <v>10.78</v>
      </c>
      <c r="I1294" s="0" t="n">
        <v>0</v>
      </c>
      <c r="J1294" s="0" t="n">
        <v>53.13</v>
      </c>
      <c r="K1294" s="0" t="n">
        <v>35.99</v>
      </c>
      <c r="L1294" s="0" t="n">
        <v>22.22</v>
      </c>
      <c r="M1294" s="0" t="n">
        <v>17.23</v>
      </c>
      <c r="N1294" s="0" t="n">
        <v>5.67</v>
      </c>
      <c r="O1294" s="0" t="n">
        <v>281.4</v>
      </c>
    </row>
    <row r="1295" customFormat="false" ht="15" hidden="false" customHeight="false" outlineLevel="0" collapsed="false">
      <c r="A1295" s="0" t="s">
        <v>277</v>
      </c>
      <c r="B1295" s="0" t="s">
        <v>516</v>
      </c>
      <c r="C1295" s="0" t="n">
        <v>2025</v>
      </c>
      <c r="D1295" s="0" t="n">
        <v>59146263</v>
      </c>
      <c r="E1295" s="0" t="n">
        <v>264.7</v>
      </c>
      <c r="F1295" s="0" t="n">
        <v>3.73</v>
      </c>
      <c r="G1295" s="0" t="n">
        <v>125.05</v>
      </c>
      <c r="H1295" s="0" t="n">
        <v>6.81</v>
      </c>
      <c r="I1295" s="0" t="n">
        <v>0</v>
      </c>
      <c r="J1295" s="0" t="n">
        <v>41.7</v>
      </c>
      <c r="K1295" s="0" t="n">
        <v>44.63</v>
      </c>
      <c r="L1295" s="0" t="n">
        <v>21.48</v>
      </c>
      <c r="M1295" s="0" t="n">
        <v>15.61</v>
      </c>
      <c r="N1295" s="0" t="n">
        <v>5.69</v>
      </c>
      <c r="O1295" s="0" t="n">
        <v>284.78</v>
      </c>
    </row>
    <row r="1296" customFormat="false" ht="15" hidden="false" customHeight="false" outlineLevel="0" collapsed="false">
      <c r="A1296" s="0" t="s">
        <v>278</v>
      </c>
      <c r="B1296" s="0" t="s">
        <v>517</v>
      </c>
      <c r="C1296" s="0" t="n">
        <v>2015</v>
      </c>
      <c r="D1296" s="0" t="n">
        <v>2802536</v>
      </c>
      <c r="E1296" s="0" t="n">
        <v>4.28</v>
      </c>
      <c r="F1296" s="0" t="n">
        <v>0</v>
      </c>
      <c r="G1296" s="0" t="n">
        <v>0</v>
      </c>
      <c r="H1296" s="0" t="n">
        <v>3.84</v>
      </c>
      <c r="I1296" s="0" t="n">
        <v>0</v>
      </c>
      <c r="J1296" s="0" t="n">
        <v>0.13</v>
      </c>
      <c r="K1296" s="0" t="n">
        <v>0.01</v>
      </c>
      <c r="L1296" s="0" t="n">
        <v>0.13</v>
      </c>
      <c r="M1296" s="0" t="n">
        <v>0.17</v>
      </c>
      <c r="N1296" s="0" t="n">
        <v>0</v>
      </c>
      <c r="O1296" s="0" t="n">
        <v>600.47</v>
      </c>
    </row>
    <row r="1297" customFormat="false" ht="15" hidden="false" customHeight="false" outlineLevel="0" collapsed="false">
      <c r="A1297" s="0" t="s">
        <v>278</v>
      </c>
      <c r="B1297" s="0" t="s">
        <v>517</v>
      </c>
      <c r="C1297" s="0" t="n">
        <v>2016</v>
      </c>
      <c r="D1297" s="0" t="n">
        <v>2809919</v>
      </c>
      <c r="E1297" s="0" t="n">
        <v>4.49</v>
      </c>
      <c r="F1297" s="0" t="n">
        <v>0</v>
      </c>
      <c r="G1297" s="0" t="n">
        <v>0.05</v>
      </c>
      <c r="H1297" s="0" t="n">
        <v>3.89</v>
      </c>
      <c r="I1297" s="0" t="n">
        <v>0</v>
      </c>
      <c r="J1297" s="0" t="n">
        <v>0.12</v>
      </c>
      <c r="K1297" s="0" t="n">
        <v>0.01</v>
      </c>
      <c r="L1297" s="0" t="n">
        <v>0.21</v>
      </c>
      <c r="M1297" s="0" t="n">
        <v>0.21</v>
      </c>
      <c r="N1297" s="0" t="n">
        <v>0</v>
      </c>
      <c r="O1297" s="0" t="n">
        <v>587.97</v>
      </c>
    </row>
    <row r="1298" customFormat="false" ht="15" hidden="false" customHeight="false" outlineLevel="0" collapsed="false">
      <c r="A1298" s="0" t="s">
        <v>278</v>
      </c>
      <c r="B1298" s="0" t="s">
        <v>517</v>
      </c>
      <c r="C1298" s="0" t="n">
        <v>2017</v>
      </c>
      <c r="D1298" s="0" t="n">
        <v>2815765</v>
      </c>
      <c r="E1298" s="0" t="n">
        <v>4.38</v>
      </c>
      <c r="F1298" s="0" t="n">
        <v>0</v>
      </c>
      <c r="G1298" s="0" t="n">
        <v>0.82</v>
      </c>
      <c r="H1298" s="0" t="n">
        <v>3.05</v>
      </c>
      <c r="I1298" s="0" t="n">
        <v>0</v>
      </c>
      <c r="J1298" s="0" t="n">
        <v>0.15</v>
      </c>
      <c r="K1298" s="0" t="n">
        <v>0.04</v>
      </c>
      <c r="L1298" s="0" t="n">
        <v>0.25</v>
      </c>
      <c r="M1298" s="0" t="n">
        <v>0.07</v>
      </c>
      <c r="N1298" s="0" t="n">
        <v>0</v>
      </c>
      <c r="O1298" s="0" t="n">
        <v>579.91</v>
      </c>
    </row>
    <row r="1299" customFormat="false" ht="15" hidden="false" customHeight="false" outlineLevel="0" collapsed="false">
      <c r="A1299" s="0" t="s">
        <v>278</v>
      </c>
      <c r="B1299" s="0" t="s">
        <v>517</v>
      </c>
      <c r="C1299" s="0" t="n">
        <v>2018</v>
      </c>
      <c r="D1299" s="0" t="n">
        <v>2820103</v>
      </c>
      <c r="E1299" s="0" t="n">
        <v>3.96</v>
      </c>
      <c r="F1299" s="0" t="n">
        <v>0</v>
      </c>
      <c r="G1299" s="0" t="n">
        <v>0.47</v>
      </c>
      <c r="H1299" s="0" t="n">
        <v>2.91</v>
      </c>
      <c r="I1299" s="0" t="n">
        <v>0</v>
      </c>
      <c r="J1299" s="0" t="n">
        <v>0.18</v>
      </c>
      <c r="K1299" s="0" t="n">
        <v>0.05</v>
      </c>
      <c r="L1299" s="0" t="n">
        <v>0.3</v>
      </c>
      <c r="M1299" s="0" t="n">
        <v>0.05</v>
      </c>
      <c r="N1299" s="0" t="n">
        <v>0</v>
      </c>
      <c r="O1299" s="0" t="n">
        <v>558.08</v>
      </c>
    </row>
    <row r="1300" customFormat="false" ht="15" hidden="false" customHeight="false" outlineLevel="0" collapsed="false">
      <c r="A1300" s="0" t="s">
        <v>278</v>
      </c>
      <c r="B1300" s="0" t="s">
        <v>517</v>
      </c>
      <c r="C1300" s="0" t="n">
        <v>2019</v>
      </c>
      <c r="D1300" s="0" t="n">
        <v>2823275</v>
      </c>
      <c r="E1300" s="0" t="n">
        <v>4.64</v>
      </c>
      <c r="F1300" s="0" t="n">
        <v>0</v>
      </c>
      <c r="G1300" s="0" t="n">
        <v>1.26</v>
      </c>
      <c r="H1300" s="0" t="n">
        <v>2.79</v>
      </c>
      <c r="I1300" s="0" t="n">
        <v>0</v>
      </c>
      <c r="J1300" s="0" t="n">
        <v>0.16</v>
      </c>
      <c r="K1300" s="0" t="n">
        <v>0.09</v>
      </c>
      <c r="L1300" s="0" t="n">
        <v>0.27</v>
      </c>
      <c r="M1300" s="0" t="n">
        <v>0.07</v>
      </c>
      <c r="N1300" s="0" t="n">
        <v>0</v>
      </c>
      <c r="O1300" s="0" t="n">
        <v>571.12</v>
      </c>
    </row>
    <row r="1301" customFormat="false" ht="15" hidden="false" customHeight="false" outlineLevel="0" collapsed="false">
      <c r="A1301" s="0" t="s">
        <v>278</v>
      </c>
      <c r="B1301" s="0" t="s">
        <v>517</v>
      </c>
      <c r="C1301" s="0" t="n">
        <v>2020</v>
      </c>
      <c r="D1301" s="0" t="n">
        <v>2830745</v>
      </c>
      <c r="E1301" s="0" t="n">
        <v>4.28</v>
      </c>
      <c r="F1301" s="0" t="n">
        <v>0</v>
      </c>
      <c r="G1301" s="0" t="n">
        <v>2.48</v>
      </c>
      <c r="H1301" s="0" t="n">
        <v>1.21</v>
      </c>
      <c r="I1301" s="0" t="n">
        <v>0</v>
      </c>
      <c r="J1301" s="0" t="n">
        <v>0.14</v>
      </c>
      <c r="K1301" s="0" t="n">
        <v>0.12</v>
      </c>
      <c r="L1301" s="0" t="n">
        <v>0.28</v>
      </c>
      <c r="M1301" s="0" t="n">
        <v>0.05</v>
      </c>
      <c r="N1301" s="0" t="n">
        <v>0</v>
      </c>
      <c r="O1301" s="0" t="n">
        <v>553.74</v>
      </c>
    </row>
    <row r="1302" customFormat="false" ht="15" hidden="false" customHeight="false" outlineLevel="0" collapsed="false">
      <c r="A1302" s="0" t="s">
        <v>278</v>
      </c>
      <c r="B1302" s="0" t="s">
        <v>517</v>
      </c>
      <c r="C1302" s="0" t="n">
        <v>2021</v>
      </c>
      <c r="D1302" s="0" t="n">
        <v>2837680</v>
      </c>
      <c r="E1302" s="0" t="n">
        <v>4.35</v>
      </c>
      <c r="F1302" s="0" t="n">
        <v>0</v>
      </c>
      <c r="G1302" s="0" t="n">
        <v>2.54</v>
      </c>
      <c r="H1302" s="0" t="n">
        <v>1.23</v>
      </c>
      <c r="I1302" s="0" t="n">
        <v>0</v>
      </c>
      <c r="J1302" s="0" t="n">
        <v>0.14</v>
      </c>
      <c r="K1302" s="0" t="n">
        <v>0.13</v>
      </c>
      <c r="L1302" s="0" t="n">
        <v>0.26</v>
      </c>
      <c r="M1302" s="0" t="n">
        <v>0.05</v>
      </c>
      <c r="N1302" s="0" t="n">
        <v>0</v>
      </c>
      <c r="O1302" s="0" t="n">
        <v>556.32</v>
      </c>
    </row>
    <row r="1303" customFormat="false" ht="15" hidden="false" customHeight="false" outlineLevel="0" collapsed="false">
      <c r="A1303" s="0" t="s">
        <v>278</v>
      </c>
      <c r="B1303" s="0" t="s">
        <v>517</v>
      </c>
      <c r="C1303" s="0" t="n">
        <v>2022</v>
      </c>
      <c r="D1303" s="0" t="n">
        <v>2839150</v>
      </c>
      <c r="E1303" s="0" t="n">
        <v>4.49</v>
      </c>
      <c r="F1303" s="0" t="n">
        <v>0</v>
      </c>
      <c r="G1303" s="0" t="n">
        <v>2.39</v>
      </c>
      <c r="H1303" s="0" t="n">
        <v>1.52</v>
      </c>
      <c r="I1303" s="0" t="n">
        <v>0</v>
      </c>
      <c r="J1303" s="0" t="n">
        <v>0.12</v>
      </c>
      <c r="K1303" s="0" t="n">
        <v>0.13</v>
      </c>
      <c r="L1303" s="0" t="n">
        <v>0.27</v>
      </c>
      <c r="M1303" s="0" t="n">
        <v>0.06</v>
      </c>
      <c r="N1303" s="0" t="n">
        <v>0</v>
      </c>
      <c r="O1303" s="0" t="n">
        <v>561.25</v>
      </c>
    </row>
    <row r="1304" customFormat="false" ht="15" hidden="false" customHeight="false" outlineLevel="0" collapsed="false">
      <c r="A1304" s="0" t="s">
        <v>278</v>
      </c>
      <c r="B1304" s="0" t="s">
        <v>517</v>
      </c>
      <c r="C1304" s="0" t="n">
        <v>2023</v>
      </c>
      <c r="D1304" s="0" t="n">
        <v>2839785</v>
      </c>
      <c r="E1304" s="0" t="n">
        <v>4.77</v>
      </c>
      <c r="F1304" s="0" t="n">
        <v>0</v>
      </c>
      <c r="G1304" s="0" t="n">
        <v>2.81</v>
      </c>
      <c r="H1304" s="0" t="n">
        <v>1.38</v>
      </c>
      <c r="I1304" s="0" t="n">
        <v>0</v>
      </c>
      <c r="J1304" s="0" t="n">
        <v>0.12</v>
      </c>
      <c r="K1304" s="0" t="n">
        <v>0.13</v>
      </c>
      <c r="L1304" s="0" t="n">
        <v>0.27</v>
      </c>
      <c r="M1304" s="0" t="n">
        <v>0.06</v>
      </c>
      <c r="N1304" s="0" t="n">
        <v>0</v>
      </c>
      <c r="O1304" s="0" t="n">
        <v>563.94</v>
      </c>
    </row>
    <row r="1305" customFormat="false" ht="15" hidden="false" customHeight="false" outlineLevel="0" collapsed="false">
      <c r="A1305" s="0" t="s">
        <v>278</v>
      </c>
      <c r="B1305" s="0" t="s">
        <v>517</v>
      </c>
      <c r="C1305" s="0" t="n">
        <v>2024</v>
      </c>
      <c r="D1305" s="0" t="n">
        <v>2839182</v>
      </c>
      <c r="E1305" s="0" t="n">
        <v>4.92</v>
      </c>
      <c r="F1305" s="0" t="n">
        <v>0</v>
      </c>
      <c r="G1305" s="0" t="n">
        <v>2.8</v>
      </c>
      <c r="H1305" s="0" t="n">
        <v>1.5</v>
      </c>
      <c r="I1305" s="0" t="n">
        <v>0</v>
      </c>
      <c r="J1305" s="0" t="n">
        <v>0.12</v>
      </c>
      <c r="K1305" s="0" t="n">
        <v>0.15</v>
      </c>
      <c r="L1305" s="0" t="n">
        <v>0.29</v>
      </c>
      <c r="M1305" s="0" t="n">
        <v>0.06</v>
      </c>
      <c r="N1305" s="0" t="n">
        <v>0</v>
      </c>
      <c r="O1305" s="0" t="n">
        <v>563.01</v>
      </c>
    </row>
    <row r="1306" customFormat="false" ht="15" hidden="false" customHeight="false" outlineLevel="0" collapsed="false">
      <c r="A1306" s="0" t="s">
        <v>279</v>
      </c>
      <c r="B1306" s="0" t="s">
        <v>518</v>
      </c>
      <c r="C1306" s="0" t="n">
        <v>2015</v>
      </c>
      <c r="D1306" s="0" t="n">
        <v>127275868</v>
      </c>
      <c r="E1306" s="0" t="n">
        <v>1030.12</v>
      </c>
      <c r="F1306" s="0" t="n">
        <v>349.64</v>
      </c>
      <c r="G1306" s="0" t="n">
        <v>417.5</v>
      </c>
      <c r="H1306" s="0" t="n">
        <v>104.44</v>
      </c>
      <c r="I1306" s="0" t="n">
        <v>4.52</v>
      </c>
      <c r="J1306" s="0" t="n">
        <v>85.77</v>
      </c>
      <c r="K1306" s="0" t="n">
        <v>34.54</v>
      </c>
      <c r="L1306" s="0" t="n">
        <v>5.22</v>
      </c>
      <c r="M1306" s="0" t="n">
        <v>28.49</v>
      </c>
      <c r="O1306" s="0" t="n">
        <v>578.05</v>
      </c>
    </row>
    <row r="1307" customFormat="false" ht="15" hidden="false" customHeight="false" outlineLevel="0" collapsed="false">
      <c r="A1307" s="0" t="s">
        <v>279</v>
      </c>
      <c r="B1307" s="0" t="s">
        <v>518</v>
      </c>
      <c r="C1307" s="0" t="n">
        <v>2016</v>
      </c>
      <c r="D1307" s="0" t="n">
        <v>127159950</v>
      </c>
      <c r="E1307" s="0" t="n">
        <v>1063.7</v>
      </c>
      <c r="F1307" s="0" t="n">
        <v>338.59</v>
      </c>
      <c r="G1307" s="0" t="n">
        <v>458.43</v>
      </c>
      <c r="H1307" s="0" t="n">
        <v>97.23</v>
      </c>
      <c r="I1307" s="0" t="n">
        <v>17.68</v>
      </c>
      <c r="J1307" s="0" t="n">
        <v>79.43</v>
      </c>
      <c r="K1307" s="0" t="n">
        <v>43.33</v>
      </c>
      <c r="L1307" s="0" t="n">
        <v>5.34</v>
      </c>
      <c r="M1307" s="0" t="n">
        <v>23.67</v>
      </c>
      <c r="O1307" s="0" t="n">
        <v>567.04</v>
      </c>
    </row>
    <row r="1308" customFormat="false" ht="15" hidden="false" customHeight="false" outlineLevel="0" collapsed="false">
      <c r="A1308" s="0" t="s">
        <v>279</v>
      </c>
      <c r="B1308" s="0" t="s">
        <v>518</v>
      </c>
      <c r="C1308" s="0" t="n">
        <v>2017</v>
      </c>
      <c r="D1308" s="0" t="n">
        <v>127064686</v>
      </c>
      <c r="E1308" s="0" t="n">
        <v>1076.86</v>
      </c>
      <c r="F1308" s="0" t="n">
        <v>363.47</v>
      </c>
      <c r="G1308" s="0" t="n">
        <v>464.13</v>
      </c>
      <c r="H1308" s="0" t="n">
        <v>56.89</v>
      </c>
      <c r="I1308" s="0" t="n">
        <v>29.07</v>
      </c>
      <c r="J1308" s="0" t="n">
        <v>79.24</v>
      </c>
      <c r="K1308" s="0" t="n">
        <v>54.04</v>
      </c>
      <c r="L1308" s="0" t="n">
        <v>6.22</v>
      </c>
      <c r="M1308" s="0" t="n">
        <v>23.8</v>
      </c>
      <c r="O1308" s="0" t="n">
        <v>558.03</v>
      </c>
    </row>
    <row r="1309" customFormat="false" ht="15" hidden="false" customHeight="false" outlineLevel="0" collapsed="false">
      <c r="A1309" s="0" t="s">
        <v>279</v>
      </c>
      <c r="B1309" s="0" t="s">
        <v>518</v>
      </c>
      <c r="C1309" s="0" t="n">
        <v>2018</v>
      </c>
      <c r="D1309" s="0" t="n">
        <v>126913432</v>
      </c>
      <c r="E1309" s="0" t="n">
        <v>1082.93</v>
      </c>
      <c r="F1309" s="0" t="n">
        <v>360.66</v>
      </c>
      <c r="G1309" s="0" t="n">
        <v>445.61</v>
      </c>
      <c r="H1309" s="0" t="n">
        <v>52.21</v>
      </c>
      <c r="I1309" s="0" t="n">
        <v>49.11</v>
      </c>
      <c r="J1309" s="0" t="n">
        <v>81</v>
      </c>
      <c r="K1309" s="0" t="n">
        <v>61.22</v>
      </c>
      <c r="L1309" s="0" t="n">
        <v>7.37</v>
      </c>
      <c r="M1309" s="0" t="n">
        <v>25.75</v>
      </c>
      <c r="O1309" s="0" t="n">
        <v>541.47</v>
      </c>
    </row>
    <row r="1310" customFormat="false" ht="15" hidden="false" customHeight="false" outlineLevel="0" collapsed="false">
      <c r="A1310" s="0" t="s">
        <v>279</v>
      </c>
      <c r="B1310" s="0" t="s">
        <v>518</v>
      </c>
      <c r="C1310" s="0" t="n">
        <v>2019</v>
      </c>
      <c r="D1310" s="0" t="n">
        <v>126699421</v>
      </c>
      <c r="E1310" s="0" t="n">
        <v>1047.4</v>
      </c>
      <c r="F1310" s="0" t="n">
        <v>350.77</v>
      </c>
      <c r="G1310" s="0" t="n">
        <v>416.95</v>
      </c>
      <c r="H1310" s="0" t="n">
        <v>37.63</v>
      </c>
      <c r="I1310" s="0" t="n">
        <v>65.64</v>
      </c>
      <c r="J1310" s="0" t="n">
        <v>73.92</v>
      </c>
      <c r="K1310" s="0" t="n">
        <v>67.43</v>
      </c>
      <c r="L1310" s="0" t="n">
        <v>7.46</v>
      </c>
      <c r="M1310" s="0" t="n">
        <v>27.6</v>
      </c>
      <c r="O1310" s="0" t="n">
        <v>528.49</v>
      </c>
    </row>
    <row r="1311" customFormat="false" ht="15" hidden="false" customHeight="false" outlineLevel="0" collapsed="false">
      <c r="A1311" s="0" t="s">
        <v>279</v>
      </c>
      <c r="B1311" s="0" t="s">
        <v>518</v>
      </c>
      <c r="C1311" s="0" t="n">
        <v>2020</v>
      </c>
      <c r="D1311" s="0" t="n">
        <v>126304533</v>
      </c>
      <c r="E1311" s="0" t="n">
        <v>1011.03</v>
      </c>
      <c r="F1311" s="0" t="n">
        <v>340.25</v>
      </c>
      <c r="G1311" s="0" t="n">
        <v>409.44</v>
      </c>
      <c r="H1311" s="0" t="n">
        <v>25.31</v>
      </c>
      <c r="I1311" s="0" t="n">
        <v>43</v>
      </c>
      <c r="J1311" s="0" t="n">
        <v>78.33</v>
      </c>
      <c r="K1311" s="0" t="n">
        <v>75.92</v>
      </c>
      <c r="L1311" s="0" t="n">
        <v>8.41</v>
      </c>
      <c r="M1311" s="0" t="n">
        <v>30.37</v>
      </c>
      <c r="O1311" s="0" t="n">
        <v>527.75</v>
      </c>
    </row>
    <row r="1312" customFormat="false" ht="15" hidden="false" customHeight="false" outlineLevel="0" collapsed="false">
      <c r="A1312" s="0" t="s">
        <v>279</v>
      </c>
      <c r="B1312" s="0" t="s">
        <v>518</v>
      </c>
      <c r="C1312" s="0" t="n">
        <v>2021</v>
      </c>
      <c r="D1312" s="0" t="n">
        <v>125679342</v>
      </c>
      <c r="E1312" s="0" t="n">
        <v>1034.67</v>
      </c>
      <c r="F1312" s="0" t="n">
        <v>348.26</v>
      </c>
      <c r="G1312" s="0" t="n">
        <v>385.78</v>
      </c>
      <c r="H1312" s="0" t="n">
        <v>31.27</v>
      </c>
      <c r="I1312" s="0" t="n">
        <v>61.22</v>
      </c>
      <c r="J1312" s="0" t="n">
        <v>79.63</v>
      </c>
      <c r="K1312" s="0" t="n">
        <v>84.18</v>
      </c>
      <c r="L1312" s="0" t="n">
        <v>9.54</v>
      </c>
      <c r="M1312" s="0" t="n">
        <v>34.79</v>
      </c>
      <c r="O1312" s="0" t="n">
        <v>514.49</v>
      </c>
    </row>
    <row r="1313" customFormat="false" ht="15" hidden="false" customHeight="false" outlineLevel="0" collapsed="false">
      <c r="A1313" s="0" t="s">
        <v>279</v>
      </c>
      <c r="B1313" s="0" t="s">
        <v>518</v>
      </c>
      <c r="C1313" s="0" t="n">
        <v>2022</v>
      </c>
      <c r="D1313" s="0" t="n">
        <v>124997585</v>
      </c>
      <c r="E1313" s="0" t="n">
        <v>1040.57</v>
      </c>
      <c r="F1313" s="0" t="n">
        <v>350.99</v>
      </c>
      <c r="G1313" s="0" t="n">
        <v>378.84</v>
      </c>
      <c r="H1313" s="0" t="n">
        <v>45.78</v>
      </c>
      <c r="I1313" s="0" t="n">
        <v>51.77</v>
      </c>
      <c r="J1313" s="0" t="n">
        <v>74.87</v>
      </c>
      <c r="K1313" s="0" t="n">
        <v>91.07</v>
      </c>
      <c r="L1313" s="0" t="n">
        <v>9.42</v>
      </c>
      <c r="M1313" s="0" t="n">
        <v>37.83</v>
      </c>
      <c r="O1313" s="0" t="n">
        <v>519.6</v>
      </c>
    </row>
    <row r="1314" customFormat="false" ht="15" hidden="false" customHeight="false" outlineLevel="0" collapsed="false">
      <c r="A1314" s="0" t="s">
        <v>279</v>
      </c>
      <c r="B1314" s="0" t="s">
        <v>518</v>
      </c>
      <c r="C1314" s="0" t="n">
        <v>2023</v>
      </c>
      <c r="D1314" s="0" t="n">
        <v>124370947</v>
      </c>
      <c r="E1314" s="0" t="n">
        <v>1006.73</v>
      </c>
      <c r="F1314" s="0" t="n">
        <v>326.93</v>
      </c>
      <c r="G1314" s="0" t="n">
        <v>346.98</v>
      </c>
      <c r="H1314" s="0" t="n">
        <v>32.5</v>
      </c>
      <c r="I1314" s="0" t="n">
        <v>77.46</v>
      </c>
      <c r="J1314" s="0" t="n">
        <v>74.53</v>
      </c>
      <c r="K1314" s="0" t="n">
        <v>96.36</v>
      </c>
      <c r="L1314" s="0" t="n">
        <v>9.96</v>
      </c>
      <c r="M1314" s="0" t="n">
        <v>42.01</v>
      </c>
      <c r="O1314" s="0" t="n">
        <v>492.45</v>
      </c>
    </row>
    <row r="1315" customFormat="false" ht="15" hidden="false" customHeight="false" outlineLevel="0" collapsed="false">
      <c r="A1315" s="0" t="s">
        <v>279</v>
      </c>
      <c r="B1315" s="0" t="s">
        <v>518</v>
      </c>
      <c r="C1315" s="0" t="n">
        <v>2024</v>
      </c>
      <c r="D1315" s="0" t="n">
        <v>123753041</v>
      </c>
      <c r="E1315" s="0" t="n">
        <v>1016.39</v>
      </c>
      <c r="F1315" s="0" t="n">
        <v>327.13</v>
      </c>
      <c r="G1315" s="0" t="n">
        <v>346.24</v>
      </c>
      <c r="H1315" s="0" t="n">
        <v>25</v>
      </c>
      <c r="I1315" s="0" t="n">
        <v>84.91</v>
      </c>
      <c r="J1315" s="0" t="n">
        <v>79.45</v>
      </c>
      <c r="K1315" s="0" t="n">
        <v>96.7</v>
      </c>
      <c r="L1315" s="0" t="n">
        <v>11.54</v>
      </c>
      <c r="M1315" s="0" t="n">
        <v>45.42</v>
      </c>
      <c r="O1315" s="0" t="n">
        <v>483.43</v>
      </c>
    </row>
    <row r="1316" customFormat="false" ht="15" hidden="false" customHeight="false" outlineLevel="0" collapsed="false">
      <c r="A1316" s="0" t="s">
        <v>279</v>
      </c>
      <c r="B1316" s="0" t="s">
        <v>518</v>
      </c>
      <c r="C1316" s="0" t="n">
        <v>2025</v>
      </c>
      <c r="D1316" s="0" t="n">
        <v>123103480</v>
      </c>
      <c r="E1316" s="0" t="n">
        <v>1029.86</v>
      </c>
      <c r="F1316" s="0" t="n">
        <v>330.08</v>
      </c>
      <c r="G1316" s="0" t="n">
        <v>337.57</v>
      </c>
      <c r="H1316" s="0" t="n">
        <v>25.39</v>
      </c>
      <c r="I1316" s="0" t="n">
        <v>94.09</v>
      </c>
      <c r="J1316" s="0" t="n">
        <v>73.9</v>
      </c>
      <c r="K1316" s="0" t="n">
        <v>101.06</v>
      </c>
      <c r="L1316" s="0" t="n">
        <v>12.85</v>
      </c>
      <c r="M1316" s="0" t="n">
        <v>54.92</v>
      </c>
      <c r="O1316" s="0" t="n">
        <v>477.26</v>
      </c>
    </row>
    <row r="1317" customFormat="false" ht="15" hidden="false" customHeight="false" outlineLevel="0" collapsed="false">
      <c r="A1317" s="0" t="s">
        <v>280</v>
      </c>
      <c r="B1317" s="0" t="s">
        <v>519</v>
      </c>
      <c r="C1317" s="0" t="n">
        <v>2015</v>
      </c>
      <c r="D1317" s="0" t="n">
        <v>9544730</v>
      </c>
      <c r="E1317" s="0" t="n">
        <v>19.06</v>
      </c>
      <c r="F1317" s="0" t="n">
        <v>0</v>
      </c>
      <c r="G1317" s="0" t="n">
        <v>9.21</v>
      </c>
      <c r="H1317" s="0" t="n">
        <v>9.62</v>
      </c>
      <c r="I1317" s="0" t="n">
        <v>0</v>
      </c>
      <c r="J1317" s="0" t="n">
        <v>0.05</v>
      </c>
      <c r="K1317" s="0" t="n">
        <v>0.05</v>
      </c>
      <c r="L1317" s="0" t="n">
        <v>0.12</v>
      </c>
      <c r="M1317" s="0" t="n">
        <v>0.01</v>
      </c>
      <c r="N1317" s="0" t="n">
        <v>0</v>
      </c>
      <c r="O1317" s="0" t="n">
        <v>666.84</v>
      </c>
    </row>
    <row r="1318" customFormat="false" ht="15" hidden="false" customHeight="false" outlineLevel="0" collapsed="false">
      <c r="A1318" s="0" t="s">
        <v>280</v>
      </c>
      <c r="B1318" s="0" t="s">
        <v>519</v>
      </c>
      <c r="C1318" s="0" t="n">
        <v>2016</v>
      </c>
      <c r="D1318" s="0" t="n">
        <v>10006369</v>
      </c>
      <c r="E1318" s="0" t="n">
        <v>19.67</v>
      </c>
      <c r="F1318" s="0" t="n">
        <v>0</v>
      </c>
      <c r="G1318" s="0" t="n">
        <v>16.64</v>
      </c>
      <c r="H1318" s="0" t="n">
        <v>2.17</v>
      </c>
      <c r="I1318" s="0" t="n">
        <v>0</v>
      </c>
      <c r="J1318" s="0" t="n">
        <v>0.04</v>
      </c>
      <c r="K1318" s="0" t="n">
        <v>0.43</v>
      </c>
      <c r="L1318" s="0" t="n">
        <v>0.39</v>
      </c>
      <c r="M1318" s="0" t="n">
        <v>0</v>
      </c>
      <c r="N1318" s="0" t="n">
        <v>0</v>
      </c>
      <c r="O1318" s="0" t="n">
        <v>659.89</v>
      </c>
    </row>
    <row r="1319" customFormat="false" ht="15" hidden="false" customHeight="false" outlineLevel="0" collapsed="false">
      <c r="A1319" s="0" t="s">
        <v>280</v>
      </c>
      <c r="B1319" s="0" t="s">
        <v>519</v>
      </c>
      <c r="C1319" s="0" t="n">
        <v>2017</v>
      </c>
      <c r="D1319" s="0" t="n">
        <v>10234227</v>
      </c>
      <c r="E1319" s="0" t="n">
        <v>20.78</v>
      </c>
      <c r="F1319" s="0" t="n">
        <v>0</v>
      </c>
      <c r="G1319" s="0" t="n">
        <v>16.56</v>
      </c>
      <c r="H1319" s="0" t="n">
        <v>2.82</v>
      </c>
      <c r="I1319" s="0" t="n">
        <v>0</v>
      </c>
      <c r="J1319" s="0" t="n">
        <v>0.04</v>
      </c>
      <c r="K1319" s="0" t="n">
        <v>0.91</v>
      </c>
      <c r="L1319" s="0" t="n">
        <v>0.45</v>
      </c>
      <c r="M1319" s="0" t="n">
        <v>0</v>
      </c>
      <c r="N1319" s="0" t="n">
        <v>0</v>
      </c>
      <c r="O1319" s="0" t="n">
        <v>643.41</v>
      </c>
    </row>
    <row r="1320" customFormat="false" ht="15" hidden="false" customHeight="false" outlineLevel="0" collapsed="false">
      <c r="A1320" s="0" t="s">
        <v>280</v>
      </c>
      <c r="B1320" s="0" t="s">
        <v>519</v>
      </c>
      <c r="C1320" s="0" t="n">
        <v>2018</v>
      </c>
      <c r="D1320" s="0" t="n">
        <v>10462310</v>
      </c>
      <c r="E1320" s="0" t="n">
        <v>20.37</v>
      </c>
      <c r="F1320" s="0" t="n">
        <v>0</v>
      </c>
      <c r="G1320" s="0" t="n">
        <v>16.95</v>
      </c>
      <c r="H1320" s="0" t="n">
        <v>1.26</v>
      </c>
      <c r="I1320" s="0" t="n">
        <v>0</v>
      </c>
      <c r="J1320" s="0" t="n">
        <v>0.02</v>
      </c>
      <c r="K1320" s="0" t="n">
        <v>1.43</v>
      </c>
      <c r="L1320" s="0" t="n">
        <v>0.71</v>
      </c>
      <c r="M1320" s="0" t="n">
        <v>0</v>
      </c>
      <c r="N1320" s="0" t="n">
        <v>0</v>
      </c>
      <c r="O1320" s="0" t="n">
        <v>621.01</v>
      </c>
    </row>
    <row r="1321" customFormat="false" ht="15" hidden="false" customHeight="false" outlineLevel="0" collapsed="false">
      <c r="A1321" s="0" t="s">
        <v>280</v>
      </c>
      <c r="B1321" s="0" t="s">
        <v>519</v>
      </c>
      <c r="C1321" s="0" t="n">
        <v>2019</v>
      </c>
      <c r="D1321" s="0" t="n">
        <v>10671893</v>
      </c>
      <c r="E1321" s="0" t="n">
        <v>20.53</v>
      </c>
      <c r="F1321" s="0" t="n">
        <v>0</v>
      </c>
      <c r="G1321" s="0" t="n">
        <v>16.66</v>
      </c>
      <c r="H1321" s="0" t="n">
        <v>0.91</v>
      </c>
      <c r="I1321" s="0" t="n">
        <v>0</v>
      </c>
      <c r="J1321" s="0" t="n">
        <v>0.02</v>
      </c>
      <c r="K1321" s="0" t="n">
        <v>2.06</v>
      </c>
      <c r="L1321" s="0" t="n">
        <v>0.88</v>
      </c>
      <c r="M1321" s="0" t="n">
        <v>0</v>
      </c>
      <c r="N1321" s="0" t="n">
        <v>0</v>
      </c>
      <c r="O1321" s="0" t="n">
        <v>596.69</v>
      </c>
    </row>
    <row r="1322" customFormat="false" ht="15" hidden="false" customHeight="false" outlineLevel="0" collapsed="false">
      <c r="A1322" s="0" t="s">
        <v>280</v>
      </c>
      <c r="B1322" s="0" t="s">
        <v>519</v>
      </c>
      <c r="C1322" s="0" t="n">
        <v>2020</v>
      </c>
      <c r="D1322" s="0" t="n">
        <v>10865232</v>
      </c>
      <c r="E1322" s="0" t="n">
        <v>20.7</v>
      </c>
      <c r="F1322" s="0" t="n">
        <v>0</v>
      </c>
      <c r="G1322" s="0" t="n">
        <v>15.95</v>
      </c>
      <c r="H1322" s="0" t="n">
        <v>0.83</v>
      </c>
      <c r="I1322" s="0" t="n">
        <v>0</v>
      </c>
      <c r="J1322" s="0" t="n">
        <v>0.02</v>
      </c>
      <c r="K1322" s="0" t="n">
        <v>2.52</v>
      </c>
      <c r="L1322" s="0" t="n">
        <v>1.38</v>
      </c>
      <c r="M1322" s="0" t="n">
        <v>0</v>
      </c>
      <c r="N1322" s="0" t="n">
        <v>0</v>
      </c>
      <c r="O1322" s="0" t="n">
        <v>566.67</v>
      </c>
    </row>
    <row r="1323" customFormat="false" ht="15" hidden="false" customHeight="false" outlineLevel="0" collapsed="false">
      <c r="A1323" s="0" t="s">
        <v>280</v>
      </c>
      <c r="B1323" s="0" t="s">
        <v>519</v>
      </c>
      <c r="C1323" s="0" t="n">
        <v>2021</v>
      </c>
      <c r="D1323" s="0" t="n">
        <v>11066356</v>
      </c>
      <c r="E1323" s="0" t="n">
        <v>21.36</v>
      </c>
      <c r="F1323" s="0" t="n">
        <v>0</v>
      </c>
      <c r="G1323" s="0" t="n">
        <v>15.52</v>
      </c>
      <c r="H1323" s="0" t="n">
        <v>0.93</v>
      </c>
      <c r="I1323" s="0" t="n">
        <v>0</v>
      </c>
      <c r="J1323" s="0" t="n">
        <v>0.02</v>
      </c>
      <c r="K1323" s="0" t="n">
        <v>3.29</v>
      </c>
      <c r="L1323" s="0" t="n">
        <v>1.6</v>
      </c>
      <c r="M1323" s="0" t="n">
        <v>0</v>
      </c>
      <c r="N1323" s="0" t="n">
        <v>0</v>
      </c>
      <c r="O1323" s="0" t="n">
        <v>540.26</v>
      </c>
    </row>
    <row r="1324" customFormat="false" ht="15" hidden="false" customHeight="false" outlineLevel="0" collapsed="false">
      <c r="A1324" s="0" t="s">
        <v>280</v>
      </c>
      <c r="B1324" s="0" t="s">
        <v>519</v>
      </c>
      <c r="C1324" s="0" t="n">
        <v>2022</v>
      </c>
      <c r="D1324" s="0" t="n">
        <v>11256269</v>
      </c>
      <c r="E1324" s="0" t="n">
        <v>22.57</v>
      </c>
      <c r="F1324" s="0" t="n">
        <v>0</v>
      </c>
      <c r="G1324" s="0" t="n">
        <v>16.49</v>
      </c>
      <c r="H1324" s="0" t="n">
        <v>0.86</v>
      </c>
      <c r="I1324" s="0" t="n">
        <v>0</v>
      </c>
      <c r="J1324" s="0" t="n">
        <v>0.02</v>
      </c>
      <c r="K1324" s="0" t="n">
        <v>3.45</v>
      </c>
      <c r="L1324" s="0" t="n">
        <v>1.75</v>
      </c>
      <c r="M1324" s="0" t="n">
        <v>0</v>
      </c>
      <c r="N1324" s="0" t="n">
        <v>0</v>
      </c>
      <c r="O1324" s="0" t="n">
        <v>539.21</v>
      </c>
    </row>
    <row r="1325" customFormat="false" ht="15" hidden="false" customHeight="false" outlineLevel="0" collapsed="false">
      <c r="A1325" s="0" t="s">
        <v>280</v>
      </c>
      <c r="B1325" s="0" t="s">
        <v>519</v>
      </c>
      <c r="C1325" s="0" t="n">
        <v>2023</v>
      </c>
      <c r="D1325" s="0" t="n">
        <v>11439220</v>
      </c>
      <c r="E1325" s="0" t="n">
        <v>23.77</v>
      </c>
      <c r="F1325" s="0" t="n">
        <v>0</v>
      </c>
      <c r="G1325" s="0" t="n">
        <v>14.67</v>
      </c>
      <c r="H1325" s="0" t="n">
        <v>3.88</v>
      </c>
      <c r="I1325" s="0" t="n">
        <v>0</v>
      </c>
      <c r="J1325" s="0" t="n">
        <v>0.02</v>
      </c>
      <c r="K1325" s="0" t="n">
        <v>3.45</v>
      </c>
      <c r="L1325" s="0" t="n">
        <v>1.75</v>
      </c>
      <c r="M1325" s="0" t="n">
        <v>0</v>
      </c>
      <c r="N1325" s="0" t="n">
        <v>0</v>
      </c>
      <c r="O1325" s="0" t="n">
        <v>542.28</v>
      </c>
    </row>
    <row r="1326" customFormat="false" ht="15" hidden="false" customHeight="false" outlineLevel="0" collapsed="false">
      <c r="A1326" s="0" t="s">
        <v>280</v>
      </c>
      <c r="B1326" s="0" t="s">
        <v>519</v>
      </c>
      <c r="C1326" s="0" t="n">
        <v>2024</v>
      </c>
      <c r="D1326" s="0" t="n">
        <v>11552885</v>
      </c>
      <c r="E1326" s="0" t="n">
        <v>23.67</v>
      </c>
      <c r="F1326" s="0" t="n">
        <v>0</v>
      </c>
      <c r="G1326" s="0" t="n">
        <v>14.67</v>
      </c>
      <c r="H1326" s="0" t="n">
        <v>3.3</v>
      </c>
      <c r="I1326" s="0" t="n">
        <v>0</v>
      </c>
      <c r="J1326" s="0" t="n">
        <v>0.02</v>
      </c>
      <c r="K1326" s="0" t="n">
        <v>3.93</v>
      </c>
      <c r="L1326" s="0" t="n">
        <v>1.75</v>
      </c>
      <c r="M1326" s="0" t="n">
        <v>0</v>
      </c>
      <c r="N1326" s="0" t="n">
        <v>0</v>
      </c>
      <c r="O1326" s="0" t="n">
        <v>529.79</v>
      </c>
    </row>
    <row r="1327" customFormat="false" ht="15" hidden="false" customHeight="false" outlineLevel="0" collapsed="false">
      <c r="A1327" s="0" t="s">
        <v>281</v>
      </c>
      <c r="B1327" s="0" t="s">
        <v>520</v>
      </c>
      <c r="C1327" s="0" t="n">
        <v>2015</v>
      </c>
      <c r="D1327" s="0" t="n">
        <v>18084175</v>
      </c>
      <c r="E1327" s="0" t="n">
        <v>91.65</v>
      </c>
      <c r="F1327" s="0" t="n">
        <v>64.73</v>
      </c>
      <c r="G1327" s="0" t="n">
        <v>16.09</v>
      </c>
      <c r="H1327" s="0" t="n">
        <v>1.38</v>
      </c>
      <c r="I1327" s="0" t="n">
        <v>0</v>
      </c>
      <c r="J1327" s="0" t="n">
        <v>9.27</v>
      </c>
      <c r="K1327" s="0" t="n">
        <v>0.05</v>
      </c>
      <c r="L1327" s="0" t="n">
        <v>0.13</v>
      </c>
      <c r="M1327" s="0" t="n">
        <v>0</v>
      </c>
      <c r="O1327" s="0" t="n">
        <v>836.12</v>
      </c>
    </row>
    <row r="1328" customFormat="false" ht="15" hidden="false" customHeight="false" outlineLevel="0" collapsed="false">
      <c r="A1328" s="0" t="s">
        <v>281</v>
      </c>
      <c r="B1328" s="0" t="s">
        <v>520</v>
      </c>
      <c r="C1328" s="0" t="n">
        <v>2016</v>
      </c>
      <c r="D1328" s="0" t="n">
        <v>18363600</v>
      </c>
      <c r="E1328" s="0" t="n">
        <v>94.63</v>
      </c>
      <c r="F1328" s="0" t="n">
        <v>63.15</v>
      </c>
      <c r="G1328" s="0" t="n">
        <v>17.55</v>
      </c>
      <c r="H1328" s="0" t="n">
        <v>1.95</v>
      </c>
      <c r="I1328" s="0" t="n">
        <v>0</v>
      </c>
      <c r="J1328" s="0" t="n">
        <v>11.62</v>
      </c>
      <c r="K1328" s="0" t="n">
        <v>0.09</v>
      </c>
      <c r="L1328" s="0" t="n">
        <v>0.27</v>
      </c>
      <c r="M1328" s="0" t="n">
        <v>0</v>
      </c>
      <c r="O1328" s="0" t="n">
        <v>814.96</v>
      </c>
    </row>
    <row r="1329" customFormat="false" ht="15" hidden="false" customHeight="false" outlineLevel="0" collapsed="false">
      <c r="A1329" s="0" t="s">
        <v>281</v>
      </c>
      <c r="B1329" s="0" t="s">
        <v>520</v>
      </c>
      <c r="C1329" s="0" t="n">
        <v>2017</v>
      </c>
      <c r="D1329" s="0" t="n">
        <v>18651931</v>
      </c>
      <c r="E1329" s="0" t="n">
        <v>103.12</v>
      </c>
      <c r="F1329" s="0" t="n">
        <v>70.53</v>
      </c>
      <c r="G1329" s="0" t="n">
        <v>20.19</v>
      </c>
      <c r="H1329" s="0" t="n">
        <v>0.76</v>
      </c>
      <c r="I1329" s="0" t="n">
        <v>0</v>
      </c>
      <c r="J1329" s="0" t="n">
        <v>11.21</v>
      </c>
      <c r="K1329" s="0" t="n">
        <v>0.09</v>
      </c>
      <c r="L1329" s="0" t="n">
        <v>0.34</v>
      </c>
      <c r="M1329" s="0" t="n">
        <v>0</v>
      </c>
      <c r="O1329" s="0" t="n">
        <v>831.85</v>
      </c>
    </row>
    <row r="1330" customFormat="false" ht="15" hidden="false" customHeight="false" outlineLevel="0" collapsed="false">
      <c r="A1330" s="0" t="s">
        <v>281</v>
      </c>
      <c r="B1330" s="0" t="s">
        <v>520</v>
      </c>
      <c r="C1330" s="0" t="n">
        <v>2018</v>
      </c>
      <c r="D1330" s="0" t="n">
        <v>18932725</v>
      </c>
      <c r="E1330" s="0" t="n">
        <v>107.28</v>
      </c>
      <c r="F1330" s="0" t="n">
        <v>75.72</v>
      </c>
      <c r="G1330" s="0" t="n">
        <v>19.92</v>
      </c>
      <c r="H1330" s="0" t="n">
        <v>0.73</v>
      </c>
      <c r="I1330" s="0" t="n">
        <v>0</v>
      </c>
      <c r="J1330" s="0" t="n">
        <v>10.38</v>
      </c>
      <c r="K1330" s="0" t="n">
        <v>0.14</v>
      </c>
      <c r="L1330" s="0" t="n">
        <v>0.39</v>
      </c>
      <c r="M1330" s="0" t="n">
        <v>0</v>
      </c>
      <c r="O1330" s="0" t="n">
        <v>841.16</v>
      </c>
    </row>
    <row r="1331" customFormat="false" ht="15" hidden="false" customHeight="false" outlineLevel="0" collapsed="false">
      <c r="A1331" s="0" t="s">
        <v>281</v>
      </c>
      <c r="B1331" s="0" t="s">
        <v>520</v>
      </c>
      <c r="C1331" s="0" t="n">
        <v>2019</v>
      </c>
      <c r="D1331" s="0" t="n">
        <v>19209556</v>
      </c>
      <c r="E1331" s="0" t="n">
        <v>106.48</v>
      </c>
      <c r="F1331" s="0" t="n">
        <v>74.93</v>
      </c>
      <c r="G1331" s="0" t="n">
        <v>19.84</v>
      </c>
      <c r="H1331" s="0" t="n">
        <v>0.62</v>
      </c>
      <c r="I1331" s="0" t="n">
        <v>0</v>
      </c>
      <c r="J1331" s="0" t="n">
        <v>9.99</v>
      </c>
      <c r="K1331" s="0" t="n">
        <v>0.39</v>
      </c>
      <c r="L1331" s="0" t="n">
        <v>0.71</v>
      </c>
      <c r="M1331" s="0" t="n">
        <v>0</v>
      </c>
      <c r="O1331" s="0" t="n">
        <v>839.41</v>
      </c>
    </row>
    <row r="1332" customFormat="false" ht="15" hidden="false" customHeight="false" outlineLevel="0" collapsed="false">
      <c r="A1332" s="0" t="s">
        <v>281</v>
      </c>
      <c r="B1332" s="0" t="s">
        <v>520</v>
      </c>
      <c r="C1332" s="0" t="n">
        <v>2020</v>
      </c>
      <c r="D1332" s="0" t="n">
        <v>19482116</v>
      </c>
      <c r="E1332" s="0" t="n">
        <v>108.64</v>
      </c>
      <c r="F1332" s="0" t="n">
        <v>73.55</v>
      </c>
      <c r="G1332" s="0" t="n">
        <v>22.51</v>
      </c>
      <c r="H1332" s="0" t="n">
        <v>0.64</v>
      </c>
      <c r="I1332" s="0" t="n">
        <v>0</v>
      </c>
      <c r="J1332" s="0" t="n">
        <v>9.66</v>
      </c>
      <c r="K1332" s="0" t="n">
        <v>1.24</v>
      </c>
      <c r="L1332" s="0" t="n">
        <v>1.03</v>
      </c>
      <c r="M1332" s="0" t="n">
        <v>0.01</v>
      </c>
      <c r="O1332" s="0" t="n">
        <v>835.88</v>
      </c>
    </row>
    <row r="1333" customFormat="false" ht="15" hidden="false" customHeight="false" outlineLevel="0" collapsed="false">
      <c r="A1333" s="0" t="s">
        <v>281</v>
      </c>
      <c r="B1333" s="0" t="s">
        <v>520</v>
      </c>
      <c r="C1333" s="0" t="n">
        <v>2021</v>
      </c>
      <c r="D1333" s="0" t="n">
        <v>19743607</v>
      </c>
      <c r="E1333" s="0" t="n">
        <v>115.08</v>
      </c>
      <c r="F1333" s="0" t="n">
        <v>73.8</v>
      </c>
      <c r="G1333" s="0" t="n">
        <v>26.01</v>
      </c>
      <c r="H1333" s="0" t="n">
        <v>2.68</v>
      </c>
      <c r="I1333" s="0" t="n">
        <v>0</v>
      </c>
      <c r="J1333" s="0" t="n">
        <v>9.21</v>
      </c>
      <c r="K1333" s="0" t="n">
        <v>1.63</v>
      </c>
      <c r="L1333" s="0" t="n">
        <v>1.75</v>
      </c>
      <c r="M1333" s="0" t="n">
        <v>0</v>
      </c>
      <c r="O1333" s="0" t="n">
        <v>833.25</v>
      </c>
    </row>
    <row r="1334" customFormat="false" ht="15" hidden="false" customHeight="false" outlineLevel="0" collapsed="false">
      <c r="A1334" s="0" t="s">
        <v>281</v>
      </c>
      <c r="B1334" s="0" t="s">
        <v>520</v>
      </c>
      <c r="C1334" s="0" t="n">
        <v>2022</v>
      </c>
      <c r="D1334" s="0" t="n">
        <v>20034612</v>
      </c>
      <c r="E1334" s="0" t="n">
        <v>113.44</v>
      </c>
      <c r="F1334" s="0" t="n">
        <v>70.52</v>
      </c>
      <c r="G1334" s="0" t="n">
        <v>28.23</v>
      </c>
      <c r="H1334" s="0" t="n">
        <v>1.41</v>
      </c>
      <c r="I1334" s="0" t="n">
        <v>0</v>
      </c>
      <c r="J1334" s="0" t="n">
        <v>9.2</v>
      </c>
      <c r="K1334" s="0" t="n">
        <v>1.77</v>
      </c>
      <c r="L1334" s="0" t="n">
        <v>2.31</v>
      </c>
      <c r="M1334" s="0" t="n">
        <v>0</v>
      </c>
      <c r="O1334" s="0" t="n">
        <v>831.01</v>
      </c>
    </row>
    <row r="1335" customFormat="false" ht="15" hidden="false" customHeight="false" outlineLevel="0" collapsed="false">
      <c r="A1335" s="0" t="s">
        <v>281</v>
      </c>
      <c r="B1335" s="0" t="s">
        <v>520</v>
      </c>
      <c r="C1335" s="0" t="n">
        <v>2023</v>
      </c>
      <c r="D1335" s="0" t="n">
        <v>20330109</v>
      </c>
      <c r="E1335" s="0" t="n">
        <v>113.59</v>
      </c>
      <c r="F1335" s="0" t="n">
        <v>65.25</v>
      </c>
      <c r="G1335" s="0" t="n">
        <v>33.25</v>
      </c>
      <c r="H1335" s="0" t="n">
        <v>0.63</v>
      </c>
      <c r="I1335" s="0" t="n">
        <v>0</v>
      </c>
      <c r="J1335" s="0" t="n">
        <v>8.8</v>
      </c>
      <c r="K1335" s="0" t="n">
        <v>1.87</v>
      </c>
      <c r="L1335" s="0" t="n">
        <v>3.78</v>
      </c>
      <c r="M1335" s="0" t="n">
        <v>0.01</v>
      </c>
      <c r="O1335" s="0" t="n">
        <v>826.66</v>
      </c>
    </row>
    <row r="1336" customFormat="false" ht="15" hidden="false" customHeight="false" outlineLevel="0" collapsed="false">
      <c r="A1336" s="0" t="s">
        <v>281</v>
      </c>
      <c r="B1336" s="0" t="s">
        <v>520</v>
      </c>
      <c r="C1336" s="0" t="n">
        <v>2024</v>
      </c>
      <c r="D1336" s="0" t="n">
        <v>20592574</v>
      </c>
      <c r="E1336" s="0" t="n">
        <v>118.51</v>
      </c>
      <c r="F1336" s="0" t="n">
        <v>64.03</v>
      </c>
      <c r="G1336" s="0" t="n">
        <v>34.71</v>
      </c>
      <c r="H1336" s="0" t="n">
        <v>1.74</v>
      </c>
      <c r="I1336" s="0" t="n">
        <v>0</v>
      </c>
      <c r="J1336" s="0" t="n">
        <v>11.25</v>
      </c>
      <c r="K1336" s="0" t="n">
        <v>1.87</v>
      </c>
      <c r="L1336" s="0" t="n">
        <v>4.91</v>
      </c>
      <c r="M1336" s="0" t="n">
        <v>0</v>
      </c>
      <c r="O1336" s="0" t="n">
        <v>802.04</v>
      </c>
    </row>
    <row r="1337" customFormat="false" ht="15" hidden="false" customHeight="false" outlineLevel="0" collapsed="false">
      <c r="A1337" s="0" t="s">
        <v>281</v>
      </c>
      <c r="B1337" s="0" t="s">
        <v>520</v>
      </c>
      <c r="C1337" s="0" t="n">
        <v>2025</v>
      </c>
      <c r="D1337" s="0" t="n">
        <v>20843758</v>
      </c>
      <c r="E1337" s="0" t="n">
        <v>123.69</v>
      </c>
      <c r="F1337" s="0" t="n">
        <v>67.12</v>
      </c>
      <c r="G1337" s="0" t="n">
        <v>36.37</v>
      </c>
      <c r="H1337" s="0" t="n">
        <v>1.82</v>
      </c>
      <c r="J1337" s="0" t="n">
        <v>10.51</v>
      </c>
      <c r="K1337" s="0" t="n">
        <v>2.04</v>
      </c>
      <c r="L1337" s="0" t="n">
        <v>5.83</v>
      </c>
      <c r="M1337" s="0" t="n">
        <v>0</v>
      </c>
      <c r="O1337" s="0" t="n">
        <v>805.32</v>
      </c>
    </row>
    <row r="1338" customFormat="false" ht="15" hidden="false" customHeight="false" outlineLevel="0" collapsed="false">
      <c r="A1338" s="0" t="s">
        <v>282</v>
      </c>
      <c r="B1338" s="0" t="s">
        <v>521</v>
      </c>
      <c r="C1338" s="0" t="n">
        <v>2015</v>
      </c>
      <c r="D1338" s="0" t="n">
        <v>47088528</v>
      </c>
      <c r="E1338" s="0" t="n">
        <v>9.81</v>
      </c>
      <c r="F1338" s="0" t="n">
        <v>0</v>
      </c>
      <c r="G1338" s="0" t="n">
        <v>0</v>
      </c>
      <c r="H1338" s="0" t="n">
        <v>1</v>
      </c>
      <c r="I1338" s="0" t="n">
        <v>0</v>
      </c>
      <c r="J1338" s="0" t="n">
        <v>3.75</v>
      </c>
      <c r="K1338" s="0" t="n">
        <v>0.05</v>
      </c>
      <c r="L1338" s="0" t="n">
        <v>0.06</v>
      </c>
      <c r="M1338" s="0" t="n">
        <v>0.47</v>
      </c>
      <c r="N1338" s="0" t="n">
        <v>4.48</v>
      </c>
      <c r="O1338" s="0" t="n">
        <v>103.98</v>
      </c>
    </row>
    <row r="1339" customFormat="false" ht="15" hidden="false" customHeight="false" outlineLevel="0" collapsed="false">
      <c r="A1339" s="0" t="s">
        <v>282</v>
      </c>
      <c r="B1339" s="0" t="s">
        <v>521</v>
      </c>
      <c r="C1339" s="0" t="n">
        <v>2016</v>
      </c>
      <c r="D1339" s="0" t="n">
        <v>48139683</v>
      </c>
      <c r="E1339" s="0" t="n">
        <v>9.68</v>
      </c>
      <c r="F1339" s="0" t="n">
        <v>0</v>
      </c>
      <c r="G1339" s="0" t="n">
        <v>0</v>
      </c>
      <c r="H1339" s="0" t="n">
        <v>1.04</v>
      </c>
      <c r="I1339" s="0" t="n">
        <v>0</v>
      </c>
      <c r="J1339" s="0" t="n">
        <v>3.31</v>
      </c>
      <c r="K1339" s="0" t="n">
        <v>0.06</v>
      </c>
      <c r="L1339" s="0" t="n">
        <v>0.06</v>
      </c>
      <c r="M1339" s="0" t="n">
        <v>0.52</v>
      </c>
      <c r="N1339" s="0" t="n">
        <v>4.69</v>
      </c>
      <c r="O1339" s="0" t="n">
        <v>108.47</v>
      </c>
    </row>
    <row r="1340" customFormat="false" ht="15" hidden="false" customHeight="false" outlineLevel="0" collapsed="false">
      <c r="A1340" s="0" t="s">
        <v>282</v>
      </c>
      <c r="B1340" s="0" t="s">
        <v>521</v>
      </c>
      <c r="C1340" s="0" t="n">
        <v>2017</v>
      </c>
      <c r="D1340" s="0" t="n">
        <v>49197757</v>
      </c>
      <c r="E1340" s="0" t="n">
        <v>10.83</v>
      </c>
      <c r="F1340" s="0" t="n">
        <v>0</v>
      </c>
      <c r="G1340" s="0" t="n">
        <v>0</v>
      </c>
      <c r="H1340" s="0" t="n">
        <v>2.07</v>
      </c>
      <c r="I1340" s="0" t="n">
        <v>0</v>
      </c>
      <c r="J1340" s="0" t="n">
        <v>3.17</v>
      </c>
      <c r="K1340" s="0" t="n">
        <v>0.07</v>
      </c>
      <c r="L1340" s="0" t="n">
        <v>0.06</v>
      </c>
      <c r="M1340" s="0" t="n">
        <v>0.7</v>
      </c>
      <c r="N1340" s="0" t="n">
        <v>4.76</v>
      </c>
      <c r="O1340" s="0" t="n">
        <v>163.44</v>
      </c>
    </row>
    <row r="1341" customFormat="false" ht="15" hidden="false" customHeight="false" outlineLevel="0" collapsed="false">
      <c r="A1341" s="0" t="s">
        <v>282</v>
      </c>
      <c r="B1341" s="0" t="s">
        <v>521</v>
      </c>
      <c r="C1341" s="0" t="n">
        <v>2018</v>
      </c>
      <c r="D1341" s="0" t="n">
        <v>50207109</v>
      </c>
      <c r="E1341" s="0" t="n">
        <v>11.3</v>
      </c>
      <c r="F1341" s="0" t="n">
        <v>0</v>
      </c>
      <c r="G1341" s="0" t="n">
        <v>0</v>
      </c>
      <c r="H1341" s="0" t="n">
        <v>1.55</v>
      </c>
      <c r="I1341" s="0" t="n">
        <v>0</v>
      </c>
      <c r="J1341" s="0" t="n">
        <v>3.99</v>
      </c>
      <c r="K1341" s="0" t="n">
        <v>0.09</v>
      </c>
      <c r="L1341" s="0" t="n">
        <v>0.38</v>
      </c>
      <c r="M1341" s="0" t="n">
        <v>0.16</v>
      </c>
      <c r="N1341" s="0" t="n">
        <v>5.13</v>
      </c>
      <c r="O1341" s="0" t="n">
        <v>117.7</v>
      </c>
    </row>
    <row r="1342" customFormat="false" ht="15" hidden="false" customHeight="false" outlineLevel="0" collapsed="false">
      <c r="A1342" s="0" t="s">
        <v>282</v>
      </c>
      <c r="B1342" s="0" t="s">
        <v>521</v>
      </c>
      <c r="C1342" s="0" t="n">
        <v>2019</v>
      </c>
      <c r="D1342" s="0" t="n">
        <v>51202829</v>
      </c>
      <c r="E1342" s="0" t="n">
        <v>11.56</v>
      </c>
      <c r="F1342" s="0" t="n">
        <v>0</v>
      </c>
      <c r="G1342" s="0" t="n">
        <v>0</v>
      </c>
      <c r="H1342" s="0" t="n">
        <v>1.31</v>
      </c>
      <c r="I1342" s="0" t="n">
        <v>0</v>
      </c>
      <c r="J1342" s="0" t="n">
        <v>3.21</v>
      </c>
      <c r="K1342" s="0" t="n">
        <v>0.09</v>
      </c>
      <c r="L1342" s="0" t="n">
        <v>1.56</v>
      </c>
      <c r="M1342" s="0" t="n">
        <v>0.15</v>
      </c>
      <c r="N1342" s="0" t="n">
        <v>5.24</v>
      </c>
      <c r="O1342" s="0" t="n">
        <v>102.94</v>
      </c>
    </row>
    <row r="1343" customFormat="false" ht="15" hidden="false" customHeight="false" outlineLevel="0" collapsed="false">
      <c r="A1343" s="0" t="s">
        <v>282</v>
      </c>
      <c r="B1343" s="0" t="s">
        <v>521</v>
      </c>
      <c r="C1343" s="0" t="n">
        <v>2020</v>
      </c>
      <c r="D1343" s="0" t="n">
        <v>52217327</v>
      </c>
      <c r="E1343" s="0" t="n">
        <v>11.68</v>
      </c>
      <c r="F1343" s="0" t="n">
        <v>0</v>
      </c>
      <c r="G1343" s="0" t="n">
        <v>0</v>
      </c>
      <c r="H1343" s="0" t="n">
        <v>0.75</v>
      </c>
      <c r="I1343" s="0" t="n">
        <v>0</v>
      </c>
      <c r="J1343" s="0" t="n">
        <v>4.23</v>
      </c>
      <c r="K1343" s="0" t="n">
        <v>0.09</v>
      </c>
      <c r="L1343" s="0" t="n">
        <v>1.33</v>
      </c>
      <c r="M1343" s="0" t="n">
        <v>0.22</v>
      </c>
      <c r="N1343" s="0" t="n">
        <v>5.06</v>
      </c>
      <c r="O1343" s="0" t="n">
        <v>71.92</v>
      </c>
    </row>
    <row r="1344" customFormat="false" ht="15" hidden="false" customHeight="false" outlineLevel="0" collapsed="false">
      <c r="A1344" s="0" t="s">
        <v>282</v>
      </c>
      <c r="B1344" s="0" t="s">
        <v>521</v>
      </c>
      <c r="C1344" s="0" t="n">
        <v>2021</v>
      </c>
      <c r="D1344" s="0" t="n">
        <v>53219167</v>
      </c>
      <c r="E1344" s="0" t="n">
        <v>12.38</v>
      </c>
      <c r="F1344" s="0" t="n">
        <v>0</v>
      </c>
      <c r="G1344" s="0" t="n">
        <v>0</v>
      </c>
      <c r="H1344" s="0" t="n">
        <v>1.26</v>
      </c>
      <c r="I1344" s="0" t="n">
        <v>0</v>
      </c>
      <c r="J1344" s="0" t="n">
        <v>3.67</v>
      </c>
      <c r="K1344" s="0" t="n">
        <v>0.17</v>
      </c>
      <c r="L1344" s="0" t="n">
        <v>1.99</v>
      </c>
      <c r="M1344" s="0" t="n">
        <v>0.25</v>
      </c>
      <c r="N1344" s="0" t="n">
        <v>5.04</v>
      </c>
      <c r="O1344" s="0" t="n">
        <v>96.12</v>
      </c>
    </row>
    <row r="1345" customFormat="false" ht="15" hidden="false" customHeight="false" outlineLevel="0" collapsed="false">
      <c r="A1345" s="0" t="s">
        <v>282</v>
      </c>
      <c r="B1345" s="0" t="s">
        <v>521</v>
      </c>
      <c r="C1345" s="0" t="n">
        <v>2022</v>
      </c>
      <c r="D1345" s="0" t="n">
        <v>54252458</v>
      </c>
      <c r="E1345" s="0" t="n">
        <v>12.96</v>
      </c>
      <c r="F1345" s="0" t="n">
        <v>0</v>
      </c>
      <c r="G1345" s="0" t="n">
        <v>0</v>
      </c>
      <c r="H1345" s="0" t="n">
        <v>1.58</v>
      </c>
      <c r="I1345" s="0" t="n">
        <v>0</v>
      </c>
      <c r="J1345" s="0" t="n">
        <v>3.04</v>
      </c>
      <c r="K1345" s="0" t="n">
        <v>0.42</v>
      </c>
      <c r="L1345" s="0" t="n">
        <v>2.14</v>
      </c>
      <c r="M1345" s="0" t="n">
        <v>0.26</v>
      </c>
      <c r="N1345" s="0" t="n">
        <v>5.52</v>
      </c>
      <c r="O1345" s="0" t="n">
        <v>109.57</v>
      </c>
    </row>
    <row r="1346" customFormat="false" ht="15" hidden="false" customHeight="false" outlineLevel="0" collapsed="false">
      <c r="A1346" s="0" t="s">
        <v>282</v>
      </c>
      <c r="B1346" s="0" t="s">
        <v>521</v>
      </c>
      <c r="C1346" s="0" t="n">
        <v>2023</v>
      </c>
      <c r="D1346" s="0" t="n">
        <v>55339007</v>
      </c>
      <c r="E1346" s="0" t="n">
        <v>12.8</v>
      </c>
      <c r="F1346" s="0" t="n">
        <v>0</v>
      </c>
      <c r="G1346" s="0" t="n">
        <v>0</v>
      </c>
      <c r="H1346" s="0" t="n">
        <v>1.31</v>
      </c>
      <c r="I1346" s="0" t="n">
        <v>0</v>
      </c>
      <c r="J1346" s="0" t="n">
        <v>2.67</v>
      </c>
      <c r="K1346" s="0" t="n">
        <v>0.58</v>
      </c>
      <c r="L1346" s="0" t="n">
        <v>2.01</v>
      </c>
      <c r="M1346" s="0" t="n">
        <v>0.2</v>
      </c>
      <c r="N1346" s="0" t="n">
        <v>6.03</v>
      </c>
      <c r="O1346" s="0" t="n">
        <v>96.88</v>
      </c>
    </row>
    <row r="1347" customFormat="false" ht="15" hidden="false" customHeight="false" outlineLevel="0" collapsed="false">
      <c r="A1347" s="0" t="s">
        <v>282</v>
      </c>
      <c r="B1347" s="0" t="s">
        <v>521</v>
      </c>
      <c r="C1347" s="0" t="n">
        <v>2024</v>
      </c>
      <c r="D1347" s="0" t="n">
        <v>56432946</v>
      </c>
      <c r="E1347" s="0" t="n">
        <v>13.26</v>
      </c>
      <c r="F1347" s="0" t="n">
        <v>0</v>
      </c>
      <c r="G1347" s="0" t="n">
        <v>0</v>
      </c>
      <c r="H1347" s="0" t="n">
        <v>1.13</v>
      </c>
      <c r="I1347" s="0" t="n">
        <v>0</v>
      </c>
      <c r="J1347" s="0" t="n">
        <v>3.1</v>
      </c>
      <c r="K1347" s="0" t="n">
        <v>0.66</v>
      </c>
      <c r="L1347" s="0" t="n">
        <v>2.17</v>
      </c>
      <c r="M1347" s="0" t="n">
        <v>0.2</v>
      </c>
      <c r="N1347" s="0" t="n">
        <v>6</v>
      </c>
      <c r="O1347" s="0" t="n">
        <v>85.22</v>
      </c>
    </row>
    <row r="1348" customFormat="false" ht="15" hidden="false" customHeight="false" outlineLevel="0" collapsed="false">
      <c r="A1348" s="0" t="s">
        <v>282</v>
      </c>
      <c r="B1348" s="0" t="s">
        <v>521</v>
      </c>
      <c r="C1348" s="0" t="n">
        <v>2025</v>
      </c>
      <c r="D1348" s="0" t="n">
        <v>57532491</v>
      </c>
      <c r="E1348" s="0" t="n">
        <v>14.04</v>
      </c>
      <c r="F1348" s="0" t="n">
        <v>0</v>
      </c>
      <c r="G1348" s="0" t="n">
        <v>0</v>
      </c>
      <c r="H1348" s="0" t="n">
        <v>1.4</v>
      </c>
      <c r="I1348" s="0" t="n">
        <v>0</v>
      </c>
      <c r="J1348" s="0" t="n">
        <v>2.94</v>
      </c>
      <c r="K1348" s="0" t="n">
        <v>0.65</v>
      </c>
      <c r="L1348" s="0" t="n">
        <v>2.3</v>
      </c>
      <c r="M1348" s="0" t="n">
        <v>0.3</v>
      </c>
      <c r="N1348" s="0" t="n">
        <v>6.45</v>
      </c>
      <c r="O1348" s="0" t="n">
        <v>95.44</v>
      </c>
    </row>
    <row r="1349" customFormat="false" ht="15" hidden="false" customHeight="false" outlineLevel="0" collapsed="false">
      <c r="A1349" s="0" t="s">
        <v>283</v>
      </c>
      <c r="B1349" s="0" t="s">
        <v>522</v>
      </c>
      <c r="C1349" s="0" t="n">
        <v>2015</v>
      </c>
      <c r="D1349" s="0" t="n">
        <v>116826</v>
      </c>
      <c r="E1349" s="0" t="n">
        <v>0.03</v>
      </c>
      <c r="F1349" s="0" t="n">
        <v>0</v>
      </c>
      <c r="G1349" s="0" t="n">
        <v>0</v>
      </c>
      <c r="H1349" s="0" t="n">
        <v>0.03</v>
      </c>
      <c r="I1349" s="0" t="n">
        <v>0</v>
      </c>
      <c r="J1349" s="0" t="n">
        <v>0</v>
      </c>
      <c r="K1349" s="0" t="n">
        <v>0</v>
      </c>
      <c r="L1349" s="0" t="n">
        <v>0</v>
      </c>
      <c r="M1349" s="0" t="n">
        <v>0</v>
      </c>
      <c r="N1349" s="0" t="n">
        <v>0</v>
      </c>
      <c r="O1349" s="0" t="n">
        <v>666.67</v>
      </c>
    </row>
    <row r="1350" customFormat="false" ht="15" hidden="false" customHeight="false" outlineLevel="0" collapsed="false">
      <c r="A1350" s="0" t="s">
        <v>283</v>
      </c>
      <c r="B1350" s="0" t="s">
        <v>522</v>
      </c>
      <c r="C1350" s="0" t="n">
        <v>2016</v>
      </c>
      <c r="D1350" s="0" t="n">
        <v>118488</v>
      </c>
      <c r="E1350" s="0" t="n">
        <v>0.03</v>
      </c>
      <c r="F1350" s="0" t="n">
        <v>0</v>
      </c>
      <c r="G1350" s="0" t="n">
        <v>0</v>
      </c>
      <c r="H1350" s="0" t="n">
        <v>0.03</v>
      </c>
      <c r="I1350" s="0" t="n">
        <v>0</v>
      </c>
      <c r="J1350" s="0" t="n">
        <v>0</v>
      </c>
      <c r="K1350" s="0" t="n">
        <v>0</v>
      </c>
      <c r="L1350" s="0" t="n">
        <v>0</v>
      </c>
      <c r="M1350" s="0" t="n">
        <v>0</v>
      </c>
      <c r="N1350" s="0" t="n">
        <v>0</v>
      </c>
      <c r="O1350" s="0" t="n">
        <v>666.67</v>
      </c>
    </row>
    <row r="1351" customFormat="false" ht="15" hidden="false" customHeight="false" outlineLevel="0" collapsed="false">
      <c r="A1351" s="0" t="s">
        <v>283</v>
      </c>
      <c r="B1351" s="0" t="s">
        <v>522</v>
      </c>
      <c r="C1351" s="0" t="n">
        <v>2017</v>
      </c>
      <c r="D1351" s="0" t="n">
        <v>120288</v>
      </c>
      <c r="E1351" s="0" t="n">
        <v>0.03</v>
      </c>
      <c r="F1351" s="0" t="n">
        <v>0</v>
      </c>
      <c r="G1351" s="0" t="n">
        <v>0</v>
      </c>
      <c r="H1351" s="0" t="n">
        <v>0.03</v>
      </c>
      <c r="I1351" s="0" t="n">
        <v>0</v>
      </c>
      <c r="J1351" s="0" t="n">
        <v>0</v>
      </c>
      <c r="K1351" s="0" t="n">
        <v>0</v>
      </c>
      <c r="L1351" s="0" t="n">
        <v>0</v>
      </c>
      <c r="M1351" s="0" t="n">
        <v>0</v>
      </c>
      <c r="N1351" s="0" t="n">
        <v>0</v>
      </c>
      <c r="O1351" s="0" t="n">
        <v>666.67</v>
      </c>
    </row>
    <row r="1352" customFormat="false" ht="15" hidden="false" customHeight="false" outlineLevel="0" collapsed="false">
      <c r="A1352" s="0" t="s">
        <v>283</v>
      </c>
      <c r="B1352" s="0" t="s">
        <v>522</v>
      </c>
      <c r="C1352" s="0" t="n">
        <v>2018</v>
      </c>
      <c r="D1352" s="0" t="n">
        <v>122097</v>
      </c>
      <c r="E1352" s="0" t="n">
        <v>0.03</v>
      </c>
      <c r="F1352" s="0" t="n">
        <v>0</v>
      </c>
      <c r="G1352" s="0" t="n">
        <v>0</v>
      </c>
      <c r="H1352" s="0" t="n">
        <v>0.03</v>
      </c>
      <c r="I1352" s="0" t="n">
        <v>0</v>
      </c>
      <c r="J1352" s="0" t="n">
        <v>0</v>
      </c>
      <c r="K1352" s="0" t="n">
        <v>0</v>
      </c>
      <c r="L1352" s="0" t="n">
        <v>0</v>
      </c>
      <c r="M1352" s="0" t="n">
        <v>0</v>
      </c>
      <c r="N1352" s="0" t="n">
        <v>0</v>
      </c>
      <c r="O1352" s="0" t="n">
        <v>666.67</v>
      </c>
    </row>
    <row r="1353" customFormat="false" ht="15" hidden="false" customHeight="false" outlineLevel="0" collapsed="false">
      <c r="A1353" s="0" t="s">
        <v>283</v>
      </c>
      <c r="B1353" s="0" t="s">
        <v>522</v>
      </c>
      <c r="C1353" s="0" t="n">
        <v>2019</v>
      </c>
      <c r="D1353" s="0" t="n">
        <v>123928</v>
      </c>
      <c r="E1353" s="0" t="n">
        <v>0.04</v>
      </c>
      <c r="F1353" s="0" t="n">
        <v>0</v>
      </c>
      <c r="G1353" s="0" t="n">
        <v>0</v>
      </c>
      <c r="H1353" s="0" t="n">
        <v>0.03</v>
      </c>
      <c r="I1353" s="0" t="n">
        <v>0</v>
      </c>
      <c r="J1353" s="0" t="n">
        <v>0</v>
      </c>
      <c r="K1353" s="0" t="n">
        <v>0.01</v>
      </c>
      <c r="L1353" s="0" t="n">
        <v>0</v>
      </c>
      <c r="M1353" s="0" t="n">
        <v>0</v>
      </c>
      <c r="N1353" s="0" t="n">
        <v>0</v>
      </c>
      <c r="O1353" s="0" t="n">
        <v>500</v>
      </c>
    </row>
    <row r="1354" customFormat="false" ht="15" hidden="false" customHeight="false" outlineLevel="0" collapsed="false">
      <c r="A1354" s="0" t="s">
        <v>283</v>
      </c>
      <c r="B1354" s="0" t="s">
        <v>522</v>
      </c>
      <c r="C1354" s="0" t="n">
        <v>2020</v>
      </c>
      <c r="D1354" s="0" t="n">
        <v>126110</v>
      </c>
      <c r="E1354" s="0" t="n">
        <v>0.04</v>
      </c>
      <c r="F1354" s="0" t="n">
        <v>0</v>
      </c>
      <c r="G1354" s="0" t="n">
        <v>0</v>
      </c>
      <c r="H1354" s="0" t="n">
        <v>0.03</v>
      </c>
      <c r="I1354" s="0" t="n">
        <v>0</v>
      </c>
      <c r="J1354" s="0" t="n">
        <v>0</v>
      </c>
      <c r="K1354" s="0" t="n">
        <v>0.01</v>
      </c>
      <c r="L1354" s="0" t="n">
        <v>0</v>
      </c>
      <c r="M1354" s="0" t="n">
        <v>0</v>
      </c>
      <c r="N1354" s="0" t="n">
        <v>0</v>
      </c>
      <c r="O1354" s="0" t="n">
        <v>500</v>
      </c>
    </row>
    <row r="1355" customFormat="false" ht="15" hidden="false" customHeight="false" outlineLevel="0" collapsed="false">
      <c r="A1355" s="0" t="s">
        <v>283</v>
      </c>
      <c r="B1355" s="0" t="s">
        <v>522</v>
      </c>
      <c r="C1355" s="0" t="n">
        <v>2021</v>
      </c>
      <c r="D1355" s="0" t="n">
        <v>128387</v>
      </c>
      <c r="E1355" s="0" t="n">
        <v>0.04</v>
      </c>
      <c r="F1355" s="0" t="n">
        <v>0</v>
      </c>
      <c r="G1355" s="0" t="n">
        <v>0</v>
      </c>
      <c r="H1355" s="0" t="n">
        <v>0.03</v>
      </c>
      <c r="I1355" s="0" t="n">
        <v>0</v>
      </c>
      <c r="J1355" s="0" t="n">
        <v>0</v>
      </c>
      <c r="K1355" s="0" t="n">
        <v>0.01</v>
      </c>
      <c r="L1355" s="0" t="n">
        <v>0</v>
      </c>
      <c r="M1355" s="0" t="n">
        <v>0</v>
      </c>
      <c r="N1355" s="0" t="n">
        <v>0</v>
      </c>
      <c r="O1355" s="0" t="n">
        <v>500</v>
      </c>
    </row>
    <row r="1356" customFormat="false" ht="15" hidden="false" customHeight="false" outlineLevel="0" collapsed="false">
      <c r="A1356" s="0" t="s">
        <v>283</v>
      </c>
      <c r="B1356" s="0" t="s">
        <v>522</v>
      </c>
      <c r="C1356" s="0" t="n">
        <v>2022</v>
      </c>
      <c r="D1356" s="0" t="n">
        <v>130483</v>
      </c>
      <c r="E1356" s="0" t="n">
        <v>0.04</v>
      </c>
      <c r="F1356" s="0" t="n">
        <v>0</v>
      </c>
      <c r="G1356" s="0" t="n">
        <v>0</v>
      </c>
      <c r="H1356" s="0" t="n">
        <v>0.03</v>
      </c>
      <c r="I1356" s="0" t="n">
        <v>0</v>
      </c>
      <c r="J1356" s="0" t="n">
        <v>0</v>
      </c>
      <c r="K1356" s="0" t="n">
        <v>0.01</v>
      </c>
      <c r="L1356" s="0" t="n">
        <v>0</v>
      </c>
      <c r="M1356" s="0" t="n">
        <v>0</v>
      </c>
      <c r="N1356" s="0" t="n">
        <v>0</v>
      </c>
      <c r="O1356" s="0" t="n">
        <v>500</v>
      </c>
    </row>
    <row r="1357" customFormat="false" ht="15" hidden="false" customHeight="false" outlineLevel="0" collapsed="false">
      <c r="A1357" s="0" t="s">
        <v>283</v>
      </c>
      <c r="B1357" s="0" t="s">
        <v>522</v>
      </c>
      <c r="C1357" s="0" t="n">
        <v>2023</v>
      </c>
      <c r="D1357" s="0" t="n">
        <v>132540</v>
      </c>
      <c r="E1357" s="0" t="n">
        <v>0.04</v>
      </c>
      <c r="F1357" s="0" t="n">
        <v>0</v>
      </c>
      <c r="G1357" s="0" t="n">
        <v>0</v>
      </c>
      <c r="H1357" s="0" t="n">
        <v>0.03</v>
      </c>
      <c r="I1357" s="0" t="n">
        <v>0</v>
      </c>
      <c r="J1357" s="0" t="n">
        <v>0</v>
      </c>
      <c r="K1357" s="0" t="n">
        <v>0.01</v>
      </c>
      <c r="L1357" s="0" t="n">
        <v>0</v>
      </c>
      <c r="M1357" s="0" t="n">
        <v>0</v>
      </c>
      <c r="N1357" s="0" t="n">
        <v>0</v>
      </c>
      <c r="O1357" s="0" t="n">
        <v>500</v>
      </c>
    </row>
    <row r="1358" customFormat="false" ht="15" hidden="false" customHeight="false" outlineLevel="0" collapsed="false">
      <c r="A1358" s="0" t="s">
        <v>283</v>
      </c>
      <c r="B1358" s="0" t="s">
        <v>522</v>
      </c>
      <c r="C1358" s="0" t="n">
        <v>2024</v>
      </c>
      <c r="D1358" s="0" t="n">
        <v>134521</v>
      </c>
      <c r="E1358" s="0" t="n">
        <v>0.04</v>
      </c>
      <c r="F1358" s="0" t="n">
        <v>0</v>
      </c>
      <c r="G1358" s="0" t="n">
        <v>0</v>
      </c>
      <c r="H1358" s="0" t="n">
        <v>0.03</v>
      </c>
      <c r="I1358" s="0" t="n">
        <v>0</v>
      </c>
      <c r="J1358" s="0" t="n">
        <v>0</v>
      </c>
      <c r="K1358" s="0" t="n">
        <v>0.01</v>
      </c>
      <c r="L1358" s="0" t="n">
        <v>0</v>
      </c>
      <c r="M1358" s="0" t="n">
        <v>0</v>
      </c>
      <c r="N1358" s="0" t="n">
        <v>0</v>
      </c>
      <c r="O1358" s="0" t="n">
        <v>500</v>
      </c>
    </row>
    <row r="1359" customFormat="false" ht="15" hidden="false" customHeight="false" outlineLevel="0" collapsed="false">
      <c r="A1359" s="0" t="s">
        <v>681</v>
      </c>
      <c r="C1359" s="0" t="n">
        <v>2015</v>
      </c>
      <c r="D1359" s="0" t="n">
        <v>1779019</v>
      </c>
      <c r="E1359" s="0" t="n">
        <v>6.11</v>
      </c>
      <c r="F1359" s="0" t="n">
        <v>5.96</v>
      </c>
      <c r="G1359" s="0" t="n">
        <v>0</v>
      </c>
      <c r="H1359" s="0" t="n">
        <v>0.01</v>
      </c>
      <c r="I1359" s="0" t="n">
        <v>0</v>
      </c>
      <c r="J1359" s="0" t="n">
        <v>0.14</v>
      </c>
      <c r="K1359" s="0" t="n">
        <v>0</v>
      </c>
      <c r="L1359" s="0" t="n">
        <v>0</v>
      </c>
      <c r="M1359" s="0" t="n">
        <v>0</v>
      </c>
      <c r="N1359" s="0" t="n">
        <v>0</v>
      </c>
      <c r="O1359" s="0" t="n">
        <v>988.54</v>
      </c>
    </row>
    <row r="1360" customFormat="false" ht="15" hidden="false" customHeight="false" outlineLevel="0" collapsed="false">
      <c r="A1360" s="0" t="s">
        <v>681</v>
      </c>
      <c r="C1360" s="0" t="n">
        <v>2016</v>
      </c>
      <c r="D1360" s="0" t="n">
        <v>1761765</v>
      </c>
      <c r="E1360" s="0" t="n">
        <v>5.98</v>
      </c>
      <c r="F1360" s="0" t="n">
        <v>5.72</v>
      </c>
      <c r="G1360" s="0" t="n">
        <v>0</v>
      </c>
      <c r="H1360" s="0" t="n">
        <v>0.01</v>
      </c>
      <c r="I1360" s="0" t="n">
        <v>0</v>
      </c>
      <c r="J1360" s="0" t="n">
        <v>0.25</v>
      </c>
      <c r="K1360" s="0" t="n">
        <v>0</v>
      </c>
      <c r="L1360" s="0" t="n">
        <v>0</v>
      </c>
      <c r="M1360" s="0" t="n">
        <v>0</v>
      </c>
      <c r="N1360" s="0" t="n">
        <v>0</v>
      </c>
      <c r="O1360" s="0" t="n">
        <v>969.9</v>
      </c>
    </row>
    <row r="1361" customFormat="false" ht="15" hidden="false" customHeight="false" outlineLevel="0" collapsed="false">
      <c r="A1361" s="0" t="s">
        <v>681</v>
      </c>
      <c r="C1361" s="0" t="n">
        <v>2017</v>
      </c>
      <c r="D1361" s="0" t="n">
        <v>1768125</v>
      </c>
      <c r="E1361" s="0" t="n">
        <v>5.92</v>
      </c>
      <c r="F1361" s="0" t="n">
        <v>5.73</v>
      </c>
      <c r="G1361" s="0" t="n">
        <v>0</v>
      </c>
      <c r="H1361" s="0" t="n">
        <v>0.01</v>
      </c>
      <c r="I1361" s="0" t="n">
        <v>0</v>
      </c>
      <c r="J1361" s="0" t="n">
        <v>0.18</v>
      </c>
      <c r="K1361" s="0" t="n">
        <v>0</v>
      </c>
      <c r="L1361" s="0" t="n">
        <v>0</v>
      </c>
      <c r="M1361" s="0" t="n">
        <v>0</v>
      </c>
      <c r="N1361" s="0" t="n">
        <v>0</v>
      </c>
      <c r="O1361" s="0" t="n">
        <v>979.73</v>
      </c>
    </row>
    <row r="1362" customFormat="false" ht="15" hidden="false" customHeight="false" outlineLevel="0" collapsed="false">
      <c r="A1362" s="0" t="s">
        <v>681</v>
      </c>
      <c r="C1362" s="0" t="n">
        <v>2018</v>
      </c>
      <c r="D1362" s="0" t="n">
        <v>1767748</v>
      </c>
      <c r="E1362" s="0" t="n">
        <v>5.91</v>
      </c>
      <c r="F1362" s="0" t="n">
        <v>5.6</v>
      </c>
      <c r="G1362" s="0" t="n">
        <v>0</v>
      </c>
      <c r="H1362" s="0" t="n">
        <v>0.01</v>
      </c>
      <c r="I1362" s="0" t="n">
        <v>0</v>
      </c>
      <c r="J1362" s="0" t="n">
        <v>0.27</v>
      </c>
      <c r="K1362" s="0" t="n">
        <v>0</v>
      </c>
      <c r="L1362" s="0" t="n">
        <v>0.03</v>
      </c>
      <c r="M1362" s="0" t="n">
        <v>0</v>
      </c>
      <c r="N1362" s="0" t="n">
        <v>0</v>
      </c>
      <c r="O1362" s="0" t="n">
        <v>961.08</v>
      </c>
    </row>
    <row r="1363" customFormat="false" ht="15" hidden="false" customHeight="false" outlineLevel="0" collapsed="false">
      <c r="A1363" s="0" t="s">
        <v>681</v>
      </c>
      <c r="C1363" s="0" t="n">
        <v>2019</v>
      </c>
      <c r="D1363" s="0" t="n">
        <v>1755048</v>
      </c>
      <c r="E1363" s="0" t="n">
        <v>6.35</v>
      </c>
      <c r="F1363" s="0" t="n">
        <v>6.02</v>
      </c>
      <c r="G1363" s="0" t="n">
        <v>0</v>
      </c>
      <c r="H1363" s="0" t="n">
        <v>0.02</v>
      </c>
      <c r="I1363" s="0" t="n">
        <v>0</v>
      </c>
      <c r="J1363" s="0" t="n">
        <v>0.21</v>
      </c>
      <c r="K1363" s="0" t="n">
        <v>0.01</v>
      </c>
      <c r="L1363" s="0" t="n">
        <v>0.09</v>
      </c>
      <c r="M1363" s="0" t="n">
        <v>0</v>
      </c>
      <c r="N1363" s="0" t="n">
        <v>0</v>
      </c>
      <c r="O1363" s="0" t="n">
        <v>960.63</v>
      </c>
    </row>
    <row r="1364" customFormat="false" ht="15" hidden="false" customHeight="false" outlineLevel="0" collapsed="false">
      <c r="A1364" s="0" t="s">
        <v>681</v>
      </c>
      <c r="C1364" s="0" t="n">
        <v>2020</v>
      </c>
      <c r="D1364" s="0" t="n">
        <v>1751413</v>
      </c>
      <c r="E1364" s="0" t="n">
        <v>6.7</v>
      </c>
      <c r="F1364" s="0" t="n">
        <v>6.33</v>
      </c>
      <c r="G1364" s="0" t="n">
        <v>0</v>
      </c>
      <c r="H1364" s="0" t="n">
        <v>0.01</v>
      </c>
      <c r="I1364" s="0" t="n">
        <v>0</v>
      </c>
      <c r="J1364" s="0" t="n">
        <v>0.26</v>
      </c>
      <c r="K1364" s="0" t="n">
        <v>0.01</v>
      </c>
      <c r="L1364" s="0" t="n">
        <v>0.09</v>
      </c>
      <c r="M1364" s="0" t="n">
        <v>0</v>
      </c>
      <c r="N1364" s="0" t="n">
        <v>0</v>
      </c>
      <c r="O1364" s="0" t="n">
        <v>958.21</v>
      </c>
    </row>
    <row r="1365" customFormat="false" ht="15" hidden="false" customHeight="false" outlineLevel="0" collapsed="false">
      <c r="A1365" s="0" t="s">
        <v>681</v>
      </c>
      <c r="C1365" s="0" t="n">
        <v>2021</v>
      </c>
      <c r="D1365" s="0" t="n">
        <v>1741449</v>
      </c>
      <c r="E1365" s="0" t="n">
        <v>6.91</v>
      </c>
      <c r="F1365" s="0" t="n">
        <v>6.44</v>
      </c>
      <c r="G1365" s="0" t="n">
        <v>0</v>
      </c>
      <c r="H1365" s="0" t="n">
        <v>0.02</v>
      </c>
      <c r="I1365" s="0" t="n">
        <v>0</v>
      </c>
      <c r="J1365" s="0" t="n">
        <v>0.3</v>
      </c>
      <c r="K1365" s="0" t="n">
        <v>0.02</v>
      </c>
      <c r="L1365" s="0" t="n">
        <v>0.13</v>
      </c>
      <c r="M1365" s="0" t="n">
        <v>0</v>
      </c>
      <c r="N1365" s="0" t="n">
        <v>0</v>
      </c>
      <c r="O1365" s="0" t="n">
        <v>945.01</v>
      </c>
    </row>
    <row r="1366" customFormat="false" ht="15" hidden="false" customHeight="false" outlineLevel="0" collapsed="false">
      <c r="A1366" s="0" t="s">
        <v>681</v>
      </c>
      <c r="C1366" s="0" t="n">
        <v>2022</v>
      </c>
      <c r="D1366" s="0" t="n">
        <v>1717950</v>
      </c>
      <c r="E1366" s="0" t="n">
        <v>6.91</v>
      </c>
      <c r="F1366" s="0" t="n">
        <v>6.44</v>
      </c>
      <c r="G1366" s="0" t="n">
        <v>0</v>
      </c>
      <c r="H1366" s="0" t="n">
        <v>0.02</v>
      </c>
      <c r="I1366" s="0" t="n">
        <v>0</v>
      </c>
      <c r="J1366" s="0" t="n">
        <v>0.3</v>
      </c>
      <c r="K1366" s="0" t="n">
        <v>0.02</v>
      </c>
      <c r="L1366" s="0" t="n">
        <v>0.13</v>
      </c>
      <c r="M1366" s="0" t="n">
        <v>0</v>
      </c>
      <c r="N1366" s="0" t="n">
        <v>0</v>
      </c>
      <c r="O1366" s="0" t="n">
        <v>945.01</v>
      </c>
    </row>
    <row r="1367" customFormat="false" ht="15" hidden="false" customHeight="false" outlineLevel="0" collapsed="false">
      <c r="A1367" s="0" t="s">
        <v>681</v>
      </c>
      <c r="C1367" s="0" t="n">
        <v>2023</v>
      </c>
      <c r="D1367" s="0" t="n">
        <v>1700039</v>
      </c>
      <c r="E1367" s="0" t="n">
        <v>6.34</v>
      </c>
      <c r="F1367" s="0" t="n">
        <v>5.53</v>
      </c>
      <c r="G1367" s="0" t="n">
        <v>0</v>
      </c>
      <c r="H1367" s="0" t="n">
        <v>0.01</v>
      </c>
      <c r="I1367" s="0" t="n">
        <v>0</v>
      </c>
      <c r="J1367" s="0" t="n">
        <v>0.39</v>
      </c>
      <c r="K1367" s="0" t="n">
        <v>0.01</v>
      </c>
      <c r="L1367" s="0" t="n">
        <v>0.4</v>
      </c>
      <c r="M1367" s="0" t="n">
        <v>0</v>
      </c>
      <c r="N1367" s="0" t="n">
        <v>0</v>
      </c>
      <c r="O1367" s="0" t="n">
        <v>884.86</v>
      </c>
    </row>
    <row r="1368" customFormat="false" ht="15" hidden="false" customHeight="false" outlineLevel="0" collapsed="false">
      <c r="A1368" s="0" t="s">
        <v>681</v>
      </c>
      <c r="C1368" s="0" t="n">
        <v>2024</v>
      </c>
      <c r="D1368" s="0" t="n">
        <v>1684796</v>
      </c>
      <c r="E1368" s="0" t="n">
        <v>6.77</v>
      </c>
      <c r="F1368" s="0" t="n">
        <v>6.18</v>
      </c>
      <c r="G1368" s="0" t="n">
        <v>0</v>
      </c>
      <c r="H1368" s="0" t="n">
        <v>0.01</v>
      </c>
      <c r="I1368" s="0" t="n">
        <v>0</v>
      </c>
      <c r="J1368" s="0" t="n">
        <v>0.21</v>
      </c>
      <c r="K1368" s="0" t="n">
        <v>0.01</v>
      </c>
      <c r="L1368" s="0" t="n">
        <v>0.36</v>
      </c>
      <c r="M1368" s="0" t="n">
        <v>0</v>
      </c>
      <c r="N1368" s="0" t="n">
        <v>0</v>
      </c>
      <c r="O1368" s="0" t="n">
        <v>924.67</v>
      </c>
    </row>
    <row r="1369" customFormat="false" ht="15" hidden="false" customHeight="false" outlineLevel="0" collapsed="false">
      <c r="A1369" s="0" t="s">
        <v>681</v>
      </c>
      <c r="C1369" s="0" t="n">
        <v>2025</v>
      </c>
      <c r="D1369" s="0" t="n">
        <v>1674131</v>
      </c>
      <c r="E1369" s="0" t="n">
        <v>5.35</v>
      </c>
      <c r="F1369" s="0" t="n">
        <v>4.75</v>
      </c>
      <c r="G1369" s="0" t="n">
        <v>0</v>
      </c>
      <c r="H1369" s="0" t="n">
        <v>0.01</v>
      </c>
      <c r="I1369" s="0" t="n">
        <v>0</v>
      </c>
      <c r="J1369" s="0" t="n">
        <v>0.23</v>
      </c>
      <c r="K1369" s="0" t="n">
        <v>0.01</v>
      </c>
      <c r="L1369" s="0" t="n">
        <v>0.35</v>
      </c>
      <c r="M1369" s="0" t="n">
        <v>0</v>
      </c>
      <c r="N1369" s="0" t="n">
        <v>0</v>
      </c>
      <c r="O1369" s="0" t="n">
        <v>900.94</v>
      </c>
    </row>
    <row r="1370" customFormat="false" ht="15" hidden="false" customHeight="false" outlineLevel="0" collapsed="false">
      <c r="A1370" s="0" t="s">
        <v>284</v>
      </c>
      <c r="B1370" s="0" t="s">
        <v>523</v>
      </c>
      <c r="C1370" s="0" t="n">
        <v>2015</v>
      </c>
      <c r="D1370" s="0" t="n">
        <v>3834465</v>
      </c>
      <c r="E1370" s="0" t="n">
        <v>68.3</v>
      </c>
      <c r="F1370" s="0" t="n">
        <v>0</v>
      </c>
      <c r="G1370" s="0" t="n">
        <v>37.77</v>
      </c>
      <c r="H1370" s="0" t="n">
        <v>30.52</v>
      </c>
      <c r="I1370" s="0" t="n">
        <v>0</v>
      </c>
      <c r="J1370" s="0" t="n">
        <v>0</v>
      </c>
      <c r="K1370" s="0" t="n">
        <v>0</v>
      </c>
      <c r="L1370" s="0" t="n">
        <v>0.01</v>
      </c>
      <c r="M1370" s="0" t="n">
        <v>0</v>
      </c>
      <c r="N1370" s="0" t="n">
        <v>0</v>
      </c>
      <c r="O1370" s="0" t="n">
        <v>650.51</v>
      </c>
    </row>
    <row r="1371" customFormat="false" ht="15" hidden="false" customHeight="false" outlineLevel="0" collapsed="false">
      <c r="A1371" s="0" t="s">
        <v>284</v>
      </c>
      <c r="B1371" s="0" t="s">
        <v>523</v>
      </c>
      <c r="C1371" s="0" t="n">
        <v>2016</v>
      </c>
      <c r="D1371" s="0" t="n">
        <v>4003976</v>
      </c>
      <c r="E1371" s="0" t="n">
        <v>70.1</v>
      </c>
      <c r="F1371" s="0" t="n">
        <v>0</v>
      </c>
      <c r="G1371" s="0" t="n">
        <v>40.73</v>
      </c>
      <c r="H1371" s="0" t="n">
        <v>29.35</v>
      </c>
      <c r="I1371" s="0" t="n">
        <v>0</v>
      </c>
      <c r="J1371" s="0" t="n">
        <v>0</v>
      </c>
      <c r="K1371" s="0" t="n">
        <v>0.01</v>
      </c>
      <c r="L1371" s="0" t="n">
        <v>0.01</v>
      </c>
      <c r="M1371" s="0" t="n">
        <v>0</v>
      </c>
      <c r="N1371" s="0" t="n">
        <v>0</v>
      </c>
      <c r="O1371" s="0" t="n">
        <v>650.07</v>
      </c>
    </row>
    <row r="1372" customFormat="false" ht="15" hidden="false" customHeight="false" outlineLevel="0" collapsed="false">
      <c r="A1372" s="0" t="s">
        <v>284</v>
      </c>
      <c r="B1372" s="0" t="s">
        <v>523</v>
      </c>
      <c r="C1372" s="0" t="n">
        <v>2017</v>
      </c>
      <c r="D1372" s="0" t="n">
        <v>4154686</v>
      </c>
      <c r="E1372" s="0" t="n">
        <v>68.89</v>
      </c>
      <c r="F1372" s="0" t="n">
        <v>0</v>
      </c>
      <c r="G1372" s="0" t="n">
        <v>36.41</v>
      </c>
      <c r="H1372" s="0" t="n">
        <v>32.44</v>
      </c>
      <c r="I1372" s="0" t="n">
        <v>0</v>
      </c>
      <c r="J1372" s="0" t="n">
        <v>0</v>
      </c>
      <c r="K1372" s="0" t="n">
        <v>0.01</v>
      </c>
      <c r="L1372" s="0" t="n">
        <v>0.03</v>
      </c>
      <c r="M1372" s="0" t="n">
        <v>0</v>
      </c>
      <c r="N1372" s="0" t="n">
        <v>0</v>
      </c>
      <c r="O1372" s="0" t="n">
        <v>650.6</v>
      </c>
    </row>
    <row r="1373" customFormat="false" ht="15" hidden="false" customHeight="false" outlineLevel="0" collapsed="false">
      <c r="A1373" s="0" t="s">
        <v>284</v>
      </c>
      <c r="B1373" s="0" t="s">
        <v>523</v>
      </c>
      <c r="C1373" s="0" t="n">
        <v>2018</v>
      </c>
      <c r="D1373" s="0" t="n">
        <v>4323389</v>
      </c>
      <c r="E1373" s="0" t="n">
        <v>74.13</v>
      </c>
      <c r="F1373" s="0" t="n">
        <v>0</v>
      </c>
      <c r="G1373" s="0" t="n">
        <v>39.44</v>
      </c>
      <c r="H1373" s="0" t="n">
        <v>34.6</v>
      </c>
      <c r="I1373" s="0" t="n">
        <v>0</v>
      </c>
      <c r="J1373" s="0" t="n">
        <v>0</v>
      </c>
      <c r="K1373" s="0" t="n">
        <v>0.05</v>
      </c>
      <c r="L1373" s="0" t="n">
        <v>0.04</v>
      </c>
      <c r="M1373" s="0" t="n">
        <v>0</v>
      </c>
      <c r="N1373" s="0" t="n">
        <v>0</v>
      </c>
      <c r="O1373" s="0" t="n">
        <v>650.07</v>
      </c>
    </row>
    <row r="1374" customFormat="false" ht="15" hidden="false" customHeight="false" outlineLevel="0" collapsed="false">
      <c r="A1374" s="0" t="s">
        <v>284</v>
      </c>
      <c r="B1374" s="0" t="s">
        <v>523</v>
      </c>
      <c r="C1374" s="0" t="n">
        <v>2019</v>
      </c>
      <c r="D1374" s="0" t="n">
        <v>4442201</v>
      </c>
      <c r="E1374" s="0" t="n">
        <v>75.04</v>
      </c>
      <c r="F1374" s="0" t="n">
        <v>0</v>
      </c>
      <c r="G1374" s="0" t="n">
        <v>42.4</v>
      </c>
      <c r="H1374" s="0" t="n">
        <v>32.54</v>
      </c>
      <c r="I1374" s="0" t="n">
        <v>0</v>
      </c>
      <c r="J1374" s="0" t="n">
        <v>0</v>
      </c>
      <c r="K1374" s="0" t="n">
        <v>0.06</v>
      </c>
      <c r="L1374" s="0" t="n">
        <v>0.04</v>
      </c>
      <c r="M1374" s="0" t="n">
        <v>0</v>
      </c>
      <c r="N1374" s="0" t="n">
        <v>0</v>
      </c>
      <c r="O1374" s="0" t="n">
        <v>649.52</v>
      </c>
    </row>
    <row r="1375" customFormat="false" ht="15" hidden="false" customHeight="false" outlineLevel="0" collapsed="false">
      <c r="A1375" s="0" t="s">
        <v>284</v>
      </c>
      <c r="B1375" s="0" t="s">
        <v>523</v>
      </c>
      <c r="C1375" s="0" t="n">
        <v>2020</v>
      </c>
      <c r="D1375" s="0" t="n">
        <v>4400146</v>
      </c>
      <c r="E1375" s="0" t="n">
        <v>74.64</v>
      </c>
      <c r="F1375" s="0" t="n">
        <v>0</v>
      </c>
      <c r="G1375" s="0" t="n">
        <v>39.24</v>
      </c>
      <c r="H1375" s="0" t="n">
        <v>35.31</v>
      </c>
      <c r="I1375" s="0" t="n">
        <v>0</v>
      </c>
      <c r="J1375" s="0" t="n">
        <v>0</v>
      </c>
      <c r="K1375" s="0" t="n">
        <v>0.06</v>
      </c>
      <c r="L1375" s="0" t="n">
        <v>0.03</v>
      </c>
      <c r="M1375" s="0" t="n">
        <v>0</v>
      </c>
      <c r="N1375" s="0" t="n">
        <v>0</v>
      </c>
      <c r="O1375" s="0" t="n">
        <v>650.19</v>
      </c>
    </row>
    <row r="1376" customFormat="false" ht="15" hidden="false" customHeight="false" outlineLevel="0" collapsed="false">
      <c r="A1376" s="0" t="s">
        <v>284</v>
      </c>
      <c r="B1376" s="0" t="s">
        <v>523</v>
      </c>
      <c r="C1376" s="0" t="n">
        <v>2021</v>
      </c>
      <c r="D1376" s="0" t="n">
        <v>4360748</v>
      </c>
      <c r="E1376" s="0" t="n">
        <v>80.8</v>
      </c>
      <c r="F1376" s="0" t="n">
        <v>0</v>
      </c>
      <c r="G1376" s="0" t="n">
        <v>41.08</v>
      </c>
      <c r="H1376" s="0" t="n">
        <v>39.51</v>
      </c>
      <c r="I1376" s="0" t="n">
        <v>0</v>
      </c>
      <c r="J1376" s="0" t="n">
        <v>0</v>
      </c>
      <c r="K1376" s="0" t="n">
        <v>0.14</v>
      </c>
      <c r="L1376" s="0" t="n">
        <v>0.07</v>
      </c>
      <c r="M1376" s="0" t="n">
        <v>0</v>
      </c>
      <c r="N1376" s="0" t="n">
        <v>0</v>
      </c>
      <c r="O1376" s="0" t="n">
        <v>649.63</v>
      </c>
    </row>
    <row r="1377" customFormat="false" ht="15" hidden="false" customHeight="false" outlineLevel="0" collapsed="false">
      <c r="A1377" s="0" t="s">
        <v>284</v>
      </c>
      <c r="B1377" s="0" t="s">
        <v>523</v>
      </c>
      <c r="C1377" s="0" t="n">
        <v>2022</v>
      </c>
      <c r="D1377" s="0" t="n">
        <v>4589514</v>
      </c>
      <c r="E1377" s="0" t="n">
        <v>85.29</v>
      </c>
      <c r="F1377" s="0" t="n">
        <v>0</v>
      </c>
      <c r="G1377" s="0" t="n">
        <v>43.51</v>
      </c>
      <c r="H1377" s="0" t="n">
        <v>39.88</v>
      </c>
      <c r="I1377" s="0" t="n">
        <v>0</v>
      </c>
      <c r="J1377" s="0" t="n">
        <v>0</v>
      </c>
      <c r="K1377" s="0" t="n">
        <v>0.18</v>
      </c>
      <c r="L1377" s="0" t="n">
        <v>1.72</v>
      </c>
      <c r="M1377" s="0" t="n">
        <v>0</v>
      </c>
      <c r="N1377" s="0" t="n">
        <v>0</v>
      </c>
      <c r="O1377" s="0" t="n">
        <v>636.89</v>
      </c>
    </row>
    <row r="1378" customFormat="false" ht="15" hidden="false" customHeight="false" outlineLevel="0" collapsed="false">
      <c r="A1378" s="0" t="s">
        <v>284</v>
      </c>
      <c r="B1378" s="0" t="s">
        <v>523</v>
      </c>
      <c r="C1378" s="0" t="n">
        <v>2023</v>
      </c>
      <c r="D1378" s="0" t="n">
        <v>4838781</v>
      </c>
      <c r="E1378" s="0" t="n">
        <v>89.76</v>
      </c>
      <c r="F1378" s="0" t="n">
        <v>0</v>
      </c>
      <c r="G1378" s="0" t="n">
        <v>55.06</v>
      </c>
      <c r="H1378" s="0" t="n">
        <v>32.79</v>
      </c>
      <c r="I1378" s="0" t="n">
        <v>0</v>
      </c>
      <c r="J1378" s="0" t="n">
        <v>0</v>
      </c>
      <c r="K1378" s="0" t="n">
        <v>0.19</v>
      </c>
      <c r="L1378" s="0" t="n">
        <v>1.72</v>
      </c>
      <c r="M1378" s="0" t="n">
        <v>0</v>
      </c>
      <c r="N1378" s="0" t="n">
        <v>0</v>
      </c>
      <c r="O1378" s="0" t="n">
        <v>636.14</v>
      </c>
    </row>
    <row r="1379" customFormat="false" ht="15" hidden="false" customHeight="false" outlineLevel="0" collapsed="false">
      <c r="A1379" s="0" t="s">
        <v>284</v>
      </c>
      <c r="B1379" s="0" t="s">
        <v>523</v>
      </c>
      <c r="C1379" s="0" t="n">
        <v>2024</v>
      </c>
      <c r="D1379" s="0" t="n">
        <v>4934508</v>
      </c>
      <c r="E1379" s="0" t="n">
        <v>92.49</v>
      </c>
      <c r="F1379" s="0" t="n">
        <v>0</v>
      </c>
      <c r="G1379" s="0" t="n">
        <v>57.42</v>
      </c>
      <c r="H1379" s="0" t="n">
        <v>33</v>
      </c>
      <c r="I1379" s="0" t="n">
        <v>0</v>
      </c>
      <c r="J1379" s="0" t="n">
        <v>0</v>
      </c>
      <c r="K1379" s="0" t="n">
        <v>0.21</v>
      </c>
      <c r="L1379" s="0" t="n">
        <v>1.86</v>
      </c>
      <c r="M1379" s="0" t="n">
        <v>0</v>
      </c>
      <c r="N1379" s="0" t="n">
        <v>0</v>
      </c>
      <c r="O1379" s="0" t="n">
        <v>635.2</v>
      </c>
    </row>
    <row r="1380" customFormat="false" ht="15" hidden="false" customHeight="false" outlineLevel="0" collapsed="false">
      <c r="A1380" s="0" t="s">
        <v>284</v>
      </c>
      <c r="B1380" s="0" t="s">
        <v>523</v>
      </c>
      <c r="C1380" s="0" t="n">
        <v>2025</v>
      </c>
      <c r="D1380" s="0" t="n">
        <v>5026079</v>
      </c>
      <c r="E1380" s="0" t="n">
        <v>92.49</v>
      </c>
      <c r="F1380" s="0" t="n">
        <v>0</v>
      </c>
      <c r="G1380" s="0" t="n">
        <v>57.35</v>
      </c>
      <c r="H1380" s="0" t="n">
        <v>33.07</v>
      </c>
      <c r="I1380" s="0" t="n">
        <v>0</v>
      </c>
      <c r="J1380" s="0" t="n">
        <v>0</v>
      </c>
      <c r="K1380" s="0" t="n">
        <v>0.21</v>
      </c>
      <c r="L1380" s="0" t="n">
        <v>1.86</v>
      </c>
      <c r="M1380" s="0" t="n">
        <v>0</v>
      </c>
      <c r="N1380" s="0" t="n">
        <v>0</v>
      </c>
      <c r="O1380" s="0" t="n">
        <v>635.31</v>
      </c>
    </row>
    <row r="1381" customFormat="false" ht="15" hidden="false" customHeight="false" outlineLevel="0" collapsed="false">
      <c r="A1381" s="0" t="s">
        <v>285</v>
      </c>
      <c r="B1381" s="0" t="s">
        <v>524</v>
      </c>
      <c r="C1381" s="0" t="n">
        <v>2015</v>
      </c>
      <c r="D1381" s="0" t="n">
        <v>6001876</v>
      </c>
      <c r="E1381" s="0" t="n">
        <v>12.92</v>
      </c>
      <c r="F1381" s="0" t="n">
        <v>1.72</v>
      </c>
      <c r="G1381" s="0" t="n">
        <v>0.17</v>
      </c>
      <c r="H1381" s="0" t="n">
        <v>0.04</v>
      </c>
      <c r="I1381" s="0" t="n">
        <v>0</v>
      </c>
      <c r="J1381" s="0" t="n">
        <v>10.99</v>
      </c>
      <c r="K1381" s="0" t="n">
        <v>0</v>
      </c>
      <c r="L1381" s="0" t="n">
        <v>0</v>
      </c>
      <c r="M1381" s="0" t="n">
        <v>0</v>
      </c>
      <c r="N1381" s="0" t="n">
        <v>0</v>
      </c>
      <c r="O1381" s="0" t="n">
        <v>154.8</v>
      </c>
    </row>
    <row r="1382" customFormat="false" ht="15" hidden="false" customHeight="false" outlineLevel="0" collapsed="false">
      <c r="A1382" s="0" t="s">
        <v>285</v>
      </c>
      <c r="B1382" s="0" t="s">
        <v>524</v>
      </c>
      <c r="C1382" s="0" t="n">
        <v>2016</v>
      </c>
      <c r="D1382" s="0" t="n">
        <v>6108460</v>
      </c>
      <c r="E1382" s="0" t="n">
        <v>13.15</v>
      </c>
      <c r="F1382" s="0" t="n">
        <v>1.56</v>
      </c>
      <c r="G1382" s="0" t="n">
        <v>0.19</v>
      </c>
      <c r="H1382" s="0" t="n">
        <v>0.02</v>
      </c>
      <c r="I1382" s="0" t="n">
        <v>0</v>
      </c>
      <c r="J1382" s="0" t="n">
        <v>11.38</v>
      </c>
      <c r="K1382" s="0" t="n">
        <v>0</v>
      </c>
      <c r="L1382" s="0" t="n">
        <v>0</v>
      </c>
      <c r="M1382" s="0" t="n">
        <v>0</v>
      </c>
      <c r="N1382" s="0" t="n">
        <v>0</v>
      </c>
      <c r="O1382" s="0" t="n">
        <v>139.16</v>
      </c>
    </row>
    <row r="1383" customFormat="false" ht="15" hidden="false" customHeight="false" outlineLevel="0" collapsed="false">
      <c r="A1383" s="0" t="s">
        <v>285</v>
      </c>
      <c r="B1383" s="0" t="s">
        <v>524</v>
      </c>
      <c r="C1383" s="0" t="n">
        <v>2017</v>
      </c>
      <c r="D1383" s="0" t="n">
        <v>6220148</v>
      </c>
      <c r="E1383" s="0" t="n">
        <v>15.37</v>
      </c>
      <c r="F1383" s="0" t="n">
        <v>1.16</v>
      </c>
      <c r="G1383" s="0" t="n">
        <v>0.12</v>
      </c>
      <c r="H1383" s="0" t="n">
        <v>0.03</v>
      </c>
      <c r="I1383" s="0" t="n">
        <v>0</v>
      </c>
      <c r="J1383" s="0" t="n">
        <v>14.06</v>
      </c>
      <c r="K1383" s="0" t="n">
        <v>0</v>
      </c>
      <c r="L1383" s="0" t="n">
        <v>0</v>
      </c>
      <c r="M1383" s="0" t="n">
        <v>0</v>
      </c>
      <c r="N1383" s="0" t="n">
        <v>0</v>
      </c>
      <c r="O1383" s="0" t="n">
        <v>97.59</v>
      </c>
    </row>
    <row r="1384" customFormat="false" ht="15" hidden="false" customHeight="false" outlineLevel="0" collapsed="false">
      <c r="A1384" s="0" t="s">
        <v>285</v>
      </c>
      <c r="B1384" s="0" t="s">
        <v>524</v>
      </c>
      <c r="C1384" s="0" t="n">
        <v>2018</v>
      </c>
      <c r="D1384" s="0" t="n">
        <v>6341733</v>
      </c>
      <c r="E1384" s="0" t="n">
        <v>15.43</v>
      </c>
      <c r="F1384" s="0" t="n">
        <v>1.09</v>
      </c>
      <c r="G1384" s="0" t="n">
        <v>0.08</v>
      </c>
      <c r="H1384" s="0" t="n">
        <v>0.09</v>
      </c>
      <c r="I1384" s="0" t="n">
        <v>0</v>
      </c>
      <c r="J1384" s="0" t="n">
        <v>14.17</v>
      </c>
      <c r="K1384" s="0" t="n">
        <v>0</v>
      </c>
      <c r="L1384" s="0" t="n">
        <v>0</v>
      </c>
      <c r="M1384" s="0" t="n">
        <v>0</v>
      </c>
      <c r="N1384" s="0" t="n">
        <v>0</v>
      </c>
      <c r="O1384" s="0" t="n">
        <v>95.27</v>
      </c>
    </row>
    <row r="1385" customFormat="false" ht="15" hidden="false" customHeight="false" outlineLevel="0" collapsed="false">
      <c r="A1385" s="0" t="s">
        <v>285</v>
      </c>
      <c r="B1385" s="0" t="s">
        <v>524</v>
      </c>
      <c r="C1385" s="0" t="n">
        <v>2019</v>
      </c>
      <c r="D1385" s="0" t="n">
        <v>6494036</v>
      </c>
      <c r="E1385" s="0" t="n">
        <v>14.97</v>
      </c>
      <c r="F1385" s="0" t="n">
        <v>1.13</v>
      </c>
      <c r="G1385" s="0" t="n">
        <v>0.09</v>
      </c>
      <c r="H1385" s="0" t="n">
        <v>0.04</v>
      </c>
      <c r="I1385" s="0" t="n">
        <v>0</v>
      </c>
      <c r="J1385" s="0" t="n">
        <v>13.71</v>
      </c>
      <c r="K1385" s="0" t="n">
        <v>0</v>
      </c>
      <c r="L1385" s="0" t="n">
        <v>0</v>
      </c>
      <c r="M1385" s="0" t="n">
        <v>0</v>
      </c>
      <c r="N1385" s="0" t="n">
        <v>0</v>
      </c>
      <c r="O1385" s="0" t="n">
        <v>98.2</v>
      </c>
    </row>
    <row r="1386" customFormat="false" ht="15" hidden="false" customHeight="false" outlineLevel="0" collapsed="false">
      <c r="A1386" s="0" t="s">
        <v>285</v>
      </c>
      <c r="B1386" s="0" t="s">
        <v>524</v>
      </c>
      <c r="C1386" s="0" t="n">
        <v>2020</v>
      </c>
      <c r="D1386" s="0" t="n">
        <v>6664143</v>
      </c>
      <c r="E1386" s="0" t="n">
        <v>15.4</v>
      </c>
      <c r="F1386" s="0" t="n">
        <v>1.29</v>
      </c>
      <c r="G1386" s="0" t="n">
        <v>0.08</v>
      </c>
      <c r="H1386" s="0" t="n">
        <v>0.05</v>
      </c>
      <c r="I1386" s="0" t="n">
        <v>0</v>
      </c>
      <c r="J1386" s="0" t="n">
        <v>13.98</v>
      </c>
      <c r="K1386" s="0" t="n">
        <v>0</v>
      </c>
      <c r="L1386" s="0" t="n">
        <v>0</v>
      </c>
      <c r="M1386" s="0" t="n">
        <v>0</v>
      </c>
      <c r="N1386" s="0" t="n">
        <v>0</v>
      </c>
      <c r="O1386" s="0" t="n">
        <v>105.2</v>
      </c>
    </row>
    <row r="1387" customFormat="false" ht="15" hidden="false" customHeight="false" outlineLevel="0" collapsed="false">
      <c r="A1387" s="0" t="s">
        <v>285</v>
      </c>
      <c r="B1387" s="0" t="s">
        <v>524</v>
      </c>
      <c r="C1387" s="0" t="n">
        <v>2021</v>
      </c>
      <c r="D1387" s="0" t="n">
        <v>6820483</v>
      </c>
      <c r="E1387" s="0" t="n">
        <v>15.14</v>
      </c>
      <c r="F1387" s="0" t="n">
        <v>1.97</v>
      </c>
      <c r="G1387" s="0" t="n">
        <v>0.17</v>
      </c>
      <c r="H1387" s="0" t="n">
        <v>0.04</v>
      </c>
      <c r="I1387" s="0" t="n">
        <v>0</v>
      </c>
      <c r="J1387" s="0" t="n">
        <v>12.96</v>
      </c>
      <c r="K1387" s="0" t="n">
        <v>0</v>
      </c>
      <c r="L1387" s="0" t="n">
        <v>0</v>
      </c>
      <c r="M1387" s="0" t="n">
        <v>0</v>
      </c>
      <c r="N1387" s="0" t="n">
        <v>0</v>
      </c>
      <c r="O1387" s="0" t="n">
        <v>151.26</v>
      </c>
    </row>
    <row r="1388" customFormat="false" ht="15" hidden="false" customHeight="false" outlineLevel="0" collapsed="false">
      <c r="A1388" s="0" t="s">
        <v>285</v>
      </c>
      <c r="B1388" s="0" t="s">
        <v>524</v>
      </c>
      <c r="C1388" s="0" t="n">
        <v>2022</v>
      </c>
      <c r="D1388" s="0" t="n">
        <v>6955792</v>
      </c>
      <c r="E1388" s="0" t="n">
        <v>13.82</v>
      </c>
      <c r="F1388" s="0" t="n">
        <v>1.76</v>
      </c>
      <c r="G1388" s="0" t="n">
        <v>0.12</v>
      </c>
      <c r="H1388" s="0" t="n">
        <v>0.04</v>
      </c>
      <c r="I1388" s="0" t="n">
        <v>0</v>
      </c>
      <c r="J1388" s="0" t="n">
        <v>11.9</v>
      </c>
      <c r="K1388" s="0" t="n">
        <v>0</v>
      </c>
      <c r="L1388" s="0" t="n">
        <v>0</v>
      </c>
      <c r="M1388" s="0" t="n">
        <v>0</v>
      </c>
      <c r="N1388" s="0" t="n">
        <v>0</v>
      </c>
      <c r="O1388" s="0" t="n">
        <v>146.89</v>
      </c>
    </row>
    <row r="1389" customFormat="false" ht="15" hidden="false" customHeight="false" outlineLevel="0" collapsed="false">
      <c r="A1389" s="0" t="s">
        <v>285</v>
      </c>
      <c r="B1389" s="0" t="s">
        <v>524</v>
      </c>
      <c r="C1389" s="0" t="n">
        <v>2023</v>
      </c>
      <c r="D1389" s="0" t="n">
        <v>7073523</v>
      </c>
      <c r="E1389" s="0" t="n">
        <v>13.6</v>
      </c>
      <c r="F1389" s="0" t="n">
        <v>1.59</v>
      </c>
      <c r="G1389" s="0" t="n">
        <v>0.2</v>
      </c>
      <c r="H1389" s="0" t="n">
        <v>0.05</v>
      </c>
      <c r="I1389" s="0" t="n">
        <v>0</v>
      </c>
      <c r="J1389" s="0" t="n">
        <v>11.76</v>
      </c>
      <c r="K1389" s="0" t="n">
        <v>0</v>
      </c>
      <c r="L1389" s="0" t="n">
        <v>0</v>
      </c>
      <c r="M1389" s="0" t="n">
        <v>0</v>
      </c>
      <c r="N1389" s="0" t="n">
        <v>0</v>
      </c>
      <c r="O1389" s="0" t="n">
        <v>139.71</v>
      </c>
    </row>
    <row r="1390" customFormat="false" ht="15" hidden="false" customHeight="false" outlineLevel="0" collapsed="false">
      <c r="A1390" s="0" t="s">
        <v>285</v>
      </c>
      <c r="B1390" s="0" t="s">
        <v>524</v>
      </c>
      <c r="C1390" s="0" t="n">
        <v>2024</v>
      </c>
      <c r="D1390" s="0" t="n">
        <v>7186014</v>
      </c>
      <c r="E1390" s="0" t="n">
        <v>15.77</v>
      </c>
      <c r="F1390" s="0" t="n">
        <v>1.53</v>
      </c>
      <c r="G1390" s="0" t="n">
        <v>0.19</v>
      </c>
      <c r="H1390" s="0" t="n">
        <v>0.05</v>
      </c>
      <c r="I1390" s="0" t="n">
        <v>0</v>
      </c>
      <c r="J1390" s="0" t="n">
        <v>14</v>
      </c>
      <c r="K1390" s="0" t="n">
        <v>0</v>
      </c>
      <c r="L1390" s="0" t="n">
        <v>0</v>
      </c>
      <c r="M1390" s="0" t="n">
        <v>0</v>
      </c>
      <c r="N1390" s="0" t="n">
        <v>0</v>
      </c>
      <c r="O1390" s="0" t="n">
        <v>119.21</v>
      </c>
    </row>
    <row r="1391" customFormat="false" ht="15" hidden="false" customHeight="false" outlineLevel="0" collapsed="false">
      <c r="A1391" s="0" t="s">
        <v>285</v>
      </c>
      <c r="B1391" s="0" t="s">
        <v>524</v>
      </c>
      <c r="C1391" s="0" t="n">
        <v>2025</v>
      </c>
      <c r="D1391" s="0" t="n">
        <v>7295037</v>
      </c>
      <c r="E1391" s="0" t="n">
        <v>15.78</v>
      </c>
      <c r="F1391" s="0" t="n">
        <v>1.99</v>
      </c>
      <c r="G1391" s="0" t="n">
        <v>0.27</v>
      </c>
      <c r="H1391" s="0" t="n">
        <v>0.15</v>
      </c>
      <c r="I1391" s="0" t="n">
        <v>0</v>
      </c>
      <c r="J1391" s="0" t="n">
        <v>13.37</v>
      </c>
      <c r="K1391" s="0" t="n">
        <v>0</v>
      </c>
      <c r="L1391" s="0" t="n">
        <v>0</v>
      </c>
      <c r="M1391" s="0" t="n">
        <v>0</v>
      </c>
      <c r="N1391" s="0" t="n">
        <v>0</v>
      </c>
      <c r="O1391" s="0" t="n">
        <v>152.73</v>
      </c>
    </row>
    <row r="1392" customFormat="false" ht="15" hidden="false" customHeight="false" outlineLevel="0" collapsed="false">
      <c r="A1392" s="0" t="s">
        <v>286</v>
      </c>
      <c r="B1392" s="0" t="s">
        <v>525</v>
      </c>
      <c r="C1392" s="0" t="n">
        <v>2015</v>
      </c>
      <c r="D1392" s="0" t="n">
        <v>6801647</v>
      </c>
      <c r="E1392" s="0" t="n">
        <v>16.16</v>
      </c>
      <c r="F1392" s="0" t="n">
        <v>2.26</v>
      </c>
      <c r="G1392" s="0" t="n">
        <v>0</v>
      </c>
      <c r="H1392" s="0" t="n">
        <v>0</v>
      </c>
      <c r="I1392" s="0" t="n">
        <v>0</v>
      </c>
      <c r="J1392" s="0" t="n">
        <v>13.9</v>
      </c>
      <c r="K1392" s="0" t="n">
        <v>0</v>
      </c>
      <c r="L1392" s="0" t="n">
        <v>0</v>
      </c>
      <c r="M1392" s="0" t="n">
        <v>0</v>
      </c>
      <c r="N1392" s="0" t="n">
        <v>0</v>
      </c>
      <c r="O1392" s="0" t="n">
        <v>148.52</v>
      </c>
    </row>
    <row r="1393" customFormat="false" ht="15" hidden="false" customHeight="false" outlineLevel="0" collapsed="false">
      <c r="A1393" s="0" t="s">
        <v>286</v>
      </c>
      <c r="B1393" s="0" t="s">
        <v>525</v>
      </c>
      <c r="C1393" s="0" t="n">
        <v>2016</v>
      </c>
      <c r="D1393" s="0" t="n">
        <v>6908800</v>
      </c>
      <c r="E1393" s="0" t="n">
        <v>25.49</v>
      </c>
      <c r="F1393" s="0" t="n">
        <v>7.96</v>
      </c>
      <c r="G1393" s="0" t="n">
        <v>0</v>
      </c>
      <c r="H1393" s="0" t="n">
        <v>0</v>
      </c>
      <c r="I1393" s="0" t="n">
        <v>0</v>
      </c>
      <c r="J1393" s="0" t="n">
        <v>17.53</v>
      </c>
      <c r="K1393" s="0" t="n">
        <v>0</v>
      </c>
      <c r="L1393" s="0" t="n">
        <v>0</v>
      </c>
      <c r="M1393" s="0" t="n">
        <v>0</v>
      </c>
      <c r="N1393" s="0" t="n">
        <v>0</v>
      </c>
      <c r="O1393" s="0" t="n">
        <v>302.86</v>
      </c>
    </row>
    <row r="1394" customFormat="false" ht="15" hidden="false" customHeight="false" outlineLevel="0" collapsed="false">
      <c r="A1394" s="0" t="s">
        <v>286</v>
      </c>
      <c r="B1394" s="0" t="s">
        <v>525</v>
      </c>
      <c r="C1394" s="0" t="n">
        <v>2017</v>
      </c>
      <c r="D1394" s="0" t="n">
        <v>7018150</v>
      </c>
      <c r="E1394" s="0" t="n">
        <v>31.07</v>
      </c>
      <c r="F1394" s="0" t="n">
        <v>10.93</v>
      </c>
      <c r="G1394" s="0" t="n">
        <v>0</v>
      </c>
      <c r="H1394" s="0" t="n">
        <v>0</v>
      </c>
      <c r="I1394" s="0" t="n">
        <v>0</v>
      </c>
      <c r="J1394" s="0" t="n">
        <v>20.1</v>
      </c>
      <c r="K1394" s="0" t="n">
        <v>0.01</v>
      </c>
      <c r="L1394" s="0" t="n">
        <v>0</v>
      </c>
      <c r="M1394" s="0" t="n">
        <v>0.03</v>
      </c>
      <c r="N1394" s="0" t="n">
        <v>0</v>
      </c>
      <c r="O1394" s="0" t="n">
        <v>338.59</v>
      </c>
    </row>
    <row r="1395" customFormat="false" ht="15" hidden="false" customHeight="false" outlineLevel="0" collapsed="false">
      <c r="A1395" s="0" t="s">
        <v>286</v>
      </c>
      <c r="B1395" s="0" t="s">
        <v>525</v>
      </c>
      <c r="C1395" s="0" t="n">
        <v>2018</v>
      </c>
      <c r="D1395" s="0" t="n">
        <v>7128043</v>
      </c>
      <c r="E1395" s="0" t="n">
        <v>34.42</v>
      </c>
      <c r="F1395" s="0" t="n">
        <v>12.02</v>
      </c>
      <c r="G1395" s="0" t="n">
        <v>0</v>
      </c>
      <c r="H1395" s="0" t="n">
        <v>0</v>
      </c>
      <c r="I1395" s="0" t="n">
        <v>0</v>
      </c>
      <c r="J1395" s="0" t="n">
        <v>22.33</v>
      </c>
      <c r="K1395" s="0" t="n">
        <v>0.02</v>
      </c>
      <c r="L1395" s="0" t="n">
        <v>0</v>
      </c>
      <c r="M1395" s="0" t="n">
        <v>0.05</v>
      </c>
      <c r="N1395" s="0" t="n">
        <v>0</v>
      </c>
      <c r="O1395" s="0" t="n">
        <v>336.14</v>
      </c>
    </row>
    <row r="1396" customFormat="false" ht="15" hidden="false" customHeight="false" outlineLevel="0" collapsed="false">
      <c r="A1396" s="0" t="s">
        <v>286</v>
      </c>
      <c r="B1396" s="0" t="s">
        <v>525</v>
      </c>
      <c r="C1396" s="0" t="n">
        <v>2019</v>
      </c>
      <c r="D1396" s="0" t="n">
        <v>7237635</v>
      </c>
      <c r="E1396" s="0" t="n">
        <v>31.24</v>
      </c>
      <c r="F1396" s="0" t="n">
        <v>11.41</v>
      </c>
      <c r="G1396" s="0" t="n">
        <v>0</v>
      </c>
      <c r="H1396" s="0" t="n">
        <v>0</v>
      </c>
      <c r="I1396" s="0" t="n">
        <v>0</v>
      </c>
      <c r="J1396" s="0" t="n">
        <v>19.74</v>
      </c>
      <c r="K1396" s="0" t="n">
        <v>0.04</v>
      </c>
      <c r="L1396" s="0" t="n">
        <v>0</v>
      </c>
      <c r="M1396" s="0" t="n">
        <v>0.05</v>
      </c>
      <c r="N1396" s="0" t="n">
        <v>0</v>
      </c>
      <c r="O1396" s="0" t="n">
        <v>350.51</v>
      </c>
    </row>
    <row r="1397" customFormat="false" ht="15" hidden="false" customHeight="false" outlineLevel="0" collapsed="false">
      <c r="A1397" s="0" t="s">
        <v>286</v>
      </c>
      <c r="B1397" s="0" t="s">
        <v>525</v>
      </c>
      <c r="C1397" s="0" t="n">
        <v>2020</v>
      </c>
      <c r="D1397" s="0" t="n">
        <v>7346534</v>
      </c>
      <c r="E1397" s="0" t="n">
        <v>39.96</v>
      </c>
      <c r="F1397" s="0" t="n">
        <v>11.35</v>
      </c>
      <c r="G1397" s="0" t="n">
        <v>0</v>
      </c>
      <c r="H1397" s="0" t="n">
        <v>0</v>
      </c>
      <c r="I1397" s="0" t="n">
        <v>0</v>
      </c>
      <c r="J1397" s="0" t="n">
        <v>28.51</v>
      </c>
      <c r="K1397" s="0" t="n">
        <v>0.04</v>
      </c>
      <c r="L1397" s="0" t="n">
        <v>0</v>
      </c>
      <c r="M1397" s="0" t="n">
        <v>0.06</v>
      </c>
      <c r="N1397" s="0" t="n">
        <v>0</v>
      </c>
      <c r="O1397" s="0" t="n">
        <v>278.03</v>
      </c>
    </row>
    <row r="1398" customFormat="false" ht="15" hidden="false" customHeight="false" outlineLevel="0" collapsed="false">
      <c r="A1398" s="0" t="s">
        <v>286</v>
      </c>
      <c r="B1398" s="0" t="s">
        <v>525</v>
      </c>
      <c r="C1398" s="0" t="n">
        <v>2021</v>
      </c>
      <c r="D1398" s="0" t="n">
        <v>7453192</v>
      </c>
      <c r="E1398" s="0" t="n">
        <v>44.9</v>
      </c>
      <c r="F1398" s="0" t="n">
        <v>11.88</v>
      </c>
      <c r="G1398" s="0" t="n">
        <v>0</v>
      </c>
      <c r="H1398" s="0" t="n">
        <v>0</v>
      </c>
      <c r="I1398" s="0" t="n">
        <v>0</v>
      </c>
      <c r="J1398" s="0" t="n">
        <v>32.9</v>
      </c>
      <c r="K1398" s="0" t="n">
        <v>0.07</v>
      </c>
      <c r="L1398" s="0" t="n">
        <v>0</v>
      </c>
      <c r="M1398" s="0" t="n">
        <v>0.05</v>
      </c>
      <c r="N1398" s="0" t="n">
        <v>0</v>
      </c>
      <c r="O1398" s="0" t="n">
        <v>260.36</v>
      </c>
    </row>
    <row r="1399" customFormat="false" ht="15" hidden="false" customHeight="false" outlineLevel="0" collapsed="false">
      <c r="A1399" s="0" t="s">
        <v>286</v>
      </c>
      <c r="B1399" s="0" t="s">
        <v>525</v>
      </c>
      <c r="C1399" s="0" t="n">
        <v>2022</v>
      </c>
      <c r="D1399" s="0" t="n">
        <v>7559008</v>
      </c>
      <c r="E1399" s="0" t="n">
        <v>51.04</v>
      </c>
      <c r="F1399" s="0" t="n">
        <v>12.18</v>
      </c>
      <c r="G1399" s="0" t="n">
        <v>0</v>
      </c>
      <c r="H1399" s="0" t="n">
        <v>0</v>
      </c>
      <c r="I1399" s="0" t="n">
        <v>0</v>
      </c>
      <c r="J1399" s="0" t="n">
        <v>38.74</v>
      </c>
      <c r="K1399" s="0" t="n">
        <v>0.08</v>
      </c>
      <c r="L1399" s="0" t="n">
        <v>0</v>
      </c>
      <c r="M1399" s="0" t="n">
        <v>0.04</v>
      </c>
      <c r="N1399" s="0" t="n">
        <v>0</v>
      </c>
      <c r="O1399" s="0" t="n">
        <v>237.27</v>
      </c>
    </row>
    <row r="1400" customFormat="false" ht="15" hidden="false" customHeight="false" outlineLevel="0" collapsed="false">
      <c r="A1400" s="0" t="s">
        <v>286</v>
      </c>
      <c r="B1400" s="0" t="s">
        <v>525</v>
      </c>
      <c r="C1400" s="0" t="n">
        <v>2023</v>
      </c>
      <c r="D1400" s="0" t="n">
        <v>7665001</v>
      </c>
      <c r="E1400" s="0" t="n">
        <v>52.3</v>
      </c>
      <c r="F1400" s="0" t="n">
        <v>12.18</v>
      </c>
      <c r="G1400" s="0" t="n">
        <v>0</v>
      </c>
      <c r="H1400" s="0" t="n">
        <v>0</v>
      </c>
      <c r="I1400" s="0" t="n">
        <v>0</v>
      </c>
      <c r="J1400" s="0" t="n">
        <v>40</v>
      </c>
      <c r="K1400" s="0" t="n">
        <v>0.08</v>
      </c>
      <c r="L1400" s="0" t="n">
        <v>0</v>
      </c>
      <c r="M1400" s="0" t="n">
        <v>0.04</v>
      </c>
      <c r="N1400" s="0" t="n">
        <v>0</v>
      </c>
      <c r="O1400" s="0" t="n">
        <v>232.12</v>
      </c>
    </row>
    <row r="1401" customFormat="false" ht="15" hidden="false" customHeight="false" outlineLevel="0" collapsed="false">
      <c r="A1401" s="0" t="s">
        <v>286</v>
      </c>
      <c r="B1401" s="0" t="s">
        <v>525</v>
      </c>
      <c r="C1401" s="0" t="n">
        <v>2024</v>
      </c>
      <c r="D1401" s="0" t="n">
        <v>7769823</v>
      </c>
      <c r="E1401" s="0" t="n">
        <v>52.31</v>
      </c>
      <c r="F1401" s="0" t="n">
        <v>12.18</v>
      </c>
      <c r="G1401" s="0" t="n">
        <v>0</v>
      </c>
      <c r="H1401" s="0" t="n">
        <v>0</v>
      </c>
      <c r="I1401" s="0" t="n">
        <v>0</v>
      </c>
      <c r="J1401" s="0" t="n">
        <v>40</v>
      </c>
      <c r="K1401" s="0" t="n">
        <v>0.09</v>
      </c>
      <c r="L1401" s="0" t="n">
        <v>0</v>
      </c>
      <c r="M1401" s="0" t="n">
        <v>0.04</v>
      </c>
      <c r="N1401" s="0" t="n">
        <v>0</v>
      </c>
      <c r="O1401" s="0" t="n">
        <v>232.08</v>
      </c>
    </row>
    <row r="1402" customFormat="false" ht="15" hidden="false" customHeight="false" outlineLevel="0" collapsed="false">
      <c r="A1402" s="0" t="s">
        <v>682</v>
      </c>
      <c r="C1402" s="0" t="n">
        <v>2015</v>
      </c>
      <c r="E1402" s="0" t="n">
        <v>1611.77</v>
      </c>
      <c r="F1402" s="0" t="n">
        <v>108.33</v>
      </c>
      <c r="G1402" s="0" t="n">
        <v>460.1</v>
      </c>
      <c r="H1402" s="0" t="n">
        <v>189.92</v>
      </c>
      <c r="I1402" s="0" t="n">
        <v>33.35</v>
      </c>
      <c r="J1402" s="0" t="n">
        <v>696.99</v>
      </c>
      <c r="K1402" s="0" t="n">
        <v>3.06</v>
      </c>
      <c r="L1402" s="0" t="n">
        <v>40.09</v>
      </c>
      <c r="M1402" s="0" t="n">
        <v>75.98</v>
      </c>
      <c r="N1402" s="0" t="n">
        <v>3.95</v>
      </c>
      <c r="O1402" s="0" t="n">
        <v>334.24</v>
      </c>
    </row>
    <row r="1403" customFormat="false" ht="15" hidden="false" customHeight="false" outlineLevel="0" collapsed="false">
      <c r="A1403" s="0" t="s">
        <v>682</v>
      </c>
      <c r="C1403" s="0" t="n">
        <v>2016</v>
      </c>
      <c r="E1403" s="0" t="n">
        <v>1628.54</v>
      </c>
      <c r="F1403" s="0" t="n">
        <v>110.06</v>
      </c>
      <c r="G1403" s="0" t="n">
        <v>453.3</v>
      </c>
      <c r="H1403" s="0" t="n">
        <v>173.58</v>
      </c>
      <c r="I1403" s="0" t="n">
        <v>34.71</v>
      </c>
      <c r="J1403" s="0" t="n">
        <v>713.94</v>
      </c>
      <c r="K1403" s="0" t="n">
        <v>5.23</v>
      </c>
      <c r="L1403" s="0" t="n">
        <v>55.43</v>
      </c>
      <c r="M1403" s="0" t="n">
        <v>78.23</v>
      </c>
      <c r="N1403" s="0" t="n">
        <v>4.06</v>
      </c>
      <c r="O1403" s="0" t="n">
        <v>323.65</v>
      </c>
    </row>
    <row r="1404" customFormat="false" ht="15" hidden="false" customHeight="false" outlineLevel="0" collapsed="false">
      <c r="A1404" s="0" t="s">
        <v>682</v>
      </c>
      <c r="C1404" s="0" t="n">
        <v>2017</v>
      </c>
      <c r="E1404" s="0" t="n">
        <v>1630.07</v>
      </c>
      <c r="F1404" s="0" t="n">
        <v>97.75</v>
      </c>
      <c r="G1404" s="0" t="n">
        <v>457.26</v>
      </c>
      <c r="H1404" s="0" t="n">
        <v>158.86</v>
      </c>
      <c r="I1404" s="0" t="n">
        <v>32.71</v>
      </c>
      <c r="J1404" s="0" t="n">
        <v>725</v>
      </c>
      <c r="K1404" s="0" t="n">
        <v>8.75</v>
      </c>
      <c r="L1404" s="0" t="n">
        <v>66.38</v>
      </c>
      <c r="M1404" s="0" t="n">
        <v>79.35</v>
      </c>
      <c r="N1404" s="0" t="n">
        <v>4.01</v>
      </c>
      <c r="O1404" s="0" t="n">
        <v>311.03</v>
      </c>
    </row>
    <row r="1405" customFormat="false" ht="15" hidden="false" customHeight="false" outlineLevel="0" collapsed="false">
      <c r="A1405" s="0" t="s">
        <v>682</v>
      </c>
      <c r="C1405" s="0" t="n">
        <v>2018</v>
      </c>
      <c r="E1405" s="0" t="n">
        <v>1668.54</v>
      </c>
      <c r="F1405" s="0" t="n">
        <v>96.02</v>
      </c>
      <c r="G1405" s="0" t="n">
        <v>468.33</v>
      </c>
      <c r="H1405" s="0" t="n">
        <v>146.63</v>
      </c>
      <c r="I1405" s="0" t="n">
        <v>36.09</v>
      </c>
      <c r="J1405" s="0" t="n">
        <v>743.08</v>
      </c>
      <c r="K1405" s="0" t="n">
        <v>16.14</v>
      </c>
      <c r="L1405" s="0" t="n">
        <v>77.94</v>
      </c>
      <c r="M1405" s="0" t="n">
        <v>80.06</v>
      </c>
      <c r="N1405" s="0" t="n">
        <v>4.25</v>
      </c>
      <c r="O1405" s="0" t="n">
        <v>302.67</v>
      </c>
    </row>
    <row r="1406" customFormat="false" ht="15" hidden="false" customHeight="false" outlineLevel="0" collapsed="false">
      <c r="A1406" s="0" t="s">
        <v>682</v>
      </c>
      <c r="C1406" s="0" t="n">
        <v>2019</v>
      </c>
      <c r="E1406" s="0" t="n">
        <v>1679.9</v>
      </c>
      <c r="F1406" s="0" t="n">
        <v>104.6</v>
      </c>
      <c r="G1406" s="0" t="n">
        <v>474.48</v>
      </c>
      <c r="H1406" s="0" t="n">
        <v>138.98</v>
      </c>
      <c r="I1406" s="0" t="n">
        <v>35.76</v>
      </c>
      <c r="J1406" s="0" t="n">
        <v>715.61</v>
      </c>
      <c r="K1406" s="0" t="n">
        <v>29.18</v>
      </c>
      <c r="L1406" s="0" t="n">
        <v>95.19</v>
      </c>
      <c r="M1406" s="0" t="n">
        <v>81.41</v>
      </c>
      <c r="N1406" s="0" t="n">
        <v>4.69</v>
      </c>
      <c r="O1406" s="0" t="n">
        <v>304.05</v>
      </c>
    </row>
    <row r="1407" customFormat="false" ht="15" hidden="false" customHeight="false" outlineLevel="0" collapsed="false">
      <c r="A1407" s="0" t="s">
        <v>682</v>
      </c>
      <c r="C1407" s="0" t="n">
        <v>2020</v>
      </c>
      <c r="E1407" s="0" t="n">
        <v>1639</v>
      </c>
      <c r="F1407" s="0" t="n">
        <v>82.61</v>
      </c>
      <c r="G1407" s="0" t="n">
        <v>452.74</v>
      </c>
      <c r="H1407" s="0" t="n">
        <v>112.46</v>
      </c>
      <c r="I1407" s="0" t="n">
        <v>35.24</v>
      </c>
      <c r="J1407" s="0" t="n">
        <v>718.18</v>
      </c>
      <c r="K1407" s="0" t="n">
        <v>41.98</v>
      </c>
      <c r="L1407" s="0" t="n">
        <v>104.56</v>
      </c>
      <c r="M1407" s="0" t="n">
        <v>86.21</v>
      </c>
      <c r="N1407" s="0" t="n">
        <v>5.02</v>
      </c>
      <c r="O1407" s="0" t="n">
        <v>281.32</v>
      </c>
    </row>
    <row r="1408" customFormat="false" ht="15" hidden="false" customHeight="false" outlineLevel="0" collapsed="false">
      <c r="A1408" s="0" t="s">
        <v>682</v>
      </c>
      <c r="C1408" s="0" t="n">
        <v>2021</v>
      </c>
      <c r="E1408" s="0" t="n">
        <v>1702.1</v>
      </c>
      <c r="F1408" s="0" t="n">
        <v>77.72</v>
      </c>
      <c r="G1408" s="0" t="n">
        <v>470.79</v>
      </c>
      <c r="H1408" s="0" t="n">
        <v>138.95</v>
      </c>
      <c r="I1408" s="0" t="n">
        <v>36.79</v>
      </c>
      <c r="J1408" s="0" t="n">
        <v>703.27</v>
      </c>
      <c r="K1408" s="0" t="n">
        <v>57.84</v>
      </c>
      <c r="L1408" s="0" t="n">
        <v>126.95</v>
      </c>
      <c r="M1408" s="0" t="n">
        <v>84.83</v>
      </c>
      <c r="N1408" s="0" t="n">
        <v>4.96</v>
      </c>
      <c r="O1408" s="0" t="n">
        <v>285</v>
      </c>
    </row>
    <row r="1409" customFormat="false" ht="15" hidden="false" customHeight="false" outlineLevel="0" collapsed="false">
      <c r="A1409" s="0" t="s">
        <v>682</v>
      </c>
      <c r="C1409" s="0" t="n">
        <v>2022</v>
      </c>
      <c r="E1409" s="0" t="n">
        <v>1732.06</v>
      </c>
      <c r="F1409" s="0" t="n">
        <v>66.28</v>
      </c>
      <c r="G1409" s="0" t="n">
        <v>424.11</v>
      </c>
      <c r="H1409" s="0" t="n">
        <v>134.1</v>
      </c>
      <c r="I1409" s="0" t="n">
        <v>32.88</v>
      </c>
      <c r="J1409" s="0" t="n">
        <v>771.22</v>
      </c>
      <c r="K1409" s="0" t="n">
        <v>77.73</v>
      </c>
      <c r="L1409" s="0" t="n">
        <v>138.11</v>
      </c>
      <c r="M1409" s="0" t="n">
        <v>82.63</v>
      </c>
      <c r="N1409" s="0" t="n">
        <v>5</v>
      </c>
      <c r="O1409" s="0" t="n">
        <v>257.99</v>
      </c>
    </row>
    <row r="1410" customFormat="false" ht="15" hidden="false" customHeight="false" outlineLevel="0" collapsed="false">
      <c r="A1410" s="0" t="s">
        <v>682</v>
      </c>
      <c r="C1410" s="0" t="n">
        <v>2023</v>
      </c>
      <c r="E1410" s="0" t="n">
        <v>1789.39</v>
      </c>
      <c r="F1410" s="0" t="n">
        <v>66.49</v>
      </c>
      <c r="G1410" s="0" t="n">
        <v>437.68</v>
      </c>
      <c r="H1410" s="0" t="n">
        <v>133.61</v>
      </c>
      <c r="I1410" s="0" t="n">
        <v>35.85</v>
      </c>
      <c r="J1410" s="0" t="n">
        <v>765.37</v>
      </c>
      <c r="K1410" s="0" t="n">
        <v>104.83</v>
      </c>
      <c r="L1410" s="0" t="n">
        <v>154.13</v>
      </c>
      <c r="M1410" s="0" t="n">
        <v>86.37</v>
      </c>
      <c r="N1410" s="0" t="n">
        <v>5.06</v>
      </c>
      <c r="O1410" s="0" t="n">
        <v>254.39</v>
      </c>
    </row>
    <row r="1411" customFormat="false" ht="15" hidden="false" customHeight="false" outlineLevel="0" collapsed="false">
      <c r="A1411" s="0" t="s">
        <v>682</v>
      </c>
      <c r="C1411" s="0" t="n">
        <v>2024</v>
      </c>
      <c r="E1411" s="0" t="n">
        <v>1831.23</v>
      </c>
      <c r="F1411" s="0" t="n">
        <v>68.35</v>
      </c>
      <c r="G1411" s="0" t="n">
        <v>451.56</v>
      </c>
      <c r="H1411" s="0" t="n">
        <v>127.43</v>
      </c>
      <c r="I1411" s="0" t="n">
        <v>38.54</v>
      </c>
      <c r="J1411" s="0" t="n">
        <v>750.91</v>
      </c>
      <c r="K1411" s="0" t="n">
        <v>133.9</v>
      </c>
      <c r="L1411" s="0" t="n">
        <v>169.12</v>
      </c>
      <c r="M1411" s="0" t="n">
        <v>86.29</v>
      </c>
      <c r="N1411" s="0" t="n">
        <v>5.13</v>
      </c>
      <c r="O1411" s="0" t="n">
        <v>252.38</v>
      </c>
    </row>
    <row r="1412" customFormat="false" ht="15" hidden="false" customHeight="false" outlineLevel="0" collapsed="false">
      <c r="A1412" s="0" t="s">
        <v>682</v>
      </c>
      <c r="C1412" s="0" t="n">
        <v>2025</v>
      </c>
      <c r="E1412" s="0" t="n">
        <v>1846.94</v>
      </c>
      <c r="F1412" s="0" t="n">
        <v>65.71</v>
      </c>
      <c r="G1412" s="0" t="n">
        <v>448.08</v>
      </c>
      <c r="H1412" s="0" t="n">
        <v>124.01</v>
      </c>
      <c r="I1412" s="0" t="n">
        <v>36.79</v>
      </c>
      <c r="J1412" s="0" t="n">
        <v>741.69</v>
      </c>
      <c r="K1412" s="0" t="n">
        <v>158.3</v>
      </c>
      <c r="L1412" s="0" t="n">
        <v>184.14</v>
      </c>
      <c r="M1412" s="0" t="n">
        <v>83.58</v>
      </c>
      <c r="N1412" s="0" t="n">
        <v>4.64</v>
      </c>
      <c r="O1412" s="0" t="n">
        <v>246.97</v>
      </c>
    </row>
    <row r="1413" customFormat="false" ht="15" hidden="false" customHeight="false" outlineLevel="0" collapsed="false">
      <c r="A1413" s="0" t="s">
        <v>287</v>
      </c>
      <c r="B1413" s="0" t="s">
        <v>526</v>
      </c>
      <c r="C1413" s="0" t="n">
        <v>2015</v>
      </c>
      <c r="D1413" s="0" t="n">
        <v>1977874</v>
      </c>
      <c r="E1413" s="0" t="n">
        <v>5.54</v>
      </c>
      <c r="F1413" s="0" t="n">
        <v>0</v>
      </c>
      <c r="G1413" s="0" t="n">
        <v>2.76</v>
      </c>
      <c r="H1413" s="0" t="n">
        <v>0</v>
      </c>
      <c r="I1413" s="0" t="n">
        <v>0</v>
      </c>
      <c r="J1413" s="0" t="n">
        <v>1.86</v>
      </c>
      <c r="K1413" s="0" t="n">
        <v>0</v>
      </c>
      <c r="L1413" s="0" t="n">
        <v>0.15</v>
      </c>
      <c r="M1413" s="0" t="n">
        <v>0.77</v>
      </c>
      <c r="N1413" s="0" t="n">
        <v>0</v>
      </c>
      <c r="O1413" s="0" t="n">
        <v>220.22</v>
      </c>
    </row>
    <row r="1414" customFormat="false" ht="15" hidden="false" customHeight="false" outlineLevel="0" collapsed="false">
      <c r="A1414" s="0" t="s">
        <v>287</v>
      </c>
      <c r="B1414" s="0" t="s">
        <v>526</v>
      </c>
      <c r="C1414" s="0" t="n">
        <v>2016</v>
      </c>
      <c r="D1414" s="0" t="n">
        <v>1959863</v>
      </c>
      <c r="E1414" s="0" t="n">
        <v>6.42</v>
      </c>
      <c r="F1414" s="0" t="n">
        <v>0</v>
      </c>
      <c r="G1414" s="0" t="n">
        <v>2.94</v>
      </c>
      <c r="H1414" s="0" t="n">
        <v>0</v>
      </c>
      <c r="I1414" s="0" t="n">
        <v>0</v>
      </c>
      <c r="J1414" s="0" t="n">
        <v>2.53</v>
      </c>
      <c r="K1414" s="0" t="n">
        <v>0</v>
      </c>
      <c r="L1414" s="0" t="n">
        <v>0.13</v>
      </c>
      <c r="M1414" s="0" t="n">
        <v>0.82</v>
      </c>
      <c r="N1414" s="0" t="n">
        <v>0</v>
      </c>
      <c r="O1414" s="0" t="n">
        <v>204.05</v>
      </c>
    </row>
    <row r="1415" customFormat="false" ht="15" hidden="false" customHeight="false" outlineLevel="0" collapsed="false">
      <c r="A1415" s="0" t="s">
        <v>287</v>
      </c>
      <c r="B1415" s="0" t="s">
        <v>526</v>
      </c>
      <c r="C1415" s="0" t="n">
        <v>2017</v>
      </c>
      <c r="D1415" s="0" t="n">
        <v>1942599</v>
      </c>
      <c r="E1415" s="0" t="n">
        <v>7.53</v>
      </c>
      <c r="F1415" s="0" t="n">
        <v>0</v>
      </c>
      <c r="G1415" s="0" t="n">
        <v>2.07</v>
      </c>
      <c r="H1415" s="0" t="n">
        <v>0</v>
      </c>
      <c r="I1415" s="0" t="n">
        <v>0</v>
      </c>
      <c r="J1415" s="0" t="n">
        <v>4.38</v>
      </c>
      <c r="K1415" s="0" t="n">
        <v>0</v>
      </c>
      <c r="L1415" s="0" t="n">
        <v>0.15</v>
      </c>
      <c r="M1415" s="0" t="n">
        <v>0.93</v>
      </c>
      <c r="N1415" s="0" t="n">
        <v>0</v>
      </c>
      <c r="O1415" s="0" t="n">
        <v>140.77</v>
      </c>
    </row>
    <row r="1416" customFormat="false" ht="15" hidden="false" customHeight="false" outlineLevel="0" collapsed="false">
      <c r="A1416" s="0" t="s">
        <v>287</v>
      </c>
      <c r="B1416" s="0" t="s">
        <v>526</v>
      </c>
      <c r="C1416" s="0" t="n">
        <v>2018</v>
      </c>
      <c r="D1416" s="0" t="n">
        <v>1927586</v>
      </c>
      <c r="E1416" s="0" t="n">
        <v>6.72</v>
      </c>
      <c r="F1416" s="0" t="n">
        <v>0</v>
      </c>
      <c r="G1416" s="0" t="n">
        <v>3.22</v>
      </c>
      <c r="H1416" s="0" t="n">
        <v>0.01</v>
      </c>
      <c r="I1416" s="0" t="n">
        <v>0</v>
      </c>
      <c r="J1416" s="0" t="n">
        <v>2.43</v>
      </c>
      <c r="K1416" s="0" t="n">
        <v>0</v>
      </c>
      <c r="L1416" s="0" t="n">
        <v>0.12</v>
      </c>
      <c r="M1416" s="0" t="n">
        <v>0.94</v>
      </c>
      <c r="N1416" s="0" t="n">
        <v>0</v>
      </c>
      <c r="O1416" s="0" t="n">
        <v>215.77</v>
      </c>
    </row>
    <row r="1417" customFormat="false" ht="15" hidden="false" customHeight="false" outlineLevel="0" collapsed="false">
      <c r="A1417" s="0" t="s">
        <v>287</v>
      </c>
      <c r="B1417" s="0" t="s">
        <v>526</v>
      </c>
      <c r="C1417" s="0" t="n">
        <v>2019</v>
      </c>
      <c r="D1417" s="0" t="n">
        <v>1914267</v>
      </c>
      <c r="E1417" s="0" t="n">
        <v>6.44</v>
      </c>
      <c r="F1417" s="0" t="n">
        <v>0</v>
      </c>
      <c r="G1417" s="0" t="n">
        <v>3.25</v>
      </c>
      <c r="H1417" s="0" t="n">
        <v>0</v>
      </c>
      <c r="I1417" s="0" t="n">
        <v>0</v>
      </c>
      <c r="J1417" s="0" t="n">
        <v>2.11</v>
      </c>
      <c r="K1417" s="0" t="n">
        <v>0</v>
      </c>
      <c r="L1417" s="0" t="n">
        <v>0.15</v>
      </c>
      <c r="M1417" s="0" t="n">
        <v>0.93</v>
      </c>
      <c r="N1417" s="0" t="n">
        <v>0</v>
      </c>
      <c r="O1417" s="0" t="n">
        <v>223.6</v>
      </c>
    </row>
    <row r="1418" customFormat="false" ht="15" hidden="false" customHeight="false" outlineLevel="0" collapsed="false">
      <c r="A1418" s="0" t="s">
        <v>287</v>
      </c>
      <c r="B1418" s="0" t="s">
        <v>526</v>
      </c>
      <c r="C1418" s="0" t="n">
        <v>2020</v>
      </c>
      <c r="D1418" s="0" t="n">
        <v>1901119</v>
      </c>
      <c r="E1418" s="0" t="n">
        <v>5.72</v>
      </c>
      <c r="F1418" s="0" t="n">
        <v>0</v>
      </c>
      <c r="G1418" s="0" t="n">
        <v>2.08</v>
      </c>
      <c r="H1418" s="0" t="n">
        <v>0</v>
      </c>
      <c r="I1418" s="0" t="n">
        <v>0</v>
      </c>
      <c r="J1418" s="0" t="n">
        <v>2.6</v>
      </c>
      <c r="K1418" s="0" t="n">
        <v>0</v>
      </c>
      <c r="L1418" s="0" t="n">
        <v>0.18</v>
      </c>
      <c r="M1418" s="0" t="n">
        <v>0.86</v>
      </c>
      <c r="N1418" s="0" t="n">
        <v>0</v>
      </c>
      <c r="O1418" s="0" t="n">
        <v>176.57</v>
      </c>
    </row>
    <row r="1419" customFormat="false" ht="15" hidden="false" customHeight="false" outlineLevel="0" collapsed="false">
      <c r="A1419" s="0" t="s">
        <v>287</v>
      </c>
      <c r="B1419" s="0" t="s">
        <v>526</v>
      </c>
      <c r="C1419" s="0" t="n">
        <v>2021</v>
      </c>
      <c r="D1419" s="0" t="n">
        <v>1885593</v>
      </c>
      <c r="E1419" s="0" t="n">
        <v>5.85</v>
      </c>
      <c r="F1419" s="0" t="n">
        <v>0</v>
      </c>
      <c r="G1419" s="0" t="n">
        <v>2.13</v>
      </c>
      <c r="H1419" s="0" t="n">
        <v>0</v>
      </c>
      <c r="I1419" s="0" t="n">
        <v>0</v>
      </c>
      <c r="J1419" s="0" t="n">
        <v>2.71</v>
      </c>
      <c r="K1419" s="0" t="n">
        <v>0.01</v>
      </c>
      <c r="L1419" s="0" t="n">
        <v>0.14</v>
      </c>
      <c r="M1419" s="0" t="n">
        <v>0.86</v>
      </c>
      <c r="N1419" s="0" t="n">
        <v>0</v>
      </c>
      <c r="O1419" s="0" t="n">
        <v>176.07</v>
      </c>
    </row>
    <row r="1420" customFormat="false" ht="15" hidden="false" customHeight="false" outlineLevel="0" collapsed="false">
      <c r="A1420" s="0" t="s">
        <v>287</v>
      </c>
      <c r="B1420" s="0" t="s">
        <v>526</v>
      </c>
      <c r="C1420" s="0" t="n">
        <v>2022</v>
      </c>
      <c r="D1420" s="0" t="n">
        <v>1881059</v>
      </c>
      <c r="E1420" s="0" t="n">
        <v>5.03</v>
      </c>
      <c r="F1420" s="0" t="n">
        <v>0</v>
      </c>
      <c r="G1420" s="0" t="n">
        <v>1.21</v>
      </c>
      <c r="H1420" s="0" t="n">
        <v>0</v>
      </c>
      <c r="I1420" s="0" t="n">
        <v>0</v>
      </c>
      <c r="J1420" s="0" t="n">
        <v>2.75</v>
      </c>
      <c r="K1420" s="0" t="n">
        <v>0.08</v>
      </c>
      <c r="L1420" s="0" t="n">
        <v>0.19</v>
      </c>
      <c r="M1420" s="0" t="n">
        <v>0.8</v>
      </c>
      <c r="N1420" s="0" t="n">
        <v>0</v>
      </c>
      <c r="O1420" s="0" t="n">
        <v>135.19</v>
      </c>
    </row>
    <row r="1421" customFormat="false" ht="15" hidden="false" customHeight="false" outlineLevel="0" collapsed="false">
      <c r="A1421" s="0" t="s">
        <v>287</v>
      </c>
      <c r="B1421" s="0" t="s">
        <v>526</v>
      </c>
      <c r="C1421" s="0" t="n">
        <v>2023</v>
      </c>
      <c r="D1421" s="0" t="n">
        <v>1882399</v>
      </c>
      <c r="E1421" s="0" t="n">
        <v>6.38</v>
      </c>
      <c r="F1421" s="0" t="n">
        <v>0</v>
      </c>
      <c r="G1421" s="0" t="n">
        <v>1.42</v>
      </c>
      <c r="H1421" s="0" t="n">
        <v>0</v>
      </c>
      <c r="I1421" s="0" t="n">
        <v>0</v>
      </c>
      <c r="J1421" s="0" t="n">
        <v>3.79</v>
      </c>
      <c r="K1421" s="0" t="n">
        <v>0.24</v>
      </c>
      <c r="L1421" s="0" t="n">
        <v>0.27</v>
      </c>
      <c r="M1421" s="0" t="n">
        <v>0.66</v>
      </c>
      <c r="N1421" s="0" t="n">
        <v>0</v>
      </c>
      <c r="O1421" s="0" t="n">
        <v>119.12</v>
      </c>
    </row>
    <row r="1422" customFormat="false" ht="15" hidden="false" customHeight="false" outlineLevel="0" collapsed="false">
      <c r="A1422" s="0" t="s">
        <v>287</v>
      </c>
      <c r="B1422" s="0" t="s">
        <v>526</v>
      </c>
      <c r="C1422" s="0" t="n">
        <v>2024</v>
      </c>
      <c r="D1422" s="0" t="n">
        <v>1871874</v>
      </c>
      <c r="E1422" s="0" t="n">
        <v>6.33</v>
      </c>
      <c r="F1422" s="0" t="n">
        <v>0</v>
      </c>
      <c r="G1422" s="0" t="n">
        <v>1.68</v>
      </c>
      <c r="H1422" s="0" t="n">
        <v>0</v>
      </c>
      <c r="I1422" s="0" t="n">
        <v>0</v>
      </c>
      <c r="J1422" s="0" t="n">
        <v>3.21</v>
      </c>
      <c r="K1422" s="0" t="n">
        <v>0.54</v>
      </c>
      <c r="L1422" s="0" t="n">
        <v>0.28</v>
      </c>
      <c r="M1422" s="0" t="n">
        <v>0.62</v>
      </c>
      <c r="N1422" s="0" t="n">
        <v>0</v>
      </c>
      <c r="O1422" s="0" t="n">
        <v>134.28</v>
      </c>
    </row>
    <row r="1423" customFormat="false" ht="15" hidden="false" customHeight="false" outlineLevel="0" collapsed="false">
      <c r="A1423" s="0" t="s">
        <v>287</v>
      </c>
      <c r="B1423" s="0" t="s">
        <v>526</v>
      </c>
      <c r="C1423" s="0" t="n">
        <v>2025</v>
      </c>
      <c r="D1423" s="0" t="n">
        <v>1853560</v>
      </c>
      <c r="E1423" s="0" t="n">
        <v>6.27</v>
      </c>
      <c r="F1423" s="0" t="n">
        <v>0</v>
      </c>
      <c r="G1423" s="0" t="n">
        <v>1.64</v>
      </c>
      <c r="H1423" s="0" t="n">
        <v>0.05</v>
      </c>
      <c r="I1423" s="0" t="n">
        <v>0</v>
      </c>
      <c r="J1423" s="0" t="n">
        <v>2.93</v>
      </c>
      <c r="K1423" s="0" t="n">
        <v>0.82</v>
      </c>
      <c r="L1423" s="0" t="n">
        <v>0.22</v>
      </c>
      <c r="M1423" s="0" t="n">
        <v>0.61</v>
      </c>
      <c r="N1423" s="0" t="n">
        <v>0</v>
      </c>
      <c r="O1423" s="0" t="n">
        <v>138.76</v>
      </c>
    </row>
    <row r="1424" customFormat="false" ht="15" hidden="false" customHeight="false" outlineLevel="0" collapsed="false">
      <c r="A1424" s="0" t="s">
        <v>288</v>
      </c>
      <c r="B1424" s="0" t="s">
        <v>527</v>
      </c>
      <c r="C1424" s="0" t="n">
        <v>2015</v>
      </c>
      <c r="D1424" s="0" t="n">
        <v>6472470</v>
      </c>
      <c r="E1424" s="0" t="n">
        <v>18.64</v>
      </c>
      <c r="F1424" s="0" t="n">
        <v>0</v>
      </c>
      <c r="G1424" s="0" t="n">
        <v>0</v>
      </c>
      <c r="H1424" s="0" t="n">
        <v>18.14</v>
      </c>
      <c r="I1424" s="0" t="n">
        <v>0</v>
      </c>
      <c r="J1424" s="0" t="n">
        <v>0.47</v>
      </c>
      <c r="K1424" s="0" t="n">
        <v>0.02</v>
      </c>
      <c r="L1424" s="0" t="n">
        <v>0.01</v>
      </c>
      <c r="M1424" s="0" t="n">
        <v>0</v>
      </c>
      <c r="N1424" s="0" t="n">
        <v>0</v>
      </c>
      <c r="O1424" s="0" t="n">
        <v>641.09</v>
      </c>
    </row>
    <row r="1425" customFormat="false" ht="15" hidden="false" customHeight="false" outlineLevel="0" collapsed="false">
      <c r="A1425" s="0" t="s">
        <v>288</v>
      </c>
      <c r="B1425" s="0" t="s">
        <v>527</v>
      </c>
      <c r="C1425" s="0" t="n">
        <v>2016</v>
      </c>
      <c r="D1425" s="0" t="n">
        <v>6323061</v>
      </c>
      <c r="E1425" s="0" t="n">
        <v>19.41</v>
      </c>
      <c r="F1425" s="0" t="n">
        <v>0</v>
      </c>
      <c r="G1425" s="0" t="n">
        <v>0</v>
      </c>
      <c r="H1425" s="0" t="n">
        <v>18.98</v>
      </c>
      <c r="I1425" s="0" t="n">
        <v>0</v>
      </c>
      <c r="J1425" s="0" t="n">
        <v>0.38</v>
      </c>
      <c r="K1425" s="0" t="n">
        <v>0.04</v>
      </c>
      <c r="L1425" s="0" t="n">
        <v>0.01</v>
      </c>
      <c r="M1425" s="0" t="n">
        <v>0</v>
      </c>
      <c r="N1425" s="0" t="n">
        <v>0</v>
      </c>
      <c r="O1425" s="0" t="n">
        <v>644</v>
      </c>
    </row>
    <row r="1426" customFormat="false" ht="15" hidden="false" customHeight="false" outlineLevel="0" collapsed="false">
      <c r="A1426" s="0" t="s">
        <v>288</v>
      </c>
      <c r="B1426" s="0" t="s">
        <v>527</v>
      </c>
      <c r="C1426" s="0" t="n">
        <v>2017</v>
      </c>
      <c r="D1426" s="0" t="n">
        <v>6160129</v>
      </c>
      <c r="E1426" s="0" t="n">
        <v>21.25</v>
      </c>
      <c r="F1426" s="0" t="n">
        <v>0</v>
      </c>
      <c r="G1426" s="0" t="n">
        <v>0</v>
      </c>
      <c r="H1426" s="0" t="n">
        <v>20.77</v>
      </c>
      <c r="I1426" s="0" t="n">
        <v>0</v>
      </c>
      <c r="J1426" s="0" t="n">
        <v>0.41</v>
      </c>
      <c r="K1426" s="0" t="n">
        <v>0.06</v>
      </c>
      <c r="L1426" s="0" t="n">
        <v>0.01</v>
      </c>
      <c r="M1426" s="0" t="n">
        <v>0</v>
      </c>
      <c r="N1426" s="0" t="n">
        <v>0</v>
      </c>
      <c r="O1426" s="0" t="n">
        <v>643.77</v>
      </c>
    </row>
    <row r="1427" customFormat="false" ht="15" hidden="false" customHeight="false" outlineLevel="0" collapsed="false">
      <c r="A1427" s="0" t="s">
        <v>288</v>
      </c>
      <c r="B1427" s="0" t="s">
        <v>527</v>
      </c>
      <c r="C1427" s="0" t="n">
        <v>2018</v>
      </c>
      <c r="D1427" s="0" t="n">
        <v>5984120</v>
      </c>
      <c r="E1427" s="0" t="n">
        <v>21.28</v>
      </c>
      <c r="F1427" s="0" t="n">
        <v>0</v>
      </c>
      <c r="G1427" s="0" t="n">
        <v>0</v>
      </c>
      <c r="H1427" s="0" t="n">
        <v>20.81</v>
      </c>
      <c r="I1427" s="0" t="n">
        <v>0</v>
      </c>
      <c r="J1427" s="0" t="n">
        <v>0.34</v>
      </c>
      <c r="K1427" s="0" t="n">
        <v>0.09</v>
      </c>
      <c r="L1427" s="0" t="n">
        <v>0.01</v>
      </c>
      <c r="M1427" s="0" t="n">
        <v>0.03</v>
      </c>
      <c r="N1427" s="0" t="n">
        <v>0</v>
      </c>
      <c r="O1427" s="0" t="n">
        <v>644.27</v>
      </c>
    </row>
    <row r="1428" customFormat="false" ht="15" hidden="false" customHeight="false" outlineLevel="0" collapsed="false">
      <c r="A1428" s="0" t="s">
        <v>288</v>
      </c>
      <c r="B1428" s="0" t="s">
        <v>527</v>
      </c>
      <c r="C1428" s="0" t="n">
        <v>2019</v>
      </c>
      <c r="D1428" s="0" t="n">
        <v>5794601</v>
      </c>
      <c r="E1428" s="0" t="n">
        <v>21.59</v>
      </c>
      <c r="F1428" s="0" t="n">
        <v>0</v>
      </c>
      <c r="G1428" s="0" t="n">
        <v>0</v>
      </c>
      <c r="H1428" s="0" t="n">
        <v>20.47</v>
      </c>
      <c r="I1428" s="0" t="n">
        <v>0</v>
      </c>
      <c r="J1428" s="0" t="n">
        <v>0.96</v>
      </c>
      <c r="K1428" s="0" t="n">
        <v>0.12</v>
      </c>
      <c r="L1428" s="0" t="n">
        <v>0.01</v>
      </c>
      <c r="M1428" s="0" t="n">
        <v>0.03</v>
      </c>
      <c r="N1428" s="0" t="n">
        <v>0</v>
      </c>
      <c r="O1428" s="0" t="n">
        <v>625.75</v>
      </c>
    </row>
    <row r="1429" customFormat="false" ht="15" hidden="false" customHeight="false" outlineLevel="0" collapsed="false">
      <c r="A1429" s="0" t="s">
        <v>288</v>
      </c>
      <c r="B1429" s="0" t="s">
        <v>527</v>
      </c>
      <c r="C1429" s="0" t="n">
        <v>2020</v>
      </c>
      <c r="D1429" s="0" t="n">
        <v>5702400</v>
      </c>
      <c r="E1429" s="0" t="n">
        <v>18.25</v>
      </c>
      <c r="F1429" s="0" t="n">
        <v>0</v>
      </c>
      <c r="G1429" s="0" t="n">
        <v>0</v>
      </c>
      <c r="H1429" s="0" t="n">
        <v>17.02</v>
      </c>
      <c r="I1429" s="0" t="n">
        <v>0</v>
      </c>
      <c r="J1429" s="0" t="n">
        <v>1.05</v>
      </c>
      <c r="K1429" s="0" t="n">
        <v>0.14</v>
      </c>
      <c r="L1429" s="0" t="n">
        <v>0.01</v>
      </c>
      <c r="M1429" s="0" t="n">
        <v>0.03</v>
      </c>
      <c r="N1429" s="0" t="n">
        <v>0</v>
      </c>
      <c r="O1429" s="0" t="n">
        <v>615.89</v>
      </c>
    </row>
    <row r="1430" customFormat="false" ht="15" hidden="false" customHeight="false" outlineLevel="0" collapsed="false">
      <c r="A1430" s="0" t="s">
        <v>288</v>
      </c>
      <c r="B1430" s="0" t="s">
        <v>527</v>
      </c>
      <c r="C1430" s="0" t="n">
        <v>2021</v>
      </c>
      <c r="D1430" s="0" t="n">
        <v>5718129</v>
      </c>
      <c r="E1430" s="0" t="n">
        <v>10.34</v>
      </c>
      <c r="F1430" s="0" t="n">
        <v>0</v>
      </c>
      <c r="G1430" s="0" t="n">
        <v>0</v>
      </c>
      <c r="H1430" s="0" t="n">
        <v>9.38</v>
      </c>
      <c r="I1430" s="0" t="n">
        <v>0</v>
      </c>
      <c r="J1430" s="0" t="n">
        <v>0.61</v>
      </c>
      <c r="K1430" s="0" t="n">
        <v>0.31</v>
      </c>
      <c r="L1430" s="0" t="n">
        <v>0.01</v>
      </c>
      <c r="M1430" s="0" t="n">
        <v>0.03</v>
      </c>
      <c r="N1430" s="0" t="n">
        <v>0</v>
      </c>
      <c r="O1430" s="0" t="n">
        <v>599.61</v>
      </c>
    </row>
    <row r="1431" customFormat="false" ht="15" hidden="false" customHeight="false" outlineLevel="0" collapsed="false">
      <c r="A1431" s="0" t="s">
        <v>288</v>
      </c>
      <c r="B1431" s="0" t="s">
        <v>527</v>
      </c>
      <c r="C1431" s="0" t="n">
        <v>2022</v>
      </c>
      <c r="D1431" s="0" t="n">
        <v>5744492</v>
      </c>
      <c r="E1431" s="0" t="n">
        <v>4.37</v>
      </c>
      <c r="F1431" s="0" t="n">
        <v>0</v>
      </c>
      <c r="G1431" s="0" t="n">
        <v>0</v>
      </c>
      <c r="H1431" s="0" t="n">
        <v>2.38</v>
      </c>
      <c r="I1431" s="0" t="n">
        <v>0</v>
      </c>
      <c r="J1431" s="0" t="n">
        <v>0.69</v>
      </c>
      <c r="K1431" s="0" t="n">
        <v>1.26</v>
      </c>
      <c r="L1431" s="0" t="n">
        <v>0.01</v>
      </c>
      <c r="M1431" s="0" t="n">
        <v>0.03</v>
      </c>
      <c r="N1431" s="0" t="n">
        <v>0</v>
      </c>
      <c r="O1431" s="0" t="n">
        <v>379.86</v>
      </c>
    </row>
    <row r="1432" customFormat="false" ht="15" hidden="false" customHeight="false" outlineLevel="0" collapsed="false">
      <c r="A1432" s="0" t="s">
        <v>288</v>
      </c>
      <c r="B1432" s="0" t="s">
        <v>527</v>
      </c>
      <c r="C1432" s="0" t="n">
        <v>2023</v>
      </c>
      <c r="D1432" s="0" t="n">
        <v>5773494</v>
      </c>
      <c r="E1432" s="0" t="n">
        <v>6.28</v>
      </c>
      <c r="F1432" s="0" t="n">
        <v>0</v>
      </c>
      <c r="G1432" s="0" t="n">
        <v>0</v>
      </c>
      <c r="H1432" s="0" t="n">
        <v>4.14</v>
      </c>
      <c r="I1432" s="0" t="n">
        <v>0</v>
      </c>
      <c r="J1432" s="0" t="n">
        <v>0.7</v>
      </c>
      <c r="K1432" s="0" t="n">
        <v>1.4</v>
      </c>
      <c r="L1432" s="0" t="n">
        <v>0.01</v>
      </c>
      <c r="M1432" s="0" t="n">
        <v>0.03</v>
      </c>
      <c r="N1432" s="0" t="n">
        <v>0</v>
      </c>
      <c r="O1432" s="0" t="n">
        <v>449.05</v>
      </c>
    </row>
    <row r="1433" customFormat="false" ht="15" hidden="false" customHeight="false" outlineLevel="0" collapsed="false">
      <c r="A1433" s="0" t="s">
        <v>288</v>
      </c>
      <c r="B1433" s="0" t="s">
        <v>527</v>
      </c>
      <c r="C1433" s="0" t="n">
        <v>2024</v>
      </c>
      <c r="D1433" s="0" t="n">
        <v>5805962</v>
      </c>
      <c r="E1433" s="0" t="n">
        <v>5.34</v>
      </c>
      <c r="F1433" s="0" t="n">
        <v>0</v>
      </c>
      <c r="G1433" s="0" t="n">
        <v>0</v>
      </c>
      <c r="H1433" s="0" t="n">
        <v>3</v>
      </c>
      <c r="I1433" s="0" t="n">
        <v>0</v>
      </c>
      <c r="J1433" s="0" t="n">
        <v>0.7</v>
      </c>
      <c r="K1433" s="0" t="n">
        <v>1.6</v>
      </c>
      <c r="L1433" s="0" t="n">
        <v>0.01</v>
      </c>
      <c r="M1433" s="0" t="n">
        <v>0.03</v>
      </c>
      <c r="N1433" s="0" t="n">
        <v>0</v>
      </c>
      <c r="O1433" s="0" t="n">
        <v>389.51</v>
      </c>
    </row>
    <row r="1434" customFormat="false" ht="15" hidden="false" customHeight="false" outlineLevel="0" collapsed="false">
      <c r="A1434" s="0" t="s">
        <v>289</v>
      </c>
      <c r="B1434" s="0" t="s">
        <v>528</v>
      </c>
      <c r="C1434" s="0" t="n">
        <v>2015</v>
      </c>
      <c r="D1434" s="0" t="n">
        <v>2104614</v>
      </c>
      <c r="E1434" s="0" t="n">
        <v>0.53</v>
      </c>
      <c r="F1434" s="0" t="n">
        <v>0</v>
      </c>
      <c r="G1434" s="0" t="n">
        <v>0</v>
      </c>
      <c r="H1434" s="0" t="n">
        <v>0</v>
      </c>
      <c r="I1434" s="0" t="n">
        <v>0</v>
      </c>
      <c r="J1434" s="0" t="n">
        <v>0.53</v>
      </c>
      <c r="K1434" s="0" t="n">
        <v>0</v>
      </c>
      <c r="L1434" s="0" t="n">
        <v>0</v>
      </c>
      <c r="M1434" s="0" t="n">
        <v>0</v>
      </c>
      <c r="N1434" s="0" t="n">
        <v>0</v>
      </c>
      <c r="O1434" s="0" t="n">
        <v>18.87</v>
      </c>
    </row>
    <row r="1435" customFormat="false" ht="15" hidden="false" customHeight="false" outlineLevel="0" collapsed="false">
      <c r="A1435" s="0" t="s">
        <v>289</v>
      </c>
      <c r="B1435" s="0" t="s">
        <v>528</v>
      </c>
      <c r="C1435" s="0" t="n">
        <v>2016</v>
      </c>
      <c r="D1435" s="0" t="n">
        <v>2130424</v>
      </c>
      <c r="E1435" s="0" t="n">
        <v>0.52</v>
      </c>
      <c r="F1435" s="0" t="n">
        <v>0</v>
      </c>
      <c r="G1435" s="0" t="n">
        <v>0</v>
      </c>
      <c r="H1435" s="0" t="n">
        <v>0</v>
      </c>
      <c r="I1435" s="0" t="n">
        <v>0</v>
      </c>
      <c r="J1435" s="0" t="n">
        <v>0.52</v>
      </c>
      <c r="K1435" s="0" t="n">
        <v>0</v>
      </c>
      <c r="L1435" s="0" t="n">
        <v>0</v>
      </c>
      <c r="M1435" s="0" t="n">
        <v>0</v>
      </c>
      <c r="N1435" s="0" t="n">
        <v>0</v>
      </c>
      <c r="O1435" s="0" t="n">
        <v>19.23</v>
      </c>
    </row>
    <row r="1436" customFormat="false" ht="15" hidden="false" customHeight="false" outlineLevel="0" collapsed="false">
      <c r="A1436" s="0" t="s">
        <v>289</v>
      </c>
      <c r="B1436" s="0" t="s">
        <v>528</v>
      </c>
      <c r="C1436" s="0" t="n">
        <v>2017</v>
      </c>
      <c r="D1436" s="0" t="n">
        <v>2157117</v>
      </c>
      <c r="E1436" s="0" t="n">
        <v>0.54</v>
      </c>
      <c r="F1436" s="0" t="n">
        <v>0</v>
      </c>
      <c r="G1436" s="0" t="n">
        <v>0</v>
      </c>
      <c r="H1436" s="0" t="n">
        <v>0</v>
      </c>
      <c r="I1436" s="0" t="n">
        <v>0</v>
      </c>
      <c r="J1436" s="0" t="n">
        <v>0.54</v>
      </c>
      <c r="K1436" s="0" t="n">
        <v>0</v>
      </c>
      <c r="L1436" s="0" t="n">
        <v>0</v>
      </c>
      <c r="M1436" s="0" t="n">
        <v>0</v>
      </c>
      <c r="N1436" s="0" t="n">
        <v>0</v>
      </c>
      <c r="O1436" s="0" t="n">
        <v>18.52</v>
      </c>
    </row>
    <row r="1437" customFormat="false" ht="15" hidden="false" customHeight="false" outlineLevel="0" collapsed="false">
      <c r="A1437" s="0" t="s">
        <v>289</v>
      </c>
      <c r="B1437" s="0" t="s">
        <v>528</v>
      </c>
      <c r="C1437" s="0" t="n">
        <v>2018</v>
      </c>
      <c r="D1437" s="0" t="n">
        <v>2183611</v>
      </c>
      <c r="E1437" s="0" t="n">
        <v>0.52</v>
      </c>
      <c r="F1437" s="0" t="n">
        <v>0</v>
      </c>
      <c r="G1437" s="0" t="n">
        <v>0</v>
      </c>
      <c r="H1437" s="0" t="n">
        <v>0</v>
      </c>
      <c r="I1437" s="0" t="n">
        <v>0</v>
      </c>
      <c r="J1437" s="0" t="n">
        <v>0.52</v>
      </c>
      <c r="K1437" s="0" t="n">
        <v>0</v>
      </c>
      <c r="L1437" s="0" t="n">
        <v>0</v>
      </c>
      <c r="M1437" s="0" t="n">
        <v>0</v>
      </c>
      <c r="N1437" s="0" t="n">
        <v>0</v>
      </c>
      <c r="O1437" s="0" t="n">
        <v>19.23</v>
      </c>
    </row>
    <row r="1438" customFormat="false" ht="15" hidden="false" customHeight="false" outlineLevel="0" collapsed="false">
      <c r="A1438" s="0" t="s">
        <v>289</v>
      </c>
      <c r="B1438" s="0" t="s">
        <v>528</v>
      </c>
      <c r="C1438" s="0" t="n">
        <v>2019</v>
      </c>
      <c r="D1438" s="0" t="n">
        <v>2209414</v>
      </c>
      <c r="E1438" s="0" t="n">
        <v>0.39</v>
      </c>
      <c r="F1438" s="0" t="n">
        <v>0</v>
      </c>
      <c r="G1438" s="0" t="n">
        <v>0</v>
      </c>
      <c r="H1438" s="0" t="n">
        <v>0</v>
      </c>
      <c r="I1438" s="0" t="n">
        <v>0</v>
      </c>
      <c r="J1438" s="0" t="n">
        <v>0.39</v>
      </c>
      <c r="K1438" s="0" t="n">
        <v>0</v>
      </c>
      <c r="L1438" s="0" t="n">
        <v>0</v>
      </c>
      <c r="M1438" s="0" t="n">
        <v>0</v>
      </c>
      <c r="N1438" s="0" t="n">
        <v>0</v>
      </c>
      <c r="O1438" s="0" t="n">
        <v>25.64</v>
      </c>
    </row>
    <row r="1439" customFormat="false" ht="15" hidden="false" customHeight="false" outlineLevel="0" collapsed="false">
      <c r="A1439" s="0" t="s">
        <v>289</v>
      </c>
      <c r="B1439" s="0" t="s">
        <v>528</v>
      </c>
      <c r="C1439" s="0" t="n">
        <v>2020</v>
      </c>
      <c r="D1439" s="0" t="n">
        <v>2235727</v>
      </c>
      <c r="E1439" s="0" t="n">
        <v>0.43</v>
      </c>
      <c r="F1439" s="0" t="n">
        <v>0</v>
      </c>
      <c r="G1439" s="0" t="n">
        <v>0</v>
      </c>
      <c r="H1439" s="0" t="n">
        <v>0</v>
      </c>
      <c r="I1439" s="0" t="n">
        <v>0</v>
      </c>
      <c r="J1439" s="0" t="n">
        <v>0.43</v>
      </c>
      <c r="K1439" s="0" t="n">
        <v>0</v>
      </c>
      <c r="L1439" s="0" t="n">
        <v>0</v>
      </c>
      <c r="M1439" s="0" t="n">
        <v>0</v>
      </c>
      <c r="N1439" s="0" t="n">
        <v>0</v>
      </c>
      <c r="O1439" s="0" t="n">
        <v>23.26</v>
      </c>
    </row>
    <row r="1440" customFormat="false" ht="15" hidden="false" customHeight="false" outlineLevel="0" collapsed="false">
      <c r="A1440" s="0" t="s">
        <v>289</v>
      </c>
      <c r="B1440" s="0" t="s">
        <v>528</v>
      </c>
      <c r="C1440" s="0" t="n">
        <v>2021</v>
      </c>
      <c r="D1440" s="0" t="n">
        <v>2261549</v>
      </c>
      <c r="E1440" s="0" t="n">
        <v>0.53</v>
      </c>
      <c r="F1440" s="0" t="n">
        <v>0</v>
      </c>
      <c r="G1440" s="0" t="n">
        <v>0</v>
      </c>
      <c r="H1440" s="0" t="n">
        <v>0</v>
      </c>
      <c r="I1440" s="0" t="n">
        <v>0</v>
      </c>
      <c r="J1440" s="0" t="n">
        <v>0.53</v>
      </c>
      <c r="K1440" s="0" t="n">
        <v>0</v>
      </c>
      <c r="L1440" s="0" t="n">
        <v>0</v>
      </c>
      <c r="M1440" s="0" t="n">
        <v>0</v>
      </c>
      <c r="N1440" s="0" t="n">
        <v>0</v>
      </c>
      <c r="O1440" s="0" t="n">
        <v>18.87</v>
      </c>
    </row>
    <row r="1441" customFormat="false" ht="15" hidden="false" customHeight="false" outlineLevel="0" collapsed="false">
      <c r="A1441" s="0" t="s">
        <v>289</v>
      </c>
      <c r="B1441" s="0" t="s">
        <v>528</v>
      </c>
      <c r="C1441" s="0" t="n">
        <v>2022</v>
      </c>
      <c r="D1441" s="0" t="n">
        <v>2286112</v>
      </c>
      <c r="E1441" s="0" t="n">
        <v>0.48</v>
      </c>
      <c r="F1441" s="0" t="n">
        <v>0</v>
      </c>
      <c r="G1441" s="0" t="n">
        <v>0</v>
      </c>
      <c r="H1441" s="0" t="n">
        <v>0</v>
      </c>
      <c r="I1441" s="0" t="n">
        <v>0</v>
      </c>
      <c r="J1441" s="0" t="n">
        <v>0.48</v>
      </c>
      <c r="K1441" s="0" t="n">
        <v>0</v>
      </c>
      <c r="L1441" s="0" t="n">
        <v>0</v>
      </c>
      <c r="M1441" s="0" t="n">
        <v>0</v>
      </c>
      <c r="N1441" s="0" t="n">
        <v>0</v>
      </c>
      <c r="O1441" s="0" t="n">
        <v>20.83</v>
      </c>
    </row>
    <row r="1442" customFormat="false" ht="15" hidden="false" customHeight="false" outlineLevel="0" collapsed="false">
      <c r="A1442" s="0" t="s">
        <v>289</v>
      </c>
      <c r="B1442" s="0" t="s">
        <v>528</v>
      </c>
      <c r="C1442" s="0" t="n">
        <v>2023</v>
      </c>
      <c r="D1442" s="0" t="n">
        <v>2311476</v>
      </c>
      <c r="E1442" s="0" t="n">
        <v>0</v>
      </c>
      <c r="F1442" s="0" t="n">
        <v>0</v>
      </c>
      <c r="G1442" s="0" t="n">
        <v>0</v>
      </c>
      <c r="H1442" s="0" t="n">
        <v>0</v>
      </c>
      <c r="I1442" s="0" t="n">
        <v>0</v>
      </c>
      <c r="J1442" s="0" t="n">
        <v>0</v>
      </c>
      <c r="K1442" s="0" t="n">
        <v>0</v>
      </c>
      <c r="L1442" s="0" t="n">
        <v>0</v>
      </c>
      <c r="M1442" s="0" t="n">
        <v>0</v>
      </c>
      <c r="N1442" s="0" t="n">
        <v>0</v>
      </c>
    </row>
    <row r="1443" customFormat="false" ht="15" hidden="false" customHeight="false" outlineLevel="0" collapsed="false">
      <c r="A1443" s="0" t="s">
        <v>289</v>
      </c>
      <c r="B1443" s="0" t="s">
        <v>528</v>
      </c>
      <c r="C1443" s="0" t="n">
        <v>2024</v>
      </c>
      <c r="D1443" s="0" t="n">
        <v>2337428</v>
      </c>
      <c r="E1443" s="0" t="n">
        <v>0</v>
      </c>
      <c r="F1443" s="0" t="n">
        <v>0</v>
      </c>
      <c r="G1443" s="0" t="n">
        <v>0</v>
      </c>
      <c r="H1443" s="0" t="n">
        <v>0</v>
      </c>
      <c r="I1443" s="0" t="n">
        <v>0</v>
      </c>
      <c r="J1443" s="0" t="n">
        <v>0</v>
      </c>
      <c r="K1443" s="0" t="n">
        <v>0</v>
      </c>
      <c r="L1443" s="0" t="n">
        <v>0</v>
      </c>
      <c r="M1443" s="0" t="n">
        <v>0</v>
      </c>
      <c r="N1443" s="0" t="n">
        <v>0</v>
      </c>
    </row>
    <row r="1444" customFormat="false" ht="15" hidden="false" customHeight="false" outlineLevel="0" collapsed="false">
      <c r="A1444" s="0" t="s">
        <v>290</v>
      </c>
      <c r="B1444" s="0" t="s">
        <v>529</v>
      </c>
      <c r="C1444" s="0" t="n">
        <v>2015</v>
      </c>
      <c r="D1444" s="0" t="n">
        <v>4659436</v>
      </c>
      <c r="E1444" s="0" t="n">
        <v>0.31</v>
      </c>
      <c r="F1444" s="0" t="n">
        <v>0</v>
      </c>
      <c r="G1444" s="0" t="n">
        <v>0</v>
      </c>
      <c r="H1444" s="0" t="n">
        <v>0.31</v>
      </c>
      <c r="I1444" s="0" t="n">
        <v>0</v>
      </c>
      <c r="J1444" s="0" t="n">
        <v>0</v>
      </c>
      <c r="K1444" s="0" t="n">
        <v>0</v>
      </c>
      <c r="L1444" s="0" t="n">
        <v>0</v>
      </c>
      <c r="M1444" s="0" t="n">
        <v>0</v>
      </c>
      <c r="N1444" s="0" t="n">
        <v>0</v>
      </c>
      <c r="O1444" s="0" t="n">
        <v>645.16</v>
      </c>
    </row>
    <row r="1445" customFormat="false" ht="15" hidden="false" customHeight="false" outlineLevel="0" collapsed="false">
      <c r="A1445" s="0" t="s">
        <v>290</v>
      </c>
      <c r="B1445" s="0" t="s">
        <v>529</v>
      </c>
      <c r="C1445" s="0" t="n">
        <v>2016</v>
      </c>
      <c r="D1445" s="0" t="n">
        <v>4755607</v>
      </c>
      <c r="E1445" s="0" t="n">
        <v>0.3</v>
      </c>
      <c r="F1445" s="0" t="n">
        <v>0</v>
      </c>
      <c r="G1445" s="0" t="n">
        <v>0</v>
      </c>
      <c r="H1445" s="0" t="n">
        <v>0.3</v>
      </c>
      <c r="I1445" s="0" t="n">
        <v>0</v>
      </c>
      <c r="J1445" s="0" t="n">
        <v>0</v>
      </c>
      <c r="K1445" s="0" t="n">
        <v>0</v>
      </c>
      <c r="L1445" s="0" t="n">
        <v>0</v>
      </c>
      <c r="M1445" s="0" t="n">
        <v>0</v>
      </c>
      <c r="N1445" s="0" t="n">
        <v>0</v>
      </c>
      <c r="O1445" s="0" t="n">
        <v>666.67</v>
      </c>
    </row>
    <row r="1446" customFormat="false" ht="15" hidden="false" customHeight="false" outlineLevel="0" collapsed="false">
      <c r="A1446" s="0" t="s">
        <v>290</v>
      </c>
      <c r="B1446" s="0" t="s">
        <v>529</v>
      </c>
      <c r="C1446" s="0" t="n">
        <v>2017</v>
      </c>
      <c r="D1446" s="0" t="n">
        <v>4848927</v>
      </c>
      <c r="E1446" s="0" t="n">
        <v>0.35</v>
      </c>
      <c r="F1446" s="0" t="n">
        <v>0</v>
      </c>
      <c r="G1446" s="0" t="n">
        <v>0</v>
      </c>
      <c r="H1446" s="0" t="n">
        <v>0.35</v>
      </c>
      <c r="I1446" s="0" t="n">
        <v>0</v>
      </c>
      <c r="J1446" s="0" t="n">
        <v>0</v>
      </c>
      <c r="K1446" s="0" t="n">
        <v>0</v>
      </c>
      <c r="L1446" s="0" t="n">
        <v>0</v>
      </c>
      <c r="M1446" s="0" t="n">
        <v>0</v>
      </c>
      <c r="N1446" s="0" t="n">
        <v>0</v>
      </c>
      <c r="O1446" s="0" t="n">
        <v>657.14</v>
      </c>
    </row>
    <row r="1447" customFormat="false" ht="15" hidden="false" customHeight="false" outlineLevel="0" collapsed="false">
      <c r="A1447" s="0" t="s">
        <v>290</v>
      </c>
      <c r="B1447" s="0" t="s">
        <v>529</v>
      </c>
      <c r="C1447" s="0" t="n">
        <v>2018</v>
      </c>
      <c r="D1447" s="0" t="n">
        <v>4944728</v>
      </c>
      <c r="E1447" s="0" t="n">
        <v>0.41</v>
      </c>
      <c r="F1447" s="0" t="n">
        <v>0</v>
      </c>
      <c r="G1447" s="0" t="n">
        <v>0</v>
      </c>
      <c r="H1447" s="0" t="n">
        <v>0.28</v>
      </c>
      <c r="I1447" s="0" t="n">
        <v>0</v>
      </c>
      <c r="J1447" s="0" t="n">
        <v>0.13</v>
      </c>
      <c r="K1447" s="0" t="n">
        <v>0</v>
      </c>
      <c r="L1447" s="0" t="n">
        <v>0</v>
      </c>
      <c r="M1447" s="0" t="n">
        <v>0</v>
      </c>
      <c r="N1447" s="0" t="n">
        <v>0</v>
      </c>
      <c r="O1447" s="0" t="n">
        <v>439.02</v>
      </c>
    </row>
    <row r="1448" customFormat="false" ht="15" hidden="false" customHeight="false" outlineLevel="0" collapsed="false">
      <c r="A1448" s="0" t="s">
        <v>290</v>
      </c>
      <c r="B1448" s="0" t="s">
        <v>529</v>
      </c>
      <c r="C1448" s="0" t="n">
        <v>2019</v>
      </c>
      <c r="D1448" s="0" t="n">
        <v>5043719</v>
      </c>
      <c r="E1448" s="0" t="n">
        <v>0.42</v>
      </c>
      <c r="F1448" s="0" t="n">
        <v>0</v>
      </c>
      <c r="G1448" s="0" t="n">
        <v>0</v>
      </c>
      <c r="H1448" s="0" t="n">
        <v>0.29</v>
      </c>
      <c r="I1448" s="0" t="n">
        <v>0</v>
      </c>
      <c r="J1448" s="0" t="n">
        <v>0.13</v>
      </c>
      <c r="K1448" s="0" t="n">
        <v>0</v>
      </c>
      <c r="L1448" s="0" t="n">
        <v>0</v>
      </c>
      <c r="M1448" s="0" t="n">
        <v>0</v>
      </c>
      <c r="N1448" s="0" t="n">
        <v>0</v>
      </c>
      <c r="O1448" s="0" t="n">
        <v>452.38</v>
      </c>
    </row>
    <row r="1449" customFormat="false" ht="15" hidden="false" customHeight="false" outlineLevel="0" collapsed="false">
      <c r="A1449" s="0" t="s">
        <v>290</v>
      </c>
      <c r="B1449" s="0" t="s">
        <v>529</v>
      </c>
      <c r="C1449" s="0" t="n">
        <v>2020</v>
      </c>
      <c r="D1449" s="0" t="n">
        <v>5149470</v>
      </c>
      <c r="E1449" s="0" t="n">
        <v>0.45</v>
      </c>
      <c r="F1449" s="0" t="n">
        <v>0</v>
      </c>
      <c r="G1449" s="0" t="n">
        <v>0</v>
      </c>
      <c r="H1449" s="0" t="n">
        <v>0.32</v>
      </c>
      <c r="I1449" s="0" t="n">
        <v>0</v>
      </c>
      <c r="J1449" s="0" t="n">
        <v>0.13</v>
      </c>
      <c r="K1449" s="0" t="n">
        <v>0</v>
      </c>
      <c r="L1449" s="0" t="n">
        <v>0</v>
      </c>
      <c r="M1449" s="0" t="n">
        <v>0</v>
      </c>
      <c r="N1449" s="0" t="n">
        <v>0</v>
      </c>
      <c r="O1449" s="0" t="n">
        <v>466.67</v>
      </c>
    </row>
    <row r="1450" customFormat="false" ht="15" hidden="false" customHeight="false" outlineLevel="0" collapsed="false">
      <c r="A1450" s="0" t="s">
        <v>290</v>
      </c>
      <c r="B1450" s="0" t="s">
        <v>529</v>
      </c>
      <c r="C1450" s="0" t="n">
        <v>2021</v>
      </c>
      <c r="D1450" s="0" t="n">
        <v>5259327</v>
      </c>
      <c r="E1450" s="0" t="n">
        <v>0.38</v>
      </c>
      <c r="F1450" s="0" t="n">
        <v>0</v>
      </c>
      <c r="G1450" s="0" t="n">
        <v>0</v>
      </c>
      <c r="H1450" s="0" t="n">
        <v>0.25</v>
      </c>
      <c r="I1450" s="0" t="n">
        <v>0</v>
      </c>
      <c r="J1450" s="0" t="n">
        <v>0.13</v>
      </c>
      <c r="K1450" s="0" t="n">
        <v>0</v>
      </c>
      <c r="L1450" s="0" t="n">
        <v>0</v>
      </c>
      <c r="M1450" s="0" t="n">
        <v>0</v>
      </c>
      <c r="N1450" s="0" t="n">
        <v>0</v>
      </c>
      <c r="O1450" s="0" t="n">
        <v>421.05</v>
      </c>
    </row>
    <row r="1451" customFormat="false" ht="15" hidden="false" customHeight="false" outlineLevel="0" collapsed="false">
      <c r="A1451" s="0" t="s">
        <v>290</v>
      </c>
      <c r="B1451" s="0" t="s">
        <v>529</v>
      </c>
      <c r="C1451" s="0" t="n">
        <v>2022</v>
      </c>
      <c r="D1451" s="0" t="n">
        <v>5373297</v>
      </c>
      <c r="E1451" s="0" t="n">
        <v>0.39</v>
      </c>
      <c r="F1451" s="0" t="n">
        <v>0</v>
      </c>
      <c r="G1451" s="0" t="n">
        <v>0</v>
      </c>
      <c r="H1451" s="0" t="n">
        <v>0.26</v>
      </c>
      <c r="I1451" s="0" t="n">
        <v>0</v>
      </c>
      <c r="J1451" s="0" t="n">
        <v>0.13</v>
      </c>
      <c r="K1451" s="0" t="n">
        <v>0</v>
      </c>
      <c r="L1451" s="0" t="n">
        <v>0</v>
      </c>
      <c r="M1451" s="0" t="n">
        <v>0</v>
      </c>
      <c r="N1451" s="0" t="n">
        <v>0</v>
      </c>
      <c r="O1451" s="0" t="n">
        <v>435.9</v>
      </c>
    </row>
    <row r="1452" customFormat="false" ht="15" hidden="false" customHeight="false" outlineLevel="0" collapsed="false">
      <c r="A1452" s="0" t="s">
        <v>290</v>
      </c>
      <c r="B1452" s="0" t="s">
        <v>529</v>
      </c>
      <c r="C1452" s="0" t="n">
        <v>2023</v>
      </c>
      <c r="D1452" s="0" t="n">
        <v>5493035</v>
      </c>
      <c r="E1452" s="0" t="n">
        <v>0.61</v>
      </c>
      <c r="F1452" s="0" t="n">
        <v>0</v>
      </c>
      <c r="G1452" s="0" t="n">
        <v>0</v>
      </c>
      <c r="H1452" s="0" t="n">
        <v>0.26</v>
      </c>
      <c r="I1452" s="0" t="n">
        <v>0</v>
      </c>
      <c r="J1452" s="0" t="n">
        <v>0.35</v>
      </c>
      <c r="K1452" s="0" t="n">
        <v>0</v>
      </c>
      <c r="L1452" s="0" t="n">
        <v>0</v>
      </c>
      <c r="M1452" s="0" t="n">
        <v>0</v>
      </c>
      <c r="N1452" s="0" t="n">
        <v>0</v>
      </c>
      <c r="O1452" s="0" t="n">
        <v>295.08</v>
      </c>
    </row>
    <row r="1453" customFormat="false" ht="15" hidden="false" customHeight="false" outlineLevel="0" collapsed="false">
      <c r="A1453" s="0" t="s">
        <v>290</v>
      </c>
      <c r="B1453" s="0" t="s">
        <v>529</v>
      </c>
      <c r="C1453" s="0" t="n">
        <v>2024</v>
      </c>
      <c r="D1453" s="0" t="n">
        <v>5612813</v>
      </c>
      <c r="E1453" s="0" t="n">
        <v>0.57</v>
      </c>
      <c r="F1453" s="0" t="n">
        <v>0</v>
      </c>
      <c r="G1453" s="0" t="n">
        <v>0</v>
      </c>
      <c r="H1453" s="0" t="n">
        <v>0.26</v>
      </c>
      <c r="I1453" s="0" t="n">
        <v>0</v>
      </c>
      <c r="J1453" s="0" t="n">
        <v>0.3</v>
      </c>
      <c r="K1453" s="0" t="n">
        <v>0.01</v>
      </c>
      <c r="L1453" s="0" t="n">
        <v>0</v>
      </c>
      <c r="M1453" s="0" t="n">
        <v>0</v>
      </c>
      <c r="N1453" s="0" t="n">
        <v>0</v>
      </c>
      <c r="O1453" s="0" t="n">
        <v>315.79</v>
      </c>
    </row>
    <row r="1454" customFormat="false" ht="15" hidden="false" customHeight="false" outlineLevel="0" collapsed="false">
      <c r="A1454" s="0" t="s">
        <v>291</v>
      </c>
      <c r="B1454" s="0" t="s">
        <v>530</v>
      </c>
      <c r="C1454" s="0" t="n">
        <v>2015</v>
      </c>
      <c r="D1454" s="0" t="n">
        <v>6531825</v>
      </c>
      <c r="E1454" s="0" t="n">
        <v>37.51</v>
      </c>
      <c r="F1454" s="0" t="n">
        <v>0</v>
      </c>
      <c r="G1454" s="0" t="n">
        <v>20.26</v>
      </c>
      <c r="H1454" s="0" t="n">
        <v>17.24</v>
      </c>
      <c r="I1454" s="0" t="n">
        <v>0</v>
      </c>
      <c r="J1454" s="0" t="n">
        <v>0</v>
      </c>
      <c r="K1454" s="0" t="n">
        <v>0.01</v>
      </c>
      <c r="L1454" s="0" t="n">
        <v>0</v>
      </c>
      <c r="M1454" s="0" t="n">
        <v>0</v>
      </c>
      <c r="N1454" s="0" t="n">
        <v>0</v>
      </c>
      <c r="O1454" s="0" t="n">
        <v>780.33</v>
      </c>
    </row>
    <row r="1455" customFormat="false" ht="15" hidden="false" customHeight="false" outlineLevel="0" collapsed="false">
      <c r="A1455" s="0" t="s">
        <v>291</v>
      </c>
      <c r="B1455" s="0" t="s">
        <v>530</v>
      </c>
      <c r="C1455" s="0" t="n">
        <v>2016</v>
      </c>
      <c r="D1455" s="0" t="n">
        <v>6632130</v>
      </c>
      <c r="E1455" s="0" t="n">
        <v>31.42</v>
      </c>
      <c r="F1455" s="0" t="n">
        <v>0</v>
      </c>
      <c r="G1455" s="0" t="n">
        <v>22.8</v>
      </c>
      <c r="H1455" s="0" t="n">
        <v>8.61</v>
      </c>
      <c r="I1455" s="0" t="n">
        <v>0</v>
      </c>
      <c r="J1455" s="0" t="n">
        <v>0</v>
      </c>
      <c r="K1455" s="0" t="n">
        <v>0.01</v>
      </c>
      <c r="L1455" s="0" t="n">
        <v>0</v>
      </c>
      <c r="M1455" s="0" t="n">
        <v>0</v>
      </c>
      <c r="N1455" s="0" t="n">
        <v>0</v>
      </c>
      <c r="O1455" s="0" t="n">
        <v>822.72</v>
      </c>
    </row>
    <row r="1456" customFormat="false" ht="15" hidden="false" customHeight="false" outlineLevel="0" collapsed="false">
      <c r="A1456" s="0" t="s">
        <v>291</v>
      </c>
      <c r="B1456" s="0" t="s">
        <v>530</v>
      </c>
      <c r="C1456" s="0" t="n">
        <v>2017</v>
      </c>
      <c r="D1456" s="0" t="n">
        <v>6738771</v>
      </c>
      <c r="E1456" s="0" t="n">
        <v>33.28</v>
      </c>
      <c r="F1456" s="0" t="n">
        <v>0</v>
      </c>
      <c r="G1456" s="0" t="n">
        <v>22.83</v>
      </c>
      <c r="H1456" s="0" t="n">
        <v>10.44</v>
      </c>
      <c r="I1456" s="0" t="n">
        <v>0</v>
      </c>
      <c r="J1456" s="0" t="n">
        <v>0</v>
      </c>
      <c r="K1456" s="0" t="n">
        <v>0.01</v>
      </c>
      <c r="L1456" s="0" t="n">
        <v>0</v>
      </c>
      <c r="M1456" s="0" t="n">
        <v>0</v>
      </c>
      <c r="N1456" s="0" t="n">
        <v>0</v>
      </c>
      <c r="O1456" s="0" t="n">
        <v>813.4</v>
      </c>
    </row>
    <row r="1457" customFormat="false" ht="15" hidden="false" customHeight="false" outlineLevel="0" collapsed="false">
      <c r="A1457" s="0" t="s">
        <v>291</v>
      </c>
      <c r="B1457" s="0" t="s">
        <v>530</v>
      </c>
      <c r="C1457" s="0" t="n">
        <v>2018</v>
      </c>
      <c r="D1457" s="0" t="n">
        <v>6849058</v>
      </c>
      <c r="E1457" s="0" t="n">
        <v>34.18</v>
      </c>
      <c r="F1457" s="0" t="n">
        <v>0</v>
      </c>
      <c r="G1457" s="0" t="n">
        <v>22.41</v>
      </c>
      <c r="H1457" s="0" t="n">
        <v>11.76</v>
      </c>
      <c r="I1457" s="0" t="n">
        <v>0</v>
      </c>
      <c r="J1457" s="0" t="n">
        <v>0</v>
      </c>
      <c r="K1457" s="0" t="n">
        <v>0.01</v>
      </c>
      <c r="L1457" s="0" t="n">
        <v>0</v>
      </c>
      <c r="M1457" s="0" t="n">
        <v>0</v>
      </c>
      <c r="N1457" s="0" t="n">
        <v>0</v>
      </c>
      <c r="O1457" s="0" t="n">
        <v>806.61</v>
      </c>
    </row>
    <row r="1458" customFormat="false" ht="15" hidden="false" customHeight="false" outlineLevel="0" collapsed="false">
      <c r="A1458" s="0" t="s">
        <v>291</v>
      </c>
      <c r="B1458" s="0" t="s">
        <v>530</v>
      </c>
      <c r="C1458" s="0" t="n">
        <v>2019</v>
      </c>
      <c r="D1458" s="0" t="n">
        <v>6951040</v>
      </c>
      <c r="E1458" s="0" t="n">
        <v>34.63</v>
      </c>
      <c r="F1458" s="0" t="n">
        <v>0</v>
      </c>
      <c r="G1458" s="0" t="n">
        <v>23.25</v>
      </c>
      <c r="H1458" s="0" t="n">
        <v>11.37</v>
      </c>
      <c r="I1458" s="0" t="n">
        <v>0</v>
      </c>
      <c r="J1458" s="0" t="n">
        <v>0</v>
      </c>
      <c r="K1458" s="0" t="n">
        <v>0.01</v>
      </c>
      <c r="L1458" s="0" t="n">
        <v>0</v>
      </c>
      <c r="M1458" s="0" t="n">
        <v>0</v>
      </c>
      <c r="N1458" s="0" t="n">
        <v>0</v>
      </c>
      <c r="O1458" s="0" t="n">
        <v>809.99</v>
      </c>
    </row>
    <row r="1459" customFormat="false" ht="15" hidden="false" customHeight="false" outlineLevel="0" collapsed="false">
      <c r="A1459" s="0" t="s">
        <v>291</v>
      </c>
      <c r="B1459" s="0" t="s">
        <v>530</v>
      </c>
      <c r="C1459" s="0" t="n">
        <v>2020</v>
      </c>
      <c r="D1459" s="0" t="n">
        <v>7045403</v>
      </c>
      <c r="E1459" s="0" t="n">
        <v>29.5</v>
      </c>
      <c r="F1459" s="0" t="n">
        <v>0</v>
      </c>
      <c r="G1459" s="0" t="n">
        <v>21.63</v>
      </c>
      <c r="H1459" s="0" t="n">
        <v>7.86</v>
      </c>
      <c r="I1459" s="0" t="n">
        <v>0</v>
      </c>
      <c r="J1459" s="0" t="n">
        <v>0</v>
      </c>
      <c r="K1459" s="0" t="n">
        <v>0.01</v>
      </c>
      <c r="L1459" s="0" t="n">
        <v>0</v>
      </c>
      <c r="M1459" s="0" t="n">
        <v>0</v>
      </c>
      <c r="N1459" s="0" t="n">
        <v>0</v>
      </c>
      <c r="O1459" s="0" t="n">
        <v>824.07</v>
      </c>
    </row>
    <row r="1460" customFormat="false" ht="15" hidden="false" customHeight="false" outlineLevel="0" collapsed="false">
      <c r="A1460" s="0" t="s">
        <v>291</v>
      </c>
      <c r="B1460" s="0" t="s">
        <v>530</v>
      </c>
      <c r="C1460" s="0" t="n">
        <v>2021</v>
      </c>
      <c r="D1460" s="0" t="n">
        <v>7135179</v>
      </c>
      <c r="E1460" s="0" t="n">
        <v>34.79</v>
      </c>
      <c r="F1460" s="0" t="n">
        <v>0</v>
      </c>
      <c r="G1460" s="0" t="n">
        <v>26.61</v>
      </c>
      <c r="H1460" s="0" t="n">
        <v>8.17</v>
      </c>
      <c r="I1460" s="0" t="n">
        <v>0</v>
      </c>
      <c r="J1460" s="0" t="n">
        <v>0</v>
      </c>
      <c r="K1460" s="0" t="n">
        <v>0.01</v>
      </c>
      <c r="L1460" s="0" t="n">
        <v>0</v>
      </c>
      <c r="M1460" s="0" t="n">
        <v>0</v>
      </c>
      <c r="N1460" s="0" t="n">
        <v>0</v>
      </c>
      <c r="O1460" s="0" t="n">
        <v>831.56</v>
      </c>
    </row>
    <row r="1461" customFormat="false" ht="15" hidden="false" customHeight="false" outlineLevel="0" collapsed="false">
      <c r="A1461" s="0" t="s">
        <v>291</v>
      </c>
      <c r="B1461" s="0" t="s">
        <v>530</v>
      </c>
      <c r="C1461" s="0" t="n">
        <v>2022</v>
      </c>
      <c r="D1461" s="0" t="n">
        <v>7223804</v>
      </c>
      <c r="E1461" s="0" t="n">
        <v>35.11</v>
      </c>
      <c r="F1461" s="0" t="n">
        <v>0</v>
      </c>
      <c r="G1461" s="0" t="n">
        <v>26.7</v>
      </c>
      <c r="H1461" s="0" t="n">
        <v>8.4</v>
      </c>
      <c r="I1461" s="0" t="n">
        <v>0</v>
      </c>
      <c r="J1461" s="0" t="n">
        <v>0</v>
      </c>
      <c r="K1461" s="0" t="n">
        <v>0.01</v>
      </c>
      <c r="L1461" s="0" t="n">
        <v>0</v>
      </c>
      <c r="M1461" s="0" t="n">
        <v>0</v>
      </c>
      <c r="N1461" s="0" t="n">
        <v>0</v>
      </c>
      <c r="O1461" s="0" t="n">
        <v>830.53</v>
      </c>
    </row>
    <row r="1462" customFormat="false" ht="15" hidden="false" customHeight="false" outlineLevel="0" collapsed="false">
      <c r="A1462" s="0" t="s">
        <v>291</v>
      </c>
      <c r="B1462" s="0" t="s">
        <v>530</v>
      </c>
      <c r="C1462" s="0" t="n">
        <v>2023</v>
      </c>
      <c r="D1462" s="0" t="n">
        <v>7305659</v>
      </c>
      <c r="E1462" s="0" t="n">
        <v>33.75</v>
      </c>
      <c r="F1462" s="0" t="n">
        <v>0</v>
      </c>
      <c r="G1462" s="0" t="n">
        <v>24.9</v>
      </c>
      <c r="H1462" s="0" t="n">
        <v>8.84</v>
      </c>
      <c r="I1462" s="0" t="n">
        <v>0</v>
      </c>
      <c r="J1462" s="0" t="n">
        <v>0</v>
      </c>
      <c r="K1462" s="0" t="n">
        <v>0.01</v>
      </c>
      <c r="L1462" s="0" t="n">
        <v>0</v>
      </c>
      <c r="M1462" s="0" t="n">
        <v>0</v>
      </c>
      <c r="N1462" s="0" t="n">
        <v>0</v>
      </c>
      <c r="O1462" s="0" t="n">
        <v>825.19</v>
      </c>
    </row>
    <row r="1463" customFormat="false" ht="15" hidden="false" customHeight="false" outlineLevel="0" collapsed="false">
      <c r="A1463" s="0" t="s">
        <v>291</v>
      </c>
      <c r="B1463" s="0" t="s">
        <v>530</v>
      </c>
      <c r="C1463" s="0" t="n">
        <v>2024</v>
      </c>
      <c r="D1463" s="0" t="n">
        <v>7381029</v>
      </c>
      <c r="E1463" s="0" t="n">
        <v>34.59</v>
      </c>
      <c r="F1463" s="0" t="n">
        <v>0</v>
      </c>
      <c r="G1463" s="0" t="n">
        <v>25.78</v>
      </c>
      <c r="H1463" s="0" t="n">
        <v>8.8</v>
      </c>
      <c r="I1463" s="0" t="n">
        <v>0</v>
      </c>
      <c r="J1463" s="0" t="n">
        <v>0</v>
      </c>
      <c r="K1463" s="0" t="n">
        <v>0.01</v>
      </c>
      <c r="L1463" s="0" t="n">
        <v>0</v>
      </c>
      <c r="M1463" s="0" t="n">
        <v>0</v>
      </c>
      <c r="N1463" s="0" t="n">
        <v>0</v>
      </c>
      <c r="O1463" s="0" t="n">
        <v>826.83</v>
      </c>
    </row>
    <row r="1464" customFormat="false" ht="15" hidden="false" customHeight="false" outlineLevel="0" collapsed="false">
      <c r="A1464" s="0" t="s">
        <v>292</v>
      </c>
      <c r="B1464" s="0" t="s">
        <v>531</v>
      </c>
      <c r="C1464" s="0" t="n">
        <v>2015</v>
      </c>
      <c r="D1464" s="0" t="n">
        <v>2905771</v>
      </c>
      <c r="E1464" s="0" t="n">
        <v>4.23</v>
      </c>
      <c r="F1464" s="0" t="n">
        <v>0</v>
      </c>
      <c r="G1464" s="0" t="n">
        <v>1.98</v>
      </c>
      <c r="H1464" s="0" t="n">
        <v>0.57</v>
      </c>
      <c r="I1464" s="0" t="n">
        <v>0</v>
      </c>
      <c r="J1464" s="0" t="n">
        <v>0.35</v>
      </c>
      <c r="K1464" s="0" t="n">
        <v>0.07</v>
      </c>
      <c r="L1464" s="0" t="n">
        <v>0.81</v>
      </c>
      <c r="M1464" s="0" t="n">
        <v>0.45</v>
      </c>
      <c r="N1464" s="0" t="n">
        <v>0</v>
      </c>
      <c r="O1464" s="0" t="n">
        <v>295.51</v>
      </c>
    </row>
    <row r="1465" customFormat="false" ht="15" hidden="false" customHeight="false" outlineLevel="0" collapsed="false">
      <c r="A1465" s="0" t="s">
        <v>292</v>
      </c>
      <c r="B1465" s="0" t="s">
        <v>531</v>
      </c>
      <c r="C1465" s="0" t="n">
        <v>2016</v>
      </c>
      <c r="D1465" s="0" t="n">
        <v>2869109</v>
      </c>
      <c r="E1465" s="0" t="n">
        <v>3.63</v>
      </c>
      <c r="F1465" s="0" t="n">
        <v>0</v>
      </c>
      <c r="G1465" s="0" t="n">
        <v>0.99</v>
      </c>
      <c r="H1465" s="0" t="n">
        <v>0.54</v>
      </c>
      <c r="I1465" s="0" t="n">
        <v>0</v>
      </c>
      <c r="J1465" s="0" t="n">
        <v>0.45</v>
      </c>
      <c r="K1465" s="0" t="n">
        <v>0.07</v>
      </c>
      <c r="L1465" s="0" t="n">
        <v>1.14</v>
      </c>
      <c r="M1465" s="0" t="n">
        <v>0.44</v>
      </c>
      <c r="N1465" s="0" t="n">
        <v>0</v>
      </c>
      <c r="O1465" s="0" t="n">
        <v>234.16</v>
      </c>
    </row>
    <row r="1466" customFormat="false" ht="15" hidden="false" customHeight="false" outlineLevel="0" collapsed="false">
      <c r="A1466" s="0" t="s">
        <v>292</v>
      </c>
      <c r="B1466" s="0" t="s">
        <v>531</v>
      </c>
      <c r="C1466" s="0" t="n">
        <v>2017</v>
      </c>
      <c r="D1466" s="0" t="n">
        <v>2829317</v>
      </c>
      <c r="E1466" s="0" t="n">
        <v>3.56</v>
      </c>
      <c r="F1466" s="0" t="n">
        <v>0</v>
      </c>
      <c r="G1466" s="0" t="n">
        <v>0.6</v>
      </c>
      <c r="H1466" s="0" t="n">
        <v>0.43</v>
      </c>
      <c r="I1466" s="0" t="n">
        <v>0</v>
      </c>
      <c r="J1466" s="0" t="n">
        <v>0.6</v>
      </c>
      <c r="K1466" s="0" t="n">
        <v>0.07</v>
      </c>
      <c r="L1466" s="0" t="n">
        <v>1.36</v>
      </c>
      <c r="M1466" s="0" t="n">
        <v>0.5</v>
      </c>
      <c r="N1466" s="0" t="n">
        <v>0</v>
      </c>
      <c r="O1466" s="0" t="n">
        <v>182.58</v>
      </c>
    </row>
    <row r="1467" customFormat="false" ht="15" hidden="false" customHeight="false" outlineLevel="0" collapsed="false">
      <c r="A1467" s="0" t="s">
        <v>292</v>
      </c>
      <c r="B1467" s="0" t="s">
        <v>531</v>
      </c>
      <c r="C1467" s="0" t="n">
        <v>2018</v>
      </c>
      <c r="D1467" s="0" t="n">
        <v>2802485</v>
      </c>
      <c r="E1467" s="0" t="n">
        <v>2.92</v>
      </c>
      <c r="F1467" s="0" t="n">
        <v>0</v>
      </c>
      <c r="G1467" s="0" t="n">
        <v>0.33</v>
      </c>
      <c r="H1467" s="0" t="n">
        <v>0.39</v>
      </c>
      <c r="I1467" s="0" t="n">
        <v>0</v>
      </c>
      <c r="J1467" s="0" t="n">
        <v>0.43</v>
      </c>
      <c r="K1467" s="0" t="n">
        <v>0.09</v>
      </c>
      <c r="L1467" s="0" t="n">
        <v>1.14</v>
      </c>
      <c r="M1467" s="0" t="n">
        <v>0.54</v>
      </c>
      <c r="N1467" s="0" t="n">
        <v>0</v>
      </c>
      <c r="O1467" s="0" t="n">
        <v>178.08</v>
      </c>
    </row>
    <row r="1468" customFormat="false" ht="15" hidden="false" customHeight="false" outlineLevel="0" collapsed="false">
      <c r="A1468" s="0" t="s">
        <v>292</v>
      </c>
      <c r="B1468" s="0" t="s">
        <v>531</v>
      </c>
      <c r="C1468" s="0" t="n">
        <v>2019</v>
      </c>
      <c r="D1468" s="0" t="n">
        <v>2795057</v>
      </c>
      <c r="E1468" s="0" t="n">
        <v>3.34</v>
      </c>
      <c r="F1468" s="0" t="n">
        <v>0</v>
      </c>
      <c r="G1468" s="0" t="n">
        <v>0.52</v>
      </c>
      <c r="H1468" s="0" t="n">
        <v>0.35</v>
      </c>
      <c r="I1468" s="0" t="n">
        <v>0</v>
      </c>
      <c r="J1468" s="0" t="n">
        <v>0.35</v>
      </c>
      <c r="K1468" s="0" t="n">
        <v>0.09</v>
      </c>
      <c r="L1468" s="0" t="n">
        <v>1.5</v>
      </c>
      <c r="M1468" s="0" t="n">
        <v>0.53</v>
      </c>
      <c r="N1468" s="0" t="n">
        <v>0</v>
      </c>
      <c r="O1468" s="0" t="n">
        <v>170.66</v>
      </c>
    </row>
    <row r="1469" customFormat="false" ht="15" hidden="false" customHeight="false" outlineLevel="0" collapsed="false">
      <c r="A1469" s="0" t="s">
        <v>292</v>
      </c>
      <c r="B1469" s="0" t="s">
        <v>531</v>
      </c>
      <c r="C1469" s="0" t="n">
        <v>2020</v>
      </c>
      <c r="D1469" s="0" t="n">
        <v>2795766</v>
      </c>
      <c r="E1469" s="0" t="n">
        <v>4.7</v>
      </c>
      <c r="F1469" s="0" t="n">
        <v>0</v>
      </c>
      <c r="G1469" s="0" t="n">
        <v>1.7</v>
      </c>
      <c r="H1469" s="0" t="n">
        <v>0.43</v>
      </c>
      <c r="I1469" s="0" t="n">
        <v>0</v>
      </c>
      <c r="J1469" s="0" t="n">
        <v>0.3</v>
      </c>
      <c r="K1469" s="0" t="n">
        <v>0.13</v>
      </c>
      <c r="L1469" s="0" t="n">
        <v>1.55</v>
      </c>
      <c r="M1469" s="0" t="n">
        <v>0.59</v>
      </c>
      <c r="N1469" s="0" t="n">
        <v>0</v>
      </c>
      <c r="O1469" s="0" t="n">
        <v>231.92</v>
      </c>
    </row>
    <row r="1470" customFormat="false" ht="15" hidden="false" customHeight="false" outlineLevel="0" collapsed="false">
      <c r="A1470" s="0" t="s">
        <v>292</v>
      </c>
      <c r="B1470" s="0" t="s">
        <v>531</v>
      </c>
      <c r="C1470" s="0" t="n">
        <v>2021</v>
      </c>
      <c r="D1470" s="0" t="n">
        <v>2794490</v>
      </c>
      <c r="E1470" s="0" t="n">
        <v>4.3</v>
      </c>
      <c r="F1470" s="0" t="n">
        <v>0</v>
      </c>
      <c r="G1470" s="0" t="n">
        <v>1.22</v>
      </c>
      <c r="H1470" s="0" t="n">
        <v>0.46</v>
      </c>
      <c r="I1470" s="0" t="n">
        <v>0</v>
      </c>
      <c r="J1470" s="0" t="n">
        <v>0.38</v>
      </c>
      <c r="K1470" s="0" t="n">
        <v>0.19</v>
      </c>
      <c r="L1470" s="0" t="n">
        <v>1.36</v>
      </c>
      <c r="M1470" s="0" t="n">
        <v>0.69</v>
      </c>
      <c r="N1470" s="0" t="n">
        <v>0</v>
      </c>
      <c r="O1470" s="0" t="n">
        <v>220.93</v>
      </c>
    </row>
    <row r="1471" customFormat="false" ht="15" hidden="false" customHeight="false" outlineLevel="0" collapsed="false">
      <c r="A1471" s="0" t="s">
        <v>292</v>
      </c>
      <c r="B1471" s="0" t="s">
        <v>531</v>
      </c>
      <c r="C1471" s="0" t="n">
        <v>2022</v>
      </c>
      <c r="D1471" s="0" t="n">
        <v>2816923</v>
      </c>
      <c r="E1471" s="0" t="n">
        <v>4.04</v>
      </c>
      <c r="F1471" s="0" t="n">
        <v>0</v>
      </c>
      <c r="G1471" s="0" t="n">
        <v>0.51</v>
      </c>
      <c r="H1471" s="0" t="n">
        <v>0.51</v>
      </c>
      <c r="I1471" s="0" t="n">
        <v>0</v>
      </c>
      <c r="J1471" s="0" t="n">
        <v>0.46</v>
      </c>
      <c r="K1471" s="0" t="n">
        <v>0.34</v>
      </c>
      <c r="L1471" s="0" t="n">
        <v>1.51</v>
      </c>
      <c r="M1471" s="0" t="n">
        <v>0.71</v>
      </c>
      <c r="N1471" s="0" t="n">
        <v>0</v>
      </c>
      <c r="O1471" s="0" t="n">
        <v>180.69</v>
      </c>
    </row>
    <row r="1472" customFormat="false" ht="15" hidden="false" customHeight="false" outlineLevel="0" collapsed="false">
      <c r="A1472" s="0" t="s">
        <v>292</v>
      </c>
      <c r="B1472" s="0" t="s">
        <v>531</v>
      </c>
      <c r="C1472" s="0" t="n">
        <v>2023</v>
      </c>
      <c r="D1472" s="0" t="n">
        <v>2854104</v>
      </c>
      <c r="E1472" s="0" t="n">
        <v>5.3</v>
      </c>
      <c r="F1472" s="0" t="n">
        <v>0</v>
      </c>
      <c r="G1472" s="0" t="n">
        <v>0.58</v>
      </c>
      <c r="H1472" s="0" t="n">
        <v>0.28</v>
      </c>
      <c r="I1472" s="0" t="n">
        <v>0</v>
      </c>
      <c r="J1472" s="0" t="n">
        <v>0.45</v>
      </c>
      <c r="K1472" s="0" t="n">
        <v>0.69</v>
      </c>
      <c r="L1472" s="0" t="n">
        <v>2.54</v>
      </c>
      <c r="M1472" s="0" t="n">
        <v>0.76</v>
      </c>
      <c r="N1472" s="0" t="n">
        <v>0</v>
      </c>
      <c r="O1472" s="0" t="n">
        <v>118.87</v>
      </c>
    </row>
    <row r="1473" customFormat="false" ht="15" hidden="false" customHeight="false" outlineLevel="0" collapsed="false">
      <c r="A1473" s="0" t="s">
        <v>292</v>
      </c>
      <c r="B1473" s="0" t="s">
        <v>531</v>
      </c>
      <c r="C1473" s="0" t="n">
        <v>2024</v>
      </c>
      <c r="D1473" s="0" t="n">
        <v>2859112</v>
      </c>
      <c r="E1473" s="0" t="n">
        <v>7.39</v>
      </c>
      <c r="F1473" s="0" t="n">
        <v>0</v>
      </c>
      <c r="G1473" s="0" t="n">
        <v>0.84</v>
      </c>
      <c r="H1473" s="0" t="n">
        <v>0.32</v>
      </c>
      <c r="I1473" s="0" t="n">
        <v>0</v>
      </c>
      <c r="J1473" s="0" t="n">
        <v>0.44</v>
      </c>
      <c r="K1473" s="0" t="n">
        <v>1.4</v>
      </c>
      <c r="L1473" s="0" t="n">
        <v>3.41</v>
      </c>
      <c r="M1473" s="0" t="n">
        <v>0.98</v>
      </c>
      <c r="N1473" s="0" t="n">
        <v>0</v>
      </c>
      <c r="O1473" s="0" t="n">
        <v>116.37</v>
      </c>
    </row>
    <row r="1474" customFormat="false" ht="15" hidden="false" customHeight="false" outlineLevel="0" collapsed="false">
      <c r="A1474" s="0" t="s">
        <v>292</v>
      </c>
      <c r="B1474" s="0" t="s">
        <v>531</v>
      </c>
      <c r="C1474" s="0" t="n">
        <v>2025</v>
      </c>
      <c r="D1474" s="0" t="n">
        <v>2830150</v>
      </c>
      <c r="E1474" s="0" t="n">
        <v>8.89</v>
      </c>
      <c r="F1474" s="0" t="n">
        <v>0</v>
      </c>
      <c r="G1474" s="0" t="n">
        <v>1.47</v>
      </c>
      <c r="H1474" s="0" t="n">
        <v>0.52</v>
      </c>
      <c r="I1474" s="0" t="n">
        <v>0</v>
      </c>
      <c r="J1474" s="0" t="n">
        <v>0.35</v>
      </c>
      <c r="K1474" s="0" t="n">
        <v>1.67</v>
      </c>
      <c r="L1474" s="0" t="n">
        <v>3.99</v>
      </c>
      <c r="M1474" s="0" t="n">
        <v>0.89</v>
      </c>
      <c r="N1474" s="0" t="n">
        <v>0</v>
      </c>
      <c r="O1474" s="0" t="n">
        <v>138.36</v>
      </c>
    </row>
    <row r="1475" customFormat="false" ht="15" hidden="false" customHeight="false" outlineLevel="0" collapsed="false">
      <c r="A1475" s="0" t="s">
        <v>683</v>
      </c>
      <c r="C1475" s="0" t="n">
        <v>2015</v>
      </c>
      <c r="D1475" s="0" t="n">
        <v>591583770</v>
      </c>
      <c r="E1475" s="0" t="n">
        <v>109.75</v>
      </c>
      <c r="F1475" s="0" t="n">
        <v>8.59</v>
      </c>
      <c r="G1475" s="0" t="n">
        <v>16</v>
      </c>
      <c r="H1475" s="0" t="n">
        <v>20.27</v>
      </c>
      <c r="I1475" s="0" t="n">
        <v>0</v>
      </c>
      <c r="J1475" s="0" t="n">
        <v>63.11</v>
      </c>
      <c r="K1475" s="0" t="n">
        <v>0.35</v>
      </c>
      <c r="L1475" s="0" t="n">
        <v>0.76</v>
      </c>
      <c r="M1475" s="0" t="n">
        <v>0.67</v>
      </c>
      <c r="N1475" s="0" t="n">
        <v>0</v>
      </c>
      <c r="O1475" s="0" t="n">
        <v>321.731</v>
      </c>
    </row>
    <row r="1476" customFormat="false" ht="15" hidden="false" customHeight="false" outlineLevel="0" collapsed="false">
      <c r="A1476" s="0" t="s">
        <v>683</v>
      </c>
      <c r="C1476" s="0" t="n">
        <v>2016</v>
      </c>
      <c r="D1476" s="0" t="n">
        <v>607210136</v>
      </c>
      <c r="E1476" s="0" t="n">
        <v>119.73</v>
      </c>
      <c r="F1476" s="0" t="n">
        <v>10.56</v>
      </c>
      <c r="G1476" s="0" t="n">
        <v>15.24</v>
      </c>
      <c r="H1476" s="0" t="n">
        <v>24.38</v>
      </c>
      <c r="I1476" s="0" t="n">
        <v>0</v>
      </c>
      <c r="J1476" s="0" t="n">
        <v>67.6</v>
      </c>
      <c r="K1476" s="0" t="n">
        <v>0.47</v>
      </c>
      <c r="L1476" s="0" t="n">
        <v>0.79</v>
      </c>
      <c r="M1476" s="0" t="n">
        <v>0.69</v>
      </c>
      <c r="N1476" s="0" t="n">
        <v>0</v>
      </c>
      <c r="O1476" s="0" t="n">
        <v>326.568</v>
      </c>
    </row>
    <row r="1477" customFormat="false" ht="15" hidden="false" customHeight="false" outlineLevel="0" collapsed="false">
      <c r="A1477" s="0" t="s">
        <v>683</v>
      </c>
      <c r="C1477" s="0" t="n">
        <v>2017</v>
      </c>
      <c r="D1477" s="0" t="n">
        <v>623824285</v>
      </c>
      <c r="E1477" s="0" t="n">
        <v>120.28</v>
      </c>
      <c r="F1477" s="0" t="n">
        <v>11.28</v>
      </c>
      <c r="G1477" s="0" t="n">
        <v>14.54</v>
      </c>
      <c r="H1477" s="0" t="n">
        <v>25.09</v>
      </c>
      <c r="I1477" s="0" t="n">
        <v>0</v>
      </c>
      <c r="J1477" s="0" t="n">
        <v>67.54</v>
      </c>
      <c r="K1477" s="0" t="n">
        <v>0.58</v>
      </c>
      <c r="L1477" s="0" t="n">
        <v>0.55</v>
      </c>
      <c r="M1477" s="0" t="n">
        <v>0.7</v>
      </c>
      <c r="N1477" s="0" t="n">
        <v>0</v>
      </c>
      <c r="O1477" s="0" t="n">
        <v>329.232</v>
      </c>
    </row>
    <row r="1478" customFormat="false" ht="15" hidden="false" customHeight="false" outlineLevel="0" collapsed="false">
      <c r="A1478" s="0" t="s">
        <v>683</v>
      </c>
      <c r="C1478" s="0" t="n">
        <v>2018</v>
      </c>
      <c r="D1478" s="0" t="n">
        <v>641385698</v>
      </c>
      <c r="E1478" s="0" t="n">
        <v>129.25</v>
      </c>
      <c r="F1478" s="0" t="n">
        <v>12.13</v>
      </c>
      <c r="G1478" s="0" t="n">
        <v>14.15</v>
      </c>
      <c r="H1478" s="0" t="n">
        <v>29.93</v>
      </c>
      <c r="I1478" s="0" t="n">
        <v>0</v>
      </c>
      <c r="J1478" s="0" t="n">
        <v>70.7</v>
      </c>
      <c r="K1478" s="0" t="n">
        <v>0.99</v>
      </c>
      <c r="L1478" s="0" t="n">
        <v>0.55</v>
      </c>
      <c r="M1478" s="0" t="n">
        <v>0.8</v>
      </c>
      <c r="N1478" s="0" t="n">
        <v>0</v>
      </c>
      <c r="O1478" s="0" t="n">
        <v>334.545</v>
      </c>
    </row>
    <row r="1479" customFormat="false" ht="15" hidden="false" customHeight="false" outlineLevel="0" collapsed="false">
      <c r="A1479" s="0" t="s">
        <v>683</v>
      </c>
      <c r="C1479" s="0" t="n">
        <v>2019</v>
      </c>
      <c r="D1479" s="0" t="n">
        <v>659875267</v>
      </c>
      <c r="E1479" s="0" t="n">
        <v>133.01</v>
      </c>
      <c r="F1479" s="0" t="n">
        <v>12.65</v>
      </c>
      <c r="G1479" s="0" t="n">
        <v>14.89</v>
      </c>
      <c r="H1479" s="0" t="n">
        <v>29.11</v>
      </c>
      <c r="I1479" s="0" t="n">
        <v>0</v>
      </c>
      <c r="J1479" s="0" t="n">
        <v>73.59</v>
      </c>
      <c r="K1479" s="0" t="n">
        <v>1.13</v>
      </c>
      <c r="L1479" s="0" t="n">
        <v>0.87</v>
      </c>
      <c r="M1479" s="0" t="n">
        <v>0.77</v>
      </c>
      <c r="N1479" s="0" t="n">
        <v>0</v>
      </c>
      <c r="O1479" s="0" t="n">
        <v>328.096</v>
      </c>
    </row>
    <row r="1480" customFormat="false" ht="15" hidden="false" customHeight="false" outlineLevel="0" collapsed="false">
      <c r="A1480" s="0" t="s">
        <v>683</v>
      </c>
      <c r="C1480" s="0" t="n">
        <v>2020</v>
      </c>
      <c r="D1480" s="0" t="n">
        <v>678679145</v>
      </c>
      <c r="E1480" s="0" t="n">
        <v>133.21</v>
      </c>
      <c r="F1480" s="0" t="n">
        <v>10.82</v>
      </c>
      <c r="G1480" s="0" t="n">
        <v>12.98</v>
      </c>
      <c r="H1480" s="0" t="n">
        <v>28.5</v>
      </c>
      <c r="I1480" s="0" t="n">
        <v>0</v>
      </c>
      <c r="J1480" s="0" t="n">
        <v>78.11</v>
      </c>
      <c r="K1480" s="0" t="n">
        <v>1.36</v>
      </c>
      <c r="L1480" s="0" t="n">
        <v>0.63</v>
      </c>
      <c r="M1480" s="0" t="n">
        <v>0.81</v>
      </c>
      <c r="N1480" s="0" t="n">
        <v>0</v>
      </c>
      <c r="O1480" s="0" t="n">
        <v>302.68</v>
      </c>
    </row>
    <row r="1481" customFormat="false" ht="15" hidden="false" customHeight="false" outlineLevel="0" collapsed="false">
      <c r="A1481" s="0" t="s">
        <v>683</v>
      </c>
      <c r="C1481" s="0" t="n">
        <v>2021</v>
      </c>
      <c r="D1481" s="0" t="n">
        <v>697273071</v>
      </c>
      <c r="E1481" s="0" t="n">
        <v>139.05</v>
      </c>
      <c r="F1481" s="0" t="n">
        <v>9.62</v>
      </c>
      <c r="G1481" s="0" t="n">
        <v>13.84</v>
      </c>
      <c r="H1481" s="0" t="n">
        <v>29.17</v>
      </c>
      <c r="I1481" s="0" t="n">
        <v>0</v>
      </c>
      <c r="J1481" s="0" t="n">
        <v>82.08</v>
      </c>
      <c r="K1481" s="0" t="n">
        <v>2.59</v>
      </c>
      <c r="L1481" s="0" t="n">
        <v>0.84</v>
      </c>
      <c r="M1481" s="0" t="n">
        <v>0.91</v>
      </c>
      <c r="N1481" s="0" t="n">
        <v>0</v>
      </c>
      <c r="O1481" s="0" t="n">
        <v>291.406</v>
      </c>
    </row>
    <row r="1482" customFormat="false" ht="15" hidden="false" customHeight="false" outlineLevel="0" collapsed="false">
      <c r="A1482" s="0" t="s">
        <v>683</v>
      </c>
      <c r="C1482" s="0" t="n">
        <v>2022</v>
      </c>
      <c r="D1482" s="0" t="n">
        <v>715844683</v>
      </c>
      <c r="E1482" s="0" t="n">
        <v>142.13</v>
      </c>
      <c r="F1482" s="0" t="n">
        <v>10</v>
      </c>
      <c r="G1482" s="0" t="n">
        <v>12.21</v>
      </c>
      <c r="H1482" s="0" t="n">
        <v>27.73</v>
      </c>
      <c r="I1482" s="0" t="n">
        <v>0</v>
      </c>
      <c r="J1482" s="0" t="n">
        <v>86.58</v>
      </c>
      <c r="K1482" s="0" t="n">
        <v>3.98</v>
      </c>
      <c r="L1482" s="0" t="n">
        <v>0.58</v>
      </c>
      <c r="M1482" s="0" t="n">
        <v>1.02</v>
      </c>
      <c r="N1482" s="0" t="n">
        <v>0.03</v>
      </c>
      <c r="O1482" s="0" t="n">
        <v>273.06</v>
      </c>
    </row>
    <row r="1483" customFormat="false" ht="15" hidden="false" customHeight="false" outlineLevel="0" collapsed="false">
      <c r="A1483" s="0" t="s">
        <v>683</v>
      </c>
      <c r="C1483" s="0" t="n">
        <v>2023</v>
      </c>
      <c r="D1483" s="0" t="n">
        <v>735385966</v>
      </c>
      <c r="E1483" s="0" t="n">
        <v>150.14</v>
      </c>
      <c r="F1483" s="0" t="n">
        <v>10.11</v>
      </c>
      <c r="G1483" s="0" t="n">
        <v>17</v>
      </c>
      <c r="H1483" s="0" t="n">
        <v>30.33</v>
      </c>
      <c r="I1483" s="0" t="n">
        <v>0</v>
      </c>
      <c r="J1483" s="0" t="n">
        <v>86.96</v>
      </c>
      <c r="K1483" s="0" t="n">
        <v>4.11</v>
      </c>
      <c r="L1483" s="0" t="n">
        <v>0.58</v>
      </c>
      <c r="M1483" s="0" t="n">
        <v>1.02</v>
      </c>
      <c r="N1483" s="0" t="n">
        <v>0.03</v>
      </c>
      <c r="O1483" s="0" t="n">
        <v>295.657</v>
      </c>
    </row>
    <row r="1484" customFormat="false" ht="15" hidden="false" customHeight="false" outlineLevel="0" collapsed="false">
      <c r="A1484" s="0" t="s">
        <v>683</v>
      </c>
      <c r="C1484" s="0" t="n">
        <v>2024</v>
      </c>
      <c r="D1484" s="0" t="n">
        <v>755559274</v>
      </c>
      <c r="E1484" s="0" t="n">
        <v>158.08</v>
      </c>
      <c r="F1484" s="0" t="n">
        <v>10.1</v>
      </c>
      <c r="G1484" s="0" t="n">
        <v>17.04</v>
      </c>
      <c r="H1484" s="0" t="n">
        <v>30.32</v>
      </c>
      <c r="I1484" s="0" t="n">
        <v>0</v>
      </c>
      <c r="J1484" s="0" t="n">
        <v>94.16</v>
      </c>
      <c r="K1484" s="0" t="n">
        <v>4.69</v>
      </c>
      <c r="L1484" s="0" t="n">
        <v>0.72</v>
      </c>
      <c r="M1484" s="0" t="n">
        <v>1.02</v>
      </c>
      <c r="N1484" s="0" t="n">
        <v>0.03</v>
      </c>
      <c r="O1484" s="0" t="n">
        <v>282.325</v>
      </c>
    </row>
    <row r="1485" customFormat="false" ht="15" hidden="false" customHeight="false" outlineLevel="0" collapsed="false">
      <c r="A1485" s="0" t="s">
        <v>684</v>
      </c>
      <c r="C1485" s="0" t="n">
        <v>2015</v>
      </c>
      <c r="D1485" s="0" t="n">
        <v>2765984952</v>
      </c>
      <c r="E1485" s="0" t="n">
        <v>2297.2</v>
      </c>
      <c r="F1485" s="0" t="n">
        <v>1135.78</v>
      </c>
      <c r="G1485" s="0" t="n">
        <v>483.58</v>
      </c>
      <c r="H1485" s="0" t="n">
        <v>159.41</v>
      </c>
      <c r="I1485" s="0" t="n">
        <v>42.64</v>
      </c>
      <c r="J1485" s="0" t="n">
        <v>385.28</v>
      </c>
      <c r="K1485" s="0" t="n">
        <v>8.76</v>
      </c>
      <c r="L1485" s="0" t="n">
        <v>41.47</v>
      </c>
      <c r="M1485" s="0" t="n">
        <v>23.68</v>
      </c>
      <c r="N1485" s="0" t="n">
        <v>16.6</v>
      </c>
      <c r="O1485" s="0" t="n">
        <v>652.978</v>
      </c>
    </row>
    <row r="1486" customFormat="false" ht="15" hidden="false" customHeight="false" outlineLevel="0" collapsed="false">
      <c r="A1486" s="0" t="s">
        <v>684</v>
      </c>
      <c r="C1486" s="0" t="n">
        <v>2016</v>
      </c>
      <c r="D1486" s="0" t="n">
        <v>2807490854</v>
      </c>
      <c r="E1486" s="0" t="n">
        <v>2456.27</v>
      </c>
      <c r="F1486" s="0" t="n">
        <v>1228.23</v>
      </c>
      <c r="G1486" s="0" t="n">
        <v>528.97</v>
      </c>
      <c r="H1486" s="0" t="n">
        <v>159.08</v>
      </c>
      <c r="I1486" s="0" t="n">
        <v>43.34</v>
      </c>
      <c r="J1486" s="0" t="n">
        <v>385.8</v>
      </c>
      <c r="K1486" s="0" t="n">
        <v>16.82</v>
      </c>
      <c r="L1486" s="0" t="n">
        <v>54.14</v>
      </c>
      <c r="M1486" s="0" t="n">
        <v>23.02</v>
      </c>
      <c r="N1486" s="0" t="n">
        <v>16.87</v>
      </c>
      <c r="O1486" s="0" t="n">
        <v>657.004</v>
      </c>
    </row>
    <row r="1487" customFormat="false" ht="15" hidden="false" customHeight="false" outlineLevel="0" collapsed="false">
      <c r="A1487" s="0" t="s">
        <v>684</v>
      </c>
      <c r="C1487" s="0" t="n">
        <v>2017</v>
      </c>
      <c r="D1487" s="0" t="n">
        <v>2848767185</v>
      </c>
      <c r="E1487" s="0" t="n">
        <v>2581.95</v>
      </c>
      <c r="F1487" s="0" t="n">
        <v>1289.61</v>
      </c>
      <c r="G1487" s="0" t="n">
        <v>548.3</v>
      </c>
      <c r="H1487" s="0" t="n">
        <v>141.77</v>
      </c>
      <c r="I1487" s="0" t="n">
        <v>45.52</v>
      </c>
      <c r="J1487" s="0" t="n">
        <v>426.25</v>
      </c>
      <c r="K1487" s="0" t="n">
        <v>28.67</v>
      </c>
      <c r="L1487" s="0" t="n">
        <v>64.05</v>
      </c>
      <c r="M1487" s="0" t="n">
        <v>21.51</v>
      </c>
      <c r="N1487" s="0" t="n">
        <v>16.27</v>
      </c>
      <c r="O1487" s="0" t="n">
        <v>646.879</v>
      </c>
    </row>
    <row r="1488" customFormat="false" ht="15" hidden="false" customHeight="false" outlineLevel="0" collapsed="false">
      <c r="A1488" s="0" t="s">
        <v>684</v>
      </c>
      <c r="C1488" s="0" t="n">
        <v>2018</v>
      </c>
      <c r="D1488" s="0" t="n">
        <v>2889324239</v>
      </c>
      <c r="E1488" s="0" t="n">
        <v>2756.44</v>
      </c>
      <c r="F1488" s="0" t="n">
        <v>1414.67</v>
      </c>
      <c r="G1488" s="0" t="n">
        <v>579.69</v>
      </c>
      <c r="H1488" s="0" t="n">
        <v>109.9</v>
      </c>
      <c r="I1488" s="0" t="n">
        <v>48.34</v>
      </c>
      <c r="J1488" s="0" t="n">
        <v>440.86</v>
      </c>
      <c r="K1488" s="0" t="n">
        <v>45.59</v>
      </c>
      <c r="L1488" s="0" t="n">
        <v>75.77</v>
      </c>
      <c r="M1488" s="0" t="n">
        <v>24.82</v>
      </c>
      <c r="N1488" s="0" t="n">
        <v>16.8</v>
      </c>
      <c r="O1488" s="0" t="n">
        <v>647.284</v>
      </c>
    </row>
    <row r="1489" customFormat="false" ht="15" hidden="false" customHeight="false" outlineLevel="0" collapsed="false">
      <c r="A1489" s="0" t="s">
        <v>684</v>
      </c>
      <c r="C1489" s="0" t="n">
        <v>2019</v>
      </c>
      <c r="D1489" s="0" t="n">
        <v>2929401303</v>
      </c>
      <c r="E1489" s="0" t="n">
        <v>2839.33</v>
      </c>
      <c r="F1489" s="0" t="n">
        <v>1467.23</v>
      </c>
      <c r="G1489" s="0" t="n">
        <v>585.55</v>
      </c>
      <c r="H1489" s="0" t="n">
        <v>102.17</v>
      </c>
      <c r="I1489" s="0" t="n">
        <v>54.23</v>
      </c>
      <c r="J1489" s="0" t="n">
        <v>449.2</v>
      </c>
      <c r="K1489" s="0" t="n">
        <v>55.28</v>
      </c>
      <c r="L1489" s="0" t="n">
        <v>82.76</v>
      </c>
      <c r="M1489" s="0" t="n">
        <v>25.8</v>
      </c>
      <c r="N1489" s="0" t="n">
        <v>17.11</v>
      </c>
      <c r="O1489" s="0" t="n">
        <v>642.902</v>
      </c>
    </row>
    <row r="1490" customFormat="false" ht="15" hidden="false" customHeight="false" outlineLevel="0" collapsed="false">
      <c r="A1490" s="0" t="s">
        <v>684</v>
      </c>
      <c r="C1490" s="0" t="n">
        <v>2020</v>
      </c>
      <c r="D1490" s="0" t="n">
        <v>2969245757</v>
      </c>
      <c r="E1490" s="0" t="n">
        <v>2826.27</v>
      </c>
      <c r="F1490" s="0" t="n">
        <v>1418.55</v>
      </c>
      <c r="G1490" s="0" t="n">
        <v>588.39</v>
      </c>
      <c r="H1490" s="0" t="n">
        <v>90.38</v>
      </c>
      <c r="I1490" s="0" t="n">
        <v>54.25</v>
      </c>
      <c r="J1490" s="0" t="n">
        <v>468.29</v>
      </c>
      <c r="K1490" s="0" t="n">
        <v>82.46</v>
      </c>
      <c r="L1490" s="0" t="n">
        <v>80.39</v>
      </c>
      <c r="M1490" s="0" t="n">
        <v>26.56</v>
      </c>
      <c r="N1490" s="0" t="n">
        <v>17</v>
      </c>
      <c r="O1490" s="0" t="n">
        <v>629.731</v>
      </c>
    </row>
    <row r="1491" customFormat="false" ht="15" hidden="false" customHeight="false" outlineLevel="0" collapsed="false">
      <c r="A1491" s="0" t="s">
        <v>684</v>
      </c>
      <c r="C1491" s="0" t="n">
        <v>2021</v>
      </c>
      <c r="D1491" s="0" t="n">
        <v>3007019418</v>
      </c>
      <c r="E1491" s="0" t="n">
        <v>3020.08</v>
      </c>
      <c r="F1491" s="0" t="n">
        <v>1531.71</v>
      </c>
      <c r="G1491" s="0" t="n">
        <v>585.57</v>
      </c>
      <c r="H1491" s="0" t="n">
        <v>97.56</v>
      </c>
      <c r="I1491" s="0" t="n">
        <v>59.66</v>
      </c>
      <c r="J1491" s="0" t="n">
        <v>490.55</v>
      </c>
      <c r="K1491" s="0" t="n">
        <v>115.42</v>
      </c>
      <c r="L1491" s="0" t="n">
        <v>94.74</v>
      </c>
      <c r="M1491" s="0" t="n">
        <v>28.59</v>
      </c>
      <c r="N1491" s="0" t="n">
        <v>16.28</v>
      </c>
      <c r="O1491" s="0" t="n">
        <v>625.983</v>
      </c>
    </row>
    <row r="1492" customFormat="false" ht="15" hidden="false" customHeight="false" outlineLevel="0" collapsed="false">
      <c r="A1492" s="0" t="s">
        <v>684</v>
      </c>
      <c r="C1492" s="0" t="n">
        <v>2022</v>
      </c>
      <c r="D1492" s="0" t="n">
        <v>3044254723</v>
      </c>
      <c r="E1492" s="0" t="n">
        <v>3205.44</v>
      </c>
      <c r="F1492" s="0" t="n">
        <v>1614.6</v>
      </c>
      <c r="G1492" s="0" t="n">
        <v>577.97</v>
      </c>
      <c r="H1492" s="0" t="n">
        <v>106.67</v>
      </c>
      <c r="I1492" s="0" t="n">
        <v>68.47</v>
      </c>
      <c r="J1492" s="0" t="n">
        <v>534.57</v>
      </c>
      <c r="K1492" s="0" t="n">
        <v>150.3</v>
      </c>
      <c r="L1492" s="0" t="n">
        <v>105.06</v>
      </c>
      <c r="M1492" s="0" t="n">
        <v>30.69</v>
      </c>
      <c r="N1492" s="0" t="n">
        <v>17.11</v>
      </c>
      <c r="O1492" s="0" t="n">
        <v>614.805</v>
      </c>
    </row>
    <row r="1493" customFormat="false" ht="15" hidden="false" customHeight="false" outlineLevel="0" collapsed="false">
      <c r="A1493" s="0" t="s">
        <v>684</v>
      </c>
      <c r="C1493" s="0" t="n">
        <v>2023</v>
      </c>
      <c r="D1493" s="0" t="n">
        <v>3083154885</v>
      </c>
      <c r="E1493" s="0" t="n">
        <v>3349.22</v>
      </c>
      <c r="F1493" s="0" t="n">
        <v>1754.51</v>
      </c>
      <c r="G1493" s="0" t="n">
        <v>574.45</v>
      </c>
      <c r="H1493" s="0" t="n">
        <v>108.57</v>
      </c>
      <c r="I1493" s="0" t="n">
        <v>70.64</v>
      </c>
      <c r="J1493" s="0" t="n">
        <v>496.34</v>
      </c>
      <c r="K1493" s="0" t="n">
        <v>174.91</v>
      </c>
      <c r="L1493" s="0" t="n">
        <v>121.39</v>
      </c>
      <c r="M1493" s="0" t="n">
        <v>30.77</v>
      </c>
      <c r="N1493" s="0" t="n">
        <v>17.64</v>
      </c>
      <c r="O1493" s="0" t="n">
        <v>625.208</v>
      </c>
    </row>
    <row r="1494" customFormat="false" ht="15" hidden="false" customHeight="false" outlineLevel="0" collapsed="false">
      <c r="A1494" s="0" t="s">
        <v>684</v>
      </c>
      <c r="C1494" s="0" t="n">
        <v>2024</v>
      </c>
      <c r="D1494" s="0" t="n">
        <v>3122339016</v>
      </c>
      <c r="E1494" s="0" t="n">
        <v>3527.28</v>
      </c>
      <c r="F1494" s="0" t="n">
        <v>1864.26</v>
      </c>
      <c r="G1494" s="0" t="n">
        <v>584.9</v>
      </c>
      <c r="H1494" s="0" t="n">
        <v>94.13</v>
      </c>
      <c r="I1494" s="0" t="n">
        <v>77.58</v>
      </c>
      <c r="J1494" s="0" t="n">
        <v>517.31</v>
      </c>
      <c r="K1494" s="0" t="n">
        <v>217.51</v>
      </c>
      <c r="L1494" s="0" t="n">
        <v>123.65</v>
      </c>
      <c r="M1494" s="0" t="n">
        <v>30.33</v>
      </c>
      <c r="N1494" s="0" t="n">
        <v>17.61</v>
      </c>
      <c r="O1494" s="0" t="n">
        <v>620.189</v>
      </c>
    </row>
    <row r="1495" customFormat="false" ht="15" hidden="false" customHeight="false" outlineLevel="0" collapsed="false">
      <c r="A1495" s="0" t="s">
        <v>293</v>
      </c>
      <c r="B1495" s="0" t="s">
        <v>532</v>
      </c>
      <c r="C1495" s="0" t="n">
        <v>2015</v>
      </c>
      <c r="D1495" s="0" t="n">
        <v>569540</v>
      </c>
      <c r="E1495" s="0" t="n">
        <v>1.34</v>
      </c>
      <c r="F1495" s="0" t="n">
        <v>0</v>
      </c>
      <c r="G1495" s="0" t="n">
        <v>0.84</v>
      </c>
      <c r="H1495" s="0" t="n">
        <v>0.07</v>
      </c>
      <c r="I1495" s="0" t="n">
        <v>0</v>
      </c>
      <c r="J1495" s="0" t="n">
        <v>0.1</v>
      </c>
      <c r="K1495" s="0" t="n">
        <v>0.1</v>
      </c>
      <c r="L1495" s="0" t="n">
        <v>0.1</v>
      </c>
      <c r="M1495" s="0" t="n">
        <v>0.13</v>
      </c>
      <c r="N1495" s="0" t="n">
        <v>0</v>
      </c>
      <c r="O1495" s="0" t="n">
        <v>268.66</v>
      </c>
    </row>
    <row r="1496" customFormat="false" ht="15" hidden="false" customHeight="false" outlineLevel="0" collapsed="false">
      <c r="A1496" s="0" t="s">
        <v>293</v>
      </c>
      <c r="B1496" s="0" t="s">
        <v>532</v>
      </c>
      <c r="C1496" s="0" t="n">
        <v>2016</v>
      </c>
      <c r="D1496" s="0" t="n">
        <v>583511</v>
      </c>
      <c r="E1496" s="0" t="n">
        <v>0.79</v>
      </c>
      <c r="F1496" s="0" t="n">
        <v>0</v>
      </c>
      <c r="G1496" s="0" t="n">
        <v>0.26</v>
      </c>
      <c r="H1496" s="0" t="n">
        <v>0.07</v>
      </c>
      <c r="I1496" s="0" t="n">
        <v>0</v>
      </c>
      <c r="J1496" s="0" t="n">
        <v>0.12</v>
      </c>
      <c r="K1496" s="0" t="n">
        <v>0.1</v>
      </c>
      <c r="L1496" s="0" t="n">
        <v>0.1</v>
      </c>
      <c r="M1496" s="0" t="n">
        <v>0.14</v>
      </c>
      <c r="N1496" s="0" t="n">
        <v>0</v>
      </c>
      <c r="O1496" s="0" t="n">
        <v>215.19</v>
      </c>
    </row>
    <row r="1497" customFormat="false" ht="15" hidden="false" customHeight="false" outlineLevel="0" collapsed="false">
      <c r="A1497" s="0" t="s">
        <v>293</v>
      </c>
      <c r="B1497" s="0" t="s">
        <v>532</v>
      </c>
      <c r="C1497" s="0" t="n">
        <v>2017</v>
      </c>
      <c r="D1497" s="0" t="n">
        <v>596506</v>
      </c>
      <c r="E1497" s="0" t="n">
        <v>0.9</v>
      </c>
      <c r="F1497" s="0" t="n">
        <v>0</v>
      </c>
      <c r="G1497" s="0" t="n">
        <v>0.22</v>
      </c>
      <c r="H1497" s="0" t="n">
        <v>0.08</v>
      </c>
      <c r="I1497" s="0" t="n">
        <v>0</v>
      </c>
      <c r="J1497" s="0" t="n">
        <v>0.09</v>
      </c>
      <c r="K1497" s="0" t="n">
        <v>0.11</v>
      </c>
      <c r="L1497" s="0" t="n">
        <v>0.23</v>
      </c>
      <c r="M1497" s="0" t="n">
        <v>0.17</v>
      </c>
      <c r="N1497" s="0" t="n">
        <v>0</v>
      </c>
      <c r="O1497" s="0" t="n">
        <v>188.89</v>
      </c>
    </row>
    <row r="1498" customFormat="false" ht="15" hidden="false" customHeight="false" outlineLevel="0" collapsed="false">
      <c r="A1498" s="0" t="s">
        <v>293</v>
      </c>
      <c r="B1498" s="0" t="s">
        <v>532</v>
      </c>
      <c r="C1498" s="0" t="n">
        <v>2018</v>
      </c>
      <c r="D1498" s="0" t="n">
        <v>608109</v>
      </c>
      <c r="E1498" s="0" t="n">
        <v>0.96</v>
      </c>
      <c r="F1498" s="0" t="n">
        <v>0</v>
      </c>
      <c r="G1498" s="0" t="n">
        <v>0.2</v>
      </c>
      <c r="H1498" s="0" t="n">
        <v>0.08</v>
      </c>
      <c r="I1498" s="0" t="n">
        <v>0</v>
      </c>
      <c r="J1498" s="0" t="n">
        <v>0.09</v>
      </c>
      <c r="K1498" s="0" t="n">
        <v>0.12</v>
      </c>
      <c r="L1498" s="0" t="n">
        <v>0.25</v>
      </c>
      <c r="M1498" s="0" t="n">
        <v>0.22</v>
      </c>
      <c r="N1498" s="0" t="n">
        <v>0</v>
      </c>
      <c r="O1498" s="0" t="n">
        <v>187.5</v>
      </c>
    </row>
    <row r="1499" customFormat="false" ht="15" hidden="false" customHeight="false" outlineLevel="0" collapsed="false">
      <c r="A1499" s="0" t="s">
        <v>293</v>
      </c>
      <c r="B1499" s="0" t="s">
        <v>532</v>
      </c>
      <c r="C1499" s="0" t="n">
        <v>2019</v>
      </c>
      <c r="D1499" s="0" t="n">
        <v>620167</v>
      </c>
      <c r="E1499" s="0" t="n">
        <v>1.07</v>
      </c>
      <c r="F1499" s="0" t="n">
        <v>0</v>
      </c>
      <c r="G1499" s="0" t="n">
        <v>0.19</v>
      </c>
      <c r="H1499" s="0" t="n">
        <v>0.08</v>
      </c>
      <c r="I1499" s="0" t="n">
        <v>0</v>
      </c>
      <c r="J1499" s="0" t="n">
        <v>0.11</v>
      </c>
      <c r="K1499" s="0" t="n">
        <v>0.13</v>
      </c>
      <c r="L1499" s="0" t="n">
        <v>0.28</v>
      </c>
      <c r="M1499" s="0" t="n">
        <v>0.28</v>
      </c>
      <c r="N1499" s="0" t="n">
        <v>0</v>
      </c>
      <c r="O1499" s="0" t="n">
        <v>168.22</v>
      </c>
    </row>
    <row r="1500" customFormat="false" ht="15" hidden="false" customHeight="false" outlineLevel="0" collapsed="false">
      <c r="A1500" s="0" t="s">
        <v>293</v>
      </c>
      <c r="B1500" s="0" t="s">
        <v>532</v>
      </c>
      <c r="C1500" s="0" t="n">
        <v>2020</v>
      </c>
      <c r="D1500" s="0" t="n">
        <v>630597</v>
      </c>
      <c r="E1500" s="0" t="n">
        <v>1.22</v>
      </c>
      <c r="F1500" s="0" t="n">
        <v>0</v>
      </c>
      <c r="G1500" s="0" t="n">
        <v>0.18</v>
      </c>
      <c r="H1500" s="0" t="n">
        <v>0.07</v>
      </c>
      <c r="I1500" s="0" t="n">
        <v>0</v>
      </c>
      <c r="J1500" s="0" t="n">
        <v>0.09</v>
      </c>
      <c r="K1500" s="0" t="n">
        <v>0.16</v>
      </c>
      <c r="L1500" s="0" t="n">
        <v>0.35</v>
      </c>
      <c r="M1500" s="0" t="n">
        <v>0.37</v>
      </c>
      <c r="N1500" s="0" t="n">
        <v>0</v>
      </c>
      <c r="O1500" s="0" t="n">
        <v>163.93</v>
      </c>
    </row>
    <row r="1501" customFormat="false" ht="15" hidden="false" customHeight="false" outlineLevel="0" collapsed="false">
      <c r="A1501" s="0" t="s">
        <v>293</v>
      </c>
      <c r="B1501" s="0" t="s">
        <v>532</v>
      </c>
      <c r="C1501" s="0" t="n">
        <v>2021</v>
      </c>
      <c r="D1501" s="0" t="n">
        <v>640276</v>
      </c>
      <c r="E1501" s="0" t="n">
        <v>1.23</v>
      </c>
      <c r="F1501" s="0" t="n">
        <v>0</v>
      </c>
      <c r="G1501" s="0" t="n">
        <v>0.17</v>
      </c>
      <c r="H1501" s="0" t="n">
        <v>0.07</v>
      </c>
      <c r="I1501" s="0" t="n">
        <v>0</v>
      </c>
      <c r="J1501" s="0" t="n">
        <v>0.11</v>
      </c>
      <c r="K1501" s="0" t="n">
        <v>0.18</v>
      </c>
      <c r="L1501" s="0" t="n">
        <v>0.31</v>
      </c>
      <c r="M1501" s="0" t="n">
        <v>0.39</v>
      </c>
      <c r="N1501" s="0" t="n">
        <v>0</v>
      </c>
      <c r="O1501" s="0" t="n">
        <v>162.6</v>
      </c>
    </row>
    <row r="1502" customFormat="false" ht="15" hidden="false" customHeight="false" outlineLevel="0" collapsed="false">
      <c r="A1502" s="0" t="s">
        <v>293</v>
      </c>
      <c r="B1502" s="0" t="s">
        <v>532</v>
      </c>
      <c r="C1502" s="0" t="n">
        <v>2022</v>
      </c>
      <c r="D1502" s="0" t="n">
        <v>653315</v>
      </c>
      <c r="E1502" s="0" t="n">
        <v>1.21</v>
      </c>
      <c r="F1502" s="0" t="n">
        <v>0</v>
      </c>
      <c r="G1502" s="0" t="n">
        <v>0.1</v>
      </c>
      <c r="H1502" s="0" t="n">
        <v>0.07</v>
      </c>
      <c r="I1502" s="0" t="n">
        <v>0</v>
      </c>
      <c r="J1502" s="0" t="n">
        <v>0.06</v>
      </c>
      <c r="K1502" s="0" t="n">
        <v>0.28</v>
      </c>
      <c r="L1502" s="0" t="n">
        <v>0.31</v>
      </c>
      <c r="M1502" s="0" t="n">
        <v>0.39</v>
      </c>
      <c r="N1502" s="0" t="n">
        <v>0</v>
      </c>
      <c r="O1502" s="0" t="n">
        <v>140.5</v>
      </c>
    </row>
    <row r="1503" customFormat="false" ht="15" hidden="false" customHeight="false" outlineLevel="0" collapsed="false">
      <c r="A1503" s="0" t="s">
        <v>293</v>
      </c>
      <c r="B1503" s="0" t="s">
        <v>532</v>
      </c>
      <c r="C1503" s="0" t="n">
        <v>2023</v>
      </c>
      <c r="D1503" s="0" t="n">
        <v>665101</v>
      </c>
      <c r="E1503" s="0" t="n">
        <v>1.41</v>
      </c>
      <c r="F1503" s="0" t="n">
        <v>0</v>
      </c>
      <c r="G1503" s="0" t="n">
        <v>0.09</v>
      </c>
      <c r="H1503" s="0" t="n">
        <v>0.06</v>
      </c>
      <c r="I1503" s="0" t="n">
        <v>0</v>
      </c>
      <c r="J1503" s="0" t="n">
        <v>0.09</v>
      </c>
      <c r="K1503" s="0" t="n">
        <v>0.29</v>
      </c>
      <c r="L1503" s="0" t="n">
        <v>0.5</v>
      </c>
      <c r="M1503" s="0" t="n">
        <v>0.38</v>
      </c>
      <c r="N1503" s="0" t="n">
        <v>0</v>
      </c>
      <c r="O1503" s="0" t="n">
        <v>120.57</v>
      </c>
    </row>
    <row r="1504" customFormat="false" ht="15" hidden="false" customHeight="false" outlineLevel="0" collapsed="false">
      <c r="A1504" s="0" t="s">
        <v>293</v>
      </c>
      <c r="B1504" s="0" t="s">
        <v>532</v>
      </c>
      <c r="C1504" s="0" t="n">
        <v>2024</v>
      </c>
      <c r="D1504" s="0" t="n">
        <v>673042</v>
      </c>
      <c r="E1504" s="0" t="n">
        <v>1.51</v>
      </c>
      <c r="F1504" s="0" t="n">
        <v>0</v>
      </c>
      <c r="G1504" s="0" t="n">
        <v>0.07</v>
      </c>
      <c r="H1504" s="0" t="n">
        <v>0.07</v>
      </c>
      <c r="I1504" s="0" t="n">
        <v>0</v>
      </c>
      <c r="J1504" s="0" t="n">
        <v>0.11</v>
      </c>
      <c r="K1504" s="0" t="n">
        <v>0.36</v>
      </c>
      <c r="L1504" s="0" t="n">
        <v>0.46</v>
      </c>
      <c r="M1504" s="0" t="n">
        <v>0.44</v>
      </c>
      <c r="N1504" s="0" t="n">
        <v>0</v>
      </c>
      <c r="O1504" s="0" t="n">
        <v>132.45</v>
      </c>
    </row>
    <row r="1505" customFormat="false" ht="15" hidden="false" customHeight="false" outlineLevel="0" collapsed="false">
      <c r="A1505" s="0" t="s">
        <v>293</v>
      </c>
      <c r="B1505" s="0" t="s">
        <v>532</v>
      </c>
      <c r="C1505" s="0" t="n">
        <v>2025</v>
      </c>
      <c r="D1505" s="0" t="n">
        <v>680454</v>
      </c>
      <c r="E1505" s="0" t="n">
        <v>1.54</v>
      </c>
      <c r="F1505" s="0" t="n">
        <v>0</v>
      </c>
      <c r="G1505" s="0" t="n">
        <v>0.06</v>
      </c>
      <c r="H1505" s="0" t="n">
        <v>0.07</v>
      </c>
      <c r="I1505" s="0" t="n">
        <v>0</v>
      </c>
      <c r="J1505" s="0" t="n">
        <v>0.05</v>
      </c>
      <c r="K1505" s="0" t="n">
        <v>0.47</v>
      </c>
      <c r="L1505" s="0" t="n">
        <v>0.47</v>
      </c>
      <c r="M1505" s="0" t="n">
        <v>0.42</v>
      </c>
      <c r="N1505" s="0" t="n">
        <v>0</v>
      </c>
      <c r="O1505" s="0" t="n">
        <v>123.38</v>
      </c>
    </row>
    <row r="1506" customFormat="false" ht="15" hidden="false" customHeight="false" outlineLevel="0" collapsed="false">
      <c r="A1506" s="0" t="s">
        <v>294</v>
      </c>
      <c r="B1506" s="0" t="s">
        <v>533</v>
      </c>
      <c r="C1506" s="0" t="n">
        <v>2015</v>
      </c>
      <c r="D1506" s="0" t="n">
        <v>622185</v>
      </c>
      <c r="E1506" s="0" t="n">
        <v>0.95</v>
      </c>
      <c r="F1506" s="0" t="n">
        <v>0</v>
      </c>
      <c r="G1506" s="0" t="n">
        <v>0</v>
      </c>
      <c r="H1506" s="0" t="n">
        <v>0.75</v>
      </c>
      <c r="I1506" s="0" t="n">
        <v>0</v>
      </c>
      <c r="J1506" s="0" t="n">
        <v>0</v>
      </c>
      <c r="K1506" s="0" t="n">
        <v>0</v>
      </c>
      <c r="L1506" s="0" t="n">
        <v>0</v>
      </c>
      <c r="M1506" s="0" t="n">
        <v>0.2</v>
      </c>
      <c r="N1506" s="0" t="n">
        <v>0</v>
      </c>
      <c r="O1506" s="0" t="n">
        <v>557.9</v>
      </c>
    </row>
    <row r="1507" customFormat="false" ht="15" hidden="false" customHeight="false" outlineLevel="0" collapsed="false">
      <c r="A1507" s="0" t="s">
        <v>294</v>
      </c>
      <c r="B1507" s="0" t="s">
        <v>533</v>
      </c>
      <c r="C1507" s="0" t="n">
        <v>2016</v>
      </c>
      <c r="D1507" s="0" t="n">
        <v>634317</v>
      </c>
      <c r="E1507" s="0" t="n">
        <v>0.99</v>
      </c>
      <c r="F1507" s="0" t="n">
        <v>0</v>
      </c>
      <c r="G1507" s="0" t="n">
        <v>0</v>
      </c>
      <c r="H1507" s="0" t="n">
        <v>0.79</v>
      </c>
      <c r="I1507" s="0" t="n">
        <v>0</v>
      </c>
      <c r="J1507" s="0" t="n">
        <v>0</v>
      </c>
      <c r="K1507" s="0" t="n">
        <v>0</v>
      </c>
      <c r="L1507" s="0" t="n">
        <v>0</v>
      </c>
      <c r="M1507" s="0" t="n">
        <v>0.2</v>
      </c>
      <c r="N1507" s="0" t="n">
        <v>0</v>
      </c>
      <c r="O1507" s="0" t="n">
        <v>565.66</v>
      </c>
    </row>
    <row r="1508" customFormat="false" ht="15" hidden="false" customHeight="false" outlineLevel="0" collapsed="false">
      <c r="A1508" s="0" t="s">
        <v>294</v>
      </c>
      <c r="B1508" s="0" t="s">
        <v>533</v>
      </c>
      <c r="C1508" s="0" t="n">
        <v>2017</v>
      </c>
      <c r="D1508" s="0" t="n">
        <v>646558</v>
      </c>
      <c r="E1508" s="0" t="n">
        <v>1.47</v>
      </c>
      <c r="F1508" s="0" t="n">
        <v>0</v>
      </c>
      <c r="G1508" s="0" t="n">
        <v>0.67</v>
      </c>
      <c r="H1508" s="0" t="n">
        <v>0.59</v>
      </c>
      <c r="I1508" s="0" t="n">
        <v>0</v>
      </c>
      <c r="J1508" s="0" t="n">
        <v>0</v>
      </c>
      <c r="K1508" s="0" t="n">
        <v>0</v>
      </c>
      <c r="L1508" s="0" t="n">
        <v>0</v>
      </c>
      <c r="M1508" s="0" t="n">
        <v>0.21</v>
      </c>
      <c r="N1508" s="0" t="n">
        <v>0</v>
      </c>
      <c r="O1508" s="0" t="n">
        <v>564.63</v>
      </c>
    </row>
    <row r="1509" customFormat="false" ht="15" hidden="false" customHeight="false" outlineLevel="0" collapsed="false">
      <c r="A1509" s="0" t="s">
        <v>294</v>
      </c>
      <c r="B1509" s="0" t="s">
        <v>533</v>
      </c>
      <c r="C1509" s="0" t="n">
        <v>2018</v>
      </c>
      <c r="D1509" s="0" t="n">
        <v>658777</v>
      </c>
      <c r="E1509" s="0" t="n">
        <v>0.65</v>
      </c>
      <c r="F1509" s="0" t="n">
        <v>0</v>
      </c>
      <c r="G1509" s="0" t="n">
        <v>0.26</v>
      </c>
      <c r="H1509" s="0" t="n">
        <v>0.21</v>
      </c>
      <c r="I1509" s="0" t="n">
        <v>0</v>
      </c>
      <c r="J1509" s="0" t="n">
        <v>0</v>
      </c>
      <c r="K1509" s="0" t="n">
        <v>0</v>
      </c>
      <c r="L1509" s="0" t="n">
        <v>0</v>
      </c>
      <c r="M1509" s="0" t="n">
        <v>0.18</v>
      </c>
      <c r="N1509" s="0" t="n">
        <v>0</v>
      </c>
      <c r="O1509" s="0" t="n">
        <v>507.69</v>
      </c>
    </row>
    <row r="1510" customFormat="false" ht="15" hidden="false" customHeight="false" outlineLevel="0" collapsed="false">
      <c r="A1510" s="0" t="s">
        <v>294</v>
      </c>
      <c r="B1510" s="0" t="s">
        <v>533</v>
      </c>
      <c r="C1510" s="0" t="n">
        <v>2019</v>
      </c>
      <c r="D1510" s="0" t="n">
        <v>670982</v>
      </c>
      <c r="E1510" s="0" t="n">
        <v>0.84</v>
      </c>
      <c r="F1510" s="0" t="n">
        <v>0</v>
      </c>
      <c r="G1510" s="0" t="n">
        <v>0.45</v>
      </c>
      <c r="H1510" s="0" t="n">
        <v>0.17</v>
      </c>
      <c r="I1510" s="0" t="n">
        <v>0</v>
      </c>
      <c r="J1510" s="0" t="n">
        <v>0</v>
      </c>
      <c r="K1510" s="0" t="n">
        <v>0</v>
      </c>
      <c r="L1510" s="0" t="n">
        <v>0</v>
      </c>
      <c r="M1510" s="0" t="n">
        <v>0.22</v>
      </c>
      <c r="N1510" s="0" t="n">
        <v>0</v>
      </c>
      <c r="O1510" s="0" t="n">
        <v>500</v>
      </c>
    </row>
    <row r="1511" customFormat="false" ht="15" hidden="false" customHeight="false" outlineLevel="0" collapsed="false">
      <c r="A1511" s="0" t="s">
        <v>294</v>
      </c>
      <c r="B1511" s="0" t="s">
        <v>533</v>
      </c>
      <c r="C1511" s="0" t="n">
        <v>2020</v>
      </c>
      <c r="D1511" s="0" t="n">
        <v>683069</v>
      </c>
      <c r="E1511" s="0" t="n">
        <v>0.56</v>
      </c>
      <c r="F1511" s="0" t="n">
        <v>0</v>
      </c>
      <c r="G1511" s="0" t="n">
        <v>0.21</v>
      </c>
      <c r="H1511" s="0" t="n">
        <v>0.16</v>
      </c>
      <c r="I1511" s="0" t="n">
        <v>0</v>
      </c>
      <c r="J1511" s="0" t="n">
        <v>0</v>
      </c>
      <c r="K1511" s="0" t="n">
        <v>0</v>
      </c>
      <c r="L1511" s="0" t="n">
        <v>0</v>
      </c>
      <c r="M1511" s="0" t="n">
        <v>0.19</v>
      </c>
      <c r="N1511" s="0" t="n">
        <v>0</v>
      </c>
      <c r="O1511" s="0" t="n">
        <v>482.14</v>
      </c>
    </row>
    <row r="1512" customFormat="false" ht="15" hidden="false" customHeight="false" outlineLevel="0" collapsed="false">
      <c r="A1512" s="0" t="s">
        <v>294</v>
      </c>
      <c r="B1512" s="0" t="s">
        <v>533</v>
      </c>
      <c r="C1512" s="0" t="n">
        <v>2021</v>
      </c>
      <c r="D1512" s="0" t="n">
        <v>694404</v>
      </c>
      <c r="E1512" s="0" t="n">
        <v>0.5</v>
      </c>
      <c r="F1512" s="0" t="n">
        <v>0</v>
      </c>
      <c r="G1512" s="0" t="n">
        <v>0.25</v>
      </c>
      <c r="H1512" s="0" t="n">
        <v>0.04</v>
      </c>
      <c r="I1512" s="0" t="n">
        <v>0</v>
      </c>
      <c r="J1512" s="0" t="n">
        <v>0</v>
      </c>
      <c r="K1512" s="0" t="n">
        <v>0</v>
      </c>
      <c r="L1512" s="0" t="n">
        <v>0</v>
      </c>
      <c r="M1512" s="0" t="n">
        <v>0.21</v>
      </c>
      <c r="N1512" s="0" t="n">
        <v>0</v>
      </c>
      <c r="O1512" s="0" t="n">
        <v>460</v>
      </c>
    </row>
    <row r="1513" customFormat="false" ht="15" hidden="false" customHeight="false" outlineLevel="0" collapsed="false">
      <c r="A1513" s="0" t="s">
        <v>294</v>
      </c>
      <c r="B1513" s="0" t="s">
        <v>533</v>
      </c>
      <c r="C1513" s="0" t="n">
        <v>2022</v>
      </c>
      <c r="D1513" s="0" t="n">
        <v>704360</v>
      </c>
      <c r="E1513" s="0" t="n">
        <v>0.49</v>
      </c>
      <c r="F1513" s="0" t="n">
        <v>0</v>
      </c>
      <c r="G1513" s="0" t="n">
        <v>0.25</v>
      </c>
      <c r="H1513" s="0" t="n">
        <v>0.04</v>
      </c>
      <c r="I1513" s="0" t="n">
        <v>0</v>
      </c>
      <c r="J1513" s="0" t="n">
        <v>0</v>
      </c>
      <c r="K1513" s="0" t="n">
        <v>0</v>
      </c>
      <c r="L1513" s="0" t="n">
        <v>0</v>
      </c>
      <c r="M1513" s="0" t="n">
        <v>0.2</v>
      </c>
      <c r="N1513" s="0" t="n">
        <v>0</v>
      </c>
      <c r="O1513" s="0" t="n">
        <v>448.98</v>
      </c>
    </row>
    <row r="1514" customFormat="false" ht="15" hidden="false" customHeight="false" outlineLevel="0" collapsed="false">
      <c r="A1514" s="0" t="s">
        <v>294</v>
      </c>
      <c r="B1514" s="0" t="s">
        <v>533</v>
      </c>
      <c r="C1514" s="0" t="n">
        <v>2023</v>
      </c>
      <c r="D1514" s="0" t="n">
        <v>713916</v>
      </c>
      <c r="E1514" s="0" t="n">
        <v>0.66</v>
      </c>
      <c r="F1514" s="0" t="n">
        <v>0</v>
      </c>
      <c r="G1514" s="0" t="n">
        <v>0.37</v>
      </c>
      <c r="H1514" s="0" t="n">
        <v>0.07</v>
      </c>
      <c r="I1514" s="0" t="n">
        <v>0</v>
      </c>
      <c r="J1514" s="0" t="n">
        <v>0</v>
      </c>
      <c r="K1514" s="0" t="n">
        <v>0</v>
      </c>
      <c r="L1514" s="0" t="n">
        <v>0</v>
      </c>
      <c r="M1514" s="0" t="n">
        <v>0.22</v>
      </c>
      <c r="N1514" s="0" t="n">
        <v>0</v>
      </c>
      <c r="O1514" s="0" t="n">
        <v>484.85</v>
      </c>
    </row>
    <row r="1515" customFormat="false" ht="15" hidden="false" customHeight="false" outlineLevel="0" collapsed="false">
      <c r="A1515" s="0" t="s">
        <v>294</v>
      </c>
      <c r="B1515" s="0" t="s">
        <v>533</v>
      </c>
      <c r="C1515" s="0" t="n">
        <v>2024</v>
      </c>
      <c r="D1515" s="0" t="n">
        <v>720270</v>
      </c>
      <c r="E1515" s="0" t="n">
        <v>0.78</v>
      </c>
      <c r="F1515" s="0" t="n">
        <v>0</v>
      </c>
      <c r="G1515" s="0" t="n">
        <v>0.49</v>
      </c>
      <c r="H1515" s="0" t="n">
        <v>0.05</v>
      </c>
      <c r="I1515" s="0" t="n">
        <v>0</v>
      </c>
      <c r="J1515" s="0" t="n">
        <v>0</v>
      </c>
      <c r="K1515" s="0" t="n">
        <v>0</v>
      </c>
      <c r="L1515" s="0" t="n">
        <v>0</v>
      </c>
      <c r="M1515" s="0" t="n">
        <v>0.24</v>
      </c>
      <c r="N1515" s="0" t="n">
        <v>0</v>
      </c>
      <c r="O1515" s="0" t="n">
        <v>474.36</v>
      </c>
    </row>
    <row r="1516" customFormat="false" ht="15" hidden="false" customHeight="false" outlineLevel="0" collapsed="false">
      <c r="A1516" s="0" t="s">
        <v>295</v>
      </c>
      <c r="B1516" s="0" t="s">
        <v>534</v>
      </c>
      <c r="C1516" s="0" t="n">
        <v>2015</v>
      </c>
      <c r="D1516" s="0" t="n">
        <v>25426703</v>
      </c>
      <c r="E1516" s="0" t="n">
        <v>1.79</v>
      </c>
      <c r="F1516" s="0" t="n">
        <v>0.08</v>
      </c>
      <c r="G1516" s="0" t="n">
        <v>0</v>
      </c>
      <c r="H1516" s="0" t="n">
        <v>0.74</v>
      </c>
      <c r="I1516" s="0" t="n">
        <v>0</v>
      </c>
      <c r="J1516" s="0" t="n">
        <v>0.93</v>
      </c>
      <c r="K1516" s="0" t="n">
        <v>0.02</v>
      </c>
      <c r="L1516" s="0" t="n">
        <v>0</v>
      </c>
      <c r="M1516" s="0" t="n">
        <v>0.02</v>
      </c>
      <c r="N1516" s="0" t="n">
        <v>0</v>
      </c>
      <c r="O1516" s="0" t="n">
        <v>324.02</v>
      </c>
    </row>
    <row r="1517" customFormat="false" ht="15" hidden="false" customHeight="false" outlineLevel="0" collapsed="false">
      <c r="A1517" s="0" t="s">
        <v>295</v>
      </c>
      <c r="B1517" s="0" t="s">
        <v>534</v>
      </c>
      <c r="C1517" s="0" t="n">
        <v>2016</v>
      </c>
      <c r="D1517" s="0" t="n">
        <v>26099950</v>
      </c>
      <c r="E1517" s="0" t="n">
        <v>1.9</v>
      </c>
      <c r="F1517" s="0" t="n">
        <v>0.08</v>
      </c>
      <c r="G1517" s="0" t="n">
        <v>0</v>
      </c>
      <c r="H1517" s="0" t="n">
        <v>0.9</v>
      </c>
      <c r="I1517" s="0" t="n">
        <v>0</v>
      </c>
      <c r="J1517" s="0" t="n">
        <v>0.88</v>
      </c>
      <c r="K1517" s="0" t="n">
        <v>0.02</v>
      </c>
      <c r="L1517" s="0" t="n">
        <v>0</v>
      </c>
      <c r="M1517" s="0" t="n">
        <v>0.02</v>
      </c>
      <c r="N1517" s="0" t="n">
        <v>0</v>
      </c>
      <c r="O1517" s="0" t="n">
        <v>357.9</v>
      </c>
    </row>
    <row r="1518" customFormat="false" ht="15" hidden="false" customHeight="false" outlineLevel="0" collapsed="false">
      <c r="A1518" s="0" t="s">
        <v>295</v>
      </c>
      <c r="B1518" s="0" t="s">
        <v>534</v>
      </c>
      <c r="C1518" s="0" t="n">
        <v>2017</v>
      </c>
      <c r="D1518" s="0" t="n">
        <v>26788379</v>
      </c>
      <c r="E1518" s="0" t="n">
        <v>1.98</v>
      </c>
      <c r="F1518" s="0" t="n">
        <v>0.12</v>
      </c>
      <c r="G1518" s="0" t="n">
        <v>0</v>
      </c>
      <c r="H1518" s="0" t="n">
        <v>1.03</v>
      </c>
      <c r="I1518" s="0" t="n">
        <v>0</v>
      </c>
      <c r="J1518" s="0" t="n">
        <v>0.78</v>
      </c>
      <c r="K1518" s="0" t="n">
        <v>0.02</v>
      </c>
      <c r="L1518" s="0" t="n">
        <v>0</v>
      </c>
      <c r="M1518" s="0" t="n">
        <v>0.03</v>
      </c>
      <c r="N1518" s="0" t="n">
        <v>0</v>
      </c>
      <c r="O1518" s="0" t="n">
        <v>409.09</v>
      </c>
    </row>
    <row r="1519" customFormat="false" ht="15" hidden="false" customHeight="false" outlineLevel="0" collapsed="false">
      <c r="A1519" s="0" t="s">
        <v>295</v>
      </c>
      <c r="B1519" s="0" t="s">
        <v>534</v>
      </c>
      <c r="C1519" s="0" t="n">
        <v>2018</v>
      </c>
      <c r="D1519" s="0" t="n">
        <v>27494930</v>
      </c>
      <c r="E1519" s="0" t="n">
        <v>2.38</v>
      </c>
      <c r="F1519" s="0" t="n">
        <v>0.46</v>
      </c>
      <c r="G1519" s="0" t="n">
        <v>0</v>
      </c>
      <c r="H1519" s="0" t="n">
        <v>0.89</v>
      </c>
      <c r="I1519" s="0" t="n">
        <v>0</v>
      </c>
      <c r="J1519" s="0" t="n">
        <v>0.96</v>
      </c>
      <c r="K1519" s="0" t="n">
        <v>0.04</v>
      </c>
      <c r="L1519" s="0" t="n">
        <v>0</v>
      </c>
      <c r="M1519" s="0" t="n">
        <v>0.03</v>
      </c>
      <c r="N1519" s="0" t="n">
        <v>0</v>
      </c>
      <c r="O1519" s="0" t="n">
        <v>424.37</v>
      </c>
    </row>
    <row r="1520" customFormat="false" ht="15" hidden="false" customHeight="false" outlineLevel="0" collapsed="false">
      <c r="A1520" s="0" t="s">
        <v>295</v>
      </c>
      <c r="B1520" s="0" t="s">
        <v>534</v>
      </c>
      <c r="C1520" s="0" t="n">
        <v>2019</v>
      </c>
      <c r="D1520" s="0" t="n">
        <v>28219559</v>
      </c>
      <c r="E1520" s="0" t="n">
        <v>2.47</v>
      </c>
      <c r="F1520" s="0" t="n">
        <v>0.48</v>
      </c>
      <c r="G1520" s="0" t="n">
        <v>0</v>
      </c>
      <c r="H1520" s="0" t="n">
        <v>1.04</v>
      </c>
      <c r="I1520" s="0" t="n">
        <v>0</v>
      </c>
      <c r="J1520" s="0" t="n">
        <v>0.89</v>
      </c>
      <c r="K1520" s="0" t="n">
        <v>0.04</v>
      </c>
      <c r="L1520" s="0" t="n">
        <v>0</v>
      </c>
      <c r="M1520" s="0" t="n">
        <v>0.02</v>
      </c>
      <c r="N1520" s="0" t="n">
        <v>0</v>
      </c>
      <c r="O1520" s="0" t="n">
        <v>449.39</v>
      </c>
    </row>
    <row r="1521" customFormat="false" ht="15" hidden="false" customHeight="false" outlineLevel="0" collapsed="false">
      <c r="A1521" s="0" t="s">
        <v>295</v>
      </c>
      <c r="B1521" s="0" t="s">
        <v>534</v>
      </c>
      <c r="C1521" s="0" t="n">
        <v>2020</v>
      </c>
      <c r="D1521" s="0" t="n">
        <v>28953560</v>
      </c>
      <c r="E1521" s="0" t="n">
        <v>2.16</v>
      </c>
      <c r="F1521" s="0" t="n">
        <v>0.21</v>
      </c>
      <c r="G1521" s="0" t="n">
        <v>0</v>
      </c>
      <c r="H1521" s="0" t="n">
        <v>1.07</v>
      </c>
      <c r="I1521" s="0" t="n">
        <v>0</v>
      </c>
      <c r="J1521" s="0" t="n">
        <v>0.82</v>
      </c>
      <c r="K1521" s="0" t="n">
        <v>0.04</v>
      </c>
      <c r="L1521" s="0" t="n">
        <v>0</v>
      </c>
      <c r="M1521" s="0" t="n">
        <v>0.02</v>
      </c>
      <c r="N1521" s="0" t="n">
        <v>0</v>
      </c>
      <c r="O1521" s="0" t="n">
        <v>416.67</v>
      </c>
    </row>
    <row r="1522" customFormat="false" ht="15" hidden="false" customHeight="false" outlineLevel="0" collapsed="false">
      <c r="A1522" s="0" t="s">
        <v>295</v>
      </c>
      <c r="B1522" s="0" t="s">
        <v>534</v>
      </c>
      <c r="C1522" s="0" t="n">
        <v>2021</v>
      </c>
      <c r="D1522" s="0" t="n">
        <v>29691087</v>
      </c>
      <c r="E1522" s="0" t="n">
        <v>2.53</v>
      </c>
      <c r="F1522" s="0" t="n">
        <v>0.47</v>
      </c>
      <c r="G1522" s="0" t="n">
        <v>0</v>
      </c>
      <c r="H1522" s="0" t="n">
        <v>1.22</v>
      </c>
      <c r="I1522" s="0" t="n">
        <v>0</v>
      </c>
      <c r="J1522" s="0" t="n">
        <v>0.77</v>
      </c>
      <c r="K1522" s="0" t="n">
        <v>0.04</v>
      </c>
      <c r="L1522" s="0" t="n">
        <v>0</v>
      </c>
      <c r="M1522" s="0" t="n">
        <v>0.03</v>
      </c>
      <c r="N1522" s="0" t="n">
        <v>0</v>
      </c>
      <c r="O1522" s="0" t="n">
        <v>486.17</v>
      </c>
    </row>
    <row r="1523" customFormat="false" ht="15" hidden="false" customHeight="false" outlineLevel="0" collapsed="false">
      <c r="A1523" s="0" t="s">
        <v>295</v>
      </c>
      <c r="B1523" s="0" t="s">
        <v>534</v>
      </c>
      <c r="C1523" s="0" t="n">
        <v>2022</v>
      </c>
      <c r="D1523" s="0" t="n">
        <v>30437261</v>
      </c>
      <c r="E1523" s="0" t="n">
        <v>2.64</v>
      </c>
      <c r="F1523" s="0" t="n">
        <v>0.51</v>
      </c>
      <c r="G1523" s="0" t="n">
        <v>0</v>
      </c>
      <c r="H1523" s="0" t="n">
        <v>1.2</v>
      </c>
      <c r="I1523" s="0" t="n">
        <v>0</v>
      </c>
      <c r="J1523" s="0" t="n">
        <v>0.82</v>
      </c>
      <c r="K1523" s="0" t="n">
        <v>0.08</v>
      </c>
      <c r="L1523" s="0" t="n">
        <v>0</v>
      </c>
      <c r="M1523" s="0" t="n">
        <v>0.03</v>
      </c>
      <c r="N1523" s="0" t="n">
        <v>0</v>
      </c>
      <c r="O1523" s="0" t="n">
        <v>477.27</v>
      </c>
    </row>
    <row r="1524" customFormat="false" ht="15" hidden="false" customHeight="false" outlineLevel="0" collapsed="false">
      <c r="A1524" s="0" t="s">
        <v>295</v>
      </c>
      <c r="B1524" s="0" t="s">
        <v>534</v>
      </c>
      <c r="C1524" s="0" t="n">
        <v>2023</v>
      </c>
      <c r="D1524" s="0" t="n">
        <v>31195937</v>
      </c>
      <c r="E1524" s="0" t="n">
        <v>2.48</v>
      </c>
      <c r="F1524" s="0" t="n">
        <v>0.51</v>
      </c>
      <c r="G1524" s="0" t="n">
        <v>0</v>
      </c>
      <c r="H1524" s="0" t="n">
        <v>0.88</v>
      </c>
      <c r="I1524" s="0" t="n">
        <v>0</v>
      </c>
      <c r="J1524" s="0" t="n">
        <v>0.98</v>
      </c>
      <c r="K1524" s="0" t="n">
        <v>0.08</v>
      </c>
      <c r="L1524" s="0" t="n">
        <v>0</v>
      </c>
      <c r="M1524" s="0" t="n">
        <v>0.03</v>
      </c>
      <c r="N1524" s="0" t="n">
        <v>0</v>
      </c>
      <c r="O1524" s="0" t="n">
        <v>423.39</v>
      </c>
    </row>
    <row r="1525" customFormat="false" ht="15" hidden="false" customHeight="false" outlineLevel="0" collapsed="false">
      <c r="A1525" s="0" t="s">
        <v>295</v>
      </c>
      <c r="B1525" s="0" t="s">
        <v>534</v>
      </c>
      <c r="C1525" s="0" t="n">
        <v>2024</v>
      </c>
      <c r="D1525" s="0" t="n">
        <v>31964960</v>
      </c>
      <c r="E1525" s="0" t="n">
        <v>2.43</v>
      </c>
      <c r="F1525" s="0" t="n">
        <v>0.5</v>
      </c>
      <c r="G1525" s="0" t="n">
        <v>0</v>
      </c>
      <c r="H1525" s="0" t="n">
        <v>0.9</v>
      </c>
      <c r="I1525" s="0" t="n">
        <v>0</v>
      </c>
      <c r="J1525" s="0" t="n">
        <v>0.9</v>
      </c>
      <c r="K1525" s="0" t="n">
        <v>0.1</v>
      </c>
      <c r="L1525" s="0" t="n">
        <v>0</v>
      </c>
      <c r="M1525" s="0" t="n">
        <v>0.03</v>
      </c>
      <c r="N1525" s="0" t="n">
        <v>0</v>
      </c>
      <c r="O1525" s="0" t="n">
        <v>432.1</v>
      </c>
    </row>
    <row r="1526" customFormat="false" ht="15" hidden="false" customHeight="false" outlineLevel="0" collapsed="false">
      <c r="A1526" s="0" t="s">
        <v>296</v>
      </c>
      <c r="B1526" s="0" t="s">
        <v>535</v>
      </c>
      <c r="C1526" s="0" t="n">
        <v>2015</v>
      </c>
      <c r="D1526" s="0" t="n">
        <v>17085587</v>
      </c>
      <c r="E1526" s="0" t="n">
        <v>2.17</v>
      </c>
      <c r="F1526" s="0" t="n">
        <v>0</v>
      </c>
      <c r="G1526" s="0" t="n">
        <v>0</v>
      </c>
      <c r="H1526" s="0" t="n">
        <v>0.13</v>
      </c>
      <c r="I1526" s="0" t="n">
        <v>0</v>
      </c>
      <c r="J1526" s="0" t="n">
        <v>1.96</v>
      </c>
      <c r="K1526" s="0" t="n">
        <v>0.03</v>
      </c>
      <c r="L1526" s="0" t="n">
        <v>0</v>
      </c>
      <c r="M1526" s="0" t="n">
        <v>0.05</v>
      </c>
      <c r="N1526" s="0" t="n">
        <v>0</v>
      </c>
      <c r="O1526" s="0" t="n">
        <v>69.12</v>
      </c>
    </row>
    <row r="1527" customFormat="false" ht="15" hidden="false" customHeight="false" outlineLevel="0" collapsed="false">
      <c r="A1527" s="0" t="s">
        <v>296</v>
      </c>
      <c r="B1527" s="0" t="s">
        <v>535</v>
      </c>
      <c r="C1527" s="0" t="n">
        <v>2016</v>
      </c>
      <c r="D1527" s="0" t="n">
        <v>17557741</v>
      </c>
      <c r="E1527" s="0" t="n">
        <v>2.15</v>
      </c>
      <c r="F1527" s="0" t="n">
        <v>0</v>
      </c>
      <c r="G1527" s="0" t="n">
        <v>0</v>
      </c>
      <c r="H1527" s="0" t="n">
        <v>0.13</v>
      </c>
      <c r="I1527" s="0" t="n">
        <v>0</v>
      </c>
      <c r="J1527" s="0" t="n">
        <v>1.94</v>
      </c>
      <c r="K1527" s="0" t="n">
        <v>0.03</v>
      </c>
      <c r="L1527" s="0" t="n">
        <v>0</v>
      </c>
      <c r="M1527" s="0" t="n">
        <v>0.05</v>
      </c>
      <c r="N1527" s="0" t="n">
        <v>0</v>
      </c>
      <c r="O1527" s="0" t="n">
        <v>69.77</v>
      </c>
    </row>
    <row r="1528" customFormat="false" ht="15" hidden="false" customHeight="false" outlineLevel="0" collapsed="false">
      <c r="A1528" s="0" t="s">
        <v>296</v>
      </c>
      <c r="B1528" s="0" t="s">
        <v>535</v>
      </c>
      <c r="C1528" s="0" t="n">
        <v>2017</v>
      </c>
      <c r="D1528" s="0" t="n">
        <v>18039714</v>
      </c>
      <c r="E1528" s="0" t="n">
        <v>1.91</v>
      </c>
      <c r="F1528" s="0" t="n">
        <v>0</v>
      </c>
      <c r="G1528" s="0" t="n">
        <v>0</v>
      </c>
      <c r="H1528" s="0" t="n">
        <v>0</v>
      </c>
      <c r="I1528" s="0" t="n">
        <v>0</v>
      </c>
      <c r="J1528" s="0" t="n">
        <v>1.82</v>
      </c>
      <c r="K1528" s="0" t="n">
        <v>0.04</v>
      </c>
      <c r="L1528" s="0" t="n">
        <v>0</v>
      </c>
      <c r="M1528" s="0" t="n">
        <v>0.05</v>
      </c>
      <c r="N1528" s="0" t="n">
        <v>0</v>
      </c>
      <c r="O1528" s="0" t="n">
        <v>26.18</v>
      </c>
    </row>
    <row r="1529" customFormat="false" ht="15" hidden="false" customHeight="false" outlineLevel="0" collapsed="false">
      <c r="A1529" s="0" t="s">
        <v>296</v>
      </c>
      <c r="B1529" s="0" t="s">
        <v>535</v>
      </c>
      <c r="C1529" s="0" t="n">
        <v>2018</v>
      </c>
      <c r="D1529" s="0" t="n">
        <v>18528086</v>
      </c>
      <c r="E1529" s="0" t="n">
        <v>1.81</v>
      </c>
      <c r="F1529" s="0" t="n">
        <v>0</v>
      </c>
      <c r="G1529" s="0" t="n">
        <v>0</v>
      </c>
      <c r="H1529" s="0" t="n">
        <v>0.33</v>
      </c>
      <c r="I1529" s="0" t="n">
        <v>0</v>
      </c>
      <c r="J1529" s="0" t="n">
        <v>1.42</v>
      </c>
      <c r="K1529" s="0" t="n">
        <v>0.01</v>
      </c>
      <c r="L1529" s="0" t="n">
        <v>0</v>
      </c>
      <c r="M1529" s="0" t="n">
        <v>0.05</v>
      </c>
      <c r="N1529" s="0" t="n">
        <v>0</v>
      </c>
      <c r="O1529" s="0" t="n">
        <v>143.65</v>
      </c>
    </row>
    <row r="1530" customFormat="false" ht="15" hidden="false" customHeight="false" outlineLevel="0" collapsed="false">
      <c r="A1530" s="0" t="s">
        <v>296</v>
      </c>
      <c r="B1530" s="0" t="s">
        <v>535</v>
      </c>
      <c r="C1530" s="0" t="n">
        <v>2019</v>
      </c>
      <c r="D1530" s="0" t="n">
        <v>19025748</v>
      </c>
      <c r="E1530" s="0" t="n">
        <v>1.8</v>
      </c>
      <c r="F1530" s="0" t="n">
        <v>0</v>
      </c>
      <c r="G1530" s="0" t="n">
        <v>0</v>
      </c>
      <c r="H1530" s="0" t="n">
        <v>0.07</v>
      </c>
      <c r="I1530" s="0" t="n">
        <v>0</v>
      </c>
      <c r="J1530" s="0" t="n">
        <v>1.67</v>
      </c>
      <c r="K1530" s="0" t="n">
        <v>0.01</v>
      </c>
      <c r="L1530" s="0" t="n">
        <v>0</v>
      </c>
      <c r="M1530" s="0" t="n">
        <v>0.05</v>
      </c>
      <c r="N1530" s="0" t="n">
        <v>0</v>
      </c>
      <c r="O1530" s="0" t="n">
        <v>55.56</v>
      </c>
    </row>
    <row r="1531" customFormat="false" ht="15" hidden="false" customHeight="false" outlineLevel="0" collapsed="false">
      <c r="A1531" s="0" t="s">
        <v>296</v>
      </c>
      <c r="B1531" s="0" t="s">
        <v>535</v>
      </c>
      <c r="C1531" s="0" t="n">
        <v>2020</v>
      </c>
      <c r="D1531" s="0" t="n">
        <v>19533885</v>
      </c>
      <c r="E1531" s="0" t="n">
        <v>1.75</v>
      </c>
      <c r="F1531" s="0" t="n">
        <v>0</v>
      </c>
      <c r="G1531" s="0" t="n">
        <v>0</v>
      </c>
      <c r="H1531" s="0" t="n">
        <v>0.01</v>
      </c>
      <c r="I1531" s="0" t="n">
        <v>0</v>
      </c>
      <c r="J1531" s="0" t="n">
        <v>1.68</v>
      </c>
      <c r="K1531" s="0" t="n">
        <v>0.01</v>
      </c>
      <c r="L1531" s="0" t="n">
        <v>0</v>
      </c>
      <c r="M1531" s="0" t="n">
        <v>0.05</v>
      </c>
      <c r="N1531" s="0" t="n">
        <v>0</v>
      </c>
      <c r="O1531" s="0" t="n">
        <v>34.29</v>
      </c>
    </row>
    <row r="1532" customFormat="false" ht="15" hidden="false" customHeight="false" outlineLevel="0" collapsed="false">
      <c r="A1532" s="0" t="s">
        <v>296</v>
      </c>
      <c r="B1532" s="0" t="s">
        <v>535</v>
      </c>
      <c r="C1532" s="0" t="n">
        <v>2021</v>
      </c>
      <c r="D1532" s="0" t="n">
        <v>20047264</v>
      </c>
      <c r="E1532" s="0" t="n">
        <v>1.83</v>
      </c>
      <c r="F1532" s="0" t="n">
        <v>0</v>
      </c>
      <c r="G1532" s="0" t="n">
        <v>0</v>
      </c>
      <c r="H1532" s="0" t="n">
        <v>0.08</v>
      </c>
      <c r="I1532" s="0" t="n">
        <v>0</v>
      </c>
      <c r="J1532" s="0" t="n">
        <v>1.69</v>
      </c>
      <c r="K1532" s="0" t="n">
        <v>0.01</v>
      </c>
      <c r="L1532" s="0" t="n">
        <v>0</v>
      </c>
      <c r="M1532" s="0" t="n">
        <v>0.05</v>
      </c>
      <c r="N1532" s="0" t="n">
        <v>0</v>
      </c>
      <c r="O1532" s="0" t="n">
        <v>54.65</v>
      </c>
    </row>
    <row r="1533" customFormat="false" ht="15" hidden="false" customHeight="false" outlineLevel="0" collapsed="false">
      <c r="A1533" s="0" t="s">
        <v>296</v>
      </c>
      <c r="B1533" s="0" t="s">
        <v>535</v>
      </c>
      <c r="C1533" s="0" t="n">
        <v>2022</v>
      </c>
      <c r="D1533" s="0" t="n">
        <v>20568731</v>
      </c>
      <c r="E1533" s="0" t="n">
        <v>1.83</v>
      </c>
      <c r="F1533" s="0" t="n">
        <v>0</v>
      </c>
      <c r="G1533" s="0" t="n">
        <v>0</v>
      </c>
      <c r="H1533" s="0" t="n">
        <v>0.08</v>
      </c>
      <c r="I1533" s="0" t="n">
        <v>0</v>
      </c>
      <c r="J1533" s="0" t="n">
        <v>1.69</v>
      </c>
      <c r="K1533" s="0" t="n">
        <v>0.01</v>
      </c>
      <c r="L1533" s="0" t="n">
        <v>0</v>
      </c>
      <c r="M1533" s="0" t="n">
        <v>0.05</v>
      </c>
      <c r="N1533" s="0" t="n">
        <v>0</v>
      </c>
      <c r="O1533" s="0" t="n">
        <v>54.65</v>
      </c>
    </row>
    <row r="1534" customFormat="false" ht="15" hidden="false" customHeight="false" outlineLevel="0" collapsed="false">
      <c r="A1534" s="0" t="s">
        <v>296</v>
      </c>
      <c r="B1534" s="0" t="s">
        <v>535</v>
      </c>
      <c r="C1534" s="0" t="n">
        <v>2023</v>
      </c>
      <c r="D1534" s="0" t="n">
        <v>21104480</v>
      </c>
      <c r="E1534" s="0" t="n">
        <v>1.83</v>
      </c>
      <c r="F1534" s="0" t="n">
        <v>0</v>
      </c>
      <c r="G1534" s="0" t="n">
        <v>0</v>
      </c>
      <c r="H1534" s="0" t="n">
        <v>0.08</v>
      </c>
      <c r="I1534" s="0" t="n">
        <v>0</v>
      </c>
      <c r="J1534" s="0" t="n">
        <v>1.69</v>
      </c>
      <c r="K1534" s="0" t="n">
        <v>0.01</v>
      </c>
      <c r="L1534" s="0" t="n">
        <v>0</v>
      </c>
      <c r="M1534" s="0" t="n">
        <v>0.05</v>
      </c>
      <c r="N1534" s="0" t="n">
        <v>0</v>
      </c>
      <c r="O1534" s="0" t="n">
        <v>54.65</v>
      </c>
    </row>
    <row r="1535" customFormat="false" ht="15" hidden="false" customHeight="false" outlineLevel="0" collapsed="false">
      <c r="A1535" s="0" t="s">
        <v>296</v>
      </c>
      <c r="B1535" s="0" t="s">
        <v>535</v>
      </c>
      <c r="C1535" s="0" t="n">
        <v>2024</v>
      </c>
      <c r="D1535" s="0" t="n">
        <v>21655288</v>
      </c>
      <c r="E1535" s="0" t="n">
        <v>1.83</v>
      </c>
      <c r="F1535" s="0" t="n">
        <v>0</v>
      </c>
      <c r="G1535" s="0" t="n">
        <v>0</v>
      </c>
      <c r="H1535" s="0" t="n">
        <v>0.08</v>
      </c>
      <c r="I1535" s="0" t="n">
        <v>0</v>
      </c>
      <c r="J1535" s="0" t="n">
        <v>1.69</v>
      </c>
      <c r="K1535" s="0" t="n">
        <v>0.01</v>
      </c>
      <c r="L1535" s="0" t="n">
        <v>0</v>
      </c>
      <c r="M1535" s="0" t="n">
        <v>0.05</v>
      </c>
      <c r="N1535" s="0" t="n">
        <v>0</v>
      </c>
      <c r="O1535" s="0" t="n">
        <v>54.65</v>
      </c>
    </row>
    <row r="1536" customFormat="false" ht="15" hidden="false" customHeight="false" outlineLevel="0" collapsed="false">
      <c r="A1536" s="0" t="s">
        <v>297</v>
      </c>
      <c r="B1536" s="0" t="s">
        <v>536</v>
      </c>
      <c r="C1536" s="0" t="n">
        <v>2015</v>
      </c>
      <c r="D1536" s="0" t="n">
        <v>31232796</v>
      </c>
      <c r="E1536" s="0" t="n">
        <v>150.11</v>
      </c>
      <c r="F1536" s="0" t="n">
        <v>63.47</v>
      </c>
      <c r="G1536" s="0" t="n">
        <v>69.96</v>
      </c>
      <c r="H1536" s="0" t="n">
        <v>1.74</v>
      </c>
      <c r="I1536" s="0" t="n">
        <v>0</v>
      </c>
      <c r="J1536" s="0" t="n">
        <v>13.92</v>
      </c>
      <c r="K1536" s="0" t="n">
        <v>0.27</v>
      </c>
      <c r="L1536" s="0" t="n">
        <v>0</v>
      </c>
      <c r="M1536" s="0" t="n">
        <v>0.75</v>
      </c>
      <c r="O1536" s="0" t="n">
        <v>669.18</v>
      </c>
    </row>
    <row r="1537" customFormat="false" ht="15" hidden="false" customHeight="false" outlineLevel="0" collapsed="false">
      <c r="A1537" s="0" t="s">
        <v>297</v>
      </c>
      <c r="B1537" s="0" t="s">
        <v>536</v>
      </c>
      <c r="C1537" s="0" t="n">
        <v>2016</v>
      </c>
      <c r="D1537" s="0" t="n">
        <v>31789692</v>
      </c>
      <c r="E1537" s="0" t="n">
        <v>156.65</v>
      </c>
      <c r="F1537" s="0" t="n">
        <v>69.15</v>
      </c>
      <c r="G1537" s="0" t="n">
        <v>65.23</v>
      </c>
      <c r="H1537" s="0" t="n">
        <v>1.18</v>
      </c>
      <c r="I1537" s="0" t="n">
        <v>0</v>
      </c>
      <c r="J1537" s="0" t="n">
        <v>20.02</v>
      </c>
      <c r="K1537" s="0" t="n">
        <v>0.31</v>
      </c>
      <c r="L1537" s="0" t="n">
        <v>0</v>
      </c>
      <c r="M1537" s="0" t="n">
        <v>0.76</v>
      </c>
      <c r="O1537" s="0" t="n">
        <v>649.28</v>
      </c>
    </row>
    <row r="1538" customFormat="false" ht="15" hidden="false" customHeight="false" outlineLevel="0" collapsed="false">
      <c r="A1538" s="0" t="s">
        <v>297</v>
      </c>
      <c r="B1538" s="0" t="s">
        <v>536</v>
      </c>
      <c r="C1538" s="0" t="n">
        <v>2017</v>
      </c>
      <c r="D1538" s="0" t="n">
        <v>32355642</v>
      </c>
      <c r="E1538" s="0" t="n">
        <v>160.64</v>
      </c>
      <c r="F1538" s="0" t="n">
        <v>68.87</v>
      </c>
      <c r="G1538" s="0" t="n">
        <v>62.13</v>
      </c>
      <c r="H1538" s="0" t="n">
        <v>1.7</v>
      </c>
      <c r="I1538" s="0" t="n">
        <v>0</v>
      </c>
      <c r="J1538" s="0" t="n">
        <v>26.85</v>
      </c>
      <c r="K1538" s="0" t="n">
        <v>0.33</v>
      </c>
      <c r="L1538" s="0" t="n">
        <v>0</v>
      </c>
      <c r="M1538" s="0" t="n">
        <v>0.76</v>
      </c>
      <c r="O1538" s="0" t="n">
        <v>620.58</v>
      </c>
    </row>
    <row r="1539" customFormat="false" ht="15" hidden="false" customHeight="false" outlineLevel="0" collapsed="false">
      <c r="A1539" s="0" t="s">
        <v>297</v>
      </c>
      <c r="B1539" s="0" t="s">
        <v>536</v>
      </c>
      <c r="C1539" s="0" t="n">
        <v>2018</v>
      </c>
      <c r="D1539" s="0" t="n">
        <v>32910963</v>
      </c>
      <c r="E1539" s="0" t="n">
        <v>170.58</v>
      </c>
      <c r="F1539" s="0" t="n">
        <v>77.29</v>
      </c>
      <c r="G1539" s="0" t="n">
        <v>64.05</v>
      </c>
      <c r="H1539" s="0" t="n">
        <v>0.93</v>
      </c>
      <c r="I1539" s="0" t="n">
        <v>0</v>
      </c>
      <c r="J1539" s="0" t="n">
        <v>26.33</v>
      </c>
      <c r="K1539" s="0" t="n">
        <v>0.63</v>
      </c>
      <c r="L1539" s="0" t="n">
        <v>0</v>
      </c>
      <c r="M1539" s="0" t="n">
        <v>1.35</v>
      </c>
      <c r="O1539" s="0" t="n">
        <v>630.32</v>
      </c>
    </row>
    <row r="1540" customFormat="false" ht="15" hidden="false" customHeight="false" outlineLevel="0" collapsed="false">
      <c r="A1540" s="0" t="s">
        <v>297</v>
      </c>
      <c r="B1540" s="0" t="s">
        <v>536</v>
      </c>
      <c r="C1540" s="0" t="n">
        <v>2019</v>
      </c>
      <c r="D1540" s="0" t="n">
        <v>33440590</v>
      </c>
      <c r="E1540" s="0" t="n">
        <v>178.5</v>
      </c>
      <c r="F1540" s="0" t="n">
        <v>76.41</v>
      </c>
      <c r="G1540" s="0" t="n">
        <v>72.28</v>
      </c>
      <c r="H1540" s="0" t="n">
        <v>1.01</v>
      </c>
      <c r="I1540" s="0" t="n">
        <v>0</v>
      </c>
      <c r="J1540" s="0" t="n">
        <v>26.2</v>
      </c>
      <c r="K1540" s="0" t="n">
        <v>1.46</v>
      </c>
      <c r="L1540" s="0" t="n">
        <v>0</v>
      </c>
      <c r="M1540" s="0" t="n">
        <v>1.14</v>
      </c>
      <c r="O1540" s="0" t="n">
        <v>626.05</v>
      </c>
    </row>
    <row r="1541" customFormat="false" ht="15" hidden="false" customHeight="false" outlineLevel="0" collapsed="false">
      <c r="A1541" s="0" t="s">
        <v>297</v>
      </c>
      <c r="B1541" s="0" t="s">
        <v>536</v>
      </c>
      <c r="C1541" s="0" t="n">
        <v>2020</v>
      </c>
      <c r="D1541" s="0" t="n">
        <v>33889554</v>
      </c>
      <c r="E1541" s="0" t="n">
        <v>174.01</v>
      </c>
      <c r="F1541" s="0" t="n">
        <v>88.88</v>
      </c>
      <c r="G1541" s="0" t="n">
        <v>53.69</v>
      </c>
      <c r="H1541" s="0" t="n">
        <v>0.85</v>
      </c>
      <c r="I1541" s="0" t="n">
        <v>0</v>
      </c>
      <c r="J1541" s="0" t="n">
        <v>27.3</v>
      </c>
      <c r="K1541" s="0" t="n">
        <v>2.06</v>
      </c>
      <c r="L1541" s="0" t="n">
        <v>0</v>
      </c>
      <c r="M1541" s="0" t="n">
        <v>1.23</v>
      </c>
      <c r="O1541" s="0" t="n">
        <v>633.7</v>
      </c>
    </row>
    <row r="1542" customFormat="false" ht="15" hidden="false" customHeight="false" outlineLevel="0" collapsed="false">
      <c r="A1542" s="0" t="s">
        <v>297</v>
      </c>
      <c r="B1542" s="0" t="s">
        <v>536</v>
      </c>
      <c r="C1542" s="0" t="n">
        <v>2021</v>
      </c>
      <c r="D1542" s="0" t="n">
        <v>34282404</v>
      </c>
      <c r="E1542" s="0" t="n">
        <v>175.21</v>
      </c>
      <c r="F1542" s="0" t="n">
        <v>79.38</v>
      </c>
      <c r="G1542" s="0" t="n">
        <v>60.96</v>
      </c>
      <c r="H1542" s="0" t="n">
        <v>1.14</v>
      </c>
      <c r="I1542" s="0" t="n">
        <v>0</v>
      </c>
      <c r="J1542" s="0" t="n">
        <v>30.2</v>
      </c>
      <c r="K1542" s="0" t="n">
        <v>2.3</v>
      </c>
      <c r="L1542" s="0" t="n">
        <v>0</v>
      </c>
      <c r="M1542" s="0" t="n">
        <v>1.23</v>
      </c>
      <c r="O1542" s="0" t="n">
        <v>611.44</v>
      </c>
    </row>
    <row r="1543" customFormat="false" ht="15" hidden="false" customHeight="false" outlineLevel="0" collapsed="false">
      <c r="A1543" s="0" t="s">
        <v>297</v>
      </c>
      <c r="B1543" s="0" t="s">
        <v>536</v>
      </c>
      <c r="C1543" s="0" t="n">
        <v>2022</v>
      </c>
      <c r="D1543" s="0" t="n">
        <v>34695494</v>
      </c>
      <c r="E1543" s="0" t="n">
        <v>183.63</v>
      </c>
      <c r="F1543" s="0" t="n">
        <v>77.78</v>
      </c>
      <c r="G1543" s="0" t="n">
        <v>68.45</v>
      </c>
      <c r="H1543" s="0" t="n">
        <v>1.64</v>
      </c>
      <c r="I1543" s="0" t="n">
        <v>0</v>
      </c>
      <c r="J1543" s="0" t="n">
        <v>31.78</v>
      </c>
      <c r="K1543" s="0" t="n">
        <v>2.75</v>
      </c>
      <c r="L1543" s="0" t="n">
        <v>0</v>
      </c>
      <c r="M1543" s="0" t="n">
        <v>1.23</v>
      </c>
      <c r="O1543" s="0" t="n">
        <v>604.04</v>
      </c>
    </row>
    <row r="1544" customFormat="false" ht="15" hidden="false" customHeight="false" outlineLevel="0" collapsed="false">
      <c r="A1544" s="0" t="s">
        <v>297</v>
      </c>
      <c r="B1544" s="0" t="s">
        <v>536</v>
      </c>
      <c r="C1544" s="0" t="n">
        <v>2023</v>
      </c>
      <c r="D1544" s="0" t="n">
        <v>35126295</v>
      </c>
      <c r="E1544" s="0" t="n">
        <v>187.8</v>
      </c>
      <c r="F1544" s="0" t="n">
        <v>81.4</v>
      </c>
      <c r="G1544" s="0" t="n">
        <v>69.23</v>
      </c>
      <c r="H1544" s="0" t="n">
        <v>1.19</v>
      </c>
      <c r="I1544" s="0" t="n">
        <v>0</v>
      </c>
      <c r="J1544" s="0" t="n">
        <v>31.51</v>
      </c>
      <c r="K1544" s="0" t="n">
        <v>3.24</v>
      </c>
      <c r="L1544" s="0" t="n">
        <v>0</v>
      </c>
      <c r="M1544" s="0" t="n">
        <v>1.23</v>
      </c>
      <c r="O1544" s="0" t="n">
        <v>607.88</v>
      </c>
    </row>
    <row r="1545" customFormat="false" ht="15" hidden="false" customHeight="false" outlineLevel="0" collapsed="false">
      <c r="A1545" s="0" t="s">
        <v>297</v>
      </c>
      <c r="B1545" s="0" t="s">
        <v>536</v>
      </c>
      <c r="C1545" s="0" t="n">
        <v>2024</v>
      </c>
      <c r="D1545" s="0" t="n">
        <v>35557670</v>
      </c>
      <c r="E1545" s="0" t="n">
        <v>198.12</v>
      </c>
      <c r="F1545" s="0" t="n">
        <v>85.3</v>
      </c>
      <c r="G1545" s="0" t="n">
        <v>71.32</v>
      </c>
      <c r="H1545" s="0" t="n">
        <v>1.15</v>
      </c>
      <c r="I1545" s="0" t="n">
        <v>0</v>
      </c>
      <c r="J1545" s="0" t="n">
        <v>34.52</v>
      </c>
      <c r="K1545" s="0" t="n">
        <v>4.12</v>
      </c>
      <c r="L1545" s="0" t="n">
        <v>0</v>
      </c>
      <c r="M1545" s="0" t="n">
        <v>1.71</v>
      </c>
      <c r="O1545" s="0" t="n">
        <v>600.44</v>
      </c>
    </row>
    <row r="1546" customFormat="false" ht="15" hidden="false" customHeight="false" outlineLevel="0" collapsed="false">
      <c r="A1546" s="0" t="s">
        <v>297</v>
      </c>
      <c r="B1546" s="0" t="s">
        <v>536</v>
      </c>
      <c r="C1546" s="0" t="n">
        <v>2025</v>
      </c>
      <c r="D1546" s="0" t="n">
        <v>35977834</v>
      </c>
      <c r="E1546" s="0" t="n">
        <v>201.09</v>
      </c>
      <c r="F1546" s="0" t="n">
        <v>89.6</v>
      </c>
      <c r="G1546" s="0" t="n">
        <v>67.89</v>
      </c>
      <c r="H1546" s="0" t="n">
        <v>2.07</v>
      </c>
      <c r="J1546" s="0" t="n">
        <v>35.24</v>
      </c>
      <c r="K1546" s="0" t="n">
        <v>4.51</v>
      </c>
      <c r="L1546" s="0" t="n">
        <v>0</v>
      </c>
      <c r="M1546" s="0" t="n">
        <v>1.78</v>
      </c>
      <c r="O1546" s="0" t="n">
        <v>601.97</v>
      </c>
    </row>
    <row r="1547" customFormat="false" ht="15" hidden="false" customHeight="false" outlineLevel="0" collapsed="false">
      <c r="A1547" s="0" t="s">
        <v>298</v>
      </c>
      <c r="B1547" s="0" t="s">
        <v>537</v>
      </c>
      <c r="C1547" s="0" t="n">
        <v>2015</v>
      </c>
      <c r="D1547" s="0" t="n">
        <v>428165</v>
      </c>
      <c r="E1547" s="0" t="n">
        <v>0.62</v>
      </c>
      <c r="F1547" s="0" t="n">
        <v>0</v>
      </c>
      <c r="G1547" s="0" t="n">
        <v>0</v>
      </c>
      <c r="H1547" s="0" t="n">
        <v>0.61</v>
      </c>
      <c r="I1547" s="0" t="n">
        <v>0</v>
      </c>
      <c r="J1547" s="0" t="n">
        <v>0</v>
      </c>
      <c r="K1547" s="0" t="n">
        <v>0.01</v>
      </c>
      <c r="L1547" s="0" t="n">
        <v>0</v>
      </c>
      <c r="M1547" s="0" t="n">
        <v>0</v>
      </c>
      <c r="N1547" s="0" t="n">
        <v>0</v>
      </c>
      <c r="O1547" s="0" t="n">
        <v>645.16</v>
      </c>
    </row>
    <row r="1548" customFormat="false" ht="15" hidden="false" customHeight="false" outlineLevel="0" collapsed="false">
      <c r="A1548" s="0" t="s">
        <v>298</v>
      </c>
      <c r="B1548" s="0" t="s">
        <v>537</v>
      </c>
      <c r="C1548" s="0" t="n">
        <v>2016</v>
      </c>
      <c r="D1548" s="0" t="n">
        <v>443316</v>
      </c>
      <c r="E1548" s="0" t="n">
        <v>0.67</v>
      </c>
      <c r="F1548" s="0" t="n">
        <v>0</v>
      </c>
      <c r="G1548" s="0" t="n">
        <v>0</v>
      </c>
      <c r="H1548" s="0" t="n">
        <v>0.66</v>
      </c>
      <c r="I1548" s="0" t="n">
        <v>0</v>
      </c>
      <c r="J1548" s="0" t="n">
        <v>0</v>
      </c>
      <c r="K1548" s="0" t="n">
        <v>0.01</v>
      </c>
      <c r="L1548" s="0" t="n">
        <v>0</v>
      </c>
      <c r="M1548" s="0" t="n">
        <v>0</v>
      </c>
      <c r="N1548" s="0" t="n">
        <v>0</v>
      </c>
      <c r="O1548" s="0" t="n">
        <v>641.79</v>
      </c>
    </row>
    <row r="1549" customFormat="false" ht="15" hidden="false" customHeight="false" outlineLevel="0" collapsed="false">
      <c r="A1549" s="0" t="s">
        <v>298</v>
      </c>
      <c r="B1549" s="0" t="s">
        <v>537</v>
      </c>
      <c r="C1549" s="0" t="n">
        <v>2017</v>
      </c>
      <c r="D1549" s="0" t="n">
        <v>458297</v>
      </c>
      <c r="E1549" s="0" t="n">
        <v>0.73</v>
      </c>
      <c r="F1549" s="0" t="n">
        <v>0</v>
      </c>
      <c r="G1549" s="0" t="n">
        <v>0</v>
      </c>
      <c r="H1549" s="0" t="n">
        <v>0.71</v>
      </c>
      <c r="I1549" s="0" t="n">
        <v>0</v>
      </c>
      <c r="J1549" s="0" t="n">
        <v>0</v>
      </c>
      <c r="K1549" s="0" t="n">
        <v>0.02</v>
      </c>
      <c r="L1549" s="0" t="n">
        <v>0</v>
      </c>
      <c r="M1549" s="0" t="n">
        <v>0</v>
      </c>
      <c r="N1549" s="0" t="n">
        <v>0</v>
      </c>
      <c r="O1549" s="0" t="n">
        <v>643.84</v>
      </c>
    </row>
    <row r="1550" customFormat="false" ht="15" hidden="false" customHeight="false" outlineLevel="0" collapsed="false">
      <c r="A1550" s="0" t="s">
        <v>298</v>
      </c>
      <c r="B1550" s="0" t="s">
        <v>537</v>
      </c>
      <c r="C1550" s="0" t="n">
        <v>2018</v>
      </c>
      <c r="D1550" s="0" t="n">
        <v>473106</v>
      </c>
      <c r="E1550" s="0" t="n">
        <v>0.79</v>
      </c>
      <c r="F1550" s="0" t="n">
        <v>0</v>
      </c>
      <c r="G1550" s="0" t="n">
        <v>0</v>
      </c>
      <c r="H1550" s="0" t="n">
        <v>0.76</v>
      </c>
      <c r="I1550" s="0" t="n">
        <v>0</v>
      </c>
      <c r="J1550" s="0" t="n">
        <v>0</v>
      </c>
      <c r="K1550" s="0" t="n">
        <v>0.03</v>
      </c>
      <c r="L1550" s="0" t="n">
        <v>0</v>
      </c>
      <c r="M1550" s="0" t="n">
        <v>0</v>
      </c>
      <c r="N1550" s="0" t="n">
        <v>0</v>
      </c>
      <c r="O1550" s="0" t="n">
        <v>632.91</v>
      </c>
    </row>
    <row r="1551" customFormat="false" ht="15" hidden="false" customHeight="false" outlineLevel="0" collapsed="false">
      <c r="A1551" s="0" t="s">
        <v>298</v>
      </c>
      <c r="B1551" s="0" t="s">
        <v>537</v>
      </c>
      <c r="C1551" s="0" t="n">
        <v>2019</v>
      </c>
      <c r="D1551" s="0" t="n">
        <v>487737</v>
      </c>
      <c r="E1551" s="0" t="n">
        <v>0.81</v>
      </c>
      <c r="F1551" s="0" t="n">
        <v>0</v>
      </c>
      <c r="G1551" s="0" t="n">
        <v>0</v>
      </c>
      <c r="H1551" s="0" t="n">
        <v>0.78</v>
      </c>
      <c r="I1551" s="0" t="n">
        <v>0</v>
      </c>
      <c r="J1551" s="0" t="n">
        <v>0</v>
      </c>
      <c r="K1551" s="0" t="n">
        <v>0.03</v>
      </c>
      <c r="L1551" s="0" t="n">
        <v>0</v>
      </c>
      <c r="M1551" s="0" t="n">
        <v>0</v>
      </c>
      <c r="N1551" s="0" t="n">
        <v>0</v>
      </c>
      <c r="O1551" s="0" t="n">
        <v>629.63</v>
      </c>
    </row>
    <row r="1552" customFormat="false" ht="15" hidden="false" customHeight="false" outlineLevel="0" collapsed="false">
      <c r="A1552" s="0" t="s">
        <v>298</v>
      </c>
      <c r="B1552" s="0" t="s">
        <v>537</v>
      </c>
      <c r="C1552" s="0" t="n">
        <v>2020</v>
      </c>
      <c r="D1552" s="0" t="n">
        <v>502127</v>
      </c>
      <c r="E1552" s="0" t="n">
        <v>0.82</v>
      </c>
      <c r="F1552" s="0" t="n">
        <v>0</v>
      </c>
      <c r="G1552" s="0" t="n">
        <v>0</v>
      </c>
      <c r="H1552" s="0" t="n">
        <v>0.78</v>
      </c>
      <c r="I1552" s="0" t="n">
        <v>0</v>
      </c>
      <c r="J1552" s="0" t="n">
        <v>0</v>
      </c>
      <c r="K1552" s="0" t="n">
        <v>0.04</v>
      </c>
      <c r="L1552" s="0" t="n">
        <v>0</v>
      </c>
      <c r="M1552" s="0" t="n">
        <v>0</v>
      </c>
      <c r="N1552" s="0" t="n">
        <v>0</v>
      </c>
      <c r="O1552" s="0" t="n">
        <v>621.95</v>
      </c>
    </row>
    <row r="1553" customFormat="false" ht="15" hidden="false" customHeight="false" outlineLevel="0" collapsed="false">
      <c r="A1553" s="0" t="s">
        <v>298</v>
      </c>
      <c r="B1553" s="0" t="s">
        <v>537</v>
      </c>
      <c r="C1553" s="0" t="n">
        <v>2021</v>
      </c>
      <c r="D1553" s="0" t="n">
        <v>516163</v>
      </c>
      <c r="E1553" s="0" t="n">
        <v>0.84</v>
      </c>
      <c r="F1553" s="0" t="n">
        <v>0</v>
      </c>
      <c r="G1553" s="0" t="n">
        <v>0</v>
      </c>
      <c r="H1553" s="0" t="n">
        <v>0.79</v>
      </c>
      <c r="I1553" s="0" t="n">
        <v>0</v>
      </c>
      <c r="J1553" s="0" t="n">
        <v>0</v>
      </c>
      <c r="K1553" s="0" t="n">
        <v>0.05</v>
      </c>
      <c r="L1553" s="0" t="n">
        <v>0</v>
      </c>
      <c r="M1553" s="0" t="n">
        <v>0</v>
      </c>
      <c r="N1553" s="0" t="n">
        <v>0</v>
      </c>
      <c r="O1553" s="0" t="n">
        <v>619.05</v>
      </c>
    </row>
    <row r="1554" customFormat="false" ht="15" hidden="false" customHeight="false" outlineLevel="0" collapsed="false">
      <c r="A1554" s="0" t="s">
        <v>298</v>
      </c>
      <c r="B1554" s="0" t="s">
        <v>537</v>
      </c>
      <c r="C1554" s="0" t="n">
        <v>2022</v>
      </c>
      <c r="D1554" s="0" t="n">
        <v>524116</v>
      </c>
      <c r="E1554" s="0" t="n">
        <v>0.85</v>
      </c>
      <c r="F1554" s="0" t="n">
        <v>0</v>
      </c>
      <c r="G1554" s="0" t="n">
        <v>0</v>
      </c>
      <c r="H1554" s="0" t="n">
        <v>0.79</v>
      </c>
      <c r="I1554" s="0" t="n">
        <v>0</v>
      </c>
      <c r="J1554" s="0" t="n">
        <v>0</v>
      </c>
      <c r="K1554" s="0" t="n">
        <v>0.06</v>
      </c>
      <c r="L1554" s="0" t="n">
        <v>0</v>
      </c>
      <c r="M1554" s="0" t="n">
        <v>0</v>
      </c>
      <c r="N1554" s="0" t="n">
        <v>0</v>
      </c>
      <c r="O1554" s="0" t="n">
        <v>611.77</v>
      </c>
    </row>
    <row r="1555" customFormat="false" ht="15" hidden="false" customHeight="false" outlineLevel="0" collapsed="false">
      <c r="A1555" s="0" t="s">
        <v>298</v>
      </c>
      <c r="B1555" s="0" t="s">
        <v>537</v>
      </c>
      <c r="C1555" s="0" t="n">
        <v>2023</v>
      </c>
      <c r="D1555" s="0" t="n">
        <v>526009</v>
      </c>
      <c r="E1555" s="0" t="n">
        <v>0.85</v>
      </c>
      <c r="F1555" s="0" t="n">
        <v>0</v>
      </c>
      <c r="G1555" s="0" t="n">
        <v>0</v>
      </c>
      <c r="H1555" s="0" t="n">
        <v>0.79</v>
      </c>
      <c r="I1555" s="0" t="n">
        <v>0</v>
      </c>
      <c r="J1555" s="0" t="n">
        <v>0</v>
      </c>
      <c r="K1555" s="0" t="n">
        <v>0.06</v>
      </c>
      <c r="L1555" s="0" t="n">
        <v>0</v>
      </c>
      <c r="M1555" s="0" t="n">
        <v>0</v>
      </c>
      <c r="N1555" s="0" t="n">
        <v>0</v>
      </c>
      <c r="O1555" s="0" t="n">
        <v>611.77</v>
      </c>
    </row>
    <row r="1556" customFormat="false" ht="15" hidden="false" customHeight="false" outlineLevel="0" collapsed="false">
      <c r="A1556" s="0" t="s">
        <v>298</v>
      </c>
      <c r="B1556" s="0" t="s">
        <v>537</v>
      </c>
      <c r="C1556" s="0" t="n">
        <v>2024</v>
      </c>
      <c r="D1556" s="0" t="n">
        <v>527801</v>
      </c>
      <c r="E1556" s="0" t="n">
        <v>0.85</v>
      </c>
      <c r="F1556" s="0" t="n">
        <v>0</v>
      </c>
      <c r="G1556" s="0" t="n">
        <v>0</v>
      </c>
      <c r="H1556" s="0" t="n">
        <v>0.79</v>
      </c>
      <c r="I1556" s="0" t="n">
        <v>0</v>
      </c>
      <c r="J1556" s="0" t="n">
        <v>0</v>
      </c>
      <c r="K1556" s="0" t="n">
        <v>0.06</v>
      </c>
      <c r="L1556" s="0" t="n">
        <v>0</v>
      </c>
      <c r="M1556" s="0" t="n">
        <v>0</v>
      </c>
      <c r="N1556" s="0" t="n">
        <v>0</v>
      </c>
      <c r="O1556" s="0" t="n">
        <v>611.77</v>
      </c>
    </row>
    <row r="1557" customFormat="false" ht="15" hidden="false" customHeight="false" outlineLevel="0" collapsed="false">
      <c r="A1557" s="0" t="s">
        <v>299</v>
      </c>
      <c r="B1557" s="0" t="s">
        <v>538</v>
      </c>
      <c r="C1557" s="0" t="n">
        <v>2015</v>
      </c>
      <c r="D1557" s="0" t="n">
        <v>18593022</v>
      </c>
      <c r="E1557" s="0" t="n">
        <v>2.51</v>
      </c>
      <c r="F1557" s="0" t="n">
        <v>0</v>
      </c>
      <c r="G1557" s="0" t="n">
        <v>0</v>
      </c>
      <c r="H1557" s="0" t="n">
        <v>1.3</v>
      </c>
      <c r="I1557" s="0" t="n">
        <v>0</v>
      </c>
      <c r="J1557" s="0" t="n">
        <v>1.12</v>
      </c>
      <c r="K1557" s="0" t="n">
        <v>0.03</v>
      </c>
      <c r="L1557" s="0" t="n">
        <v>0</v>
      </c>
      <c r="M1557" s="0" t="n">
        <v>0.06</v>
      </c>
      <c r="N1557" s="0" t="n">
        <v>0</v>
      </c>
      <c r="O1557" s="0" t="n">
        <v>358.57</v>
      </c>
    </row>
    <row r="1558" customFormat="false" ht="15" hidden="false" customHeight="false" outlineLevel="0" collapsed="false">
      <c r="A1558" s="0" t="s">
        <v>299</v>
      </c>
      <c r="B1558" s="0" t="s">
        <v>538</v>
      </c>
      <c r="C1558" s="0" t="n">
        <v>2016</v>
      </c>
      <c r="D1558" s="0" t="n">
        <v>19191298</v>
      </c>
      <c r="E1558" s="0" t="n">
        <v>3.02</v>
      </c>
      <c r="F1558" s="0" t="n">
        <v>0</v>
      </c>
      <c r="G1558" s="0" t="n">
        <v>0</v>
      </c>
      <c r="H1558" s="0" t="n">
        <v>1.45</v>
      </c>
      <c r="I1558" s="0" t="n">
        <v>0</v>
      </c>
      <c r="J1558" s="0" t="n">
        <v>1.48</v>
      </c>
      <c r="K1558" s="0" t="n">
        <v>0.03</v>
      </c>
      <c r="L1558" s="0" t="n">
        <v>0</v>
      </c>
      <c r="M1558" s="0" t="n">
        <v>0.06</v>
      </c>
      <c r="N1558" s="0" t="n">
        <v>0</v>
      </c>
      <c r="O1558" s="0" t="n">
        <v>331.13</v>
      </c>
    </row>
    <row r="1559" customFormat="false" ht="15" hidden="false" customHeight="false" outlineLevel="0" collapsed="false">
      <c r="A1559" s="0" t="s">
        <v>299</v>
      </c>
      <c r="B1559" s="0" t="s">
        <v>538</v>
      </c>
      <c r="C1559" s="0" t="n">
        <v>2017</v>
      </c>
      <c r="D1559" s="0" t="n">
        <v>19813016</v>
      </c>
      <c r="E1559" s="0" t="n">
        <v>3.44</v>
      </c>
      <c r="F1559" s="0" t="n">
        <v>0</v>
      </c>
      <c r="G1559" s="0" t="n">
        <v>0</v>
      </c>
      <c r="H1559" s="0" t="n">
        <v>1.87</v>
      </c>
      <c r="I1559" s="0" t="n">
        <v>0</v>
      </c>
      <c r="J1559" s="0" t="n">
        <v>1.48</v>
      </c>
      <c r="K1559" s="0" t="n">
        <v>0.03</v>
      </c>
      <c r="L1559" s="0" t="n">
        <v>0</v>
      </c>
      <c r="M1559" s="0" t="n">
        <v>0.06</v>
      </c>
      <c r="N1559" s="0" t="n">
        <v>0</v>
      </c>
      <c r="O1559" s="0" t="n">
        <v>372.09</v>
      </c>
    </row>
    <row r="1560" customFormat="false" ht="15" hidden="false" customHeight="false" outlineLevel="0" collapsed="false">
      <c r="A1560" s="0" t="s">
        <v>299</v>
      </c>
      <c r="B1560" s="0" t="s">
        <v>538</v>
      </c>
      <c r="C1560" s="0" t="n">
        <v>2018</v>
      </c>
      <c r="D1560" s="0" t="n">
        <v>20442031</v>
      </c>
      <c r="E1560" s="0" t="n">
        <v>3.61</v>
      </c>
      <c r="F1560" s="0" t="n">
        <v>0</v>
      </c>
      <c r="G1560" s="0" t="n">
        <v>0</v>
      </c>
      <c r="H1560" s="0" t="n">
        <v>2.16</v>
      </c>
      <c r="I1560" s="0" t="n">
        <v>0</v>
      </c>
      <c r="J1560" s="0" t="n">
        <v>1.36</v>
      </c>
      <c r="K1560" s="0" t="n">
        <v>0.03</v>
      </c>
      <c r="L1560" s="0" t="n">
        <v>0</v>
      </c>
      <c r="M1560" s="0" t="n">
        <v>0.06</v>
      </c>
      <c r="N1560" s="0" t="n">
        <v>0</v>
      </c>
      <c r="O1560" s="0" t="n">
        <v>404.43</v>
      </c>
    </row>
    <row r="1561" customFormat="false" ht="15" hidden="false" customHeight="false" outlineLevel="0" collapsed="false">
      <c r="A1561" s="0" t="s">
        <v>299</v>
      </c>
      <c r="B1561" s="0" t="s">
        <v>538</v>
      </c>
      <c r="C1561" s="0" t="n">
        <v>2019</v>
      </c>
      <c r="D1561" s="0" t="n">
        <v>21068405</v>
      </c>
      <c r="E1561" s="0" t="n">
        <v>3.81</v>
      </c>
      <c r="F1561" s="0" t="n">
        <v>0</v>
      </c>
      <c r="G1561" s="0" t="n">
        <v>0</v>
      </c>
      <c r="H1561" s="0" t="n">
        <v>2.35</v>
      </c>
      <c r="I1561" s="0" t="n">
        <v>0</v>
      </c>
      <c r="J1561" s="0" t="n">
        <v>1.37</v>
      </c>
      <c r="K1561" s="0" t="n">
        <v>0.03</v>
      </c>
      <c r="L1561" s="0" t="n">
        <v>0</v>
      </c>
      <c r="M1561" s="0" t="n">
        <v>0.06</v>
      </c>
      <c r="N1561" s="0" t="n">
        <v>0</v>
      </c>
      <c r="O1561" s="0" t="n">
        <v>417.32</v>
      </c>
    </row>
    <row r="1562" customFormat="false" ht="15" hidden="false" customHeight="false" outlineLevel="0" collapsed="false">
      <c r="A1562" s="0" t="s">
        <v>299</v>
      </c>
      <c r="B1562" s="0" t="s">
        <v>538</v>
      </c>
      <c r="C1562" s="0" t="n">
        <v>2020</v>
      </c>
      <c r="D1562" s="0" t="n">
        <v>21713837</v>
      </c>
      <c r="E1562" s="0" t="n">
        <v>3.94</v>
      </c>
      <c r="F1562" s="0" t="n">
        <v>0</v>
      </c>
      <c r="G1562" s="0" t="n">
        <v>0</v>
      </c>
      <c r="H1562" s="0" t="n">
        <v>2.33</v>
      </c>
      <c r="I1562" s="0" t="n">
        <v>0</v>
      </c>
      <c r="J1562" s="0" t="n">
        <v>1.44</v>
      </c>
      <c r="K1562" s="0" t="n">
        <v>0.1</v>
      </c>
      <c r="L1562" s="0" t="n">
        <v>0</v>
      </c>
      <c r="M1562" s="0" t="n">
        <v>0.07</v>
      </c>
      <c r="N1562" s="0" t="n">
        <v>0</v>
      </c>
      <c r="O1562" s="0" t="n">
        <v>401.02</v>
      </c>
    </row>
    <row r="1563" customFormat="false" ht="15" hidden="false" customHeight="false" outlineLevel="0" collapsed="false">
      <c r="A1563" s="0" t="s">
        <v>299</v>
      </c>
      <c r="B1563" s="0" t="s">
        <v>538</v>
      </c>
      <c r="C1563" s="0" t="n">
        <v>2021</v>
      </c>
      <c r="D1563" s="0" t="n">
        <v>22388637</v>
      </c>
      <c r="E1563" s="0" t="n">
        <v>3.94</v>
      </c>
      <c r="F1563" s="0" t="n">
        <v>0</v>
      </c>
      <c r="G1563" s="0" t="n">
        <v>0</v>
      </c>
      <c r="H1563" s="0" t="n">
        <v>2.4</v>
      </c>
      <c r="I1563" s="0" t="n">
        <v>0</v>
      </c>
      <c r="J1563" s="0" t="n">
        <v>1.33</v>
      </c>
      <c r="K1563" s="0" t="n">
        <v>0.14</v>
      </c>
      <c r="L1563" s="0" t="n">
        <v>0</v>
      </c>
      <c r="M1563" s="0" t="n">
        <v>0.07</v>
      </c>
      <c r="N1563" s="0" t="n">
        <v>0</v>
      </c>
      <c r="O1563" s="0" t="n">
        <v>416.24</v>
      </c>
    </row>
    <row r="1564" customFormat="false" ht="15" hidden="false" customHeight="false" outlineLevel="0" collapsed="false">
      <c r="A1564" s="0" t="s">
        <v>299</v>
      </c>
      <c r="B1564" s="0" t="s">
        <v>538</v>
      </c>
      <c r="C1564" s="0" t="n">
        <v>2022</v>
      </c>
      <c r="D1564" s="0" t="n">
        <v>23072641</v>
      </c>
      <c r="E1564" s="0" t="n">
        <v>4.34</v>
      </c>
      <c r="F1564" s="0" t="n">
        <v>0</v>
      </c>
      <c r="G1564" s="0" t="n">
        <v>0</v>
      </c>
      <c r="H1564" s="0" t="n">
        <v>2.48</v>
      </c>
      <c r="I1564" s="0" t="n">
        <v>0</v>
      </c>
      <c r="J1564" s="0" t="n">
        <v>1.64</v>
      </c>
      <c r="K1564" s="0" t="n">
        <v>0.15</v>
      </c>
      <c r="L1564" s="0" t="n">
        <v>0</v>
      </c>
      <c r="M1564" s="0" t="n">
        <v>0.07</v>
      </c>
      <c r="N1564" s="0" t="n">
        <v>0</v>
      </c>
      <c r="O1564" s="0" t="n">
        <v>391.71</v>
      </c>
    </row>
    <row r="1565" customFormat="false" ht="15" hidden="false" customHeight="false" outlineLevel="0" collapsed="false">
      <c r="A1565" s="0" t="s">
        <v>299</v>
      </c>
      <c r="B1565" s="0" t="s">
        <v>538</v>
      </c>
      <c r="C1565" s="0" t="n">
        <v>2023</v>
      </c>
      <c r="D1565" s="0" t="n">
        <v>23769130</v>
      </c>
      <c r="E1565" s="0" t="n">
        <v>6.01</v>
      </c>
      <c r="F1565" s="0" t="n">
        <v>0</v>
      </c>
      <c r="G1565" s="0" t="n">
        <v>0</v>
      </c>
      <c r="H1565" s="0" t="n">
        <v>4.82</v>
      </c>
      <c r="I1565" s="0" t="n">
        <v>0</v>
      </c>
      <c r="J1565" s="0" t="n">
        <v>0.97</v>
      </c>
      <c r="K1565" s="0" t="n">
        <v>0.15</v>
      </c>
      <c r="L1565" s="0" t="n">
        <v>0</v>
      </c>
      <c r="M1565" s="0" t="n">
        <v>0.07</v>
      </c>
      <c r="N1565" s="0" t="n">
        <v>0</v>
      </c>
      <c r="O1565" s="0" t="n">
        <v>535.77</v>
      </c>
    </row>
    <row r="1566" customFormat="false" ht="15" hidden="false" customHeight="false" outlineLevel="0" collapsed="false">
      <c r="A1566" s="0" t="s">
        <v>299</v>
      </c>
      <c r="B1566" s="0" t="s">
        <v>538</v>
      </c>
      <c r="C1566" s="0" t="n">
        <v>2024</v>
      </c>
      <c r="D1566" s="0" t="n">
        <v>24478597</v>
      </c>
      <c r="E1566" s="0" t="n">
        <v>5.96</v>
      </c>
      <c r="F1566" s="0" t="n">
        <v>0</v>
      </c>
      <c r="G1566" s="0" t="n">
        <v>0</v>
      </c>
      <c r="H1566" s="0" t="n">
        <v>4.8</v>
      </c>
      <c r="I1566" s="0" t="n">
        <v>0</v>
      </c>
      <c r="J1566" s="0" t="n">
        <v>0.92</v>
      </c>
      <c r="K1566" s="0" t="n">
        <v>0.17</v>
      </c>
      <c r="L1566" s="0" t="n">
        <v>0</v>
      </c>
      <c r="M1566" s="0" t="n">
        <v>0.07</v>
      </c>
      <c r="N1566" s="0" t="n">
        <v>0</v>
      </c>
      <c r="O1566" s="0" t="n">
        <v>538.59</v>
      </c>
    </row>
    <row r="1567" customFormat="false" ht="15" hidden="false" customHeight="false" outlineLevel="0" collapsed="false">
      <c r="A1567" s="0" t="s">
        <v>300</v>
      </c>
      <c r="B1567" s="0" t="s">
        <v>539</v>
      </c>
      <c r="C1567" s="0" t="n">
        <v>2015</v>
      </c>
      <c r="D1567" s="0" t="n">
        <v>444978</v>
      </c>
      <c r="E1567" s="0" t="n">
        <v>1.3</v>
      </c>
      <c r="F1567" s="0" t="n">
        <v>0</v>
      </c>
      <c r="G1567" s="0" t="n">
        <v>0</v>
      </c>
      <c r="H1567" s="0" t="n">
        <v>1.2</v>
      </c>
      <c r="I1567" s="0" t="n">
        <v>0</v>
      </c>
      <c r="J1567" s="0" t="n">
        <v>0</v>
      </c>
      <c r="K1567" s="0" t="n">
        <v>0.09</v>
      </c>
      <c r="L1567" s="0" t="n">
        <v>0</v>
      </c>
      <c r="M1567" s="0" t="n">
        <v>0.01</v>
      </c>
      <c r="N1567" s="0" t="n">
        <v>0</v>
      </c>
      <c r="O1567" s="0" t="n">
        <v>607.69</v>
      </c>
    </row>
    <row r="1568" customFormat="false" ht="15" hidden="false" customHeight="false" outlineLevel="0" collapsed="false">
      <c r="A1568" s="0" t="s">
        <v>300</v>
      </c>
      <c r="B1568" s="0" t="s">
        <v>539</v>
      </c>
      <c r="C1568" s="0" t="n">
        <v>2016</v>
      </c>
      <c r="D1568" s="0" t="n">
        <v>455276</v>
      </c>
      <c r="E1568" s="0" t="n">
        <v>0.86</v>
      </c>
      <c r="F1568" s="0" t="n">
        <v>0</v>
      </c>
      <c r="G1568" s="0" t="n">
        <v>0</v>
      </c>
      <c r="H1568" s="0" t="n">
        <v>0.72</v>
      </c>
      <c r="I1568" s="0" t="n">
        <v>0</v>
      </c>
      <c r="J1568" s="0" t="n">
        <v>0</v>
      </c>
      <c r="K1568" s="0" t="n">
        <v>0.13</v>
      </c>
      <c r="L1568" s="0" t="n">
        <v>0</v>
      </c>
      <c r="M1568" s="0" t="n">
        <v>0.01</v>
      </c>
      <c r="N1568" s="0" t="n">
        <v>0</v>
      </c>
      <c r="O1568" s="0" t="n">
        <v>558.14</v>
      </c>
    </row>
    <row r="1569" customFormat="false" ht="15" hidden="false" customHeight="false" outlineLevel="0" collapsed="false">
      <c r="A1569" s="0" t="s">
        <v>300</v>
      </c>
      <c r="B1569" s="0" t="s">
        <v>539</v>
      </c>
      <c r="C1569" s="0" t="n">
        <v>2017</v>
      </c>
      <c r="D1569" s="0" t="n">
        <v>467902</v>
      </c>
      <c r="E1569" s="0" t="n">
        <v>1.65</v>
      </c>
      <c r="F1569" s="0" t="n">
        <v>0</v>
      </c>
      <c r="G1569" s="0" t="n">
        <v>1.29</v>
      </c>
      <c r="H1569" s="0" t="n">
        <v>0.19</v>
      </c>
      <c r="I1569" s="0" t="n">
        <v>0</v>
      </c>
      <c r="J1569" s="0" t="n">
        <v>0</v>
      </c>
      <c r="K1569" s="0" t="n">
        <v>0.16</v>
      </c>
      <c r="L1569" s="0" t="n">
        <v>0</v>
      </c>
      <c r="M1569" s="0" t="n">
        <v>0.01</v>
      </c>
      <c r="N1569" s="0" t="n">
        <v>0</v>
      </c>
      <c r="O1569" s="0" t="n">
        <v>527.27</v>
      </c>
    </row>
    <row r="1570" customFormat="false" ht="15" hidden="false" customHeight="false" outlineLevel="0" collapsed="false">
      <c r="A1570" s="0" t="s">
        <v>300</v>
      </c>
      <c r="B1570" s="0" t="s">
        <v>539</v>
      </c>
      <c r="C1570" s="0" t="n">
        <v>2018</v>
      </c>
      <c r="D1570" s="0" t="n">
        <v>484560</v>
      </c>
      <c r="E1570" s="0" t="n">
        <v>1.97</v>
      </c>
      <c r="F1570" s="0" t="n">
        <v>0</v>
      </c>
      <c r="G1570" s="0" t="n">
        <v>1.75</v>
      </c>
      <c r="H1570" s="0" t="n">
        <v>0.02</v>
      </c>
      <c r="I1570" s="0" t="n">
        <v>0</v>
      </c>
      <c r="J1570" s="0" t="n">
        <v>0</v>
      </c>
      <c r="K1570" s="0" t="n">
        <v>0.19</v>
      </c>
      <c r="L1570" s="0" t="n">
        <v>0</v>
      </c>
      <c r="M1570" s="0" t="n">
        <v>0.01</v>
      </c>
      <c r="N1570" s="0" t="n">
        <v>0</v>
      </c>
      <c r="O1570" s="0" t="n">
        <v>512.69</v>
      </c>
    </row>
    <row r="1571" customFormat="false" ht="15" hidden="false" customHeight="false" outlineLevel="0" collapsed="false">
      <c r="A1571" s="0" t="s">
        <v>300</v>
      </c>
      <c r="B1571" s="0" t="s">
        <v>539</v>
      </c>
      <c r="C1571" s="0" t="n">
        <v>2019</v>
      </c>
      <c r="D1571" s="0" t="n">
        <v>504017</v>
      </c>
      <c r="E1571" s="0" t="n">
        <v>2.07</v>
      </c>
      <c r="F1571" s="0" t="n">
        <v>0</v>
      </c>
      <c r="G1571" s="0" t="n">
        <v>1.83</v>
      </c>
      <c r="H1571" s="0" t="n">
        <v>0.03</v>
      </c>
      <c r="I1571" s="0" t="n">
        <v>0</v>
      </c>
      <c r="J1571" s="0" t="n">
        <v>0</v>
      </c>
      <c r="K1571" s="0" t="n">
        <v>0.2</v>
      </c>
      <c r="L1571" s="0" t="n">
        <v>0</v>
      </c>
      <c r="M1571" s="0" t="n">
        <v>0.01</v>
      </c>
      <c r="N1571" s="0" t="n">
        <v>0</v>
      </c>
      <c r="O1571" s="0" t="n">
        <v>516.91</v>
      </c>
    </row>
    <row r="1572" customFormat="false" ht="15" hidden="false" customHeight="false" outlineLevel="0" collapsed="false">
      <c r="A1572" s="0" t="s">
        <v>300</v>
      </c>
      <c r="B1572" s="0" t="s">
        <v>539</v>
      </c>
      <c r="C1572" s="0" t="n">
        <v>2020</v>
      </c>
      <c r="D1572" s="0" t="n">
        <v>518212</v>
      </c>
      <c r="E1572" s="0" t="n">
        <v>2.15</v>
      </c>
      <c r="F1572" s="0" t="n">
        <v>0</v>
      </c>
      <c r="G1572" s="0" t="n">
        <v>1.84</v>
      </c>
      <c r="H1572" s="0" t="n">
        <v>0.06</v>
      </c>
      <c r="I1572" s="0" t="n">
        <v>0</v>
      </c>
      <c r="J1572" s="0" t="n">
        <v>0</v>
      </c>
      <c r="K1572" s="0" t="n">
        <v>0.24</v>
      </c>
      <c r="L1572" s="0" t="n">
        <v>0</v>
      </c>
      <c r="M1572" s="0" t="n">
        <v>0.01</v>
      </c>
      <c r="N1572" s="0" t="n">
        <v>0</v>
      </c>
      <c r="O1572" s="0" t="n">
        <v>506.98</v>
      </c>
    </row>
    <row r="1573" customFormat="false" ht="15" hidden="false" customHeight="false" outlineLevel="0" collapsed="false">
      <c r="A1573" s="0" t="s">
        <v>300</v>
      </c>
      <c r="B1573" s="0" t="s">
        <v>539</v>
      </c>
      <c r="C1573" s="0" t="n">
        <v>2021</v>
      </c>
      <c r="D1573" s="0" t="n">
        <v>524383</v>
      </c>
      <c r="E1573" s="0" t="n">
        <v>2.22</v>
      </c>
      <c r="F1573" s="0" t="n">
        <v>0</v>
      </c>
      <c r="G1573" s="0" t="n">
        <v>1.91</v>
      </c>
      <c r="H1573" s="0" t="n">
        <v>0.04</v>
      </c>
      <c r="I1573" s="0" t="n">
        <v>0</v>
      </c>
      <c r="J1573" s="0" t="n">
        <v>0</v>
      </c>
      <c r="K1573" s="0" t="n">
        <v>0.26</v>
      </c>
      <c r="L1573" s="0" t="n">
        <v>0</v>
      </c>
      <c r="M1573" s="0" t="n">
        <v>0.01</v>
      </c>
      <c r="N1573" s="0" t="n">
        <v>0</v>
      </c>
      <c r="O1573" s="0" t="n">
        <v>504.51</v>
      </c>
    </row>
    <row r="1574" customFormat="false" ht="15" hidden="false" customHeight="false" outlineLevel="0" collapsed="false">
      <c r="A1574" s="0" t="s">
        <v>300</v>
      </c>
      <c r="B1574" s="0" t="s">
        <v>539</v>
      </c>
      <c r="C1574" s="0" t="n">
        <v>2022</v>
      </c>
      <c r="D1574" s="0" t="n">
        <v>528194</v>
      </c>
      <c r="E1574" s="0" t="n">
        <v>2.3</v>
      </c>
      <c r="F1574" s="0" t="n">
        <v>0</v>
      </c>
      <c r="G1574" s="0" t="n">
        <v>1.94</v>
      </c>
      <c r="H1574" s="0" t="n">
        <v>0.06</v>
      </c>
      <c r="I1574" s="0" t="n">
        <v>0</v>
      </c>
      <c r="J1574" s="0" t="n">
        <v>0</v>
      </c>
      <c r="K1574" s="0" t="n">
        <v>0.29</v>
      </c>
      <c r="L1574" s="0" t="n">
        <v>0</v>
      </c>
      <c r="M1574" s="0" t="n">
        <v>0.01</v>
      </c>
      <c r="N1574" s="0" t="n">
        <v>0</v>
      </c>
      <c r="O1574" s="0" t="n">
        <v>500</v>
      </c>
    </row>
    <row r="1575" customFormat="false" ht="15" hidden="false" customHeight="false" outlineLevel="0" collapsed="false">
      <c r="A1575" s="0" t="s">
        <v>300</v>
      </c>
      <c r="B1575" s="0" t="s">
        <v>539</v>
      </c>
      <c r="C1575" s="0" t="n">
        <v>2023</v>
      </c>
      <c r="D1575" s="0" t="n">
        <v>532964</v>
      </c>
      <c r="E1575" s="0" t="n">
        <v>2.35</v>
      </c>
      <c r="F1575" s="0" t="n">
        <v>0</v>
      </c>
      <c r="G1575" s="0" t="n">
        <v>2.01</v>
      </c>
      <c r="H1575" s="0" t="n">
        <v>0.02</v>
      </c>
      <c r="I1575" s="0" t="n">
        <v>0</v>
      </c>
      <c r="J1575" s="0" t="n">
        <v>0</v>
      </c>
      <c r="K1575" s="0" t="n">
        <v>0.31</v>
      </c>
      <c r="L1575" s="0" t="n">
        <v>0</v>
      </c>
      <c r="M1575" s="0" t="n">
        <v>0.01</v>
      </c>
      <c r="N1575" s="0" t="n">
        <v>0</v>
      </c>
      <c r="O1575" s="0" t="n">
        <v>493.62</v>
      </c>
    </row>
    <row r="1576" customFormat="false" ht="15" hidden="false" customHeight="false" outlineLevel="0" collapsed="false">
      <c r="A1576" s="0" t="s">
        <v>300</v>
      </c>
      <c r="B1576" s="0" t="s">
        <v>539</v>
      </c>
      <c r="C1576" s="0" t="n">
        <v>2024</v>
      </c>
      <c r="D1576" s="0" t="n">
        <v>539612</v>
      </c>
      <c r="E1576" s="0" t="n">
        <v>2.19</v>
      </c>
      <c r="F1576" s="0" t="n">
        <v>0</v>
      </c>
      <c r="G1576" s="0" t="n">
        <v>1.84</v>
      </c>
      <c r="H1576" s="0" t="n">
        <v>0.01</v>
      </c>
      <c r="I1576" s="0" t="n">
        <v>0</v>
      </c>
      <c r="J1576" s="0" t="n">
        <v>0</v>
      </c>
      <c r="K1576" s="0" t="n">
        <v>0.33</v>
      </c>
      <c r="L1576" s="0" t="n">
        <v>0</v>
      </c>
      <c r="M1576" s="0" t="n">
        <v>0.01</v>
      </c>
      <c r="N1576" s="0" t="n">
        <v>0</v>
      </c>
      <c r="O1576" s="0" t="n">
        <v>488.58</v>
      </c>
    </row>
    <row r="1577" customFormat="false" ht="15" hidden="false" customHeight="false" outlineLevel="0" collapsed="false">
      <c r="A1577" s="0" t="s">
        <v>300</v>
      </c>
      <c r="B1577" s="0" t="s">
        <v>539</v>
      </c>
      <c r="C1577" s="0" t="n">
        <v>2025</v>
      </c>
      <c r="D1577" s="0" t="n">
        <v>545406</v>
      </c>
      <c r="E1577" s="0" t="n">
        <v>2.19</v>
      </c>
      <c r="F1577" s="0" t="n">
        <v>0</v>
      </c>
      <c r="G1577" s="0" t="n">
        <v>1.82</v>
      </c>
      <c r="H1577" s="0" t="n">
        <v>0.02</v>
      </c>
      <c r="I1577" s="0" t="n">
        <v>0</v>
      </c>
      <c r="J1577" s="0" t="n">
        <v>0</v>
      </c>
      <c r="K1577" s="0" t="n">
        <v>0.34</v>
      </c>
      <c r="L1577" s="0" t="n">
        <v>0</v>
      </c>
      <c r="M1577" s="0" t="n">
        <v>0.01</v>
      </c>
      <c r="N1577" s="0" t="n">
        <v>0</v>
      </c>
      <c r="O1577" s="0" t="n">
        <v>484.02</v>
      </c>
    </row>
    <row r="1578" customFormat="false" ht="15" hidden="false" customHeight="false" outlineLevel="0" collapsed="false">
      <c r="A1578" s="0" t="s">
        <v>301</v>
      </c>
      <c r="B1578" s="0" t="s">
        <v>540</v>
      </c>
      <c r="C1578" s="0" t="n">
        <v>2015</v>
      </c>
      <c r="D1578" s="0" t="n">
        <v>383737</v>
      </c>
      <c r="E1578" s="0" t="n">
        <v>1.56</v>
      </c>
      <c r="H1578" s="0" t="n">
        <v>1.47</v>
      </c>
      <c r="K1578" s="0" t="n">
        <v>0.08</v>
      </c>
      <c r="L1578" s="0" t="n">
        <v>0</v>
      </c>
      <c r="M1578" s="0" t="n">
        <v>0</v>
      </c>
      <c r="N1578" s="0" t="n">
        <v>0.01</v>
      </c>
      <c r="O1578" s="0" t="n">
        <v>621.8</v>
      </c>
    </row>
    <row r="1579" customFormat="false" ht="15" hidden="false" customHeight="false" outlineLevel="0" collapsed="false">
      <c r="A1579" s="0" t="s">
        <v>301</v>
      </c>
      <c r="B1579" s="0" t="s">
        <v>540</v>
      </c>
      <c r="C1579" s="0" t="n">
        <v>2016</v>
      </c>
      <c r="D1579" s="0" t="n">
        <v>378892</v>
      </c>
      <c r="E1579" s="0" t="n">
        <v>1.58</v>
      </c>
      <c r="H1579" s="0" t="n">
        <v>1.49</v>
      </c>
      <c r="K1579" s="0" t="n">
        <v>0.08</v>
      </c>
      <c r="L1579" s="0" t="n">
        <v>0</v>
      </c>
      <c r="M1579" s="0" t="n">
        <v>0</v>
      </c>
      <c r="N1579" s="0" t="n">
        <v>0.01</v>
      </c>
      <c r="O1579" s="0" t="n">
        <v>620.25</v>
      </c>
    </row>
    <row r="1580" customFormat="false" ht="15" hidden="false" customHeight="false" outlineLevel="0" collapsed="false">
      <c r="A1580" s="0" t="s">
        <v>301</v>
      </c>
      <c r="B1580" s="0" t="s">
        <v>540</v>
      </c>
      <c r="C1580" s="0" t="n">
        <v>2017</v>
      </c>
      <c r="D1580" s="0" t="n">
        <v>371510</v>
      </c>
      <c r="E1580" s="0" t="n">
        <v>1.56</v>
      </c>
      <c r="H1580" s="0" t="n">
        <v>1.47</v>
      </c>
      <c r="K1580" s="0" t="n">
        <v>0.08</v>
      </c>
      <c r="L1580" s="0" t="n">
        <v>0</v>
      </c>
      <c r="M1580" s="0" t="n">
        <v>0</v>
      </c>
      <c r="N1580" s="0" t="n">
        <v>0.01</v>
      </c>
      <c r="O1580" s="0" t="n">
        <v>621.8</v>
      </c>
    </row>
    <row r="1581" customFormat="false" ht="15" hidden="false" customHeight="false" outlineLevel="0" collapsed="false">
      <c r="A1581" s="0" t="s">
        <v>301</v>
      </c>
      <c r="B1581" s="0" t="s">
        <v>540</v>
      </c>
      <c r="C1581" s="0" t="n">
        <v>2018</v>
      </c>
      <c r="D1581" s="0" t="n">
        <v>364100</v>
      </c>
      <c r="E1581" s="0" t="n">
        <v>1.54</v>
      </c>
      <c r="H1581" s="0" t="n">
        <v>1.36</v>
      </c>
      <c r="K1581" s="0" t="n">
        <v>0.08</v>
      </c>
      <c r="L1581" s="0" t="n">
        <v>0.01</v>
      </c>
      <c r="M1581" s="0" t="n">
        <v>0.08</v>
      </c>
      <c r="N1581" s="0" t="n">
        <v>0.01</v>
      </c>
      <c r="O1581" s="0" t="n">
        <v>590.91</v>
      </c>
    </row>
    <row r="1582" customFormat="false" ht="15" hidden="false" customHeight="false" outlineLevel="0" collapsed="false">
      <c r="A1582" s="0" t="s">
        <v>301</v>
      </c>
      <c r="B1582" s="0" t="s">
        <v>540</v>
      </c>
      <c r="C1582" s="0" t="n">
        <v>2019</v>
      </c>
      <c r="D1582" s="0" t="n">
        <v>359621</v>
      </c>
      <c r="E1582" s="0" t="n">
        <v>1.55</v>
      </c>
      <c r="H1582" s="0" t="n">
        <v>1.16</v>
      </c>
      <c r="J1582" s="0" t="n">
        <v>0</v>
      </c>
      <c r="K1582" s="0" t="n">
        <v>0.09</v>
      </c>
      <c r="L1582" s="0" t="n">
        <v>0.05</v>
      </c>
      <c r="M1582" s="0" t="n">
        <v>0.24</v>
      </c>
      <c r="N1582" s="0" t="n">
        <v>0.01</v>
      </c>
      <c r="O1582" s="0" t="n">
        <v>522.58</v>
      </c>
    </row>
    <row r="1583" customFormat="false" ht="15" hidden="false" customHeight="false" outlineLevel="0" collapsed="false">
      <c r="A1583" s="0" t="s">
        <v>301</v>
      </c>
      <c r="B1583" s="0" t="s">
        <v>540</v>
      </c>
      <c r="C1583" s="0" t="n">
        <v>2020</v>
      </c>
      <c r="D1583" s="0" t="n">
        <v>356625</v>
      </c>
      <c r="E1583" s="0" t="n">
        <v>1.5</v>
      </c>
      <c r="H1583" s="0" t="n">
        <v>1.16</v>
      </c>
      <c r="J1583" s="0" t="n">
        <v>0</v>
      </c>
      <c r="K1583" s="0" t="n">
        <v>0.08</v>
      </c>
      <c r="L1583" s="0" t="n">
        <v>0.04</v>
      </c>
      <c r="M1583" s="0" t="n">
        <v>0.22</v>
      </c>
      <c r="N1583" s="0" t="n">
        <v>0</v>
      </c>
      <c r="O1583" s="0" t="n">
        <v>540</v>
      </c>
    </row>
    <row r="1584" customFormat="false" ht="15" hidden="false" customHeight="false" outlineLevel="0" collapsed="false">
      <c r="A1584" s="0" t="s">
        <v>301</v>
      </c>
      <c r="B1584" s="0" t="s">
        <v>540</v>
      </c>
      <c r="C1584" s="0" t="n">
        <v>2021</v>
      </c>
      <c r="D1584" s="0" t="n">
        <v>353286</v>
      </c>
      <c r="E1584" s="0" t="n">
        <v>1.51</v>
      </c>
      <c r="H1584" s="0" t="n">
        <v>1.13</v>
      </c>
      <c r="J1584" s="0" t="n">
        <v>0</v>
      </c>
      <c r="K1584" s="0" t="n">
        <v>0.09</v>
      </c>
      <c r="L1584" s="0" t="n">
        <v>0.05</v>
      </c>
      <c r="M1584" s="0" t="n">
        <v>0.23</v>
      </c>
      <c r="N1584" s="0" t="n">
        <v>0.01</v>
      </c>
      <c r="O1584" s="0" t="n">
        <v>523.18</v>
      </c>
    </row>
    <row r="1585" customFormat="false" ht="15" hidden="false" customHeight="false" outlineLevel="0" collapsed="false">
      <c r="A1585" s="0" t="s">
        <v>301</v>
      </c>
      <c r="B1585" s="0" t="s">
        <v>540</v>
      </c>
      <c r="C1585" s="0" t="n">
        <v>2022</v>
      </c>
      <c r="D1585" s="0" t="n">
        <v>349462</v>
      </c>
      <c r="E1585" s="0" t="n">
        <v>1.49</v>
      </c>
      <c r="H1585" s="0" t="n">
        <v>1.1</v>
      </c>
      <c r="J1585" s="0" t="n">
        <v>0</v>
      </c>
      <c r="K1585" s="0" t="n">
        <v>0.09</v>
      </c>
      <c r="L1585" s="0" t="n">
        <v>0.04</v>
      </c>
      <c r="M1585" s="0" t="n">
        <v>0.25</v>
      </c>
      <c r="N1585" s="0" t="n">
        <v>0.01</v>
      </c>
      <c r="O1585" s="0" t="n">
        <v>516.78</v>
      </c>
    </row>
    <row r="1586" customFormat="false" ht="15" hidden="false" customHeight="false" outlineLevel="0" collapsed="false">
      <c r="A1586" s="0" t="s">
        <v>301</v>
      </c>
      <c r="B1586" s="0" t="s">
        <v>540</v>
      </c>
      <c r="C1586" s="0" t="n">
        <v>2023</v>
      </c>
      <c r="D1586" s="0" t="n">
        <v>346008</v>
      </c>
      <c r="E1586" s="0" t="n">
        <v>1.51</v>
      </c>
      <c r="H1586" s="0" t="n">
        <v>1.12</v>
      </c>
      <c r="J1586" s="0" t="n">
        <v>0</v>
      </c>
      <c r="K1586" s="0" t="n">
        <v>0.11</v>
      </c>
      <c r="L1586" s="0" t="n">
        <v>0.03</v>
      </c>
      <c r="M1586" s="0" t="n">
        <v>0.24</v>
      </c>
      <c r="N1586" s="0" t="n">
        <v>0.01</v>
      </c>
      <c r="O1586" s="0" t="n">
        <v>529.8</v>
      </c>
    </row>
    <row r="1587" customFormat="false" ht="15" hidden="false" customHeight="false" outlineLevel="0" collapsed="false">
      <c r="A1587" s="0" t="s">
        <v>302</v>
      </c>
      <c r="B1587" s="0" t="s">
        <v>541</v>
      </c>
      <c r="C1587" s="0" t="n">
        <v>2015</v>
      </c>
      <c r="D1587" s="0" t="n">
        <v>3965959</v>
      </c>
      <c r="E1587" s="0" t="n">
        <v>1.16</v>
      </c>
      <c r="F1587" s="0" t="n">
        <v>0</v>
      </c>
      <c r="G1587" s="0" t="n">
        <v>0</v>
      </c>
      <c r="H1587" s="0" t="n">
        <v>0.84</v>
      </c>
      <c r="I1587" s="0" t="n">
        <v>0</v>
      </c>
      <c r="J1587" s="0" t="n">
        <v>0.19</v>
      </c>
      <c r="K1587" s="0" t="n">
        <v>0.03</v>
      </c>
      <c r="L1587" s="0" t="n">
        <v>0.1</v>
      </c>
      <c r="M1587" s="0" t="n">
        <v>0</v>
      </c>
      <c r="N1587" s="0" t="n">
        <v>0</v>
      </c>
      <c r="O1587" s="0" t="n">
        <v>474.14</v>
      </c>
    </row>
    <row r="1588" customFormat="false" ht="15" hidden="false" customHeight="false" outlineLevel="0" collapsed="false">
      <c r="A1588" s="0" t="s">
        <v>302</v>
      </c>
      <c r="B1588" s="0" t="s">
        <v>541</v>
      </c>
      <c r="C1588" s="0" t="n">
        <v>2016</v>
      </c>
      <c r="D1588" s="0" t="n">
        <v>4086655</v>
      </c>
      <c r="E1588" s="0" t="n">
        <v>1.16</v>
      </c>
      <c r="F1588" s="0" t="n">
        <v>0</v>
      </c>
      <c r="G1588" s="0" t="n">
        <v>0</v>
      </c>
      <c r="H1588" s="0" t="n">
        <v>0.87</v>
      </c>
      <c r="I1588" s="0" t="n">
        <v>0</v>
      </c>
      <c r="J1588" s="0" t="n">
        <v>0.13</v>
      </c>
      <c r="K1588" s="0" t="n">
        <v>0.06</v>
      </c>
      <c r="L1588" s="0" t="n">
        <v>0.1</v>
      </c>
      <c r="M1588" s="0" t="n">
        <v>0</v>
      </c>
      <c r="N1588" s="0" t="n">
        <v>0</v>
      </c>
      <c r="O1588" s="0" t="n">
        <v>491.38</v>
      </c>
    </row>
    <row r="1589" customFormat="false" ht="15" hidden="false" customHeight="false" outlineLevel="0" collapsed="false">
      <c r="A1589" s="0" t="s">
        <v>302</v>
      </c>
      <c r="B1589" s="0" t="s">
        <v>541</v>
      </c>
      <c r="C1589" s="0" t="n">
        <v>2017</v>
      </c>
      <c r="D1589" s="0" t="n">
        <v>4210603</v>
      </c>
      <c r="E1589" s="0" t="n">
        <v>1.35</v>
      </c>
      <c r="F1589" s="0" t="n">
        <v>0</v>
      </c>
      <c r="G1589" s="0" t="n">
        <v>0</v>
      </c>
      <c r="H1589" s="0" t="n">
        <v>1.02</v>
      </c>
      <c r="I1589" s="0" t="n">
        <v>0</v>
      </c>
      <c r="J1589" s="0" t="n">
        <v>0.17</v>
      </c>
      <c r="K1589" s="0" t="n">
        <v>0.06</v>
      </c>
      <c r="L1589" s="0" t="n">
        <v>0.1</v>
      </c>
      <c r="M1589" s="0" t="n">
        <v>0</v>
      </c>
      <c r="N1589" s="0" t="n">
        <v>0</v>
      </c>
      <c r="O1589" s="0" t="n">
        <v>496.3</v>
      </c>
    </row>
    <row r="1590" customFormat="false" ht="15" hidden="false" customHeight="false" outlineLevel="0" collapsed="false">
      <c r="A1590" s="0" t="s">
        <v>302</v>
      </c>
      <c r="B1590" s="0" t="s">
        <v>541</v>
      </c>
      <c r="C1590" s="0" t="n">
        <v>2018</v>
      </c>
      <c r="D1590" s="0" t="n">
        <v>4337685</v>
      </c>
      <c r="E1590" s="0" t="n">
        <v>1.46</v>
      </c>
      <c r="F1590" s="0" t="n">
        <v>0</v>
      </c>
      <c r="G1590" s="0" t="n">
        <v>0</v>
      </c>
      <c r="H1590" s="0" t="n">
        <v>1.02</v>
      </c>
      <c r="I1590" s="0" t="n">
        <v>0</v>
      </c>
      <c r="J1590" s="0" t="n">
        <v>0.19</v>
      </c>
      <c r="K1590" s="0" t="n">
        <v>0.15</v>
      </c>
      <c r="L1590" s="0" t="n">
        <v>0.1</v>
      </c>
      <c r="M1590" s="0" t="n">
        <v>0</v>
      </c>
      <c r="N1590" s="0" t="n">
        <v>0</v>
      </c>
      <c r="O1590" s="0" t="n">
        <v>465.75</v>
      </c>
    </row>
    <row r="1591" customFormat="false" ht="15" hidden="false" customHeight="false" outlineLevel="0" collapsed="false">
      <c r="A1591" s="0" t="s">
        <v>302</v>
      </c>
      <c r="B1591" s="0" t="s">
        <v>541</v>
      </c>
      <c r="C1591" s="0" t="n">
        <v>2019</v>
      </c>
      <c r="D1591" s="0" t="n">
        <v>4467714</v>
      </c>
      <c r="E1591" s="0" t="n">
        <v>1.57</v>
      </c>
      <c r="F1591" s="0" t="n">
        <v>0</v>
      </c>
      <c r="G1591" s="0" t="n">
        <v>0</v>
      </c>
      <c r="H1591" s="0" t="n">
        <v>1.1</v>
      </c>
      <c r="I1591" s="0" t="n">
        <v>0</v>
      </c>
      <c r="J1591" s="0" t="n">
        <v>0.2</v>
      </c>
      <c r="K1591" s="0" t="n">
        <v>0.15</v>
      </c>
      <c r="L1591" s="0" t="n">
        <v>0.12</v>
      </c>
      <c r="M1591" s="0" t="n">
        <v>0</v>
      </c>
      <c r="N1591" s="0" t="n">
        <v>0</v>
      </c>
      <c r="O1591" s="0" t="n">
        <v>464.97</v>
      </c>
    </row>
    <row r="1592" customFormat="false" ht="15" hidden="false" customHeight="false" outlineLevel="0" collapsed="false">
      <c r="A1592" s="0" t="s">
        <v>302</v>
      </c>
      <c r="B1592" s="0" t="s">
        <v>541</v>
      </c>
      <c r="C1592" s="0" t="n">
        <v>2020</v>
      </c>
      <c r="D1592" s="0" t="n">
        <v>4600136</v>
      </c>
      <c r="E1592" s="0" t="n">
        <v>1.63</v>
      </c>
      <c r="F1592" s="0" t="n">
        <v>0</v>
      </c>
      <c r="G1592" s="0" t="n">
        <v>0</v>
      </c>
      <c r="H1592" s="0" t="n">
        <v>1.16</v>
      </c>
      <c r="I1592" s="0" t="n">
        <v>0</v>
      </c>
      <c r="J1592" s="0" t="n">
        <v>0.21</v>
      </c>
      <c r="K1592" s="0" t="n">
        <v>0.14</v>
      </c>
      <c r="L1592" s="0" t="n">
        <v>0.12</v>
      </c>
      <c r="M1592" s="0" t="n">
        <v>0</v>
      </c>
      <c r="N1592" s="0" t="n">
        <v>0</v>
      </c>
      <c r="O1592" s="0" t="n">
        <v>472.39</v>
      </c>
    </row>
    <row r="1593" customFormat="false" ht="15" hidden="false" customHeight="false" outlineLevel="0" collapsed="false">
      <c r="A1593" s="0" t="s">
        <v>302</v>
      </c>
      <c r="B1593" s="0" t="s">
        <v>541</v>
      </c>
      <c r="C1593" s="0" t="n">
        <v>2021</v>
      </c>
      <c r="D1593" s="0" t="n">
        <v>4734874</v>
      </c>
      <c r="E1593" s="0" t="n">
        <v>1.58</v>
      </c>
      <c r="F1593" s="0" t="n">
        <v>0</v>
      </c>
      <c r="G1593" s="0" t="n">
        <v>0</v>
      </c>
      <c r="H1593" s="0" t="n">
        <v>1.13</v>
      </c>
      <c r="I1593" s="0" t="n">
        <v>0</v>
      </c>
      <c r="J1593" s="0" t="n">
        <v>0.21</v>
      </c>
      <c r="K1593" s="0" t="n">
        <v>0.14</v>
      </c>
      <c r="L1593" s="0" t="n">
        <v>0.1</v>
      </c>
      <c r="M1593" s="0" t="n">
        <v>0</v>
      </c>
      <c r="N1593" s="0" t="n">
        <v>0</v>
      </c>
      <c r="O1593" s="0" t="n">
        <v>474.68</v>
      </c>
    </row>
    <row r="1594" customFormat="false" ht="15" hidden="false" customHeight="false" outlineLevel="0" collapsed="false">
      <c r="A1594" s="0" t="s">
        <v>302</v>
      </c>
      <c r="B1594" s="0" t="s">
        <v>541</v>
      </c>
      <c r="C1594" s="0" t="n">
        <v>2022</v>
      </c>
      <c r="D1594" s="0" t="n">
        <v>4875644</v>
      </c>
      <c r="E1594" s="0" t="n">
        <v>1.64</v>
      </c>
      <c r="F1594" s="0" t="n">
        <v>0</v>
      </c>
      <c r="G1594" s="0" t="n">
        <v>0</v>
      </c>
      <c r="H1594" s="0" t="n">
        <v>1.19</v>
      </c>
      <c r="I1594" s="0" t="n">
        <v>0</v>
      </c>
      <c r="J1594" s="0" t="n">
        <v>0.21</v>
      </c>
      <c r="K1594" s="0" t="n">
        <v>0.14</v>
      </c>
      <c r="L1594" s="0" t="n">
        <v>0.1</v>
      </c>
      <c r="M1594" s="0" t="n">
        <v>0</v>
      </c>
      <c r="N1594" s="0" t="n">
        <v>0</v>
      </c>
      <c r="O1594" s="0" t="n">
        <v>481.71</v>
      </c>
    </row>
    <row r="1595" customFormat="false" ht="15" hidden="false" customHeight="false" outlineLevel="0" collapsed="false">
      <c r="A1595" s="0" t="s">
        <v>302</v>
      </c>
      <c r="B1595" s="0" t="s">
        <v>541</v>
      </c>
      <c r="C1595" s="0" t="n">
        <v>2023</v>
      </c>
      <c r="D1595" s="0" t="n">
        <v>5022442</v>
      </c>
      <c r="E1595" s="0" t="n">
        <v>2.09</v>
      </c>
      <c r="F1595" s="0" t="n">
        <v>0</v>
      </c>
      <c r="G1595" s="0" t="n">
        <v>0</v>
      </c>
      <c r="H1595" s="0" t="n">
        <v>1.64</v>
      </c>
      <c r="I1595" s="0" t="n">
        <v>0</v>
      </c>
      <c r="J1595" s="0" t="n">
        <v>0.21</v>
      </c>
      <c r="K1595" s="0" t="n">
        <v>0.14</v>
      </c>
      <c r="L1595" s="0" t="n">
        <v>0.1</v>
      </c>
      <c r="M1595" s="0" t="n">
        <v>0</v>
      </c>
      <c r="N1595" s="0" t="n">
        <v>0</v>
      </c>
      <c r="O1595" s="0" t="n">
        <v>521.53</v>
      </c>
    </row>
    <row r="1596" customFormat="false" ht="15" hidden="false" customHeight="false" outlineLevel="0" collapsed="false">
      <c r="A1596" s="0" t="s">
        <v>302</v>
      </c>
      <c r="B1596" s="0" t="s">
        <v>541</v>
      </c>
      <c r="C1596" s="0" t="n">
        <v>2024</v>
      </c>
      <c r="D1596" s="0" t="n">
        <v>5169403</v>
      </c>
      <c r="E1596" s="0" t="n">
        <v>2.07</v>
      </c>
      <c r="F1596" s="0" t="n">
        <v>0</v>
      </c>
      <c r="G1596" s="0" t="n">
        <v>0</v>
      </c>
      <c r="H1596" s="0" t="n">
        <v>1.6</v>
      </c>
      <c r="I1596" s="0" t="n">
        <v>0</v>
      </c>
      <c r="J1596" s="0" t="n">
        <v>0.21</v>
      </c>
      <c r="K1596" s="0" t="n">
        <v>0.16</v>
      </c>
      <c r="L1596" s="0" t="n">
        <v>0.1</v>
      </c>
      <c r="M1596" s="0" t="n">
        <v>0</v>
      </c>
      <c r="N1596" s="0" t="n">
        <v>0</v>
      </c>
      <c r="O1596" s="0" t="n">
        <v>512.08</v>
      </c>
    </row>
    <row r="1597" customFormat="false" ht="15" hidden="false" customHeight="false" outlineLevel="0" collapsed="false">
      <c r="A1597" s="0" t="s">
        <v>303</v>
      </c>
      <c r="B1597" s="0" t="s">
        <v>542</v>
      </c>
      <c r="C1597" s="0" t="n">
        <v>2015</v>
      </c>
      <c r="D1597" s="0" t="n">
        <v>1292283</v>
      </c>
      <c r="E1597" s="0" t="n">
        <v>2.99</v>
      </c>
      <c r="F1597" s="0" t="n">
        <v>1.18</v>
      </c>
      <c r="G1597" s="0" t="n">
        <v>0</v>
      </c>
      <c r="H1597" s="0" t="n">
        <v>1.13</v>
      </c>
      <c r="I1597" s="0" t="n">
        <v>0</v>
      </c>
      <c r="J1597" s="0" t="n">
        <v>0.12</v>
      </c>
      <c r="K1597" s="0" t="n">
        <v>0.03</v>
      </c>
      <c r="L1597" s="0" t="n">
        <v>0</v>
      </c>
      <c r="M1597" s="0" t="n">
        <v>0.53</v>
      </c>
      <c r="N1597" s="0" t="n">
        <v>0</v>
      </c>
      <c r="O1597" s="0" t="n">
        <v>622.07</v>
      </c>
    </row>
    <row r="1598" customFormat="false" ht="15" hidden="false" customHeight="false" outlineLevel="0" collapsed="false">
      <c r="A1598" s="0" t="s">
        <v>303</v>
      </c>
      <c r="B1598" s="0" t="s">
        <v>542</v>
      </c>
      <c r="C1598" s="0" t="n">
        <v>2016</v>
      </c>
      <c r="D1598" s="0" t="n">
        <v>1291807</v>
      </c>
      <c r="E1598" s="0" t="n">
        <v>3.05</v>
      </c>
      <c r="F1598" s="0" t="n">
        <v>1.27</v>
      </c>
      <c r="G1598" s="0" t="n">
        <v>0</v>
      </c>
      <c r="H1598" s="0" t="n">
        <v>1.11</v>
      </c>
      <c r="I1598" s="0" t="n">
        <v>0</v>
      </c>
      <c r="J1598" s="0" t="n">
        <v>0.1</v>
      </c>
      <c r="K1598" s="0" t="n">
        <v>0.03</v>
      </c>
      <c r="L1598" s="0" t="n">
        <v>0.02</v>
      </c>
      <c r="M1598" s="0" t="n">
        <v>0.52</v>
      </c>
      <c r="N1598" s="0" t="n">
        <v>0</v>
      </c>
      <c r="O1598" s="0" t="n">
        <v>632.79</v>
      </c>
    </row>
    <row r="1599" customFormat="false" ht="15" hidden="false" customHeight="false" outlineLevel="0" collapsed="false">
      <c r="A1599" s="0" t="s">
        <v>303</v>
      </c>
      <c r="B1599" s="0" t="s">
        <v>542</v>
      </c>
      <c r="C1599" s="0" t="n">
        <v>2017</v>
      </c>
      <c r="D1599" s="0" t="n">
        <v>1290654</v>
      </c>
      <c r="E1599" s="0" t="n">
        <v>3.11</v>
      </c>
      <c r="F1599" s="0" t="n">
        <v>1.31</v>
      </c>
      <c r="G1599" s="0" t="n">
        <v>0</v>
      </c>
      <c r="H1599" s="0" t="n">
        <v>1.18</v>
      </c>
      <c r="I1599" s="0" t="n">
        <v>0</v>
      </c>
      <c r="J1599" s="0" t="n">
        <v>0.09</v>
      </c>
      <c r="K1599" s="0" t="n">
        <v>0.04</v>
      </c>
      <c r="L1599" s="0" t="n">
        <v>0.01</v>
      </c>
      <c r="M1599" s="0" t="n">
        <v>0.48</v>
      </c>
      <c r="N1599" s="0" t="n">
        <v>0</v>
      </c>
      <c r="O1599" s="0" t="n">
        <v>643.09</v>
      </c>
    </row>
    <row r="1600" customFormat="false" ht="15" hidden="false" customHeight="false" outlineLevel="0" collapsed="false">
      <c r="A1600" s="0" t="s">
        <v>303</v>
      </c>
      <c r="B1600" s="0" t="s">
        <v>542</v>
      </c>
      <c r="C1600" s="0" t="n">
        <v>2018</v>
      </c>
      <c r="D1600" s="0" t="n">
        <v>1288836</v>
      </c>
      <c r="E1600" s="0" t="n">
        <v>3.12</v>
      </c>
      <c r="F1600" s="0" t="n">
        <v>1.26</v>
      </c>
      <c r="G1600" s="0" t="n">
        <v>0</v>
      </c>
      <c r="H1600" s="0" t="n">
        <v>1.22</v>
      </c>
      <c r="I1600" s="0" t="n">
        <v>0</v>
      </c>
      <c r="J1600" s="0" t="n">
        <v>0.12</v>
      </c>
      <c r="K1600" s="0" t="n">
        <v>0.05</v>
      </c>
      <c r="L1600" s="0" t="n">
        <v>0.01</v>
      </c>
      <c r="M1600" s="0" t="n">
        <v>0.46</v>
      </c>
      <c r="N1600" s="0" t="n">
        <v>0</v>
      </c>
      <c r="O1600" s="0" t="n">
        <v>634.62</v>
      </c>
    </row>
    <row r="1601" customFormat="false" ht="15" hidden="false" customHeight="false" outlineLevel="0" collapsed="false">
      <c r="A1601" s="0" t="s">
        <v>303</v>
      </c>
      <c r="B1601" s="0" t="s">
        <v>542</v>
      </c>
      <c r="C1601" s="0" t="n">
        <v>2019</v>
      </c>
      <c r="D1601" s="0" t="n">
        <v>1286269</v>
      </c>
      <c r="E1601" s="0" t="n">
        <v>3.23</v>
      </c>
      <c r="F1601" s="0" t="n">
        <v>1.17</v>
      </c>
      <c r="G1601" s="0" t="n">
        <v>0</v>
      </c>
      <c r="H1601" s="0" t="n">
        <v>1.36</v>
      </c>
      <c r="I1601" s="0" t="n">
        <v>0</v>
      </c>
      <c r="J1601" s="0" t="n">
        <v>0.1</v>
      </c>
      <c r="K1601" s="0" t="n">
        <v>0.13</v>
      </c>
      <c r="L1601" s="0" t="n">
        <v>0.01</v>
      </c>
      <c r="M1601" s="0" t="n">
        <v>0.46</v>
      </c>
      <c r="N1601" s="0" t="n">
        <v>0</v>
      </c>
      <c r="O1601" s="0" t="n">
        <v>619.2</v>
      </c>
    </row>
    <row r="1602" customFormat="false" ht="15" hidden="false" customHeight="false" outlineLevel="0" collapsed="false">
      <c r="A1602" s="0" t="s">
        <v>303</v>
      </c>
      <c r="B1602" s="0" t="s">
        <v>542</v>
      </c>
      <c r="C1602" s="0" t="n">
        <v>2020</v>
      </c>
      <c r="D1602" s="0" t="n">
        <v>1283231</v>
      </c>
      <c r="E1602" s="0" t="n">
        <v>2.9</v>
      </c>
      <c r="F1602" s="0" t="n">
        <v>1.14</v>
      </c>
      <c r="G1602" s="0" t="n">
        <v>0</v>
      </c>
      <c r="H1602" s="0" t="n">
        <v>1.06</v>
      </c>
      <c r="I1602" s="0" t="n">
        <v>0</v>
      </c>
      <c r="J1602" s="0" t="n">
        <v>0.12</v>
      </c>
      <c r="K1602" s="0" t="n">
        <v>0.15</v>
      </c>
      <c r="L1602" s="0" t="n">
        <v>0.02</v>
      </c>
      <c r="M1602" s="0" t="n">
        <v>0.41</v>
      </c>
      <c r="N1602" s="0" t="n">
        <v>0</v>
      </c>
      <c r="O1602" s="0" t="n">
        <v>613.79</v>
      </c>
    </row>
    <row r="1603" customFormat="false" ht="15" hidden="false" customHeight="false" outlineLevel="0" collapsed="false">
      <c r="A1603" s="0" t="s">
        <v>303</v>
      </c>
      <c r="B1603" s="0" t="s">
        <v>542</v>
      </c>
      <c r="C1603" s="0" t="n">
        <v>2021</v>
      </c>
      <c r="D1603" s="0" t="n">
        <v>1279628</v>
      </c>
      <c r="E1603" s="0" t="n">
        <v>2.99</v>
      </c>
      <c r="F1603" s="0" t="n">
        <v>1.25</v>
      </c>
      <c r="G1603" s="0" t="n">
        <v>0</v>
      </c>
      <c r="H1603" s="0" t="n">
        <v>1.1</v>
      </c>
      <c r="I1603" s="0" t="n">
        <v>0</v>
      </c>
      <c r="J1603" s="0" t="n">
        <v>0.11</v>
      </c>
      <c r="K1603" s="0" t="n">
        <v>0.15</v>
      </c>
      <c r="L1603" s="0" t="n">
        <v>0.01</v>
      </c>
      <c r="M1603" s="0" t="n">
        <v>0.37</v>
      </c>
      <c r="N1603" s="0" t="n">
        <v>0</v>
      </c>
      <c r="O1603" s="0" t="n">
        <v>628.76</v>
      </c>
    </row>
    <row r="1604" customFormat="false" ht="15" hidden="false" customHeight="false" outlineLevel="0" collapsed="false">
      <c r="A1604" s="0" t="s">
        <v>303</v>
      </c>
      <c r="B1604" s="0" t="s">
        <v>542</v>
      </c>
      <c r="C1604" s="0" t="n">
        <v>2022</v>
      </c>
      <c r="D1604" s="0" t="n">
        <v>1276134</v>
      </c>
      <c r="E1604" s="0" t="n">
        <v>3.12</v>
      </c>
      <c r="F1604" s="0" t="n">
        <v>0.98</v>
      </c>
      <c r="G1604" s="0" t="n">
        <v>0</v>
      </c>
      <c r="H1604" s="0" t="n">
        <v>1.53</v>
      </c>
      <c r="I1604" s="0" t="n">
        <v>0</v>
      </c>
      <c r="J1604" s="0" t="n">
        <v>0.13</v>
      </c>
      <c r="K1604" s="0" t="n">
        <v>0.16</v>
      </c>
      <c r="L1604" s="0" t="n">
        <v>0.02</v>
      </c>
      <c r="M1604" s="0" t="n">
        <v>0.3</v>
      </c>
      <c r="N1604" s="0" t="n">
        <v>0</v>
      </c>
      <c r="O1604" s="0" t="n">
        <v>615.39</v>
      </c>
    </row>
    <row r="1605" customFormat="false" ht="15" hidden="false" customHeight="false" outlineLevel="0" collapsed="false">
      <c r="A1605" s="0" t="s">
        <v>303</v>
      </c>
      <c r="B1605" s="0" t="s">
        <v>542</v>
      </c>
      <c r="C1605" s="0" t="n">
        <v>2023</v>
      </c>
      <c r="D1605" s="0" t="n">
        <v>1273591</v>
      </c>
      <c r="E1605" s="0" t="n">
        <v>3.27</v>
      </c>
      <c r="F1605" s="0" t="n">
        <v>1.1</v>
      </c>
      <c r="G1605" s="0" t="n">
        <v>0</v>
      </c>
      <c r="H1605" s="0" t="n">
        <v>1.6</v>
      </c>
      <c r="I1605" s="0" t="n">
        <v>0</v>
      </c>
      <c r="J1605" s="0" t="n">
        <v>0.09</v>
      </c>
      <c r="K1605" s="0" t="n">
        <v>0.15</v>
      </c>
      <c r="L1605" s="0" t="n">
        <v>0.01</v>
      </c>
      <c r="M1605" s="0" t="n">
        <v>0.32</v>
      </c>
      <c r="N1605" s="0" t="n">
        <v>0</v>
      </c>
      <c r="O1605" s="0" t="n">
        <v>633.03</v>
      </c>
    </row>
    <row r="1606" customFormat="false" ht="15" hidden="false" customHeight="false" outlineLevel="0" collapsed="false">
      <c r="A1606" s="0" t="s">
        <v>303</v>
      </c>
      <c r="B1606" s="0" t="s">
        <v>542</v>
      </c>
      <c r="C1606" s="0" t="n">
        <v>2024</v>
      </c>
      <c r="D1606" s="0" t="n">
        <v>1271171</v>
      </c>
      <c r="E1606" s="0" t="n">
        <v>3.41</v>
      </c>
      <c r="F1606" s="0" t="n">
        <v>1.34</v>
      </c>
      <c r="G1606" s="0" t="n">
        <v>0</v>
      </c>
      <c r="H1606" s="0" t="n">
        <v>1.46</v>
      </c>
      <c r="I1606" s="0" t="n">
        <v>0</v>
      </c>
      <c r="J1606" s="0" t="n">
        <v>0.11</v>
      </c>
      <c r="K1606" s="0" t="n">
        <v>0.17</v>
      </c>
      <c r="L1606" s="0" t="n">
        <v>0.01</v>
      </c>
      <c r="M1606" s="0" t="n">
        <v>0.32</v>
      </c>
      <c r="N1606" s="0" t="n">
        <v>0</v>
      </c>
      <c r="O1606" s="0" t="n">
        <v>642.23</v>
      </c>
    </row>
    <row r="1607" customFormat="false" ht="15" hidden="false" customHeight="false" outlineLevel="0" collapsed="false">
      <c r="A1607" s="0" t="s">
        <v>304</v>
      </c>
      <c r="B1607" s="0" t="s">
        <v>543</v>
      </c>
      <c r="C1607" s="0" t="n">
        <v>2015</v>
      </c>
      <c r="D1607" s="0" t="n">
        <v>121072310</v>
      </c>
      <c r="E1607" s="0" t="n">
        <v>310.36</v>
      </c>
      <c r="F1607" s="0" t="n">
        <v>33.76</v>
      </c>
      <c r="G1607" s="0" t="n">
        <v>185.55</v>
      </c>
      <c r="H1607" s="0" t="n">
        <v>31.23</v>
      </c>
      <c r="I1607" s="0" t="n">
        <v>11.58</v>
      </c>
      <c r="J1607" s="0" t="n">
        <v>30.89</v>
      </c>
      <c r="K1607" s="0" t="n">
        <v>0.2</v>
      </c>
      <c r="L1607" s="0" t="n">
        <v>8.75</v>
      </c>
      <c r="M1607" s="0" t="n">
        <v>8.4</v>
      </c>
      <c r="O1607" s="0" t="n">
        <v>533.9</v>
      </c>
    </row>
    <row r="1608" customFormat="false" ht="15" hidden="false" customHeight="false" outlineLevel="0" collapsed="false">
      <c r="A1608" s="0" t="s">
        <v>304</v>
      </c>
      <c r="B1608" s="0" t="s">
        <v>543</v>
      </c>
      <c r="C1608" s="0" t="n">
        <v>2016</v>
      </c>
      <c r="D1608" s="0" t="n">
        <v>122251344</v>
      </c>
      <c r="E1608" s="0" t="n">
        <v>320.35</v>
      </c>
      <c r="F1608" s="0" t="n">
        <v>34.45</v>
      </c>
      <c r="G1608" s="0" t="n">
        <v>192.83</v>
      </c>
      <c r="H1608" s="0" t="n">
        <v>33.52</v>
      </c>
      <c r="I1608" s="0" t="n">
        <v>10.57</v>
      </c>
      <c r="J1608" s="0" t="n">
        <v>30.03</v>
      </c>
      <c r="K1608" s="0" t="n">
        <v>0.25</v>
      </c>
      <c r="L1608" s="0" t="n">
        <v>10.38</v>
      </c>
      <c r="M1608" s="0" t="n">
        <v>8.32</v>
      </c>
      <c r="O1608" s="0" t="n">
        <v>537.6</v>
      </c>
    </row>
    <row r="1609" customFormat="false" ht="15" hidden="false" customHeight="false" outlineLevel="0" collapsed="false">
      <c r="A1609" s="0" t="s">
        <v>304</v>
      </c>
      <c r="B1609" s="0" t="s">
        <v>543</v>
      </c>
      <c r="C1609" s="0" t="n">
        <v>2017</v>
      </c>
      <c r="D1609" s="0" t="n">
        <v>123400052</v>
      </c>
      <c r="E1609" s="0" t="n">
        <v>329.09</v>
      </c>
      <c r="F1609" s="0" t="n">
        <v>30.86</v>
      </c>
      <c r="G1609" s="0" t="n">
        <v>197.7</v>
      </c>
      <c r="H1609" s="0" t="n">
        <v>38.87</v>
      </c>
      <c r="I1609" s="0" t="n">
        <v>10.88</v>
      </c>
      <c r="J1609" s="0" t="n">
        <v>30.88</v>
      </c>
      <c r="K1609" s="0" t="n">
        <v>1.19</v>
      </c>
      <c r="L1609" s="0" t="n">
        <v>10.62</v>
      </c>
      <c r="M1609" s="0" t="n">
        <v>8.09</v>
      </c>
      <c r="O1609" s="0" t="n">
        <v>533.68</v>
      </c>
    </row>
    <row r="1610" customFormat="false" ht="15" hidden="false" customHeight="false" outlineLevel="0" collapsed="false">
      <c r="A1610" s="0" t="s">
        <v>304</v>
      </c>
      <c r="B1610" s="0" t="s">
        <v>543</v>
      </c>
      <c r="C1610" s="0" t="n">
        <v>2018</v>
      </c>
      <c r="D1610" s="0" t="n">
        <v>124573713</v>
      </c>
      <c r="E1610" s="0" t="n">
        <v>349.29</v>
      </c>
      <c r="F1610" s="0" t="n">
        <v>29.03</v>
      </c>
      <c r="G1610" s="0" t="n">
        <v>215.77</v>
      </c>
      <c r="H1610" s="0" t="n">
        <v>35.7</v>
      </c>
      <c r="I1610" s="0" t="n">
        <v>13.55</v>
      </c>
      <c r="J1610" s="0" t="n">
        <v>32.23</v>
      </c>
      <c r="K1610" s="0" t="n">
        <v>3.21</v>
      </c>
      <c r="L1610" s="0" t="n">
        <v>12.44</v>
      </c>
      <c r="M1610" s="0" t="n">
        <v>7.36</v>
      </c>
      <c r="O1610" s="0" t="n">
        <v>523.92</v>
      </c>
    </row>
    <row r="1611" customFormat="false" ht="15" hidden="false" customHeight="false" outlineLevel="0" collapsed="false">
      <c r="A1611" s="0" t="s">
        <v>304</v>
      </c>
      <c r="B1611" s="0" t="s">
        <v>543</v>
      </c>
      <c r="C1611" s="0" t="n">
        <v>2019</v>
      </c>
      <c r="D1611" s="0" t="n">
        <v>125762978</v>
      </c>
      <c r="E1611" s="0" t="n">
        <v>344.57</v>
      </c>
      <c r="F1611" s="0" t="n">
        <v>32.68</v>
      </c>
      <c r="G1611" s="0" t="n">
        <v>208.41</v>
      </c>
      <c r="H1611" s="0" t="n">
        <v>34.79</v>
      </c>
      <c r="I1611" s="0" t="n">
        <v>11.19</v>
      </c>
      <c r="J1611" s="0" t="n">
        <v>23.6</v>
      </c>
      <c r="K1611" s="0" t="n">
        <v>9.96</v>
      </c>
      <c r="L1611" s="0" t="n">
        <v>16.73</v>
      </c>
      <c r="M1611" s="0" t="n">
        <v>7.21</v>
      </c>
      <c r="O1611" s="0" t="n">
        <v>525.73</v>
      </c>
    </row>
    <row r="1612" customFormat="false" ht="15" hidden="false" customHeight="false" outlineLevel="0" collapsed="false">
      <c r="A1612" s="0" t="s">
        <v>304</v>
      </c>
      <c r="B1612" s="0" t="s">
        <v>543</v>
      </c>
      <c r="C1612" s="0" t="n">
        <v>2020</v>
      </c>
      <c r="D1612" s="0" t="n">
        <v>126799053</v>
      </c>
      <c r="E1612" s="0" t="n">
        <v>325.73</v>
      </c>
      <c r="F1612" s="0" t="n">
        <v>15.3</v>
      </c>
      <c r="G1612" s="0" t="n">
        <v>209.26</v>
      </c>
      <c r="H1612" s="0" t="n">
        <v>20.62</v>
      </c>
      <c r="I1612" s="0" t="n">
        <v>11.18</v>
      </c>
      <c r="J1612" s="0" t="n">
        <v>26.82</v>
      </c>
      <c r="K1612" s="0" t="n">
        <v>15.84</v>
      </c>
      <c r="L1612" s="0" t="n">
        <v>19.7</v>
      </c>
      <c r="M1612" s="0" t="n">
        <v>7.01</v>
      </c>
      <c r="O1612" s="0" t="n">
        <v>484.05</v>
      </c>
    </row>
    <row r="1613" customFormat="false" ht="15" hidden="false" customHeight="false" outlineLevel="0" collapsed="false">
      <c r="A1613" s="0" t="s">
        <v>304</v>
      </c>
      <c r="B1613" s="0" t="s">
        <v>543</v>
      </c>
      <c r="C1613" s="0" t="n">
        <v>2021</v>
      </c>
      <c r="D1613" s="0" t="n">
        <v>127648151</v>
      </c>
      <c r="E1613" s="0" t="n">
        <v>328.59</v>
      </c>
      <c r="F1613" s="0" t="n">
        <v>7.38</v>
      </c>
      <c r="G1613" s="0" t="n">
        <v>195.73</v>
      </c>
      <c r="H1613" s="0" t="n">
        <v>31.47</v>
      </c>
      <c r="I1613" s="0" t="n">
        <v>11.92</v>
      </c>
      <c r="J1613" s="0" t="n">
        <v>34.72</v>
      </c>
      <c r="K1613" s="0" t="n">
        <v>20.19</v>
      </c>
      <c r="L1613" s="0" t="n">
        <v>21.07</v>
      </c>
      <c r="M1613" s="0" t="n">
        <v>6.11</v>
      </c>
      <c r="O1613" s="0" t="n">
        <v>456.25</v>
      </c>
    </row>
    <row r="1614" customFormat="false" ht="15" hidden="false" customHeight="false" outlineLevel="0" collapsed="false">
      <c r="A1614" s="0" t="s">
        <v>304</v>
      </c>
      <c r="B1614" s="0" t="s">
        <v>543</v>
      </c>
      <c r="C1614" s="0" t="n">
        <v>2022</v>
      </c>
      <c r="D1614" s="0" t="n">
        <v>128613116</v>
      </c>
      <c r="E1614" s="0" t="n">
        <v>340.15</v>
      </c>
      <c r="F1614" s="0" t="n">
        <v>10.38</v>
      </c>
      <c r="G1614" s="0" t="n">
        <v>203.16</v>
      </c>
      <c r="H1614" s="0" t="n">
        <v>32.63</v>
      </c>
      <c r="I1614" s="0" t="n">
        <v>10.85</v>
      </c>
      <c r="J1614" s="0" t="n">
        <v>35.56</v>
      </c>
      <c r="K1614" s="0" t="n">
        <v>20.34</v>
      </c>
      <c r="L1614" s="0" t="n">
        <v>20.53</v>
      </c>
      <c r="M1614" s="0" t="n">
        <v>6.7</v>
      </c>
      <c r="O1614" s="0" t="n">
        <v>464.38</v>
      </c>
    </row>
    <row r="1615" customFormat="false" ht="15" hidden="false" customHeight="false" outlineLevel="0" collapsed="false">
      <c r="A1615" s="0" t="s">
        <v>304</v>
      </c>
      <c r="B1615" s="0" t="s">
        <v>543</v>
      </c>
      <c r="C1615" s="0" t="n">
        <v>2023</v>
      </c>
      <c r="D1615" s="0" t="n">
        <v>129739761</v>
      </c>
      <c r="E1615" s="0" t="n">
        <v>351.7</v>
      </c>
      <c r="F1615" s="0" t="n">
        <v>13.53</v>
      </c>
      <c r="G1615" s="0" t="n">
        <v>219.24</v>
      </c>
      <c r="H1615" s="0" t="n">
        <v>35.26</v>
      </c>
      <c r="I1615" s="0" t="n">
        <v>12.39</v>
      </c>
      <c r="J1615" s="0" t="n">
        <v>20.61</v>
      </c>
      <c r="K1615" s="0" t="n">
        <v>23.34</v>
      </c>
      <c r="L1615" s="0" t="n">
        <v>20.7</v>
      </c>
      <c r="M1615" s="0" t="n">
        <v>6.63</v>
      </c>
      <c r="O1615" s="0" t="n">
        <v>489.05</v>
      </c>
    </row>
    <row r="1616" customFormat="false" ht="15" hidden="false" customHeight="false" outlineLevel="0" collapsed="false">
      <c r="A1616" s="0" t="s">
        <v>304</v>
      </c>
      <c r="B1616" s="0" t="s">
        <v>543</v>
      </c>
      <c r="C1616" s="0" t="n">
        <v>2024</v>
      </c>
      <c r="D1616" s="0" t="n">
        <v>130861001</v>
      </c>
      <c r="E1616" s="0" t="n">
        <v>355.18</v>
      </c>
      <c r="F1616" s="0" t="n">
        <v>12.39</v>
      </c>
      <c r="G1616" s="0" t="n">
        <v>221.67</v>
      </c>
      <c r="H1616" s="0" t="n">
        <v>33.81</v>
      </c>
      <c r="I1616" s="0" t="n">
        <v>12.31</v>
      </c>
      <c r="J1616" s="0" t="n">
        <v>23.54</v>
      </c>
      <c r="K1616" s="0" t="n">
        <v>25.72</v>
      </c>
      <c r="L1616" s="0" t="n">
        <v>19.75</v>
      </c>
      <c r="M1616" s="0" t="n">
        <v>5.99</v>
      </c>
      <c r="O1616" s="0" t="n">
        <v>483.14</v>
      </c>
    </row>
    <row r="1617" customFormat="false" ht="15" hidden="false" customHeight="false" outlineLevel="0" collapsed="false">
      <c r="A1617" s="0" t="s">
        <v>304</v>
      </c>
      <c r="B1617" s="0" t="s">
        <v>543</v>
      </c>
      <c r="C1617" s="0" t="n">
        <v>2025</v>
      </c>
      <c r="D1617" s="0" t="n">
        <v>131946897</v>
      </c>
      <c r="E1617" s="0" t="n">
        <v>356.97</v>
      </c>
      <c r="F1617" s="0" t="n">
        <v>10.88</v>
      </c>
      <c r="G1617" s="0" t="n">
        <v>219.92</v>
      </c>
      <c r="H1617" s="0" t="n">
        <v>33.58</v>
      </c>
      <c r="I1617" s="0" t="n">
        <v>10.16</v>
      </c>
      <c r="J1617" s="0" t="n">
        <v>28.75</v>
      </c>
      <c r="K1617" s="0" t="n">
        <v>26.34</v>
      </c>
      <c r="L1617" s="0" t="n">
        <v>21.38</v>
      </c>
      <c r="M1617" s="0" t="n">
        <v>5.96</v>
      </c>
      <c r="O1617" s="0" t="n">
        <v>474.02</v>
      </c>
    </row>
    <row r="1618" customFormat="false" ht="15" hidden="false" customHeight="false" outlineLevel="0" collapsed="false">
      <c r="A1618" s="0" t="s">
        <v>685</v>
      </c>
      <c r="B1618" s="0" t="s">
        <v>686</v>
      </c>
      <c r="C1618" s="0" t="n">
        <v>2015</v>
      </c>
      <c r="D1618" s="0" t="n">
        <v>108727</v>
      </c>
    </row>
    <row r="1619" customFormat="false" ht="15" hidden="false" customHeight="false" outlineLevel="0" collapsed="false">
      <c r="A1619" s="0" t="s">
        <v>685</v>
      </c>
      <c r="B1619" s="0" t="s">
        <v>686</v>
      </c>
      <c r="C1619" s="0" t="n">
        <v>2016</v>
      </c>
      <c r="D1619" s="0" t="n">
        <v>109088</v>
      </c>
    </row>
    <row r="1620" customFormat="false" ht="15" hidden="false" customHeight="false" outlineLevel="0" collapsed="false">
      <c r="A1620" s="0" t="s">
        <v>685</v>
      </c>
      <c r="B1620" s="0" t="s">
        <v>686</v>
      </c>
      <c r="C1620" s="0" t="n">
        <v>2017</v>
      </c>
      <c r="D1620" s="0" t="n">
        <v>109495</v>
      </c>
    </row>
    <row r="1621" customFormat="false" ht="15" hidden="false" customHeight="false" outlineLevel="0" collapsed="false">
      <c r="A1621" s="0" t="s">
        <v>685</v>
      </c>
      <c r="B1621" s="0" t="s">
        <v>686</v>
      </c>
      <c r="C1621" s="0" t="n">
        <v>2018</v>
      </c>
      <c r="D1621" s="0" t="n">
        <v>109925</v>
      </c>
    </row>
    <row r="1622" customFormat="false" ht="15" hidden="false" customHeight="false" outlineLevel="0" collapsed="false">
      <c r="A1622" s="0" t="s">
        <v>685</v>
      </c>
      <c r="B1622" s="0" t="s">
        <v>686</v>
      </c>
      <c r="C1622" s="0" t="n">
        <v>2019</v>
      </c>
      <c r="D1622" s="0" t="n">
        <v>110293</v>
      </c>
    </row>
    <row r="1623" customFormat="false" ht="15" hidden="false" customHeight="false" outlineLevel="0" collapsed="false">
      <c r="A1623" s="0" t="s">
        <v>685</v>
      </c>
      <c r="B1623" s="0" t="s">
        <v>686</v>
      </c>
      <c r="C1623" s="0" t="n">
        <v>2020</v>
      </c>
      <c r="D1623" s="0" t="n">
        <v>110930</v>
      </c>
    </row>
    <row r="1624" customFormat="false" ht="15" hidden="false" customHeight="false" outlineLevel="0" collapsed="false">
      <c r="A1624" s="0" t="s">
        <v>685</v>
      </c>
      <c r="B1624" s="0" t="s">
        <v>686</v>
      </c>
      <c r="C1624" s="0" t="n">
        <v>2021</v>
      </c>
      <c r="D1624" s="0" t="n">
        <v>111635</v>
      </c>
    </row>
    <row r="1625" customFormat="false" ht="15" hidden="false" customHeight="false" outlineLevel="0" collapsed="false">
      <c r="A1625" s="0" t="s">
        <v>685</v>
      </c>
      <c r="B1625" s="0" t="s">
        <v>686</v>
      </c>
      <c r="C1625" s="0" t="n">
        <v>2022</v>
      </c>
      <c r="D1625" s="0" t="n">
        <v>112122</v>
      </c>
    </row>
    <row r="1626" customFormat="false" ht="15" hidden="false" customHeight="false" outlineLevel="0" collapsed="false">
      <c r="A1626" s="0" t="s">
        <v>685</v>
      </c>
      <c r="B1626" s="0" t="s">
        <v>686</v>
      </c>
      <c r="C1626" s="0" t="n">
        <v>2023</v>
      </c>
      <c r="D1626" s="0" t="n">
        <v>112646</v>
      </c>
    </row>
    <row r="1627" customFormat="false" ht="15" hidden="false" customHeight="false" outlineLevel="0" collapsed="false">
      <c r="A1627" s="0" t="s">
        <v>687</v>
      </c>
      <c r="C1627" s="0" t="n">
        <v>2015</v>
      </c>
      <c r="E1627" s="0" t="n">
        <v>34.085</v>
      </c>
      <c r="I1627" s="0" t="n">
        <v>0</v>
      </c>
      <c r="J1627" s="0" t="n">
        <v>21.215</v>
      </c>
      <c r="K1627" s="0" t="n">
        <v>0.013</v>
      </c>
      <c r="L1627" s="0" t="n">
        <v>0</v>
      </c>
    </row>
    <row r="1628" customFormat="false" ht="15" hidden="false" customHeight="false" outlineLevel="0" collapsed="false">
      <c r="A1628" s="0" t="s">
        <v>687</v>
      </c>
      <c r="C1628" s="0" t="n">
        <v>2016</v>
      </c>
      <c r="E1628" s="0" t="n">
        <v>34.705</v>
      </c>
      <c r="I1628" s="0" t="n">
        <v>0</v>
      </c>
      <c r="J1628" s="0" t="n">
        <v>22.276</v>
      </c>
      <c r="K1628" s="0" t="n">
        <v>0.02</v>
      </c>
      <c r="L1628" s="0" t="n">
        <v>0.009</v>
      </c>
    </row>
    <row r="1629" customFormat="false" ht="15" hidden="false" customHeight="false" outlineLevel="0" collapsed="false">
      <c r="A1629" s="0" t="s">
        <v>687</v>
      </c>
      <c r="C1629" s="0" t="n">
        <v>2017</v>
      </c>
      <c r="E1629" s="0" t="n">
        <v>36.028</v>
      </c>
      <c r="I1629" s="0" t="n">
        <v>0</v>
      </c>
      <c r="J1629" s="0" t="n">
        <v>25.196</v>
      </c>
      <c r="K1629" s="0" t="n">
        <v>0.025</v>
      </c>
      <c r="L1629" s="0" t="n">
        <v>0.009</v>
      </c>
    </row>
    <row r="1630" customFormat="false" ht="15" hidden="false" customHeight="false" outlineLevel="0" collapsed="false">
      <c r="A1630" s="0" t="s">
        <v>687</v>
      </c>
      <c r="C1630" s="0" t="n">
        <v>2018</v>
      </c>
      <c r="E1630" s="0" t="n">
        <v>39.847</v>
      </c>
      <c r="I1630" s="0" t="n">
        <v>0</v>
      </c>
      <c r="J1630" s="0" t="n">
        <v>28.355</v>
      </c>
      <c r="K1630" s="0" t="n">
        <v>0.029</v>
      </c>
      <c r="L1630" s="0" t="n">
        <v>0.009</v>
      </c>
    </row>
    <row r="1631" customFormat="false" ht="15" hidden="false" customHeight="false" outlineLevel="0" collapsed="false">
      <c r="A1631" s="0" t="s">
        <v>687</v>
      </c>
      <c r="C1631" s="0" t="n">
        <v>2019</v>
      </c>
      <c r="E1631" s="0" t="n">
        <v>41.894</v>
      </c>
      <c r="I1631" s="0" t="n">
        <v>0</v>
      </c>
      <c r="J1631" s="0" t="n">
        <v>29.882</v>
      </c>
      <c r="K1631" s="0" t="n">
        <v>0.034</v>
      </c>
      <c r="L1631" s="0" t="n">
        <v>0.009</v>
      </c>
    </row>
    <row r="1632" customFormat="false" ht="15" hidden="false" customHeight="false" outlineLevel="0" collapsed="false">
      <c r="A1632" s="0" t="s">
        <v>687</v>
      </c>
      <c r="C1632" s="0" t="n">
        <v>2020</v>
      </c>
      <c r="E1632" s="0" t="n">
        <v>43.412</v>
      </c>
      <c r="I1632" s="0" t="n">
        <v>0</v>
      </c>
      <c r="J1632" s="0" t="n">
        <v>32.808</v>
      </c>
      <c r="K1632" s="0" t="n">
        <v>0.041</v>
      </c>
      <c r="L1632" s="0" t="n">
        <v>0.009</v>
      </c>
    </row>
    <row r="1633" customFormat="false" ht="15" hidden="false" customHeight="false" outlineLevel="0" collapsed="false">
      <c r="A1633" s="0" t="s">
        <v>687</v>
      </c>
      <c r="C1633" s="0" t="n">
        <v>2021</v>
      </c>
      <c r="E1633" s="0" t="n">
        <v>46.165</v>
      </c>
      <c r="I1633" s="0" t="n">
        <v>0</v>
      </c>
      <c r="J1633" s="0" t="n">
        <v>34.528</v>
      </c>
      <c r="K1633" s="0" t="n">
        <v>0.064</v>
      </c>
      <c r="L1633" s="0" t="n">
        <v>0.009</v>
      </c>
    </row>
    <row r="1634" customFormat="false" ht="15" hidden="false" customHeight="false" outlineLevel="0" collapsed="false">
      <c r="A1634" s="0" t="s">
        <v>687</v>
      </c>
      <c r="C1634" s="0" t="n">
        <v>2022</v>
      </c>
      <c r="E1634" s="0" t="n">
        <v>46.63</v>
      </c>
      <c r="I1634" s="0" t="n">
        <v>0</v>
      </c>
      <c r="J1634" s="0" t="n">
        <v>35.55</v>
      </c>
      <c r="K1634" s="0" t="n">
        <v>0.13</v>
      </c>
      <c r="L1634" s="0" t="n">
        <v>0.009</v>
      </c>
    </row>
    <row r="1635" customFormat="false" ht="15" hidden="false" customHeight="false" outlineLevel="0" collapsed="false">
      <c r="A1635" s="0" t="s">
        <v>687</v>
      </c>
      <c r="C1635" s="0" t="n">
        <v>2023</v>
      </c>
      <c r="E1635" s="0" t="n">
        <v>48.673</v>
      </c>
      <c r="I1635" s="0" t="n">
        <v>0</v>
      </c>
      <c r="J1635" s="0" t="n">
        <v>38.381</v>
      </c>
      <c r="K1635" s="0" t="n">
        <v>0.329</v>
      </c>
      <c r="L1635" s="0" t="n">
        <v>0.009</v>
      </c>
    </row>
    <row r="1636" customFormat="false" ht="15" hidden="false" customHeight="false" outlineLevel="0" collapsed="false">
      <c r="A1636" s="0" t="s">
        <v>687</v>
      </c>
      <c r="C1636" s="0" t="n">
        <v>2024</v>
      </c>
      <c r="E1636" s="0" t="n">
        <v>49.077</v>
      </c>
      <c r="I1636" s="0" t="n">
        <v>0</v>
      </c>
      <c r="J1636" s="0" t="n">
        <v>39.29</v>
      </c>
      <c r="K1636" s="0" t="n">
        <v>0.372</v>
      </c>
      <c r="L1636" s="0" t="n">
        <v>0.009</v>
      </c>
    </row>
    <row r="1637" customFormat="false" ht="15" hidden="false" customHeight="false" outlineLevel="0" collapsed="false">
      <c r="A1637" s="0" t="s">
        <v>688</v>
      </c>
      <c r="C1637" s="0" t="n">
        <v>2015</v>
      </c>
      <c r="E1637" s="0" t="n">
        <v>1134.406</v>
      </c>
      <c r="F1637" s="0" t="n">
        <v>29.678</v>
      </c>
      <c r="G1637" s="0" t="n">
        <v>715.847</v>
      </c>
      <c r="H1637" s="0" t="n">
        <v>366.07</v>
      </c>
      <c r="I1637" s="0" t="n">
        <v>3.495</v>
      </c>
      <c r="J1637" s="0" t="n">
        <v>16.767</v>
      </c>
      <c r="K1637" s="0" t="n">
        <v>1.829</v>
      </c>
      <c r="L1637" s="0" t="n">
        <v>0.28</v>
      </c>
    </row>
    <row r="1638" customFormat="false" ht="15" hidden="false" customHeight="false" outlineLevel="0" collapsed="false">
      <c r="A1638" s="0" t="s">
        <v>688</v>
      </c>
      <c r="C1638" s="0" t="n">
        <v>2016</v>
      </c>
      <c r="E1638" s="0" t="n">
        <v>1166.78</v>
      </c>
      <c r="F1638" s="0" t="n">
        <v>24.693</v>
      </c>
      <c r="G1638" s="0" t="n">
        <v>783.63</v>
      </c>
      <c r="H1638" s="0" t="n">
        <v>327.872</v>
      </c>
      <c r="I1638" s="0" t="n">
        <v>6.474</v>
      </c>
      <c r="J1638" s="0" t="n">
        <v>20.171</v>
      </c>
      <c r="K1638" s="0" t="n">
        <v>2.849</v>
      </c>
      <c r="L1638" s="0" t="n">
        <v>0.585</v>
      </c>
    </row>
    <row r="1639" customFormat="false" ht="15" hidden="false" customHeight="false" outlineLevel="0" collapsed="false">
      <c r="A1639" s="0" t="s">
        <v>688</v>
      </c>
      <c r="C1639" s="0" t="n">
        <v>2017</v>
      </c>
      <c r="E1639" s="0" t="n">
        <v>1246.245</v>
      </c>
      <c r="F1639" s="0" t="n">
        <v>22.764</v>
      </c>
      <c r="G1639" s="0" t="n">
        <v>862.016</v>
      </c>
      <c r="H1639" s="0" t="n">
        <v>328.673</v>
      </c>
      <c r="I1639" s="0" t="n">
        <v>6.958</v>
      </c>
      <c r="J1639" s="0" t="n">
        <v>20.639</v>
      </c>
      <c r="K1639" s="0" t="n">
        <v>3.857</v>
      </c>
      <c r="L1639" s="0" t="n">
        <v>0.813</v>
      </c>
    </row>
    <row r="1640" customFormat="false" ht="15" hidden="false" customHeight="false" outlineLevel="0" collapsed="false">
      <c r="A1640" s="0" t="s">
        <v>688</v>
      </c>
      <c r="C1640" s="0" t="n">
        <v>2018</v>
      </c>
      <c r="E1640" s="0" t="n">
        <v>1254.66</v>
      </c>
      <c r="F1640" s="0" t="n">
        <v>21.284</v>
      </c>
      <c r="G1640" s="0" t="n">
        <v>903.085</v>
      </c>
      <c r="H1640" s="0" t="n">
        <v>302.592</v>
      </c>
      <c r="I1640" s="0" t="n">
        <v>6.885</v>
      </c>
      <c r="J1640" s="0" t="n">
        <v>12.803</v>
      </c>
      <c r="K1640" s="0" t="n">
        <v>5.945</v>
      </c>
      <c r="L1640" s="0" t="n">
        <v>1.506</v>
      </c>
    </row>
    <row r="1641" customFormat="false" ht="15" hidden="false" customHeight="false" outlineLevel="0" collapsed="false">
      <c r="A1641" s="0" t="s">
        <v>688</v>
      </c>
      <c r="C1641" s="0" t="n">
        <v>2019</v>
      </c>
      <c r="E1641" s="0" t="n">
        <v>1295.896</v>
      </c>
      <c r="F1641" s="0" t="n">
        <v>22.746</v>
      </c>
      <c r="G1641" s="0" t="n">
        <v>897.471</v>
      </c>
      <c r="H1641" s="0" t="n">
        <v>315.477</v>
      </c>
      <c r="I1641" s="0" t="n">
        <v>6.411</v>
      </c>
      <c r="J1641" s="0" t="n">
        <v>40.588</v>
      </c>
      <c r="K1641" s="0" t="n">
        <v>11.001</v>
      </c>
      <c r="L1641" s="0" t="n">
        <v>1.679</v>
      </c>
    </row>
    <row r="1642" customFormat="false" ht="15" hidden="false" customHeight="false" outlineLevel="0" collapsed="false">
      <c r="A1642" s="0" t="s">
        <v>688</v>
      </c>
      <c r="C1642" s="0" t="n">
        <v>2020</v>
      </c>
      <c r="E1642" s="0" t="n">
        <v>1309.786</v>
      </c>
      <c r="F1642" s="0" t="n">
        <v>20.538</v>
      </c>
      <c r="G1642" s="0" t="n">
        <v>924.403</v>
      </c>
      <c r="H1642" s="0" t="n">
        <v>309.503</v>
      </c>
      <c r="I1642" s="0" t="n">
        <v>7.957</v>
      </c>
      <c r="J1642" s="0" t="n">
        <v>29.007</v>
      </c>
      <c r="K1642" s="0" t="n">
        <v>15.177</v>
      </c>
      <c r="L1642" s="0" t="n">
        <v>2.684</v>
      </c>
    </row>
    <row r="1643" customFormat="false" ht="15" hidden="false" customHeight="false" outlineLevel="0" collapsed="false">
      <c r="A1643" s="0" t="s">
        <v>688</v>
      </c>
      <c r="C1643" s="0" t="n">
        <v>2021</v>
      </c>
      <c r="E1643" s="0" t="n">
        <v>1363.109</v>
      </c>
      <c r="F1643" s="0" t="n">
        <v>20.918</v>
      </c>
      <c r="G1643" s="0" t="n">
        <v>974.036</v>
      </c>
      <c r="H1643" s="0" t="n">
        <v>312.758</v>
      </c>
      <c r="I1643" s="0" t="n">
        <v>14.085</v>
      </c>
      <c r="J1643" s="0" t="n">
        <v>18.581</v>
      </c>
      <c r="K1643" s="0" t="n">
        <v>19.304</v>
      </c>
      <c r="L1643" s="0" t="n">
        <v>2.931</v>
      </c>
    </row>
    <row r="1644" customFormat="false" ht="15" hidden="false" customHeight="false" outlineLevel="0" collapsed="false">
      <c r="A1644" s="0" t="s">
        <v>688</v>
      </c>
      <c r="C1644" s="0" t="n">
        <v>2022</v>
      </c>
      <c r="E1644" s="0" t="n">
        <v>1410.95</v>
      </c>
      <c r="F1644" s="0" t="n">
        <v>18.435</v>
      </c>
      <c r="G1644" s="0" t="n">
        <v>1003.808</v>
      </c>
      <c r="H1644" s="0" t="n">
        <v>314.951</v>
      </c>
      <c r="I1644" s="0" t="n">
        <v>26.671</v>
      </c>
      <c r="J1644" s="0" t="n">
        <v>18.146</v>
      </c>
      <c r="K1644" s="0" t="n">
        <v>24.413</v>
      </c>
      <c r="L1644" s="0" t="n">
        <v>4.015</v>
      </c>
    </row>
    <row r="1645" customFormat="false" ht="15" hidden="false" customHeight="false" outlineLevel="0" collapsed="false">
      <c r="A1645" s="0" t="s">
        <v>688</v>
      </c>
      <c r="C1645" s="0" t="n">
        <v>2023</v>
      </c>
      <c r="E1645" s="0" t="n">
        <v>1485.942</v>
      </c>
      <c r="F1645" s="0" t="n">
        <v>16.912</v>
      </c>
      <c r="G1645" s="0" t="n">
        <v>1038.431</v>
      </c>
      <c r="H1645" s="0" t="n">
        <v>320.184</v>
      </c>
      <c r="I1645" s="0" t="n">
        <v>41.076</v>
      </c>
      <c r="J1645" s="0" t="n">
        <v>25.534</v>
      </c>
      <c r="K1645" s="0" t="n">
        <v>38.022</v>
      </c>
      <c r="L1645" s="0" t="n">
        <v>5.056</v>
      </c>
    </row>
    <row r="1646" customFormat="false" ht="15" hidden="false" customHeight="false" outlineLevel="0" collapsed="false">
      <c r="A1646" s="0" t="s">
        <v>688</v>
      </c>
      <c r="C1646" s="0" t="n">
        <v>2024</v>
      </c>
      <c r="E1646" s="0" t="n">
        <v>1568.749</v>
      </c>
      <c r="F1646" s="0" t="n">
        <v>15.973</v>
      </c>
      <c r="G1646" s="0" t="n">
        <v>1105.769</v>
      </c>
      <c r="H1646" s="0" t="n">
        <v>324.421</v>
      </c>
      <c r="I1646" s="0" t="n">
        <v>47.97</v>
      </c>
      <c r="J1646" s="0" t="n">
        <v>21.792</v>
      </c>
      <c r="K1646" s="0" t="n">
        <v>46.834</v>
      </c>
      <c r="L1646" s="0" t="n">
        <v>5.247</v>
      </c>
    </row>
    <row r="1647" customFormat="false" ht="15" hidden="false" customHeight="false" outlineLevel="0" collapsed="false">
      <c r="A1647" s="0" t="s">
        <v>689</v>
      </c>
      <c r="C1647" s="0" t="n">
        <v>2015</v>
      </c>
    </row>
    <row r="1648" customFormat="false" ht="15" hidden="false" customHeight="false" outlineLevel="0" collapsed="false">
      <c r="A1648" s="0" t="s">
        <v>689</v>
      </c>
      <c r="C1648" s="0" t="n">
        <v>2016</v>
      </c>
    </row>
    <row r="1649" customFormat="false" ht="15" hidden="false" customHeight="false" outlineLevel="0" collapsed="false">
      <c r="A1649" s="0" t="s">
        <v>689</v>
      </c>
      <c r="C1649" s="0" t="n">
        <v>2017</v>
      </c>
    </row>
    <row r="1650" customFormat="false" ht="15" hidden="false" customHeight="false" outlineLevel="0" collapsed="false">
      <c r="A1650" s="0" t="s">
        <v>689</v>
      </c>
      <c r="C1650" s="0" t="n">
        <v>2018</v>
      </c>
    </row>
    <row r="1651" customFormat="false" ht="15" hidden="false" customHeight="false" outlineLevel="0" collapsed="false">
      <c r="A1651" s="0" t="s">
        <v>689</v>
      </c>
      <c r="C1651" s="0" t="n">
        <v>2019</v>
      </c>
    </row>
    <row r="1652" customFormat="false" ht="15" hidden="false" customHeight="false" outlineLevel="0" collapsed="false">
      <c r="A1652" s="0" t="s">
        <v>689</v>
      </c>
      <c r="C1652" s="0" t="n">
        <v>2020</v>
      </c>
    </row>
    <row r="1653" customFormat="false" ht="15" hidden="false" customHeight="false" outlineLevel="0" collapsed="false">
      <c r="A1653" s="0" t="s">
        <v>689</v>
      </c>
      <c r="C1653" s="0" t="n">
        <v>2021</v>
      </c>
    </row>
    <row r="1654" customFormat="false" ht="15" hidden="false" customHeight="false" outlineLevel="0" collapsed="false">
      <c r="A1654" s="0" t="s">
        <v>689</v>
      </c>
      <c r="C1654" s="0" t="n">
        <v>2022</v>
      </c>
    </row>
    <row r="1655" customFormat="false" ht="15" hidden="false" customHeight="false" outlineLevel="0" collapsed="false">
      <c r="A1655" s="0" t="s">
        <v>689</v>
      </c>
      <c r="C1655" s="0" t="n">
        <v>2023</v>
      </c>
    </row>
    <row r="1656" customFormat="false" ht="15" hidden="false" customHeight="false" outlineLevel="0" collapsed="false">
      <c r="A1656" s="0" t="s">
        <v>690</v>
      </c>
      <c r="C1656" s="0" t="n">
        <v>2015</v>
      </c>
      <c r="E1656" s="0" t="n">
        <v>1126.29</v>
      </c>
      <c r="F1656" s="0" t="n">
        <v>29.62</v>
      </c>
      <c r="G1656" s="0" t="n">
        <v>716.62</v>
      </c>
      <c r="H1656" s="0" t="n">
        <v>357.51</v>
      </c>
      <c r="I1656" s="0" t="n">
        <v>3.5</v>
      </c>
      <c r="J1656" s="0" t="n">
        <v>16.75</v>
      </c>
      <c r="K1656" s="0" t="n">
        <v>1.75</v>
      </c>
      <c r="L1656" s="0" t="n">
        <v>0.29</v>
      </c>
      <c r="M1656" s="0" t="n">
        <v>0.25</v>
      </c>
      <c r="N1656" s="0" t="n">
        <v>0</v>
      </c>
      <c r="O1656" s="0" t="n">
        <v>673.31</v>
      </c>
    </row>
    <row r="1657" customFormat="false" ht="15" hidden="false" customHeight="false" outlineLevel="0" collapsed="false">
      <c r="A1657" s="0" t="s">
        <v>690</v>
      </c>
      <c r="C1657" s="0" t="n">
        <v>2016</v>
      </c>
      <c r="E1657" s="0" t="n">
        <v>1160.23</v>
      </c>
      <c r="F1657" s="0" t="n">
        <v>24.65</v>
      </c>
      <c r="G1657" s="0" t="n">
        <v>778.64</v>
      </c>
      <c r="H1657" s="0" t="n">
        <v>326.76</v>
      </c>
      <c r="I1657" s="0" t="n">
        <v>6.47</v>
      </c>
      <c r="J1657" s="0" t="n">
        <v>20.14</v>
      </c>
      <c r="K1657" s="0" t="n">
        <v>2.67</v>
      </c>
      <c r="L1657" s="0" t="n">
        <v>0.62</v>
      </c>
      <c r="M1657" s="0" t="n">
        <v>0.28</v>
      </c>
      <c r="N1657" s="0" t="n">
        <v>0</v>
      </c>
      <c r="O1657" s="0" t="n">
        <v>669.19</v>
      </c>
    </row>
    <row r="1658" customFormat="false" ht="15" hidden="false" customHeight="false" outlineLevel="0" collapsed="false">
      <c r="A1658" s="0" t="s">
        <v>690</v>
      </c>
      <c r="C1658" s="0" t="n">
        <v>2017</v>
      </c>
      <c r="E1658" s="0" t="n">
        <v>1240.79</v>
      </c>
      <c r="F1658" s="0" t="n">
        <v>22.72</v>
      </c>
      <c r="G1658" s="0" t="n">
        <v>859.95</v>
      </c>
      <c r="H1658" s="0" t="n">
        <v>325.64</v>
      </c>
      <c r="I1658" s="0" t="n">
        <v>6.96</v>
      </c>
      <c r="J1658" s="0" t="n">
        <v>20.61</v>
      </c>
      <c r="K1658" s="0" t="n">
        <v>3.74</v>
      </c>
      <c r="L1658" s="0" t="n">
        <v>0.99</v>
      </c>
      <c r="M1658" s="0" t="n">
        <v>0.18</v>
      </c>
      <c r="N1658" s="0" t="n">
        <v>0</v>
      </c>
      <c r="O1658" s="0" t="n">
        <v>670.4</v>
      </c>
    </row>
    <row r="1659" customFormat="false" ht="15" hidden="false" customHeight="false" outlineLevel="0" collapsed="false">
      <c r="A1659" s="0" t="s">
        <v>690</v>
      </c>
      <c r="C1659" s="0" t="n">
        <v>2018</v>
      </c>
      <c r="E1659" s="0" t="n">
        <v>1247.94</v>
      </c>
      <c r="F1659" s="0" t="n">
        <v>21.24</v>
      </c>
      <c r="G1659" s="0" t="n">
        <v>908.51</v>
      </c>
      <c r="H1659" s="0" t="n">
        <v>291.1</v>
      </c>
      <c r="I1659" s="0" t="n">
        <v>6.89</v>
      </c>
      <c r="J1659" s="0" t="n">
        <v>12.77</v>
      </c>
      <c r="K1659" s="0" t="n">
        <v>5.39</v>
      </c>
      <c r="L1659" s="0" t="n">
        <v>1.69</v>
      </c>
      <c r="M1659" s="0" t="n">
        <v>0.35</v>
      </c>
      <c r="N1659" s="0" t="n">
        <v>0</v>
      </c>
      <c r="O1659" s="0" t="n">
        <v>674.14</v>
      </c>
    </row>
    <row r="1660" customFormat="false" ht="15" hidden="false" customHeight="false" outlineLevel="0" collapsed="false">
      <c r="A1660" s="0" t="s">
        <v>690</v>
      </c>
      <c r="C1660" s="0" t="n">
        <v>2019</v>
      </c>
      <c r="E1660" s="0" t="n">
        <v>1289.37</v>
      </c>
      <c r="F1660" s="0" t="n">
        <v>22.71</v>
      </c>
      <c r="G1660" s="0" t="n">
        <v>905.5</v>
      </c>
      <c r="H1660" s="0" t="n">
        <v>301.46</v>
      </c>
      <c r="I1660" s="0" t="n">
        <v>6.41</v>
      </c>
      <c r="J1660" s="0" t="n">
        <v>40.56</v>
      </c>
      <c r="K1660" s="0" t="n">
        <v>10.57</v>
      </c>
      <c r="L1660" s="0" t="n">
        <v>1.86</v>
      </c>
      <c r="M1660" s="0" t="n">
        <v>0.3</v>
      </c>
      <c r="N1660" s="0" t="n">
        <v>0</v>
      </c>
      <c r="O1660" s="0" t="n">
        <v>658.1</v>
      </c>
    </row>
    <row r="1661" customFormat="false" ht="15" hidden="false" customHeight="false" outlineLevel="0" collapsed="false">
      <c r="A1661" s="0" t="s">
        <v>690</v>
      </c>
      <c r="C1661" s="0" t="n">
        <v>2020</v>
      </c>
      <c r="E1661" s="0" t="n">
        <v>1304.66</v>
      </c>
      <c r="F1661" s="0" t="n">
        <v>20.53</v>
      </c>
      <c r="G1661" s="0" t="n">
        <v>934.15</v>
      </c>
      <c r="H1661" s="0" t="n">
        <v>295.04</v>
      </c>
      <c r="I1661" s="0" t="n">
        <v>7.96</v>
      </c>
      <c r="J1661" s="0" t="n">
        <v>29.2</v>
      </c>
      <c r="K1661" s="0" t="n">
        <v>14.69</v>
      </c>
      <c r="L1661" s="0" t="n">
        <v>2.76</v>
      </c>
      <c r="M1661" s="0" t="n">
        <v>0.33</v>
      </c>
      <c r="N1661" s="0" t="n">
        <v>0</v>
      </c>
      <c r="O1661" s="0" t="n">
        <v>661.35</v>
      </c>
    </row>
    <row r="1662" customFormat="false" ht="15" hidden="false" customHeight="false" outlineLevel="0" collapsed="false">
      <c r="A1662" s="0" t="s">
        <v>690</v>
      </c>
      <c r="C1662" s="0" t="n">
        <v>2021</v>
      </c>
      <c r="E1662" s="0" t="n">
        <v>1357.73</v>
      </c>
      <c r="F1662" s="0" t="n">
        <v>20.64</v>
      </c>
      <c r="G1662" s="0" t="n">
        <v>986.34</v>
      </c>
      <c r="H1662" s="0" t="n">
        <v>295.73</v>
      </c>
      <c r="I1662" s="0" t="n">
        <v>14.09</v>
      </c>
      <c r="J1662" s="0" t="n">
        <v>18.58</v>
      </c>
      <c r="K1662" s="0" t="n">
        <v>18.93</v>
      </c>
      <c r="L1662" s="0" t="n">
        <v>3.1</v>
      </c>
      <c r="M1662" s="0" t="n">
        <v>0.32</v>
      </c>
      <c r="N1662" s="0" t="n">
        <v>0</v>
      </c>
      <c r="O1662" s="0" t="n">
        <v>662.47</v>
      </c>
    </row>
    <row r="1663" customFormat="false" ht="15" hidden="false" customHeight="false" outlineLevel="0" collapsed="false">
      <c r="A1663" s="0" t="s">
        <v>690</v>
      </c>
      <c r="C1663" s="0" t="n">
        <v>2022</v>
      </c>
      <c r="E1663" s="0" t="n">
        <v>1412.24</v>
      </c>
      <c r="F1663" s="0" t="n">
        <v>17.41</v>
      </c>
      <c r="G1663" s="0" t="n">
        <v>1028.04</v>
      </c>
      <c r="H1663" s="0" t="n">
        <v>290.55</v>
      </c>
      <c r="I1663" s="0" t="n">
        <v>26.67</v>
      </c>
      <c r="J1663" s="0" t="n">
        <v>18.13</v>
      </c>
      <c r="K1663" s="0" t="n">
        <v>25.32</v>
      </c>
      <c r="L1663" s="0" t="n">
        <v>5.79</v>
      </c>
      <c r="M1663" s="0" t="n">
        <v>0.33</v>
      </c>
      <c r="N1663" s="0" t="n">
        <v>0</v>
      </c>
      <c r="O1663" s="0" t="n">
        <v>653.84</v>
      </c>
    </row>
    <row r="1664" customFormat="false" ht="15" hidden="false" customHeight="false" outlineLevel="0" collapsed="false">
      <c r="A1664" s="0" t="s">
        <v>690</v>
      </c>
      <c r="C1664" s="0" t="n">
        <v>2023</v>
      </c>
      <c r="E1664" s="0" t="n">
        <v>1490.89</v>
      </c>
      <c r="F1664" s="0" t="n">
        <v>13.81</v>
      </c>
      <c r="G1664" s="0" t="n">
        <v>1051.95</v>
      </c>
      <c r="H1664" s="0" t="n">
        <v>313.73</v>
      </c>
      <c r="I1664" s="0" t="n">
        <v>41.08</v>
      </c>
      <c r="J1664" s="0" t="n">
        <v>25.67</v>
      </c>
      <c r="K1664" s="0" t="n">
        <v>37.22</v>
      </c>
      <c r="L1664" s="0" t="n">
        <v>6.9</v>
      </c>
      <c r="M1664" s="0" t="n">
        <v>0.53</v>
      </c>
      <c r="N1664" s="0" t="n">
        <v>0</v>
      </c>
      <c r="O1664" s="0" t="n">
        <v>639.26</v>
      </c>
    </row>
    <row r="1665" customFormat="false" ht="15" hidden="false" customHeight="false" outlineLevel="0" collapsed="false">
      <c r="A1665" s="0" t="s">
        <v>690</v>
      </c>
      <c r="C1665" s="0" t="n">
        <v>2024</v>
      </c>
      <c r="E1665" s="0" t="n">
        <v>1554.17</v>
      </c>
      <c r="F1665" s="0" t="n">
        <v>12.23</v>
      </c>
      <c r="G1665" s="0" t="n">
        <v>1107.94</v>
      </c>
      <c r="H1665" s="0" t="n">
        <v>309.25</v>
      </c>
      <c r="I1665" s="0" t="n">
        <v>47.98</v>
      </c>
      <c r="J1665" s="0" t="n">
        <v>22.35</v>
      </c>
      <c r="K1665" s="0" t="n">
        <v>46.66</v>
      </c>
      <c r="L1665" s="0" t="n">
        <v>7.22</v>
      </c>
      <c r="M1665" s="0" t="n">
        <v>0.54</v>
      </c>
      <c r="N1665" s="0" t="n">
        <v>0</v>
      </c>
      <c r="O1665" s="0" t="n">
        <v>635.9</v>
      </c>
    </row>
    <row r="1666" customFormat="false" ht="15" hidden="false" customHeight="false" outlineLevel="0" collapsed="false">
      <c r="A1666" s="0" t="s">
        <v>690</v>
      </c>
      <c r="C1666" s="0" t="n">
        <v>2025</v>
      </c>
      <c r="E1666" s="0" t="n">
        <v>1581.74</v>
      </c>
      <c r="F1666" s="0" t="n">
        <v>3.93</v>
      </c>
      <c r="G1666" s="0" t="n">
        <v>1158.11</v>
      </c>
      <c r="H1666" s="0" t="n">
        <v>291.44</v>
      </c>
      <c r="I1666" s="0" t="n">
        <v>47.98</v>
      </c>
      <c r="J1666" s="0" t="n">
        <v>16.19</v>
      </c>
      <c r="K1666" s="0" t="n">
        <v>56.19</v>
      </c>
      <c r="L1666" s="0" t="n">
        <v>7.33</v>
      </c>
      <c r="M1666" s="0" t="n">
        <v>0.57</v>
      </c>
      <c r="N1666" s="0" t="n">
        <v>0</v>
      </c>
      <c r="O1666" s="0" t="n">
        <v>634.61</v>
      </c>
    </row>
    <row r="1667" customFormat="false" ht="15" hidden="false" customHeight="false" outlineLevel="0" collapsed="false">
      <c r="A1667" s="0" t="s">
        <v>691</v>
      </c>
      <c r="C1667" s="0" t="n">
        <v>2015</v>
      </c>
    </row>
    <row r="1668" customFormat="false" ht="15" hidden="false" customHeight="false" outlineLevel="0" collapsed="false">
      <c r="A1668" s="0" t="s">
        <v>691</v>
      </c>
      <c r="C1668" s="0" t="n">
        <v>2016</v>
      </c>
    </row>
    <row r="1669" customFormat="false" ht="15" hidden="false" customHeight="false" outlineLevel="0" collapsed="false">
      <c r="A1669" s="0" t="s">
        <v>305</v>
      </c>
      <c r="B1669" s="0" t="s">
        <v>544</v>
      </c>
      <c r="C1669" s="0" t="n">
        <v>2015</v>
      </c>
      <c r="D1669" s="0" t="n">
        <v>3287168</v>
      </c>
      <c r="E1669" s="0" t="n">
        <v>6.04</v>
      </c>
      <c r="F1669" s="0" t="n">
        <v>0</v>
      </c>
      <c r="G1669" s="0" t="n">
        <v>5.76</v>
      </c>
      <c r="H1669" s="0" t="n">
        <v>0.01</v>
      </c>
      <c r="I1669" s="0" t="n">
        <v>0</v>
      </c>
      <c r="J1669" s="0" t="n">
        <v>0.26</v>
      </c>
      <c r="K1669" s="0" t="n">
        <v>0</v>
      </c>
      <c r="L1669" s="0" t="n">
        <v>0</v>
      </c>
      <c r="M1669" s="0" t="n">
        <v>0.01</v>
      </c>
      <c r="N1669" s="0" t="n">
        <v>0</v>
      </c>
      <c r="O1669" s="0" t="n">
        <v>682.12</v>
      </c>
    </row>
    <row r="1670" customFormat="false" ht="15" hidden="false" customHeight="false" outlineLevel="0" collapsed="false">
      <c r="A1670" s="0" t="s">
        <v>305</v>
      </c>
      <c r="B1670" s="0" t="s">
        <v>544</v>
      </c>
      <c r="C1670" s="0" t="n">
        <v>2016</v>
      </c>
      <c r="D1670" s="0" t="n">
        <v>3237798</v>
      </c>
      <c r="E1670" s="0" t="n">
        <v>5.85</v>
      </c>
      <c r="F1670" s="0" t="n">
        <v>0</v>
      </c>
      <c r="G1670" s="0" t="n">
        <v>5.59</v>
      </c>
      <c r="H1670" s="0" t="n">
        <v>0.02</v>
      </c>
      <c r="I1670" s="0" t="n">
        <v>0</v>
      </c>
      <c r="J1670" s="0" t="n">
        <v>0.23</v>
      </c>
      <c r="K1670" s="0" t="n">
        <v>0</v>
      </c>
      <c r="L1670" s="0" t="n">
        <v>0</v>
      </c>
      <c r="M1670" s="0" t="n">
        <v>0.01</v>
      </c>
      <c r="N1670" s="0" t="n">
        <v>0</v>
      </c>
      <c r="O1670" s="0" t="n">
        <v>683.76</v>
      </c>
    </row>
    <row r="1671" customFormat="false" ht="15" hidden="false" customHeight="false" outlineLevel="0" collapsed="false">
      <c r="A1671" s="0" t="s">
        <v>305</v>
      </c>
      <c r="B1671" s="0" t="s">
        <v>544</v>
      </c>
      <c r="C1671" s="0" t="n">
        <v>2017</v>
      </c>
      <c r="D1671" s="0" t="n">
        <v>3193500</v>
      </c>
      <c r="E1671" s="0" t="n">
        <v>4.96</v>
      </c>
      <c r="F1671" s="0" t="n">
        <v>0</v>
      </c>
      <c r="G1671" s="0" t="n">
        <v>4.63</v>
      </c>
      <c r="H1671" s="0" t="n">
        <v>0.02</v>
      </c>
      <c r="I1671" s="0" t="n">
        <v>0</v>
      </c>
      <c r="J1671" s="0" t="n">
        <v>0.28</v>
      </c>
      <c r="K1671" s="0" t="n">
        <v>0</v>
      </c>
      <c r="L1671" s="0" t="n">
        <v>0.01</v>
      </c>
      <c r="M1671" s="0" t="n">
        <v>0.02</v>
      </c>
      <c r="N1671" s="0" t="n">
        <v>0</v>
      </c>
      <c r="O1671" s="0" t="n">
        <v>669.36</v>
      </c>
    </row>
    <row r="1672" customFormat="false" ht="15" hidden="false" customHeight="false" outlineLevel="0" collapsed="false">
      <c r="A1672" s="0" t="s">
        <v>305</v>
      </c>
      <c r="B1672" s="0" t="s">
        <v>544</v>
      </c>
      <c r="C1672" s="0" t="n">
        <v>2018</v>
      </c>
      <c r="D1672" s="0" t="n">
        <v>3153779</v>
      </c>
      <c r="E1672" s="0" t="n">
        <v>5.38</v>
      </c>
      <c r="F1672" s="0" t="n">
        <v>0</v>
      </c>
      <c r="G1672" s="0" t="n">
        <v>5.05</v>
      </c>
      <c r="H1672" s="0" t="n">
        <v>0.01</v>
      </c>
      <c r="I1672" s="0" t="n">
        <v>0</v>
      </c>
      <c r="J1672" s="0" t="n">
        <v>0.27</v>
      </c>
      <c r="K1672" s="0" t="n">
        <v>0</v>
      </c>
      <c r="L1672" s="0" t="n">
        <v>0.02</v>
      </c>
      <c r="M1672" s="0" t="n">
        <v>0.03</v>
      </c>
      <c r="N1672" s="0" t="n">
        <v>0</v>
      </c>
      <c r="O1672" s="0" t="n">
        <v>672.86</v>
      </c>
    </row>
    <row r="1673" customFormat="false" ht="15" hidden="false" customHeight="false" outlineLevel="0" collapsed="false">
      <c r="A1673" s="0" t="s">
        <v>305</v>
      </c>
      <c r="B1673" s="0" t="s">
        <v>544</v>
      </c>
      <c r="C1673" s="0" t="n">
        <v>2019</v>
      </c>
      <c r="D1673" s="0" t="n">
        <v>3112561</v>
      </c>
      <c r="E1673" s="0" t="n">
        <v>5.69</v>
      </c>
      <c r="F1673" s="0" t="n">
        <v>0</v>
      </c>
      <c r="G1673" s="0" t="n">
        <v>5.32</v>
      </c>
      <c r="H1673" s="0" t="n">
        <v>0</v>
      </c>
      <c r="I1673" s="0" t="n">
        <v>0</v>
      </c>
      <c r="J1673" s="0" t="n">
        <v>0.3</v>
      </c>
      <c r="K1673" s="0" t="n">
        <v>0</v>
      </c>
      <c r="L1673" s="0" t="n">
        <v>0.04</v>
      </c>
      <c r="M1673" s="0" t="n">
        <v>0.03</v>
      </c>
      <c r="N1673" s="0" t="n">
        <v>0</v>
      </c>
      <c r="O1673" s="0" t="n">
        <v>669.6</v>
      </c>
    </row>
    <row r="1674" customFormat="false" ht="15" hidden="false" customHeight="false" outlineLevel="0" collapsed="false">
      <c r="A1674" s="0" t="s">
        <v>305</v>
      </c>
      <c r="B1674" s="0" t="s">
        <v>544</v>
      </c>
      <c r="C1674" s="0" t="n">
        <v>2020</v>
      </c>
      <c r="D1674" s="0" t="n">
        <v>3069135</v>
      </c>
      <c r="E1674" s="0" t="n">
        <v>6.18</v>
      </c>
      <c r="F1674" s="0" t="n">
        <v>0</v>
      </c>
      <c r="G1674" s="0" t="n">
        <v>5.82</v>
      </c>
      <c r="H1674" s="0" t="n">
        <v>0</v>
      </c>
      <c r="I1674" s="0" t="n">
        <v>0</v>
      </c>
      <c r="J1674" s="0" t="n">
        <v>0.28</v>
      </c>
      <c r="K1674" s="0" t="n">
        <v>0</v>
      </c>
      <c r="L1674" s="0" t="n">
        <v>0.05</v>
      </c>
      <c r="M1674" s="0" t="n">
        <v>0.03</v>
      </c>
      <c r="N1674" s="0" t="n">
        <v>0</v>
      </c>
      <c r="O1674" s="0" t="n">
        <v>673.14</v>
      </c>
    </row>
    <row r="1675" customFormat="false" ht="15" hidden="false" customHeight="false" outlineLevel="0" collapsed="false">
      <c r="A1675" s="0" t="s">
        <v>305</v>
      </c>
      <c r="B1675" s="0" t="s">
        <v>544</v>
      </c>
      <c r="C1675" s="0" t="n">
        <v>2021</v>
      </c>
      <c r="D1675" s="0" t="n">
        <v>3023780</v>
      </c>
      <c r="E1675" s="0" t="n">
        <v>6.66</v>
      </c>
      <c r="F1675" s="0" t="n">
        <v>0</v>
      </c>
      <c r="G1675" s="0" t="n">
        <v>6.18</v>
      </c>
      <c r="H1675" s="0" t="n">
        <v>0.04</v>
      </c>
      <c r="I1675" s="0" t="n">
        <v>0</v>
      </c>
      <c r="J1675" s="0" t="n">
        <v>0.32</v>
      </c>
      <c r="K1675" s="0" t="n">
        <v>0.01</v>
      </c>
      <c r="L1675" s="0" t="n">
        <v>0.08</v>
      </c>
      <c r="M1675" s="0" t="n">
        <v>0.03</v>
      </c>
      <c r="N1675" s="0" t="n">
        <v>0</v>
      </c>
      <c r="O1675" s="0" t="n">
        <v>668.17</v>
      </c>
    </row>
    <row r="1676" customFormat="false" ht="15" hidden="false" customHeight="false" outlineLevel="0" collapsed="false">
      <c r="A1676" s="0" t="s">
        <v>305</v>
      </c>
      <c r="B1676" s="0" t="s">
        <v>544</v>
      </c>
      <c r="C1676" s="0" t="n">
        <v>2022</v>
      </c>
      <c r="D1676" s="0" t="n">
        <v>3039986</v>
      </c>
      <c r="E1676" s="0" t="n">
        <v>5.33</v>
      </c>
      <c r="F1676" s="0" t="n">
        <v>0</v>
      </c>
      <c r="G1676" s="0" t="n">
        <v>4.63</v>
      </c>
      <c r="H1676" s="0" t="n">
        <v>0.19</v>
      </c>
      <c r="I1676" s="0" t="n">
        <v>0</v>
      </c>
      <c r="J1676" s="0" t="n">
        <v>0.29</v>
      </c>
      <c r="K1676" s="0" t="n">
        <v>0.05</v>
      </c>
      <c r="L1676" s="0" t="n">
        <v>0.14</v>
      </c>
      <c r="M1676" s="0" t="n">
        <v>0.03</v>
      </c>
      <c r="N1676" s="0" t="n">
        <v>0</v>
      </c>
      <c r="O1676" s="0" t="n">
        <v>647.28</v>
      </c>
    </row>
    <row r="1677" customFormat="false" ht="15" hidden="false" customHeight="false" outlineLevel="0" collapsed="false">
      <c r="A1677" s="0" t="s">
        <v>305</v>
      </c>
      <c r="B1677" s="0" t="s">
        <v>544</v>
      </c>
      <c r="C1677" s="0" t="n">
        <v>2023</v>
      </c>
      <c r="D1677" s="0" t="n">
        <v>3067072</v>
      </c>
      <c r="E1677" s="0" t="n">
        <v>6.35</v>
      </c>
      <c r="F1677" s="0" t="n">
        <v>0</v>
      </c>
      <c r="G1677" s="0" t="n">
        <v>5.44</v>
      </c>
      <c r="H1677" s="0" t="n">
        <v>0.3</v>
      </c>
      <c r="I1677" s="0" t="n">
        <v>0</v>
      </c>
      <c r="J1677" s="0" t="n">
        <v>0.32</v>
      </c>
      <c r="K1677" s="0" t="n">
        <v>0.09</v>
      </c>
      <c r="L1677" s="0" t="n">
        <v>0.19</v>
      </c>
      <c r="M1677" s="0" t="n">
        <v>0.01</v>
      </c>
      <c r="N1677" s="0" t="n">
        <v>0</v>
      </c>
      <c r="O1677" s="0" t="n">
        <v>642.52</v>
      </c>
    </row>
    <row r="1678" customFormat="false" ht="15" hidden="false" customHeight="false" outlineLevel="0" collapsed="false">
      <c r="A1678" s="0" t="s">
        <v>305</v>
      </c>
      <c r="B1678" s="0" t="s">
        <v>544</v>
      </c>
      <c r="C1678" s="0" t="n">
        <v>2024</v>
      </c>
      <c r="D1678" s="0" t="n">
        <v>3034967</v>
      </c>
      <c r="E1678" s="0" t="n">
        <v>6.07</v>
      </c>
      <c r="F1678" s="0" t="n">
        <v>0</v>
      </c>
      <c r="G1678" s="0" t="n">
        <v>5.2</v>
      </c>
      <c r="H1678" s="0" t="n">
        <v>0.22</v>
      </c>
      <c r="I1678" s="0" t="n">
        <v>0</v>
      </c>
      <c r="J1678" s="0" t="n">
        <v>0.32</v>
      </c>
      <c r="K1678" s="0" t="n">
        <v>0.1</v>
      </c>
      <c r="L1678" s="0" t="n">
        <v>0.21</v>
      </c>
      <c r="M1678" s="0" t="n">
        <v>0.02</v>
      </c>
      <c r="N1678" s="0" t="n">
        <v>0</v>
      </c>
      <c r="O1678" s="0" t="n">
        <v>634.27</v>
      </c>
    </row>
    <row r="1679" customFormat="false" ht="15" hidden="false" customHeight="false" outlineLevel="0" collapsed="false">
      <c r="A1679" s="0" t="s">
        <v>305</v>
      </c>
      <c r="B1679" s="0" t="s">
        <v>544</v>
      </c>
      <c r="C1679" s="0" t="n">
        <v>2025</v>
      </c>
      <c r="D1679" s="0" t="n">
        <v>2996104</v>
      </c>
      <c r="E1679" s="0" t="n">
        <v>6.16</v>
      </c>
      <c r="F1679" s="0" t="n">
        <v>0</v>
      </c>
      <c r="G1679" s="0" t="n">
        <v>5.25</v>
      </c>
      <c r="H1679" s="0" t="n">
        <v>0.22</v>
      </c>
      <c r="I1679" s="0" t="n">
        <v>0</v>
      </c>
      <c r="J1679" s="0" t="n">
        <v>0.35</v>
      </c>
      <c r="K1679" s="0" t="n">
        <v>0.16</v>
      </c>
      <c r="L1679" s="0" t="n">
        <v>0.16</v>
      </c>
      <c r="M1679" s="0" t="n">
        <v>0.02</v>
      </c>
      <c r="N1679" s="0" t="n">
        <v>0</v>
      </c>
      <c r="O1679" s="0" t="n">
        <v>633.12</v>
      </c>
    </row>
    <row r="1680" customFormat="false" ht="15" hidden="false" customHeight="false" outlineLevel="0" collapsed="false">
      <c r="A1680" s="0" t="s">
        <v>306</v>
      </c>
      <c r="B1680" s="0" t="s">
        <v>545</v>
      </c>
      <c r="C1680" s="0" t="n">
        <v>2015</v>
      </c>
      <c r="D1680" s="0" t="n">
        <v>2976528</v>
      </c>
      <c r="E1680" s="0" t="n">
        <v>5.51</v>
      </c>
      <c r="F1680" s="0" t="n">
        <v>5.06</v>
      </c>
      <c r="G1680" s="0" t="n">
        <v>0</v>
      </c>
      <c r="H1680" s="0" t="n">
        <v>0.23</v>
      </c>
      <c r="I1680" s="0" t="n">
        <v>0</v>
      </c>
      <c r="J1680" s="0" t="n">
        <v>0.06</v>
      </c>
      <c r="K1680" s="0" t="n">
        <v>0.01</v>
      </c>
      <c r="L1680" s="0" t="n">
        <v>0.15</v>
      </c>
      <c r="M1680" s="0" t="n">
        <v>0</v>
      </c>
      <c r="N1680" s="0" t="n">
        <v>0</v>
      </c>
      <c r="O1680" s="0" t="n">
        <v>867.51</v>
      </c>
    </row>
    <row r="1681" customFormat="false" ht="15" hidden="false" customHeight="false" outlineLevel="0" collapsed="false">
      <c r="A1681" s="0" t="s">
        <v>306</v>
      </c>
      <c r="B1681" s="0" t="s">
        <v>545</v>
      </c>
      <c r="C1681" s="0" t="n">
        <v>2016</v>
      </c>
      <c r="D1681" s="0" t="n">
        <v>3040815</v>
      </c>
      <c r="E1681" s="0" t="n">
        <v>5.67</v>
      </c>
      <c r="F1681" s="0" t="n">
        <v>5.23</v>
      </c>
      <c r="G1681" s="0" t="n">
        <v>0</v>
      </c>
      <c r="H1681" s="0" t="n">
        <v>0.19</v>
      </c>
      <c r="I1681" s="0" t="n">
        <v>0</v>
      </c>
      <c r="J1681" s="0" t="n">
        <v>0.09</v>
      </c>
      <c r="K1681" s="0" t="n">
        <v>0.01</v>
      </c>
      <c r="L1681" s="0" t="n">
        <v>0.15</v>
      </c>
      <c r="M1681" s="0" t="n">
        <v>0</v>
      </c>
      <c r="N1681" s="0" t="n">
        <v>0</v>
      </c>
      <c r="O1681" s="0" t="n">
        <v>867.73</v>
      </c>
    </row>
    <row r="1682" customFormat="false" ht="15" hidden="false" customHeight="false" outlineLevel="0" collapsed="false">
      <c r="A1682" s="0" t="s">
        <v>306</v>
      </c>
      <c r="B1682" s="0" t="s">
        <v>545</v>
      </c>
      <c r="C1682" s="0" t="n">
        <v>2017</v>
      </c>
      <c r="D1682" s="0" t="n">
        <v>3104371</v>
      </c>
      <c r="E1682" s="0" t="n">
        <v>6.03</v>
      </c>
      <c r="F1682" s="0" t="n">
        <v>5.5</v>
      </c>
      <c r="G1682" s="0" t="n">
        <v>0</v>
      </c>
      <c r="H1682" s="0" t="n">
        <v>0.28</v>
      </c>
      <c r="I1682" s="0" t="n">
        <v>0</v>
      </c>
      <c r="J1682" s="0" t="n">
        <v>0.08</v>
      </c>
      <c r="K1682" s="0" t="n">
        <v>0.03</v>
      </c>
      <c r="L1682" s="0" t="n">
        <v>0.14</v>
      </c>
      <c r="M1682" s="0" t="n">
        <v>0</v>
      </c>
      <c r="N1682" s="0" t="n">
        <v>0</v>
      </c>
      <c r="O1682" s="0" t="n">
        <v>865.67</v>
      </c>
    </row>
    <row r="1683" customFormat="false" ht="15" hidden="false" customHeight="false" outlineLevel="0" collapsed="false">
      <c r="A1683" s="0" t="s">
        <v>306</v>
      </c>
      <c r="B1683" s="0" t="s">
        <v>545</v>
      </c>
      <c r="C1683" s="0" t="n">
        <v>2018</v>
      </c>
      <c r="D1683" s="0" t="n">
        <v>3167714</v>
      </c>
      <c r="E1683" s="0" t="n">
        <v>6.57</v>
      </c>
      <c r="F1683" s="0" t="n">
        <v>5.83</v>
      </c>
      <c r="G1683" s="0" t="n">
        <v>0</v>
      </c>
      <c r="H1683" s="0" t="n">
        <v>0.3</v>
      </c>
      <c r="I1683" s="0" t="n">
        <v>0</v>
      </c>
      <c r="J1683" s="0" t="n">
        <v>0.08</v>
      </c>
      <c r="K1683" s="0" t="n">
        <v>0.06</v>
      </c>
      <c r="L1683" s="0" t="n">
        <v>0.3</v>
      </c>
      <c r="M1683" s="0" t="n">
        <v>0</v>
      </c>
      <c r="N1683" s="0" t="n">
        <v>0</v>
      </c>
      <c r="O1683" s="0" t="n">
        <v>843.23</v>
      </c>
    </row>
    <row r="1684" customFormat="false" ht="15" hidden="false" customHeight="false" outlineLevel="0" collapsed="false">
      <c r="A1684" s="0" t="s">
        <v>306</v>
      </c>
      <c r="B1684" s="0" t="s">
        <v>545</v>
      </c>
      <c r="C1684" s="0" t="n">
        <v>2019</v>
      </c>
      <c r="D1684" s="0" t="n">
        <v>3232118</v>
      </c>
      <c r="E1684" s="0" t="n">
        <v>6.94</v>
      </c>
      <c r="F1684" s="0" t="n">
        <v>5.88</v>
      </c>
      <c r="G1684" s="0" t="n">
        <v>0</v>
      </c>
      <c r="H1684" s="0" t="n">
        <v>0.37</v>
      </c>
      <c r="I1684" s="0" t="n">
        <v>0</v>
      </c>
      <c r="J1684" s="0" t="n">
        <v>0.09</v>
      </c>
      <c r="K1684" s="0" t="n">
        <v>0.12</v>
      </c>
      <c r="L1684" s="0" t="n">
        <v>0.48</v>
      </c>
      <c r="M1684" s="0" t="n">
        <v>0</v>
      </c>
      <c r="N1684" s="0" t="n">
        <v>0</v>
      </c>
      <c r="O1684" s="0" t="n">
        <v>812.68</v>
      </c>
    </row>
    <row r="1685" customFormat="false" ht="15" hidden="false" customHeight="false" outlineLevel="0" collapsed="false">
      <c r="A1685" s="0" t="s">
        <v>306</v>
      </c>
      <c r="B1685" s="0" t="s">
        <v>545</v>
      </c>
      <c r="C1685" s="0" t="n">
        <v>2020</v>
      </c>
      <c r="D1685" s="0" t="n">
        <v>3290786</v>
      </c>
      <c r="E1685" s="0" t="n">
        <v>6.64</v>
      </c>
      <c r="F1685" s="0" t="n">
        <v>5.61</v>
      </c>
      <c r="G1685" s="0" t="n">
        <v>0</v>
      </c>
      <c r="H1685" s="0" t="n">
        <v>0.35</v>
      </c>
      <c r="I1685" s="0" t="n">
        <v>0</v>
      </c>
      <c r="J1685" s="0" t="n">
        <v>0.08</v>
      </c>
      <c r="K1685" s="0" t="n">
        <v>0.12</v>
      </c>
      <c r="L1685" s="0" t="n">
        <v>0.48</v>
      </c>
      <c r="M1685" s="0" t="n">
        <v>0</v>
      </c>
      <c r="N1685" s="0" t="n">
        <v>0</v>
      </c>
      <c r="O1685" s="0" t="n">
        <v>810.24</v>
      </c>
    </row>
    <row r="1686" customFormat="false" ht="15" hidden="false" customHeight="false" outlineLevel="0" collapsed="false">
      <c r="A1686" s="0" t="s">
        <v>306</v>
      </c>
      <c r="B1686" s="0" t="s">
        <v>545</v>
      </c>
      <c r="C1686" s="0" t="n">
        <v>2021</v>
      </c>
      <c r="D1686" s="0" t="n">
        <v>3339676</v>
      </c>
      <c r="E1686" s="0" t="n">
        <v>7.44</v>
      </c>
      <c r="F1686" s="0" t="n">
        <v>6.27</v>
      </c>
      <c r="G1686" s="0" t="n">
        <v>0</v>
      </c>
      <c r="H1686" s="0" t="n">
        <v>0.34</v>
      </c>
      <c r="I1686" s="0" t="n">
        <v>0</v>
      </c>
      <c r="J1686" s="0" t="n">
        <v>0.08</v>
      </c>
      <c r="K1686" s="0" t="n">
        <v>0.17</v>
      </c>
      <c r="L1686" s="0" t="n">
        <v>0.58</v>
      </c>
      <c r="M1686" s="0" t="n">
        <v>0</v>
      </c>
      <c r="N1686" s="0" t="n">
        <v>0</v>
      </c>
      <c r="O1686" s="0" t="n">
        <v>802.42</v>
      </c>
    </row>
    <row r="1687" customFormat="false" ht="15" hidden="false" customHeight="false" outlineLevel="0" collapsed="false">
      <c r="A1687" s="0" t="s">
        <v>306</v>
      </c>
      <c r="B1687" s="0" t="s">
        <v>545</v>
      </c>
      <c r="C1687" s="0" t="n">
        <v>2022</v>
      </c>
      <c r="D1687" s="0" t="n">
        <v>3386015</v>
      </c>
      <c r="E1687" s="0" t="n">
        <v>7.75</v>
      </c>
      <c r="F1687" s="0" t="n">
        <v>6.65</v>
      </c>
      <c r="G1687" s="0" t="n">
        <v>0</v>
      </c>
      <c r="H1687" s="0" t="n">
        <v>0.34</v>
      </c>
      <c r="I1687" s="0" t="n">
        <v>0</v>
      </c>
      <c r="J1687" s="0" t="n">
        <v>0.06</v>
      </c>
      <c r="K1687" s="0" t="n">
        <v>0.19</v>
      </c>
      <c r="L1687" s="0" t="n">
        <v>0.51</v>
      </c>
      <c r="M1687" s="0" t="n">
        <v>0</v>
      </c>
      <c r="N1687" s="0" t="n">
        <v>0</v>
      </c>
      <c r="O1687" s="0" t="n">
        <v>814.19</v>
      </c>
    </row>
    <row r="1688" customFormat="false" ht="15" hidden="false" customHeight="false" outlineLevel="0" collapsed="false">
      <c r="A1688" s="0" t="s">
        <v>306</v>
      </c>
      <c r="B1688" s="0" t="s">
        <v>545</v>
      </c>
      <c r="C1688" s="0" t="n">
        <v>2023</v>
      </c>
      <c r="D1688" s="0" t="n">
        <v>3431938</v>
      </c>
      <c r="E1688" s="0" t="n">
        <v>8.29</v>
      </c>
      <c r="F1688" s="0" t="n">
        <v>7.06</v>
      </c>
      <c r="G1688" s="0" t="n">
        <v>0</v>
      </c>
      <c r="H1688" s="0" t="n">
        <v>0.47</v>
      </c>
      <c r="I1688" s="0" t="n">
        <v>0</v>
      </c>
      <c r="J1688" s="0" t="n">
        <v>0.06</v>
      </c>
      <c r="K1688" s="0" t="n">
        <v>0.19</v>
      </c>
      <c r="L1688" s="0" t="n">
        <v>0.51</v>
      </c>
      <c r="M1688" s="0" t="n">
        <v>0</v>
      </c>
      <c r="N1688" s="0" t="n">
        <v>0</v>
      </c>
      <c r="O1688" s="0" t="n">
        <v>816.65</v>
      </c>
    </row>
    <row r="1689" customFormat="false" ht="15" hidden="false" customHeight="false" outlineLevel="0" collapsed="false">
      <c r="A1689" s="0" t="s">
        <v>306</v>
      </c>
      <c r="B1689" s="0" t="s">
        <v>545</v>
      </c>
      <c r="C1689" s="0" t="n">
        <v>2024</v>
      </c>
      <c r="D1689" s="0" t="n">
        <v>3475541</v>
      </c>
      <c r="E1689" s="0" t="n">
        <v>8.82</v>
      </c>
      <c r="F1689" s="0" t="n">
        <v>7.47</v>
      </c>
      <c r="G1689" s="0" t="n">
        <v>0</v>
      </c>
      <c r="H1689" s="0" t="n">
        <v>0.57</v>
      </c>
      <c r="I1689" s="0" t="n">
        <v>0</v>
      </c>
      <c r="J1689" s="0" t="n">
        <v>0.06</v>
      </c>
      <c r="K1689" s="0" t="n">
        <v>0.21</v>
      </c>
      <c r="L1689" s="0" t="n">
        <v>0.51</v>
      </c>
      <c r="M1689" s="0" t="n">
        <v>0</v>
      </c>
      <c r="N1689" s="0" t="n">
        <v>0</v>
      </c>
      <c r="O1689" s="0" t="n">
        <v>810.66</v>
      </c>
    </row>
    <row r="1690" customFormat="false" ht="15" hidden="false" customHeight="false" outlineLevel="0" collapsed="false">
      <c r="A1690" s="0" t="s">
        <v>306</v>
      </c>
      <c r="B1690" s="0" t="s">
        <v>545</v>
      </c>
      <c r="C1690" s="0" t="n">
        <v>2025</v>
      </c>
      <c r="D1690" s="0" t="n">
        <v>3517097</v>
      </c>
      <c r="E1690" s="0" t="n">
        <v>9.69</v>
      </c>
      <c r="F1690" s="0" t="n">
        <v>8.31</v>
      </c>
      <c r="G1690" s="0" t="n">
        <v>0</v>
      </c>
      <c r="H1690" s="0" t="n">
        <v>0.57</v>
      </c>
      <c r="I1690" s="0" t="n">
        <v>0</v>
      </c>
      <c r="J1690" s="0" t="n">
        <v>0.06</v>
      </c>
      <c r="K1690" s="0" t="n">
        <v>0.21</v>
      </c>
      <c r="L1690" s="0" t="n">
        <v>0.54</v>
      </c>
      <c r="M1690" s="0" t="n">
        <v>0</v>
      </c>
      <c r="N1690" s="0" t="n">
        <v>0</v>
      </c>
      <c r="O1690" s="0" t="n">
        <v>816.31</v>
      </c>
    </row>
    <row r="1691" customFormat="false" ht="15" hidden="false" customHeight="false" outlineLevel="0" collapsed="false">
      <c r="A1691" s="0" t="s">
        <v>307</v>
      </c>
      <c r="B1691" s="0" t="s">
        <v>546</v>
      </c>
      <c r="C1691" s="0" t="n">
        <v>2015</v>
      </c>
      <c r="D1691" s="0" t="n">
        <v>628145</v>
      </c>
      <c r="E1691" s="0" t="n">
        <v>3</v>
      </c>
      <c r="F1691" s="0" t="n">
        <v>1.51</v>
      </c>
      <c r="G1691" s="0" t="n">
        <v>0</v>
      </c>
      <c r="H1691" s="0" t="n">
        <v>0</v>
      </c>
      <c r="I1691" s="0" t="n">
        <v>0</v>
      </c>
      <c r="J1691" s="0" t="n">
        <v>1.49</v>
      </c>
      <c r="K1691" s="0" t="n">
        <v>0</v>
      </c>
      <c r="M1691" s="0" t="n">
        <v>0</v>
      </c>
      <c r="N1691" s="0" t="n">
        <v>0</v>
      </c>
      <c r="O1691" s="0" t="n">
        <v>523.33</v>
      </c>
    </row>
    <row r="1692" customFormat="false" ht="15" hidden="false" customHeight="false" outlineLevel="0" collapsed="false">
      <c r="A1692" s="0" t="s">
        <v>307</v>
      </c>
      <c r="B1692" s="0" t="s">
        <v>546</v>
      </c>
      <c r="C1692" s="0" t="n">
        <v>2016</v>
      </c>
      <c r="D1692" s="0" t="n">
        <v>624246</v>
      </c>
      <c r="E1692" s="0" t="n">
        <v>3.14</v>
      </c>
      <c r="F1692" s="0" t="n">
        <v>1.3</v>
      </c>
      <c r="G1692" s="0" t="n">
        <v>0</v>
      </c>
      <c r="H1692" s="0" t="n">
        <v>0</v>
      </c>
      <c r="I1692" s="0" t="n">
        <v>0</v>
      </c>
      <c r="J1692" s="0" t="n">
        <v>1.84</v>
      </c>
      <c r="K1692" s="0" t="n">
        <v>0</v>
      </c>
      <c r="M1692" s="0" t="n">
        <v>0</v>
      </c>
      <c r="N1692" s="0" t="n">
        <v>0</v>
      </c>
      <c r="O1692" s="0" t="n">
        <v>433.12</v>
      </c>
    </row>
    <row r="1693" customFormat="false" ht="15" hidden="false" customHeight="false" outlineLevel="0" collapsed="false">
      <c r="A1693" s="0" t="s">
        <v>307</v>
      </c>
      <c r="B1693" s="0" t="s">
        <v>546</v>
      </c>
      <c r="C1693" s="0" t="n">
        <v>2017</v>
      </c>
      <c r="D1693" s="0" t="n">
        <v>620112</v>
      </c>
      <c r="E1693" s="0" t="n">
        <v>2.48</v>
      </c>
      <c r="F1693" s="0" t="n">
        <v>1.36</v>
      </c>
      <c r="G1693" s="0" t="n">
        <v>0</v>
      </c>
      <c r="H1693" s="0" t="n">
        <v>0</v>
      </c>
      <c r="I1693" s="0" t="n">
        <v>0</v>
      </c>
      <c r="J1693" s="0" t="n">
        <v>1.02</v>
      </c>
      <c r="K1693" s="0" t="n">
        <v>0</v>
      </c>
      <c r="L1693" s="0" t="n">
        <v>0.1</v>
      </c>
      <c r="M1693" s="0" t="n">
        <v>0</v>
      </c>
      <c r="N1693" s="0" t="n">
        <v>0</v>
      </c>
      <c r="O1693" s="0" t="n">
        <v>564.52</v>
      </c>
    </row>
    <row r="1694" customFormat="false" ht="15" hidden="false" customHeight="false" outlineLevel="0" collapsed="false">
      <c r="A1694" s="0" t="s">
        <v>307</v>
      </c>
      <c r="B1694" s="0" t="s">
        <v>546</v>
      </c>
      <c r="C1694" s="0" t="n">
        <v>2018</v>
      </c>
      <c r="D1694" s="0" t="n">
        <v>615798</v>
      </c>
      <c r="E1694" s="0" t="n">
        <v>3.8</v>
      </c>
      <c r="F1694" s="0" t="n">
        <v>1.55</v>
      </c>
      <c r="G1694" s="0" t="n">
        <v>0</v>
      </c>
      <c r="H1694" s="0" t="n">
        <v>0</v>
      </c>
      <c r="I1694" s="0" t="n">
        <v>0</v>
      </c>
      <c r="J1694" s="0" t="n">
        <v>2.11</v>
      </c>
      <c r="K1694" s="0" t="n">
        <v>0</v>
      </c>
      <c r="L1694" s="0" t="n">
        <v>0.14</v>
      </c>
      <c r="M1694" s="0" t="n">
        <v>0</v>
      </c>
      <c r="N1694" s="0" t="n">
        <v>0</v>
      </c>
      <c r="O1694" s="0" t="n">
        <v>426.32</v>
      </c>
    </row>
    <row r="1695" customFormat="false" ht="15" hidden="false" customHeight="false" outlineLevel="0" collapsed="false">
      <c r="A1695" s="0" t="s">
        <v>307</v>
      </c>
      <c r="B1695" s="0" t="s">
        <v>546</v>
      </c>
      <c r="C1695" s="0" t="n">
        <v>2019</v>
      </c>
      <c r="D1695" s="0" t="n">
        <v>611671</v>
      </c>
      <c r="E1695" s="0" t="n">
        <v>3.43</v>
      </c>
      <c r="F1695" s="0" t="n">
        <v>1.5</v>
      </c>
      <c r="G1695" s="0" t="n">
        <v>0</v>
      </c>
      <c r="H1695" s="0" t="n">
        <v>0</v>
      </c>
      <c r="I1695" s="0" t="n">
        <v>0</v>
      </c>
      <c r="J1695" s="0" t="n">
        <v>1.63</v>
      </c>
      <c r="K1695" s="0" t="n">
        <v>0</v>
      </c>
      <c r="L1695" s="0" t="n">
        <v>0.3</v>
      </c>
      <c r="M1695" s="0" t="n">
        <v>0</v>
      </c>
      <c r="N1695" s="0" t="n">
        <v>0</v>
      </c>
      <c r="O1695" s="0" t="n">
        <v>454.81</v>
      </c>
    </row>
    <row r="1696" customFormat="false" ht="15" hidden="false" customHeight="false" outlineLevel="0" collapsed="false">
      <c r="A1696" s="0" t="s">
        <v>307</v>
      </c>
      <c r="B1696" s="0" t="s">
        <v>546</v>
      </c>
      <c r="C1696" s="0" t="n">
        <v>2020</v>
      </c>
      <c r="D1696" s="0" t="n">
        <v>607934</v>
      </c>
      <c r="E1696" s="0" t="n">
        <v>3.39</v>
      </c>
      <c r="F1696" s="0" t="n">
        <v>1.62</v>
      </c>
      <c r="G1696" s="0" t="n">
        <v>0</v>
      </c>
      <c r="H1696" s="0" t="n">
        <v>0</v>
      </c>
      <c r="I1696" s="0" t="n">
        <v>0</v>
      </c>
      <c r="J1696" s="0" t="n">
        <v>1.45</v>
      </c>
      <c r="K1696" s="0" t="n">
        <v>0</v>
      </c>
      <c r="L1696" s="0" t="n">
        <v>0.32</v>
      </c>
      <c r="M1696" s="0" t="n">
        <v>0</v>
      </c>
      <c r="N1696" s="0" t="n">
        <v>0</v>
      </c>
      <c r="O1696" s="0" t="n">
        <v>495.58</v>
      </c>
    </row>
    <row r="1697" customFormat="false" ht="15" hidden="false" customHeight="false" outlineLevel="0" collapsed="false">
      <c r="A1697" s="0" t="s">
        <v>307</v>
      </c>
      <c r="B1697" s="0" t="s">
        <v>546</v>
      </c>
      <c r="C1697" s="0" t="n">
        <v>2021</v>
      </c>
      <c r="D1697" s="0" t="n">
        <v>603854</v>
      </c>
      <c r="E1697" s="0" t="n">
        <v>3.77</v>
      </c>
      <c r="F1697" s="0" t="n">
        <v>1.44</v>
      </c>
      <c r="G1697" s="0" t="n">
        <v>0</v>
      </c>
      <c r="H1697" s="0" t="n">
        <v>0</v>
      </c>
      <c r="I1697" s="0" t="n">
        <v>0</v>
      </c>
      <c r="J1697" s="0" t="n">
        <v>2.01</v>
      </c>
      <c r="K1697" s="0" t="n">
        <v>0</v>
      </c>
      <c r="L1697" s="0" t="n">
        <v>0.32</v>
      </c>
      <c r="M1697" s="0" t="n">
        <v>0</v>
      </c>
      <c r="N1697" s="0" t="n">
        <v>0</v>
      </c>
      <c r="O1697" s="0" t="n">
        <v>400.53</v>
      </c>
    </row>
    <row r="1698" customFormat="false" ht="15" hidden="false" customHeight="false" outlineLevel="0" collapsed="false">
      <c r="A1698" s="0" t="s">
        <v>307</v>
      </c>
      <c r="B1698" s="0" t="s">
        <v>546</v>
      </c>
      <c r="C1698" s="0" t="n">
        <v>2022</v>
      </c>
      <c r="D1698" s="0" t="n">
        <v>614649</v>
      </c>
      <c r="E1698" s="0" t="n">
        <v>3.31</v>
      </c>
      <c r="F1698" s="0" t="n">
        <v>1.55</v>
      </c>
      <c r="G1698" s="0" t="n">
        <v>0</v>
      </c>
      <c r="H1698" s="0" t="n">
        <v>0</v>
      </c>
      <c r="I1698" s="0" t="n">
        <v>0</v>
      </c>
      <c r="J1698" s="0" t="n">
        <v>1.44</v>
      </c>
      <c r="K1698" s="0" t="n">
        <v>0</v>
      </c>
      <c r="L1698" s="0" t="n">
        <v>0.32</v>
      </c>
      <c r="M1698" s="0" t="n">
        <v>0</v>
      </c>
      <c r="N1698" s="0" t="n">
        <v>0</v>
      </c>
      <c r="O1698" s="0" t="n">
        <v>483.38</v>
      </c>
    </row>
    <row r="1699" customFormat="false" ht="15" hidden="false" customHeight="false" outlineLevel="0" collapsed="false">
      <c r="A1699" s="0" t="s">
        <v>307</v>
      </c>
      <c r="B1699" s="0" t="s">
        <v>546</v>
      </c>
      <c r="C1699" s="0" t="n">
        <v>2023</v>
      </c>
      <c r="D1699" s="0" t="n">
        <v>633553</v>
      </c>
      <c r="E1699" s="0" t="n">
        <v>4.19</v>
      </c>
      <c r="F1699" s="0" t="n">
        <v>1.64</v>
      </c>
      <c r="G1699" s="0" t="n">
        <v>0</v>
      </c>
      <c r="H1699" s="0" t="n">
        <v>0</v>
      </c>
      <c r="I1699" s="0" t="n">
        <v>0</v>
      </c>
      <c r="J1699" s="0" t="n">
        <v>2.22</v>
      </c>
      <c r="K1699" s="0" t="n">
        <v>0.02</v>
      </c>
      <c r="L1699" s="0" t="n">
        <v>0.31</v>
      </c>
      <c r="M1699" s="0" t="n">
        <v>0</v>
      </c>
      <c r="N1699" s="0" t="n">
        <v>0</v>
      </c>
      <c r="O1699" s="0" t="n">
        <v>410.5</v>
      </c>
    </row>
    <row r="1700" customFormat="false" ht="15" hidden="false" customHeight="false" outlineLevel="0" collapsed="false">
      <c r="A1700" s="0" t="s">
        <v>307</v>
      </c>
      <c r="B1700" s="0" t="s">
        <v>546</v>
      </c>
      <c r="C1700" s="0" t="n">
        <v>2024</v>
      </c>
      <c r="D1700" s="0" t="n">
        <v>638481</v>
      </c>
      <c r="E1700" s="0" t="n">
        <v>3.53</v>
      </c>
      <c r="F1700" s="0" t="n">
        <v>1.43</v>
      </c>
      <c r="G1700" s="0" t="n">
        <v>0</v>
      </c>
      <c r="H1700" s="0" t="n">
        <v>0</v>
      </c>
      <c r="I1700" s="0" t="n">
        <v>0</v>
      </c>
      <c r="J1700" s="0" t="n">
        <v>1.77</v>
      </c>
      <c r="K1700" s="0" t="n">
        <v>0.06</v>
      </c>
      <c r="L1700" s="0" t="n">
        <v>0.27</v>
      </c>
      <c r="M1700" s="0" t="n">
        <v>0</v>
      </c>
      <c r="N1700" s="0" t="n">
        <v>0</v>
      </c>
      <c r="O1700" s="0" t="n">
        <v>422.1</v>
      </c>
    </row>
    <row r="1701" customFormat="false" ht="15" hidden="false" customHeight="false" outlineLevel="0" collapsed="false">
      <c r="A1701" s="0" t="s">
        <v>307</v>
      </c>
      <c r="B1701" s="0" t="s">
        <v>546</v>
      </c>
      <c r="C1701" s="0" t="n">
        <v>2025</v>
      </c>
      <c r="D1701" s="0" t="n">
        <v>632730</v>
      </c>
      <c r="E1701" s="0" t="n">
        <v>2.46</v>
      </c>
      <c r="F1701" s="0" t="n">
        <v>0.6</v>
      </c>
      <c r="G1701" s="0" t="n">
        <v>0</v>
      </c>
      <c r="H1701" s="0" t="n">
        <v>0</v>
      </c>
      <c r="I1701" s="0" t="n">
        <v>0</v>
      </c>
      <c r="J1701" s="0" t="n">
        <v>1.44</v>
      </c>
      <c r="K1701" s="0" t="n">
        <v>0.14</v>
      </c>
      <c r="L1701" s="0" t="n">
        <v>0.28</v>
      </c>
      <c r="M1701" s="0" t="n">
        <v>0</v>
      </c>
      <c r="N1701" s="0" t="n">
        <v>0</v>
      </c>
      <c r="O1701" s="0" t="n">
        <v>264.23</v>
      </c>
    </row>
    <row r="1702" customFormat="false" ht="15" hidden="false" customHeight="false" outlineLevel="0" collapsed="false">
      <c r="A1702" s="0" t="s">
        <v>308</v>
      </c>
      <c r="B1702" s="0" t="s">
        <v>547</v>
      </c>
      <c r="C1702" s="0" t="n">
        <v>2015</v>
      </c>
      <c r="D1702" s="0" t="n">
        <v>4693</v>
      </c>
      <c r="E1702" s="0" t="n">
        <v>0.01</v>
      </c>
      <c r="F1702" s="0" t="n">
        <v>0</v>
      </c>
      <c r="G1702" s="0" t="n">
        <v>0</v>
      </c>
      <c r="H1702" s="0" t="n">
        <v>0.01</v>
      </c>
      <c r="I1702" s="0" t="n">
        <v>0</v>
      </c>
      <c r="J1702" s="0" t="n">
        <v>0</v>
      </c>
      <c r="K1702" s="0" t="n">
        <v>0</v>
      </c>
      <c r="L1702" s="0" t="n">
        <v>0</v>
      </c>
      <c r="M1702" s="0" t="n">
        <v>0</v>
      </c>
      <c r="N1702" s="0" t="n">
        <v>0</v>
      </c>
      <c r="O1702" s="0" t="n">
        <v>1000</v>
      </c>
    </row>
    <row r="1703" customFormat="false" ht="15" hidden="false" customHeight="false" outlineLevel="0" collapsed="false">
      <c r="A1703" s="0" t="s">
        <v>308</v>
      </c>
      <c r="B1703" s="0" t="s">
        <v>547</v>
      </c>
      <c r="C1703" s="0" t="n">
        <v>2016</v>
      </c>
      <c r="D1703" s="0" t="n">
        <v>4665</v>
      </c>
      <c r="E1703" s="0" t="n">
        <v>0.01</v>
      </c>
      <c r="F1703" s="0" t="n">
        <v>0</v>
      </c>
      <c r="G1703" s="0" t="n">
        <v>0</v>
      </c>
      <c r="H1703" s="0" t="n">
        <v>0.01</v>
      </c>
      <c r="I1703" s="0" t="n">
        <v>0</v>
      </c>
      <c r="J1703" s="0" t="n">
        <v>0</v>
      </c>
      <c r="K1703" s="0" t="n">
        <v>0</v>
      </c>
      <c r="L1703" s="0" t="n">
        <v>0</v>
      </c>
      <c r="M1703" s="0" t="n">
        <v>0</v>
      </c>
      <c r="N1703" s="0" t="n">
        <v>0</v>
      </c>
      <c r="O1703" s="0" t="n">
        <v>1000</v>
      </c>
    </row>
    <row r="1704" customFormat="false" ht="15" hidden="false" customHeight="false" outlineLevel="0" collapsed="false">
      <c r="A1704" s="0" t="s">
        <v>308</v>
      </c>
      <c r="B1704" s="0" t="s">
        <v>547</v>
      </c>
      <c r="C1704" s="0" t="n">
        <v>2017</v>
      </c>
      <c r="D1704" s="0" t="n">
        <v>4624</v>
      </c>
      <c r="E1704" s="0" t="n">
        <v>0.01</v>
      </c>
      <c r="F1704" s="0" t="n">
        <v>0</v>
      </c>
      <c r="G1704" s="0" t="n">
        <v>0</v>
      </c>
      <c r="H1704" s="0" t="n">
        <v>0.01</v>
      </c>
      <c r="I1704" s="0" t="n">
        <v>0</v>
      </c>
      <c r="J1704" s="0" t="n">
        <v>0</v>
      </c>
      <c r="K1704" s="0" t="n">
        <v>0</v>
      </c>
      <c r="L1704" s="0" t="n">
        <v>0</v>
      </c>
      <c r="M1704" s="0" t="n">
        <v>0</v>
      </c>
      <c r="N1704" s="0" t="n">
        <v>0</v>
      </c>
      <c r="O1704" s="0" t="n">
        <v>1000</v>
      </c>
    </row>
    <row r="1705" customFormat="false" ht="15" hidden="false" customHeight="false" outlineLevel="0" collapsed="false">
      <c r="A1705" s="0" t="s">
        <v>308</v>
      </c>
      <c r="B1705" s="0" t="s">
        <v>547</v>
      </c>
      <c r="C1705" s="0" t="n">
        <v>2018</v>
      </c>
      <c r="D1705" s="0" t="n">
        <v>4595</v>
      </c>
      <c r="E1705" s="0" t="n">
        <v>0.01</v>
      </c>
      <c r="F1705" s="0" t="n">
        <v>0</v>
      </c>
      <c r="G1705" s="0" t="n">
        <v>0</v>
      </c>
      <c r="H1705" s="0" t="n">
        <v>0.01</v>
      </c>
      <c r="I1705" s="0" t="n">
        <v>0</v>
      </c>
      <c r="J1705" s="0" t="n">
        <v>0</v>
      </c>
      <c r="K1705" s="0" t="n">
        <v>0</v>
      </c>
      <c r="L1705" s="0" t="n">
        <v>0</v>
      </c>
      <c r="M1705" s="0" t="n">
        <v>0</v>
      </c>
      <c r="N1705" s="0" t="n">
        <v>0</v>
      </c>
      <c r="O1705" s="0" t="n">
        <v>1000</v>
      </c>
    </row>
    <row r="1706" customFormat="false" ht="15" hidden="false" customHeight="false" outlineLevel="0" collapsed="false">
      <c r="A1706" s="0" t="s">
        <v>308</v>
      </c>
      <c r="B1706" s="0" t="s">
        <v>547</v>
      </c>
      <c r="C1706" s="0" t="n">
        <v>2019</v>
      </c>
      <c r="D1706" s="0" t="n">
        <v>4564</v>
      </c>
      <c r="E1706" s="0" t="n">
        <v>0.01</v>
      </c>
      <c r="F1706" s="0" t="n">
        <v>0</v>
      </c>
      <c r="G1706" s="0" t="n">
        <v>0</v>
      </c>
      <c r="H1706" s="0" t="n">
        <v>0.01</v>
      </c>
      <c r="I1706" s="0" t="n">
        <v>0</v>
      </c>
      <c r="J1706" s="0" t="n">
        <v>0</v>
      </c>
      <c r="K1706" s="0" t="n">
        <v>0</v>
      </c>
      <c r="L1706" s="0" t="n">
        <v>0</v>
      </c>
      <c r="M1706" s="0" t="n">
        <v>0</v>
      </c>
      <c r="N1706" s="0" t="n">
        <v>0</v>
      </c>
      <c r="O1706" s="0" t="n">
        <v>1000</v>
      </c>
    </row>
    <row r="1707" customFormat="false" ht="15" hidden="false" customHeight="false" outlineLevel="0" collapsed="false">
      <c r="A1707" s="0" t="s">
        <v>308</v>
      </c>
      <c r="B1707" s="0" t="s">
        <v>547</v>
      </c>
      <c r="C1707" s="0" t="n">
        <v>2020</v>
      </c>
      <c r="D1707" s="0" t="n">
        <v>4532</v>
      </c>
      <c r="E1707" s="0" t="n">
        <v>0.01</v>
      </c>
      <c r="F1707" s="0" t="n">
        <v>0</v>
      </c>
      <c r="G1707" s="0" t="n">
        <v>0</v>
      </c>
      <c r="H1707" s="0" t="n">
        <v>0.01</v>
      </c>
      <c r="I1707" s="0" t="n">
        <v>0</v>
      </c>
      <c r="J1707" s="0" t="n">
        <v>0</v>
      </c>
      <c r="K1707" s="0" t="n">
        <v>0</v>
      </c>
      <c r="L1707" s="0" t="n">
        <v>0</v>
      </c>
      <c r="M1707" s="0" t="n">
        <v>0</v>
      </c>
      <c r="N1707" s="0" t="n">
        <v>0</v>
      </c>
      <c r="O1707" s="0" t="n">
        <v>1000</v>
      </c>
    </row>
    <row r="1708" customFormat="false" ht="15" hidden="false" customHeight="false" outlineLevel="0" collapsed="false">
      <c r="A1708" s="0" t="s">
        <v>308</v>
      </c>
      <c r="B1708" s="0" t="s">
        <v>547</v>
      </c>
      <c r="C1708" s="0" t="n">
        <v>2021</v>
      </c>
      <c r="D1708" s="0" t="n">
        <v>4505</v>
      </c>
      <c r="E1708" s="0" t="n">
        <v>0.01</v>
      </c>
      <c r="F1708" s="0" t="n">
        <v>0</v>
      </c>
      <c r="G1708" s="0" t="n">
        <v>0</v>
      </c>
      <c r="H1708" s="0" t="n">
        <v>0.01</v>
      </c>
      <c r="I1708" s="0" t="n">
        <v>0</v>
      </c>
      <c r="J1708" s="0" t="n">
        <v>0</v>
      </c>
      <c r="K1708" s="0" t="n">
        <v>0</v>
      </c>
      <c r="L1708" s="0" t="n">
        <v>0</v>
      </c>
      <c r="M1708" s="0" t="n">
        <v>0</v>
      </c>
      <c r="N1708" s="0" t="n">
        <v>0</v>
      </c>
      <c r="O1708" s="0" t="n">
        <v>1000</v>
      </c>
    </row>
    <row r="1709" customFormat="false" ht="15" hidden="false" customHeight="false" outlineLevel="0" collapsed="false">
      <c r="A1709" s="0" t="s">
        <v>308</v>
      </c>
      <c r="B1709" s="0" t="s">
        <v>547</v>
      </c>
      <c r="C1709" s="0" t="n">
        <v>2022</v>
      </c>
      <c r="D1709" s="0" t="n">
        <v>4476</v>
      </c>
      <c r="E1709" s="0" t="n">
        <v>0.01</v>
      </c>
      <c r="F1709" s="0" t="n">
        <v>0</v>
      </c>
      <c r="G1709" s="0" t="n">
        <v>0</v>
      </c>
      <c r="H1709" s="0" t="n">
        <v>0.01</v>
      </c>
      <c r="I1709" s="0" t="n">
        <v>0</v>
      </c>
      <c r="J1709" s="0" t="n">
        <v>0</v>
      </c>
      <c r="K1709" s="0" t="n">
        <v>0</v>
      </c>
      <c r="L1709" s="0" t="n">
        <v>0</v>
      </c>
      <c r="M1709" s="0" t="n">
        <v>0</v>
      </c>
      <c r="N1709" s="0" t="n">
        <v>0</v>
      </c>
      <c r="O1709" s="0" t="n">
        <v>1000</v>
      </c>
    </row>
    <row r="1710" customFormat="false" ht="15" hidden="false" customHeight="false" outlineLevel="0" collapsed="false">
      <c r="A1710" s="0" t="s">
        <v>308</v>
      </c>
      <c r="B1710" s="0" t="s">
        <v>547</v>
      </c>
      <c r="C1710" s="0" t="n">
        <v>2023</v>
      </c>
      <c r="D1710" s="0" t="n">
        <v>4440</v>
      </c>
      <c r="E1710" s="0" t="n">
        <v>0.01</v>
      </c>
      <c r="F1710" s="0" t="n">
        <v>0</v>
      </c>
      <c r="G1710" s="0" t="n">
        <v>0</v>
      </c>
      <c r="H1710" s="0" t="n">
        <v>0.01</v>
      </c>
      <c r="I1710" s="0" t="n">
        <v>0</v>
      </c>
      <c r="J1710" s="0" t="n">
        <v>0</v>
      </c>
      <c r="K1710" s="0" t="n">
        <v>0</v>
      </c>
      <c r="L1710" s="0" t="n">
        <v>0</v>
      </c>
      <c r="M1710" s="0" t="n">
        <v>0</v>
      </c>
      <c r="N1710" s="0" t="n">
        <v>0</v>
      </c>
      <c r="O1710" s="0" t="n">
        <v>1000</v>
      </c>
    </row>
    <row r="1711" customFormat="false" ht="15" hidden="false" customHeight="false" outlineLevel="0" collapsed="false">
      <c r="A1711" s="0" t="s">
        <v>308</v>
      </c>
      <c r="B1711" s="0" t="s">
        <v>547</v>
      </c>
      <c r="C1711" s="0" t="n">
        <v>2024</v>
      </c>
      <c r="D1711" s="0" t="n">
        <v>4414</v>
      </c>
      <c r="E1711" s="0" t="n">
        <v>0.01</v>
      </c>
      <c r="F1711" s="0" t="n">
        <v>0</v>
      </c>
      <c r="G1711" s="0" t="n">
        <v>0</v>
      </c>
      <c r="H1711" s="0" t="n">
        <v>0.01</v>
      </c>
      <c r="I1711" s="0" t="n">
        <v>0</v>
      </c>
      <c r="J1711" s="0" t="n">
        <v>0</v>
      </c>
      <c r="K1711" s="0" t="n">
        <v>0</v>
      </c>
      <c r="L1711" s="0" t="n">
        <v>0</v>
      </c>
      <c r="M1711" s="0" t="n">
        <v>0</v>
      </c>
      <c r="N1711" s="0" t="n">
        <v>0</v>
      </c>
      <c r="O1711" s="0" t="n">
        <v>1000</v>
      </c>
    </row>
    <row r="1712" customFormat="false" ht="15" hidden="false" customHeight="false" outlineLevel="0" collapsed="false">
      <c r="A1712" s="0" t="s">
        <v>309</v>
      </c>
      <c r="B1712" s="0" t="s">
        <v>548</v>
      </c>
      <c r="C1712" s="0" t="n">
        <v>2015</v>
      </c>
      <c r="D1712" s="0" t="n">
        <v>34607590</v>
      </c>
      <c r="E1712" s="0" t="n">
        <v>29.91</v>
      </c>
      <c r="F1712" s="0" t="n">
        <v>17.11</v>
      </c>
      <c r="G1712" s="0" t="n">
        <v>5.78</v>
      </c>
      <c r="H1712" s="0" t="n">
        <v>2.21</v>
      </c>
      <c r="I1712" s="0" t="n">
        <v>0</v>
      </c>
      <c r="J1712" s="0" t="n">
        <v>2.28</v>
      </c>
      <c r="K1712" s="0" t="n">
        <v>0</v>
      </c>
      <c r="L1712" s="0" t="n">
        <v>2.52</v>
      </c>
      <c r="M1712" s="0" t="n">
        <v>0.01</v>
      </c>
      <c r="N1712" s="0" t="n">
        <v>0</v>
      </c>
      <c r="O1712" s="0" t="n">
        <v>639.92</v>
      </c>
    </row>
    <row r="1713" customFormat="false" ht="15" hidden="false" customHeight="false" outlineLevel="0" collapsed="false">
      <c r="A1713" s="0" t="s">
        <v>309</v>
      </c>
      <c r="B1713" s="0" t="s">
        <v>548</v>
      </c>
      <c r="C1713" s="0" t="n">
        <v>2016</v>
      </c>
      <c r="D1713" s="0" t="n">
        <v>35023459</v>
      </c>
      <c r="E1713" s="0" t="n">
        <v>30.87</v>
      </c>
      <c r="F1713" s="0" t="n">
        <v>16.99</v>
      </c>
      <c r="G1713" s="0" t="n">
        <v>5.91</v>
      </c>
      <c r="H1713" s="0" t="n">
        <v>2.88</v>
      </c>
      <c r="I1713" s="0" t="n">
        <v>0</v>
      </c>
      <c r="J1713" s="0" t="n">
        <v>1.66</v>
      </c>
      <c r="K1713" s="0" t="n">
        <v>0.4</v>
      </c>
      <c r="L1713" s="0" t="n">
        <v>3.02</v>
      </c>
      <c r="M1713" s="0" t="n">
        <v>0.01</v>
      </c>
      <c r="N1713" s="0" t="n">
        <v>0</v>
      </c>
      <c r="O1713" s="0" t="n">
        <v>633.63</v>
      </c>
    </row>
    <row r="1714" customFormat="false" ht="15" hidden="false" customHeight="false" outlineLevel="0" collapsed="false">
      <c r="A1714" s="0" t="s">
        <v>309</v>
      </c>
      <c r="B1714" s="0" t="s">
        <v>548</v>
      </c>
      <c r="C1714" s="0" t="n">
        <v>2017</v>
      </c>
      <c r="D1714" s="0" t="n">
        <v>35446395</v>
      </c>
      <c r="E1714" s="0" t="n">
        <v>31.94</v>
      </c>
      <c r="F1714" s="0" t="n">
        <v>17.55</v>
      </c>
      <c r="G1714" s="0" t="n">
        <v>5.84</v>
      </c>
      <c r="H1714" s="0" t="n">
        <v>3.49</v>
      </c>
      <c r="I1714" s="0" t="n">
        <v>0</v>
      </c>
      <c r="J1714" s="0" t="n">
        <v>1.57</v>
      </c>
      <c r="K1714" s="0" t="n">
        <v>0.41</v>
      </c>
      <c r="L1714" s="0" t="n">
        <v>3.04</v>
      </c>
      <c r="M1714" s="0" t="n">
        <v>0.04</v>
      </c>
      <c r="N1714" s="0" t="n">
        <v>0</v>
      </c>
      <c r="O1714" s="0" t="n">
        <v>637.45</v>
      </c>
    </row>
    <row r="1715" customFormat="false" ht="15" hidden="false" customHeight="false" outlineLevel="0" collapsed="false">
      <c r="A1715" s="0" t="s">
        <v>309</v>
      </c>
      <c r="B1715" s="0" t="s">
        <v>548</v>
      </c>
      <c r="C1715" s="0" t="n">
        <v>2018</v>
      </c>
      <c r="D1715" s="0" t="n">
        <v>35839760</v>
      </c>
      <c r="E1715" s="0" t="n">
        <v>34.56</v>
      </c>
      <c r="F1715" s="0" t="n">
        <v>21.26</v>
      </c>
      <c r="G1715" s="0" t="n">
        <v>5.2</v>
      </c>
      <c r="H1715" s="0" t="n">
        <v>1.25</v>
      </c>
      <c r="I1715" s="0" t="n">
        <v>0</v>
      </c>
      <c r="J1715" s="0" t="n">
        <v>2</v>
      </c>
      <c r="K1715" s="0" t="n">
        <v>0.95</v>
      </c>
      <c r="L1715" s="0" t="n">
        <v>3.86</v>
      </c>
      <c r="M1715" s="0" t="n">
        <v>0.04</v>
      </c>
      <c r="N1715" s="0" t="n">
        <v>0</v>
      </c>
      <c r="O1715" s="0" t="n">
        <v>621.53</v>
      </c>
    </row>
    <row r="1716" customFormat="false" ht="15" hidden="false" customHeight="false" outlineLevel="0" collapsed="false">
      <c r="A1716" s="0" t="s">
        <v>309</v>
      </c>
      <c r="B1716" s="0" t="s">
        <v>548</v>
      </c>
      <c r="C1716" s="0" t="n">
        <v>2019</v>
      </c>
      <c r="D1716" s="0" t="n">
        <v>36210907</v>
      </c>
      <c r="E1716" s="0" t="n">
        <v>40.38</v>
      </c>
      <c r="F1716" s="0" t="n">
        <v>26.9</v>
      </c>
      <c r="G1716" s="0" t="n">
        <v>4.7</v>
      </c>
      <c r="H1716" s="0" t="n">
        <v>0.79</v>
      </c>
      <c r="I1716" s="0" t="n">
        <v>0</v>
      </c>
      <c r="J1716" s="0" t="n">
        <v>1.65</v>
      </c>
      <c r="K1716" s="0" t="n">
        <v>1.58</v>
      </c>
      <c r="L1716" s="0" t="n">
        <v>4.72</v>
      </c>
      <c r="M1716" s="0" t="n">
        <v>0.04</v>
      </c>
      <c r="N1716" s="0" t="n">
        <v>0</v>
      </c>
      <c r="O1716" s="0" t="n">
        <v>631.75</v>
      </c>
    </row>
    <row r="1717" customFormat="false" ht="15" hidden="false" customHeight="false" outlineLevel="0" collapsed="false">
      <c r="A1717" s="0" t="s">
        <v>309</v>
      </c>
      <c r="B1717" s="0" t="s">
        <v>548</v>
      </c>
      <c r="C1717" s="0" t="n">
        <v>2020</v>
      </c>
      <c r="D1717" s="0" t="n">
        <v>36584208</v>
      </c>
      <c r="E1717" s="0" t="n">
        <v>38.8</v>
      </c>
      <c r="F1717" s="0" t="n">
        <v>27.21</v>
      </c>
      <c r="G1717" s="0" t="n">
        <v>3.46</v>
      </c>
      <c r="H1717" s="0" t="n">
        <v>0.69</v>
      </c>
      <c r="I1717" s="0" t="n">
        <v>0</v>
      </c>
      <c r="J1717" s="0" t="n">
        <v>1.29</v>
      </c>
      <c r="K1717" s="0" t="n">
        <v>1.52</v>
      </c>
      <c r="L1717" s="0" t="n">
        <v>4.59</v>
      </c>
      <c r="M1717" s="0" t="n">
        <v>0.04</v>
      </c>
      <c r="N1717" s="0" t="n">
        <v>0</v>
      </c>
      <c r="O1717" s="0" t="n">
        <v>645.62</v>
      </c>
    </row>
    <row r="1718" customFormat="false" ht="15" hidden="false" customHeight="false" outlineLevel="0" collapsed="false">
      <c r="A1718" s="0" t="s">
        <v>309</v>
      </c>
      <c r="B1718" s="0" t="s">
        <v>548</v>
      </c>
      <c r="C1718" s="0" t="n">
        <v>2021</v>
      </c>
      <c r="D1718" s="0" t="n">
        <v>36954443</v>
      </c>
      <c r="E1718" s="0" t="n">
        <v>41.3</v>
      </c>
      <c r="F1718" s="0" t="n">
        <v>28.28</v>
      </c>
      <c r="G1718" s="0" t="n">
        <v>3.46</v>
      </c>
      <c r="H1718" s="0" t="n">
        <v>1.38</v>
      </c>
      <c r="I1718" s="0" t="n">
        <v>0</v>
      </c>
      <c r="J1718" s="0" t="n">
        <v>1.21</v>
      </c>
      <c r="K1718" s="0" t="n">
        <v>1.82</v>
      </c>
      <c r="L1718" s="0" t="n">
        <v>5.11</v>
      </c>
      <c r="M1718" s="0" t="n">
        <v>0.04</v>
      </c>
      <c r="N1718" s="0" t="n">
        <v>0</v>
      </c>
      <c r="O1718" s="0" t="n">
        <v>639.95</v>
      </c>
    </row>
    <row r="1719" customFormat="false" ht="15" hidden="false" customHeight="false" outlineLevel="0" collapsed="false">
      <c r="A1719" s="0" t="s">
        <v>309</v>
      </c>
      <c r="B1719" s="0" t="s">
        <v>548</v>
      </c>
      <c r="C1719" s="0" t="n">
        <v>2022</v>
      </c>
      <c r="D1719" s="0" t="n">
        <v>37329068</v>
      </c>
      <c r="E1719" s="0" t="n">
        <v>41.41</v>
      </c>
      <c r="F1719" s="0" t="n">
        <v>29</v>
      </c>
      <c r="G1719" s="0" t="n">
        <v>0.69</v>
      </c>
      <c r="H1719" s="0" t="n">
        <v>4.19</v>
      </c>
      <c r="I1719" s="0" t="n">
        <v>0</v>
      </c>
      <c r="J1719" s="0" t="n">
        <v>0.68</v>
      </c>
      <c r="K1719" s="0" t="n">
        <v>1.45</v>
      </c>
      <c r="L1719" s="0" t="n">
        <v>5.36</v>
      </c>
      <c r="M1719" s="0" t="n">
        <v>0.04</v>
      </c>
      <c r="N1719" s="0" t="n">
        <v>0</v>
      </c>
      <c r="O1719" s="0" t="n">
        <v>662.64</v>
      </c>
    </row>
    <row r="1720" customFormat="false" ht="15" hidden="false" customHeight="false" outlineLevel="0" collapsed="false">
      <c r="A1720" s="0" t="s">
        <v>309</v>
      </c>
      <c r="B1720" s="0" t="s">
        <v>548</v>
      </c>
      <c r="C1720" s="0" t="n">
        <v>2023</v>
      </c>
      <c r="D1720" s="0" t="n">
        <v>37712516</v>
      </c>
      <c r="E1720" s="0" t="n">
        <v>42.46</v>
      </c>
      <c r="F1720" s="0" t="n">
        <v>27.15</v>
      </c>
      <c r="G1720" s="0" t="n">
        <v>4.26</v>
      </c>
      <c r="H1720" s="0" t="n">
        <v>1.83</v>
      </c>
      <c r="I1720" s="0" t="n">
        <v>0</v>
      </c>
      <c r="J1720" s="0" t="n">
        <v>0.52</v>
      </c>
      <c r="K1720" s="0" t="n">
        <v>2.11</v>
      </c>
      <c r="L1720" s="0" t="n">
        <v>6.55</v>
      </c>
      <c r="M1720" s="0" t="n">
        <v>0.04</v>
      </c>
      <c r="N1720" s="0" t="n">
        <v>0</v>
      </c>
      <c r="O1720" s="0" t="n">
        <v>616.35</v>
      </c>
    </row>
    <row r="1721" customFormat="false" ht="15" hidden="false" customHeight="false" outlineLevel="0" collapsed="false">
      <c r="A1721" s="0" t="s">
        <v>309</v>
      </c>
      <c r="B1721" s="0" t="s">
        <v>548</v>
      </c>
      <c r="C1721" s="0" t="n">
        <v>2024</v>
      </c>
      <c r="D1721" s="0" t="n">
        <v>38081176</v>
      </c>
      <c r="E1721" s="0" t="n">
        <v>42.4</v>
      </c>
      <c r="F1721" s="0" t="n">
        <v>26.18</v>
      </c>
      <c r="G1721" s="0" t="n">
        <v>4.33</v>
      </c>
      <c r="H1721" s="0" t="n">
        <v>1.54</v>
      </c>
      <c r="I1721" s="0" t="n">
        <v>0</v>
      </c>
      <c r="J1721" s="0" t="n">
        <v>0.81</v>
      </c>
      <c r="K1721" s="0" t="n">
        <v>2.41</v>
      </c>
      <c r="L1721" s="0" t="n">
        <v>7.09</v>
      </c>
      <c r="M1721" s="0" t="n">
        <v>0.04</v>
      </c>
      <c r="N1721" s="0" t="n">
        <v>0</v>
      </c>
      <c r="O1721" s="0" t="n">
        <v>594.81</v>
      </c>
    </row>
    <row r="1722" customFormat="false" ht="15" hidden="false" customHeight="false" outlineLevel="0" collapsed="false">
      <c r="A1722" s="0" t="s">
        <v>309</v>
      </c>
      <c r="B1722" s="0" t="s">
        <v>548</v>
      </c>
      <c r="C1722" s="0" t="n">
        <v>2025</v>
      </c>
      <c r="D1722" s="0" t="n">
        <v>38430774</v>
      </c>
      <c r="E1722" s="0" t="n">
        <v>44.5</v>
      </c>
      <c r="F1722" s="0" t="n">
        <v>27.37</v>
      </c>
      <c r="G1722" s="0" t="n">
        <v>4.86</v>
      </c>
      <c r="H1722" s="0" t="n">
        <v>1.61</v>
      </c>
      <c r="I1722" s="0" t="n">
        <v>0</v>
      </c>
      <c r="J1722" s="0" t="n">
        <v>0.91</v>
      </c>
      <c r="K1722" s="0" t="n">
        <v>2.57</v>
      </c>
      <c r="L1722" s="0" t="n">
        <v>7.14</v>
      </c>
      <c r="M1722" s="0" t="n">
        <v>0.04</v>
      </c>
      <c r="N1722" s="0" t="n">
        <v>0</v>
      </c>
      <c r="O1722" s="0" t="n">
        <v>596.4</v>
      </c>
    </row>
    <row r="1723" customFormat="false" ht="15" hidden="false" customHeight="false" outlineLevel="0" collapsed="false">
      <c r="A1723" s="0" t="s">
        <v>310</v>
      </c>
      <c r="B1723" s="0" t="s">
        <v>549</v>
      </c>
      <c r="C1723" s="0" t="n">
        <v>2015</v>
      </c>
      <c r="D1723" s="0" t="n">
        <v>26547576</v>
      </c>
      <c r="E1723" s="0" t="n">
        <v>18.38</v>
      </c>
      <c r="F1723" s="0" t="n">
        <v>0</v>
      </c>
      <c r="G1723" s="0" t="n">
        <v>1.27</v>
      </c>
      <c r="H1723" s="0" t="n">
        <v>0.02</v>
      </c>
      <c r="I1723" s="0" t="n">
        <v>0</v>
      </c>
      <c r="J1723" s="0" t="n">
        <v>17.09</v>
      </c>
      <c r="K1723" s="0" t="n">
        <v>0</v>
      </c>
      <c r="L1723" s="0" t="n">
        <v>0</v>
      </c>
      <c r="M1723" s="0" t="n">
        <v>0</v>
      </c>
      <c r="N1723" s="0" t="n">
        <v>0</v>
      </c>
      <c r="O1723" s="0" t="n">
        <v>68.01</v>
      </c>
    </row>
    <row r="1724" customFormat="false" ht="15" hidden="false" customHeight="false" outlineLevel="0" collapsed="false">
      <c r="A1724" s="0" t="s">
        <v>310</v>
      </c>
      <c r="B1724" s="0" t="s">
        <v>549</v>
      </c>
      <c r="C1724" s="0" t="n">
        <v>2016</v>
      </c>
      <c r="D1724" s="0" t="n">
        <v>27337107</v>
      </c>
      <c r="E1724" s="0" t="n">
        <v>18.86</v>
      </c>
      <c r="F1724" s="0" t="n">
        <v>0</v>
      </c>
      <c r="G1724" s="0" t="n">
        <v>2.83</v>
      </c>
      <c r="H1724" s="0" t="n">
        <v>0.43</v>
      </c>
      <c r="I1724" s="0" t="n">
        <v>0</v>
      </c>
      <c r="J1724" s="0" t="n">
        <v>15.6</v>
      </c>
      <c r="K1724" s="0" t="n">
        <v>0</v>
      </c>
      <c r="L1724" s="0" t="n">
        <v>0</v>
      </c>
      <c r="M1724" s="0" t="n">
        <v>0</v>
      </c>
      <c r="N1724" s="0" t="n">
        <v>0</v>
      </c>
      <c r="O1724" s="0" t="n">
        <v>132.56</v>
      </c>
    </row>
    <row r="1725" customFormat="false" ht="15" hidden="false" customHeight="false" outlineLevel="0" collapsed="false">
      <c r="A1725" s="0" t="s">
        <v>310</v>
      </c>
      <c r="B1725" s="0" t="s">
        <v>549</v>
      </c>
      <c r="C1725" s="0" t="n">
        <v>2017</v>
      </c>
      <c r="D1725" s="0" t="n">
        <v>28166397</v>
      </c>
      <c r="E1725" s="0" t="n">
        <v>17.64</v>
      </c>
      <c r="F1725" s="0" t="n">
        <v>0</v>
      </c>
      <c r="G1725" s="0" t="n">
        <v>2.79</v>
      </c>
      <c r="H1725" s="0" t="n">
        <v>0.65</v>
      </c>
      <c r="I1725" s="0" t="n">
        <v>0</v>
      </c>
      <c r="J1725" s="0" t="n">
        <v>14.06</v>
      </c>
      <c r="K1725" s="0" t="n">
        <v>0</v>
      </c>
      <c r="L1725" s="0" t="n">
        <v>0</v>
      </c>
      <c r="M1725" s="0" t="n">
        <v>0.14</v>
      </c>
      <c r="N1725" s="0" t="n">
        <v>0</v>
      </c>
      <c r="O1725" s="0" t="n">
        <v>147.96</v>
      </c>
    </row>
    <row r="1726" customFormat="false" ht="15" hidden="false" customHeight="false" outlineLevel="0" collapsed="false">
      <c r="A1726" s="0" t="s">
        <v>310</v>
      </c>
      <c r="B1726" s="0" t="s">
        <v>549</v>
      </c>
      <c r="C1726" s="0" t="n">
        <v>2018</v>
      </c>
      <c r="D1726" s="0" t="n">
        <v>29018647</v>
      </c>
      <c r="E1726" s="0" t="n">
        <v>17.14</v>
      </c>
      <c r="F1726" s="0" t="n">
        <v>0</v>
      </c>
      <c r="G1726" s="0" t="n">
        <v>2.87</v>
      </c>
      <c r="H1726" s="0" t="n">
        <v>0.25</v>
      </c>
      <c r="I1726" s="0" t="n">
        <v>0</v>
      </c>
      <c r="J1726" s="0" t="n">
        <v>13.9</v>
      </c>
      <c r="K1726" s="0" t="n">
        <v>0</v>
      </c>
      <c r="L1726" s="0" t="n">
        <v>0</v>
      </c>
      <c r="M1726" s="0" t="n">
        <v>0.12</v>
      </c>
      <c r="N1726" s="0" t="n">
        <v>0</v>
      </c>
      <c r="O1726" s="0" t="n">
        <v>139.44</v>
      </c>
    </row>
    <row r="1727" customFormat="false" ht="15" hidden="false" customHeight="false" outlineLevel="0" collapsed="false">
      <c r="A1727" s="0" t="s">
        <v>310</v>
      </c>
      <c r="B1727" s="0" t="s">
        <v>549</v>
      </c>
      <c r="C1727" s="0" t="n">
        <v>2019</v>
      </c>
      <c r="D1727" s="0" t="n">
        <v>29884378</v>
      </c>
      <c r="E1727" s="0" t="n">
        <v>18.99</v>
      </c>
      <c r="F1727" s="0" t="n">
        <v>0</v>
      </c>
      <c r="G1727" s="0" t="n">
        <v>3.78</v>
      </c>
      <c r="H1727" s="0" t="n">
        <v>0.14</v>
      </c>
      <c r="I1727" s="0" t="n">
        <v>0</v>
      </c>
      <c r="J1727" s="0" t="n">
        <v>14.93</v>
      </c>
      <c r="K1727" s="0" t="n">
        <v>0.03</v>
      </c>
      <c r="L1727" s="0" t="n">
        <v>0</v>
      </c>
      <c r="M1727" s="0" t="n">
        <v>0.11</v>
      </c>
      <c r="N1727" s="0" t="n">
        <v>0</v>
      </c>
      <c r="O1727" s="0" t="n">
        <v>154.29</v>
      </c>
    </row>
    <row r="1728" customFormat="false" ht="15" hidden="false" customHeight="false" outlineLevel="0" collapsed="false">
      <c r="A1728" s="0" t="s">
        <v>310</v>
      </c>
      <c r="B1728" s="0" t="s">
        <v>549</v>
      </c>
      <c r="C1728" s="0" t="n">
        <v>2020</v>
      </c>
      <c r="D1728" s="0" t="n">
        <v>30783685</v>
      </c>
      <c r="E1728" s="0" t="n">
        <v>19.02</v>
      </c>
      <c r="F1728" s="0" t="n">
        <v>0</v>
      </c>
      <c r="G1728" s="0" t="n">
        <v>3</v>
      </c>
      <c r="H1728" s="0" t="n">
        <v>0.14</v>
      </c>
      <c r="I1728" s="0" t="n">
        <v>0</v>
      </c>
      <c r="J1728" s="0" t="n">
        <v>15.7</v>
      </c>
      <c r="K1728" s="0" t="n">
        <v>0.07</v>
      </c>
      <c r="L1728" s="0" t="n">
        <v>0</v>
      </c>
      <c r="M1728" s="0" t="n">
        <v>0.11</v>
      </c>
      <c r="N1728" s="0" t="n">
        <v>0</v>
      </c>
      <c r="O1728" s="0" t="n">
        <v>128.29</v>
      </c>
    </row>
    <row r="1729" customFormat="false" ht="15" hidden="false" customHeight="false" outlineLevel="0" collapsed="false">
      <c r="A1729" s="0" t="s">
        <v>310</v>
      </c>
      <c r="B1729" s="0" t="s">
        <v>549</v>
      </c>
      <c r="C1729" s="0" t="n">
        <v>2021</v>
      </c>
      <c r="D1729" s="0" t="n">
        <v>31707798</v>
      </c>
      <c r="E1729" s="0" t="n">
        <v>18.86</v>
      </c>
      <c r="F1729" s="0" t="n">
        <v>0</v>
      </c>
      <c r="G1729" s="0" t="n">
        <v>3.04</v>
      </c>
      <c r="H1729" s="0" t="n">
        <v>0.17</v>
      </c>
      <c r="I1729" s="0" t="n">
        <v>0</v>
      </c>
      <c r="J1729" s="0" t="n">
        <v>15.47</v>
      </c>
      <c r="K1729" s="0" t="n">
        <v>0.07</v>
      </c>
      <c r="L1729" s="0" t="n">
        <v>0</v>
      </c>
      <c r="M1729" s="0" t="n">
        <v>0.11</v>
      </c>
      <c r="N1729" s="0" t="n">
        <v>0</v>
      </c>
      <c r="O1729" s="0" t="n">
        <v>131.5</v>
      </c>
    </row>
    <row r="1730" customFormat="false" ht="15" hidden="false" customHeight="false" outlineLevel="0" collapsed="false">
      <c r="A1730" s="0" t="s">
        <v>310</v>
      </c>
      <c r="B1730" s="0" t="s">
        <v>549</v>
      </c>
      <c r="C1730" s="0" t="n">
        <v>2022</v>
      </c>
      <c r="D1730" s="0" t="n">
        <v>32656242</v>
      </c>
      <c r="E1730" s="0" t="n">
        <v>19.56</v>
      </c>
      <c r="F1730" s="0" t="n">
        <v>0</v>
      </c>
      <c r="G1730" s="0" t="n">
        <v>3.06</v>
      </c>
      <c r="H1730" s="0" t="n">
        <v>0.13</v>
      </c>
      <c r="I1730" s="0" t="n">
        <v>0</v>
      </c>
      <c r="J1730" s="0" t="n">
        <v>16.17</v>
      </c>
      <c r="K1730" s="0" t="n">
        <v>0.07</v>
      </c>
      <c r="L1730" s="0" t="n">
        <v>0</v>
      </c>
      <c r="M1730" s="0" t="n">
        <v>0.13</v>
      </c>
      <c r="N1730" s="0" t="n">
        <v>0</v>
      </c>
      <c r="O1730" s="0" t="n">
        <v>127.81</v>
      </c>
    </row>
    <row r="1731" customFormat="false" ht="15" hidden="false" customHeight="false" outlineLevel="0" collapsed="false">
      <c r="A1731" s="0" t="s">
        <v>310</v>
      </c>
      <c r="B1731" s="0" t="s">
        <v>549</v>
      </c>
      <c r="C1731" s="0" t="n">
        <v>2023</v>
      </c>
      <c r="D1731" s="0" t="n">
        <v>33635163</v>
      </c>
      <c r="E1731" s="0" t="n">
        <v>19.96</v>
      </c>
      <c r="F1731" s="0" t="n">
        <v>0</v>
      </c>
      <c r="G1731" s="0" t="n">
        <v>3.12</v>
      </c>
      <c r="H1731" s="0" t="n">
        <v>0.16</v>
      </c>
      <c r="I1731" s="0" t="n">
        <v>0</v>
      </c>
      <c r="J1731" s="0" t="n">
        <v>16.48</v>
      </c>
      <c r="K1731" s="0" t="n">
        <v>0.07</v>
      </c>
      <c r="L1731" s="0" t="n">
        <v>0</v>
      </c>
      <c r="M1731" s="0" t="n">
        <v>0.13</v>
      </c>
      <c r="N1731" s="0" t="n">
        <v>0</v>
      </c>
      <c r="O1731" s="0" t="n">
        <v>128.76</v>
      </c>
    </row>
    <row r="1732" customFormat="false" ht="15" hidden="false" customHeight="false" outlineLevel="0" collapsed="false">
      <c r="A1732" s="0" t="s">
        <v>310</v>
      </c>
      <c r="B1732" s="0" t="s">
        <v>549</v>
      </c>
      <c r="C1732" s="0" t="n">
        <v>2024</v>
      </c>
      <c r="D1732" s="0" t="n">
        <v>34631767</v>
      </c>
      <c r="E1732" s="0" t="n">
        <v>19.79</v>
      </c>
      <c r="F1732" s="0" t="n">
        <v>0</v>
      </c>
      <c r="G1732" s="0" t="n">
        <v>3.13</v>
      </c>
      <c r="H1732" s="0" t="n">
        <v>0.15</v>
      </c>
      <c r="I1732" s="0" t="n">
        <v>0</v>
      </c>
      <c r="J1732" s="0" t="n">
        <v>16.3</v>
      </c>
      <c r="K1732" s="0" t="n">
        <v>0.08</v>
      </c>
      <c r="L1732" s="0" t="n">
        <v>0</v>
      </c>
      <c r="M1732" s="0" t="n">
        <v>0.13</v>
      </c>
      <c r="N1732" s="0" t="n">
        <v>0</v>
      </c>
      <c r="O1732" s="0" t="n">
        <v>129.36</v>
      </c>
    </row>
    <row r="1733" customFormat="false" ht="15" hidden="false" customHeight="false" outlineLevel="0" collapsed="false">
      <c r="A1733" s="0" t="s">
        <v>311</v>
      </c>
      <c r="B1733" s="0" t="s">
        <v>550</v>
      </c>
      <c r="C1733" s="0" t="n">
        <v>2015</v>
      </c>
      <c r="D1733" s="0" t="n">
        <v>51089060</v>
      </c>
      <c r="E1733" s="0" t="n">
        <v>16.2</v>
      </c>
      <c r="F1733" s="0" t="n">
        <v>0.28</v>
      </c>
      <c r="G1733" s="0" t="n">
        <v>6.23</v>
      </c>
      <c r="H1733" s="0" t="n">
        <v>0.05</v>
      </c>
      <c r="I1733" s="0" t="n">
        <v>0</v>
      </c>
      <c r="J1733" s="0" t="n">
        <v>9.4</v>
      </c>
      <c r="K1733" s="0" t="n">
        <v>0.03</v>
      </c>
      <c r="L1733" s="0" t="n">
        <v>0</v>
      </c>
      <c r="M1733" s="0" t="n">
        <v>0.21</v>
      </c>
      <c r="N1733" s="0" t="n">
        <v>0</v>
      </c>
      <c r="O1733" s="0" t="n">
        <v>398.15</v>
      </c>
    </row>
    <row r="1734" customFormat="false" ht="15" hidden="false" customHeight="false" outlineLevel="0" collapsed="false">
      <c r="A1734" s="0" t="s">
        <v>311</v>
      </c>
      <c r="B1734" s="0" t="s">
        <v>550</v>
      </c>
      <c r="C1734" s="0" t="n">
        <v>2016</v>
      </c>
      <c r="D1734" s="0" t="n">
        <v>51495701</v>
      </c>
      <c r="E1734" s="0" t="n">
        <v>18.12</v>
      </c>
      <c r="F1734" s="0" t="n">
        <v>0.01</v>
      </c>
      <c r="G1734" s="0" t="n">
        <v>8.05</v>
      </c>
      <c r="H1734" s="0" t="n">
        <v>0.06</v>
      </c>
      <c r="I1734" s="0" t="n">
        <v>0</v>
      </c>
      <c r="J1734" s="0" t="n">
        <v>9.74</v>
      </c>
      <c r="K1734" s="0" t="n">
        <v>0.05</v>
      </c>
      <c r="L1734" s="0" t="n">
        <v>0</v>
      </c>
      <c r="M1734" s="0" t="n">
        <v>0.21</v>
      </c>
      <c r="N1734" s="0" t="n">
        <v>0</v>
      </c>
      <c r="O1734" s="0" t="n">
        <v>439.85</v>
      </c>
    </row>
    <row r="1735" customFormat="false" ht="15" hidden="false" customHeight="false" outlineLevel="0" collapsed="false">
      <c r="A1735" s="0" t="s">
        <v>311</v>
      </c>
      <c r="B1735" s="0" t="s">
        <v>550</v>
      </c>
      <c r="C1735" s="0" t="n">
        <v>2017</v>
      </c>
      <c r="D1735" s="0" t="n">
        <v>51894939</v>
      </c>
      <c r="E1735" s="0" t="n">
        <v>21.04</v>
      </c>
      <c r="F1735" s="0" t="n">
        <v>1.41</v>
      </c>
      <c r="G1735" s="0" t="n">
        <v>8.34</v>
      </c>
      <c r="H1735" s="0" t="n">
        <v>0.07</v>
      </c>
      <c r="I1735" s="0" t="n">
        <v>0</v>
      </c>
      <c r="J1735" s="0" t="n">
        <v>10.93</v>
      </c>
      <c r="K1735" s="0" t="n">
        <v>0.06</v>
      </c>
      <c r="L1735" s="0" t="n">
        <v>0</v>
      </c>
      <c r="M1735" s="0" t="n">
        <v>0.23</v>
      </c>
      <c r="N1735" s="0" t="n">
        <v>0</v>
      </c>
      <c r="O1735" s="0" t="n">
        <v>451.05</v>
      </c>
    </row>
    <row r="1736" customFormat="false" ht="15" hidden="false" customHeight="false" outlineLevel="0" collapsed="false">
      <c r="A1736" s="0" t="s">
        <v>311</v>
      </c>
      <c r="B1736" s="0" t="s">
        <v>550</v>
      </c>
      <c r="C1736" s="0" t="n">
        <v>2018</v>
      </c>
      <c r="D1736" s="0" t="n">
        <v>52272250</v>
      </c>
      <c r="E1736" s="0" t="n">
        <v>21.64</v>
      </c>
      <c r="F1736" s="0" t="n">
        <v>1.54</v>
      </c>
      <c r="G1736" s="0" t="n">
        <v>7.43</v>
      </c>
      <c r="H1736" s="0" t="n">
        <v>0.08</v>
      </c>
      <c r="I1736" s="0" t="n">
        <v>0</v>
      </c>
      <c r="J1736" s="0" t="n">
        <v>12.27</v>
      </c>
      <c r="K1736" s="0" t="n">
        <v>0.07</v>
      </c>
      <c r="L1736" s="0" t="n">
        <v>0</v>
      </c>
      <c r="M1736" s="0" t="n">
        <v>0.25</v>
      </c>
      <c r="N1736" s="0" t="n">
        <v>0</v>
      </c>
      <c r="O1736" s="0" t="n">
        <v>405.27</v>
      </c>
    </row>
    <row r="1737" customFormat="false" ht="15" hidden="false" customHeight="false" outlineLevel="0" collapsed="false">
      <c r="A1737" s="0" t="s">
        <v>311</v>
      </c>
      <c r="B1737" s="0" t="s">
        <v>550</v>
      </c>
      <c r="C1737" s="0" t="n">
        <v>2019</v>
      </c>
      <c r="D1737" s="0" t="n">
        <v>52640718</v>
      </c>
      <c r="E1737" s="0" t="n">
        <v>19.32</v>
      </c>
      <c r="F1737" s="0" t="n">
        <v>2.26</v>
      </c>
      <c r="G1737" s="0" t="n">
        <v>6.08</v>
      </c>
      <c r="H1737" s="0" t="n">
        <v>0.11</v>
      </c>
      <c r="I1737" s="0" t="n">
        <v>0</v>
      </c>
      <c r="J1737" s="0" t="n">
        <v>10.52</v>
      </c>
      <c r="K1737" s="0" t="n">
        <v>0.09</v>
      </c>
      <c r="L1737" s="0" t="n">
        <v>0</v>
      </c>
      <c r="M1737" s="0" t="n">
        <v>0.26</v>
      </c>
      <c r="N1737" s="0" t="n">
        <v>0</v>
      </c>
      <c r="O1737" s="0" t="n">
        <v>419.26</v>
      </c>
    </row>
    <row r="1738" customFormat="false" ht="15" hidden="false" customHeight="false" outlineLevel="0" collapsed="false">
      <c r="A1738" s="0" t="s">
        <v>311</v>
      </c>
      <c r="B1738" s="0" t="s">
        <v>550</v>
      </c>
      <c r="C1738" s="0" t="n">
        <v>2020</v>
      </c>
      <c r="D1738" s="0" t="n">
        <v>53016525</v>
      </c>
      <c r="E1738" s="0" t="n">
        <v>18.78</v>
      </c>
      <c r="F1738" s="0" t="n">
        <v>2.46</v>
      </c>
      <c r="G1738" s="0" t="n">
        <v>6.99</v>
      </c>
      <c r="H1738" s="0" t="n">
        <v>0.19</v>
      </c>
      <c r="I1738" s="0" t="n">
        <v>0</v>
      </c>
      <c r="J1738" s="0" t="n">
        <v>8.8</v>
      </c>
      <c r="K1738" s="0" t="n">
        <v>0.08</v>
      </c>
      <c r="L1738" s="0" t="n">
        <v>0</v>
      </c>
      <c r="M1738" s="0" t="n">
        <v>0.26</v>
      </c>
      <c r="N1738" s="0" t="n">
        <v>0</v>
      </c>
      <c r="O1738" s="0" t="n">
        <v>487.22</v>
      </c>
    </row>
    <row r="1739" customFormat="false" ht="15" hidden="false" customHeight="false" outlineLevel="0" collapsed="false">
      <c r="A1739" s="0" t="s">
        <v>311</v>
      </c>
      <c r="B1739" s="0" t="s">
        <v>550</v>
      </c>
      <c r="C1739" s="0" t="n">
        <v>2021</v>
      </c>
      <c r="D1739" s="0" t="n">
        <v>53387103</v>
      </c>
      <c r="E1739" s="0" t="n">
        <v>19.98</v>
      </c>
      <c r="F1739" s="0" t="n">
        <v>2.12</v>
      </c>
      <c r="G1739" s="0" t="n">
        <v>7.88</v>
      </c>
      <c r="H1739" s="0" t="n">
        <v>0.12</v>
      </c>
      <c r="I1739" s="0" t="n">
        <v>0</v>
      </c>
      <c r="J1739" s="0" t="n">
        <v>9.51</v>
      </c>
      <c r="K1739" s="0" t="n">
        <v>0.09</v>
      </c>
      <c r="L1739" s="0" t="n">
        <v>0</v>
      </c>
      <c r="M1739" s="0" t="n">
        <v>0.26</v>
      </c>
      <c r="N1739" s="0" t="n">
        <v>0</v>
      </c>
      <c r="O1739" s="0" t="n">
        <v>484.48</v>
      </c>
    </row>
    <row r="1740" customFormat="false" ht="15" hidden="false" customHeight="false" outlineLevel="0" collapsed="false">
      <c r="A1740" s="0" t="s">
        <v>311</v>
      </c>
      <c r="B1740" s="0" t="s">
        <v>550</v>
      </c>
      <c r="C1740" s="0" t="n">
        <v>2022</v>
      </c>
      <c r="D1740" s="0" t="n">
        <v>53756791</v>
      </c>
      <c r="E1740" s="0" t="n">
        <v>23.25</v>
      </c>
      <c r="F1740" s="0" t="n">
        <v>2.17</v>
      </c>
      <c r="G1740" s="0" t="n">
        <v>11.47</v>
      </c>
      <c r="H1740" s="0" t="n">
        <v>0.11</v>
      </c>
      <c r="I1740" s="0" t="n">
        <v>0</v>
      </c>
      <c r="J1740" s="0" t="n">
        <v>9.07</v>
      </c>
      <c r="K1740" s="0" t="n">
        <v>0.16</v>
      </c>
      <c r="L1740" s="0" t="n">
        <v>0</v>
      </c>
      <c r="M1740" s="0" t="n">
        <v>0.27</v>
      </c>
      <c r="N1740" s="0" t="n">
        <v>0</v>
      </c>
      <c r="O1740" s="0" t="n">
        <v>563.87</v>
      </c>
    </row>
    <row r="1741" customFormat="false" ht="15" hidden="false" customHeight="false" outlineLevel="0" collapsed="false">
      <c r="A1741" s="0" t="s">
        <v>311</v>
      </c>
      <c r="B1741" s="0" t="s">
        <v>550</v>
      </c>
      <c r="C1741" s="0" t="n">
        <v>2023</v>
      </c>
      <c r="D1741" s="0" t="n">
        <v>54133800</v>
      </c>
      <c r="E1741" s="0" t="n">
        <v>21.1</v>
      </c>
      <c r="F1741" s="0" t="n">
        <v>1.12</v>
      </c>
      <c r="G1741" s="0" t="n">
        <v>10.04</v>
      </c>
      <c r="H1741" s="0" t="n">
        <v>0.13</v>
      </c>
      <c r="I1741" s="0" t="n">
        <v>0</v>
      </c>
      <c r="J1741" s="0" t="n">
        <v>9.43</v>
      </c>
      <c r="K1741" s="0" t="n">
        <v>0.11</v>
      </c>
      <c r="L1741" s="0" t="n">
        <v>0</v>
      </c>
      <c r="M1741" s="0" t="n">
        <v>0.27</v>
      </c>
      <c r="N1741" s="0" t="n">
        <v>0</v>
      </c>
      <c r="O1741" s="0" t="n">
        <v>515.64</v>
      </c>
    </row>
    <row r="1742" customFormat="false" ht="15" hidden="false" customHeight="false" outlineLevel="0" collapsed="false">
      <c r="A1742" s="0" t="s">
        <v>311</v>
      </c>
      <c r="B1742" s="0" t="s">
        <v>550</v>
      </c>
      <c r="C1742" s="0" t="n">
        <v>2024</v>
      </c>
      <c r="D1742" s="0" t="n">
        <v>54500086</v>
      </c>
      <c r="E1742" s="0" t="n">
        <v>21.71</v>
      </c>
      <c r="F1742" s="0" t="n">
        <v>1.2</v>
      </c>
      <c r="G1742" s="0" t="n">
        <v>10</v>
      </c>
      <c r="H1742" s="0" t="n">
        <v>0.12</v>
      </c>
      <c r="I1742" s="0" t="n">
        <v>0</v>
      </c>
      <c r="J1742" s="0" t="n">
        <v>10</v>
      </c>
      <c r="K1742" s="0" t="n">
        <v>0.12</v>
      </c>
      <c r="L1742" s="0" t="n">
        <v>0</v>
      </c>
      <c r="M1742" s="0" t="n">
        <v>0.27</v>
      </c>
      <c r="N1742" s="0" t="n">
        <v>0</v>
      </c>
      <c r="O1742" s="0" t="n">
        <v>502.99</v>
      </c>
    </row>
    <row r="1743" customFormat="false" ht="15" hidden="false" customHeight="false" outlineLevel="0" collapsed="false">
      <c r="A1743" s="0" t="s">
        <v>312</v>
      </c>
      <c r="B1743" s="0" t="s">
        <v>551</v>
      </c>
      <c r="C1743" s="0" t="n">
        <v>2015</v>
      </c>
      <c r="D1743" s="0" t="n">
        <v>2374305</v>
      </c>
      <c r="E1743" s="0" t="n">
        <v>1.58</v>
      </c>
      <c r="F1743" s="0" t="n">
        <v>0.01</v>
      </c>
      <c r="G1743" s="0" t="n">
        <v>0</v>
      </c>
      <c r="H1743" s="0" t="n">
        <v>0.03</v>
      </c>
      <c r="I1743" s="0" t="n">
        <v>0</v>
      </c>
      <c r="J1743" s="0" t="n">
        <v>1.5</v>
      </c>
      <c r="K1743" s="0" t="n">
        <v>0.04</v>
      </c>
      <c r="L1743" s="0" t="n">
        <v>0</v>
      </c>
      <c r="M1743" s="0" t="n">
        <v>0</v>
      </c>
      <c r="N1743" s="0" t="n">
        <v>0</v>
      </c>
      <c r="O1743" s="0" t="n">
        <v>44.3</v>
      </c>
    </row>
    <row r="1744" customFormat="false" ht="15" hidden="false" customHeight="false" outlineLevel="0" collapsed="false">
      <c r="A1744" s="0" t="s">
        <v>312</v>
      </c>
      <c r="B1744" s="0" t="s">
        <v>551</v>
      </c>
      <c r="C1744" s="0" t="n">
        <v>2016</v>
      </c>
      <c r="D1744" s="0" t="n">
        <v>2439219</v>
      </c>
      <c r="E1744" s="0" t="n">
        <v>1.48</v>
      </c>
      <c r="F1744" s="0" t="n">
        <v>0.05</v>
      </c>
      <c r="G1744" s="0" t="n">
        <v>0</v>
      </c>
      <c r="H1744" s="0" t="n">
        <v>0.01</v>
      </c>
      <c r="I1744" s="0" t="n">
        <v>0</v>
      </c>
      <c r="J1744" s="0" t="n">
        <v>1.36</v>
      </c>
      <c r="K1744" s="0" t="n">
        <v>0.06</v>
      </c>
      <c r="L1744" s="0" t="n">
        <v>0</v>
      </c>
      <c r="M1744" s="0" t="n">
        <v>0</v>
      </c>
      <c r="N1744" s="0" t="n">
        <v>0</v>
      </c>
      <c r="O1744" s="0" t="n">
        <v>54.05</v>
      </c>
    </row>
    <row r="1745" customFormat="false" ht="15" hidden="false" customHeight="false" outlineLevel="0" collapsed="false">
      <c r="A1745" s="0" t="s">
        <v>312</v>
      </c>
      <c r="B1745" s="0" t="s">
        <v>551</v>
      </c>
      <c r="C1745" s="0" t="n">
        <v>2017</v>
      </c>
      <c r="D1745" s="0" t="n">
        <v>2506854</v>
      </c>
      <c r="E1745" s="0" t="n">
        <v>1.77</v>
      </c>
      <c r="F1745" s="0" t="n">
        <v>0.07</v>
      </c>
      <c r="G1745" s="0" t="n">
        <v>0</v>
      </c>
      <c r="H1745" s="0" t="n">
        <v>0</v>
      </c>
      <c r="I1745" s="0" t="n">
        <v>0</v>
      </c>
      <c r="J1745" s="0" t="n">
        <v>1.59</v>
      </c>
      <c r="K1745" s="0" t="n">
        <v>0.11</v>
      </c>
      <c r="L1745" s="0" t="n">
        <v>0</v>
      </c>
      <c r="M1745" s="0" t="n">
        <v>0</v>
      </c>
      <c r="N1745" s="0" t="n">
        <v>0</v>
      </c>
      <c r="O1745" s="0" t="n">
        <v>62.15</v>
      </c>
    </row>
    <row r="1746" customFormat="false" ht="15" hidden="false" customHeight="false" outlineLevel="0" collapsed="false">
      <c r="A1746" s="0" t="s">
        <v>312</v>
      </c>
      <c r="B1746" s="0" t="s">
        <v>551</v>
      </c>
      <c r="C1746" s="0" t="n">
        <v>2018</v>
      </c>
      <c r="D1746" s="0" t="n">
        <v>2577327</v>
      </c>
      <c r="E1746" s="0" t="n">
        <v>1.41</v>
      </c>
      <c r="F1746" s="0" t="n">
        <v>0.02</v>
      </c>
      <c r="G1746" s="0" t="n">
        <v>0</v>
      </c>
      <c r="H1746" s="0" t="n">
        <v>0</v>
      </c>
      <c r="I1746" s="0" t="n">
        <v>0</v>
      </c>
      <c r="J1746" s="0" t="n">
        <v>1.14</v>
      </c>
      <c r="K1746" s="0" t="n">
        <v>0.23</v>
      </c>
      <c r="L1746" s="0" t="n">
        <v>0.02</v>
      </c>
      <c r="M1746" s="0" t="n">
        <v>0</v>
      </c>
      <c r="N1746" s="0" t="n">
        <v>0</v>
      </c>
      <c r="O1746" s="0" t="n">
        <v>42.55</v>
      </c>
    </row>
    <row r="1747" customFormat="false" ht="15" hidden="false" customHeight="false" outlineLevel="0" collapsed="false">
      <c r="A1747" s="0" t="s">
        <v>312</v>
      </c>
      <c r="B1747" s="0" t="s">
        <v>551</v>
      </c>
      <c r="C1747" s="0" t="n">
        <v>2019</v>
      </c>
      <c r="D1747" s="0" t="n">
        <v>2650499</v>
      </c>
      <c r="E1747" s="0" t="n">
        <v>1.38</v>
      </c>
      <c r="F1747" s="0" t="n">
        <v>0.04</v>
      </c>
      <c r="G1747" s="0" t="n">
        <v>0</v>
      </c>
      <c r="H1747" s="0" t="n">
        <v>0.01</v>
      </c>
      <c r="I1747" s="0" t="n">
        <v>0</v>
      </c>
      <c r="J1747" s="0" t="n">
        <v>0.95</v>
      </c>
      <c r="K1747" s="0" t="n">
        <v>0.36</v>
      </c>
      <c r="L1747" s="0" t="n">
        <v>0.02</v>
      </c>
      <c r="M1747" s="0" t="n">
        <v>0</v>
      </c>
      <c r="N1747" s="0" t="n">
        <v>0</v>
      </c>
      <c r="O1747" s="0" t="n">
        <v>57.97</v>
      </c>
    </row>
    <row r="1748" customFormat="false" ht="15" hidden="false" customHeight="false" outlineLevel="0" collapsed="false">
      <c r="A1748" s="0" t="s">
        <v>312</v>
      </c>
      <c r="B1748" s="0" t="s">
        <v>551</v>
      </c>
      <c r="C1748" s="0" t="n">
        <v>2020</v>
      </c>
      <c r="D1748" s="0" t="n">
        <v>2728760</v>
      </c>
      <c r="E1748" s="0" t="n">
        <v>2</v>
      </c>
      <c r="F1748" s="0" t="n">
        <v>0.06</v>
      </c>
      <c r="G1748" s="0" t="n">
        <v>0</v>
      </c>
      <c r="H1748" s="0" t="n">
        <v>0.01</v>
      </c>
      <c r="I1748" s="0" t="n">
        <v>0</v>
      </c>
      <c r="J1748" s="0" t="n">
        <v>1.5</v>
      </c>
      <c r="K1748" s="0" t="n">
        <v>0.41</v>
      </c>
      <c r="L1748" s="0" t="n">
        <v>0.02</v>
      </c>
      <c r="M1748" s="0" t="n">
        <v>0</v>
      </c>
      <c r="N1748" s="0" t="n">
        <v>0</v>
      </c>
      <c r="O1748" s="0" t="n">
        <v>60</v>
      </c>
    </row>
    <row r="1749" customFormat="false" ht="15" hidden="false" customHeight="false" outlineLevel="0" collapsed="false">
      <c r="A1749" s="0" t="s">
        <v>312</v>
      </c>
      <c r="B1749" s="0" t="s">
        <v>551</v>
      </c>
      <c r="C1749" s="0" t="n">
        <v>2021</v>
      </c>
      <c r="D1749" s="0" t="n">
        <v>2810552</v>
      </c>
      <c r="E1749" s="0" t="n">
        <v>1.51</v>
      </c>
      <c r="F1749" s="0" t="n">
        <v>0.04</v>
      </c>
      <c r="G1749" s="0" t="n">
        <v>0</v>
      </c>
      <c r="H1749" s="0" t="n">
        <v>0</v>
      </c>
      <c r="I1749" s="0" t="n">
        <v>0</v>
      </c>
      <c r="J1749" s="0" t="n">
        <v>0.97</v>
      </c>
      <c r="K1749" s="0" t="n">
        <v>0.48</v>
      </c>
      <c r="L1749" s="0" t="n">
        <v>0.02</v>
      </c>
      <c r="M1749" s="0" t="n">
        <v>0</v>
      </c>
      <c r="N1749" s="0" t="n">
        <v>0</v>
      </c>
      <c r="O1749" s="0" t="n">
        <v>46.36</v>
      </c>
    </row>
    <row r="1750" customFormat="false" ht="15" hidden="false" customHeight="false" outlineLevel="0" collapsed="false">
      <c r="A1750" s="0" t="s">
        <v>312</v>
      </c>
      <c r="B1750" s="0" t="s">
        <v>551</v>
      </c>
      <c r="C1750" s="0" t="n">
        <v>2022</v>
      </c>
      <c r="D1750" s="0" t="n">
        <v>2889668</v>
      </c>
      <c r="E1750" s="0" t="n">
        <v>1.32</v>
      </c>
      <c r="F1750" s="0" t="n">
        <v>0.02</v>
      </c>
      <c r="G1750" s="0" t="n">
        <v>0</v>
      </c>
      <c r="H1750" s="0" t="n">
        <v>0</v>
      </c>
      <c r="I1750" s="0" t="n">
        <v>0</v>
      </c>
      <c r="J1750" s="0" t="n">
        <v>0.78</v>
      </c>
      <c r="K1750" s="0" t="n">
        <v>0.5</v>
      </c>
      <c r="L1750" s="0" t="n">
        <v>0.02</v>
      </c>
      <c r="M1750" s="0" t="n">
        <v>0</v>
      </c>
      <c r="N1750" s="0" t="n">
        <v>0</v>
      </c>
      <c r="O1750" s="0" t="n">
        <v>45.46</v>
      </c>
    </row>
    <row r="1751" customFormat="false" ht="15" hidden="false" customHeight="false" outlineLevel="0" collapsed="false">
      <c r="A1751" s="0" t="s">
        <v>312</v>
      </c>
      <c r="B1751" s="0" t="s">
        <v>551</v>
      </c>
      <c r="C1751" s="0" t="n">
        <v>2023</v>
      </c>
      <c r="D1751" s="0" t="n">
        <v>2963102</v>
      </c>
      <c r="E1751" s="0" t="n">
        <v>1.89</v>
      </c>
      <c r="F1751" s="0" t="n">
        <v>0.03</v>
      </c>
      <c r="G1751" s="0" t="n">
        <v>0</v>
      </c>
      <c r="H1751" s="0" t="n">
        <v>0.01</v>
      </c>
      <c r="I1751" s="0" t="n">
        <v>0</v>
      </c>
      <c r="J1751" s="0" t="n">
        <v>1.32</v>
      </c>
      <c r="K1751" s="0" t="n">
        <v>0.51</v>
      </c>
      <c r="L1751" s="0" t="n">
        <v>0.02</v>
      </c>
      <c r="M1751" s="0" t="n">
        <v>0</v>
      </c>
      <c r="N1751" s="0" t="n">
        <v>0</v>
      </c>
      <c r="O1751" s="0" t="n">
        <v>47.62</v>
      </c>
    </row>
    <row r="1752" customFormat="false" ht="15" hidden="false" customHeight="false" outlineLevel="0" collapsed="false">
      <c r="A1752" s="0" t="s">
        <v>312</v>
      </c>
      <c r="B1752" s="0" t="s">
        <v>551</v>
      </c>
      <c r="C1752" s="0" t="n">
        <v>2024</v>
      </c>
      <c r="D1752" s="0" t="n">
        <v>3030127</v>
      </c>
      <c r="E1752" s="0" t="n">
        <v>1.64</v>
      </c>
      <c r="F1752" s="0" t="n">
        <v>0.04</v>
      </c>
      <c r="G1752" s="0" t="n">
        <v>0</v>
      </c>
      <c r="H1752" s="0" t="n">
        <v>0</v>
      </c>
      <c r="I1752" s="0" t="n">
        <v>0</v>
      </c>
      <c r="J1752" s="0" t="n">
        <v>1</v>
      </c>
      <c r="K1752" s="0" t="n">
        <v>0.58</v>
      </c>
      <c r="L1752" s="0" t="n">
        <v>0.02</v>
      </c>
      <c r="M1752" s="0" t="n">
        <v>0</v>
      </c>
      <c r="N1752" s="0" t="n">
        <v>0</v>
      </c>
      <c r="O1752" s="0" t="n">
        <v>48.78</v>
      </c>
    </row>
    <row r="1753" customFormat="false" ht="15" hidden="false" customHeight="false" outlineLevel="0" collapsed="false">
      <c r="A1753" s="0" t="s">
        <v>313</v>
      </c>
      <c r="B1753" s="0" t="s">
        <v>552</v>
      </c>
      <c r="C1753" s="0" t="n">
        <v>2015</v>
      </c>
      <c r="D1753" s="0" t="n">
        <v>10975</v>
      </c>
      <c r="E1753" s="0" t="n">
        <v>0.03</v>
      </c>
      <c r="F1753" s="0" t="n">
        <v>0</v>
      </c>
      <c r="G1753" s="0" t="n">
        <v>0</v>
      </c>
      <c r="H1753" s="0" t="n">
        <v>0.03</v>
      </c>
      <c r="I1753" s="0" t="n">
        <v>0</v>
      </c>
      <c r="J1753" s="0" t="n">
        <v>0</v>
      </c>
      <c r="K1753" s="0" t="n">
        <v>0</v>
      </c>
      <c r="L1753" s="0" t="n">
        <v>0</v>
      </c>
      <c r="M1753" s="0" t="n">
        <v>0</v>
      </c>
      <c r="N1753" s="0" t="n">
        <v>0</v>
      </c>
      <c r="O1753" s="0" t="n">
        <v>666.67</v>
      </c>
    </row>
    <row r="1754" customFormat="false" ht="15" hidden="false" customHeight="false" outlineLevel="0" collapsed="false">
      <c r="A1754" s="0" t="s">
        <v>313</v>
      </c>
      <c r="B1754" s="0" t="s">
        <v>552</v>
      </c>
      <c r="C1754" s="0" t="n">
        <v>2016</v>
      </c>
      <c r="D1754" s="0" t="n">
        <v>11173</v>
      </c>
      <c r="E1754" s="0" t="n">
        <v>0.03</v>
      </c>
      <c r="F1754" s="0" t="n">
        <v>0</v>
      </c>
      <c r="G1754" s="0" t="n">
        <v>0</v>
      </c>
      <c r="H1754" s="0" t="n">
        <v>0.03</v>
      </c>
      <c r="I1754" s="0" t="n">
        <v>0</v>
      </c>
      <c r="J1754" s="0" t="n">
        <v>0</v>
      </c>
      <c r="K1754" s="0" t="n">
        <v>0</v>
      </c>
      <c r="L1754" s="0" t="n">
        <v>0</v>
      </c>
      <c r="M1754" s="0" t="n">
        <v>0</v>
      </c>
      <c r="N1754" s="0" t="n">
        <v>0</v>
      </c>
      <c r="O1754" s="0" t="n">
        <v>666.67</v>
      </c>
    </row>
    <row r="1755" customFormat="false" ht="15" hidden="false" customHeight="false" outlineLevel="0" collapsed="false">
      <c r="A1755" s="0" t="s">
        <v>313</v>
      </c>
      <c r="B1755" s="0" t="s">
        <v>552</v>
      </c>
      <c r="C1755" s="0" t="n">
        <v>2017</v>
      </c>
      <c r="D1755" s="0" t="n">
        <v>11351</v>
      </c>
      <c r="E1755" s="0" t="n">
        <v>0.03</v>
      </c>
      <c r="F1755" s="0" t="n">
        <v>0</v>
      </c>
      <c r="G1755" s="0" t="n">
        <v>0</v>
      </c>
      <c r="H1755" s="0" t="n">
        <v>0.03</v>
      </c>
      <c r="I1755" s="0" t="n">
        <v>0</v>
      </c>
      <c r="J1755" s="0" t="n">
        <v>0</v>
      </c>
      <c r="K1755" s="0" t="n">
        <v>0</v>
      </c>
      <c r="L1755" s="0" t="n">
        <v>0</v>
      </c>
      <c r="M1755" s="0" t="n">
        <v>0</v>
      </c>
      <c r="N1755" s="0" t="n">
        <v>0</v>
      </c>
      <c r="O1755" s="0" t="n">
        <v>666.67</v>
      </c>
    </row>
    <row r="1756" customFormat="false" ht="15" hidden="false" customHeight="false" outlineLevel="0" collapsed="false">
      <c r="A1756" s="0" t="s">
        <v>313</v>
      </c>
      <c r="B1756" s="0" t="s">
        <v>552</v>
      </c>
      <c r="C1756" s="0" t="n">
        <v>2018</v>
      </c>
      <c r="D1756" s="0" t="n">
        <v>11499</v>
      </c>
      <c r="E1756" s="0" t="n">
        <v>0.04</v>
      </c>
      <c r="F1756" s="0" t="n">
        <v>0</v>
      </c>
      <c r="G1756" s="0" t="n">
        <v>0</v>
      </c>
      <c r="H1756" s="0" t="n">
        <v>0.04</v>
      </c>
      <c r="I1756" s="0" t="n">
        <v>0</v>
      </c>
      <c r="J1756" s="0" t="n">
        <v>0</v>
      </c>
      <c r="K1756" s="0" t="n">
        <v>0</v>
      </c>
      <c r="L1756" s="0" t="n">
        <v>0</v>
      </c>
      <c r="M1756" s="0" t="n">
        <v>0</v>
      </c>
      <c r="N1756" s="0" t="n">
        <v>0</v>
      </c>
      <c r="O1756" s="0" t="n">
        <v>750</v>
      </c>
    </row>
    <row r="1757" customFormat="false" ht="15" hidden="false" customHeight="false" outlineLevel="0" collapsed="false">
      <c r="A1757" s="0" t="s">
        <v>313</v>
      </c>
      <c r="B1757" s="0" t="s">
        <v>552</v>
      </c>
      <c r="C1757" s="0" t="n">
        <v>2019</v>
      </c>
      <c r="D1757" s="0" t="n">
        <v>11609</v>
      </c>
      <c r="E1757" s="0" t="n">
        <v>0.04</v>
      </c>
      <c r="F1757" s="0" t="n">
        <v>0</v>
      </c>
      <c r="G1757" s="0" t="n">
        <v>0</v>
      </c>
      <c r="H1757" s="0" t="n">
        <v>0.04</v>
      </c>
      <c r="I1757" s="0" t="n">
        <v>0</v>
      </c>
      <c r="J1757" s="0" t="n">
        <v>0</v>
      </c>
      <c r="K1757" s="0" t="n">
        <v>0</v>
      </c>
      <c r="L1757" s="0" t="n">
        <v>0</v>
      </c>
      <c r="M1757" s="0" t="n">
        <v>0</v>
      </c>
      <c r="N1757" s="0" t="n">
        <v>0</v>
      </c>
      <c r="O1757" s="0" t="n">
        <v>750</v>
      </c>
    </row>
    <row r="1758" customFormat="false" ht="15" hidden="false" customHeight="false" outlineLevel="0" collapsed="false">
      <c r="A1758" s="0" t="s">
        <v>313</v>
      </c>
      <c r="B1758" s="0" t="s">
        <v>552</v>
      </c>
      <c r="C1758" s="0" t="n">
        <v>2020</v>
      </c>
      <c r="D1758" s="0" t="n">
        <v>11665</v>
      </c>
      <c r="E1758" s="0" t="n">
        <v>0.04</v>
      </c>
      <c r="F1758" s="0" t="n">
        <v>0</v>
      </c>
      <c r="G1758" s="0" t="n">
        <v>0</v>
      </c>
      <c r="H1758" s="0" t="n">
        <v>0.04</v>
      </c>
      <c r="I1758" s="0" t="n">
        <v>0</v>
      </c>
      <c r="J1758" s="0" t="n">
        <v>0</v>
      </c>
      <c r="K1758" s="0" t="n">
        <v>0</v>
      </c>
      <c r="L1758" s="0" t="n">
        <v>0</v>
      </c>
      <c r="M1758" s="0" t="n">
        <v>0</v>
      </c>
      <c r="N1758" s="0" t="n">
        <v>0</v>
      </c>
      <c r="O1758" s="0" t="n">
        <v>750</v>
      </c>
    </row>
    <row r="1759" customFormat="false" ht="15" hidden="false" customHeight="false" outlineLevel="0" collapsed="false">
      <c r="A1759" s="0" t="s">
        <v>313</v>
      </c>
      <c r="B1759" s="0" t="s">
        <v>552</v>
      </c>
      <c r="C1759" s="0" t="n">
        <v>2021</v>
      </c>
      <c r="D1759" s="0" t="n">
        <v>11727</v>
      </c>
      <c r="E1759" s="0" t="n">
        <v>0.04</v>
      </c>
      <c r="F1759" s="0" t="n">
        <v>0</v>
      </c>
      <c r="G1759" s="0" t="n">
        <v>0</v>
      </c>
      <c r="H1759" s="0" t="n">
        <v>0.04</v>
      </c>
      <c r="I1759" s="0" t="n">
        <v>0</v>
      </c>
      <c r="J1759" s="0" t="n">
        <v>0</v>
      </c>
      <c r="K1759" s="0" t="n">
        <v>0</v>
      </c>
      <c r="L1759" s="0" t="n">
        <v>0</v>
      </c>
      <c r="M1759" s="0" t="n">
        <v>0</v>
      </c>
      <c r="N1759" s="0" t="n">
        <v>0</v>
      </c>
      <c r="O1759" s="0" t="n">
        <v>750</v>
      </c>
    </row>
    <row r="1760" customFormat="false" ht="15" hidden="false" customHeight="false" outlineLevel="0" collapsed="false">
      <c r="A1760" s="0" t="s">
        <v>313</v>
      </c>
      <c r="B1760" s="0" t="s">
        <v>552</v>
      </c>
      <c r="C1760" s="0" t="n">
        <v>2022</v>
      </c>
      <c r="D1760" s="0" t="n">
        <v>11822</v>
      </c>
      <c r="E1760" s="0" t="n">
        <v>0.04</v>
      </c>
      <c r="F1760" s="0" t="n">
        <v>0</v>
      </c>
      <c r="G1760" s="0" t="n">
        <v>0</v>
      </c>
      <c r="H1760" s="0" t="n">
        <v>0.04</v>
      </c>
      <c r="I1760" s="0" t="n">
        <v>0</v>
      </c>
      <c r="J1760" s="0" t="n">
        <v>0</v>
      </c>
      <c r="K1760" s="0" t="n">
        <v>0</v>
      </c>
      <c r="L1760" s="0" t="n">
        <v>0</v>
      </c>
      <c r="M1760" s="0" t="n">
        <v>0</v>
      </c>
      <c r="N1760" s="0" t="n">
        <v>0</v>
      </c>
      <c r="O1760" s="0" t="n">
        <v>750</v>
      </c>
    </row>
    <row r="1761" customFormat="false" ht="15" hidden="false" customHeight="false" outlineLevel="0" collapsed="false">
      <c r="A1761" s="0" t="s">
        <v>313</v>
      </c>
      <c r="B1761" s="0" t="s">
        <v>552</v>
      </c>
      <c r="C1761" s="0" t="n">
        <v>2023</v>
      </c>
      <c r="D1761" s="0" t="n">
        <v>11900</v>
      </c>
      <c r="E1761" s="0" t="n">
        <v>0.04</v>
      </c>
      <c r="F1761" s="0" t="n">
        <v>0</v>
      </c>
      <c r="G1761" s="0" t="n">
        <v>0</v>
      </c>
      <c r="H1761" s="0" t="n">
        <v>0.04</v>
      </c>
      <c r="I1761" s="0" t="n">
        <v>0</v>
      </c>
      <c r="J1761" s="0" t="n">
        <v>0</v>
      </c>
      <c r="K1761" s="0" t="n">
        <v>0</v>
      </c>
      <c r="L1761" s="0" t="n">
        <v>0</v>
      </c>
      <c r="M1761" s="0" t="n">
        <v>0</v>
      </c>
      <c r="N1761" s="0" t="n">
        <v>0</v>
      </c>
      <c r="O1761" s="0" t="n">
        <v>750</v>
      </c>
    </row>
    <row r="1762" customFormat="false" ht="15" hidden="false" customHeight="false" outlineLevel="0" collapsed="false">
      <c r="A1762" s="0" t="s">
        <v>313</v>
      </c>
      <c r="B1762" s="0" t="s">
        <v>552</v>
      </c>
      <c r="C1762" s="0" t="n">
        <v>2024</v>
      </c>
      <c r="D1762" s="0" t="n">
        <v>11968</v>
      </c>
      <c r="E1762" s="0" t="n">
        <v>0.05</v>
      </c>
      <c r="F1762" s="0" t="n">
        <v>0</v>
      </c>
      <c r="G1762" s="0" t="n">
        <v>0</v>
      </c>
      <c r="H1762" s="0" t="n">
        <v>0.04</v>
      </c>
      <c r="I1762" s="0" t="n">
        <v>0</v>
      </c>
      <c r="J1762" s="0" t="n">
        <v>0</v>
      </c>
      <c r="K1762" s="0" t="n">
        <v>0.01</v>
      </c>
      <c r="L1762" s="0" t="n">
        <v>0</v>
      </c>
      <c r="M1762" s="0" t="n">
        <v>0</v>
      </c>
      <c r="N1762" s="0" t="n">
        <v>0</v>
      </c>
      <c r="O1762" s="0" t="n">
        <v>600</v>
      </c>
    </row>
    <row r="1763" customFormat="false" ht="15" hidden="false" customHeight="false" outlineLevel="0" collapsed="false">
      <c r="A1763" s="0" t="s">
        <v>314</v>
      </c>
      <c r="B1763" s="0" t="s">
        <v>553</v>
      </c>
      <c r="C1763" s="0" t="n">
        <v>2015</v>
      </c>
      <c r="D1763" s="0" t="n">
        <v>27823631</v>
      </c>
      <c r="E1763" s="0" t="n">
        <v>3.46</v>
      </c>
      <c r="F1763" s="0" t="n">
        <v>0</v>
      </c>
      <c r="G1763" s="0" t="n">
        <v>0</v>
      </c>
      <c r="H1763" s="0" t="n">
        <v>0</v>
      </c>
      <c r="I1763" s="0" t="n">
        <v>0</v>
      </c>
      <c r="J1763" s="0" t="n">
        <v>3.43</v>
      </c>
      <c r="K1763" s="0" t="n">
        <v>0.02</v>
      </c>
      <c r="L1763" s="0" t="n">
        <v>0.01</v>
      </c>
      <c r="M1763" s="0" t="n">
        <v>0</v>
      </c>
      <c r="N1763" s="0" t="n">
        <v>0</v>
      </c>
      <c r="O1763" s="0" t="n">
        <v>23.12</v>
      </c>
    </row>
    <row r="1764" customFormat="false" ht="15" hidden="false" customHeight="false" outlineLevel="0" collapsed="false">
      <c r="A1764" s="0" t="s">
        <v>314</v>
      </c>
      <c r="B1764" s="0" t="s">
        <v>553</v>
      </c>
      <c r="C1764" s="0" t="n">
        <v>2016</v>
      </c>
      <c r="D1764" s="0" t="n">
        <v>27955471</v>
      </c>
      <c r="E1764" s="0" t="n">
        <v>4.18</v>
      </c>
      <c r="F1764" s="0" t="n">
        <v>0</v>
      </c>
      <c r="G1764" s="0" t="n">
        <v>0</v>
      </c>
      <c r="H1764" s="0" t="n">
        <v>0</v>
      </c>
      <c r="I1764" s="0" t="n">
        <v>0</v>
      </c>
      <c r="J1764" s="0" t="n">
        <v>4.15</v>
      </c>
      <c r="K1764" s="0" t="n">
        <v>0.02</v>
      </c>
      <c r="L1764" s="0" t="n">
        <v>0.01</v>
      </c>
      <c r="M1764" s="0" t="n">
        <v>0</v>
      </c>
      <c r="N1764" s="0" t="n">
        <v>0</v>
      </c>
      <c r="O1764" s="0" t="n">
        <v>23.92</v>
      </c>
    </row>
    <row r="1765" customFormat="false" ht="15" hidden="false" customHeight="false" outlineLevel="0" collapsed="false">
      <c r="A1765" s="0" t="s">
        <v>314</v>
      </c>
      <c r="B1765" s="0" t="s">
        <v>553</v>
      </c>
      <c r="C1765" s="0" t="n">
        <v>2017</v>
      </c>
      <c r="D1765" s="0" t="n">
        <v>28011258</v>
      </c>
      <c r="E1765" s="0" t="n">
        <v>4.58</v>
      </c>
      <c r="F1765" s="0" t="n">
        <v>0</v>
      </c>
      <c r="G1765" s="0" t="n">
        <v>0</v>
      </c>
      <c r="H1765" s="0" t="n">
        <v>0</v>
      </c>
      <c r="I1765" s="0" t="n">
        <v>0</v>
      </c>
      <c r="J1765" s="0" t="n">
        <v>4.49</v>
      </c>
      <c r="K1765" s="0" t="n">
        <v>0.08</v>
      </c>
      <c r="L1765" s="0" t="n">
        <v>0.01</v>
      </c>
      <c r="M1765" s="0" t="n">
        <v>0</v>
      </c>
      <c r="N1765" s="0" t="n">
        <v>0</v>
      </c>
      <c r="O1765" s="0" t="n">
        <v>24.02</v>
      </c>
    </row>
    <row r="1766" customFormat="false" ht="15" hidden="false" customHeight="false" outlineLevel="0" collapsed="false">
      <c r="A1766" s="0" t="s">
        <v>314</v>
      </c>
      <c r="B1766" s="0" t="s">
        <v>553</v>
      </c>
      <c r="C1766" s="0" t="n">
        <v>2018</v>
      </c>
      <c r="D1766" s="0" t="n">
        <v>28079688</v>
      </c>
      <c r="E1766" s="0" t="n">
        <v>4.84</v>
      </c>
      <c r="F1766" s="0" t="n">
        <v>0</v>
      </c>
      <c r="G1766" s="0" t="n">
        <v>0</v>
      </c>
      <c r="H1766" s="0" t="n">
        <v>0</v>
      </c>
      <c r="I1766" s="0" t="n">
        <v>0</v>
      </c>
      <c r="J1766" s="0" t="n">
        <v>4.75</v>
      </c>
      <c r="K1766" s="0" t="n">
        <v>0.08</v>
      </c>
      <c r="L1766" s="0" t="n">
        <v>0.01</v>
      </c>
      <c r="M1766" s="0" t="n">
        <v>0</v>
      </c>
      <c r="N1766" s="0" t="n">
        <v>0</v>
      </c>
      <c r="O1766" s="0" t="n">
        <v>22.73</v>
      </c>
    </row>
    <row r="1767" customFormat="false" ht="15" hidden="false" customHeight="false" outlineLevel="0" collapsed="false">
      <c r="A1767" s="0" t="s">
        <v>314</v>
      </c>
      <c r="B1767" s="0" t="s">
        <v>553</v>
      </c>
      <c r="C1767" s="0" t="n">
        <v>2019</v>
      </c>
      <c r="D1767" s="0" t="n">
        <v>28414066</v>
      </c>
      <c r="E1767" s="0" t="n">
        <v>6.15</v>
      </c>
      <c r="F1767" s="0" t="n">
        <v>0</v>
      </c>
      <c r="G1767" s="0" t="n">
        <v>0</v>
      </c>
      <c r="H1767" s="0" t="n">
        <v>0</v>
      </c>
      <c r="I1767" s="0" t="n">
        <v>0</v>
      </c>
      <c r="J1767" s="0" t="n">
        <v>6.06</v>
      </c>
      <c r="K1767" s="0" t="n">
        <v>0.08</v>
      </c>
      <c r="L1767" s="0" t="n">
        <v>0.01</v>
      </c>
      <c r="M1767" s="0" t="n">
        <v>0</v>
      </c>
      <c r="N1767" s="0" t="n">
        <v>0</v>
      </c>
      <c r="O1767" s="0" t="n">
        <v>22.76</v>
      </c>
    </row>
    <row r="1768" customFormat="false" ht="15" hidden="false" customHeight="false" outlineLevel="0" collapsed="false">
      <c r="A1768" s="0" t="s">
        <v>314</v>
      </c>
      <c r="B1768" s="0" t="s">
        <v>553</v>
      </c>
      <c r="C1768" s="0" t="n">
        <v>2020</v>
      </c>
      <c r="D1768" s="0" t="n">
        <v>28966580</v>
      </c>
      <c r="E1768" s="0" t="n">
        <v>6.18</v>
      </c>
      <c r="F1768" s="0" t="n">
        <v>0</v>
      </c>
      <c r="G1768" s="0" t="n">
        <v>0</v>
      </c>
      <c r="H1768" s="0" t="n">
        <v>0</v>
      </c>
      <c r="I1768" s="0" t="n">
        <v>0</v>
      </c>
      <c r="J1768" s="0" t="n">
        <v>6.09</v>
      </c>
      <c r="K1768" s="0" t="n">
        <v>0.08</v>
      </c>
      <c r="L1768" s="0" t="n">
        <v>0.01</v>
      </c>
      <c r="M1768" s="0" t="n">
        <v>0</v>
      </c>
      <c r="N1768" s="0" t="n">
        <v>0</v>
      </c>
      <c r="O1768" s="0" t="n">
        <v>22.65</v>
      </c>
    </row>
    <row r="1769" customFormat="false" ht="15" hidden="false" customHeight="false" outlineLevel="0" collapsed="false">
      <c r="A1769" s="0" t="s">
        <v>314</v>
      </c>
      <c r="B1769" s="0" t="s">
        <v>553</v>
      </c>
      <c r="C1769" s="0" t="n">
        <v>2021</v>
      </c>
      <c r="D1769" s="0" t="n">
        <v>29475016</v>
      </c>
      <c r="E1769" s="0" t="n">
        <v>9.63</v>
      </c>
      <c r="F1769" s="0" t="n">
        <v>0</v>
      </c>
      <c r="G1769" s="0" t="n">
        <v>0</v>
      </c>
      <c r="H1769" s="0" t="n">
        <v>0</v>
      </c>
      <c r="I1769" s="0" t="n">
        <v>0</v>
      </c>
      <c r="J1769" s="0" t="n">
        <v>9.53</v>
      </c>
      <c r="K1769" s="0" t="n">
        <v>0.09</v>
      </c>
      <c r="L1769" s="0" t="n">
        <v>0.01</v>
      </c>
      <c r="M1769" s="0" t="n">
        <v>0</v>
      </c>
      <c r="N1769" s="0" t="n">
        <v>0</v>
      </c>
      <c r="O1769" s="0" t="n">
        <v>23.88</v>
      </c>
    </row>
    <row r="1770" customFormat="false" ht="15" hidden="false" customHeight="false" outlineLevel="0" collapsed="false">
      <c r="A1770" s="0" t="s">
        <v>314</v>
      </c>
      <c r="B1770" s="0" t="s">
        <v>553</v>
      </c>
      <c r="C1770" s="0" t="n">
        <v>2022</v>
      </c>
      <c r="D1770" s="0" t="n">
        <v>29715435</v>
      </c>
      <c r="E1770" s="0" t="n">
        <v>10.7</v>
      </c>
      <c r="F1770" s="0" t="n">
        <v>0</v>
      </c>
      <c r="G1770" s="0" t="n">
        <v>0</v>
      </c>
      <c r="H1770" s="0" t="n">
        <v>0</v>
      </c>
      <c r="I1770" s="0" t="n">
        <v>0</v>
      </c>
      <c r="J1770" s="0" t="n">
        <v>10.59</v>
      </c>
      <c r="K1770" s="0" t="n">
        <v>0.1</v>
      </c>
      <c r="L1770" s="0" t="n">
        <v>0.01</v>
      </c>
      <c r="M1770" s="0" t="n">
        <v>0</v>
      </c>
      <c r="N1770" s="0" t="n">
        <v>0</v>
      </c>
      <c r="O1770" s="0" t="n">
        <v>23.36</v>
      </c>
    </row>
    <row r="1771" customFormat="false" ht="15" hidden="false" customHeight="false" outlineLevel="0" collapsed="false">
      <c r="A1771" s="0" t="s">
        <v>314</v>
      </c>
      <c r="B1771" s="0" t="s">
        <v>553</v>
      </c>
      <c r="C1771" s="0" t="n">
        <v>2023</v>
      </c>
      <c r="D1771" s="0" t="n">
        <v>29694614</v>
      </c>
      <c r="E1771" s="0" t="n">
        <v>10.7</v>
      </c>
      <c r="F1771" s="0" t="n">
        <v>0</v>
      </c>
      <c r="G1771" s="0" t="n">
        <v>0</v>
      </c>
      <c r="H1771" s="0" t="n">
        <v>0</v>
      </c>
      <c r="I1771" s="0" t="n">
        <v>0</v>
      </c>
      <c r="J1771" s="0" t="n">
        <v>10.59</v>
      </c>
      <c r="K1771" s="0" t="n">
        <v>0.1</v>
      </c>
      <c r="L1771" s="0" t="n">
        <v>0.01</v>
      </c>
      <c r="M1771" s="0" t="n">
        <v>0</v>
      </c>
      <c r="N1771" s="0" t="n">
        <v>0</v>
      </c>
      <c r="O1771" s="0" t="n">
        <v>23.36</v>
      </c>
    </row>
    <row r="1772" customFormat="false" ht="15" hidden="false" customHeight="false" outlineLevel="0" collapsed="false">
      <c r="A1772" s="0" t="s">
        <v>314</v>
      </c>
      <c r="B1772" s="0" t="s">
        <v>553</v>
      </c>
      <c r="C1772" s="0" t="n">
        <v>2024</v>
      </c>
      <c r="D1772" s="0" t="n">
        <v>29651054</v>
      </c>
      <c r="E1772" s="0" t="n">
        <v>11.13</v>
      </c>
      <c r="F1772" s="0" t="n">
        <v>0</v>
      </c>
      <c r="G1772" s="0" t="n">
        <v>0</v>
      </c>
      <c r="H1772" s="0" t="n">
        <v>0</v>
      </c>
      <c r="I1772" s="0" t="n">
        <v>0</v>
      </c>
      <c r="J1772" s="0" t="n">
        <v>11</v>
      </c>
      <c r="K1772" s="0" t="n">
        <v>0.12</v>
      </c>
      <c r="L1772" s="0" t="n">
        <v>0.01</v>
      </c>
      <c r="M1772" s="0" t="n">
        <v>0</v>
      </c>
      <c r="N1772" s="0" t="n">
        <v>0</v>
      </c>
      <c r="O1772" s="0" t="n">
        <v>24.26</v>
      </c>
    </row>
    <row r="1773" customFormat="false" ht="15" hidden="false" customHeight="false" outlineLevel="0" collapsed="false">
      <c r="A1773" s="0" t="s">
        <v>315</v>
      </c>
      <c r="B1773" s="0" t="s">
        <v>554</v>
      </c>
      <c r="C1773" s="0" t="n">
        <v>2015</v>
      </c>
      <c r="D1773" s="0" t="n">
        <v>17107429</v>
      </c>
      <c r="E1773" s="0" t="n">
        <v>108.99</v>
      </c>
      <c r="F1773" s="0" t="n">
        <v>39.39</v>
      </c>
      <c r="G1773" s="0" t="n">
        <v>45.81</v>
      </c>
      <c r="H1773" s="0" t="n">
        <v>6.02</v>
      </c>
      <c r="I1773" s="0" t="n">
        <v>4.08</v>
      </c>
      <c r="J1773" s="0" t="n">
        <v>0.09</v>
      </c>
      <c r="K1773" s="0" t="n">
        <v>1.11</v>
      </c>
      <c r="L1773" s="0" t="n">
        <v>7.55</v>
      </c>
      <c r="M1773" s="0" t="n">
        <v>4.94</v>
      </c>
      <c r="N1773" s="0" t="n">
        <v>0</v>
      </c>
      <c r="O1773" s="0" t="n">
        <v>551.43</v>
      </c>
    </row>
    <row r="1774" customFormat="false" ht="15" hidden="false" customHeight="false" outlineLevel="0" collapsed="false">
      <c r="A1774" s="0" t="s">
        <v>315</v>
      </c>
      <c r="B1774" s="0" t="s">
        <v>554</v>
      </c>
      <c r="C1774" s="0" t="n">
        <v>2016</v>
      </c>
      <c r="D1774" s="0" t="n">
        <v>17204693</v>
      </c>
      <c r="E1774" s="0" t="n">
        <v>113.96</v>
      </c>
      <c r="F1774" s="0" t="n">
        <v>36.82</v>
      </c>
      <c r="G1774" s="0" t="n">
        <v>52.53</v>
      </c>
      <c r="H1774" s="0" t="n">
        <v>5.87</v>
      </c>
      <c r="I1774" s="0" t="n">
        <v>3.96</v>
      </c>
      <c r="J1774" s="0" t="n">
        <v>0.1</v>
      </c>
      <c r="K1774" s="0" t="n">
        <v>1.6</v>
      </c>
      <c r="L1774" s="0" t="n">
        <v>8.17</v>
      </c>
      <c r="M1774" s="0" t="n">
        <v>4.91</v>
      </c>
      <c r="N1774" s="0" t="n">
        <v>0</v>
      </c>
      <c r="O1774" s="0" t="n">
        <v>524.57</v>
      </c>
    </row>
    <row r="1775" customFormat="false" ht="15" hidden="false" customHeight="false" outlineLevel="0" collapsed="false">
      <c r="A1775" s="0" t="s">
        <v>315</v>
      </c>
      <c r="B1775" s="0" t="s">
        <v>554</v>
      </c>
      <c r="C1775" s="0" t="n">
        <v>2017</v>
      </c>
      <c r="D1775" s="0" t="n">
        <v>17315376</v>
      </c>
      <c r="E1775" s="0" t="n">
        <v>116.04</v>
      </c>
      <c r="F1775" s="0" t="n">
        <v>31.38</v>
      </c>
      <c r="G1775" s="0" t="n">
        <v>57.73</v>
      </c>
      <c r="H1775" s="0" t="n">
        <v>6.1</v>
      </c>
      <c r="I1775" s="0" t="n">
        <v>3.4</v>
      </c>
      <c r="J1775" s="0" t="n">
        <v>0.06</v>
      </c>
      <c r="K1775" s="0" t="n">
        <v>2.2</v>
      </c>
      <c r="L1775" s="0" t="n">
        <v>10.57</v>
      </c>
      <c r="M1775" s="0" t="n">
        <v>4.6</v>
      </c>
      <c r="N1775" s="0" t="n">
        <v>0</v>
      </c>
      <c r="O1775" s="0" t="n">
        <v>489.66</v>
      </c>
    </row>
    <row r="1776" customFormat="false" ht="15" hidden="false" customHeight="false" outlineLevel="0" collapsed="false">
      <c r="A1776" s="0" t="s">
        <v>315</v>
      </c>
      <c r="B1776" s="0" t="s">
        <v>554</v>
      </c>
      <c r="C1776" s="0" t="n">
        <v>2018</v>
      </c>
      <c r="D1776" s="0" t="n">
        <v>17421285</v>
      </c>
      <c r="E1776" s="0" t="n">
        <v>113.1</v>
      </c>
      <c r="F1776" s="0" t="n">
        <v>27.58</v>
      </c>
      <c r="G1776" s="0" t="n">
        <v>57.63</v>
      </c>
      <c r="H1776" s="0" t="n">
        <v>5.5</v>
      </c>
      <c r="I1776" s="0" t="n">
        <v>3.51</v>
      </c>
      <c r="J1776" s="0" t="n">
        <v>0.07</v>
      </c>
      <c r="K1776" s="0" t="n">
        <v>3.71</v>
      </c>
      <c r="L1776" s="0" t="n">
        <v>10.55</v>
      </c>
      <c r="M1776" s="0" t="n">
        <v>4.55</v>
      </c>
      <c r="N1776" s="0" t="n">
        <v>0</v>
      </c>
      <c r="O1776" s="0" t="n">
        <v>467.11</v>
      </c>
    </row>
    <row r="1777" customFormat="false" ht="15" hidden="false" customHeight="false" outlineLevel="0" collapsed="false">
      <c r="A1777" s="0" t="s">
        <v>315</v>
      </c>
      <c r="B1777" s="0" t="s">
        <v>554</v>
      </c>
      <c r="C1777" s="0" t="n">
        <v>2019</v>
      </c>
      <c r="D1777" s="0" t="n">
        <v>17537505</v>
      </c>
      <c r="E1777" s="0" t="n">
        <v>120.05</v>
      </c>
      <c r="F1777" s="0" t="n">
        <v>17.69</v>
      </c>
      <c r="G1777" s="0" t="n">
        <v>70.72</v>
      </c>
      <c r="H1777" s="0" t="n">
        <v>4.93</v>
      </c>
      <c r="I1777" s="0" t="n">
        <v>3.91</v>
      </c>
      <c r="J1777" s="0" t="n">
        <v>0.07</v>
      </c>
      <c r="K1777" s="0" t="n">
        <v>5.4</v>
      </c>
      <c r="L1777" s="0" t="n">
        <v>11.51</v>
      </c>
      <c r="M1777" s="0" t="n">
        <v>5.82</v>
      </c>
      <c r="N1777" s="0" t="n">
        <v>0</v>
      </c>
      <c r="O1777" s="0" t="n">
        <v>410</v>
      </c>
    </row>
    <row r="1778" customFormat="false" ht="15" hidden="false" customHeight="false" outlineLevel="0" collapsed="false">
      <c r="A1778" s="0" t="s">
        <v>315</v>
      </c>
      <c r="B1778" s="0" t="s">
        <v>554</v>
      </c>
      <c r="C1778" s="0" t="n">
        <v>2020</v>
      </c>
      <c r="D1778" s="0" t="n">
        <v>17636732</v>
      </c>
      <c r="E1778" s="0" t="n">
        <v>121.96</v>
      </c>
      <c r="F1778" s="0" t="n">
        <v>7.62</v>
      </c>
      <c r="G1778" s="0" t="n">
        <v>72.52</v>
      </c>
      <c r="H1778" s="0" t="n">
        <v>5</v>
      </c>
      <c r="I1778" s="0" t="n">
        <v>4.09</v>
      </c>
      <c r="J1778" s="0" t="n">
        <v>0.05</v>
      </c>
      <c r="K1778" s="0" t="n">
        <v>8.57</v>
      </c>
      <c r="L1778" s="0" t="n">
        <v>15.27</v>
      </c>
      <c r="M1778" s="0" t="n">
        <v>8.84</v>
      </c>
      <c r="N1778" s="0" t="n">
        <v>0</v>
      </c>
      <c r="O1778" s="0" t="n">
        <v>342.9</v>
      </c>
    </row>
    <row r="1779" customFormat="false" ht="15" hidden="false" customHeight="false" outlineLevel="0" collapsed="false">
      <c r="A1779" s="0" t="s">
        <v>315</v>
      </c>
      <c r="B1779" s="0" t="s">
        <v>554</v>
      </c>
      <c r="C1779" s="0" t="n">
        <v>2021</v>
      </c>
      <c r="D1779" s="0" t="n">
        <v>17730565</v>
      </c>
      <c r="E1779" s="0" t="n">
        <v>120.89</v>
      </c>
      <c r="F1779" s="0" t="n">
        <v>14.6</v>
      </c>
      <c r="G1779" s="0" t="n">
        <v>56.69</v>
      </c>
      <c r="H1779" s="0" t="n">
        <v>5.33</v>
      </c>
      <c r="I1779" s="0" t="n">
        <v>3.83</v>
      </c>
      <c r="J1779" s="0" t="n">
        <v>0.09</v>
      </c>
      <c r="K1779" s="0" t="n">
        <v>11.3</v>
      </c>
      <c r="L1779" s="0" t="n">
        <v>18.13</v>
      </c>
      <c r="M1779" s="0" t="n">
        <v>10.92</v>
      </c>
      <c r="N1779" s="0" t="n">
        <v>0</v>
      </c>
      <c r="O1779" s="0" t="n">
        <v>351.97</v>
      </c>
    </row>
    <row r="1780" customFormat="false" ht="15" hidden="false" customHeight="false" outlineLevel="0" collapsed="false">
      <c r="A1780" s="0" t="s">
        <v>315</v>
      </c>
      <c r="B1780" s="0" t="s">
        <v>554</v>
      </c>
      <c r="C1780" s="0" t="n">
        <v>2022</v>
      </c>
      <c r="D1780" s="0" t="n">
        <v>17904421</v>
      </c>
      <c r="E1780" s="0" t="n">
        <v>119.96</v>
      </c>
      <c r="F1780" s="0" t="n">
        <v>14.8</v>
      </c>
      <c r="G1780" s="0" t="n">
        <v>47.74</v>
      </c>
      <c r="H1780" s="0" t="n">
        <v>5.16</v>
      </c>
      <c r="I1780" s="0" t="n">
        <v>4.16</v>
      </c>
      <c r="J1780" s="0" t="n">
        <v>0.05</v>
      </c>
      <c r="K1780" s="0" t="n">
        <v>16.66</v>
      </c>
      <c r="L1780" s="0" t="n">
        <v>21.57</v>
      </c>
      <c r="M1780" s="0" t="n">
        <v>9.82</v>
      </c>
      <c r="N1780" s="0" t="n">
        <v>0</v>
      </c>
      <c r="O1780" s="0" t="n">
        <v>325.61</v>
      </c>
    </row>
    <row r="1781" customFormat="false" ht="15" hidden="false" customHeight="false" outlineLevel="0" collapsed="false">
      <c r="A1781" s="0" t="s">
        <v>315</v>
      </c>
      <c r="B1781" s="0" t="s">
        <v>554</v>
      </c>
      <c r="C1781" s="0" t="n">
        <v>2023</v>
      </c>
      <c r="D1781" s="0" t="n">
        <v>18092526</v>
      </c>
      <c r="E1781" s="0" t="n">
        <v>119.96</v>
      </c>
      <c r="F1781" s="0" t="n">
        <v>8.71</v>
      </c>
      <c r="G1781" s="0" t="n">
        <v>46.09</v>
      </c>
      <c r="H1781" s="0" t="n">
        <v>4.33</v>
      </c>
      <c r="I1781" s="0" t="n">
        <v>3.99</v>
      </c>
      <c r="J1781" s="0" t="n">
        <v>0.07</v>
      </c>
      <c r="K1781" s="0" t="n">
        <v>19.61</v>
      </c>
      <c r="L1781" s="0" t="n">
        <v>29.52</v>
      </c>
      <c r="M1781" s="0" t="n">
        <v>7.64</v>
      </c>
      <c r="N1781" s="0" t="n">
        <v>0</v>
      </c>
      <c r="O1781" s="0" t="n">
        <v>268.17</v>
      </c>
    </row>
    <row r="1782" customFormat="false" ht="15" hidden="false" customHeight="false" outlineLevel="0" collapsed="false">
      <c r="A1782" s="0" t="s">
        <v>315</v>
      </c>
      <c r="B1782" s="0" t="s">
        <v>554</v>
      </c>
      <c r="C1782" s="0" t="n">
        <v>2024</v>
      </c>
      <c r="D1782" s="0" t="n">
        <v>18228740</v>
      </c>
      <c r="E1782" s="0" t="n">
        <v>122.33</v>
      </c>
      <c r="F1782" s="0" t="n">
        <v>7.47</v>
      </c>
      <c r="G1782" s="0" t="n">
        <v>44.29</v>
      </c>
      <c r="H1782" s="0" t="n">
        <v>4.93</v>
      </c>
      <c r="I1782" s="0" t="n">
        <v>3.57</v>
      </c>
      <c r="J1782" s="0" t="n">
        <v>0.09</v>
      </c>
      <c r="K1782" s="0" t="n">
        <v>21.82</v>
      </c>
      <c r="L1782" s="0" t="n">
        <v>33.48</v>
      </c>
      <c r="M1782" s="0" t="n">
        <v>6.68</v>
      </c>
      <c r="N1782" s="0" t="n">
        <v>0</v>
      </c>
      <c r="O1782" s="0" t="n">
        <v>250.72</v>
      </c>
    </row>
    <row r="1783" customFormat="false" ht="15" hidden="false" customHeight="false" outlineLevel="0" collapsed="false">
      <c r="A1783" s="0" t="s">
        <v>315</v>
      </c>
      <c r="B1783" s="0" t="s">
        <v>554</v>
      </c>
      <c r="C1783" s="0" t="n">
        <v>2025</v>
      </c>
      <c r="D1783" s="0" t="n">
        <v>18346823</v>
      </c>
      <c r="E1783" s="0" t="n">
        <v>134.96</v>
      </c>
      <c r="F1783" s="0" t="n">
        <v>9.55</v>
      </c>
      <c r="G1783" s="0" t="n">
        <v>47.09</v>
      </c>
      <c r="H1783" s="0" t="n">
        <v>5.23</v>
      </c>
      <c r="I1783" s="0" t="n">
        <v>3.99</v>
      </c>
      <c r="J1783" s="0" t="n">
        <v>0.05</v>
      </c>
      <c r="K1783" s="0" t="n">
        <v>28.5</v>
      </c>
      <c r="L1783" s="0" t="n">
        <v>33.7</v>
      </c>
      <c r="M1783" s="0" t="n">
        <v>6.85</v>
      </c>
      <c r="N1783" s="0" t="n">
        <v>0</v>
      </c>
      <c r="O1783" s="0" t="n">
        <v>253.56</v>
      </c>
    </row>
    <row r="1784" customFormat="false" ht="15" hidden="false" customHeight="false" outlineLevel="0" collapsed="false">
      <c r="A1784" s="0" t="s">
        <v>692</v>
      </c>
      <c r="B1784" s="0" t="s">
        <v>693</v>
      </c>
      <c r="C1784" s="0" t="n">
        <v>2015</v>
      </c>
    </row>
    <row r="1785" customFormat="false" ht="15" hidden="false" customHeight="false" outlineLevel="0" collapsed="false">
      <c r="A1785" s="0" t="s">
        <v>692</v>
      </c>
      <c r="B1785" s="0" t="s">
        <v>693</v>
      </c>
      <c r="C1785" s="0" t="n">
        <v>2016</v>
      </c>
    </row>
    <row r="1786" customFormat="false" ht="15" hidden="false" customHeight="false" outlineLevel="0" collapsed="false">
      <c r="A1786" s="0" t="s">
        <v>692</v>
      </c>
      <c r="B1786" s="0" t="s">
        <v>693</v>
      </c>
      <c r="C1786" s="0" t="n">
        <v>2017</v>
      </c>
    </row>
    <row r="1787" customFormat="false" ht="15" hidden="false" customHeight="false" outlineLevel="0" collapsed="false">
      <c r="A1787" s="0" t="s">
        <v>692</v>
      </c>
      <c r="B1787" s="0" t="s">
        <v>693</v>
      </c>
      <c r="C1787" s="0" t="n">
        <v>2018</v>
      </c>
    </row>
    <row r="1788" customFormat="false" ht="15" hidden="false" customHeight="false" outlineLevel="0" collapsed="false">
      <c r="A1788" s="0" t="s">
        <v>692</v>
      </c>
      <c r="B1788" s="0" t="s">
        <v>693</v>
      </c>
      <c r="C1788" s="0" t="n">
        <v>2019</v>
      </c>
    </row>
    <row r="1789" customFormat="false" ht="15" hidden="false" customHeight="false" outlineLevel="0" collapsed="false">
      <c r="A1789" s="0" t="s">
        <v>692</v>
      </c>
      <c r="B1789" s="0" t="s">
        <v>693</v>
      </c>
      <c r="C1789" s="0" t="n">
        <v>2020</v>
      </c>
    </row>
    <row r="1790" customFormat="false" ht="15" hidden="false" customHeight="false" outlineLevel="0" collapsed="false">
      <c r="A1790" s="0" t="s">
        <v>692</v>
      </c>
      <c r="B1790" s="0" t="s">
        <v>693</v>
      </c>
      <c r="C1790" s="0" t="n">
        <v>2021</v>
      </c>
    </row>
    <row r="1791" customFormat="false" ht="15" hidden="false" customHeight="false" outlineLevel="0" collapsed="false">
      <c r="A1791" s="0" t="s">
        <v>692</v>
      </c>
      <c r="B1791" s="0" t="s">
        <v>693</v>
      </c>
      <c r="C1791" s="0" t="n">
        <v>2022</v>
      </c>
    </row>
    <row r="1792" customFormat="false" ht="15" hidden="false" customHeight="false" outlineLevel="0" collapsed="false">
      <c r="A1792" s="0" t="s">
        <v>692</v>
      </c>
      <c r="B1792" s="0" t="s">
        <v>693</v>
      </c>
      <c r="C1792" s="0" t="n">
        <v>2023</v>
      </c>
    </row>
    <row r="1793" customFormat="false" ht="15" hidden="false" customHeight="false" outlineLevel="0" collapsed="false">
      <c r="A1793" s="0" t="s">
        <v>692</v>
      </c>
      <c r="B1793" s="0" t="s">
        <v>693</v>
      </c>
      <c r="C1793" s="0" t="n">
        <v>2024</v>
      </c>
    </row>
    <row r="1794" customFormat="false" ht="15" hidden="false" customHeight="false" outlineLevel="0" collapsed="false">
      <c r="A1794" s="0" t="s">
        <v>316</v>
      </c>
      <c r="B1794" s="0" t="s">
        <v>555</v>
      </c>
      <c r="C1794" s="0" t="n">
        <v>2015</v>
      </c>
      <c r="D1794" s="0" t="n">
        <v>283179</v>
      </c>
      <c r="E1794" s="0" t="n">
        <v>2.9</v>
      </c>
      <c r="F1794" s="0" t="n">
        <v>0.82</v>
      </c>
      <c r="G1794" s="0" t="n">
        <v>0</v>
      </c>
      <c r="H1794" s="0" t="n">
        <v>1.67</v>
      </c>
      <c r="I1794" s="0" t="n">
        <v>0</v>
      </c>
      <c r="J1794" s="0" t="n">
        <v>0.34</v>
      </c>
      <c r="K1794" s="0" t="n">
        <v>0.01</v>
      </c>
      <c r="L1794" s="0" t="n">
        <v>0.06</v>
      </c>
      <c r="M1794" s="0" t="n">
        <v>0</v>
      </c>
      <c r="N1794" s="0" t="n">
        <v>0</v>
      </c>
      <c r="O1794" s="0" t="n">
        <v>627.59</v>
      </c>
    </row>
    <row r="1795" customFormat="false" ht="15" hidden="false" customHeight="false" outlineLevel="0" collapsed="false">
      <c r="A1795" s="0" t="s">
        <v>316</v>
      </c>
      <c r="B1795" s="0" t="s">
        <v>555</v>
      </c>
      <c r="C1795" s="0" t="n">
        <v>2016</v>
      </c>
      <c r="D1795" s="0" t="n">
        <v>283432</v>
      </c>
      <c r="E1795" s="0" t="n">
        <v>3.14</v>
      </c>
      <c r="F1795" s="0" t="n">
        <v>1.13</v>
      </c>
      <c r="G1795" s="0" t="n">
        <v>0</v>
      </c>
      <c r="H1795" s="0" t="n">
        <v>1.72</v>
      </c>
      <c r="I1795" s="0" t="n">
        <v>0</v>
      </c>
      <c r="J1795" s="0" t="n">
        <v>0.23</v>
      </c>
      <c r="K1795" s="0" t="n">
        <v>0.01</v>
      </c>
      <c r="L1795" s="0" t="n">
        <v>0.05</v>
      </c>
      <c r="M1795" s="0" t="n">
        <v>0</v>
      </c>
      <c r="N1795" s="0" t="n">
        <v>0</v>
      </c>
      <c r="O1795" s="0" t="n">
        <v>675.16</v>
      </c>
    </row>
    <row r="1796" customFormat="false" ht="15" hidden="false" customHeight="false" outlineLevel="0" collapsed="false">
      <c r="A1796" s="0" t="s">
        <v>316</v>
      </c>
      <c r="B1796" s="0" t="s">
        <v>555</v>
      </c>
      <c r="C1796" s="0" t="n">
        <v>2017</v>
      </c>
      <c r="D1796" s="0" t="n">
        <v>283554</v>
      </c>
      <c r="E1796" s="0" t="n">
        <v>3.23</v>
      </c>
      <c r="F1796" s="0" t="n">
        <v>1.34</v>
      </c>
      <c r="G1796" s="0" t="n">
        <v>0</v>
      </c>
      <c r="H1796" s="0" t="n">
        <v>1.45</v>
      </c>
      <c r="I1796" s="0" t="n">
        <v>0</v>
      </c>
      <c r="J1796" s="0" t="n">
        <v>0.36</v>
      </c>
      <c r="K1796" s="0" t="n">
        <v>0.03</v>
      </c>
      <c r="L1796" s="0" t="n">
        <v>0.05</v>
      </c>
      <c r="M1796" s="0" t="n">
        <v>0</v>
      </c>
      <c r="N1796" s="0" t="n">
        <v>0</v>
      </c>
      <c r="O1796" s="0" t="n">
        <v>656.35</v>
      </c>
    </row>
    <row r="1797" customFormat="false" ht="15" hidden="false" customHeight="false" outlineLevel="0" collapsed="false">
      <c r="A1797" s="0" t="s">
        <v>316</v>
      </c>
      <c r="B1797" s="0" t="s">
        <v>555</v>
      </c>
      <c r="C1797" s="0" t="n">
        <v>2018</v>
      </c>
      <c r="D1797" s="0" t="n">
        <v>283551</v>
      </c>
      <c r="E1797" s="0" t="n">
        <v>3.5</v>
      </c>
      <c r="F1797" s="0" t="n">
        <v>1.43</v>
      </c>
      <c r="G1797" s="0" t="n">
        <v>0</v>
      </c>
      <c r="H1797" s="0" t="n">
        <v>1.65</v>
      </c>
      <c r="I1797" s="0" t="n">
        <v>0</v>
      </c>
      <c r="J1797" s="0" t="n">
        <v>0.32</v>
      </c>
      <c r="K1797" s="0" t="n">
        <v>0.05</v>
      </c>
      <c r="L1797" s="0" t="n">
        <v>0.05</v>
      </c>
      <c r="M1797" s="0" t="n">
        <v>0</v>
      </c>
      <c r="N1797" s="0" t="n">
        <v>0</v>
      </c>
      <c r="O1797" s="0" t="n">
        <v>665.71</v>
      </c>
    </row>
    <row r="1798" customFormat="false" ht="15" hidden="false" customHeight="false" outlineLevel="0" collapsed="false">
      <c r="A1798" s="0" t="s">
        <v>316</v>
      </c>
      <c r="B1798" s="0" t="s">
        <v>555</v>
      </c>
      <c r="C1798" s="0" t="n">
        <v>2019</v>
      </c>
      <c r="D1798" s="0" t="n">
        <v>283616</v>
      </c>
      <c r="E1798" s="0" t="n">
        <v>3.33</v>
      </c>
      <c r="F1798" s="0" t="n">
        <v>1.51</v>
      </c>
      <c r="G1798" s="0" t="n">
        <v>0</v>
      </c>
      <c r="H1798" s="0" t="n">
        <v>1.36</v>
      </c>
      <c r="I1798" s="0" t="n">
        <v>0</v>
      </c>
      <c r="J1798" s="0" t="n">
        <v>0.28</v>
      </c>
      <c r="K1798" s="0" t="n">
        <v>0.12</v>
      </c>
      <c r="L1798" s="0" t="n">
        <v>0.06</v>
      </c>
      <c r="M1798" s="0" t="n">
        <v>0</v>
      </c>
      <c r="N1798" s="0" t="n">
        <v>0</v>
      </c>
      <c r="O1798" s="0" t="n">
        <v>663.66</v>
      </c>
    </row>
    <row r="1799" customFormat="false" ht="15" hidden="false" customHeight="false" outlineLevel="0" collapsed="false">
      <c r="A1799" s="0" t="s">
        <v>316</v>
      </c>
      <c r="B1799" s="0" t="s">
        <v>555</v>
      </c>
      <c r="C1799" s="0" t="n">
        <v>2020</v>
      </c>
      <c r="D1799" s="0" t="n">
        <v>284187</v>
      </c>
      <c r="E1799" s="0" t="n">
        <v>3.24</v>
      </c>
      <c r="F1799" s="0" t="n">
        <v>1.53</v>
      </c>
      <c r="G1799" s="0" t="n">
        <v>0</v>
      </c>
      <c r="H1799" s="0" t="n">
        <v>1.2</v>
      </c>
      <c r="I1799" s="0" t="n">
        <v>0</v>
      </c>
      <c r="J1799" s="0" t="n">
        <v>0.31</v>
      </c>
      <c r="K1799" s="0" t="n">
        <v>0.15</v>
      </c>
      <c r="L1799" s="0" t="n">
        <v>0.05</v>
      </c>
      <c r="M1799" s="0" t="n">
        <v>0</v>
      </c>
      <c r="N1799" s="0" t="n">
        <v>0</v>
      </c>
      <c r="O1799" s="0" t="n">
        <v>657.41</v>
      </c>
    </row>
    <row r="1800" customFormat="false" ht="15" hidden="false" customHeight="false" outlineLevel="0" collapsed="false">
      <c r="A1800" s="0" t="s">
        <v>316</v>
      </c>
      <c r="B1800" s="0" t="s">
        <v>555</v>
      </c>
      <c r="C1800" s="0" t="n">
        <v>2021</v>
      </c>
      <c r="D1800" s="0" t="n">
        <v>285227</v>
      </c>
      <c r="E1800" s="0" t="n">
        <v>2.91</v>
      </c>
      <c r="F1800" s="0" t="n">
        <v>1.14</v>
      </c>
      <c r="G1800" s="0" t="n">
        <v>0</v>
      </c>
      <c r="H1800" s="0" t="n">
        <v>1.12</v>
      </c>
      <c r="I1800" s="0" t="n">
        <v>0</v>
      </c>
      <c r="J1800" s="0" t="n">
        <v>0.43</v>
      </c>
      <c r="K1800" s="0" t="n">
        <v>0.18</v>
      </c>
      <c r="L1800" s="0" t="n">
        <v>0.04</v>
      </c>
      <c r="M1800" s="0" t="n">
        <v>0</v>
      </c>
      <c r="N1800" s="0" t="n">
        <v>0</v>
      </c>
      <c r="O1800" s="0" t="n">
        <v>597.94</v>
      </c>
    </row>
    <row r="1801" customFormat="false" ht="15" hidden="false" customHeight="false" outlineLevel="0" collapsed="false">
      <c r="A1801" s="0" t="s">
        <v>316</v>
      </c>
      <c r="B1801" s="0" t="s">
        <v>555</v>
      </c>
      <c r="C1801" s="0" t="n">
        <v>2022</v>
      </c>
      <c r="D1801" s="0" t="n">
        <v>287130</v>
      </c>
      <c r="E1801" s="0" t="n">
        <v>3.09</v>
      </c>
      <c r="F1801" s="0" t="n">
        <v>1.14</v>
      </c>
      <c r="G1801" s="0" t="n">
        <v>0</v>
      </c>
      <c r="H1801" s="0" t="n">
        <v>1.14</v>
      </c>
      <c r="I1801" s="0" t="n">
        <v>0</v>
      </c>
      <c r="J1801" s="0" t="n">
        <v>0.54</v>
      </c>
      <c r="K1801" s="0" t="n">
        <v>0.23</v>
      </c>
      <c r="L1801" s="0" t="n">
        <v>0.04</v>
      </c>
      <c r="M1801" s="0" t="n">
        <v>0</v>
      </c>
      <c r="N1801" s="0" t="n">
        <v>0</v>
      </c>
      <c r="O1801" s="0" t="n">
        <v>566.34</v>
      </c>
    </row>
    <row r="1802" customFormat="false" ht="15" hidden="false" customHeight="false" outlineLevel="0" collapsed="false">
      <c r="A1802" s="0" t="s">
        <v>316</v>
      </c>
      <c r="B1802" s="0" t="s">
        <v>555</v>
      </c>
      <c r="C1802" s="0" t="n">
        <v>2023</v>
      </c>
      <c r="D1802" s="0" t="n">
        <v>289879</v>
      </c>
      <c r="E1802" s="0" t="n">
        <v>3.09</v>
      </c>
      <c r="F1802" s="0" t="n">
        <v>1.14</v>
      </c>
      <c r="G1802" s="0" t="n">
        <v>0</v>
      </c>
      <c r="H1802" s="0" t="n">
        <v>1.14</v>
      </c>
      <c r="I1802" s="0" t="n">
        <v>0</v>
      </c>
      <c r="J1802" s="0" t="n">
        <v>0.54</v>
      </c>
      <c r="K1802" s="0" t="n">
        <v>0.23</v>
      </c>
      <c r="L1802" s="0" t="n">
        <v>0.04</v>
      </c>
      <c r="M1802" s="0" t="n">
        <v>0</v>
      </c>
      <c r="N1802" s="0" t="n">
        <v>0</v>
      </c>
      <c r="O1802" s="0" t="n">
        <v>566.34</v>
      </c>
    </row>
    <row r="1803" customFormat="false" ht="15" hidden="false" customHeight="false" outlineLevel="0" collapsed="false">
      <c r="A1803" s="0" t="s">
        <v>316</v>
      </c>
      <c r="B1803" s="0" t="s">
        <v>555</v>
      </c>
      <c r="C1803" s="0" t="n">
        <v>2024</v>
      </c>
      <c r="D1803" s="0" t="n">
        <v>292655</v>
      </c>
      <c r="E1803" s="0" t="n">
        <v>3.12</v>
      </c>
      <c r="F1803" s="0" t="n">
        <v>1.14</v>
      </c>
      <c r="G1803" s="0" t="n">
        <v>0</v>
      </c>
      <c r="H1803" s="0" t="n">
        <v>1.14</v>
      </c>
      <c r="I1803" s="0" t="n">
        <v>0</v>
      </c>
      <c r="J1803" s="0" t="n">
        <v>0.54</v>
      </c>
      <c r="K1803" s="0" t="n">
        <v>0.26</v>
      </c>
      <c r="L1803" s="0" t="n">
        <v>0.04</v>
      </c>
      <c r="M1803" s="0" t="n">
        <v>0</v>
      </c>
      <c r="N1803" s="0" t="n">
        <v>0</v>
      </c>
      <c r="O1803" s="0" t="n">
        <v>560.9</v>
      </c>
    </row>
    <row r="1804" customFormat="false" ht="15" hidden="false" customHeight="false" outlineLevel="0" collapsed="false">
      <c r="A1804" s="0" t="s">
        <v>317</v>
      </c>
      <c r="B1804" s="0" t="s">
        <v>556</v>
      </c>
      <c r="C1804" s="0" t="n">
        <v>2015</v>
      </c>
      <c r="D1804" s="0" t="n">
        <v>4614035</v>
      </c>
      <c r="E1804" s="0" t="n">
        <v>43.57</v>
      </c>
      <c r="F1804" s="0" t="n">
        <v>1.23</v>
      </c>
      <c r="G1804" s="0" t="n">
        <v>6.8</v>
      </c>
      <c r="H1804" s="0" t="n">
        <v>0.65</v>
      </c>
      <c r="I1804" s="0" t="n">
        <v>0</v>
      </c>
      <c r="J1804" s="0" t="n">
        <v>24.28</v>
      </c>
      <c r="K1804" s="0" t="n">
        <v>0.04</v>
      </c>
      <c r="L1804" s="0" t="n">
        <v>2.34</v>
      </c>
      <c r="M1804" s="0" t="n">
        <v>0.82</v>
      </c>
      <c r="N1804" s="0" t="n">
        <v>7.41</v>
      </c>
      <c r="O1804" s="0" t="n">
        <v>142.76</v>
      </c>
    </row>
    <row r="1805" customFormat="false" ht="15" hidden="false" customHeight="false" outlineLevel="0" collapsed="false">
      <c r="A1805" s="0" t="s">
        <v>317</v>
      </c>
      <c r="B1805" s="0" t="s">
        <v>556</v>
      </c>
      <c r="C1805" s="0" t="n">
        <v>2016</v>
      </c>
      <c r="D1805" s="0" t="n">
        <v>4714768</v>
      </c>
      <c r="E1805" s="0" t="n">
        <v>43.15</v>
      </c>
      <c r="F1805" s="0" t="n">
        <v>0.44</v>
      </c>
      <c r="G1805" s="0" t="n">
        <v>5.71</v>
      </c>
      <c r="H1805" s="0" t="n">
        <v>0.61</v>
      </c>
      <c r="I1805" s="0" t="n">
        <v>0</v>
      </c>
      <c r="J1805" s="0" t="n">
        <v>25.66</v>
      </c>
      <c r="K1805" s="0" t="n">
        <v>0.06</v>
      </c>
      <c r="L1805" s="0" t="n">
        <v>2.32</v>
      </c>
      <c r="M1805" s="0" t="n">
        <v>0.81</v>
      </c>
      <c r="N1805" s="0" t="n">
        <v>7.54</v>
      </c>
      <c r="O1805" s="0" t="n">
        <v>114.48</v>
      </c>
    </row>
    <row r="1806" customFormat="false" ht="15" hidden="false" customHeight="false" outlineLevel="0" collapsed="false">
      <c r="A1806" s="0" t="s">
        <v>317</v>
      </c>
      <c r="B1806" s="0" t="s">
        <v>556</v>
      </c>
      <c r="C1806" s="0" t="n">
        <v>2017</v>
      </c>
      <c r="D1806" s="0" t="n">
        <v>4812749</v>
      </c>
      <c r="E1806" s="0" t="n">
        <v>43.66</v>
      </c>
      <c r="F1806" s="0" t="n">
        <v>0.58</v>
      </c>
      <c r="G1806" s="0" t="n">
        <v>6.98</v>
      </c>
      <c r="H1806" s="0" t="n">
        <v>0.64</v>
      </c>
      <c r="I1806" s="0" t="n">
        <v>0</v>
      </c>
      <c r="J1806" s="0" t="n">
        <v>24.93</v>
      </c>
      <c r="K1806" s="0" t="n">
        <v>0.08</v>
      </c>
      <c r="L1806" s="0" t="n">
        <v>2.07</v>
      </c>
      <c r="M1806" s="0" t="n">
        <v>0.8</v>
      </c>
      <c r="N1806" s="0" t="n">
        <v>7.58</v>
      </c>
      <c r="O1806" s="0" t="n">
        <v>131.93</v>
      </c>
    </row>
    <row r="1807" customFormat="false" ht="15" hidden="false" customHeight="false" outlineLevel="0" collapsed="false">
      <c r="A1807" s="0" t="s">
        <v>317</v>
      </c>
      <c r="B1807" s="0" t="s">
        <v>556</v>
      </c>
      <c r="C1807" s="0" t="n">
        <v>2018</v>
      </c>
      <c r="D1807" s="0" t="n">
        <v>4900840</v>
      </c>
      <c r="E1807" s="0" t="n">
        <v>43.73</v>
      </c>
      <c r="F1807" s="0" t="n">
        <v>0.98</v>
      </c>
      <c r="G1807" s="0" t="n">
        <v>5.66</v>
      </c>
      <c r="H1807" s="0" t="n">
        <v>0.62</v>
      </c>
      <c r="I1807" s="0" t="n">
        <v>0</v>
      </c>
      <c r="J1807" s="0" t="n">
        <v>26.03</v>
      </c>
      <c r="K1807" s="0" t="n">
        <v>0.1</v>
      </c>
      <c r="L1807" s="0" t="n">
        <v>2.05</v>
      </c>
      <c r="M1807" s="0" t="n">
        <v>0.77</v>
      </c>
      <c r="N1807" s="0" t="n">
        <v>7.52</v>
      </c>
      <c r="O1807" s="0" t="n">
        <v>123.71</v>
      </c>
    </row>
    <row r="1808" customFormat="false" ht="15" hidden="false" customHeight="false" outlineLevel="0" collapsed="false">
      <c r="A1808" s="0" t="s">
        <v>317</v>
      </c>
      <c r="B1808" s="0" t="s">
        <v>556</v>
      </c>
      <c r="C1808" s="0" t="n">
        <v>2019</v>
      </c>
      <c r="D1808" s="0" t="n">
        <v>4989410</v>
      </c>
      <c r="E1808" s="0" t="n">
        <v>43.75</v>
      </c>
      <c r="F1808" s="0" t="n">
        <v>1.59</v>
      </c>
      <c r="G1808" s="0" t="n">
        <v>5.42</v>
      </c>
      <c r="H1808" s="0" t="n">
        <v>0.68</v>
      </c>
      <c r="I1808" s="0" t="n">
        <v>0</v>
      </c>
      <c r="J1808" s="0" t="n">
        <v>25.32</v>
      </c>
      <c r="K1808" s="0" t="n">
        <v>0.13</v>
      </c>
      <c r="L1808" s="0" t="n">
        <v>2.23</v>
      </c>
      <c r="M1808" s="0" t="n">
        <v>0.79</v>
      </c>
      <c r="N1808" s="0" t="n">
        <v>7.59</v>
      </c>
      <c r="O1808" s="0" t="n">
        <v>133.71</v>
      </c>
    </row>
    <row r="1809" customFormat="false" ht="15" hidden="false" customHeight="false" outlineLevel="0" collapsed="false">
      <c r="A1809" s="0" t="s">
        <v>317</v>
      </c>
      <c r="B1809" s="0" t="s">
        <v>556</v>
      </c>
      <c r="C1809" s="0" t="n">
        <v>2020</v>
      </c>
      <c r="D1809" s="0" t="n">
        <v>5069895</v>
      </c>
      <c r="E1809" s="0" t="n">
        <v>43.35</v>
      </c>
      <c r="F1809" s="0" t="n">
        <v>1.7</v>
      </c>
      <c r="G1809" s="0" t="n">
        <v>5.94</v>
      </c>
      <c r="H1809" s="0" t="n">
        <v>0.63</v>
      </c>
      <c r="I1809" s="0" t="n">
        <v>0</v>
      </c>
      <c r="J1809" s="0" t="n">
        <v>24.03</v>
      </c>
      <c r="K1809" s="0" t="n">
        <v>0.16</v>
      </c>
      <c r="L1809" s="0" t="n">
        <v>2.28</v>
      </c>
      <c r="M1809" s="0" t="n">
        <v>0.78</v>
      </c>
      <c r="N1809" s="0" t="n">
        <v>7.83</v>
      </c>
      <c r="O1809" s="0" t="n">
        <v>142.1</v>
      </c>
    </row>
    <row r="1810" customFormat="false" ht="15" hidden="false" customHeight="false" outlineLevel="0" collapsed="false">
      <c r="A1810" s="0" t="s">
        <v>317</v>
      </c>
      <c r="B1810" s="0" t="s">
        <v>556</v>
      </c>
      <c r="C1810" s="0" t="n">
        <v>2021</v>
      </c>
      <c r="D1810" s="0" t="n">
        <v>5107694</v>
      </c>
      <c r="E1810" s="0" t="n">
        <v>43.55</v>
      </c>
      <c r="F1810" s="0" t="n">
        <v>2.6</v>
      </c>
      <c r="G1810" s="0" t="n">
        <v>4.65</v>
      </c>
      <c r="H1810" s="0" t="n">
        <v>0.71</v>
      </c>
      <c r="I1810" s="0" t="n">
        <v>0</v>
      </c>
      <c r="J1810" s="0" t="n">
        <v>23.99</v>
      </c>
      <c r="K1810" s="0" t="n">
        <v>0.21</v>
      </c>
      <c r="L1810" s="0" t="n">
        <v>2.62</v>
      </c>
      <c r="M1810" s="0" t="n">
        <v>0.8</v>
      </c>
      <c r="N1810" s="0" t="n">
        <v>7.97</v>
      </c>
      <c r="O1810" s="0" t="n">
        <v>144.89</v>
      </c>
    </row>
    <row r="1811" customFormat="false" ht="15" hidden="false" customHeight="false" outlineLevel="0" collapsed="false">
      <c r="A1811" s="0" t="s">
        <v>317</v>
      </c>
      <c r="B1811" s="0" t="s">
        <v>556</v>
      </c>
      <c r="C1811" s="0" t="n">
        <v>2022</v>
      </c>
      <c r="D1811" s="0" t="n">
        <v>5131731</v>
      </c>
      <c r="E1811" s="0" t="n">
        <v>43.25</v>
      </c>
      <c r="F1811" s="0" t="n">
        <v>0.72</v>
      </c>
      <c r="G1811" s="0" t="n">
        <v>4.31</v>
      </c>
      <c r="H1811" s="0" t="n">
        <v>0.62</v>
      </c>
      <c r="I1811" s="0" t="n">
        <v>0</v>
      </c>
      <c r="J1811" s="0" t="n">
        <v>25.86</v>
      </c>
      <c r="K1811" s="0" t="n">
        <v>0.28</v>
      </c>
      <c r="L1811" s="0" t="n">
        <v>2.89</v>
      </c>
      <c r="M1811" s="0" t="n">
        <v>0.75</v>
      </c>
      <c r="N1811" s="0" t="n">
        <v>7.82</v>
      </c>
      <c r="O1811" s="0" t="n">
        <v>103.12</v>
      </c>
    </row>
    <row r="1812" customFormat="false" ht="15" hidden="false" customHeight="false" outlineLevel="0" collapsed="false">
      <c r="A1812" s="0" t="s">
        <v>317</v>
      </c>
      <c r="B1812" s="0" t="s">
        <v>556</v>
      </c>
      <c r="C1812" s="0" t="n">
        <v>2023</v>
      </c>
      <c r="D1812" s="0" t="n">
        <v>5172837</v>
      </c>
      <c r="E1812" s="0" t="n">
        <v>42.89</v>
      </c>
      <c r="F1812" s="0" t="n">
        <v>0.53</v>
      </c>
      <c r="G1812" s="0" t="n">
        <v>3.36</v>
      </c>
      <c r="H1812" s="0" t="n">
        <v>0.56</v>
      </c>
      <c r="I1812" s="0" t="n">
        <v>0</v>
      </c>
      <c r="J1812" s="0" t="n">
        <v>26.17</v>
      </c>
      <c r="K1812" s="0" t="n">
        <v>0.37</v>
      </c>
      <c r="L1812" s="0" t="n">
        <v>3.51</v>
      </c>
      <c r="M1812" s="0" t="n">
        <v>0.66</v>
      </c>
      <c r="N1812" s="0" t="n">
        <v>7.73</v>
      </c>
      <c r="O1812" s="0" t="n">
        <v>87.2</v>
      </c>
    </row>
    <row r="1813" customFormat="false" ht="15" hidden="false" customHeight="false" outlineLevel="0" collapsed="false">
      <c r="A1813" s="0" t="s">
        <v>317</v>
      </c>
      <c r="B1813" s="0" t="s">
        <v>556</v>
      </c>
      <c r="C1813" s="0" t="n">
        <v>2024</v>
      </c>
      <c r="D1813" s="0" t="n">
        <v>5213942</v>
      </c>
      <c r="E1813" s="0" t="n">
        <v>44.01</v>
      </c>
      <c r="F1813" s="0" t="n">
        <v>1.2</v>
      </c>
      <c r="G1813" s="0" t="n">
        <v>4.31</v>
      </c>
      <c r="H1813" s="0" t="n">
        <v>0.66</v>
      </c>
      <c r="I1813" s="0" t="n">
        <v>0</v>
      </c>
      <c r="J1813" s="0" t="n">
        <v>23.45</v>
      </c>
      <c r="K1813" s="0" t="n">
        <v>0.37</v>
      </c>
      <c r="L1813" s="0" t="n">
        <v>4.31</v>
      </c>
      <c r="M1813" s="0" t="n">
        <v>0.78</v>
      </c>
      <c r="N1813" s="0" t="n">
        <v>8.93</v>
      </c>
      <c r="O1813" s="0" t="n">
        <v>112.02</v>
      </c>
    </row>
    <row r="1814" customFormat="false" ht="15" hidden="false" customHeight="false" outlineLevel="0" collapsed="false">
      <c r="A1814" s="0" t="s">
        <v>317</v>
      </c>
      <c r="B1814" s="0" t="s">
        <v>556</v>
      </c>
      <c r="C1814" s="0" t="n">
        <v>2025</v>
      </c>
      <c r="D1814" s="0" t="n">
        <v>5251897</v>
      </c>
      <c r="E1814" s="0" t="n">
        <v>43.34</v>
      </c>
      <c r="F1814" s="0" t="n">
        <v>0.49</v>
      </c>
      <c r="G1814" s="0" t="n">
        <v>3.84</v>
      </c>
      <c r="H1814" s="0" t="n">
        <v>0.64</v>
      </c>
      <c r="I1814" s="0" t="n">
        <v>0</v>
      </c>
      <c r="J1814" s="0" t="n">
        <v>23.77</v>
      </c>
      <c r="K1814" s="0" t="n">
        <v>0.37</v>
      </c>
      <c r="L1814" s="0" t="n">
        <v>4.22</v>
      </c>
      <c r="M1814" s="0" t="n">
        <v>0.57</v>
      </c>
      <c r="N1814" s="0" t="n">
        <v>9.44</v>
      </c>
      <c r="O1814" s="0" t="n">
        <v>92.76</v>
      </c>
    </row>
    <row r="1815" customFormat="false" ht="15" hidden="false" customHeight="false" outlineLevel="0" collapsed="false">
      <c r="A1815" s="0" t="s">
        <v>318</v>
      </c>
      <c r="B1815" s="0" t="s">
        <v>557</v>
      </c>
      <c r="C1815" s="0" t="n">
        <v>2015</v>
      </c>
      <c r="D1815" s="0" t="n">
        <v>6149417</v>
      </c>
      <c r="E1815" s="0" t="n">
        <v>4.59</v>
      </c>
      <c r="F1815" s="0" t="n">
        <v>0</v>
      </c>
      <c r="G1815" s="0" t="n">
        <v>0</v>
      </c>
      <c r="H1815" s="0" t="n">
        <v>2.29</v>
      </c>
      <c r="I1815" s="0" t="n">
        <v>0</v>
      </c>
      <c r="J1815" s="0" t="n">
        <v>0.29</v>
      </c>
      <c r="K1815" s="0" t="n">
        <v>0</v>
      </c>
      <c r="L1815" s="0" t="n">
        <v>0.87</v>
      </c>
      <c r="M1815" s="0" t="n">
        <v>0.46</v>
      </c>
      <c r="N1815" s="0" t="n">
        <v>0.68</v>
      </c>
      <c r="O1815" s="0" t="n">
        <v>361.66</v>
      </c>
    </row>
    <row r="1816" customFormat="false" ht="15" hidden="false" customHeight="false" outlineLevel="0" collapsed="false">
      <c r="A1816" s="0" t="s">
        <v>318</v>
      </c>
      <c r="B1816" s="0" t="s">
        <v>557</v>
      </c>
      <c r="C1816" s="0" t="n">
        <v>2016</v>
      </c>
      <c r="D1816" s="0" t="n">
        <v>6232664</v>
      </c>
      <c r="E1816" s="0" t="n">
        <v>4.59</v>
      </c>
      <c r="F1816" s="0" t="n">
        <v>0</v>
      </c>
      <c r="G1816" s="0" t="n">
        <v>0</v>
      </c>
      <c r="H1816" s="0" t="n">
        <v>2.19</v>
      </c>
      <c r="I1816" s="0" t="n">
        <v>0</v>
      </c>
      <c r="J1816" s="0" t="n">
        <v>0.43</v>
      </c>
      <c r="K1816" s="0" t="n">
        <v>0</v>
      </c>
      <c r="L1816" s="0" t="n">
        <v>0.73</v>
      </c>
      <c r="M1816" s="0" t="n">
        <v>0.53</v>
      </c>
      <c r="N1816" s="0" t="n">
        <v>0.71</v>
      </c>
      <c r="O1816" s="0" t="n">
        <v>348.58</v>
      </c>
    </row>
    <row r="1817" customFormat="false" ht="15" hidden="false" customHeight="false" outlineLevel="0" collapsed="false">
      <c r="A1817" s="0" t="s">
        <v>318</v>
      </c>
      <c r="B1817" s="0" t="s">
        <v>557</v>
      </c>
      <c r="C1817" s="0" t="n">
        <v>2017</v>
      </c>
      <c r="D1817" s="0" t="n">
        <v>6316235</v>
      </c>
      <c r="E1817" s="0" t="n">
        <v>4.52</v>
      </c>
      <c r="F1817" s="0" t="n">
        <v>0</v>
      </c>
      <c r="G1817" s="0" t="n">
        <v>0</v>
      </c>
      <c r="H1817" s="0" t="n">
        <v>1.99</v>
      </c>
      <c r="I1817" s="0" t="n">
        <v>0</v>
      </c>
      <c r="J1817" s="0" t="n">
        <v>0.47</v>
      </c>
      <c r="K1817" s="0" t="n">
        <v>0.01</v>
      </c>
      <c r="L1817" s="0" t="n">
        <v>0.63</v>
      </c>
      <c r="M1817" s="0" t="n">
        <v>0.67</v>
      </c>
      <c r="N1817" s="0" t="n">
        <v>0.75</v>
      </c>
      <c r="O1817" s="0" t="n">
        <v>329.65</v>
      </c>
    </row>
    <row r="1818" customFormat="false" ht="15" hidden="false" customHeight="false" outlineLevel="0" collapsed="false">
      <c r="A1818" s="0" t="s">
        <v>318</v>
      </c>
      <c r="B1818" s="0" t="s">
        <v>557</v>
      </c>
      <c r="C1818" s="0" t="n">
        <v>2018</v>
      </c>
      <c r="D1818" s="0" t="n">
        <v>6400074</v>
      </c>
      <c r="E1818" s="0" t="n">
        <v>4.65</v>
      </c>
      <c r="F1818" s="0" t="n">
        <v>0</v>
      </c>
      <c r="G1818" s="0" t="n">
        <v>0</v>
      </c>
      <c r="H1818" s="0" t="n">
        <v>1.92</v>
      </c>
      <c r="I1818" s="0" t="n">
        <v>0</v>
      </c>
      <c r="J1818" s="0" t="n">
        <v>0.41</v>
      </c>
      <c r="K1818" s="0" t="n">
        <v>0.02</v>
      </c>
      <c r="L1818" s="0" t="n">
        <v>0.8</v>
      </c>
      <c r="M1818" s="0" t="n">
        <v>0.7</v>
      </c>
      <c r="N1818" s="0" t="n">
        <v>0.8</v>
      </c>
      <c r="O1818" s="0" t="n">
        <v>313.98</v>
      </c>
    </row>
    <row r="1819" customFormat="false" ht="15" hidden="false" customHeight="false" outlineLevel="0" collapsed="false">
      <c r="A1819" s="0" t="s">
        <v>318</v>
      </c>
      <c r="B1819" s="0" t="s">
        <v>557</v>
      </c>
      <c r="C1819" s="0" t="n">
        <v>2019</v>
      </c>
      <c r="D1819" s="0" t="n">
        <v>6483660</v>
      </c>
      <c r="E1819" s="0" t="n">
        <v>4.58</v>
      </c>
      <c r="F1819" s="0" t="n">
        <v>0</v>
      </c>
      <c r="G1819" s="0" t="n">
        <v>0</v>
      </c>
      <c r="H1819" s="0" t="n">
        <v>1.97</v>
      </c>
      <c r="I1819" s="0" t="n">
        <v>0</v>
      </c>
      <c r="J1819" s="0" t="n">
        <v>0.23</v>
      </c>
      <c r="K1819" s="0" t="n">
        <v>0.03</v>
      </c>
      <c r="L1819" s="0" t="n">
        <v>0.73</v>
      </c>
      <c r="M1819" s="0" t="n">
        <v>0.84</v>
      </c>
      <c r="N1819" s="0" t="n">
        <v>0.78</v>
      </c>
      <c r="O1819" s="0" t="n">
        <v>334.06</v>
      </c>
    </row>
    <row r="1820" customFormat="false" ht="15" hidden="false" customHeight="false" outlineLevel="0" collapsed="false">
      <c r="A1820" s="0" t="s">
        <v>318</v>
      </c>
      <c r="B1820" s="0" t="s">
        <v>557</v>
      </c>
      <c r="C1820" s="0" t="n">
        <v>2020</v>
      </c>
      <c r="D1820" s="0" t="n">
        <v>6565267</v>
      </c>
      <c r="E1820" s="0" t="n">
        <v>3.79</v>
      </c>
      <c r="F1820" s="0" t="n">
        <v>0</v>
      </c>
      <c r="G1820" s="0" t="n">
        <v>0</v>
      </c>
      <c r="H1820" s="0" t="n">
        <v>1.14</v>
      </c>
      <c r="I1820" s="0" t="n">
        <v>0</v>
      </c>
      <c r="J1820" s="0" t="n">
        <v>0.57</v>
      </c>
      <c r="K1820" s="0" t="n">
        <v>0.03</v>
      </c>
      <c r="L1820" s="0" t="n">
        <v>0.55</v>
      </c>
      <c r="M1820" s="0" t="n">
        <v>0.73</v>
      </c>
      <c r="N1820" s="0" t="n">
        <v>0.77</v>
      </c>
      <c r="O1820" s="0" t="n">
        <v>250.66</v>
      </c>
    </row>
    <row r="1821" customFormat="false" ht="15" hidden="false" customHeight="false" outlineLevel="0" collapsed="false">
      <c r="A1821" s="0" t="s">
        <v>318</v>
      </c>
      <c r="B1821" s="0" t="s">
        <v>557</v>
      </c>
      <c r="C1821" s="0" t="n">
        <v>2021</v>
      </c>
      <c r="D1821" s="0" t="n">
        <v>6644745</v>
      </c>
      <c r="E1821" s="0" t="n">
        <v>4.21</v>
      </c>
      <c r="F1821" s="0" t="n">
        <v>0</v>
      </c>
      <c r="G1821" s="0" t="n">
        <v>0</v>
      </c>
      <c r="H1821" s="0" t="n">
        <v>1.3</v>
      </c>
      <c r="I1821" s="0" t="n">
        <v>0</v>
      </c>
      <c r="J1821" s="0" t="n">
        <v>0.6</v>
      </c>
      <c r="K1821" s="0" t="n">
        <v>0.03</v>
      </c>
      <c r="L1821" s="0" t="n">
        <v>0.66</v>
      </c>
      <c r="M1821" s="0" t="n">
        <v>0.89</v>
      </c>
      <c r="N1821" s="0" t="n">
        <v>0.73</v>
      </c>
      <c r="O1821" s="0" t="n">
        <v>261.28</v>
      </c>
    </row>
    <row r="1822" customFormat="false" ht="15" hidden="false" customHeight="false" outlineLevel="0" collapsed="false">
      <c r="A1822" s="0" t="s">
        <v>318</v>
      </c>
      <c r="B1822" s="0" t="s">
        <v>557</v>
      </c>
      <c r="C1822" s="0" t="n">
        <v>2022</v>
      </c>
      <c r="D1822" s="0" t="n">
        <v>6730662</v>
      </c>
      <c r="E1822" s="0" t="n">
        <v>4.32</v>
      </c>
      <c r="F1822" s="0" t="n">
        <v>0</v>
      </c>
      <c r="G1822" s="0" t="n">
        <v>0</v>
      </c>
      <c r="H1822" s="0" t="n">
        <v>1.55</v>
      </c>
      <c r="I1822" s="0" t="n">
        <v>0</v>
      </c>
      <c r="J1822" s="0" t="n">
        <v>0.6</v>
      </c>
      <c r="K1822" s="0" t="n">
        <v>0.03</v>
      </c>
      <c r="L1822" s="0" t="n">
        <v>0.56</v>
      </c>
      <c r="M1822" s="0" t="n">
        <v>0.89</v>
      </c>
      <c r="N1822" s="0" t="n">
        <v>0.69</v>
      </c>
      <c r="O1822" s="0" t="n">
        <v>289.35</v>
      </c>
    </row>
    <row r="1823" customFormat="false" ht="15" hidden="false" customHeight="false" outlineLevel="0" collapsed="false">
      <c r="A1823" s="0" t="s">
        <v>318</v>
      </c>
      <c r="B1823" s="0" t="s">
        <v>557</v>
      </c>
      <c r="C1823" s="0" t="n">
        <v>2023</v>
      </c>
      <c r="D1823" s="0" t="n">
        <v>6823619</v>
      </c>
      <c r="E1823" s="0" t="n">
        <v>4.52</v>
      </c>
      <c r="F1823" s="0" t="n">
        <v>0</v>
      </c>
      <c r="G1823" s="0" t="n">
        <v>0</v>
      </c>
      <c r="H1823" s="0" t="n">
        <v>1.7</v>
      </c>
      <c r="I1823" s="0" t="n">
        <v>0</v>
      </c>
      <c r="J1823" s="0" t="n">
        <v>0.65</v>
      </c>
      <c r="K1823" s="0" t="n">
        <v>0.03</v>
      </c>
      <c r="L1823" s="0" t="n">
        <v>0.56</v>
      </c>
      <c r="M1823" s="0" t="n">
        <v>0.89</v>
      </c>
      <c r="N1823" s="0" t="n">
        <v>0.69</v>
      </c>
      <c r="O1823" s="0" t="n">
        <v>300.89</v>
      </c>
    </row>
    <row r="1824" customFormat="false" ht="15" hidden="false" customHeight="false" outlineLevel="0" collapsed="false">
      <c r="A1824" s="0" t="s">
        <v>318</v>
      </c>
      <c r="B1824" s="0" t="s">
        <v>557</v>
      </c>
      <c r="C1824" s="0" t="n">
        <v>2024</v>
      </c>
      <c r="D1824" s="0" t="n">
        <v>6916136</v>
      </c>
      <c r="E1824" s="0" t="n">
        <v>4.52</v>
      </c>
      <c r="F1824" s="0" t="n">
        <v>0</v>
      </c>
      <c r="G1824" s="0" t="n">
        <v>0</v>
      </c>
      <c r="H1824" s="0" t="n">
        <v>1.7</v>
      </c>
      <c r="I1824" s="0" t="n">
        <v>0</v>
      </c>
      <c r="J1824" s="0" t="n">
        <v>0.65</v>
      </c>
      <c r="K1824" s="0" t="n">
        <v>0.03</v>
      </c>
      <c r="L1824" s="0" t="n">
        <v>0.56</v>
      </c>
      <c r="M1824" s="0" t="n">
        <v>0.89</v>
      </c>
      <c r="N1824" s="0" t="n">
        <v>0.69</v>
      </c>
      <c r="O1824" s="0" t="n">
        <v>300.89</v>
      </c>
    </row>
    <row r="1825" customFormat="false" ht="15" hidden="false" customHeight="false" outlineLevel="0" collapsed="false">
      <c r="A1825" s="0" t="s">
        <v>319</v>
      </c>
      <c r="B1825" s="0" t="s">
        <v>558</v>
      </c>
      <c r="C1825" s="0" t="n">
        <v>2015</v>
      </c>
      <c r="D1825" s="0" t="n">
        <v>19939496</v>
      </c>
      <c r="E1825" s="0" t="n">
        <v>0.54</v>
      </c>
      <c r="F1825" s="0" t="n">
        <v>0.22</v>
      </c>
      <c r="G1825" s="0" t="n">
        <v>0</v>
      </c>
      <c r="H1825" s="0" t="n">
        <v>0.31</v>
      </c>
      <c r="I1825" s="0" t="n">
        <v>0</v>
      </c>
      <c r="J1825" s="0" t="n">
        <v>0</v>
      </c>
      <c r="K1825" s="0" t="n">
        <v>0.01</v>
      </c>
      <c r="L1825" s="0" t="n">
        <v>0</v>
      </c>
      <c r="M1825" s="0" t="n">
        <v>0</v>
      </c>
      <c r="N1825" s="0" t="n">
        <v>0</v>
      </c>
      <c r="O1825" s="0" t="n">
        <v>722.22</v>
      </c>
    </row>
    <row r="1826" customFormat="false" ht="15" hidden="false" customHeight="false" outlineLevel="0" collapsed="false">
      <c r="A1826" s="0" t="s">
        <v>319</v>
      </c>
      <c r="B1826" s="0" t="s">
        <v>558</v>
      </c>
      <c r="C1826" s="0" t="n">
        <v>2016</v>
      </c>
      <c r="D1826" s="0" t="n">
        <v>20685758</v>
      </c>
      <c r="E1826" s="0" t="n">
        <v>0.7</v>
      </c>
      <c r="F1826" s="0" t="n">
        <v>0.22</v>
      </c>
      <c r="G1826" s="0" t="n">
        <v>0</v>
      </c>
      <c r="H1826" s="0" t="n">
        <v>0.47</v>
      </c>
      <c r="I1826" s="0" t="n">
        <v>0</v>
      </c>
      <c r="J1826" s="0" t="n">
        <v>0</v>
      </c>
      <c r="K1826" s="0" t="n">
        <v>0.01</v>
      </c>
      <c r="L1826" s="0" t="n">
        <v>0</v>
      </c>
      <c r="M1826" s="0" t="n">
        <v>0</v>
      </c>
      <c r="N1826" s="0" t="n">
        <v>0</v>
      </c>
      <c r="O1826" s="0" t="n">
        <v>714.29</v>
      </c>
    </row>
    <row r="1827" customFormat="false" ht="15" hidden="false" customHeight="false" outlineLevel="0" collapsed="false">
      <c r="A1827" s="0" t="s">
        <v>319</v>
      </c>
      <c r="B1827" s="0" t="s">
        <v>558</v>
      </c>
      <c r="C1827" s="0" t="n">
        <v>2017</v>
      </c>
      <c r="D1827" s="0" t="n">
        <v>21435449</v>
      </c>
      <c r="E1827" s="0" t="n">
        <v>0.56</v>
      </c>
      <c r="F1827" s="0" t="n">
        <v>0.21</v>
      </c>
      <c r="G1827" s="0" t="n">
        <v>0</v>
      </c>
      <c r="H1827" s="0" t="n">
        <v>0.34</v>
      </c>
      <c r="I1827" s="0" t="n">
        <v>0</v>
      </c>
      <c r="J1827" s="0" t="n">
        <v>0</v>
      </c>
      <c r="K1827" s="0" t="n">
        <v>0.01</v>
      </c>
      <c r="L1827" s="0" t="n">
        <v>0</v>
      </c>
      <c r="M1827" s="0" t="n">
        <v>0</v>
      </c>
      <c r="N1827" s="0" t="n">
        <v>0</v>
      </c>
      <c r="O1827" s="0" t="n">
        <v>714.29</v>
      </c>
    </row>
    <row r="1828" customFormat="false" ht="15" hidden="false" customHeight="false" outlineLevel="0" collapsed="false">
      <c r="A1828" s="0" t="s">
        <v>319</v>
      </c>
      <c r="B1828" s="0" t="s">
        <v>558</v>
      </c>
      <c r="C1828" s="0" t="n">
        <v>2018</v>
      </c>
      <c r="D1828" s="0" t="n">
        <v>22188074</v>
      </c>
      <c r="E1828" s="0" t="n">
        <v>0.53</v>
      </c>
      <c r="F1828" s="0" t="n">
        <v>0.19</v>
      </c>
      <c r="G1828" s="0" t="n">
        <v>0.04</v>
      </c>
      <c r="H1828" s="0" t="n">
        <v>0.29</v>
      </c>
      <c r="I1828" s="0" t="n">
        <v>0</v>
      </c>
      <c r="J1828" s="0" t="n">
        <v>0</v>
      </c>
      <c r="K1828" s="0" t="n">
        <v>0.01</v>
      </c>
      <c r="L1828" s="0" t="n">
        <v>0</v>
      </c>
      <c r="M1828" s="0" t="n">
        <v>0</v>
      </c>
      <c r="N1828" s="0" t="n">
        <v>0</v>
      </c>
      <c r="O1828" s="0" t="n">
        <v>698.11</v>
      </c>
    </row>
    <row r="1829" customFormat="false" ht="15" hidden="false" customHeight="false" outlineLevel="0" collapsed="false">
      <c r="A1829" s="0" t="s">
        <v>319</v>
      </c>
      <c r="B1829" s="0" t="s">
        <v>558</v>
      </c>
      <c r="C1829" s="0" t="n">
        <v>2019</v>
      </c>
      <c r="D1829" s="0" t="n">
        <v>22947765</v>
      </c>
      <c r="E1829" s="0" t="n">
        <v>0.67</v>
      </c>
      <c r="F1829" s="0" t="n">
        <v>0.2</v>
      </c>
      <c r="G1829" s="0" t="n">
        <v>0.05</v>
      </c>
      <c r="H1829" s="0" t="n">
        <v>0.4</v>
      </c>
      <c r="I1829" s="0" t="n">
        <v>0</v>
      </c>
      <c r="J1829" s="0" t="n">
        <v>0</v>
      </c>
      <c r="K1829" s="0" t="n">
        <v>0.02</v>
      </c>
      <c r="L1829" s="0" t="n">
        <v>0</v>
      </c>
      <c r="M1829" s="0" t="n">
        <v>0</v>
      </c>
      <c r="N1829" s="0" t="n">
        <v>0</v>
      </c>
      <c r="O1829" s="0" t="n">
        <v>686.57</v>
      </c>
    </row>
    <row r="1830" customFormat="false" ht="15" hidden="false" customHeight="false" outlineLevel="0" collapsed="false">
      <c r="A1830" s="0" t="s">
        <v>319</v>
      </c>
      <c r="B1830" s="0" t="s">
        <v>558</v>
      </c>
      <c r="C1830" s="0" t="n">
        <v>2020</v>
      </c>
      <c r="D1830" s="0" t="n">
        <v>23717615</v>
      </c>
      <c r="E1830" s="0" t="n">
        <v>0.67</v>
      </c>
      <c r="F1830" s="0" t="n">
        <v>0.21</v>
      </c>
      <c r="G1830" s="0" t="n">
        <v>0.05</v>
      </c>
      <c r="H1830" s="0" t="n">
        <v>0.39</v>
      </c>
      <c r="I1830" s="0" t="n">
        <v>0</v>
      </c>
      <c r="J1830" s="0" t="n">
        <v>0</v>
      </c>
      <c r="K1830" s="0" t="n">
        <v>0.02</v>
      </c>
      <c r="L1830" s="0" t="n">
        <v>0</v>
      </c>
      <c r="M1830" s="0" t="n">
        <v>0</v>
      </c>
      <c r="N1830" s="0" t="n">
        <v>0</v>
      </c>
      <c r="O1830" s="0" t="n">
        <v>701.49</v>
      </c>
    </row>
    <row r="1831" customFormat="false" ht="15" hidden="false" customHeight="false" outlineLevel="0" collapsed="false">
      <c r="A1831" s="0" t="s">
        <v>319</v>
      </c>
      <c r="B1831" s="0" t="s">
        <v>558</v>
      </c>
      <c r="C1831" s="0" t="n">
        <v>2021</v>
      </c>
      <c r="D1831" s="0" t="n">
        <v>24502145</v>
      </c>
      <c r="E1831" s="0" t="n">
        <v>0.71</v>
      </c>
      <c r="F1831" s="0" t="n">
        <v>0.19</v>
      </c>
      <c r="G1831" s="0" t="n">
        <v>0.05</v>
      </c>
      <c r="H1831" s="0" t="n">
        <v>0.45</v>
      </c>
      <c r="I1831" s="0" t="n">
        <v>0</v>
      </c>
      <c r="J1831" s="0" t="n">
        <v>0</v>
      </c>
      <c r="K1831" s="0" t="n">
        <v>0.02</v>
      </c>
      <c r="L1831" s="0" t="n">
        <v>0</v>
      </c>
      <c r="M1831" s="0" t="n">
        <v>0</v>
      </c>
      <c r="N1831" s="0" t="n">
        <v>0</v>
      </c>
      <c r="O1831" s="0" t="n">
        <v>690.14</v>
      </c>
    </row>
    <row r="1832" customFormat="false" ht="15" hidden="false" customHeight="false" outlineLevel="0" collapsed="false">
      <c r="A1832" s="0" t="s">
        <v>319</v>
      </c>
      <c r="B1832" s="0" t="s">
        <v>558</v>
      </c>
      <c r="C1832" s="0" t="n">
        <v>2022</v>
      </c>
      <c r="D1832" s="0" t="n">
        <v>25311978</v>
      </c>
      <c r="E1832" s="0" t="n">
        <v>0.79</v>
      </c>
      <c r="F1832" s="0" t="n">
        <v>0.18</v>
      </c>
      <c r="G1832" s="0" t="n">
        <v>0.05</v>
      </c>
      <c r="H1832" s="0" t="n">
        <v>0.54</v>
      </c>
      <c r="I1832" s="0" t="n">
        <v>0</v>
      </c>
      <c r="J1832" s="0" t="n">
        <v>0</v>
      </c>
      <c r="K1832" s="0" t="n">
        <v>0.02</v>
      </c>
      <c r="L1832" s="0" t="n">
        <v>0</v>
      </c>
      <c r="M1832" s="0" t="n">
        <v>0</v>
      </c>
      <c r="N1832" s="0" t="n">
        <v>0</v>
      </c>
      <c r="O1832" s="0" t="n">
        <v>683.54</v>
      </c>
    </row>
    <row r="1833" customFormat="false" ht="15" hidden="false" customHeight="false" outlineLevel="0" collapsed="false">
      <c r="A1833" s="0" t="s">
        <v>319</v>
      </c>
      <c r="B1833" s="0" t="s">
        <v>558</v>
      </c>
      <c r="C1833" s="0" t="n">
        <v>2023</v>
      </c>
      <c r="D1833" s="0" t="n">
        <v>26159863</v>
      </c>
      <c r="E1833" s="0" t="n">
        <v>0.97</v>
      </c>
      <c r="F1833" s="0" t="n">
        <v>0.17</v>
      </c>
      <c r="G1833" s="0" t="n">
        <v>0.05</v>
      </c>
      <c r="H1833" s="0" t="n">
        <v>0.73</v>
      </c>
      <c r="I1833" s="0" t="n">
        <v>0</v>
      </c>
      <c r="J1833" s="0" t="n">
        <v>0</v>
      </c>
      <c r="K1833" s="0" t="n">
        <v>0.02</v>
      </c>
      <c r="L1833" s="0" t="n">
        <v>0</v>
      </c>
      <c r="M1833" s="0" t="n">
        <v>0</v>
      </c>
      <c r="N1833" s="0" t="n">
        <v>0</v>
      </c>
      <c r="O1833" s="0" t="n">
        <v>680.41</v>
      </c>
    </row>
    <row r="1834" customFormat="false" ht="15" hidden="false" customHeight="false" outlineLevel="0" collapsed="false">
      <c r="A1834" s="0" t="s">
        <v>319</v>
      </c>
      <c r="B1834" s="0" t="s">
        <v>558</v>
      </c>
      <c r="C1834" s="0" t="n">
        <v>2024</v>
      </c>
      <c r="D1834" s="0" t="n">
        <v>27032417</v>
      </c>
      <c r="E1834" s="0" t="n">
        <v>0.95</v>
      </c>
      <c r="F1834" s="0" t="n">
        <v>0.17</v>
      </c>
      <c r="G1834" s="0" t="n">
        <v>0.05</v>
      </c>
      <c r="H1834" s="0" t="n">
        <v>0.7</v>
      </c>
      <c r="I1834" s="0" t="n">
        <v>0</v>
      </c>
      <c r="J1834" s="0" t="n">
        <v>0</v>
      </c>
      <c r="K1834" s="0" t="n">
        <v>0.03</v>
      </c>
      <c r="L1834" s="0" t="n">
        <v>0</v>
      </c>
      <c r="M1834" s="0" t="n">
        <v>0</v>
      </c>
      <c r="N1834" s="0" t="n">
        <v>0</v>
      </c>
      <c r="O1834" s="0" t="n">
        <v>673.68</v>
      </c>
    </row>
    <row r="1835" customFormat="false" ht="15" hidden="false" customHeight="false" outlineLevel="0" collapsed="false">
      <c r="A1835" s="0" t="s">
        <v>320</v>
      </c>
      <c r="B1835" s="0" t="s">
        <v>559</v>
      </c>
      <c r="C1835" s="0" t="n">
        <v>2015</v>
      </c>
      <c r="D1835" s="0" t="n">
        <v>190671883</v>
      </c>
      <c r="E1835" s="0" t="n">
        <v>33.17</v>
      </c>
      <c r="F1835" s="0" t="n">
        <v>0</v>
      </c>
      <c r="G1835" s="0" t="n">
        <v>26.7</v>
      </c>
      <c r="H1835" s="0" t="n">
        <v>0</v>
      </c>
      <c r="I1835" s="0" t="n">
        <v>0</v>
      </c>
      <c r="J1835" s="0" t="n">
        <v>6.42</v>
      </c>
      <c r="K1835" s="0" t="n">
        <v>0.03</v>
      </c>
      <c r="L1835" s="0" t="n">
        <v>0</v>
      </c>
      <c r="M1835" s="0" t="n">
        <v>0.02</v>
      </c>
      <c r="N1835" s="0" t="n">
        <v>0</v>
      </c>
      <c r="O1835" s="0" t="n">
        <v>529.7</v>
      </c>
    </row>
    <row r="1836" customFormat="false" ht="15" hidden="false" customHeight="false" outlineLevel="0" collapsed="false">
      <c r="A1836" s="0" t="s">
        <v>320</v>
      </c>
      <c r="B1836" s="0" t="s">
        <v>559</v>
      </c>
      <c r="C1836" s="0" t="n">
        <v>2016</v>
      </c>
      <c r="D1836" s="0" t="n">
        <v>195443698</v>
      </c>
      <c r="E1836" s="0" t="n">
        <v>36.54</v>
      </c>
      <c r="F1836" s="0" t="n">
        <v>0</v>
      </c>
      <c r="G1836" s="0" t="n">
        <v>28.33</v>
      </c>
      <c r="H1836" s="0" t="n">
        <v>0</v>
      </c>
      <c r="I1836" s="0" t="n">
        <v>0</v>
      </c>
      <c r="J1836" s="0" t="n">
        <v>8.15</v>
      </c>
      <c r="K1836" s="0" t="n">
        <v>0.03</v>
      </c>
      <c r="L1836" s="0" t="n">
        <v>0</v>
      </c>
      <c r="M1836" s="0" t="n">
        <v>0.03</v>
      </c>
      <c r="N1836" s="0" t="n">
        <v>0</v>
      </c>
      <c r="O1836" s="0" t="n">
        <v>511.22</v>
      </c>
    </row>
    <row r="1837" customFormat="false" ht="15" hidden="false" customHeight="false" outlineLevel="0" collapsed="false">
      <c r="A1837" s="0" t="s">
        <v>320</v>
      </c>
      <c r="B1837" s="0" t="s">
        <v>559</v>
      </c>
      <c r="C1837" s="0" t="n">
        <v>2017</v>
      </c>
      <c r="D1837" s="0" t="n">
        <v>200254580</v>
      </c>
      <c r="E1837" s="0" t="n">
        <v>32.24</v>
      </c>
      <c r="F1837" s="0" t="n">
        <v>0</v>
      </c>
      <c r="G1837" s="0" t="n">
        <v>24.44</v>
      </c>
      <c r="H1837" s="0" t="n">
        <v>0</v>
      </c>
      <c r="I1837" s="0" t="n">
        <v>0</v>
      </c>
      <c r="J1837" s="0" t="n">
        <v>7.75</v>
      </c>
      <c r="K1837" s="0" t="n">
        <v>0.03</v>
      </c>
      <c r="L1837" s="0" t="n">
        <v>0</v>
      </c>
      <c r="M1837" s="0" t="n">
        <v>0.02</v>
      </c>
      <c r="N1837" s="0" t="n">
        <v>0</v>
      </c>
      <c r="O1837" s="0" t="n">
        <v>500</v>
      </c>
    </row>
    <row r="1838" customFormat="false" ht="15" hidden="false" customHeight="false" outlineLevel="0" collapsed="false">
      <c r="A1838" s="0" t="s">
        <v>320</v>
      </c>
      <c r="B1838" s="0" t="s">
        <v>559</v>
      </c>
      <c r="C1838" s="0" t="n">
        <v>2018</v>
      </c>
      <c r="D1838" s="0" t="n">
        <v>204938752</v>
      </c>
      <c r="E1838" s="0" t="n">
        <v>36.71</v>
      </c>
      <c r="F1838" s="0" t="n">
        <v>0</v>
      </c>
      <c r="G1838" s="0" t="n">
        <v>28.94</v>
      </c>
      <c r="H1838" s="0" t="n">
        <v>0</v>
      </c>
      <c r="I1838" s="0" t="n">
        <v>0</v>
      </c>
      <c r="J1838" s="0" t="n">
        <v>7.7</v>
      </c>
      <c r="K1838" s="0" t="n">
        <v>0.04</v>
      </c>
      <c r="L1838" s="0" t="n">
        <v>0</v>
      </c>
      <c r="M1838" s="0" t="n">
        <v>0.03</v>
      </c>
      <c r="N1838" s="0" t="n">
        <v>0</v>
      </c>
      <c r="O1838" s="0" t="n">
        <v>519.48</v>
      </c>
    </row>
    <row r="1839" customFormat="false" ht="15" hidden="false" customHeight="false" outlineLevel="0" collapsed="false">
      <c r="A1839" s="0" t="s">
        <v>320</v>
      </c>
      <c r="B1839" s="0" t="s">
        <v>559</v>
      </c>
      <c r="C1839" s="0" t="n">
        <v>2019</v>
      </c>
      <c r="D1839" s="0" t="n">
        <v>209485637</v>
      </c>
      <c r="E1839" s="0" t="n">
        <v>36.46</v>
      </c>
      <c r="F1839" s="0" t="n">
        <v>0</v>
      </c>
      <c r="G1839" s="0" t="n">
        <v>27.95</v>
      </c>
      <c r="H1839" s="0" t="n">
        <v>0</v>
      </c>
      <c r="I1839" s="0" t="n">
        <v>0</v>
      </c>
      <c r="J1839" s="0" t="n">
        <v>8.43</v>
      </c>
      <c r="K1839" s="0" t="n">
        <v>0.05</v>
      </c>
      <c r="L1839" s="0" t="n">
        <v>0</v>
      </c>
      <c r="M1839" s="0" t="n">
        <v>0.03</v>
      </c>
      <c r="N1839" s="0" t="n">
        <v>0</v>
      </c>
      <c r="O1839" s="0" t="n">
        <v>505.76</v>
      </c>
    </row>
    <row r="1840" customFormat="false" ht="15" hidden="false" customHeight="false" outlineLevel="0" collapsed="false">
      <c r="A1840" s="0" t="s">
        <v>320</v>
      </c>
      <c r="B1840" s="0" t="s">
        <v>559</v>
      </c>
      <c r="C1840" s="0" t="n">
        <v>2020</v>
      </c>
      <c r="D1840" s="0" t="n">
        <v>213996185</v>
      </c>
      <c r="E1840" s="0" t="n">
        <v>38</v>
      </c>
      <c r="F1840" s="0" t="n">
        <v>0</v>
      </c>
      <c r="G1840" s="0" t="n">
        <v>30.19</v>
      </c>
      <c r="H1840" s="0" t="n">
        <v>0</v>
      </c>
      <c r="I1840" s="0" t="n">
        <v>0</v>
      </c>
      <c r="J1840" s="0" t="n">
        <v>7.69</v>
      </c>
      <c r="K1840" s="0" t="n">
        <v>0.08</v>
      </c>
      <c r="L1840" s="0" t="n">
        <v>0</v>
      </c>
      <c r="M1840" s="0" t="n">
        <v>0.04</v>
      </c>
      <c r="N1840" s="0" t="n">
        <v>0</v>
      </c>
      <c r="O1840" s="0" t="n">
        <v>523.42</v>
      </c>
    </row>
    <row r="1841" customFormat="false" ht="15" hidden="false" customHeight="false" outlineLevel="0" collapsed="false">
      <c r="A1841" s="0" t="s">
        <v>320</v>
      </c>
      <c r="B1841" s="0" t="s">
        <v>559</v>
      </c>
      <c r="C1841" s="0" t="n">
        <v>2021</v>
      </c>
      <c r="D1841" s="0" t="n">
        <v>218529286</v>
      </c>
      <c r="E1841" s="0" t="n">
        <v>39.2</v>
      </c>
      <c r="F1841" s="0" t="n">
        <v>0</v>
      </c>
      <c r="G1841" s="0" t="n">
        <v>31.1</v>
      </c>
      <c r="H1841" s="0" t="n">
        <v>0</v>
      </c>
      <c r="I1841" s="0" t="n">
        <v>0</v>
      </c>
      <c r="J1841" s="0" t="n">
        <v>7.94</v>
      </c>
      <c r="K1841" s="0" t="n">
        <v>0.1</v>
      </c>
      <c r="L1841" s="0" t="n">
        <v>0</v>
      </c>
      <c r="M1841" s="0" t="n">
        <v>0.06</v>
      </c>
      <c r="N1841" s="0" t="n">
        <v>0</v>
      </c>
      <c r="O1841" s="0" t="n">
        <v>522.7</v>
      </c>
    </row>
    <row r="1842" customFormat="false" ht="15" hidden="false" customHeight="false" outlineLevel="0" collapsed="false">
      <c r="A1842" s="0" t="s">
        <v>320</v>
      </c>
      <c r="B1842" s="0" t="s">
        <v>559</v>
      </c>
      <c r="C1842" s="0" t="n">
        <v>2022</v>
      </c>
      <c r="D1842" s="0" t="n">
        <v>223150906</v>
      </c>
      <c r="E1842" s="0" t="n">
        <v>38</v>
      </c>
      <c r="F1842" s="0" t="n">
        <v>0</v>
      </c>
      <c r="G1842" s="0" t="n">
        <v>28.61</v>
      </c>
      <c r="H1842" s="0" t="n">
        <v>0</v>
      </c>
      <c r="I1842" s="0" t="n">
        <v>0</v>
      </c>
      <c r="J1842" s="0" t="n">
        <v>9.23</v>
      </c>
      <c r="K1842" s="0" t="n">
        <v>0.1</v>
      </c>
      <c r="L1842" s="0" t="n">
        <v>0</v>
      </c>
      <c r="M1842" s="0" t="n">
        <v>0.06</v>
      </c>
      <c r="N1842" s="0" t="n">
        <v>0</v>
      </c>
      <c r="O1842" s="0" t="n">
        <v>497.37</v>
      </c>
    </row>
    <row r="1843" customFormat="false" ht="15" hidden="false" customHeight="false" outlineLevel="0" collapsed="false">
      <c r="A1843" s="0" t="s">
        <v>320</v>
      </c>
      <c r="B1843" s="0" t="s">
        <v>559</v>
      </c>
      <c r="C1843" s="0" t="n">
        <v>2023</v>
      </c>
      <c r="D1843" s="0" t="n">
        <v>227882949</v>
      </c>
      <c r="E1843" s="0" t="n">
        <v>40.92</v>
      </c>
      <c r="F1843" s="0" t="n">
        <v>0</v>
      </c>
      <c r="G1843" s="0" t="n">
        <v>31.64</v>
      </c>
      <c r="H1843" s="0" t="n">
        <v>0</v>
      </c>
      <c r="I1843" s="0" t="n">
        <v>0</v>
      </c>
      <c r="J1843" s="0" t="n">
        <v>9.11</v>
      </c>
      <c r="K1843" s="0" t="n">
        <v>0.11</v>
      </c>
      <c r="L1843" s="0" t="n">
        <v>0</v>
      </c>
      <c r="M1843" s="0" t="n">
        <v>0.06</v>
      </c>
      <c r="N1843" s="0" t="n">
        <v>0</v>
      </c>
      <c r="O1843" s="0" t="n">
        <v>510.26</v>
      </c>
    </row>
    <row r="1844" customFormat="false" ht="15" hidden="false" customHeight="false" outlineLevel="0" collapsed="false">
      <c r="A1844" s="0" t="s">
        <v>320</v>
      </c>
      <c r="B1844" s="0" t="s">
        <v>559</v>
      </c>
      <c r="C1844" s="0" t="n">
        <v>2024</v>
      </c>
      <c r="D1844" s="0" t="n">
        <v>232679482</v>
      </c>
      <c r="E1844" s="0" t="n">
        <v>37.56</v>
      </c>
      <c r="F1844" s="0" t="n">
        <v>0</v>
      </c>
      <c r="G1844" s="0" t="n">
        <v>28.17</v>
      </c>
      <c r="H1844" s="0" t="n">
        <v>0</v>
      </c>
      <c r="I1844" s="0" t="n">
        <v>0</v>
      </c>
      <c r="J1844" s="0" t="n">
        <v>9.2</v>
      </c>
      <c r="K1844" s="0" t="n">
        <v>0.13</v>
      </c>
      <c r="L1844" s="0" t="n">
        <v>0</v>
      </c>
      <c r="M1844" s="0" t="n">
        <v>0.06</v>
      </c>
      <c r="N1844" s="0" t="n">
        <v>0</v>
      </c>
      <c r="O1844" s="0" t="n">
        <v>495.74</v>
      </c>
    </row>
    <row r="1845" customFormat="false" ht="15" hidden="false" customHeight="false" outlineLevel="0" collapsed="false">
      <c r="A1845" s="0" t="s">
        <v>320</v>
      </c>
      <c r="B1845" s="0" t="s">
        <v>559</v>
      </c>
      <c r="C1845" s="0" t="n">
        <v>2025</v>
      </c>
      <c r="D1845" s="0" t="n">
        <v>237527788</v>
      </c>
      <c r="E1845" s="0" t="n">
        <v>41.54</v>
      </c>
      <c r="F1845" s="0" t="n">
        <v>0</v>
      </c>
      <c r="G1845" s="0" t="n">
        <v>28.53</v>
      </c>
      <c r="H1845" s="0" t="n">
        <v>0</v>
      </c>
      <c r="I1845" s="0" t="n">
        <v>0</v>
      </c>
      <c r="J1845" s="0" t="n">
        <v>12.82</v>
      </c>
      <c r="K1845" s="0" t="n">
        <v>0.13</v>
      </c>
      <c r="L1845" s="0" t="n">
        <v>0</v>
      </c>
      <c r="M1845" s="0" t="n">
        <v>0.06</v>
      </c>
      <c r="N1845" s="0" t="n">
        <v>0</v>
      </c>
      <c r="O1845" s="0" t="n">
        <v>455.71</v>
      </c>
    </row>
    <row r="1846" customFormat="false" ht="15" hidden="false" customHeight="false" outlineLevel="0" collapsed="false">
      <c r="A1846" s="0" t="s">
        <v>694</v>
      </c>
      <c r="B1846" s="0" t="s">
        <v>695</v>
      </c>
      <c r="C1846" s="0" t="n">
        <v>2015</v>
      </c>
      <c r="D1846" s="0" t="n">
        <v>1803</v>
      </c>
      <c r="E1846" s="0" t="n">
        <v>0</v>
      </c>
      <c r="F1846" s="0" t="n">
        <v>0</v>
      </c>
      <c r="G1846" s="0" t="n">
        <v>0</v>
      </c>
      <c r="H1846" s="0" t="n">
        <v>0</v>
      </c>
      <c r="I1846" s="0" t="n">
        <v>0</v>
      </c>
      <c r="J1846" s="0" t="n">
        <v>0</v>
      </c>
      <c r="K1846" s="0" t="n">
        <v>0</v>
      </c>
      <c r="L1846" s="0" t="n">
        <v>0</v>
      </c>
      <c r="M1846" s="0" t="n">
        <v>0</v>
      </c>
      <c r="N1846" s="0" t="n">
        <v>0</v>
      </c>
    </row>
    <row r="1847" customFormat="false" ht="15" hidden="false" customHeight="false" outlineLevel="0" collapsed="false">
      <c r="A1847" s="0" t="s">
        <v>694</v>
      </c>
      <c r="B1847" s="0" t="s">
        <v>695</v>
      </c>
      <c r="C1847" s="0" t="n">
        <v>2016</v>
      </c>
      <c r="D1847" s="0" t="n">
        <v>1806</v>
      </c>
      <c r="E1847" s="0" t="n">
        <v>0</v>
      </c>
      <c r="F1847" s="0" t="n">
        <v>0</v>
      </c>
      <c r="G1847" s="0" t="n">
        <v>0</v>
      </c>
      <c r="H1847" s="0" t="n">
        <v>0</v>
      </c>
      <c r="I1847" s="0" t="n">
        <v>0</v>
      </c>
      <c r="J1847" s="0" t="n">
        <v>0</v>
      </c>
      <c r="K1847" s="0" t="n">
        <v>0</v>
      </c>
      <c r="L1847" s="0" t="n">
        <v>0</v>
      </c>
      <c r="M1847" s="0" t="n">
        <v>0</v>
      </c>
      <c r="N1847" s="0" t="n">
        <v>0</v>
      </c>
    </row>
    <row r="1848" customFormat="false" ht="15" hidden="false" customHeight="false" outlineLevel="0" collapsed="false">
      <c r="A1848" s="0" t="s">
        <v>694</v>
      </c>
      <c r="B1848" s="0" t="s">
        <v>695</v>
      </c>
      <c r="C1848" s="0" t="n">
        <v>2017</v>
      </c>
      <c r="D1848" s="0" t="n">
        <v>1803</v>
      </c>
      <c r="E1848" s="0" t="n">
        <v>0</v>
      </c>
      <c r="F1848" s="0" t="n">
        <v>0</v>
      </c>
      <c r="G1848" s="0" t="n">
        <v>0</v>
      </c>
      <c r="H1848" s="0" t="n">
        <v>0</v>
      </c>
      <c r="I1848" s="0" t="n">
        <v>0</v>
      </c>
      <c r="J1848" s="0" t="n">
        <v>0</v>
      </c>
      <c r="K1848" s="0" t="n">
        <v>0</v>
      </c>
      <c r="L1848" s="0" t="n">
        <v>0</v>
      </c>
      <c r="M1848" s="0" t="n">
        <v>0</v>
      </c>
      <c r="N1848" s="0" t="n">
        <v>0</v>
      </c>
    </row>
    <row r="1849" customFormat="false" ht="15" hidden="false" customHeight="false" outlineLevel="0" collapsed="false">
      <c r="A1849" s="0" t="s">
        <v>694</v>
      </c>
      <c r="B1849" s="0" t="s">
        <v>695</v>
      </c>
      <c r="C1849" s="0" t="n">
        <v>2018</v>
      </c>
      <c r="D1849" s="0" t="n">
        <v>1805</v>
      </c>
      <c r="E1849" s="0" t="n">
        <v>0</v>
      </c>
      <c r="F1849" s="0" t="n">
        <v>0</v>
      </c>
      <c r="G1849" s="0" t="n">
        <v>0</v>
      </c>
      <c r="H1849" s="0" t="n">
        <v>0</v>
      </c>
      <c r="I1849" s="0" t="n">
        <v>0</v>
      </c>
      <c r="J1849" s="0" t="n">
        <v>0</v>
      </c>
      <c r="K1849" s="0" t="n">
        <v>0</v>
      </c>
      <c r="L1849" s="0" t="n">
        <v>0</v>
      </c>
      <c r="M1849" s="0" t="n">
        <v>0</v>
      </c>
      <c r="N1849" s="0" t="n">
        <v>0</v>
      </c>
    </row>
    <row r="1850" customFormat="false" ht="15" hidden="false" customHeight="false" outlineLevel="0" collapsed="false">
      <c r="A1850" s="0" t="s">
        <v>694</v>
      </c>
      <c r="B1850" s="0" t="s">
        <v>695</v>
      </c>
      <c r="C1850" s="0" t="n">
        <v>2019</v>
      </c>
      <c r="D1850" s="0" t="n">
        <v>1814</v>
      </c>
      <c r="E1850" s="0" t="n">
        <v>0</v>
      </c>
      <c r="F1850" s="0" t="n">
        <v>0</v>
      </c>
      <c r="G1850" s="0" t="n">
        <v>0</v>
      </c>
      <c r="H1850" s="0" t="n">
        <v>0</v>
      </c>
      <c r="I1850" s="0" t="n">
        <v>0</v>
      </c>
      <c r="J1850" s="0" t="n">
        <v>0</v>
      </c>
      <c r="K1850" s="0" t="n">
        <v>0</v>
      </c>
      <c r="L1850" s="0" t="n">
        <v>0</v>
      </c>
      <c r="M1850" s="0" t="n">
        <v>0</v>
      </c>
      <c r="N1850" s="0" t="n">
        <v>0</v>
      </c>
    </row>
    <row r="1851" customFormat="false" ht="15" hidden="false" customHeight="false" outlineLevel="0" collapsed="false">
      <c r="A1851" s="0" t="s">
        <v>694</v>
      </c>
      <c r="B1851" s="0" t="s">
        <v>695</v>
      </c>
      <c r="C1851" s="0" t="n">
        <v>2020</v>
      </c>
      <c r="D1851" s="0" t="n">
        <v>1822</v>
      </c>
      <c r="E1851" s="0" t="n">
        <v>0</v>
      </c>
      <c r="F1851" s="0" t="n">
        <v>0</v>
      </c>
      <c r="G1851" s="0" t="n">
        <v>0</v>
      </c>
      <c r="H1851" s="0" t="n">
        <v>0</v>
      </c>
      <c r="I1851" s="0" t="n">
        <v>0</v>
      </c>
      <c r="J1851" s="0" t="n">
        <v>0</v>
      </c>
      <c r="K1851" s="0" t="n">
        <v>0</v>
      </c>
      <c r="L1851" s="0" t="n">
        <v>0</v>
      </c>
      <c r="M1851" s="0" t="n">
        <v>0</v>
      </c>
      <c r="N1851" s="0" t="n">
        <v>0</v>
      </c>
    </row>
    <row r="1852" customFormat="false" ht="15" hidden="false" customHeight="false" outlineLevel="0" collapsed="false">
      <c r="A1852" s="0" t="s">
        <v>694</v>
      </c>
      <c r="B1852" s="0" t="s">
        <v>695</v>
      </c>
      <c r="C1852" s="0" t="n">
        <v>2021</v>
      </c>
      <c r="D1852" s="0" t="n">
        <v>1836</v>
      </c>
      <c r="E1852" s="0" t="n">
        <v>0</v>
      </c>
      <c r="F1852" s="0" t="n">
        <v>0</v>
      </c>
      <c r="G1852" s="0" t="n">
        <v>0</v>
      </c>
      <c r="H1852" s="0" t="n">
        <v>0</v>
      </c>
      <c r="I1852" s="0" t="n">
        <v>0</v>
      </c>
      <c r="J1852" s="0" t="n">
        <v>0</v>
      </c>
      <c r="K1852" s="0" t="n">
        <v>0</v>
      </c>
      <c r="L1852" s="0" t="n">
        <v>0</v>
      </c>
      <c r="M1852" s="0" t="n">
        <v>0</v>
      </c>
      <c r="N1852" s="0" t="n">
        <v>0</v>
      </c>
    </row>
    <row r="1853" customFormat="false" ht="15" hidden="false" customHeight="false" outlineLevel="0" collapsed="false">
      <c r="A1853" s="0" t="s">
        <v>694</v>
      </c>
      <c r="B1853" s="0" t="s">
        <v>695</v>
      </c>
      <c r="C1853" s="0" t="n">
        <v>2022</v>
      </c>
      <c r="D1853" s="0" t="n">
        <v>1844</v>
      </c>
      <c r="E1853" s="0" t="n">
        <v>0</v>
      </c>
      <c r="F1853" s="0" t="n">
        <v>0</v>
      </c>
      <c r="G1853" s="0" t="n">
        <v>0</v>
      </c>
      <c r="H1853" s="0" t="n">
        <v>0</v>
      </c>
      <c r="I1853" s="0" t="n">
        <v>0</v>
      </c>
      <c r="J1853" s="0" t="n">
        <v>0</v>
      </c>
      <c r="K1853" s="0" t="n">
        <v>0</v>
      </c>
      <c r="L1853" s="0" t="n">
        <v>0</v>
      </c>
      <c r="M1853" s="0" t="n">
        <v>0</v>
      </c>
      <c r="N1853" s="0" t="n">
        <v>0</v>
      </c>
    </row>
    <row r="1854" customFormat="false" ht="15" hidden="false" customHeight="false" outlineLevel="0" collapsed="false">
      <c r="A1854" s="0" t="s">
        <v>694</v>
      </c>
      <c r="B1854" s="0" t="s">
        <v>695</v>
      </c>
      <c r="C1854" s="0" t="n">
        <v>2023</v>
      </c>
      <c r="D1854" s="0" t="n">
        <v>1841</v>
      </c>
      <c r="E1854" s="0" t="n">
        <v>0</v>
      </c>
      <c r="F1854" s="0" t="n">
        <v>0</v>
      </c>
      <c r="G1854" s="0" t="n">
        <v>0</v>
      </c>
      <c r="H1854" s="0" t="n">
        <v>0</v>
      </c>
      <c r="I1854" s="0" t="n">
        <v>0</v>
      </c>
      <c r="J1854" s="0" t="n">
        <v>0</v>
      </c>
      <c r="K1854" s="0" t="n">
        <v>0</v>
      </c>
      <c r="L1854" s="0" t="n">
        <v>0</v>
      </c>
      <c r="M1854" s="0" t="n">
        <v>0</v>
      </c>
      <c r="N1854" s="0" t="n">
        <v>0</v>
      </c>
    </row>
    <row r="1855" customFormat="false" ht="15" hidden="false" customHeight="false" outlineLevel="0" collapsed="false">
      <c r="A1855" s="0" t="s">
        <v>696</v>
      </c>
      <c r="C1855" s="0" t="n">
        <v>2015</v>
      </c>
      <c r="E1855" s="0" t="n">
        <v>13283.661</v>
      </c>
      <c r="F1855" s="0" t="n">
        <v>6203.744</v>
      </c>
      <c r="G1855" s="0" t="n">
        <v>2706.581</v>
      </c>
      <c r="H1855" s="0" t="n">
        <v>768.546</v>
      </c>
      <c r="I1855" s="0" t="n">
        <v>600.876</v>
      </c>
      <c r="J1855" s="0" t="n">
        <v>2447.595</v>
      </c>
      <c r="K1855" s="0" t="n">
        <v>61.489</v>
      </c>
      <c r="L1855" s="0" t="n">
        <v>270.769</v>
      </c>
    </row>
    <row r="1856" customFormat="false" ht="15" hidden="false" customHeight="false" outlineLevel="0" collapsed="false">
      <c r="A1856" s="0" t="s">
        <v>696</v>
      </c>
      <c r="C1856" s="0" t="n">
        <v>2016</v>
      </c>
      <c r="E1856" s="0" t="n">
        <v>13848.248</v>
      </c>
      <c r="F1856" s="0" t="n">
        <v>6442.129</v>
      </c>
      <c r="G1856" s="0" t="n">
        <v>2806.892</v>
      </c>
      <c r="H1856" s="0" t="n">
        <v>697.597</v>
      </c>
      <c r="I1856" s="0" t="n">
        <v>640.684</v>
      </c>
      <c r="J1856" s="0" t="n">
        <v>2556.832</v>
      </c>
      <c r="K1856" s="0" t="n">
        <v>99.598</v>
      </c>
      <c r="L1856" s="0" t="n">
        <v>353.045</v>
      </c>
    </row>
    <row r="1857" customFormat="false" ht="15" hidden="false" customHeight="false" outlineLevel="0" collapsed="false">
      <c r="A1857" s="0" t="s">
        <v>696</v>
      </c>
      <c r="C1857" s="0" t="n">
        <v>2017</v>
      </c>
      <c r="E1857" s="0" t="n">
        <v>14547.094</v>
      </c>
      <c r="F1857" s="0" t="n">
        <v>6782.978</v>
      </c>
      <c r="G1857" s="0" t="n">
        <v>2926.588</v>
      </c>
      <c r="H1857" s="0" t="n">
        <v>657.686</v>
      </c>
      <c r="I1857" s="0" t="n">
        <v>677.446</v>
      </c>
      <c r="J1857" s="0" t="n">
        <v>2612.844</v>
      </c>
      <c r="K1857" s="0" t="n">
        <v>167.88</v>
      </c>
      <c r="L1857" s="0" t="n">
        <v>441.811</v>
      </c>
    </row>
    <row r="1858" customFormat="false" ht="15" hidden="false" customHeight="false" outlineLevel="0" collapsed="false">
      <c r="A1858" s="0" t="s">
        <v>696</v>
      </c>
      <c r="C1858" s="0" t="n">
        <v>2018</v>
      </c>
      <c r="E1858" s="0" t="n">
        <v>15399.516</v>
      </c>
      <c r="F1858" s="0" t="n">
        <v>7275.339</v>
      </c>
      <c r="G1858" s="0" t="n">
        <v>3021.11</v>
      </c>
      <c r="H1858" s="0" t="n">
        <v>580.874</v>
      </c>
      <c r="I1858" s="0" t="n">
        <v>730.546</v>
      </c>
      <c r="J1858" s="0" t="n">
        <v>2699.723</v>
      </c>
      <c r="K1858" s="0" t="n">
        <v>251.542</v>
      </c>
      <c r="L1858" s="0" t="n">
        <v>523.305</v>
      </c>
    </row>
    <row r="1859" customFormat="false" ht="15" hidden="false" customHeight="false" outlineLevel="0" collapsed="false">
      <c r="A1859" s="0" t="s">
        <v>696</v>
      </c>
      <c r="C1859" s="0" t="n">
        <v>2019</v>
      </c>
      <c r="E1859" s="0" t="n">
        <v>15902.446</v>
      </c>
      <c r="F1859" s="0" t="n">
        <v>7425.604</v>
      </c>
      <c r="G1859" s="0" t="n">
        <v>3071.361</v>
      </c>
      <c r="H1859" s="0" t="n">
        <v>560.422</v>
      </c>
      <c r="I1859" s="0" t="n">
        <v>801.624</v>
      </c>
      <c r="J1859" s="0" t="n">
        <v>2787.749</v>
      </c>
      <c r="K1859" s="0" t="n">
        <v>330.949</v>
      </c>
      <c r="L1859" s="0" t="n">
        <v>588.347</v>
      </c>
    </row>
    <row r="1860" customFormat="false" ht="15" hidden="false" customHeight="false" outlineLevel="0" collapsed="false">
      <c r="A1860" s="0" t="s">
        <v>696</v>
      </c>
      <c r="C1860" s="0" t="n">
        <v>2020</v>
      </c>
      <c r="E1860" s="0" t="n">
        <v>16076.176</v>
      </c>
      <c r="F1860" s="0" t="n">
        <v>7418.801</v>
      </c>
      <c r="G1860" s="0" t="n">
        <v>3014.421</v>
      </c>
      <c r="H1860" s="0" t="n">
        <v>531.29</v>
      </c>
      <c r="I1860" s="0" t="n">
        <v>817.03</v>
      </c>
      <c r="J1860" s="0" t="n">
        <v>2863.818</v>
      </c>
      <c r="K1860" s="0" t="n">
        <v>407.374</v>
      </c>
      <c r="L1860" s="0" t="n">
        <v>656.54</v>
      </c>
    </row>
    <row r="1861" customFormat="false" ht="15" hidden="false" customHeight="false" outlineLevel="0" collapsed="false">
      <c r="A1861" s="0" t="s">
        <v>696</v>
      </c>
      <c r="C1861" s="0" t="n">
        <v>2021</v>
      </c>
      <c r="E1861" s="0" t="n">
        <v>17289.293</v>
      </c>
      <c r="F1861" s="0" t="n">
        <v>7971.109</v>
      </c>
      <c r="G1861" s="0" t="n">
        <v>3216.201</v>
      </c>
      <c r="H1861" s="0" t="n">
        <v>562.096</v>
      </c>
      <c r="I1861" s="0" t="n">
        <v>890.362</v>
      </c>
      <c r="J1861" s="0" t="n">
        <v>2843.19</v>
      </c>
      <c r="K1861" s="0" t="n">
        <v>517.106</v>
      </c>
      <c r="L1861" s="0" t="n">
        <v>883.203</v>
      </c>
    </row>
    <row r="1862" customFormat="false" ht="15" hidden="false" customHeight="false" outlineLevel="0" collapsed="false">
      <c r="A1862" s="0" t="s">
        <v>696</v>
      </c>
      <c r="C1862" s="0" t="n">
        <v>2022</v>
      </c>
      <c r="E1862" s="0" t="n">
        <v>17844.158</v>
      </c>
      <c r="F1862" s="0" t="n">
        <v>8109.948</v>
      </c>
      <c r="G1862" s="0" t="n">
        <v>3204.346</v>
      </c>
      <c r="H1862" s="0" t="n">
        <v>572.653</v>
      </c>
      <c r="I1862" s="0" t="n">
        <v>889.742</v>
      </c>
      <c r="J1862" s="0" t="n">
        <v>2938.695</v>
      </c>
      <c r="K1862" s="0" t="n">
        <v>669.093</v>
      </c>
      <c r="L1862" s="0" t="n">
        <v>1013.296</v>
      </c>
    </row>
    <row r="1863" customFormat="false" ht="15" hidden="false" customHeight="false" outlineLevel="0" collapsed="false">
      <c r="A1863" s="0" t="s">
        <v>696</v>
      </c>
      <c r="C1863" s="0" t="n">
        <v>2023</v>
      </c>
      <c r="E1863" s="0" t="n">
        <v>18768.209</v>
      </c>
      <c r="F1863" s="0" t="n">
        <v>8585.844</v>
      </c>
      <c r="G1863" s="0" t="n">
        <v>3305.309</v>
      </c>
      <c r="H1863" s="0" t="n">
        <v>557.064</v>
      </c>
      <c r="I1863" s="0" t="n">
        <v>907.022</v>
      </c>
      <c r="J1863" s="0" t="n">
        <v>2869.606</v>
      </c>
      <c r="K1863" s="0" t="n">
        <v>889.373</v>
      </c>
      <c r="L1863" s="0" t="n">
        <v>1177.522</v>
      </c>
    </row>
    <row r="1864" customFormat="false" ht="15" hidden="false" customHeight="false" outlineLevel="0" collapsed="false">
      <c r="A1864" s="0" t="s">
        <v>696</v>
      </c>
      <c r="C1864" s="0" t="n">
        <v>2024</v>
      </c>
      <c r="E1864" s="0" t="n">
        <v>19806.184</v>
      </c>
      <c r="F1864" s="0" t="n">
        <v>8805.621</v>
      </c>
      <c r="G1864" s="0" t="n">
        <v>3468.981</v>
      </c>
      <c r="H1864" s="0" t="n">
        <v>553.517</v>
      </c>
      <c r="I1864" s="0" t="n">
        <v>936.442</v>
      </c>
      <c r="J1864" s="0" t="n">
        <v>3013.851</v>
      </c>
      <c r="K1864" s="0" t="n">
        <v>1213.637</v>
      </c>
      <c r="L1864" s="0" t="n">
        <v>1308.172</v>
      </c>
    </row>
    <row r="1865" customFormat="false" ht="15" hidden="false" customHeight="false" outlineLevel="0" collapsed="false">
      <c r="A1865" s="0" t="s">
        <v>697</v>
      </c>
      <c r="C1865" s="0" t="n">
        <v>2015</v>
      </c>
    </row>
    <row r="1866" customFormat="false" ht="15" hidden="false" customHeight="false" outlineLevel="0" collapsed="false">
      <c r="A1866" s="0" t="s">
        <v>697</v>
      </c>
      <c r="C1866" s="0" t="n">
        <v>2016</v>
      </c>
    </row>
    <row r="1867" customFormat="false" ht="15" hidden="false" customHeight="false" outlineLevel="0" collapsed="false">
      <c r="A1867" s="0" t="s">
        <v>697</v>
      </c>
      <c r="C1867" s="0" t="n">
        <v>2017</v>
      </c>
    </row>
    <row r="1868" customFormat="false" ht="15" hidden="false" customHeight="false" outlineLevel="0" collapsed="false">
      <c r="A1868" s="0" t="s">
        <v>697</v>
      </c>
      <c r="C1868" s="0" t="n">
        <v>2018</v>
      </c>
    </row>
    <row r="1869" customFormat="false" ht="15" hidden="false" customHeight="false" outlineLevel="0" collapsed="false">
      <c r="A1869" s="0" t="s">
        <v>697</v>
      </c>
      <c r="C1869" s="0" t="n">
        <v>2019</v>
      </c>
    </row>
    <row r="1870" customFormat="false" ht="15" hidden="false" customHeight="false" outlineLevel="0" collapsed="false">
      <c r="A1870" s="0" t="s">
        <v>697</v>
      </c>
      <c r="C1870" s="0" t="n">
        <v>2020</v>
      </c>
    </row>
    <row r="1871" customFormat="false" ht="15" hidden="false" customHeight="false" outlineLevel="0" collapsed="false">
      <c r="A1871" s="0" t="s">
        <v>697</v>
      </c>
      <c r="C1871" s="0" t="n">
        <v>2021</v>
      </c>
    </row>
    <row r="1872" customFormat="false" ht="15" hidden="false" customHeight="false" outlineLevel="0" collapsed="false">
      <c r="A1872" s="0" t="s">
        <v>697</v>
      </c>
      <c r="C1872" s="0" t="n">
        <v>2022</v>
      </c>
    </row>
    <row r="1873" customFormat="false" ht="15" hidden="false" customHeight="false" outlineLevel="0" collapsed="false">
      <c r="A1873" s="0" t="s">
        <v>697</v>
      </c>
      <c r="C1873" s="0" t="n">
        <v>2023</v>
      </c>
    </row>
    <row r="1874" customFormat="false" ht="15" hidden="false" customHeight="false" outlineLevel="0" collapsed="false">
      <c r="A1874" s="0" t="s">
        <v>698</v>
      </c>
      <c r="C1874" s="0" t="n">
        <v>2015</v>
      </c>
    </row>
    <row r="1875" customFormat="false" ht="15" hidden="false" customHeight="false" outlineLevel="0" collapsed="false">
      <c r="A1875" s="0" t="s">
        <v>698</v>
      </c>
      <c r="C1875" s="0" t="n">
        <v>2016</v>
      </c>
    </row>
    <row r="1876" customFormat="false" ht="15" hidden="false" customHeight="false" outlineLevel="0" collapsed="false">
      <c r="A1876" s="0" t="s">
        <v>698</v>
      </c>
      <c r="C1876" s="0" t="n">
        <v>2017</v>
      </c>
    </row>
    <row r="1877" customFormat="false" ht="15" hidden="false" customHeight="false" outlineLevel="0" collapsed="false">
      <c r="A1877" s="0" t="s">
        <v>698</v>
      </c>
      <c r="C1877" s="0" t="n">
        <v>2018</v>
      </c>
    </row>
    <row r="1878" customFormat="false" ht="15" hidden="false" customHeight="false" outlineLevel="0" collapsed="false">
      <c r="A1878" s="0" t="s">
        <v>698</v>
      </c>
      <c r="C1878" s="0" t="n">
        <v>2019</v>
      </c>
    </row>
    <row r="1879" customFormat="false" ht="15" hidden="false" customHeight="false" outlineLevel="0" collapsed="false">
      <c r="A1879" s="0" t="s">
        <v>698</v>
      </c>
      <c r="C1879" s="0" t="n">
        <v>2020</v>
      </c>
    </row>
    <row r="1880" customFormat="false" ht="15" hidden="false" customHeight="false" outlineLevel="0" collapsed="false">
      <c r="A1880" s="0" t="s">
        <v>698</v>
      </c>
      <c r="C1880" s="0" t="n">
        <v>2021</v>
      </c>
    </row>
    <row r="1881" customFormat="false" ht="15" hidden="false" customHeight="false" outlineLevel="0" collapsed="false">
      <c r="A1881" s="0" t="s">
        <v>698</v>
      </c>
      <c r="C1881" s="0" t="n">
        <v>2022</v>
      </c>
    </row>
    <row r="1882" customFormat="false" ht="15" hidden="false" customHeight="false" outlineLevel="0" collapsed="false">
      <c r="A1882" s="0" t="s">
        <v>698</v>
      </c>
      <c r="C1882" s="0" t="n">
        <v>2023</v>
      </c>
    </row>
    <row r="1883" customFormat="false" ht="15" hidden="false" customHeight="false" outlineLevel="0" collapsed="false">
      <c r="A1883" s="0" t="s">
        <v>698</v>
      </c>
      <c r="C1883" s="0" t="n">
        <v>2024</v>
      </c>
    </row>
    <row r="1884" customFormat="false" ht="15" hidden="false" customHeight="false" outlineLevel="0" collapsed="false">
      <c r="A1884" s="0" t="s">
        <v>699</v>
      </c>
      <c r="C1884" s="0" t="n">
        <v>2015</v>
      </c>
    </row>
    <row r="1885" customFormat="false" ht="15" hidden="false" customHeight="false" outlineLevel="0" collapsed="false">
      <c r="A1885" s="0" t="s">
        <v>699</v>
      </c>
      <c r="C1885" s="0" t="n">
        <v>2016</v>
      </c>
    </row>
    <row r="1886" customFormat="false" ht="15" hidden="false" customHeight="false" outlineLevel="0" collapsed="false">
      <c r="A1886" s="0" t="s">
        <v>699</v>
      </c>
      <c r="C1886" s="0" t="n">
        <v>2017</v>
      </c>
    </row>
    <row r="1887" customFormat="false" ht="15" hidden="false" customHeight="false" outlineLevel="0" collapsed="false">
      <c r="A1887" s="0" t="s">
        <v>699</v>
      </c>
      <c r="C1887" s="0" t="n">
        <v>2018</v>
      </c>
    </row>
    <row r="1888" customFormat="false" ht="15" hidden="false" customHeight="false" outlineLevel="0" collapsed="false">
      <c r="A1888" s="0" t="s">
        <v>699</v>
      </c>
      <c r="C1888" s="0" t="n">
        <v>2019</v>
      </c>
    </row>
    <row r="1889" customFormat="false" ht="15" hidden="false" customHeight="false" outlineLevel="0" collapsed="false">
      <c r="A1889" s="0" t="s">
        <v>699</v>
      </c>
      <c r="C1889" s="0" t="n">
        <v>2020</v>
      </c>
    </row>
    <row r="1890" customFormat="false" ht="15" hidden="false" customHeight="false" outlineLevel="0" collapsed="false">
      <c r="A1890" s="0" t="s">
        <v>699</v>
      </c>
      <c r="C1890" s="0" t="n">
        <v>2021</v>
      </c>
    </row>
    <row r="1891" customFormat="false" ht="15" hidden="false" customHeight="false" outlineLevel="0" collapsed="false">
      <c r="A1891" s="0" t="s">
        <v>699</v>
      </c>
      <c r="C1891" s="0" t="n">
        <v>2022</v>
      </c>
    </row>
    <row r="1892" customFormat="false" ht="15" hidden="false" customHeight="false" outlineLevel="0" collapsed="false">
      <c r="A1892" s="0" t="s">
        <v>699</v>
      </c>
      <c r="C1892" s="0" t="n">
        <v>2023</v>
      </c>
    </row>
    <row r="1893" customFormat="false" ht="15" hidden="false" customHeight="false" outlineLevel="0" collapsed="false">
      <c r="A1893" s="0" t="s">
        <v>700</v>
      </c>
      <c r="C1893" s="0" t="n">
        <v>2015</v>
      </c>
      <c r="D1893" s="0" t="n">
        <v>572637322</v>
      </c>
      <c r="E1893" s="0" t="n">
        <v>5193.76</v>
      </c>
      <c r="F1893" s="0" t="n">
        <v>1460.82</v>
      </c>
      <c r="G1893" s="0" t="n">
        <v>1610.18</v>
      </c>
      <c r="H1893" s="0" t="n">
        <v>147.45</v>
      </c>
      <c r="I1893" s="0" t="n">
        <v>909.86</v>
      </c>
      <c r="J1893" s="0" t="n">
        <v>681.18</v>
      </c>
      <c r="K1893" s="0" t="n">
        <v>43.27</v>
      </c>
      <c r="L1893" s="0" t="n">
        <v>230.5</v>
      </c>
      <c r="M1893" s="0" t="n">
        <v>87.43</v>
      </c>
      <c r="N1893" s="0" t="n">
        <v>23.07</v>
      </c>
      <c r="O1893" s="0" t="n">
        <v>465.761</v>
      </c>
    </row>
    <row r="1894" customFormat="false" ht="15" hidden="false" customHeight="false" outlineLevel="0" collapsed="false">
      <c r="A1894" s="0" t="s">
        <v>700</v>
      </c>
      <c r="C1894" s="0" t="n">
        <v>2016</v>
      </c>
      <c r="D1894" s="0" t="n">
        <v>578186332</v>
      </c>
      <c r="E1894" s="0" t="n">
        <v>5215.95</v>
      </c>
      <c r="F1894" s="0" t="n">
        <v>1349.2</v>
      </c>
      <c r="G1894" s="0" t="n">
        <v>1660.11</v>
      </c>
      <c r="H1894" s="0" t="n">
        <v>143.85</v>
      </c>
      <c r="I1894" s="0" t="n">
        <v>916.98</v>
      </c>
      <c r="J1894" s="0" t="n">
        <v>701.64</v>
      </c>
      <c r="K1894" s="0" t="n">
        <v>59.9</v>
      </c>
      <c r="L1894" s="0" t="n">
        <v>272.54</v>
      </c>
      <c r="M1894" s="0" t="n">
        <v>88.51</v>
      </c>
      <c r="N1894" s="0" t="n">
        <v>23.22</v>
      </c>
      <c r="O1894" s="0" t="n">
        <v>448.329</v>
      </c>
    </row>
    <row r="1895" customFormat="false" ht="15" hidden="false" customHeight="false" outlineLevel="0" collapsed="false">
      <c r="A1895" s="0" t="s">
        <v>700</v>
      </c>
      <c r="C1895" s="0" t="n">
        <v>2017</v>
      </c>
      <c r="D1895" s="0" t="n">
        <v>583669319</v>
      </c>
      <c r="E1895" s="0" t="n">
        <v>5187.94</v>
      </c>
      <c r="F1895" s="0" t="n">
        <v>1308.33</v>
      </c>
      <c r="G1895" s="0" t="n">
        <v>1579.31</v>
      </c>
      <c r="H1895" s="0" t="n">
        <v>139.31</v>
      </c>
      <c r="I1895" s="0" t="n">
        <v>916.43</v>
      </c>
      <c r="J1895" s="0" t="n">
        <v>749.43</v>
      </c>
      <c r="K1895" s="0" t="n">
        <v>83.95</v>
      </c>
      <c r="L1895" s="0" t="n">
        <v>300.63</v>
      </c>
      <c r="M1895" s="0" t="n">
        <v>87.56</v>
      </c>
      <c r="N1895" s="0" t="n">
        <v>22.99</v>
      </c>
      <c r="O1895" s="0" t="n">
        <v>434.668</v>
      </c>
    </row>
    <row r="1896" customFormat="false" ht="15" hidden="false" customHeight="false" outlineLevel="0" collapsed="false">
      <c r="A1896" s="0" t="s">
        <v>700</v>
      </c>
      <c r="C1896" s="0" t="n">
        <v>2018</v>
      </c>
      <c r="D1896" s="0" t="n">
        <v>589049569</v>
      </c>
      <c r="E1896" s="0" t="n">
        <v>5352.14</v>
      </c>
      <c r="F1896" s="0" t="n">
        <v>1241.16</v>
      </c>
      <c r="G1896" s="0" t="n">
        <v>1779.55</v>
      </c>
      <c r="H1896" s="0" t="n">
        <v>140.84</v>
      </c>
      <c r="I1896" s="0" t="n">
        <v>920.66</v>
      </c>
      <c r="J1896" s="0" t="n">
        <v>734.42</v>
      </c>
      <c r="K1896" s="0" t="n">
        <v>102.87</v>
      </c>
      <c r="L1896" s="0" t="n">
        <v>324.16</v>
      </c>
      <c r="M1896" s="0" t="n">
        <v>85.75</v>
      </c>
      <c r="N1896" s="0" t="n">
        <v>22.73</v>
      </c>
      <c r="O1896" s="0" t="n">
        <v>430.521</v>
      </c>
    </row>
    <row r="1897" customFormat="false" ht="15" hidden="false" customHeight="false" outlineLevel="0" collapsed="false">
      <c r="A1897" s="0" t="s">
        <v>700</v>
      </c>
      <c r="C1897" s="0" t="n">
        <v>2019</v>
      </c>
      <c r="D1897" s="0" t="n">
        <v>594346844</v>
      </c>
      <c r="E1897" s="0" t="n">
        <v>5304.2</v>
      </c>
      <c r="F1897" s="0" t="n">
        <v>1060.43</v>
      </c>
      <c r="G1897" s="0" t="n">
        <v>1896.04</v>
      </c>
      <c r="H1897" s="0" t="n">
        <v>134.44</v>
      </c>
      <c r="I1897" s="0" t="n">
        <v>921.09</v>
      </c>
      <c r="J1897" s="0" t="n">
        <v>712.09</v>
      </c>
      <c r="K1897" s="0" t="n">
        <v>124.42</v>
      </c>
      <c r="L1897" s="0" t="n">
        <v>351.39</v>
      </c>
      <c r="M1897" s="0" t="n">
        <v>81.94</v>
      </c>
      <c r="N1897" s="0" t="n">
        <v>22.36</v>
      </c>
      <c r="O1897" s="0" t="n">
        <v>412.984</v>
      </c>
    </row>
    <row r="1898" customFormat="false" ht="15" hidden="false" customHeight="false" outlineLevel="0" collapsed="false">
      <c r="A1898" s="0" t="s">
        <v>700</v>
      </c>
      <c r="C1898" s="0" t="n">
        <v>2020</v>
      </c>
      <c r="D1898" s="0" t="n">
        <v>598250669</v>
      </c>
      <c r="E1898" s="0" t="n">
        <v>5164.45</v>
      </c>
      <c r="F1898" s="0" t="n">
        <v>840.32</v>
      </c>
      <c r="G1898" s="0" t="n">
        <v>1935.99</v>
      </c>
      <c r="H1898" s="0" t="n">
        <v>111.49</v>
      </c>
      <c r="I1898" s="0" t="n">
        <v>898.57</v>
      </c>
      <c r="J1898" s="0" t="n">
        <v>722.55</v>
      </c>
      <c r="K1898" s="0" t="n">
        <v>155.25</v>
      </c>
      <c r="L1898" s="0" t="n">
        <v>398.79</v>
      </c>
      <c r="M1898" s="0" t="n">
        <v>78.62</v>
      </c>
      <c r="N1898" s="0" t="n">
        <v>22.87</v>
      </c>
      <c r="O1898" s="0" t="n">
        <v>385.636</v>
      </c>
    </row>
    <row r="1899" customFormat="false" ht="15" hidden="false" customHeight="false" outlineLevel="0" collapsed="false">
      <c r="A1899" s="0" t="s">
        <v>700</v>
      </c>
      <c r="C1899" s="0" t="n">
        <v>2021</v>
      </c>
      <c r="D1899" s="0" t="n">
        <v>600876349</v>
      </c>
      <c r="E1899" s="0" t="n">
        <v>5282.67</v>
      </c>
      <c r="F1899" s="0" t="n">
        <v>953.28</v>
      </c>
      <c r="G1899" s="0" t="n">
        <v>1886.47</v>
      </c>
      <c r="H1899" s="0" t="n">
        <v>122.59</v>
      </c>
      <c r="I1899" s="0" t="n">
        <v>883.55</v>
      </c>
      <c r="J1899" s="0" t="n">
        <v>696.68</v>
      </c>
      <c r="K1899" s="0" t="n">
        <v>195.77</v>
      </c>
      <c r="L1899" s="0" t="n">
        <v>442.52</v>
      </c>
      <c r="M1899" s="0" t="n">
        <v>78.93</v>
      </c>
      <c r="N1899" s="0" t="n">
        <v>22.88</v>
      </c>
      <c r="O1899" s="0" t="n">
        <v>394.189</v>
      </c>
    </row>
    <row r="1900" customFormat="false" ht="15" hidden="false" customHeight="false" outlineLevel="0" collapsed="false">
      <c r="A1900" s="0" t="s">
        <v>700</v>
      </c>
      <c r="C1900" s="0" t="n">
        <v>2022</v>
      </c>
      <c r="D1900" s="0" t="n">
        <v>604356255</v>
      </c>
      <c r="E1900" s="0" t="n">
        <v>5436.59</v>
      </c>
      <c r="F1900" s="0" t="n">
        <v>880.84</v>
      </c>
      <c r="G1900" s="0" t="n">
        <v>2006.85</v>
      </c>
      <c r="H1900" s="0" t="n">
        <v>128.43</v>
      </c>
      <c r="I1900" s="0" t="n">
        <v>869.02</v>
      </c>
      <c r="J1900" s="0" t="n">
        <v>716.09</v>
      </c>
      <c r="K1900" s="0" t="n">
        <v>237.32</v>
      </c>
      <c r="L1900" s="0" t="n">
        <v>499.92</v>
      </c>
      <c r="M1900" s="0" t="n">
        <v>75.42</v>
      </c>
      <c r="N1900" s="0" t="n">
        <v>22.7</v>
      </c>
      <c r="O1900" s="0" t="n">
        <v>383.81</v>
      </c>
    </row>
    <row r="1901" customFormat="false" ht="15" hidden="false" customHeight="false" outlineLevel="0" collapsed="false">
      <c r="A1901" s="0" t="s">
        <v>700</v>
      </c>
      <c r="C1901" s="0" t="n">
        <v>2023</v>
      </c>
      <c r="D1901" s="0" t="n">
        <v>608770547</v>
      </c>
      <c r="E1901" s="0" t="n">
        <v>5401.65</v>
      </c>
      <c r="F1901" s="0" t="n">
        <v>726.46</v>
      </c>
      <c r="G1901" s="0" t="n">
        <v>2158.47</v>
      </c>
      <c r="H1901" s="0" t="n">
        <v>131.91</v>
      </c>
      <c r="I1901" s="0" t="n">
        <v>875.69</v>
      </c>
      <c r="J1901" s="0" t="n">
        <v>649.44</v>
      </c>
      <c r="K1901" s="0" t="n">
        <v>277.15</v>
      </c>
      <c r="L1901" s="0" t="n">
        <v>488.46</v>
      </c>
      <c r="M1901" s="0" t="n">
        <v>71</v>
      </c>
      <c r="N1901" s="0" t="n">
        <v>23.07</v>
      </c>
      <c r="O1901" s="0" t="n">
        <v>375.165</v>
      </c>
    </row>
    <row r="1902" customFormat="false" ht="15" hidden="false" customHeight="false" outlineLevel="0" collapsed="false">
      <c r="A1902" s="0" t="s">
        <v>700</v>
      </c>
      <c r="C1902" s="0" t="n">
        <v>2024</v>
      </c>
      <c r="D1902" s="0" t="n">
        <v>613150315</v>
      </c>
      <c r="E1902" s="0" t="n">
        <v>5533.95</v>
      </c>
      <c r="F1902" s="0" t="n">
        <v>703.15</v>
      </c>
      <c r="G1902" s="0" t="n">
        <v>2231.35</v>
      </c>
      <c r="H1902" s="0" t="n">
        <v>123.69</v>
      </c>
      <c r="I1902" s="0" t="n">
        <v>879.64</v>
      </c>
      <c r="J1902" s="0" t="n">
        <v>634.44</v>
      </c>
      <c r="K1902" s="0" t="n">
        <v>345.87</v>
      </c>
      <c r="L1902" s="0" t="n">
        <v>524.49</v>
      </c>
      <c r="M1902" s="0" t="n">
        <v>69.24</v>
      </c>
      <c r="N1902" s="0" t="n">
        <v>22.08</v>
      </c>
      <c r="O1902" s="0" t="n">
        <v>369.118</v>
      </c>
    </row>
    <row r="1903" customFormat="false" ht="15" hidden="false" customHeight="false" outlineLevel="0" collapsed="false">
      <c r="A1903" s="0" t="s">
        <v>701</v>
      </c>
      <c r="C1903" s="0" t="n">
        <v>2015</v>
      </c>
      <c r="E1903" s="0" t="n">
        <v>5321.304</v>
      </c>
      <c r="F1903" s="0" t="n">
        <v>1564.177</v>
      </c>
      <c r="G1903" s="0" t="n">
        <v>1685.679</v>
      </c>
      <c r="H1903" s="0" t="n">
        <v>66.379</v>
      </c>
      <c r="I1903" s="0" t="n">
        <v>951.813</v>
      </c>
      <c r="J1903" s="0" t="n">
        <v>659.538</v>
      </c>
      <c r="K1903" s="0" t="n">
        <v>42.523</v>
      </c>
      <c r="L1903" s="0" t="n">
        <v>228.356</v>
      </c>
    </row>
    <row r="1904" customFormat="false" ht="15" hidden="false" customHeight="false" outlineLevel="0" collapsed="false">
      <c r="A1904" s="0" t="s">
        <v>701</v>
      </c>
      <c r="C1904" s="0" t="n">
        <v>2016</v>
      </c>
      <c r="E1904" s="0" t="n">
        <v>5336.349</v>
      </c>
      <c r="F1904" s="0" t="n">
        <v>1442.9</v>
      </c>
      <c r="G1904" s="0" t="n">
        <v>1738.943</v>
      </c>
      <c r="H1904" s="0" t="n">
        <v>64.183</v>
      </c>
      <c r="I1904" s="0" t="n">
        <v>959.39</v>
      </c>
      <c r="J1904" s="0" t="n">
        <v>679.227</v>
      </c>
      <c r="K1904" s="0" t="n">
        <v>58.678</v>
      </c>
      <c r="L1904" s="0" t="n">
        <v>270.597</v>
      </c>
    </row>
    <row r="1905" customFormat="false" ht="15" hidden="false" customHeight="false" outlineLevel="0" collapsed="false">
      <c r="A1905" s="0" t="s">
        <v>701</v>
      </c>
      <c r="C1905" s="0" t="n">
        <v>2017</v>
      </c>
      <c r="E1905" s="0" t="n">
        <v>5302.228</v>
      </c>
      <c r="F1905" s="0" t="n">
        <v>1400.992</v>
      </c>
      <c r="G1905" s="0" t="n">
        <v>1651.913</v>
      </c>
      <c r="H1905" s="0" t="n">
        <v>65.622</v>
      </c>
      <c r="I1905" s="0" t="n">
        <v>958.793</v>
      </c>
      <c r="J1905" s="0" t="n">
        <v>722.272</v>
      </c>
      <c r="K1905" s="0" t="n">
        <v>82.553</v>
      </c>
      <c r="L1905" s="0" t="n">
        <v>299.005</v>
      </c>
    </row>
    <row r="1906" customFormat="false" ht="15" hidden="false" customHeight="false" outlineLevel="0" collapsed="false">
      <c r="A1906" s="0" t="s">
        <v>701</v>
      </c>
      <c r="C1906" s="0" t="n">
        <v>2018</v>
      </c>
      <c r="E1906" s="0" t="n">
        <v>5475.011</v>
      </c>
      <c r="F1906" s="0" t="n">
        <v>1330.099</v>
      </c>
      <c r="G1906" s="0" t="n">
        <v>1865.88</v>
      </c>
      <c r="H1906" s="0" t="n">
        <v>66.66</v>
      </c>
      <c r="I1906" s="0" t="n">
        <v>963.149</v>
      </c>
      <c r="J1906" s="0" t="n">
        <v>707.643</v>
      </c>
      <c r="K1906" s="0" t="n">
        <v>101.012</v>
      </c>
      <c r="L1906" s="0" t="n">
        <v>321.328</v>
      </c>
    </row>
    <row r="1907" customFormat="false" ht="15" hidden="false" customHeight="false" outlineLevel="0" collapsed="false">
      <c r="A1907" s="0" t="s">
        <v>701</v>
      </c>
      <c r="C1907" s="0" t="n">
        <v>2019</v>
      </c>
      <c r="E1907" s="0" t="n">
        <v>5414.358</v>
      </c>
      <c r="F1907" s="0" t="n">
        <v>1131.695</v>
      </c>
      <c r="G1907" s="0" t="n">
        <v>1986.177</v>
      </c>
      <c r="H1907" s="0" t="n">
        <v>57.778</v>
      </c>
      <c r="I1907" s="0" t="n">
        <v>963.694</v>
      </c>
      <c r="J1907" s="0" t="n">
        <v>690.84</v>
      </c>
      <c r="K1907" s="0" t="n">
        <v>121.691</v>
      </c>
      <c r="L1907" s="0" t="n">
        <v>348.474</v>
      </c>
    </row>
    <row r="1908" customFormat="false" ht="15" hidden="false" customHeight="false" outlineLevel="0" collapsed="false">
      <c r="A1908" s="0" t="s">
        <v>701</v>
      </c>
      <c r="C1908" s="0" t="n">
        <v>2020</v>
      </c>
      <c r="E1908" s="0" t="n">
        <v>5269.222</v>
      </c>
      <c r="F1908" s="0" t="n">
        <v>898.424</v>
      </c>
      <c r="G1908" s="0" t="n">
        <v>2033.633</v>
      </c>
      <c r="H1908" s="0" t="n">
        <v>46.189</v>
      </c>
      <c r="I1908" s="0" t="n">
        <v>940.142</v>
      </c>
      <c r="J1908" s="0" t="n">
        <v>696.142</v>
      </c>
      <c r="K1908" s="0" t="n">
        <v>151.949</v>
      </c>
      <c r="L1908" s="0" t="n">
        <v>396.819</v>
      </c>
    </row>
    <row r="1909" customFormat="false" ht="15" hidden="false" customHeight="false" outlineLevel="0" collapsed="false">
      <c r="A1909" s="0" t="s">
        <v>701</v>
      </c>
      <c r="C1909" s="0" t="n">
        <v>2021</v>
      </c>
      <c r="E1909" s="0" t="n">
        <v>5381.902</v>
      </c>
      <c r="F1909" s="0" t="n">
        <v>1019.797</v>
      </c>
      <c r="G1909" s="0" t="n">
        <v>1976.765</v>
      </c>
      <c r="H1909" s="0" t="n">
        <v>58.642</v>
      </c>
      <c r="I1909" s="0" t="n">
        <v>924.586</v>
      </c>
      <c r="J1909" s="0" t="n">
        <v>666.109</v>
      </c>
      <c r="K1909" s="0" t="n">
        <v>191.392</v>
      </c>
      <c r="L1909" s="0" t="n">
        <v>440.389</v>
      </c>
    </row>
    <row r="1910" customFormat="false" ht="15" hidden="false" customHeight="false" outlineLevel="0" collapsed="false">
      <c r="A1910" s="0" t="s">
        <v>701</v>
      </c>
      <c r="C1910" s="0" t="n">
        <v>2022</v>
      </c>
      <c r="E1910" s="0" t="n">
        <v>5541.95</v>
      </c>
      <c r="F1910" s="0" t="n">
        <v>943.415</v>
      </c>
      <c r="G1910" s="0" t="n">
        <v>2107.1</v>
      </c>
      <c r="H1910" s="0" t="n">
        <v>65.291</v>
      </c>
      <c r="I1910" s="0" t="n">
        <v>909.627</v>
      </c>
      <c r="J1910" s="0" t="n">
        <v>684.558</v>
      </c>
      <c r="K1910" s="0" t="n">
        <v>233.225</v>
      </c>
      <c r="L1910" s="0" t="n">
        <v>498.691</v>
      </c>
    </row>
    <row r="1911" customFormat="false" ht="15" hidden="false" customHeight="false" outlineLevel="0" collapsed="false">
      <c r="A1911" s="0" t="s">
        <v>701</v>
      </c>
      <c r="C1911" s="0" t="n">
        <v>2023</v>
      </c>
      <c r="E1911" s="0" t="n">
        <v>5492.188</v>
      </c>
      <c r="F1911" s="0" t="n">
        <v>775.725</v>
      </c>
      <c r="G1911" s="0" t="n">
        <v>2263.502</v>
      </c>
      <c r="H1911" s="0" t="n">
        <v>59.559</v>
      </c>
      <c r="I1911" s="0" t="n">
        <v>916.47</v>
      </c>
      <c r="J1911" s="0" t="n">
        <v>622.771</v>
      </c>
      <c r="K1911" s="0" t="n">
        <v>273.086</v>
      </c>
      <c r="L1911" s="0" t="n">
        <v>486.606</v>
      </c>
    </row>
    <row r="1912" customFormat="false" ht="15" hidden="false" customHeight="false" outlineLevel="0" collapsed="false">
      <c r="A1912" s="0" t="s">
        <v>701</v>
      </c>
      <c r="C1912" s="0" t="n">
        <v>2024</v>
      </c>
      <c r="E1912" s="0" t="n">
        <v>5626.773</v>
      </c>
      <c r="F1912" s="0" t="n">
        <v>749.826</v>
      </c>
      <c r="G1912" s="0" t="n">
        <v>2335.885</v>
      </c>
      <c r="H1912" s="0" t="n">
        <v>57.484</v>
      </c>
      <c r="I1912" s="0" t="n">
        <v>920.911</v>
      </c>
      <c r="J1912" s="0" t="n">
        <v>605.453</v>
      </c>
      <c r="K1912" s="0" t="n">
        <v>341.369</v>
      </c>
      <c r="L1912" s="0" t="n">
        <v>524.619</v>
      </c>
    </row>
    <row r="1913" customFormat="false" ht="15" hidden="false" customHeight="false" outlineLevel="0" collapsed="false">
      <c r="A1913" s="0" t="s">
        <v>702</v>
      </c>
      <c r="C1913" s="0" t="n">
        <v>2015</v>
      </c>
      <c r="E1913" s="0" t="n">
        <v>4745.58</v>
      </c>
      <c r="F1913" s="0" t="n">
        <v>1417.36</v>
      </c>
      <c r="G1913" s="0" t="n">
        <v>1401.46</v>
      </c>
      <c r="H1913" s="0" t="n">
        <v>49.53</v>
      </c>
      <c r="I1913" s="0" t="n">
        <v>898.28</v>
      </c>
      <c r="J1913" s="0" t="n">
        <v>626.6</v>
      </c>
      <c r="K1913" s="0" t="n">
        <v>41.92</v>
      </c>
      <c r="L1913" s="0" t="n">
        <v>217.69</v>
      </c>
      <c r="M1913" s="0" t="n">
        <v>73.62</v>
      </c>
      <c r="N1913" s="0" t="n">
        <v>19.12</v>
      </c>
      <c r="O1913" s="0" t="n">
        <v>460.21</v>
      </c>
    </row>
    <row r="1914" customFormat="false" ht="15" hidden="false" customHeight="false" outlineLevel="0" collapsed="false">
      <c r="A1914" s="0" t="s">
        <v>702</v>
      </c>
      <c r="C1914" s="0" t="n">
        <v>2016</v>
      </c>
      <c r="E1914" s="0" t="n">
        <v>4755.17</v>
      </c>
      <c r="F1914" s="0" t="n">
        <v>1304.17</v>
      </c>
      <c r="G1914" s="0" t="n">
        <v>1444.13</v>
      </c>
      <c r="H1914" s="0" t="n">
        <v>44.42</v>
      </c>
      <c r="I1914" s="0" t="n">
        <v>906.41</v>
      </c>
      <c r="J1914" s="0" t="n">
        <v>646.96</v>
      </c>
      <c r="K1914" s="0" t="n">
        <v>57.88</v>
      </c>
      <c r="L1914" s="0" t="n">
        <v>257.92</v>
      </c>
      <c r="M1914" s="0" t="n">
        <v>74.12</v>
      </c>
      <c r="N1914" s="0" t="n">
        <v>19.16</v>
      </c>
      <c r="O1914" s="0" t="n">
        <v>440.88</v>
      </c>
    </row>
    <row r="1915" customFormat="false" ht="15" hidden="false" customHeight="false" outlineLevel="0" collapsed="false">
      <c r="A1915" s="0" t="s">
        <v>702</v>
      </c>
      <c r="C1915" s="0" t="n">
        <v>2017</v>
      </c>
      <c r="E1915" s="0" t="n">
        <v>4722.16</v>
      </c>
      <c r="F1915" s="0" t="n">
        <v>1268.65</v>
      </c>
      <c r="G1915" s="0" t="n">
        <v>1357.9</v>
      </c>
      <c r="H1915" s="0" t="n">
        <v>41.93</v>
      </c>
      <c r="I1915" s="0" t="n">
        <v>905.55</v>
      </c>
      <c r="J1915" s="0" t="n">
        <v>688.81</v>
      </c>
      <c r="K1915" s="0" t="n">
        <v>80.59</v>
      </c>
      <c r="L1915" s="0" t="n">
        <v>285.81</v>
      </c>
      <c r="M1915" s="0" t="n">
        <v>73.88</v>
      </c>
      <c r="N1915" s="0" t="n">
        <v>19.04</v>
      </c>
      <c r="O1915" s="0" t="n">
        <v>426.89</v>
      </c>
    </row>
    <row r="1916" customFormat="false" ht="15" hidden="false" customHeight="false" outlineLevel="0" collapsed="false">
      <c r="A1916" s="0" t="s">
        <v>702</v>
      </c>
      <c r="C1916" s="0" t="n">
        <v>2018</v>
      </c>
      <c r="E1916" s="0" t="n">
        <v>4863.27</v>
      </c>
      <c r="F1916" s="0" t="n">
        <v>1202.51</v>
      </c>
      <c r="G1916" s="0" t="n">
        <v>1539.87</v>
      </c>
      <c r="H1916" s="0" t="n">
        <v>46.8</v>
      </c>
      <c r="I1916" s="0" t="n">
        <v>907.11</v>
      </c>
      <c r="J1916" s="0" t="n">
        <v>672.93</v>
      </c>
      <c r="K1916" s="0" t="n">
        <v>96.85</v>
      </c>
      <c r="L1916" s="0" t="n">
        <v>306.14</v>
      </c>
      <c r="M1916" s="0" t="n">
        <v>72.37</v>
      </c>
      <c r="N1916" s="0" t="n">
        <v>18.69</v>
      </c>
      <c r="O1916" s="0" t="n">
        <v>422.91</v>
      </c>
    </row>
    <row r="1917" customFormat="false" ht="15" hidden="false" customHeight="false" outlineLevel="0" collapsed="false">
      <c r="A1917" s="0" t="s">
        <v>702</v>
      </c>
      <c r="C1917" s="0" t="n">
        <v>2019</v>
      </c>
      <c r="E1917" s="0" t="n">
        <v>4814.57</v>
      </c>
      <c r="F1917" s="0" t="n">
        <v>1015.1</v>
      </c>
      <c r="G1917" s="0" t="n">
        <v>1658.75</v>
      </c>
      <c r="H1917" s="0" t="n">
        <v>40.94</v>
      </c>
      <c r="I1917" s="0" t="n">
        <v>909.9</v>
      </c>
      <c r="J1917" s="0" t="n">
        <v>664.79</v>
      </c>
      <c r="K1917" s="0" t="n">
        <v>110.64</v>
      </c>
      <c r="L1917" s="0" t="n">
        <v>328.76</v>
      </c>
      <c r="M1917" s="0" t="n">
        <v>67.82</v>
      </c>
      <c r="N1917" s="0" t="n">
        <v>17.87</v>
      </c>
      <c r="O1917" s="0" t="n">
        <v>402.72</v>
      </c>
    </row>
    <row r="1918" customFormat="false" ht="15" hidden="false" customHeight="false" outlineLevel="0" collapsed="false">
      <c r="A1918" s="0" t="s">
        <v>702</v>
      </c>
      <c r="C1918" s="0" t="n">
        <v>2020</v>
      </c>
      <c r="E1918" s="0" t="n">
        <v>4699.59</v>
      </c>
      <c r="F1918" s="0" t="n">
        <v>812.43</v>
      </c>
      <c r="G1918" s="0" t="n">
        <v>1699.76</v>
      </c>
      <c r="H1918" s="0" t="n">
        <v>41.39</v>
      </c>
      <c r="I1918" s="0" t="n">
        <v>887.39</v>
      </c>
      <c r="J1918" s="0" t="n">
        <v>666.93</v>
      </c>
      <c r="K1918" s="0" t="n">
        <v>134.79</v>
      </c>
      <c r="L1918" s="0" t="n">
        <v>373.7</v>
      </c>
      <c r="M1918" s="0" t="n">
        <v>65.11</v>
      </c>
      <c r="N1918" s="0" t="n">
        <v>18.09</v>
      </c>
      <c r="O1918" s="0" t="n">
        <v>376.81</v>
      </c>
    </row>
    <row r="1919" customFormat="false" ht="15" hidden="false" customHeight="false" outlineLevel="0" collapsed="false">
      <c r="A1919" s="0" t="s">
        <v>702</v>
      </c>
      <c r="C1919" s="0" t="n">
        <v>2021</v>
      </c>
      <c r="E1919" s="0" t="n">
        <v>4806.53</v>
      </c>
      <c r="F1919" s="0" t="n">
        <v>932.83</v>
      </c>
      <c r="G1919" s="0" t="n">
        <v>1662.79</v>
      </c>
      <c r="H1919" s="0" t="n">
        <v>41.88</v>
      </c>
      <c r="I1919" s="0" t="n">
        <v>871.63</v>
      </c>
      <c r="J1919" s="0" t="n">
        <v>629.33</v>
      </c>
      <c r="K1919" s="0" t="n">
        <v>169.53</v>
      </c>
      <c r="L1919" s="0" t="n">
        <v>415.5</v>
      </c>
      <c r="M1919" s="0" t="n">
        <v>64.8</v>
      </c>
      <c r="N1919" s="0" t="n">
        <v>18.24</v>
      </c>
      <c r="O1919" s="0" t="n">
        <v>388.68</v>
      </c>
    </row>
    <row r="1920" customFormat="false" ht="15" hidden="false" customHeight="false" outlineLevel="0" collapsed="false">
      <c r="A1920" s="0" t="s">
        <v>702</v>
      </c>
      <c r="C1920" s="0" t="n">
        <v>2022</v>
      </c>
      <c r="E1920" s="0" t="n">
        <v>4951.51</v>
      </c>
      <c r="F1920" s="0" t="n">
        <v>858</v>
      </c>
      <c r="G1920" s="0" t="n">
        <v>1777.5</v>
      </c>
      <c r="H1920" s="0" t="n">
        <v>46.76</v>
      </c>
      <c r="I1920" s="0" t="n">
        <v>858.17</v>
      </c>
      <c r="J1920" s="0" t="n">
        <v>646.96</v>
      </c>
      <c r="K1920" s="0" t="n">
        <v>210.81</v>
      </c>
      <c r="L1920" s="0" t="n">
        <v>473.78</v>
      </c>
      <c r="M1920" s="0" t="n">
        <v>61.37</v>
      </c>
      <c r="N1920" s="0" t="n">
        <v>18.16</v>
      </c>
      <c r="O1920" s="0" t="n">
        <v>376.85</v>
      </c>
    </row>
    <row r="1921" customFormat="false" ht="15" hidden="false" customHeight="false" outlineLevel="0" collapsed="false">
      <c r="A1921" s="0" t="s">
        <v>702</v>
      </c>
      <c r="C1921" s="0" t="n">
        <v>2023</v>
      </c>
      <c r="E1921" s="0" t="n">
        <v>4895.91</v>
      </c>
      <c r="F1921" s="0" t="n">
        <v>698.85</v>
      </c>
      <c r="G1921" s="0" t="n">
        <v>1908.94</v>
      </c>
      <c r="H1921" s="0" t="n">
        <v>40.13</v>
      </c>
      <c r="I1921" s="0" t="n">
        <v>863.3</v>
      </c>
      <c r="J1921" s="0" t="n">
        <v>600.23</v>
      </c>
      <c r="K1921" s="0" t="n">
        <v>247.34</v>
      </c>
      <c r="L1921" s="0" t="n">
        <v>461.65</v>
      </c>
      <c r="M1921" s="0" t="n">
        <v>57.02</v>
      </c>
      <c r="N1921" s="0" t="n">
        <v>18.45</v>
      </c>
      <c r="O1921" s="0" t="n">
        <v>364.23</v>
      </c>
    </row>
    <row r="1922" customFormat="false" ht="15" hidden="false" customHeight="false" outlineLevel="0" collapsed="false">
      <c r="A1922" s="0" t="s">
        <v>702</v>
      </c>
      <c r="C1922" s="0" t="n">
        <v>2024</v>
      </c>
      <c r="E1922" s="0" t="n">
        <v>5028.41</v>
      </c>
      <c r="F1922" s="0" t="n">
        <v>677.3</v>
      </c>
      <c r="G1922" s="0" t="n">
        <v>1979.5</v>
      </c>
      <c r="H1922" s="0" t="n">
        <v>37.87</v>
      </c>
      <c r="I1922" s="0" t="n">
        <v>867.33</v>
      </c>
      <c r="J1922" s="0" t="n">
        <v>580.71</v>
      </c>
      <c r="K1922" s="0" t="n">
        <v>313.17</v>
      </c>
      <c r="L1922" s="0" t="n">
        <v>498.73</v>
      </c>
      <c r="M1922" s="0" t="n">
        <v>56.28</v>
      </c>
      <c r="N1922" s="0" t="n">
        <v>17.52</v>
      </c>
      <c r="O1922" s="0" t="n">
        <v>358.62</v>
      </c>
    </row>
    <row r="1923" customFormat="false" ht="15" hidden="false" customHeight="false" outlineLevel="0" collapsed="false">
      <c r="A1923" s="0" t="s">
        <v>702</v>
      </c>
      <c r="C1923" s="0" t="n">
        <v>2025</v>
      </c>
      <c r="E1923" s="0" t="n">
        <v>5172.82</v>
      </c>
      <c r="F1923" s="0" t="n">
        <v>763.83</v>
      </c>
      <c r="G1923" s="0" t="n">
        <v>1923.24</v>
      </c>
      <c r="H1923" s="0" t="n">
        <v>39.44</v>
      </c>
      <c r="I1923" s="0" t="n">
        <v>870.1</v>
      </c>
      <c r="J1923" s="0" t="n">
        <v>586.91</v>
      </c>
      <c r="K1923" s="0" t="n">
        <v>398.99</v>
      </c>
      <c r="L1923" s="0" t="n">
        <v>515.87</v>
      </c>
      <c r="M1923" s="0" t="n">
        <v>56.74</v>
      </c>
      <c r="N1923" s="0" t="n">
        <v>17.7</v>
      </c>
      <c r="O1923" s="0" t="n">
        <v>359.95</v>
      </c>
    </row>
    <row r="1924" customFormat="false" ht="15" hidden="false" customHeight="false" outlineLevel="0" collapsed="false">
      <c r="A1924" s="0" t="s">
        <v>703</v>
      </c>
      <c r="C1924" s="0" t="n">
        <v>2015</v>
      </c>
    </row>
    <row r="1925" customFormat="false" ht="15" hidden="false" customHeight="false" outlineLevel="0" collapsed="false">
      <c r="A1925" s="0" t="s">
        <v>703</v>
      </c>
      <c r="C1925" s="0" t="n">
        <v>2016</v>
      </c>
    </row>
    <row r="1926" customFormat="false" ht="15" hidden="false" customHeight="false" outlineLevel="0" collapsed="false">
      <c r="A1926" s="0" t="s">
        <v>321</v>
      </c>
      <c r="B1926" s="0" t="s">
        <v>560</v>
      </c>
      <c r="C1926" s="0" t="n">
        <v>2015</v>
      </c>
      <c r="D1926" s="0" t="n">
        <v>25575355</v>
      </c>
      <c r="E1926" s="0" t="n">
        <v>18.93</v>
      </c>
      <c r="F1926" s="0" t="n">
        <v>8.19</v>
      </c>
      <c r="G1926" s="0" t="n">
        <v>0</v>
      </c>
      <c r="H1926" s="0" t="n">
        <v>0.81</v>
      </c>
      <c r="I1926" s="0" t="n">
        <v>0</v>
      </c>
      <c r="J1926" s="0" t="n">
        <v>9.9</v>
      </c>
      <c r="K1926" s="0" t="n">
        <v>0.03</v>
      </c>
      <c r="L1926" s="0" t="n">
        <v>0</v>
      </c>
      <c r="M1926" s="0" t="n">
        <v>0</v>
      </c>
      <c r="N1926" s="0" t="n">
        <v>0</v>
      </c>
      <c r="O1926" s="0" t="n">
        <v>433.18</v>
      </c>
    </row>
    <row r="1927" customFormat="false" ht="15" hidden="false" customHeight="false" outlineLevel="0" collapsed="false">
      <c r="A1927" s="0" t="s">
        <v>321</v>
      </c>
      <c r="B1927" s="0" t="s">
        <v>560</v>
      </c>
      <c r="C1927" s="0" t="n">
        <v>2016</v>
      </c>
      <c r="D1927" s="0" t="n">
        <v>25698325</v>
      </c>
      <c r="E1927" s="0" t="n">
        <v>23.81</v>
      </c>
      <c r="F1927" s="0" t="n">
        <v>10.16</v>
      </c>
      <c r="G1927" s="0" t="n">
        <v>0</v>
      </c>
      <c r="H1927" s="0" t="n">
        <v>0.94</v>
      </c>
      <c r="I1927" s="0" t="n">
        <v>0</v>
      </c>
      <c r="J1927" s="0" t="n">
        <v>12.67</v>
      </c>
      <c r="K1927" s="0" t="n">
        <v>0.04</v>
      </c>
      <c r="L1927" s="0" t="n">
        <v>0</v>
      </c>
      <c r="M1927" s="0" t="n">
        <v>0</v>
      </c>
      <c r="N1927" s="0" t="n">
        <v>0</v>
      </c>
      <c r="O1927" s="0" t="n">
        <v>425.87</v>
      </c>
    </row>
    <row r="1928" customFormat="false" ht="15" hidden="false" customHeight="false" outlineLevel="0" collapsed="false">
      <c r="A1928" s="0" t="s">
        <v>321</v>
      </c>
      <c r="B1928" s="0" t="s">
        <v>560</v>
      </c>
      <c r="C1928" s="0" t="n">
        <v>2017</v>
      </c>
      <c r="D1928" s="0" t="n">
        <v>25817710</v>
      </c>
      <c r="E1928" s="0" t="n">
        <v>23.43</v>
      </c>
      <c r="F1928" s="0" t="n">
        <v>10.82</v>
      </c>
      <c r="G1928" s="0" t="n">
        <v>0</v>
      </c>
      <c r="H1928" s="0" t="n">
        <v>0.78</v>
      </c>
      <c r="I1928" s="0" t="n">
        <v>0</v>
      </c>
      <c r="J1928" s="0" t="n">
        <v>11.78</v>
      </c>
      <c r="K1928" s="0" t="n">
        <v>0.05</v>
      </c>
      <c r="L1928" s="0" t="n">
        <v>0</v>
      </c>
      <c r="M1928" s="0" t="n">
        <v>0</v>
      </c>
      <c r="N1928" s="0" t="n">
        <v>0</v>
      </c>
      <c r="O1928" s="0" t="n">
        <v>452.84</v>
      </c>
    </row>
    <row r="1929" customFormat="false" ht="15" hidden="false" customHeight="false" outlineLevel="0" collapsed="false">
      <c r="A1929" s="0" t="s">
        <v>321</v>
      </c>
      <c r="B1929" s="0" t="s">
        <v>560</v>
      </c>
      <c r="C1929" s="0" t="n">
        <v>2018</v>
      </c>
      <c r="D1929" s="0" t="n">
        <v>25931153</v>
      </c>
      <c r="E1929" s="0" t="n">
        <v>24.83</v>
      </c>
      <c r="F1929" s="0" t="n">
        <v>11.33</v>
      </c>
      <c r="G1929" s="0" t="n">
        <v>0</v>
      </c>
      <c r="H1929" s="0" t="n">
        <v>0.77</v>
      </c>
      <c r="I1929" s="0" t="n">
        <v>0</v>
      </c>
      <c r="J1929" s="0" t="n">
        <v>12.67</v>
      </c>
      <c r="K1929" s="0" t="n">
        <v>0.06</v>
      </c>
      <c r="L1929" s="0" t="n">
        <v>0</v>
      </c>
      <c r="M1929" s="0" t="n">
        <v>0</v>
      </c>
      <c r="N1929" s="0" t="n">
        <v>0</v>
      </c>
      <c r="O1929" s="0" t="n">
        <v>446.23</v>
      </c>
    </row>
    <row r="1930" customFormat="false" ht="15" hidden="false" customHeight="false" outlineLevel="0" collapsed="false">
      <c r="A1930" s="0" t="s">
        <v>321</v>
      </c>
      <c r="B1930" s="0" t="s">
        <v>560</v>
      </c>
      <c r="C1930" s="0" t="n">
        <v>2019</v>
      </c>
      <c r="D1930" s="0" t="n">
        <v>26037633</v>
      </c>
      <c r="E1930" s="0" t="n">
        <v>23.88</v>
      </c>
      <c r="F1930" s="0" t="n">
        <v>11.87</v>
      </c>
      <c r="G1930" s="0" t="n">
        <v>0</v>
      </c>
      <c r="H1930" s="0" t="n">
        <v>0.93</v>
      </c>
      <c r="I1930" s="0" t="n">
        <v>0</v>
      </c>
      <c r="J1930" s="0" t="n">
        <v>11</v>
      </c>
      <c r="K1930" s="0" t="n">
        <v>0.08</v>
      </c>
      <c r="L1930" s="0" t="n">
        <v>0</v>
      </c>
      <c r="M1930" s="0" t="n">
        <v>0</v>
      </c>
      <c r="N1930" s="0" t="n">
        <v>0</v>
      </c>
      <c r="O1930" s="0" t="n">
        <v>486.6</v>
      </c>
    </row>
    <row r="1931" customFormat="false" ht="15" hidden="false" customHeight="false" outlineLevel="0" collapsed="false">
      <c r="A1931" s="0" t="s">
        <v>321</v>
      </c>
      <c r="B1931" s="0" t="s">
        <v>560</v>
      </c>
      <c r="C1931" s="0" t="n">
        <v>2020</v>
      </c>
      <c r="D1931" s="0" t="n">
        <v>26136312</v>
      </c>
      <c r="E1931" s="0" t="n">
        <v>24.1</v>
      </c>
      <c r="F1931" s="0" t="n">
        <v>10.35</v>
      </c>
      <c r="G1931" s="0" t="n">
        <v>0</v>
      </c>
      <c r="H1931" s="0" t="n">
        <v>0.85</v>
      </c>
      <c r="I1931" s="0" t="n">
        <v>0</v>
      </c>
      <c r="J1931" s="0" t="n">
        <v>12.8</v>
      </c>
      <c r="K1931" s="0" t="n">
        <v>0.1</v>
      </c>
      <c r="L1931" s="0" t="n">
        <v>0</v>
      </c>
      <c r="M1931" s="0" t="n">
        <v>0</v>
      </c>
      <c r="N1931" s="0" t="n">
        <v>0</v>
      </c>
      <c r="O1931" s="0" t="n">
        <v>424.48</v>
      </c>
    </row>
    <row r="1932" customFormat="false" ht="15" hidden="false" customHeight="false" outlineLevel="0" collapsed="false">
      <c r="A1932" s="0" t="s">
        <v>321</v>
      </c>
      <c r="B1932" s="0" t="s">
        <v>560</v>
      </c>
      <c r="C1932" s="0" t="n">
        <v>2021</v>
      </c>
      <c r="D1932" s="0" t="n">
        <v>26232530</v>
      </c>
      <c r="E1932" s="0" t="n">
        <v>25.63</v>
      </c>
      <c r="F1932" s="0" t="n">
        <v>8.89</v>
      </c>
      <c r="G1932" s="0" t="n">
        <v>0</v>
      </c>
      <c r="H1932" s="0" t="n">
        <v>0.51</v>
      </c>
      <c r="I1932" s="0" t="n">
        <v>0</v>
      </c>
      <c r="J1932" s="0" t="n">
        <v>16.1</v>
      </c>
      <c r="K1932" s="0" t="n">
        <v>0.13</v>
      </c>
      <c r="L1932" s="0" t="n">
        <v>0</v>
      </c>
      <c r="M1932" s="0" t="n">
        <v>0</v>
      </c>
      <c r="N1932" s="0" t="n">
        <v>0</v>
      </c>
      <c r="O1932" s="0" t="n">
        <v>342.57</v>
      </c>
    </row>
    <row r="1933" customFormat="false" ht="15" hidden="false" customHeight="false" outlineLevel="0" collapsed="false">
      <c r="A1933" s="0" t="s">
        <v>321</v>
      </c>
      <c r="B1933" s="0" t="s">
        <v>560</v>
      </c>
      <c r="C1933" s="0" t="n">
        <v>2022</v>
      </c>
      <c r="D1933" s="0" t="n">
        <v>26328843</v>
      </c>
      <c r="E1933" s="0" t="n">
        <v>26.55</v>
      </c>
      <c r="F1933" s="0" t="n">
        <v>9.23</v>
      </c>
      <c r="G1933" s="0" t="n">
        <v>0</v>
      </c>
      <c r="H1933" s="0" t="n">
        <v>0.57</v>
      </c>
      <c r="I1933" s="0" t="n">
        <v>0</v>
      </c>
      <c r="J1933" s="0" t="n">
        <v>16.6</v>
      </c>
      <c r="K1933" s="0" t="n">
        <v>0.15</v>
      </c>
      <c r="L1933" s="0" t="n">
        <v>0</v>
      </c>
      <c r="M1933" s="0" t="n">
        <v>0</v>
      </c>
      <c r="N1933" s="0" t="n">
        <v>0</v>
      </c>
      <c r="O1933" s="0" t="n">
        <v>344.26</v>
      </c>
    </row>
    <row r="1934" customFormat="false" ht="15" hidden="false" customHeight="false" outlineLevel="0" collapsed="false">
      <c r="A1934" s="0" t="s">
        <v>321</v>
      </c>
      <c r="B1934" s="0" t="s">
        <v>560</v>
      </c>
      <c r="C1934" s="0" t="n">
        <v>2023</v>
      </c>
      <c r="D1934" s="0" t="n">
        <v>26418196</v>
      </c>
      <c r="E1934" s="0" t="n">
        <v>26.72</v>
      </c>
      <c r="F1934" s="0" t="n">
        <v>9.23</v>
      </c>
      <c r="G1934" s="0" t="n">
        <v>0</v>
      </c>
      <c r="H1934" s="0" t="n">
        <v>0.74</v>
      </c>
      <c r="I1934" s="0" t="n">
        <v>0</v>
      </c>
      <c r="J1934" s="0" t="n">
        <v>16.6</v>
      </c>
      <c r="K1934" s="0" t="n">
        <v>0.15</v>
      </c>
      <c r="L1934" s="0" t="n">
        <v>0</v>
      </c>
      <c r="M1934" s="0" t="n">
        <v>0</v>
      </c>
      <c r="N1934" s="0" t="n">
        <v>0</v>
      </c>
      <c r="O1934" s="0" t="n">
        <v>346.18</v>
      </c>
    </row>
    <row r="1935" customFormat="false" ht="15" hidden="false" customHeight="false" outlineLevel="0" collapsed="false">
      <c r="A1935" s="0" t="s">
        <v>321</v>
      </c>
      <c r="B1935" s="0" t="s">
        <v>560</v>
      </c>
      <c r="C1935" s="0" t="n">
        <v>2024</v>
      </c>
      <c r="D1935" s="0" t="n">
        <v>26498832</v>
      </c>
      <c r="E1935" s="0" t="n">
        <v>27.1</v>
      </c>
      <c r="F1935" s="0" t="n">
        <v>9.23</v>
      </c>
      <c r="G1935" s="0" t="n">
        <v>0</v>
      </c>
      <c r="H1935" s="0" t="n">
        <v>0.7</v>
      </c>
      <c r="I1935" s="0" t="n">
        <v>0</v>
      </c>
      <c r="J1935" s="0" t="n">
        <v>17</v>
      </c>
      <c r="K1935" s="0" t="n">
        <v>0.17</v>
      </c>
      <c r="L1935" s="0" t="n">
        <v>0</v>
      </c>
      <c r="M1935" s="0" t="n">
        <v>0</v>
      </c>
      <c r="N1935" s="0" t="n">
        <v>0</v>
      </c>
      <c r="O1935" s="0" t="n">
        <v>340.59</v>
      </c>
    </row>
    <row r="1936" customFormat="false" ht="15" hidden="false" customHeight="false" outlineLevel="0" collapsed="false">
      <c r="A1936" s="0" t="s">
        <v>322</v>
      </c>
      <c r="B1936" s="0" t="s">
        <v>561</v>
      </c>
      <c r="C1936" s="0" t="n">
        <v>2015</v>
      </c>
      <c r="D1936" s="0" t="n">
        <v>1980366</v>
      </c>
      <c r="E1936" s="0" t="n">
        <v>5.65</v>
      </c>
      <c r="F1936" s="0" t="n">
        <v>3.3</v>
      </c>
      <c r="G1936" s="0" t="n">
        <v>0.18</v>
      </c>
      <c r="H1936" s="0" t="n">
        <v>0.14</v>
      </c>
      <c r="I1936" s="0" t="n">
        <v>0</v>
      </c>
      <c r="J1936" s="0" t="n">
        <v>1.87</v>
      </c>
      <c r="K1936" s="0" t="n">
        <v>0.02</v>
      </c>
      <c r="L1936" s="0" t="n">
        <v>0.12</v>
      </c>
      <c r="M1936" s="0" t="n">
        <v>0.02</v>
      </c>
      <c r="N1936" s="0" t="n">
        <v>0</v>
      </c>
      <c r="O1936" s="0" t="n">
        <v>631.86</v>
      </c>
    </row>
    <row r="1937" customFormat="false" ht="15" hidden="false" customHeight="false" outlineLevel="0" collapsed="false">
      <c r="A1937" s="0" t="s">
        <v>322</v>
      </c>
      <c r="B1937" s="0" t="s">
        <v>561</v>
      </c>
      <c r="C1937" s="0" t="n">
        <v>2016</v>
      </c>
      <c r="D1937" s="0" t="n">
        <v>1961268</v>
      </c>
      <c r="E1937" s="0" t="n">
        <v>5.63</v>
      </c>
      <c r="F1937" s="0" t="n">
        <v>2.89</v>
      </c>
      <c r="G1937" s="0" t="n">
        <v>0.57</v>
      </c>
      <c r="H1937" s="0" t="n">
        <v>0.1</v>
      </c>
      <c r="I1937" s="0" t="n">
        <v>0</v>
      </c>
      <c r="J1937" s="0" t="n">
        <v>1.9</v>
      </c>
      <c r="K1937" s="0" t="n">
        <v>0.02</v>
      </c>
      <c r="L1937" s="0" t="n">
        <v>0.11</v>
      </c>
      <c r="M1937" s="0" t="n">
        <v>0.04</v>
      </c>
      <c r="N1937" s="0" t="n">
        <v>0</v>
      </c>
      <c r="O1937" s="0" t="n">
        <v>593.25</v>
      </c>
    </row>
    <row r="1938" customFormat="false" ht="15" hidden="false" customHeight="false" outlineLevel="0" collapsed="false">
      <c r="A1938" s="0" t="s">
        <v>322</v>
      </c>
      <c r="B1938" s="0" t="s">
        <v>561</v>
      </c>
      <c r="C1938" s="0" t="n">
        <v>2017</v>
      </c>
      <c r="D1938" s="0" t="n">
        <v>1940877</v>
      </c>
      <c r="E1938" s="0" t="n">
        <v>5.6</v>
      </c>
      <c r="F1938" s="0" t="n">
        <v>3.39</v>
      </c>
      <c r="G1938" s="0" t="n">
        <v>0.83</v>
      </c>
      <c r="H1938" s="0" t="n">
        <v>0.09</v>
      </c>
      <c r="I1938" s="0" t="n">
        <v>0</v>
      </c>
      <c r="J1938" s="0" t="n">
        <v>1.11</v>
      </c>
      <c r="K1938" s="0" t="n">
        <v>0.02</v>
      </c>
      <c r="L1938" s="0" t="n">
        <v>0.11</v>
      </c>
      <c r="M1938" s="0" t="n">
        <v>0.05</v>
      </c>
      <c r="N1938" s="0" t="n">
        <v>0</v>
      </c>
      <c r="O1938" s="0" t="n">
        <v>705.36</v>
      </c>
    </row>
    <row r="1939" customFormat="false" ht="15" hidden="false" customHeight="false" outlineLevel="0" collapsed="false">
      <c r="A1939" s="0" t="s">
        <v>322</v>
      </c>
      <c r="B1939" s="0" t="s">
        <v>561</v>
      </c>
      <c r="C1939" s="0" t="n">
        <v>2018</v>
      </c>
      <c r="D1939" s="0" t="n">
        <v>1919730</v>
      </c>
      <c r="E1939" s="0" t="n">
        <v>5.61</v>
      </c>
      <c r="F1939" s="0" t="n">
        <v>2.85</v>
      </c>
      <c r="G1939" s="0" t="n">
        <v>0.75</v>
      </c>
      <c r="H1939" s="0" t="n">
        <v>0.05</v>
      </c>
      <c r="I1939" s="0" t="n">
        <v>0</v>
      </c>
      <c r="J1939" s="0" t="n">
        <v>1.79</v>
      </c>
      <c r="K1939" s="0" t="n">
        <v>0.02</v>
      </c>
      <c r="L1939" s="0" t="n">
        <v>0.1</v>
      </c>
      <c r="M1939" s="0" t="n">
        <v>0.05</v>
      </c>
      <c r="N1939" s="0" t="n">
        <v>0</v>
      </c>
      <c r="O1939" s="0" t="n">
        <v>595.37</v>
      </c>
    </row>
    <row r="1940" customFormat="false" ht="15" hidden="false" customHeight="false" outlineLevel="0" collapsed="false">
      <c r="A1940" s="0" t="s">
        <v>322</v>
      </c>
      <c r="B1940" s="0" t="s">
        <v>561</v>
      </c>
      <c r="C1940" s="0" t="n">
        <v>2019</v>
      </c>
      <c r="D1940" s="0" t="n">
        <v>1897643</v>
      </c>
      <c r="E1940" s="0" t="n">
        <v>5.87</v>
      </c>
      <c r="F1940" s="0" t="n">
        <v>3.51</v>
      </c>
      <c r="G1940" s="0" t="n">
        <v>0.96</v>
      </c>
      <c r="H1940" s="0" t="n">
        <v>0.06</v>
      </c>
      <c r="I1940" s="0" t="n">
        <v>0</v>
      </c>
      <c r="J1940" s="0" t="n">
        <v>1.16</v>
      </c>
      <c r="K1940" s="0" t="n">
        <v>0.02</v>
      </c>
      <c r="L1940" s="0" t="n">
        <v>0.1</v>
      </c>
      <c r="M1940" s="0" t="n">
        <v>0.06</v>
      </c>
      <c r="N1940" s="0" t="n">
        <v>0</v>
      </c>
      <c r="O1940" s="0" t="n">
        <v>700.17</v>
      </c>
    </row>
    <row r="1941" customFormat="false" ht="15" hidden="false" customHeight="false" outlineLevel="0" collapsed="false">
      <c r="A1941" s="0" t="s">
        <v>322</v>
      </c>
      <c r="B1941" s="0" t="s">
        <v>561</v>
      </c>
      <c r="C1941" s="0" t="n">
        <v>2020</v>
      </c>
      <c r="D1941" s="0" t="n">
        <v>1872021</v>
      </c>
      <c r="E1941" s="0" t="n">
        <v>5.34</v>
      </c>
      <c r="F1941" s="0" t="n">
        <v>2.63</v>
      </c>
      <c r="G1941" s="0" t="n">
        <v>1.14</v>
      </c>
      <c r="H1941" s="0" t="n">
        <v>0.09</v>
      </c>
      <c r="I1941" s="0" t="n">
        <v>0</v>
      </c>
      <c r="J1941" s="0" t="n">
        <v>1.28</v>
      </c>
      <c r="K1941" s="0" t="n">
        <v>0.02</v>
      </c>
      <c r="L1941" s="0" t="n">
        <v>0.12</v>
      </c>
      <c r="M1941" s="0" t="n">
        <v>0.06</v>
      </c>
      <c r="N1941" s="0" t="n">
        <v>0</v>
      </c>
      <c r="O1941" s="0" t="n">
        <v>623.6</v>
      </c>
    </row>
    <row r="1942" customFormat="false" ht="15" hidden="false" customHeight="false" outlineLevel="0" collapsed="false">
      <c r="A1942" s="0" t="s">
        <v>322</v>
      </c>
      <c r="B1942" s="0" t="s">
        <v>561</v>
      </c>
      <c r="C1942" s="0" t="n">
        <v>2021</v>
      </c>
      <c r="D1942" s="0" t="n">
        <v>1851109</v>
      </c>
      <c r="E1942" s="0" t="n">
        <v>5.53</v>
      </c>
      <c r="F1942" s="0" t="n">
        <v>2.19</v>
      </c>
      <c r="G1942" s="0" t="n">
        <v>1.55</v>
      </c>
      <c r="H1942" s="0" t="n">
        <v>0.14</v>
      </c>
      <c r="I1942" s="0" t="n">
        <v>0</v>
      </c>
      <c r="J1942" s="0" t="n">
        <v>1.45</v>
      </c>
      <c r="K1942" s="0" t="n">
        <v>0.05</v>
      </c>
      <c r="L1942" s="0" t="n">
        <v>0.1</v>
      </c>
      <c r="M1942" s="0" t="n">
        <v>0.05</v>
      </c>
      <c r="N1942" s="0" t="n">
        <v>0</v>
      </c>
      <c r="O1942" s="0" t="n">
        <v>562.39</v>
      </c>
    </row>
    <row r="1943" customFormat="false" ht="15" hidden="false" customHeight="false" outlineLevel="0" collapsed="false">
      <c r="A1943" s="0" t="s">
        <v>322</v>
      </c>
      <c r="B1943" s="0" t="s">
        <v>561</v>
      </c>
      <c r="C1943" s="0" t="n">
        <v>2022</v>
      </c>
      <c r="D1943" s="0" t="n">
        <v>1840236</v>
      </c>
      <c r="E1943" s="0" t="n">
        <v>5.94</v>
      </c>
      <c r="F1943" s="0" t="n">
        <v>2.77</v>
      </c>
      <c r="G1943" s="0" t="n">
        <v>0.99</v>
      </c>
      <c r="H1943" s="0" t="n">
        <v>0.57</v>
      </c>
      <c r="I1943" s="0" t="n">
        <v>0</v>
      </c>
      <c r="J1943" s="0" t="n">
        <v>1.35</v>
      </c>
      <c r="K1943" s="0" t="n">
        <v>0.1</v>
      </c>
      <c r="L1943" s="0" t="n">
        <v>0.11</v>
      </c>
      <c r="M1943" s="0" t="n">
        <v>0.05</v>
      </c>
      <c r="N1943" s="0" t="n">
        <v>0</v>
      </c>
      <c r="O1943" s="0" t="n">
        <v>624.58</v>
      </c>
    </row>
    <row r="1944" customFormat="false" ht="15" hidden="false" customHeight="false" outlineLevel="0" collapsed="false">
      <c r="A1944" s="0" t="s">
        <v>322</v>
      </c>
      <c r="B1944" s="0" t="s">
        <v>561</v>
      </c>
      <c r="C1944" s="0" t="n">
        <v>2023</v>
      </c>
      <c r="D1944" s="0" t="n">
        <v>1831800</v>
      </c>
      <c r="E1944" s="0" t="n">
        <v>6.89</v>
      </c>
      <c r="F1944" s="0" t="n">
        <v>2.77</v>
      </c>
      <c r="G1944" s="0" t="n">
        <v>1.38</v>
      </c>
      <c r="H1944" s="0" t="n">
        <v>0.53</v>
      </c>
      <c r="I1944" s="0" t="n">
        <v>0</v>
      </c>
      <c r="J1944" s="0" t="n">
        <v>1.62</v>
      </c>
      <c r="K1944" s="0" t="n">
        <v>0.36</v>
      </c>
      <c r="L1944" s="0" t="n">
        <v>0.16</v>
      </c>
      <c r="M1944" s="0" t="n">
        <v>0.07</v>
      </c>
      <c r="N1944" s="0" t="n">
        <v>0</v>
      </c>
      <c r="O1944" s="0" t="n">
        <v>568.94</v>
      </c>
    </row>
    <row r="1945" customFormat="false" ht="15" hidden="false" customHeight="false" outlineLevel="0" collapsed="false">
      <c r="A1945" s="0" t="s">
        <v>322</v>
      </c>
      <c r="B1945" s="0" t="s">
        <v>561</v>
      </c>
      <c r="C1945" s="0" t="n">
        <v>2024</v>
      </c>
      <c r="D1945" s="0" t="n">
        <v>1823011</v>
      </c>
      <c r="E1945" s="0" t="n">
        <v>6.31</v>
      </c>
      <c r="F1945" s="0" t="n">
        <v>2.36</v>
      </c>
      <c r="G1945" s="0" t="n">
        <v>1.29</v>
      </c>
      <c r="H1945" s="0" t="n">
        <v>0.17</v>
      </c>
      <c r="I1945" s="0" t="n">
        <v>0</v>
      </c>
      <c r="J1945" s="0" t="n">
        <v>1.37</v>
      </c>
      <c r="K1945" s="0" t="n">
        <v>0.89</v>
      </c>
      <c r="L1945" s="0" t="n">
        <v>0.17</v>
      </c>
      <c r="M1945" s="0" t="n">
        <v>0.06</v>
      </c>
      <c r="N1945" s="0" t="n">
        <v>0</v>
      </c>
      <c r="O1945" s="0" t="n">
        <v>510.3</v>
      </c>
    </row>
    <row r="1946" customFormat="false" ht="15" hidden="false" customHeight="false" outlineLevel="0" collapsed="false">
      <c r="A1946" s="0" t="s">
        <v>322</v>
      </c>
      <c r="B1946" s="0" t="s">
        <v>561</v>
      </c>
      <c r="C1946" s="0" t="n">
        <v>2025</v>
      </c>
      <c r="D1946" s="0" t="n">
        <v>1813792</v>
      </c>
      <c r="E1946" s="0" t="n">
        <v>6.82</v>
      </c>
      <c r="F1946" s="0" t="n">
        <v>2.09</v>
      </c>
      <c r="G1946" s="0" t="n">
        <v>1.34</v>
      </c>
      <c r="H1946" s="0" t="n">
        <v>0.17</v>
      </c>
      <c r="I1946" s="0" t="n">
        <v>0</v>
      </c>
      <c r="J1946" s="0" t="n">
        <v>1.36</v>
      </c>
      <c r="K1946" s="0" t="n">
        <v>1.62</v>
      </c>
      <c r="L1946" s="0" t="n">
        <v>0.2</v>
      </c>
      <c r="M1946" s="0" t="n">
        <v>0.04</v>
      </c>
      <c r="N1946" s="0" t="n">
        <v>0</v>
      </c>
      <c r="O1946" s="0" t="n">
        <v>441.35</v>
      </c>
    </row>
    <row r="1947" customFormat="false" ht="15" hidden="false" customHeight="false" outlineLevel="0" collapsed="false">
      <c r="A1947" s="0" t="s">
        <v>704</v>
      </c>
      <c r="B1947" s="0" t="s">
        <v>705</v>
      </c>
      <c r="C1947" s="0" t="n">
        <v>2015</v>
      </c>
      <c r="D1947" s="0" t="n">
        <v>51538</v>
      </c>
    </row>
    <row r="1948" customFormat="false" ht="15" hidden="false" customHeight="false" outlineLevel="0" collapsed="false">
      <c r="A1948" s="0" t="s">
        <v>704</v>
      </c>
      <c r="B1948" s="0" t="s">
        <v>705</v>
      </c>
      <c r="C1948" s="0" t="n">
        <v>2016</v>
      </c>
      <c r="D1948" s="0" t="n">
        <v>50795</v>
      </c>
    </row>
    <row r="1949" customFormat="false" ht="15" hidden="false" customHeight="false" outlineLevel="0" collapsed="false">
      <c r="A1949" s="0" t="s">
        <v>704</v>
      </c>
      <c r="B1949" s="0" t="s">
        <v>705</v>
      </c>
      <c r="C1949" s="0" t="n">
        <v>2017</v>
      </c>
      <c r="D1949" s="0" t="n">
        <v>49981</v>
      </c>
    </row>
    <row r="1950" customFormat="false" ht="15" hidden="false" customHeight="false" outlineLevel="0" collapsed="false">
      <c r="A1950" s="0" t="s">
        <v>704</v>
      </c>
      <c r="B1950" s="0" t="s">
        <v>705</v>
      </c>
      <c r="C1950" s="0" t="n">
        <v>2018</v>
      </c>
      <c r="D1950" s="0" t="n">
        <v>49098</v>
      </c>
    </row>
    <row r="1951" customFormat="false" ht="15" hidden="false" customHeight="false" outlineLevel="0" collapsed="false">
      <c r="A1951" s="0" t="s">
        <v>704</v>
      </c>
      <c r="B1951" s="0" t="s">
        <v>705</v>
      </c>
      <c r="C1951" s="0" t="n">
        <v>2019</v>
      </c>
      <c r="D1951" s="0" t="n">
        <v>48154</v>
      </c>
    </row>
    <row r="1952" customFormat="false" ht="15" hidden="false" customHeight="false" outlineLevel="0" collapsed="false">
      <c r="A1952" s="0" t="s">
        <v>704</v>
      </c>
      <c r="B1952" s="0" t="s">
        <v>705</v>
      </c>
      <c r="C1952" s="0" t="n">
        <v>2020</v>
      </c>
      <c r="D1952" s="0" t="n">
        <v>47557</v>
      </c>
    </row>
    <row r="1953" customFormat="false" ht="15" hidden="false" customHeight="false" outlineLevel="0" collapsed="false">
      <c r="A1953" s="0" t="s">
        <v>704</v>
      </c>
      <c r="B1953" s="0" t="s">
        <v>705</v>
      </c>
      <c r="C1953" s="0" t="n">
        <v>2021</v>
      </c>
      <c r="D1953" s="0" t="n">
        <v>47003</v>
      </c>
    </row>
    <row r="1954" customFormat="false" ht="15" hidden="false" customHeight="false" outlineLevel="0" collapsed="false">
      <c r="A1954" s="0" t="s">
        <v>704</v>
      </c>
      <c r="B1954" s="0" t="s">
        <v>705</v>
      </c>
      <c r="C1954" s="0" t="n">
        <v>2022</v>
      </c>
      <c r="D1954" s="0" t="n">
        <v>46101</v>
      </c>
    </row>
    <row r="1955" customFormat="false" ht="15" hidden="false" customHeight="false" outlineLevel="0" collapsed="false">
      <c r="A1955" s="0" t="s">
        <v>704</v>
      </c>
      <c r="B1955" s="0" t="s">
        <v>705</v>
      </c>
      <c r="C1955" s="0" t="n">
        <v>2023</v>
      </c>
      <c r="D1955" s="0" t="n">
        <v>45166</v>
      </c>
    </row>
    <row r="1956" customFormat="false" ht="15" hidden="false" customHeight="false" outlineLevel="0" collapsed="false">
      <c r="A1956" s="0" t="s">
        <v>323</v>
      </c>
      <c r="B1956" s="0" t="s">
        <v>562</v>
      </c>
      <c r="C1956" s="0" t="n">
        <v>2015</v>
      </c>
      <c r="D1956" s="0" t="n">
        <v>5189777</v>
      </c>
      <c r="E1956" s="0" t="n">
        <v>143</v>
      </c>
      <c r="F1956" s="0" t="n">
        <v>0.04</v>
      </c>
      <c r="G1956" s="0" t="n">
        <v>2.2</v>
      </c>
      <c r="H1956" s="0" t="n">
        <v>0.69</v>
      </c>
      <c r="I1956" s="0" t="n">
        <v>0</v>
      </c>
      <c r="J1956" s="0" t="n">
        <v>137.3</v>
      </c>
      <c r="K1956" s="0" t="n">
        <v>0</v>
      </c>
      <c r="L1956" s="0" t="n">
        <v>2.52</v>
      </c>
      <c r="M1956" s="0" t="n">
        <v>0.25</v>
      </c>
      <c r="N1956" s="0" t="n">
        <v>0</v>
      </c>
      <c r="O1956" s="0" t="n">
        <v>33.64</v>
      </c>
    </row>
    <row r="1957" customFormat="false" ht="15" hidden="false" customHeight="false" outlineLevel="0" collapsed="false">
      <c r="A1957" s="0" t="s">
        <v>323</v>
      </c>
      <c r="B1957" s="0" t="s">
        <v>562</v>
      </c>
      <c r="C1957" s="0" t="n">
        <v>2016</v>
      </c>
      <c r="D1957" s="0" t="n">
        <v>5235974</v>
      </c>
      <c r="E1957" s="0" t="n">
        <v>148.03</v>
      </c>
      <c r="F1957" s="0" t="n">
        <v>0.04</v>
      </c>
      <c r="G1957" s="0" t="n">
        <v>2.21</v>
      </c>
      <c r="H1957" s="0" t="n">
        <v>0.63</v>
      </c>
      <c r="I1957" s="0" t="n">
        <v>0</v>
      </c>
      <c r="J1957" s="0" t="n">
        <v>142.81</v>
      </c>
      <c r="K1957" s="0" t="n">
        <v>0</v>
      </c>
      <c r="L1957" s="0" t="n">
        <v>2.11</v>
      </c>
      <c r="M1957" s="0" t="n">
        <v>0.23</v>
      </c>
      <c r="N1957" s="0" t="n">
        <v>0</v>
      </c>
      <c r="O1957" s="0" t="n">
        <v>33.1</v>
      </c>
    </row>
    <row r="1958" customFormat="false" ht="15" hidden="false" customHeight="false" outlineLevel="0" collapsed="false">
      <c r="A1958" s="0" t="s">
        <v>323</v>
      </c>
      <c r="B1958" s="0" t="s">
        <v>562</v>
      </c>
      <c r="C1958" s="0" t="n">
        <v>2017</v>
      </c>
      <c r="D1958" s="0" t="n">
        <v>5276807</v>
      </c>
      <c r="E1958" s="0" t="n">
        <v>148.27</v>
      </c>
      <c r="F1958" s="0" t="n">
        <v>0.04</v>
      </c>
      <c r="G1958" s="0" t="n">
        <v>2.06</v>
      </c>
      <c r="H1958" s="0" t="n">
        <v>0.69</v>
      </c>
      <c r="I1958" s="0" t="n">
        <v>0</v>
      </c>
      <c r="J1958" s="0" t="n">
        <v>142.37</v>
      </c>
      <c r="K1958" s="0" t="n">
        <v>0</v>
      </c>
      <c r="L1958" s="0" t="n">
        <v>2.85</v>
      </c>
      <c r="M1958" s="0" t="n">
        <v>0.26</v>
      </c>
      <c r="N1958" s="0" t="n">
        <v>0</v>
      </c>
      <c r="O1958" s="0" t="n">
        <v>32.98</v>
      </c>
    </row>
    <row r="1959" customFormat="false" ht="15" hidden="false" customHeight="false" outlineLevel="0" collapsed="false">
      <c r="A1959" s="0" t="s">
        <v>323</v>
      </c>
      <c r="B1959" s="0" t="s">
        <v>562</v>
      </c>
      <c r="C1959" s="0" t="n">
        <v>2018</v>
      </c>
      <c r="D1959" s="0" t="n">
        <v>5311751</v>
      </c>
      <c r="E1959" s="0" t="n">
        <v>145.94</v>
      </c>
      <c r="F1959" s="0" t="n">
        <v>0.04</v>
      </c>
      <c r="G1959" s="0" t="n">
        <v>2.18</v>
      </c>
      <c r="H1959" s="0" t="n">
        <v>0.67</v>
      </c>
      <c r="I1959" s="0" t="n">
        <v>0</v>
      </c>
      <c r="J1959" s="0" t="n">
        <v>138.98</v>
      </c>
      <c r="K1959" s="0" t="n">
        <v>0</v>
      </c>
      <c r="L1959" s="0" t="n">
        <v>3.87</v>
      </c>
      <c r="M1959" s="0" t="n">
        <v>0.2</v>
      </c>
      <c r="N1959" s="0" t="n">
        <v>0</v>
      </c>
      <c r="O1959" s="0" t="n">
        <v>33.1</v>
      </c>
    </row>
    <row r="1960" customFormat="false" ht="15" hidden="false" customHeight="false" outlineLevel="0" collapsed="false">
      <c r="A1960" s="0" t="s">
        <v>323</v>
      </c>
      <c r="B1960" s="0" t="s">
        <v>562</v>
      </c>
      <c r="C1960" s="0" t="n">
        <v>2019</v>
      </c>
      <c r="D1960" s="0" t="n">
        <v>5347733</v>
      </c>
      <c r="E1960" s="0" t="n">
        <v>133.83</v>
      </c>
      <c r="F1960" s="0" t="n">
        <v>0.04</v>
      </c>
      <c r="G1960" s="0" t="n">
        <v>2.06</v>
      </c>
      <c r="H1960" s="0" t="n">
        <v>0.66</v>
      </c>
      <c r="I1960" s="0" t="n">
        <v>0</v>
      </c>
      <c r="J1960" s="0" t="n">
        <v>125.29</v>
      </c>
      <c r="K1960" s="0" t="n">
        <v>0.01</v>
      </c>
      <c r="L1960" s="0" t="n">
        <v>5.52</v>
      </c>
      <c r="M1960" s="0" t="n">
        <v>0.25</v>
      </c>
      <c r="N1960" s="0" t="n">
        <v>0</v>
      </c>
      <c r="O1960" s="0" t="n">
        <v>33.48</v>
      </c>
    </row>
    <row r="1961" customFormat="false" ht="15" hidden="false" customHeight="false" outlineLevel="0" collapsed="false">
      <c r="A1961" s="0" t="s">
        <v>323</v>
      </c>
      <c r="B1961" s="0" t="s">
        <v>562</v>
      </c>
      <c r="C1961" s="0" t="n">
        <v>2020</v>
      </c>
      <c r="D1961" s="0" t="n">
        <v>5379275</v>
      </c>
      <c r="E1961" s="0" t="n">
        <v>154.32</v>
      </c>
      <c r="F1961" s="0" t="n">
        <v>0.04</v>
      </c>
      <c r="G1961" s="0" t="n">
        <v>1.61</v>
      </c>
      <c r="H1961" s="0" t="n">
        <v>0.64</v>
      </c>
      <c r="I1961" s="0" t="n">
        <v>0</v>
      </c>
      <c r="J1961" s="0" t="n">
        <v>141.8</v>
      </c>
      <c r="K1961" s="0" t="n">
        <v>0.08</v>
      </c>
      <c r="L1961" s="0" t="n">
        <v>9.91</v>
      </c>
      <c r="M1961" s="0" t="n">
        <v>0.24</v>
      </c>
      <c r="N1961" s="0" t="n">
        <v>0</v>
      </c>
      <c r="O1961" s="0" t="n">
        <v>30.39</v>
      </c>
    </row>
    <row r="1962" customFormat="false" ht="15" hidden="false" customHeight="false" outlineLevel="0" collapsed="false">
      <c r="A1962" s="0" t="s">
        <v>323</v>
      </c>
      <c r="B1962" s="0" t="s">
        <v>562</v>
      </c>
      <c r="C1962" s="0" t="n">
        <v>2021</v>
      </c>
      <c r="D1962" s="0" t="n">
        <v>5408082</v>
      </c>
      <c r="E1962" s="0" t="n">
        <v>157.13</v>
      </c>
      <c r="F1962" s="0" t="n">
        <v>0.04</v>
      </c>
      <c r="G1962" s="0" t="n">
        <v>0.31</v>
      </c>
      <c r="H1962" s="0" t="n">
        <v>0.72</v>
      </c>
      <c r="I1962" s="0" t="n">
        <v>0</v>
      </c>
      <c r="J1962" s="0" t="n">
        <v>143.97</v>
      </c>
      <c r="K1962" s="0" t="n">
        <v>0.11</v>
      </c>
      <c r="L1962" s="0" t="n">
        <v>11.76</v>
      </c>
      <c r="M1962" s="0" t="n">
        <v>0.22</v>
      </c>
      <c r="N1962" s="0" t="n">
        <v>0</v>
      </c>
      <c r="O1962" s="0" t="n">
        <v>26.92</v>
      </c>
    </row>
    <row r="1963" customFormat="false" ht="15" hidden="false" customHeight="false" outlineLevel="0" collapsed="false">
      <c r="A1963" s="0" t="s">
        <v>323</v>
      </c>
      <c r="B1963" s="0" t="s">
        <v>562</v>
      </c>
      <c r="C1963" s="0" t="n">
        <v>2022</v>
      </c>
      <c r="D1963" s="0" t="n">
        <v>5456796</v>
      </c>
      <c r="E1963" s="0" t="n">
        <v>145.42</v>
      </c>
      <c r="F1963" s="0" t="n">
        <v>0.04</v>
      </c>
      <c r="G1963" s="0" t="n">
        <v>1.15</v>
      </c>
      <c r="H1963" s="0" t="n">
        <v>0.78</v>
      </c>
      <c r="I1963" s="0" t="n">
        <v>0</v>
      </c>
      <c r="J1963" s="0" t="n">
        <v>128.24</v>
      </c>
      <c r="K1963" s="0" t="n">
        <v>0.17</v>
      </c>
      <c r="L1963" s="0" t="n">
        <v>14.8</v>
      </c>
      <c r="M1963" s="0" t="n">
        <v>0.24</v>
      </c>
      <c r="N1963" s="0" t="n">
        <v>0</v>
      </c>
      <c r="O1963" s="0" t="n">
        <v>29.64</v>
      </c>
    </row>
    <row r="1964" customFormat="false" ht="15" hidden="false" customHeight="false" outlineLevel="0" collapsed="false">
      <c r="A1964" s="0" t="s">
        <v>323</v>
      </c>
      <c r="B1964" s="0" t="s">
        <v>562</v>
      </c>
      <c r="C1964" s="0" t="n">
        <v>2023</v>
      </c>
      <c r="D1964" s="0" t="n">
        <v>5519167</v>
      </c>
      <c r="E1964" s="0" t="n">
        <v>153.63</v>
      </c>
      <c r="F1964" s="0" t="n">
        <v>0.03</v>
      </c>
      <c r="G1964" s="0" t="n">
        <v>1.53</v>
      </c>
      <c r="H1964" s="0" t="n">
        <v>0.79</v>
      </c>
      <c r="I1964" s="0" t="n">
        <v>0</v>
      </c>
      <c r="J1964" s="0" t="n">
        <v>136.71</v>
      </c>
      <c r="K1964" s="0" t="n">
        <v>0.36</v>
      </c>
      <c r="L1964" s="0" t="n">
        <v>13.96</v>
      </c>
      <c r="M1964" s="0" t="n">
        <v>0.25</v>
      </c>
      <c r="N1964" s="0" t="n">
        <v>0</v>
      </c>
      <c r="O1964" s="0" t="n">
        <v>30.46</v>
      </c>
    </row>
    <row r="1965" customFormat="false" ht="15" hidden="false" customHeight="false" outlineLevel="0" collapsed="false">
      <c r="A1965" s="0" t="s">
        <v>323</v>
      </c>
      <c r="B1965" s="0" t="s">
        <v>562</v>
      </c>
      <c r="C1965" s="0" t="n">
        <v>2024</v>
      </c>
      <c r="D1965" s="0" t="n">
        <v>5576656</v>
      </c>
      <c r="E1965" s="0" t="n">
        <v>157.11</v>
      </c>
      <c r="F1965" s="0" t="n">
        <v>0</v>
      </c>
      <c r="G1965" s="0" t="n">
        <v>1.47</v>
      </c>
      <c r="H1965" s="0" t="n">
        <v>0.72</v>
      </c>
      <c r="I1965" s="0" t="n">
        <v>0</v>
      </c>
      <c r="J1965" s="0" t="n">
        <v>139.55</v>
      </c>
      <c r="K1965" s="0" t="n">
        <v>0.53</v>
      </c>
      <c r="L1965" s="0" t="n">
        <v>14.6</v>
      </c>
      <c r="M1965" s="0" t="n">
        <v>0.24</v>
      </c>
      <c r="N1965" s="0" t="n">
        <v>0</v>
      </c>
      <c r="O1965" s="0" t="n">
        <v>29.66</v>
      </c>
    </row>
    <row r="1966" customFormat="false" ht="15" hidden="false" customHeight="false" outlineLevel="0" collapsed="false">
      <c r="A1966" s="0" t="s">
        <v>323</v>
      </c>
      <c r="B1966" s="0" t="s">
        <v>562</v>
      </c>
      <c r="C1966" s="0" t="n">
        <v>2025</v>
      </c>
      <c r="D1966" s="0" t="n">
        <v>5623074</v>
      </c>
      <c r="E1966" s="0" t="n">
        <v>160.81</v>
      </c>
      <c r="F1966" s="0" t="n">
        <v>0</v>
      </c>
      <c r="G1966" s="0" t="n">
        <v>0.9</v>
      </c>
      <c r="H1966" s="0" t="n">
        <v>0.71</v>
      </c>
      <c r="I1966" s="0" t="n">
        <v>0</v>
      </c>
      <c r="J1966" s="0" t="n">
        <v>144.77</v>
      </c>
      <c r="K1966" s="0" t="n">
        <v>0.53</v>
      </c>
      <c r="L1966" s="0" t="n">
        <v>13.56</v>
      </c>
      <c r="M1966" s="0" t="n">
        <v>0.24</v>
      </c>
      <c r="N1966" s="0" t="n">
        <v>0.1</v>
      </c>
      <c r="O1966" s="0" t="n">
        <v>28.11</v>
      </c>
    </row>
    <row r="1967" customFormat="false" ht="15" hidden="false" customHeight="false" outlineLevel="0" collapsed="false">
      <c r="A1967" s="0" t="s">
        <v>706</v>
      </c>
      <c r="C1967" s="0" t="n">
        <v>2015</v>
      </c>
      <c r="E1967" s="0" t="n">
        <v>11020.157</v>
      </c>
      <c r="F1967" s="0" t="n">
        <v>3213.817</v>
      </c>
      <c r="G1967" s="0" t="n">
        <v>2926.13</v>
      </c>
      <c r="H1967" s="0" t="n">
        <v>252.847</v>
      </c>
      <c r="I1967" s="0" t="n">
        <v>1974.465</v>
      </c>
      <c r="J1967" s="0" t="n">
        <v>1431.57</v>
      </c>
      <c r="K1967" s="0" t="n">
        <v>195.044</v>
      </c>
      <c r="L1967" s="0" t="n">
        <v>560.983</v>
      </c>
    </row>
    <row r="1968" customFormat="false" ht="15" hidden="false" customHeight="false" outlineLevel="0" collapsed="false">
      <c r="A1968" s="0" t="s">
        <v>706</v>
      </c>
      <c r="C1968" s="0" t="n">
        <v>2016</v>
      </c>
      <c r="E1968" s="0" t="n">
        <v>11129.112</v>
      </c>
      <c r="F1968" s="0" t="n">
        <v>2995.903</v>
      </c>
      <c r="G1968" s="0" t="n">
        <v>3114.35</v>
      </c>
      <c r="H1968" s="0" t="n">
        <v>240.998</v>
      </c>
      <c r="I1968" s="0" t="n">
        <v>1972.972</v>
      </c>
      <c r="J1968" s="0" t="n">
        <v>1459.122</v>
      </c>
      <c r="K1968" s="0" t="n">
        <v>228.416</v>
      </c>
      <c r="L1968" s="0" t="n">
        <v>609.619</v>
      </c>
    </row>
    <row r="1969" customFormat="false" ht="15" hidden="false" customHeight="false" outlineLevel="0" collapsed="false">
      <c r="A1969" s="0" t="s">
        <v>706</v>
      </c>
      <c r="C1969" s="0" t="n">
        <v>2017</v>
      </c>
      <c r="E1969" s="0" t="n">
        <v>11182.871</v>
      </c>
      <c r="F1969" s="0" t="n">
        <v>2968.534</v>
      </c>
      <c r="G1969" s="0" t="n">
        <v>3109.447</v>
      </c>
      <c r="H1969" s="0" t="n">
        <v>191.288</v>
      </c>
      <c r="I1969" s="0" t="n">
        <v>1959.556</v>
      </c>
      <c r="J1969" s="0" t="n">
        <v>1455.574</v>
      </c>
      <c r="K1969" s="0" t="n">
        <v>278.005</v>
      </c>
      <c r="L1969" s="0" t="n">
        <v>700.72</v>
      </c>
    </row>
    <row r="1970" customFormat="false" ht="15" hidden="false" customHeight="false" outlineLevel="0" collapsed="false">
      <c r="A1970" s="0" t="s">
        <v>706</v>
      </c>
      <c r="C1970" s="0" t="n">
        <v>2018</v>
      </c>
      <c r="E1970" s="0" t="n">
        <v>11377.036</v>
      </c>
      <c r="F1970" s="0" t="n">
        <v>2858.994</v>
      </c>
      <c r="G1970" s="0" t="n">
        <v>3275.084</v>
      </c>
      <c r="H1970" s="0" t="n">
        <v>182.575</v>
      </c>
      <c r="I1970" s="0" t="n">
        <v>1969.678</v>
      </c>
      <c r="J1970" s="0" t="n">
        <v>1488.873</v>
      </c>
      <c r="K1970" s="0" t="n">
        <v>324.031</v>
      </c>
      <c r="L1970" s="0" t="n">
        <v>747.883</v>
      </c>
    </row>
    <row r="1971" customFormat="false" ht="15" hidden="false" customHeight="false" outlineLevel="0" collapsed="false">
      <c r="A1971" s="0" t="s">
        <v>706</v>
      </c>
      <c r="C1971" s="0" t="n">
        <v>2019</v>
      </c>
      <c r="E1971" s="0" t="n">
        <v>11236.276</v>
      </c>
      <c r="F1971" s="0" t="n">
        <v>2477.004</v>
      </c>
      <c r="G1971" s="0" t="n">
        <v>3414</v>
      </c>
      <c r="H1971" s="0" t="n">
        <v>157.109</v>
      </c>
      <c r="I1971" s="0" t="n">
        <v>1994.134</v>
      </c>
      <c r="J1971" s="0" t="n">
        <v>1454.877</v>
      </c>
      <c r="K1971" s="0" t="n">
        <v>375.578</v>
      </c>
      <c r="L1971" s="0" t="n">
        <v>833.912</v>
      </c>
    </row>
    <row r="1972" customFormat="false" ht="15" hidden="false" customHeight="false" outlineLevel="0" collapsed="false">
      <c r="A1972" s="0" t="s">
        <v>706</v>
      </c>
      <c r="C1972" s="0" t="n">
        <v>2020</v>
      </c>
      <c r="E1972" s="0" t="n">
        <v>10940.453</v>
      </c>
      <c r="F1972" s="0" t="n">
        <v>2079.154</v>
      </c>
      <c r="G1972" s="0" t="n">
        <v>3442.326</v>
      </c>
      <c r="H1972" s="0" t="n">
        <v>127.406</v>
      </c>
      <c r="I1972" s="0" t="n">
        <v>1871.975</v>
      </c>
      <c r="J1972" s="0" t="n">
        <v>1495.31</v>
      </c>
      <c r="K1972" s="0" t="n">
        <v>449.908</v>
      </c>
      <c r="L1972" s="0" t="n">
        <v>939.226</v>
      </c>
    </row>
    <row r="1973" customFormat="false" ht="15" hidden="false" customHeight="false" outlineLevel="0" collapsed="false">
      <c r="A1973" s="0" t="s">
        <v>706</v>
      </c>
      <c r="C1973" s="0" t="n">
        <v>2021</v>
      </c>
      <c r="E1973" s="0" t="n">
        <v>11254.383</v>
      </c>
      <c r="F1973" s="0" t="n">
        <v>2262.866</v>
      </c>
      <c r="G1973" s="0" t="n">
        <v>3414.14</v>
      </c>
      <c r="H1973" s="0" t="n">
        <v>148.067</v>
      </c>
      <c r="I1973" s="0" t="n">
        <v>1912.388</v>
      </c>
      <c r="J1973" s="0" t="n">
        <v>1450.476</v>
      </c>
      <c r="K1973" s="0" t="n">
        <v>535.685</v>
      </c>
      <c r="L1973" s="0" t="n">
        <v>977.406</v>
      </c>
    </row>
    <row r="1974" customFormat="false" ht="15" hidden="false" customHeight="false" outlineLevel="0" collapsed="false">
      <c r="A1974" s="0" t="s">
        <v>706</v>
      </c>
      <c r="C1974" s="0" t="n">
        <v>2022</v>
      </c>
      <c r="E1974" s="0" t="n">
        <v>11359.457</v>
      </c>
      <c r="F1974" s="0" t="n">
        <v>2201.782</v>
      </c>
      <c r="G1974" s="0" t="n">
        <v>3491.72</v>
      </c>
      <c r="H1974" s="0" t="n">
        <v>173.53</v>
      </c>
      <c r="I1974" s="0" t="n">
        <v>1789.674</v>
      </c>
      <c r="J1974" s="0" t="n">
        <v>1396.097</v>
      </c>
      <c r="K1974" s="0" t="n">
        <v>653.554</v>
      </c>
      <c r="L1974" s="0" t="n">
        <v>1096.837</v>
      </c>
    </row>
    <row r="1975" customFormat="false" ht="15" hidden="false" customHeight="false" outlineLevel="0" collapsed="false">
      <c r="A1975" s="0" t="s">
        <v>706</v>
      </c>
      <c r="C1975" s="0" t="n">
        <v>2023</v>
      </c>
      <c r="E1975" s="0" t="n">
        <v>11195.021</v>
      </c>
      <c r="F1975" s="0" t="n">
        <v>1875.108</v>
      </c>
      <c r="G1975" s="0" t="n">
        <v>3504.345</v>
      </c>
      <c r="H1975" s="0" t="n">
        <v>147.832</v>
      </c>
      <c r="I1975" s="0" t="n">
        <v>1830.601</v>
      </c>
      <c r="J1975" s="0" t="n">
        <v>1391.147</v>
      </c>
      <c r="K1975" s="0" t="n">
        <v>761.526</v>
      </c>
      <c r="L1975" s="0" t="n">
        <v>1145.214</v>
      </c>
    </row>
    <row r="1976" customFormat="false" ht="15" hidden="false" customHeight="false" outlineLevel="0" collapsed="false">
      <c r="A1976" s="0" t="s">
        <v>706</v>
      </c>
      <c r="C1976" s="0" t="n">
        <v>2024</v>
      </c>
      <c r="E1976" s="0" t="n">
        <v>11449.73</v>
      </c>
      <c r="F1976" s="0" t="n">
        <v>1807.626</v>
      </c>
      <c r="G1976" s="0" t="n">
        <v>3532.238</v>
      </c>
      <c r="H1976" s="0" t="n">
        <v>141.17</v>
      </c>
      <c r="I1976" s="0" t="n">
        <v>1881.01</v>
      </c>
      <c r="J1976" s="0" t="n">
        <v>1439.057</v>
      </c>
      <c r="K1976" s="0" t="n">
        <v>898.096</v>
      </c>
      <c r="L1976" s="0" t="n">
        <v>1202.859</v>
      </c>
    </row>
    <row r="1977" customFormat="false" ht="15" hidden="false" customHeight="false" outlineLevel="0" collapsed="false">
      <c r="A1977" s="0" t="s">
        <v>707</v>
      </c>
      <c r="C1977" s="0" t="n">
        <v>2015</v>
      </c>
    </row>
    <row r="1978" customFormat="false" ht="15" hidden="false" customHeight="false" outlineLevel="0" collapsed="false">
      <c r="A1978" s="0" t="s">
        <v>707</v>
      </c>
      <c r="C1978" s="0" t="n">
        <v>2016</v>
      </c>
    </row>
    <row r="1979" customFormat="false" ht="15" hidden="false" customHeight="false" outlineLevel="0" collapsed="false">
      <c r="A1979" s="0" t="s">
        <v>707</v>
      </c>
      <c r="C1979" s="0" t="n">
        <v>2017</v>
      </c>
    </row>
    <row r="1980" customFormat="false" ht="15" hidden="false" customHeight="false" outlineLevel="0" collapsed="false">
      <c r="A1980" s="0" t="s">
        <v>707</v>
      </c>
      <c r="C1980" s="0" t="n">
        <v>2018</v>
      </c>
    </row>
    <row r="1981" customFormat="false" ht="15" hidden="false" customHeight="false" outlineLevel="0" collapsed="false">
      <c r="A1981" s="0" t="s">
        <v>707</v>
      </c>
      <c r="C1981" s="0" t="n">
        <v>2019</v>
      </c>
    </row>
    <row r="1982" customFormat="false" ht="15" hidden="false" customHeight="false" outlineLevel="0" collapsed="false">
      <c r="A1982" s="0" t="s">
        <v>707</v>
      </c>
      <c r="C1982" s="0" t="n">
        <v>2020</v>
      </c>
    </row>
    <row r="1983" customFormat="false" ht="15" hidden="false" customHeight="false" outlineLevel="0" collapsed="false">
      <c r="A1983" s="0" t="s">
        <v>707</v>
      </c>
      <c r="C1983" s="0" t="n">
        <v>2021</v>
      </c>
    </row>
    <row r="1984" customFormat="false" ht="15" hidden="false" customHeight="false" outlineLevel="0" collapsed="false">
      <c r="A1984" s="0" t="s">
        <v>707</v>
      </c>
      <c r="C1984" s="0" t="n">
        <v>2022</v>
      </c>
    </row>
    <row r="1985" customFormat="false" ht="15" hidden="false" customHeight="false" outlineLevel="0" collapsed="false">
      <c r="A1985" s="0" t="s">
        <v>707</v>
      </c>
      <c r="C1985" s="0" t="n">
        <v>2023</v>
      </c>
    </row>
    <row r="1986" customFormat="false" ht="15" hidden="false" customHeight="false" outlineLevel="0" collapsed="false">
      <c r="A1986" s="0" t="s">
        <v>708</v>
      </c>
      <c r="C1986" s="0" t="n">
        <v>2015</v>
      </c>
      <c r="E1986" s="0" t="n">
        <v>10725.97</v>
      </c>
      <c r="F1986" s="0" t="n">
        <v>3075.26</v>
      </c>
      <c r="G1986" s="0" t="n">
        <v>2829.91</v>
      </c>
      <c r="H1986" s="0" t="n">
        <v>348.52</v>
      </c>
      <c r="I1986" s="0" t="n">
        <v>1932.24</v>
      </c>
      <c r="J1986" s="0" t="n">
        <v>1432.59</v>
      </c>
      <c r="K1986" s="0" t="n">
        <v>194.93</v>
      </c>
      <c r="L1986" s="0" t="n">
        <v>558.75</v>
      </c>
      <c r="M1986" s="0" t="n">
        <v>309.24</v>
      </c>
      <c r="N1986" s="0" t="n">
        <v>44.53</v>
      </c>
      <c r="O1986" s="0" t="n">
        <v>440.64</v>
      </c>
    </row>
    <row r="1987" customFormat="false" ht="15" hidden="false" customHeight="false" outlineLevel="0" collapsed="false">
      <c r="A1987" s="0" t="s">
        <v>708</v>
      </c>
      <c r="C1987" s="0" t="n">
        <v>2016</v>
      </c>
      <c r="E1987" s="0" t="n">
        <v>10839.15</v>
      </c>
      <c r="F1987" s="0" t="n">
        <v>2877.81</v>
      </c>
      <c r="G1987" s="0" t="n">
        <v>3035.22</v>
      </c>
      <c r="H1987" s="0" t="n">
        <v>344.14</v>
      </c>
      <c r="I1987" s="0" t="n">
        <v>1930.41</v>
      </c>
      <c r="J1987" s="0" t="n">
        <v>1461.34</v>
      </c>
      <c r="K1987" s="0" t="n">
        <v>228.36</v>
      </c>
      <c r="L1987" s="0" t="n">
        <v>606.95</v>
      </c>
      <c r="M1987" s="0" t="n">
        <v>308.59</v>
      </c>
      <c r="N1987" s="0" t="n">
        <v>46.33</v>
      </c>
      <c r="O1987" s="0" t="n">
        <v>428.14</v>
      </c>
    </row>
    <row r="1988" customFormat="false" ht="15" hidden="false" customHeight="false" outlineLevel="0" collapsed="false">
      <c r="A1988" s="0" t="s">
        <v>708</v>
      </c>
      <c r="C1988" s="0" t="n">
        <v>2017</v>
      </c>
      <c r="E1988" s="0" t="n">
        <v>10901.95</v>
      </c>
      <c r="F1988" s="0" t="n">
        <v>2857.84</v>
      </c>
      <c r="G1988" s="0" t="n">
        <v>3040.79</v>
      </c>
      <c r="H1988" s="0" t="n">
        <v>293.63</v>
      </c>
      <c r="I1988" s="0" t="n">
        <v>1916.99</v>
      </c>
      <c r="J1988" s="0" t="n">
        <v>1456.07</v>
      </c>
      <c r="K1988" s="0" t="n">
        <v>276.9</v>
      </c>
      <c r="L1988" s="0" t="n">
        <v>697.74</v>
      </c>
      <c r="M1988" s="0" t="n">
        <v>314.49</v>
      </c>
      <c r="N1988" s="0" t="n">
        <v>47.5</v>
      </c>
      <c r="O1988" s="0" t="n">
        <v>420.63</v>
      </c>
    </row>
    <row r="1989" customFormat="false" ht="15" hidden="false" customHeight="false" outlineLevel="0" collapsed="false">
      <c r="A1989" s="0" t="s">
        <v>708</v>
      </c>
      <c r="C1989" s="0" t="n">
        <v>2018</v>
      </c>
      <c r="E1989" s="0" t="n">
        <v>11077.99</v>
      </c>
      <c r="F1989" s="0" t="n">
        <v>2750.87</v>
      </c>
      <c r="G1989" s="0" t="n">
        <v>3189.18</v>
      </c>
      <c r="H1989" s="0" t="n">
        <v>284.52</v>
      </c>
      <c r="I1989" s="0" t="n">
        <v>1928.28</v>
      </c>
      <c r="J1989" s="0" t="n">
        <v>1487.95</v>
      </c>
      <c r="K1989" s="0" t="n">
        <v>323.63</v>
      </c>
      <c r="L1989" s="0" t="n">
        <v>744.64</v>
      </c>
      <c r="M1989" s="0" t="n">
        <v>320.3</v>
      </c>
      <c r="N1989" s="0" t="n">
        <v>48.62</v>
      </c>
      <c r="O1989" s="0" t="n">
        <v>412.37</v>
      </c>
    </row>
    <row r="1990" customFormat="false" ht="15" hidden="false" customHeight="false" outlineLevel="0" collapsed="false">
      <c r="A1990" s="0" t="s">
        <v>708</v>
      </c>
      <c r="C1990" s="0" t="n">
        <v>2019</v>
      </c>
      <c r="E1990" s="0" t="n">
        <v>10952.67</v>
      </c>
      <c r="F1990" s="0" t="n">
        <v>2391.34</v>
      </c>
      <c r="G1990" s="0" t="n">
        <v>3319.48</v>
      </c>
      <c r="H1990" s="0" t="n">
        <v>251.49</v>
      </c>
      <c r="I1990" s="0" t="n">
        <v>1952.74</v>
      </c>
      <c r="J1990" s="0" t="n">
        <v>1453.97</v>
      </c>
      <c r="K1990" s="0" t="n">
        <v>375.22</v>
      </c>
      <c r="L1990" s="0" t="n">
        <v>832.91</v>
      </c>
      <c r="M1990" s="0" t="n">
        <v>325.78</v>
      </c>
      <c r="N1990" s="0" t="n">
        <v>49.74</v>
      </c>
      <c r="O1990" s="0" t="n">
        <v>390.34</v>
      </c>
    </row>
    <row r="1991" customFormat="false" ht="15" hidden="false" customHeight="false" outlineLevel="0" collapsed="false">
      <c r="A1991" s="0" t="s">
        <v>708</v>
      </c>
      <c r="C1991" s="0" t="n">
        <v>2020</v>
      </c>
      <c r="E1991" s="0" t="n">
        <v>10658.75</v>
      </c>
      <c r="F1991" s="0" t="n">
        <v>2015.01</v>
      </c>
      <c r="G1991" s="0" t="n">
        <v>3344.13</v>
      </c>
      <c r="H1991" s="0" t="n">
        <v>207.62</v>
      </c>
      <c r="I1991" s="0" t="n">
        <v>1831.42</v>
      </c>
      <c r="J1991" s="0" t="n">
        <v>1493.22</v>
      </c>
      <c r="K1991" s="0" t="n">
        <v>449.09</v>
      </c>
      <c r="L1991" s="0" t="n">
        <v>935.14</v>
      </c>
      <c r="M1991" s="0" t="n">
        <v>331.67</v>
      </c>
      <c r="N1991" s="0" t="n">
        <v>51.45</v>
      </c>
      <c r="O1991" s="0" t="n">
        <v>367.34</v>
      </c>
    </row>
    <row r="1992" customFormat="false" ht="15" hidden="false" customHeight="false" outlineLevel="0" collapsed="false">
      <c r="A1992" s="0" t="s">
        <v>708</v>
      </c>
      <c r="C1992" s="0" t="n">
        <v>2021</v>
      </c>
      <c r="E1992" s="0" t="n">
        <v>10969.5</v>
      </c>
      <c r="F1992" s="0" t="n">
        <v>2189.91</v>
      </c>
      <c r="G1992" s="0" t="n">
        <v>3318.53</v>
      </c>
      <c r="H1992" s="0" t="n">
        <v>231.15</v>
      </c>
      <c r="I1992" s="0" t="n">
        <v>1872.18</v>
      </c>
      <c r="J1992" s="0" t="n">
        <v>1449.53</v>
      </c>
      <c r="K1992" s="0" t="n">
        <v>533.87</v>
      </c>
      <c r="L1992" s="0" t="n">
        <v>972.62</v>
      </c>
      <c r="M1992" s="0" t="n">
        <v>349.62</v>
      </c>
      <c r="N1992" s="0" t="n">
        <v>52.09</v>
      </c>
      <c r="O1992" s="0" t="n">
        <v>372.88</v>
      </c>
    </row>
    <row r="1993" customFormat="false" ht="15" hidden="false" customHeight="false" outlineLevel="0" collapsed="false">
      <c r="A1993" s="0" t="s">
        <v>708</v>
      </c>
      <c r="C1993" s="0" t="n">
        <v>2022</v>
      </c>
      <c r="E1993" s="0" t="n">
        <v>11056.62</v>
      </c>
      <c r="F1993" s="0" t="n">
        <v>2136.06</v>
      </c>
      <c r="G1993" s="0" t="n">
        <v>3386.84</v>
      </c>
      <c r="H1993" s="0" t="n">
        <v>258.95</v>
      </c>
      <c r="I1993" s="0" t="n">
        <v>1750.1</v>
      </c>
      <c r="J1993" s="0" t="n">
        <v>1389.21</v>
      </c>
      <c r="K1993" s="0" t="n">
        <v>651.41</v>
      </c>
      <c r="L1993" s="0" t="n">
        <v>1091.48</v>
      </c>
      <c r="M1993" s="0" t="n">
        <v>340.56</v>
      </c>
      <c r="N1993" s="0" t="n">
        <v>52.01</v>
      </c>
      <c r="O1993" s="0" t="n">
        <v>371.15</v>
      </c>
    </row>
    <row r="1994" customFormat="false" ht="15" hidden="false" customHeight="false" outlineLevel="0" collapsed="false">
      <c r="A1994" s="0" t="s">
        <v>708</v>
      </c>
      <c r="C1994" s="0" t="n">
        <v>2023</v>
      </c>
      <c r="E1994" s="0" t="n">
        <v>10896.06</v>
      </c>
      <c r="F1994" s="0" t="n">
        <v>1822.9</v>
      </c>
      <c r="G1994" s="0" t="n">
        <v>3390.26</v>
      </c>
      <c r="H1994" s="0" t="n">
        <v>226.53</v>
      </c>
      <c r="I1994" s="0" t="n">
        <v>1790.87</v>
      </c>
      <c r="J1994" s="0" t="n">
        <v>1384.44</v>
      </c>
      <c r="K1994" s="0" t="n">
        <v>757.58</v>
      </c>
      <c r="L1994" s="0" t="n">
        <v>1139.01</v>
      </c>
      <c r="M1994" s="0" t="n">
        <v>332.75</v>
      </c>
      <c r="N1994" s="0" t="n">
        <v>51.72</v>
      </c>
      <c r="O1994" s="0" t="n">
        <v>348.97</v>
      </c>
    </row>
    <row r="1995" customFormat="false" ht="15" hidden="false" customHeight="false" outlineLevel="0" collapsed="false">
      <c r="A1995" s="0" t="s">
        <v>708</v>
      </c>
      <c r="C1995" s="0" t="n">
        <v>2024</v>
      </c>
      <c r="E1995" s="0" t="n">
        <v>11158.41</v>
      </c>
      <c r="F1995" s="0" t="n">
        <v>1749.93</v>
      </c>
      <c r="G1995" s="0" t="n">
        <v>3435.3</v>
      </c>
      <c r="H1995" s="0" t="n">
        <v>213.25</v>
      </c>
      <c r="I1995" s="0" t="n">
        <v>1840.77</v>
      </c>
      <c r="J1995" s="0" t="n">
        <v>1430.97</v>
      </c>
      <c r="K1995" s="0" t="n">
        <v>895.68</v>
      </c>
      <c r="L1995" s="0" t="n">
        <v>1197.73</v>
      </c>
      <c r="M1995" s="0" t="n">
        <v>342.79</v>
      </c>
      <c r="N1995" s="0" t="n">
        <v>51.99</v>
      </c>
      <c r="O1995" s="0" t="n">
        <v>337.42</v>
      </c>
    </row>
    <row r="1996" customFormat="false" ht="15" hidden="false" customHeight="false" outlineLevel="0" collapsed="false">
      <c r="A1996" s="0" t="s">
        <v>708</v>
      </c>
      <c r="C1996" s="0" t="n">
        <v>2025</v>
      </c>
      <c r="E1996" s="0" t="n">
        <v>11365.01</v>
      </c>
      <c r="F1996" s="0" t="n">
        <v>1808.77</v>
      </c>
      <c r="G1996" s="0" t="n">
        <v>3418.72</v>
      </c>
      <c r="H1996" s="0" t="n">
        <v>212.03</v>
      </c>
      <c r="I1996" s="0" t="n">
        <v>1842.18</v>
      </c>
      <c r="J1996" s="0" t="n">
        <v>1381.98</v>
      </c>
      <c r="K1996" s="0" t="n">
        <v>1078.4</v>
      </c>
      <c r="L1996" s="0" t="n">
        <v>1218.05</v>
      </c>
      <c r="M1996" s="0" t="n">
        <v>351.79</v>
      </c>
      <c r="N1996" s="0" t="n">
        <v>53.09</v>
      </c>
      <c r="O1996" s="0" t="n">
        <v>335.93</v>
      </c>
    </row>
    <row r="1997" customFormat="false" ht="15" hidden="false" customHeight="false" outlineLevel="0" collapsed="false">
      <c r="A1997" s="0" t="s">
        <v>709</v>
      </c>
      <c r="C1997" s="0" t="n">
        <v>2015</v>
      </c>
    </row>
    <row r="1998" customFormat="false" ht="15" hidden="false" customHeight="false" outlineLevel="0" collapsed="false">
      <c r="A1998" s="0" t="s">
        <v>709</v>
      </c>
      <c r="C1998" s="0" t="n">
        <v>2016</v>
      </c>
    </row>
    <row r="1999" customFormat="false" ht="15" hidden="false" customHeight="false" outlineLevel="0" collapsed="false">
      <c r="A1999" s="0" t="s">
        <v>710</v>
      </c>
      <c r="C1999" s="0" t="n">
        <v>2015</v>
      </c>
    </row>
    <row r="2000" customFormat="false" ht="15" hidden="false" customHeight="false" outlineLevel="0" collapsed="false">
      <c r="A2000" s="0" t="s">
        <v>710</v>
      </c>
      <c r="C2000" s="0" t="n">
        <v>2016</v>
      </c>
    </row>
    <row r="2001" customFormat="false" ht="15" hidden="false" customHeight="false" outlineLevel="0" collapsed="false">
      <c r="A2001" s="0" t="s">
        <v>710</v>
      </c>
      <c r="C2001" s="0" t="n">
        <v>2017</v>
      </c>
    </row>
    <row r="2002" customFormat="false" ht="15" hidden="false" customHeight="false" outlineLevel="0" collapsed="false">
      <c r="A2002" s="0" t="s">
        <v>710</v>
      </c>
      <c r="C2002" s="0" t="n">
        <v>2018</v>
      </c>
    </row>
    <row r="2003" customFormat="false" ht="15" hidden="false" customHeight="false" outlineLevel="0" collapsed="false">
      <c r="A2003" s="0" t="s">
        <v>710</v>
      </c>
      <c r="C2003" s="0" t="n">
        <v>2019</v>
      </c>
    </row>
    <row r="2004" customFormat="false" ht="15" hidden="false" customHeight="false" outlineLevel="0" collapsed="false">
      <c r="A2004" s="0" t="s">
        <v>710</v>
      </c>
      <c r="C2004" s="0" t="n">
        <v>2020</v>
      </c>
    </row>
    <row r="2005" customFormat="false" ht="15" hidden="false" customHeight="false" outlineLevel="0" collapsed="false">
      <c r="A2005" s="0" t="s">
        <v>710</v>
      </c>
      <c r="C2005" s="0" t="n">
        <v>2021</v>
      </c>
    </row>
    <row r="2006" customFormat="false" ht="15" hidden="false" customHeight="false" outlineLevel="0" collapsed="false">
      <c r="A2006" s="0" t="s">
        <v>710</v>
      </c>
      <c r="C2006" s="0" t="n">
        <v>2022</v>
      </c>
    </row>
    <row r="2007" customFormat="false" ht="15" hidden="false" customHeight="false" outlineLevel="0" collapsed="false">
      <c r="A2007" s="0" t="s">
        <v>710</v>
      </c>
      <c r="C2007" s="0" t="n">
        <v>2023</v>
      </c>
    </row>
    <row r="2008" customFormat="false" ht="15" hidden="false" customHeight="false" outlineLevel="0" collapsed="false">
      <c r="A2008" s="0" t="s">
        <v>710</v>
      </c>
      <c r="C2008" s="0" t="n">
        <v>2024</v>
      </c>
    </row>
    <row r="2009" customFormat="false" ht="15" hidden="false" customHeight="false" outlineLevel="0" collapsed="false">
      <c r="A2009" s="0" t="s">
        <v>711</v>
      </c>
      <c r="C2009" s="0" t="n">
        <v>2015</v>
      </c>
    </row>
    <row r="2010" customFormat="false" ht="15" hidden="false" customHeight="false" outlineLevel="0" collapsed="false">
      <c r="A2010" s="0" t="s">
        <v>711</v>
      </c>
      <c r="C2010" s="0" t="n">
        <v>2016</v>
      </c>
    </row>
    <row r="2011" customFormat="false" ht="15" hidden="false" customHeight="false" outlineLevel="0" collapsed="false">
      <c r="A2011" s="0" t="s">
        <v>711</v>
      </c>
      <c r="C2011" s="0" t="n">
        <v>2017</v>
      </c>
    </row>
    <row r="2012" customFormat="false" ht="15" hidden="false" customHeight="false" outlineLevel="0" collapsed="false">
      <c r="A2012" s="0" t="s">
        <v>711</v>
      </c>
      <c r="C2012" s="0" t="n">
        <v>2018</v>
      </c>
    </row>
    <row r="2013" customFormat="false" ht="15" hidden="false" customHeight="false" outlineLevel="0" collapsed="false">
      <c r="A2013" s="0" t="s">
        <v>711</v>
      </c>
      <c r="C2013" s="0" t="n">
        <v>2019</v>
      </c>
    </row>
    <row r="2014" customFormat="false" ht="15" hidden="false" customHeight="false" outlineLevel="0" collapsed="false">
      <c r="A2014" s="0" t="s">
        <v>711</v>
      </c>
      <c r="C2014" s="0" t="n">
        <v>2020</v>
      </c>
    </row>
    <row r="2015" customFormat="false" ht="15" hidden="false" customHeight="false" outlineLevel="0" collapsed="false">
      <c r="A2015" s="0" t="s">
        <v>711</v>
      </c>
      <c r="C2015" s="0" t="n">
        <v>2021</v>
      </c>
    </row>
    <row r="2016" customFormat="false" ht="15" hidden="false" customHeight="false" outlineLevel="0" collapsed="false">
      <c r="A2016" s="0" t="s">
        <v>711</v>
      </c>
      <c r="C2016" s="0" t="n">
        <v>2022</v>
      </c>
    </row>
    <row r="2017" customFormat="false" ht="15" hidden="false" customHeight="false" outlineLevel="0" collapsed="false">
      <c r="A2017" s="0" t="s">
        <v>711</v>
      </c>
      <c r="C2017" s="0" t="n">
        <v>2023</v>
      </c>
    </row>
    <row r="2018" customFormat="false" ht="15" hidden="false" customHeight="false" outlineLevel="0" collapsed="false">
      <c r="A2018" s="0" t="s">
        <v>712</v>
      </c>
      <c r="C2018" s="0" t="n">
        <v>2015</v>
      </c>
    </row>
    <row r="2019" customFormat="false" ht="15" hidden="false" customHeight="false" outlineLevel="0" collapsed="false">
      <c r="A2019" s="0" t="s">
        <v>712</v>
      </c>
      <c r="C2019" s="0" t="n">
        <v>2016</v>
      </c>
    </row>
    <row r="2020" customFormat="false" ht="15" hidden="false" customHeight="false" outlineLevel="0" collapsed="false">
      <c r="A2020" s="0" t="s">
        <v>713</v>
      </c>
      <c r="C2020" s="0" t="n">
        <v>2015</v>
      </c>
      <c r="D2020" s="0" t="n">
        <v>40615015</v>
      </c>
      <c r="E2020" s="0" t="n">
        <v>308.89</v>
      </c>
      <c r="F2020" s="0" t="n">
        <v>164.25</v>
      </c>
      <c r="G2020" s="0" t="n">
        <v>57.19</v>
      </c>
      <c r="H2020" s="0" t="n">
        <v>14.2</v>
      </c>
      <c r="I2020" s="0" t="n">
        <v>0</v>
      </c>
      <c r="J2020" s="0" t="n">
        <v>40.31</v>
      </c>
      <c r="K2020" s="0" t="n">
        <v>6.32</v>
      </c>
      <c r="L2020" s="0" t="n">
        <v>14.25</v>
      </c>
      <c r="M2020" s="0" t="n">
        <v>4.56</v>
      </c>
      <c r="N2020" s="0" t="n">
        <v>7.81</v>
      </c>
      <c r="O2020" s="0" t="n">
        <v>639.742</v>
      </c>
    </row>
    <row r="2021" customFormat="false" ht="15" hidden="false" customHeight="false" outlineLevel="0" collapsed="false">
      <c r="A2021" s="0" t="s">
        <v>713</v>
      </c>
      <c r="C2021" s="0" t="n">
        <v>2016</v>
      </c>
      <c r="D2021" s="0" t="n">
        <v>41347231</v>
      </c>
      <c r="E2021" s="0" t="n">
        <v>313.3</v>
      </c>
      <c r="F2021" s="0" t="n">
        <v>163.93</v>
      </c>
      <c r="G2021" s="0" t="n">
        <v>54.65</v>
      </c>
      <c r="H2021" s="0" t="n">
        <v>14.02</v>
      </c>
      <c r="I2021" s="0" t="n">
        <v>0</v>
      </c>
      <c r="J2021" s="0" t="n">
        <v>45.22</v>
      </c>
      <c r="K2021" s="0" t="n">
        <v>7.64</v>
      </c>
      <c r="L2021" s="0" t="n">
        <v>15.42</v>
      </c>
      <c r="M2021" s="0" t="n">
        <v>4.48</v>
      </c>
      <c r="N2021" s="0" t="n">
        <v>7.94</v>
      </c>
      <c r="O2021" s="0" t="n">
        <v>624.577</v>
      </c>
    </row>
    <row r="2022" customFormat="false" ht="15" hidden="false" customHeight="false" outlineLevel="0" collapsed="false">
      <c r="A2022" s="0" t="s">
        <v>713</v>
      </c>
      <c r="C2022" s="0" t="n">
        <v>2017</v>
      </c>
      <c r="D2022" s="0" t="n">
        <v>42093989</v>
      </c>
      <c r="E2022" s="0" t="n">
        <v>314.34</v>
      </c>
      <c r="F2022" s="0" t="n">
        <v>161.09</v>
      </c>
      <c r="G2022" s="0" t="n">
        <v>62.94</v>
      </c>
      <c r="H2022" s="0" t="n">
        <v>13.15</v>
      </c>
      <c r="I2022" s="0" t="n">
        <v>0</v>
      </c>
      <c r="J2022" s="0" t="n">
        <v>40.28</v>
      </c>
      <c r="K2022" s="0" t="n">
        <v>9.18</v>
      </c>
      <c r="L2022" s="0" t="n">
        <v>15.33</v>
      </c>
      <c r="M2022" s="0" t="n">
        <v>4.39</v>
      </c>
      <c r="N2022" s="0" t="n">
        <v>7.98</v>
      </c>
      <c r="O2022" s="0" t="n">
        <v>630.4</v>
      </c>
    </row>
    <row r="2023" customFormat="false" ht="15" hidden="false" customHeight="false" outlineLevel="0" collapsed="false">
      <c r="A2023" s="0" t="s">
        <v>713</v>
      </c>
      <c r="C2023" s="0" t="n">
        <v>2018</v>
      </c>
      <c r="D2023" s="0" t="n">
        <v>42815501</v>
      </c>
      <c r="E2023" s="0" t="n">
        <v>318.41</v>
      </c>
      <c r="F2023" s="0" t="n">
        <v>158.97</v>
      </c>
      <c r="G2023" s="0" t="n">
        <v>58</v>
      </c>
      <c r="H2023" s="0" t="n">
        <v>13.03</v>
      </c>
      <c r="I2023" s="0" t="n">
        <v>0</v>
      </c>
      <c r="J2023" s="0" t="n">
        <v>45.28</v>
      </c>
      <c r="K2023" s="0" t="n">
        <v>12.66</v>
      </c>
      <c r="L2023" s="0" t="n">
        <v>18.36</v>
      </c>
      <c r="M2023" s="0" t="n">
        <v>4.46</v>
      </c>
      <c r="N2023" s="0" t="n">
        <v>7.65</v>
      </c>
      <c r="O2023" s="0" t="n">
        <v>605.917</v>
      </c>
    </row>
    <row r="2024" customFormat="false" ht="15" hidden="false" customHeight="false" outlineLevel="0" collapsed="false">
      <c r="A2024" s="0" t="s">
        <v>713</v>
      </c>
      <c r="C2024" s="0" t="n">
        <v>2019</v>
      </c>
      <c r="D2024" s="0" t="n">
        <v>43504534</v>
      </c>
      <c r="E2024" s="0" t="n">
        <v>321.55</v>
      </c>
      <c r="F2024" s="0" t="n">
        <v>152.94</v>
      </c>
      <c r="G2024" s="0" t="n">
        <v>61.74</v>
      </c>
      <c r="H2024" s="0" t="n">
        <v>12.89</v>
      </c>
      <c r="I2024" s="0" t="n">
        <v>0</v>
      </c>
      <c r="J2024" s="0" t="n">
        <v>41.41</v>
      </c>
      <c r="K2024" s="0" t="n">
        <v>18.74</v>
      </c>
      <c r="L2024" s="0" t="n">
        <v>21.77</v>
      </c>
      <c r="M2024" s="0" t="n">
        <v>4.37</v>
      </c>
      <c r="N2024" s="0" t="n">
        <v>7.69</v>
      </c>
      <c r="O2024" s="0" t="n">
        <v>592.536</v>
      </c>
    </row>
    <row r="2025" customFormat="false" ht="15" hidden="false" customHeight="false" outlineLevel="0" collapsed="false">
      <c r="A2025" s="0" t="s">
        <v>713</v>
      </c>
      <c r="C2025" s="0" t="n">
        <v>2020</v>
      </c>
      <c r="D2025" s="0" t="n">
        <v>44079305</v>
      </c>
      <c r="E2025" s="0" t="n">
        <v>320.02</v>
      </c>
      <c r="F2025" s="0" t="n">
        <v>146.16</v>
      </c>
      <c r="G2025" s="0" t="n">
        <v>59.81</v>
      </c>
      <c r="H2025" s="0" t="n">
        <v>11.97</v>
      </c>
      <c r="I2025" s="0" t="n">
        <v>0</v>
      </c>
      <c r="J2025" s="0" t="n">
        <v>40.55</v>
      </c>
      <c r="K2025" s="0" t="n">
        <v>24.34</v>
      </c>
      <c r="L2025" s="0" t="n">
        <v>24.95</v>
      </c>
      <c r="M2025" s="0" t="n">
        <v>4.31</v>
      </c>
      <c r="N2025" s="0" t="n">
        <v>7.93</v>
      </c>
      <c r="O2025" s="0" t="n">
        <v>570.808</v>
      </c>
    </row>
    <row r="2026" customFormat="false" ht="15" hidden="false" customHeight="false" outlineLevel="0" collapsed="false">
      <c r="A2026" s="0" t="s">
        <v>713</v>
      </c>
      <c r="C2026" s="0" t="n">
        <v>2021</v>
      </c>
      <c r="D2026" s="0" t="n">
        <v>44558542</v>
      </c>
      <c r="E2026" s="0" t="n">
        <v>322.61</v>
      </c>
      <c r="F2026" s="0" t="n">
        <v>141.14</v>
      </c>
      <c r="G2026" s="0" t="n">
        <v>53.14</v>
      </c>
      <c r="H2026" s="0" t="n">
        <v>12.63</v>
      </c>
      <c r="I2026" s="0" t="n">
        <v>0</v>
      </c>
      <c r="J2026" s="0" t="n">
        <v>42.12</v>
      </c>
      <c r="K2026" s="0" t="n">
        <v>31.79</v>
      </c>
      <c r="L2026" s="0" t="n">
        <v>29.46</v>
      </c>
      <c r="M2026" s="0" t="n">
        <v>4.26</v>
      </c>
      <c r="N2026" s="0" t="n">
        <v>8.07</v>
      </c>
      <c r="O2026" s="0" t="n">
        <v>540.808</v>
      </c>
    </row>
    <row r="2027" customFormat="false" ht="15" hidden="false" customHeight="false" outlineLevel="0" collapsed="false">
      <c r="A2027" s="0" t="s">
        <v>713</v>
      </c>
      <c r="C2027" s="0" t="n">
        <v>2022</v>
      </c>
      <c r="D2027" s="0" t="n">
        <v>45049680</v>
      </c>
      <c r="E2027" s="0" t="n">
        <v>328.16</v>
      </c>
      <c r="F2027" s="0" t="n">
        <v>131.07</v>
      </c>
      <c r="G2027" s="0" t="n">
        <v>56.04</v>
      </c>
      <c r="H2027" s="0" t="n">
        <v>13.05</v>
      </c>
      <c r="I2027" s="0" t="n">
        <v>0</v>
      </c>
      <c r="J2027" s="0" t="n">
        <v>44.75</v>
      </c>
      <c r="K2027" s="0" t="n">
        <v>38.35</v>
      </c>
      <c r="L2027" s="0" t="n">
        <v>32.98</v>
      </c>
      <c r="M2027" s="0" t="n">
        <v>4</v>
      </c>
      <c r="N2027" s="0" t="n">
        <v>7.92</v>
      </c>
      <c r="O2027" s="0" t="n">
        <v>513.317</v>
      </c>
    </row>
    <row r="2028" customFormat="false" ht="15" hidden="false" customHeight="false" outlineLevel="0" collapsed="false">
      <c r="A2028" s="0" t="s">
        <v>713</v>
      </c>
      <c r="C2028" s="0" t="n">
        <v>2023</v>
      </c>
      <c r="D2028" s="0" t="n">
        <v>45563135</v>
      </c>
      <c r="E2028" s="0" t="n">
        <v>328.18</v>
      </c>
      <c r="F2028" s="0" t="n">
        <v>127.28</v>
      </c>
      <c r="G2028" s="0" t="n">
        <v>50.94</v>
      </c>
      <c r="H2028" s="0" t="n">
        <v>13.28</v>
      </c>
      <c r="I2028" s="0" t="n">
        <v>0</v>
      </c>
      <c r="J2028" s="0" t="n">
        <v>43.62</v>
      </c>
      <c r="K2028" s="0" t="n">
        <v>45.88</v>
      </c>
      <c r="L2028" s="0" t="n">
        <v>35.42</v>
      </c>
      <c r="M2028" s="0" t="n">
        <v>3.93</v>
      </c>
      <c r="N2028" s="0" t="n">
        <v>7.83</v>
      </c>
      <c r="O2028" s="0" t="n">
        <v>493.845</v>
      </c>
    </row>
    <row r="2029" customFormat="false" ht="15" hidden="false" customHeight="false" outlineLevel="0" collapsed="false">
      <c r="A2029" s="0" t="s">
        <v>713</v>
      </c>
      <c r="C2029" s="0" t="n">
        <v>2024</v>
      </c>
      <c r="D2029" s="0" t="n">
        <v>46089066</v>
      </c>
      <c r="E2029" s="0" t="n">
        <v>337.88</v>
      </c>
      <c r="F2029" s="0" t="n">
        <v>129.67</v>
      </c>
      <c r="G2029" s="0" t="n">
        <v>54.32</v>
      </c>
      <c r="H2029" s="0" t="n">
        <v>14.02</v>
      </c>
      <c r="I2029" s="0" t="n">
        <v>0</v>
      </c>
      <c r="J2029" s="0" t="n">
        <v>38.66</v>
      </c>
      <c r="K2029" s="0" t="n">
        <v>51.18</v>
      </c>
      <c r="L2029" s="0" t="n">
        <v>37.09</v>
      </c>
      <c r="M2029" s="0" t="n">
        <v>3.91</v>
      </c>
      <c r="N2029" s="0" t="n">
        <v>9.03</v>
      </c>
      <c r="O2029" s="0" t="n">
        <v>494.821</v>
      </c>
    </row>
    <row r="2030" customFormat="false" ht="15" hidden="false" customHeight="false" outlineLevel="0" collapsed="false">
      <c r="A2030" s="0" t="s">
        <v>714</v>
      </c>
      <c r="C2030" s="0" t="n">
        <v>2015</v>
      </c>
      <c r="E2030" s="0" t="n">
        <v>308.89</v>
      </c>
      <c r="F2030" s="0" t="n">
        <v>164.25</v>
      </c>
      <c r="G2030" s="0" t="n">
        <v>57.19</v>
      </c>
      <c r="H2030" s="0" t="n">
        <v>14.2</v>
      </c>
      <c r="I2030" s="0" t="n">
        <v>0</v>
      </c>
      <c r="J2030" s="0" t="n">
        <v>40.31</v>
      </c>
      <c r="K2030" s="0" t="n">
        <v>6.32</v>
      </c>
      <c r="L2030" s="0" t="n">
        <v>14.25</v>
      </c>
      <c r="M2030" s="0" t="n">
        <v>4.56</v>
      </c>
      <c r="N2030" s="0" t="n">
        <v>7.81</v>
      </c>
      <c r="O2030" s="0" t="n">
        <v>639.77</v>
      </c>
    </row>
    <row r="2031" customFormat="false" ht="15" hidden="false" customHeight="false" outlineLevel="0" collapsed="false">
      <c r="A2031" s="0" t="s">
        <v>714</v>
      </c>
      <c r="C2031" s="0" t="n">
        <v>2016</v>
      </c>
      <c r="E2031" s="0" t="n">
        <v>313.3</v>
      </c>
      <c r="F2031" s="0" t="n">
        <v>163.93</v>
      </c>
      <c r="G2031" s="0" t="n">
        <v>54.65</v>
      </c>
      <c r="H2031" s="0" t="n">
        <v>14.02</v>
      </c>
      <c r="I2031" s="0" t="n">
        <v>0</v>
      </c>
      <c r="J2031" s="0" t="n">
        <v>45.22</v>
      </c>
      <c r="K2031" s="0" t="n">
        <v>7.64</v>
      </c>
      <c r="L2031" s="0" t="n">
        <v>15.42</v>
      </c>
      <c r="M2031" s="0" t="n">
        <v>4.48</v>
      </c>
      <c r="N2031" s="0" t="n">
        <v>7.94</v>
      </c>
      <c r="O2031" s="0" t="n">
        <v>624.67</v>
      </c>
    </row>
    <row r="2032" customFormat="false" ht="15" hidden="false" customHeight="false" outlineLevel="0" collapsed="false">
      <c r="A2032" s="0" t="s">
        <v>714</v>
      </c>
      <c r="C2032" s="0" t="n">
        <v>2017</v>
      </c>
      <c r="E2032" s="0" t="n">
        <v>314.34</v>
      </c>
      <c r="F2032" s="0" t="n">
        <v>161.09</v>
      </c>
      <c r="G2032" s="0" t="n">
        <v>62.94</v>
      </c>
      <c r="H2032" s="0" t="n">
        <v>13.15</v>
      </c>
      <c r="I2032" s="0" t="n">
        <v>0</v>
      </c>
      <c r="J2032" s="0" t="n">
        <v>40.28</v>
      </c>
      <c r="K2032" s="0" t="n">
        <v>9.18</v>
      </c>
      <c r="L2032" s="0" t="n">
        <v>15.33</v>
      </c>
      <c r="M2032" s="0" t="n">
        <v>4.39</v>
      </c>
      <c r="N2032" s="0" t="n">
        <v>7.98</v>
      </c>
      <c r="O2032" s="0" t="n">
        <v>630.4</v>
      </c>
    </row>
    <row r="2033" customFormat="false" ht="15" hidden="false" customHeight="false" outlineLevel="0" collapsed="false">
      <c r="A2033" s="0" t="s">
        <v>714</v>
      </c>
      <c r="C2033" s="0" t="n">
        <v>2018</v>
      </c>
      <c r="E2033" s="0" t="n">
        <v>318.41</v>
      </c>
      <c r="F2033" s="0" t="n">
        <v>158.97</v>
      </c>
      <c r="G2033" s="0" t="n">
        <v>58</v>
      </c>
      <c r="H2033" s="0" t="n">
        <v>13.03</v>
      </c>
      <c r="I2033" s="0" t="n">
        <v>0</v>
      </c>
      <c r="J2033" s="0" t="n">
        <v>45.28</v>
      </c>
      <c r="K2033" s="0" t="n">
        <v>12.66</v>
      </c>
      <c r="L2033" s="0" t="n">
        <v>18.36</v>
      </c>
      <c r="M2033" s="0" t="n">
        <v>4.46</v>
      </c>
      <c r="N2033" s="0" t="n">
        <v>7.65</v>
      </c>
      <c r="O2033" s="0" t="n">
        <v>605.89</v>
      </c>
    </row>
    <row r="2034" customFormat="false" ht="15" hidden="false" customHeight="false" outlineLevel="0" collapsed="false">
      <c r="A2034" s="0" t="s">
        <v>714</v>
      </c>
      <c r="C2034" s="0" t="n">
        <v>2019</v>
      </c>
      <c r="E2034" s="0" t="n">
        <v>321.55</v>
      </c>
      <c r="F2034" s="0" t="n">
        <v>152.94</v>
      </c>
      <c r="G2034" s="0" t="n">
        <v>61.74</v>
      </c>
      <c r="H2034" s="0" t="n">
        <v>12.89</v>
      </c>
      <c r="I2034" s="0" t="n">
        <v>0</v>
      </c>
      <c r="J2034" s="0" t="n">
        <v>41.41</v>
      </c>
      <c r="K2034" s="0" t="n">
        <v>18.74</v>
      </c>
      <c r="L2034" s="0" t="n">
        <v>21.77</v>
      </c>
      <c r="M2034" s="0" t="n">
        <v>4.37</v>
      </c>
      <c r="N2034" s="0" t="n">
        <v>7.69</v>
      </c>
      <c r="O2034" s="0" t="n">
        <v>592.51</v>
      </c>
    </row>
    <row r="2035" customFormat="false" ht="15" hidden="false" customHeight="false" outlineLevel="0" collapsed="false">
      <c r="A2035" s="0" t="s">
        <v>714</v>
      </c>
      <c r="C2035" s="0" t="n">
        <v>2020</v>
      </c>
      <c r="E2035" s="0" t="n">
        <v>320.02</v>
      </c>
      <c r="F2035" s="0" t="n">
        <v>146.16</v>
      </c>
      <c r="G2035" s="0" t="n">
        <v>59.81</v>
      </c>
      <c r="H2035" s="0" t="n">
        <v>11.97</v>
      </c>
      <c r="I2035" s="0" t="n">
        <v>0</v>
      </c>
      <c r="J2035" s="0" t="n">
        <v>40.55</v>
      </c>
      <c r="K2035" s="0" t="n">
        <v>24.34</v>
      </c>
      <c r="L2035" s="0" t="n">
        <v>24.95</v>
      </c>
      <c r="M2035" s="0" t="n">
        <v>4.31</v>
      </c>
      <c r="N2035" s="0" t="n">
        <v>7.93</v>
      </c>
      <c r="O2035" s="0" t="n">
        <v>570.93</v>
      </c>
    </row>
    <row r="2036" customFormat="false" ht="15" hidden="false" customHeight="false" outlineLevel="0" collapsed="false">
      <c r="A2036" s="0" t="s">
        <v>714</v>
      </c>
      <c r="C2036" s="0" t="n">
        <v>2021</v>
      </c>
      <c r="E2036" s="0" t="n">
        <v>322.61</v>
      </c>
      <c r="F2036" s="0" t="n">
        <v>141.14</v>
      </c>
      <c r="G2036" s="0" t="n">
        <v>53.14</v>
      </c>
      <c r="H2036" s="0" t="n">
        <v>12.63</v>
      </c>
      <c r="I2036" s="0" t="n">
        <v>0</v>
      </c>
      <c r="J2036" s="0" t="n">
        <v>42.12</v>
      </c>
      <c r="K2036" s="0" t="n">
        <v>31.79</v>
      </c>
      <c r="L2036" s="0" t="n">
        <v>29.46</v>
      </c>
      <c r="M2036" s="0" t="n">
        <v>4.26</v>
      </c>
      <c r="N2036" s="0" t="n">
        <v>8.07</v>
      </c>
      <c r="O2036" s="0" t="n">
        <v>540.9</v>
      </c>
    </row>
    <row r="2037" customFormat="false" ht="15" hidden="false" customHeight="false" outlineLevel="0" collapsed="false">
      <c r="A2037" s="0" t="s">
        <v>714</v>
      </c>
      <c r="C2037" s="0" t="n">
        <v>2022</v>
      </c>
      <c r="E2037" s="0" t="n">
        <v>328.16</v>
      </c>
      <c r="F2037" s="0" t="n">
        <v>131.07</v>
      </c>
      <c r="G2037" s="0" t="n">
        <v>56.04</v>
      </c>
      <c r="H2037" s="0" t="n">
        <v>13.05</v>
      </c>
      <c r="I2037" s="0" t="n">
        <v>0</v>
      </c>
      <c r="J2037" s="0" t="n">
        <v>44.75</v>
      </c>
      <c r="K2037" s="0" t="n">
        <v>38.35</v>
      </c>
      <c r="L2037" s="0" t="n">
        <v>32.98</v>
      </c>
      <c r="M2037" s="0" t="n">
        <v>4</v>
      </c>
      <c r="N2037" s="0" t="n">
        <v>7.92</v>
      </c>
      <c r="O2037" s="0" t="n">
        <v>513.38</v>
      </c>
    </row>
    <row r="2038" customFormat="false" ht="15" hidden="false" customHeight="false" outlineLevel="0" collapsed="false">
      <c r="A2038" s="0" t="s">
        <v>714</v>
      </c>
      <c r="C2038" s="0" t="n">
        <v>2023</v>
      </c>
      <c r="E2038" s="0" t="n">
        <v>328.18</v>
      </c>
      <c r="F2038" s="0" t="n">
        <v>127.28</v>
      </c>
      <c r="G2038" s="0" t="n">
        <v>50.94</v>
      </c>
      <c r="H2038" s="0" t="n">
        <v>13.28</v>
      </c>
      <c r="I2038" s="0" t="n">
        <v>0</v>
      </c>
      <c r="J2038" s="0" t="n">
        <v>43.62</v>
      </c>
      <c r="K2038" s="0" t="n">
        <v>45.88</v>
      </c>
      <c r="L2038" s="0" t="n">
        <v>35.42</v>
      </c>
      <c r="M2038" s="0" t="n">
        <v>3.93</v>
      </c>
      <c r="N2038" s="0" t="n">
        <v>7.83</v>
      </c>
      <c r="O2038" s="0" t="n">
        <v>493.97</v>
      </c>
    </row>
    <row r="2039" customFormat="false" ht="15" hidden="false" customHeight="false" outlineLevel="0" collapsed="false">
      <c r="A2039" s="0" t="s">
        <v>714</v>
      </c>
      <c r="C2039" s="0" t="n">
        <v>2024</v>
      </c>
      <c r="E2039" s="0" t="n">
        <v>337.96</v>
      </c>
      <c r="F2039" s="0" t="n">
        <v>129.67</v>
      </c>
      <c r="G2039" s="0" t="n">
        <v>54.32</v>
      </c>
      <c r="H2039" s="0" t="n">
        <v>14.07</v>
      </c>
      <c r="I2039" s="0" t="n">
        <v>0</v>
      </c>
      <c r="J2039" s="0" t="n">
        <v>38.67</v>
      </c>
      <c r="K2039" s="0" t="n">
        <v>51.19</v>
      </c>
      <c r="L2039" s="0" t="n">
        <v>37.1</v>
      </c>
      <c r="M2039" s="0" t="n">
        <v>3.91</v>
      </c>
      <c r="N2039" s="0" t="n">
        <v>9.03</v>
      </c>
      <c r="O2039" s="0" t="n">
        <v>494.85</v>
      </c>
    </row>
    <row r="2040" customFormat="false" ht="15" hidden="false" customHeight="false" outlineLevel="0" collapsed="false">
      <c r="A2040" s="0" t="s">
        <v>714</v>
      </c>
      <c r="C2040" s="0" t="n">
        <v>2025</v>
      </c>
      <c r="E2040" s="0" t="n">
        <v>342.16</v>
      </c>
      <c r="F2040" s="0" t="n">
        <v>123.95</v>
      </c>
      <c r="G2040" s="0" t="n">
        <v>51.82</v>
      </c>
      <c r="H2040" s="0" t="n">
        <v>14.05</v>
      </c>
      <c r="I2040" s="0" t="n">
        <v>0</v>
      </c>
      <c r="J2040" s="0" t="n">
        <v>38.36</v>
      </c>
      <c r="K2040" s="0" t="n">
        <v>57.16</v>
      </c>
      <c r="L2040" s="0" t="n">
        <v>43.54</v>
      </c>
      <c r="M2040" s="0" t="n">
        <v>3.75</v>
      </c>
      <c r="N2040" s="0" t="n">
        <v>9.53</v>
      </c>
      <c r="O2040" s="0" t="n">
        <v>469.87</v>
      </c>
    </row>
    <row r="2041" customFormat="false" ht="15" hidden="false" customHeight="false" outlineLevel="0" collapsed="false">
      <c r="A2041" s="0" t="s">
        <v>324</v>
      </c>
      <c r="B2041" s="0" t="s">
        <v>563</v>
      </c>
      <c r="C2041" s="0" t="n">
        <v>2015</v>
      </c>
      <c r="D2041" s="0" t="n">
        <v>4184898</v>
      </c>
      <c r="E2041" s="0" t="n">
        <v>32.75</v>
      </c>
      <c r="F2041" s="0" t="n">
        <v>0</v>
      </c>
      <c r="G2041" s="0" t="n">
        <v>31.89</v>
      </c>
      <c r="H2041" s="0" t="n">
        <v>0.86</v>
      </c>
      <c r="I2041" s="0" t="n">
        <v>0</v>
      </c>
      <c r="J2041" s="0" t="n">
        <v>0</v>
      </c>
      <c r="K2041" s="0" t="n">
        <v>0</v>
      </c>
      <c r="L2041" s="0" t="n">
        <v>0</v>
      </c>
      <c r="M2041" s="0" t="n">
        <v>0</v>
      </c>
      <c r="N2041" s="0" t="n">
        <v>0</v>
      </c>
      <c r="O2041" s="0" t="n">
        <v>567.33</v>
      </c>
    </row>
    <row r="2042" customFormat="false" ht="15" hidden="false" customHeight="false" outlineLevel="0" collapsed="false">
      <c r="A2042" s="0" t="s">
        <v>324</v>
      </c>
      <c r="B2042" s="0" t="s">
        <v>563</v>
      </c>
      <c r="C2042" s="0" t="n">
        <v>2016</v>
      </c>
      <c r="D2042" s="0" t="n">
        <v>4390880</v>
      </c>
      <c r="E2042" s="0" t="n">
        <v>34.23</v>
      </c>
      <c r="F2042" s="0" t="n">
        <v>0</v>
      </c>
      <c r="G2042" s="0" t="n">
        <v>33.29</v>
      </c>
      <c r="H2042" s="0" t="n">
        <v>0.94</v>
      </c>
      <c r="I2042" s="0" t="n">
        <v>0</v>
      </c>
      <c r="J2042" s="0" t="n">
        <v>0</v>
      </c>
      <c r="K2042" s="0" t="n">
        <v>0</v>
      </c>
      <c r="L2042" s="0" t="n">
        <v>0</v>
      </c>
      <c r="M2042" s="0" t="n">
        <v>0</v>
      </c>
      <c r="N2042" s="0" t="n">
        <v>0</v>
      </c>
      <c r="O2042" s="0" t="n">
        <v>567.34</v>
      </c>
    </row>
    <row r="2043" customFormat="false" ht="15" hidden="false" customHeight="false" outlineLevel="0" collapsed="false">
      <c r="A2043" s="0" t="s">
        <v>324</v>
      </c>
      <c r="B2043" s="0" t="s">
        <v>563</v>
      </c>
      <c r="C2043" s="0" t="n">
        <v>2017</v>
      </c>
      <c r="D2043" s="0" t="n">
        <v>4537397</v>
      </c>
      <c r="E2043" s="0" t="n">
        <v>36.15</v>
      </c>
      <c r="F2043" s="0" t="n">
        <v>0</v>
      </c>
      <c r="G2043" s="0" t="n">
        <v>35.09</v>
      </c>
      <c r="H2043" s="0" t="n">
        <v>1.04</v>
      </c>
      <c r="I2043" s="0" t="n">
        <v>0</v>
      </c>
      <c r="J2043" s="0" t="n">
        <v>0</v>
      </c>
      <c r="K2043" s="0" t="n">
        <v>0.02</v>
      </c>
      <c r="L2043" s="0" t="n">
        <v>0</v>
      </c>
      <c r="M2043" s="0" t="n">
        <v>0</v>
      </c>
      <c r="N2043" s="0" t="n">
        <v>0</v>
      </c>
      <c r="O2043" s="0" t="n">
        <v>566.81</v>
      </c>
    </row>
    <row r="2044" customFormat="false" ht="15" hidden="false" customHeight="false" outlineLevel="0" collapsed="false">
      <c r="A2044" s="0" t="s">
        <v>324</v>
      </c>
      <c r="B2044" s="0" t="s">
        <v>563</v>
      </c>
      <c r="C2044" s="0" t="n">
        <v>2018</v>
      </c>
      <c r="D2044" s="0" t="n">
        <v>4597878</v>
      </c>
      <c r="E2044" s="0" t="n">
        <v>37.76</v>
      </c>
      <c r="F2044" s="0" t="n">
        <v>0</v>
      </c>
      <c r="G2044" s="0" t="n">
        <v>36.58</v>
      </c>
      <c r="H2044" s="0" t="n">
        <v>1.13</v>
      </c>
      <c r="I2044" s="0" t="n">
        <v>0</v>
      </c>
      <c r="J2044" s="0" t="n">
        <v>0</v>
      </c>
      <c r="K2044" s="0" t="n">
        <v>0.05</v>
      </c>
      <c r="L2044" s="0" t="n">
        <v>0</v>
      </c>
      <c r="M2044" s="0" t="n">
        <v>0</v>
      </c>
      <c r="N2044" s="0" t="n">
        <v>0</v>
      </c>
      <c r="O2044" s="0" t="n">
        <v>566.47</v>
      </c>
    </row>
    <row r="2045" customFormat="false" ht="15" hidden="false" customHeight="false" outlineLevel="0" collapsed="false">
      <c r="A2045" s="0" t="s">
        <v>324</v>
      </c>
      <c r="B2045" s="0" t="s">
        <v>563</v>
      </c>
      <c r="C2045" s="0" t="n">
        <v>2019</v>
      </c>
      <c r="D2045" s="0" t="n">
        <v>4591248</v>
      </c>
      <c r="E2045" s="0" t="n">
        <v>38.89</v>
      </c>
      <c r="F2045" s="0" t="n">
        <v>0</v>
      </c>
      <c r="G2045" s="0" t="n">
        <v>37.71</v>
      </c>
      <c r="H2045" s="0" t="n">
        <v>1.12</v>
      </c>
      <c r="I2045" s="0" t="n">
        <v>0</v>
      </c>
      <c r="J2045" s="0" t="n">
        <v>0</v>
      </c>
      <c r="K2045" s="0" t="n">
        <v>0.05</v>
      </c>
      <c r="L2045" s="0" t="n">
        <v>0.01</v>
      </c>
      <c r="M2045" s="0" t="n">
        <v>0</v>
      </c>
      <c r="N2045" s="0" t="n">
        <v>0</v>
      </c>
      <c r="O2045" s="0" t="n">
        <v>566.47</v>
      </c>
    </row>
    <row r="2046" customFormat="false" ht="15" hidden="false" customHeight="false" outlineLevel="0" collapsed="false">
      <c r="A2046" s="0" t="s">
        <v>324</v>
      </c>
      <c r="B2046" s="0" t="s">
        <v>563</v>
      </c>
      <c r="C2046" s="0" t="n">
        <v>2020</v>
      </c>
      <c r="D2046" s="0" t="n">
        <v>4522502</v>
      </c>
      <c r="E2046" s="0" t="n">
        <v>38.2</v>
      </c>
      <c r="F2046" s="0" t="n">
        <v>0</v>
      </c>
      <c r="G2046" s="0" t="n">
        <v>37.2</v>
      </c>
      <c r="H2046" s="0" t="n">
        <v>0.9</v>
      </c>
      <c r="I2046" s="0" t="n">
        <v>0</v>
      </c>
      <c r="J2046" s="0" t="n">
        <v>0</v>
      </c>
      <c r="K2046" s="0" t="n">
        <v>0.1</v>
      </c>
      <c r="L2046" s="0" t="n">
        <v>0</v>
      </c>
      <c r="M2046" s="0" t="n">
        <v>0</v>
      </c>
      <c r="N2046" s="0" t="n">
        <v>0</v>
      </c>
      <c r="O2046" s="0" t="n">
        <v>565.18</v>
      </c>
    </row>
    <row r="2047" customFormat="false" ht="15" hidden="false" customHeight="false" outlineLevel="0" collapsed="false">
      <c r="A2047" s="0" t="s">
        <v>324</v>
      </c>
      <c r="B2047" s="0" t="s">
        <v>563</v>
      </c>
      <c r="C2047" s="0" t="n">
        <v>2021</v>
      </c>
      <c r="D2047" s="0" t="n">
        <v>4500429</v>
      </c>
      <c r="E2047" s="0" t="n">
        <v>41</v>
      </c>
      <c r="F2047" s="0" t="n">
        <v>0</v>
      </c>
      <c r="G2047" s="0" t="n">
        <v>38.8</v>
      </c>
      <c r="H2047" s="0" t="n">
        <v>1.5</v>
      </c>
      <c r="I2047" s="0" t="n">
        <v>0</v>
      </c>
      <c r="J2047" s="0" t="n">
        <v>0</v>
      </c>
      <c r="K2047" s="0" t="n">
        <v>0.6</v>
      </c>
      <c r="L2047" s="0" t="n">
        <v>0.1</v>
      </c>
      <c r="M2047" s="0" t="n">
        <v>0</v>
      </c>
      <c r="N2047" s="0" t="n">
        <v>0</v>
      </c>
      <c r="O2047" s="0" t="n">
        <v>559.27</v>
      </c>
    </row>
    <row r="2048" customFormat="false" ht="15" hidden="false" customHeight="false" outlineLevel="0" collapsed="false">
      <c r="A2048" s="0" t="s">
        <v>324</v>
      </c>
      <c r="B2048" s="0" t="s">
        <v>563</v>
      </c>
      <c r="C2048" s="0" t="n">
        <v>2022</v>
      </c>
      <c r="D2048" s="0" t="n">
        <v>4730229</v>
      </c>
      <c r="E2048" s="0" t="n">
        <v>42.4</v>
      </c>
      <c r="F2048" s="0" t="n">
        <v>0</v>
      </c>
      <c r="G2048" s="0" t="n">
        <v>38.8</v>
      </c>
      <c r="H2048" s="0" t="n">
        <v>1.7</v>
      </c>
      <c r="I2048" s="0" t="n">
        <v>0</v>
      </c>
      <c r="J2048" s="0" t="n">
        <v>0</v>
      </c>
      <c r="K2048" s="0" t="n">
        <v>1.8</v>
      </c>
      <c r="L2048" s="0" t="n">
        <v>0.1</v>
      </c>
      <c r="M2048" s="0" t="n">
        <v>0</v>
      </c>
      <c r="N2048" s="0" t="n">
        <v>0</v>
      </c>
      <c r="O2048" s="0" t="n">
        <v>545.28</v>
      </c>
    </row>
    <row r="2049" customFormat="false" ht="15" hidden="false" customHeight="false" outlineLevel="0" collapsed="false">
      <c r="A2049" s="0" t="s">
        <v>324</v>
      </c>
      <c r="B2049" s="0" t="s">
        <v>563</v>
      </c>
      <c r="C2049" s="0" t="n">
        <v>2023</v>
      </c>
      <c r="D2049" s="0" t="n">
        <v>5049267</v>
      </c>
      <c r="E2049" s="0" t="n">
        <v>45</v>
      </c>
      <c r="F2049" s="0" t="n">
        <v>0</v>
      </c>
      <c r="G2049" s="0" t="n">
        <v>41.2</v>
      </c>
      <c r="H2049" s="0" t="n">
        <v>1.6</v>
      </c>
      <c r="I2049" s="0" t="n">
        <v>0</v>
      </c>
      <c r="J2049" s="0" t="n">
        <v>0</v>
      </c>
      <c r="K2049" s="0" t="n">
        <v>2.1</v>
      </c>
      <c r="L2049" s="0" t="n">
        <v>0.1</v>
      </c>
      <c r="M2049" s="0" t="n">
        <v>0</v>
      </c>
      <c r="N2049" s="0" t="n">
        <v>0</v>
      </c>
      <c r="O2049" s="0" t="n">
        <v>542.44</v>
      </c>
    </row>
    <row r="2050" customFormat="false" ht="15" hidden="false" customHeight="false" outlineLevel="0" collapsed="false">
      <c r="A2050" s="0" t="s">
        <v>324</v>
      </c>
      <c r="B2050" s="0" t="s">
        <v>563</v>
      </c>
      <c r="C2050" s="0" t="n">
        <v>2024</v>
      </c>
      <c r="D2050" s="0" t="n">
        <v>5281542</v>
      </c>
      <c r="E2050" s="0" t="n">
        <v>49.1</v>
      </c>
      <c r="F2050" s="0" t="n">
        <v>0</v>
      </c>
      <c r="G2050" s="0" t="n">
        <v>44.8</v>
      </c>
      <c r="H2050" s="0" t="n">
        <v>1.9</v>
      </c>
      <c r="I2050" s="0" t="n">
        <v>0</v>
      </c>
      <c r="J2050" s="0" t="n">
        <v>0</v>
      </c>
      <c r="K2050" s="0" t="n">
        <v>2.3</v>
      </c>
      <c r="L2050" s="0" t="n">
        <v>0.1</v>
      </c>
      <c r="M2050" s="0" t="n">
        <v>0</v>
      </c>
      <c r="N2050" s="0" t="n">
        <v>0</v>
      </c>
      <c r="O2050" s="0" t="n">
        <v>542.77</v>
      </c>
    </row>
    <row r="2051" customFormat="false" ht="15" hidden="false" customHeight="false" outlineLevel="0" collapsed="false">
      <c r="A2051" s="0" t="s">
        <v>324</v>
      </c>
      <c r="B2051" s="0" t="s">
        <v>563</v>
      </c>
      <c r="C2051" s="0" t="n">
        <v>2025</v>
      </c>
      <c r="D2051" s="0" t="n">
        <v>5494696</v>
      </c>
      <c r="E2051" s="0" t="n">
        <v>52.84</v>
      </c>
      <c r="F2051" s="0" t="n">
        <v>0</v>
      </c>
      <c r="G2051" s="0" t="n">
        <v>48.54</v>
      </c>
      <c r="H2051" s="0" t="n">
        <v>1.9</v>
      </c>
      <c r="I2051" s="0" t="n">
        <v>0</v>
      </c>
      <c r="J2051" s="0" t="n">
        <v>0</v>
      </c>
      <c r="K2051" s="0" t="n">
        <v>2.3</v>
      </c>
      <c r="L2051" s="0" t="n">
        <v>0.1</v>
      </c>
      <c r="M2051" s="0" t="n">
        <v>0</v>
      </c>
      <c r="N2051" s="0" t="n">
        <v>0</v>
      </c>
      <c r="O2051" s="0" t="n">
        <v>544.47</v>
      </c>
    </row>
    <row r="2052" customFormat="false" ht="15" hidden="false" customHeight="false" outlineLevel="0" collapsed="false">
      <c r="A2052" s="0" t="s">
        <v>715</v>
      </c>
      <c r="C2052" s="0" t="n">
        <v>2015</v>
      </c>
    </row>
    <row r="2053" customFormat="false" ht="15" hidden="false" customHeight="false" outlineLevel="0" collapsed="false">
      <c r="A2053" s="0" t="s">
        <v>715</v>
      </c>
      <c r="C2053" s="0" t="n">
        <v>2016</v>
      </c>
    </row>
    <row r="2054" customFormat="false" ht="15" hidden="false" customHeight="false" outlineLevel="0" collapsed="false">
      <c r="A2054" s="0" t="s">
        <v>715</v>
      </c>
      <c r="C2054" s="0" t="n">
        <v>2017</v>
      </c>
    </row>
    <row r="2055" customFormat="false" ht="15" hidden="false" customHeight="false" outlineLevel="0" collapsed="false">
      <c r="A2055" s="0" t="s">
        <v>715</v>
      </c>
      <c r="C2055" s="0" t="n">
        <v>2018</v>
      </c>
    </row>
    <row r="2056" customFormat="false" ht="15" hidden="false" customHeight="false" outlineLevel="0" collapsed="false">
      <c r="A2056" s="0" t="s">
        <v>715</v>
      </c>
      <c r="C2056" s="0" t="n">
        <v>2019</v>
      </c>
    </row>
    <row r="2057" customFormat="false" ht="15" hidden="false" customHeight="false" outlineLevel="0" collapsed="false">
      <c r="A2057" s="0" t="s">
        <v>715</v>
      </c>
      <c r="C2057" s="0" t="n">
        <v>2020</v>
      </c>
    </row>
    <row r="2058" customFormat="false" ht="15" hidden="false" customHeight="false" outlineLevel="0" collapsed="false">
      <c r="A2058" s="0" t="s">
        <v>715</v>
      </c>
      <c r="C2058" s="0" t="n">
        <v>2021</v>
      </c>
    </row>
    <row r="2059" customFormat="false" ht="15" hidden="false" customHeight="false" outlineLevel="0" collapsed="false">
      <c r="A2059" s="0" t="s">
        <v>715</v>
      </c>
      <c r="C2059" s="0" t="n">
        <v>2022</v>
      </c>
    </row>
    <row r="2060" customFormat="false" ht="15" hidden="false" customHeight="false" outlineLevel="0" collapsed="false">
      <c r="A2060" s="0" t="s">
        <v>715</v>
      </c>
      <c r="C2060" s="0" t="n">
        <v>2023</v>
      </c>
    </row>
    <row r="2061" customFormat="false" ht="15" hidden="false" customHeight="false" outlineLevel="0" collapsed="false">
      <c r="A2061" s="0" t="s">
        <v>715</v>
      </c>
      <c r="C2061" s="0" t="n">
        <v>2024</v>
      </c>
    </row>
    <row r="2062" customFormat="false" ht="15" hidden="false" customHeight="false" outlineLevel="0" collapsed="false">
      <c r="A2062" s="0" t="s">
        <v>716</v>
      </c>
      <c r="C2062" s="0" t="n">
        <v>2015</v>
      </c>
    </row>
    <row r="2063" customFormat="false" ht="15" hidden="false" customHeight="false" outlineLevel="0" collapsed="false">
      <c r="A2063" s="0" t="s">
        <v>716</v>
      </c>
      <c r="C2063" s="0" t="n">
        <v>2016</v>
      </c>
    </row>
    <row r="2064" customFormat="false" ht="15" hidden="false" customHeight="false" outlineLevel="0" collapsed="false">
      <c r="A2064" s="0" t="s">
        <v>716</v>
      </c>
      <c r="C2064" s="0" t="n">
        <v>2017</v>
      </c>
    </row>
    <row r="2065" customFormat="false" ht="15" hidden="false" customHeight="false" outlineLevel="0" collapsed="false">
      <c r="A2065" s="0" t="s">
        <v>716</v>
      </c>
      <c r="C2065" s="0" t="n">
        <v>2018</v>
      </c>
    </row>
    <row r="2066" customFormat="false" ht="15" hidden="false" customHeight="false" outlineLevel="0" collapsed="false">
      <c r="A2066" s="0" t="s">
        <v>716</v>
      </c>
      <c r="C2066" s="0" t="n">
        <v>2019</v>
      </c>
    </row>
    <row r="2067" customFormat="false" ht="15" hidden="false" customHeight="false" outlineLevel="0" collapsed="false">
      <c r="A2067" s="0" t="s">
        <v>716</v>
      </c>
      <c r="C2067" s="0" t="n">
        <v>2020</v>
      </c>
    </row>
    <row r="2068" customFormat="false" ht="15" hidden="false" customHeight="false" outlineLevel="0" collapsed="false">
      <c r="A2068" s="0" t="s">
        <v>716</v>
      </c>
      <c r="C2068" s="0" t="n">
        <v>2021</v>
      </c>
    </row>
    <row r="2069" customFormat="false" ht="15" hidden="false" customHeight="false" outlineLevel="0" collapsed="false">
      <c r="A2069" s="0" t="s">
        <v>716</v>
      </c>
      <c r="C2069" s="0" t="n">
        <v>2022</v>
      </c>
    </row>
    <row r="2070" customFormat="false" ht="15" hidden="false" customHeight="false" outlineLevel="0" collapsed="false">
      <c r="A2070" s="0" t="s">
        <v>716</v>
      </c>
      <c r="C2070" s="0" t="n">
        <v>2023</v>
      </c>
    </row>
    <row r="2071" customFormat="false" ht="15" hidden="false" customHeight="false" outlineLevel="0" collapsed="false">
      <c r="A2071" s="0" t="s">
        <v>717</v>
      </c>
      <c r="C2071" s="0" t="n">
        <v>2015</v>
      </c>
    </row>
    <row r="2072" customFormat="false" ht="15" hidden="false" customHeight="false" outlineLevel="0" collapsed="false">
      <c r="A2072" s="0" t="s">
        <v>717</v>
      </c>
      <c r="C2072" s="0" t="n">
        <v>2016</v>
      </c>
    </row>
    <row r="2073" customFormat="false" ht="15" hidden="false" customHeight="false" outlineLevel="0" collapsed="false">
      <c r="A2073" s="0" t="s">
        <v>717</v>
      </c>
      <c r="C2073" s="0" t="n">
        <v>2017</v>
      </c>
    </row>
    <row r="2074" customFormat="false" ht="15" hidden="false" customHeight="false" outlineLevel="0" collapsed="false">
      <c r="A2074" s="0" t="s">
        <v>717</v>
      </c>
      <c r="C2074" s="0" t="n">
        <v>2018</v>
      </c>
    </row>
    <row r="2075" customFormat="false" ht="15" hidden="false" customHeight="false" outlineLevel="0" collapsed="false">
      <c r="A2075" s="0" t="s">
        <v>717</v>
      </c>
      <c r="C2075" s="0" t="n">
        <v>2019</v>
      </c>
    </row>
    <row r="2076" customFormat="false" ht="15" hidden="false" customHeight="false" outlineLevel="0" collapsed="false">
      <c r="A2076" s="0" t="s">
        <v>717</v>
      </c>
      <c r="C2076" s="0" t="n">
        <v>2020</v>
      </c>
    </row>
    <row r="2077" customFormat="false" ht="15" hidden="false" customHeight="false" outlineLevel="0" collapsed="false">
      <c r="A2077" s="0" t="s">
        <v>717</v>
      </c>
      <c r="C2077" s="0" t="n">
        <v>2021</v>
      </c>
    </row>
    <row r="2078" customFormat="false" ht="15" hidden="false" customHeight="false" outlineLevel="0" collapsed="false">
      <c r="A2078" s="0" t="s">
        <v>717</v>
      </c>
      <c r="C2078" s="0" t="n">
        <v>2022</v>
      </c>
    </row>
    <row r="2079" customFormat="false" ht="15" hidden="false" customHeight="false" outlineLevel="0" collapsed="false">
      <c r="A2079" s="0" t="s">
        <v>717</v>
      </c>
      <c r="C2079" s="0" t="n">
        <v>2023</v>
      </c>
    </row>
    <row r="2080" customFormat="false" ht="15" hidden="false" customHeight="false" outlineLevel="0" collapsed="false">
      <c r="A2080" s="0" t="s">
        <v>717</v>
      </c>
      <c r="C2080" s="0" t="n">
        <v>2024</v>
      </c>
    </row>
    <row r="2081" customFormat="false" ht="15" hidden="false" customHeight="false" outlineLevel="0" collapsed="false">
      <c r="A2081" s="0" t="s">
        <v>718</v>
      </c>
      <c r="C2081" s="0" t="n">
        <v>2015</v>
      </c>
    </row>
    <row r="2082" customFormat="false" ht="15" hidden="false" customHeight="false" outlineLevel="0" collapsed="false">
      <c r="A2082" s="0" t="s">
        <v>718</v>
      </c>
      <c r="C2082" s="0" t="n">
        <v>2016</v>
      </c>
    </row>
    <row r="2083" customFormat="false" ht="15" hidden="false" customHeight="false" outlineLevel="0" collapsed="false">
      <c r="A2083" s="0" t="s">
        <v>718</v>
      </c>
      <c r="C2083" s="0" t="n">
        <v>2017</v>
      </c>
    </row>
    <row r="2084" customFormat="false" ht="15" hidden="false" customHeight="false" outlineLevel="0" collapsed="false">
      <c r="A2084" s="0" t="s">
        <v>718</v>
      </c>
      <c r="C2084" s="0" t="n">
        <v>2018</v>
      </c>
    </row>
    <row r="2085" customFormat="false" ht="15" hidden="false" customHeight="false" outlineLevel="0" collapsed="false">
      <c r="A2085" s="0" t="s">
        <v>718</v>
      </c>
      <c r="C2085" s="0" t="n">
        <v>2019</v>
      </c>
    </row>
    <row r="2086" customFormat="false" ht="15" hidden="false" customHeight="false" outlineLevel="0" collapsed="false">
      <c r="A2086" s="0" t="s">
        <v>718</v>
      </c>
      <c r="C2086" s="0" t="n">
        <v>2020</v>
      </c>
    </row>
    <row r="2087" customFormat="false" ht="15" hidden="false" customHeight="false" outlineLevel="0" collapsed="false">
      <c r="A2087" s="0" t="s">
        <v>718</v>
      </c>
      <c r="C2087" s="0" t="n">
        <v>2021</v>
      </c>
    </row>
    <row r="2088" customFormat="false" ht="15" hidden="false" customHeight="false" outlineLevel="0" collapsed="false">
      <c r="A2088" s="0" t="s">
        <v>718</v>
      </c>
      <c r="C2088" s="0" t="n">
        <v>2022</v>
      </c>
    </row>
    <row r="2089" customFormat="false" ht="15" hidden="false" customHeight="false" outlineLevel="0" collapsed="false">
      <c r="A2089" s="0" t="s">
        <v>718</v>
      </c>
      <c r="C2089" s="0" t="n">
        <v>2023</v>
      </c>
    </row>
    <row r="2090" customFormat="false" ht="15" hidden="false" customHeight="false" outlineLevel="0" collapsed="false">
      <c r="A2090" s="0" t="s">
        <v>719</v>
      </c>
      <c r="C2090" s="0" t="n">
        <v>2015</v>
      </c>
    </row>
    <row r="2091" customFormat="false" ht="15" hidden="false" customHeight="false" outlineLevel="0" collapsed="false">
      <c r="A2091" s="0" t="s">
        <v>719</v>
      </c>
      <c r="C2091" s="0" t="n">
        <v>2016</v>
      </c>
    </row>
    <row r="2092" customFormat="false" ht="15" hidden="false" customHeight="false" outlineLevel="0" collapsed="false">
      <c r="A2092" s="0" t="s">
        <v>719</v>
      </c>
      <c r="C2092" s="0" t="n">
        <v>2017</v>
      </c>
    </row>
    <row r="2093" customFormat="false" ht="15" hidden="false" customHeight="false" outlineLevel="0" collapsed="false">
      <c r="A2093" s="0" t="s">
        <v>719</v>
      </c>
      <c r="C2093" s="0" t="n">
        <v>2018</v>
      </c>
    </row>
    <row r="2094" customFormat="false" ht="15" hidden="false" customHeight="false" outlineLevel="0" collapsed="false">
      <c r="A2094" s="0" t="s">
        <v>719</v>
      </c>
      <c r="C2094" s="0" t="n">
        <v>2019</v>
      </c>
    </row>
    <row r="2095" customFormat="false" ht="15" hidden="false" customHeight="false" outlineLevel="0" collapsed="false">
      <c r="A2095" s="0" t="s">
        <v>719</v>
      </c>
      <c r="C2095" s="0" t="n">
        <v>2020</v>
      </c>
    </row>
    <row r="2096" customFormat="false" ht="15" hidden="false" customHeight="false" outlineLevel="0" collapsed="false">
      <c r="A2096" s="0" t="s">
        <v>719</v>
      </c>
      <c r="C2096" s="0" t="n">
        <v>2021</v>
      </c>
    </row>
    <row r="2097" customFormat="false" ht="15" hidden="false" customHeight="false" outlineLevel="0" collapsed="false">
      <c r="A2097" s="0" t="s">
        <v>719</v>
      </c>
      <c r="C2097" s="0" t="n">
        <v>2022</v>
      </c>
    </row>
    <row r="2098" customFormat="false" ht="15" hidden="false" customHeight="false" outlineLevel="0" collapsed="false">
      <c r="A2098" s="0" t="s">
        <v>719</v>
      </c>
      <c r="C2098" s="0" t="n">
        <v>2023</v>
      </c>
    </row>
    <row r="2099" customFormat="false" ht="15" hidden="false" customHeight="false" outlineLevel="0" collapsed="false">
      <c r="A2099" s="0" t="s">
        <v>719</v>
      </c>
      <c r="C2099" s="0" t="n">
        <v>2024</v>
      </c>
    </row>
    <row r="2100" customFormat="false" ht="15" hidden="false" customHeight="false" outlineLevel="0" collapsed="false">
      <c r="A2100" s="0" t="s">
        <v>720</v>
      </c>
      <c r="C2100" s="0" t="n">
        <v>2015</v>
      </c>
    </row>
    <row r="2101" customFormat="false" ht="15" hidden="false" customHeight="false" outlineLevel="0" collapsed="false">
      <c r="A2101" s="0" t="s">
        <v>720</v>
      </c>
      <c r="C2101" s="0" t="n">
        <v>2016</v>
      </c>
    </row>
    <row r="2102" customFormat="false" ht="15" hidden="false" customHeight="false" outlineLevel="0" collapsed="false">
      <c r="A2102" s="0" t="s">
        <v>720</v>
      </c>
      <c r="C2102" s="0" t="n">
        <v>2017</v>
      </c>
    </row>
    <row r="2103" customFormat="false" ht="15" hidden="false" customHeight="false" outlineLevel="0" collapsed="false">
      <c r="A2103" s="0" t="s">
        <v>720</v>
      </c>
      <c r="C2103" s="0" t="n">
        <v>2018</v>
      </c>
    </row>
    <row r="2104" customFormat="false" ht="15" hidden="false" customHeight="false" outlineLevel="0" collapsed="false">
      <c r="A2104" s="0" t="s">
        <v>720</v>
      </c>
      <c r="C2104" s="0" t="n">
        <v>2019</v>
      </c>
    </row>
    <row r="2105" customFormat="false" ht="15" hidden="false" customHeight="false" outlineLevel="0" collapsed="false">
      <c r="A2105" s="0" t="s">
        <v>720</v>
      </c>
      <c r="C2105" s="0" t="n">
        <v>2020</v>
      </c>
    </row>
    <row r="2106" customFormat="false" ht="15" hidden="false" customHeight="false" outlineLevel="0" collapsed="false">
      <c r="A2106" s="0" t="s">
        <v>720</v>
      </c>
      <c r="C2106" s="0" t="n">
        <v>2021</v>
      </c>
    </row>
    <row r="2107" customFormat="false" ht="15" hidden="false" customHeight="false" outlineLevel="0" collapsed="false">
      <c r="A2107" s="0" t="s">
        <v>720</v>
      </c>
      <c r="C2107" s="0" t="n">
        <v>2022</v>
      </c>
    </row>
    <row r="2108" customFormat="false" ht="15" hidden="false" customHeight="false" outlineLevel="0" collapsed="false">
      <c r="A2108" s="0" t="s">
        <v>720</v>
      </c>
      <c r="C2108" s="0" t="n">
        <v>2023</v>
      </c>
    </row>
    <row r="2109" customFormat="false" ht="15" hidden="false" customHeight="false" outlineLevel="0" collapsed="false">
      <c r="A2109" s="0" t="s">
        <v>720</v>
      </c>
      <c r="C2109" s="0" t="n">
        <v>2024</v>
      </c>
    </row>
    <row r="2110" customFormat="false" ht="15" hidden="false" customHeight="false" outlineLevel="0" collapsed="false">
      <c r="A2110" s="0" t="s">
        <v>721</v>
      </c>
      <c r="C2110" s="0" t="n">
        <v>2015</v>
      </c>
    </row>
    <row r="2111" customFormat="false" ht="15" hidden="false" customHeight="false" outlineLevel="0" collapsed="false">
      <c r="A2111" s="0" t="s">
        <v>721</v>
      </c>
      <c r="C2111" s="0" t="n">
        <v>2016</v>
      </c>
    </row>
    <row r="2112" customFormat="false" ht="15" hidden="false" customHeight="false" outlineLevel="0" collapsed="false">
      <c r="A2112" s="0" t="s">
        <v>721</v>
      </c>
      <c r="C2112" s="0" t="n">
        <v>2017</v>
      </c>
    </row>
    <row r="2113" customFormat="false" ht="15" hidden="false" customHeight="false" outlineLevel="0" collapsed="false">
      <c r="A2113" s="0" t="s">
        <v>721</v>
      </c>
      <c r="C2113" s="0" t="n">
        <v>2018</v>
      </c>
    </row>
    <row r="2114" customFormat="false" ht="15" hidden="false" customHeight="false" outlineLevel="0" collapsed="false">
      <c r="A2114" s="0" t="s">
        <v>721</v>
      </c>
      <c r="C2114" s="0" t="n">
        <v>2019</v>
      </c>
    </row>
    <row r="2115" customFormat="false" ht="15" hidden="false" customHeight="false" outlineLevel="0" collapsed="false">
      <c r="A2115" s="0" t="s">
        <v>721</v>
      </c>
      <c r="C2115" s="0" t="n">
        <v>2020</v>
      </c>
    </row>
    <row r="2116" customFormat="false" ht="15" hidden="false" customHeight="false" outlineLevel="0" collapsed="false">
      <c r="A2116" s="0" t="s">
        <v>721</v>
      </c>
      <c r="C2116" s="0" t="n">
        <v>2021</v>
      </c>
    </row>
    <row r="2117" customFormat="false" ht="15" hidden="false" customHeight="false" outlineLevel="0" collapsed="false">
      <c r="A2117" s="0" t="s">
        <v>721</v>
      </c>
      <c r="C2117" s="0" t="n">
        <v>2022</v>
      </c>
    </row>
    <row r="2118" customFormat="false" ht="15" hidden="false" customHeight="false" outlineLevel="0" collapsed="false">
      <c r="A2118" s="0" t="s">
        <v>721</v>
      </c>
      <c r="C2118" s="0" t="n">
        <v>2023</v>
      </c>
    </row>
    <row r="2119" customFormat="false" ht="15" hidden="false" customHeight="false" outlineLevel="0" collapsed="false">
      <c r="A2119" s="0" t="s">
        <v>721</v>
      </c>
      <c r="C2119" s="0" t="n">
        <v>2024</v>
      </c>
    </row>
    <row r="2120" customFormat="false" ht="15" hidden="false" customHeight="false" outlineLevel="0" collapsed="false">
      <c r="A2120" s="0" t="s">
        <v>722</v>
      </c>
      <c r="C2120" s="0" t="n">
        <v>2015</v>
      </c>
    </row>
    <row r="2121" customFormat="false" ht="15" hidden="false" customHeight="false" outlineLevel="0" collapsed="false">
      <c r="A2121" s="0" t="s">
        <v>722</v>
      </c>
      <c r="C2121" s="0" t="n">
        <v>2016</v>
      </c>
    </row>
    <row r="2122" customFormat="false" ht="15" hidden="false" customHeight="false" outlineLevel="0" collapsed="false">
      <c r="A2122" s="0" t="s">
        <v>722</v>
      </c>
      <c r="C2122" s="0" t="n">
        <v>2017</v>
      </c>
    </row>
    <row r="2123" customFormat="false" ht="15" hidden="false" customHeight="false" outlineLevel="0" collapsed="false">
      <c r="A2123" s="0" t="s">
        <v>722</v>
      </c>
      <c r="C2123" s="0" t="n">
        <v>2018</v>
      </c>
    </row>
    <row r="2124" customFormat="false" ht="15" hidden="false" customHeight="false" outlineLevel="0" collapsed="false">
      <c r="A2124" s="0" t="s">
        <v>722</v>
      </c>
      <c r="C2124" s="0" t="n">
        <v>2019</v>
      </c>
    </row>
    <row r="2125" customFormat="false" ht="15" hidden="false" customHeight="false" outlineLevel="0" collapsed="false">
      <c r="A2125" s="0" t="s">
        <v>722</v>
      </c>
      <c r="C2125" s="0" t="n">
        <v>2020</v>
      </c>
    </row>
    <row r="2126" customFormat="false" ht="15" hidden="false" customHeight="false" outlineLevel="0" collapsed="false">
      <c r="A2126" s="0" t="s">
        <v>722</v>
      </c>
      <c r="C2126" s="0" t="n">
        <v>2021</v>
      </c>
    </row>
    <row r="2127" customFormat="false" ht="15" hidden="false" customHeight="false" outlineLevel="0" collapsed="false">
      <c r="A2127" s="0" t="s">
        <v>722</v>
      </c>
      <c r="C2127" s="0" t="n">
        <v>2022</v>
      </c>
    </row>
    <row r="2128" customFormat="false" ht="15" hidden="false" customHeight="false" outlineLevel="0" collapsed="false">
      <c r="A2128" s="0" t="s">
        <v>722</v>
      </c>
      <c r="C2128" s="0" t="n">
        <v>2023</v>
      </c>
    </row>
    <row r="2129" customFormat="false" ht="15" hidden="false" customHeight="false" outlineLevel="0" collapsed="false">
      <c r="A2129" s="0" t="s">
        <v>722</v>
      </c>
      <c r="C2129" s="0" t="n">
        <v>2024</v>
      </c>
    </row>
    <row r="2130" customFormat="false" ht="15" hidden="false" customHeight="false" outlineLevel="0" collapsed="false">
      <c r="A2130" s="0" t="s">
        <v>723</v>
      </c>
      <c r="C2130" s="0" t="n">
        <v>2015</v>
      </c>
    </row>
    <row r="2131" customFormat="false" ht="15" hidden="false" customHeight="false" outlineLevel="0" collapsed="false">
      <c r="A2131" s="0" t="s">
        <v>723</v>
      </c>
      <c r="C2131" s="0" t="n">
        <v>2016</v>
      </c>
    </row>
    <row r="2132" customFormat="false" ht="15" hidden="false" customHeight="false" outlineLevel="0" collapsed="false">
      <c r="A2132" s="0" t="s">
        <v>723</v>
      </c>
      <c r="C2132" s="0" t="n">
        <v>2017</v>
      </c>
    </row>
    <row r="2133" customFormat="false" ht="15" hidden="false" customHeight="false" outlineLevel="0" collapsed="false">
      <c r="A2133" s="0" t="s">
        <v>723</v>
      </c>
      <c r="C2133" s="0" t="n">
        <v>2018</v>
      </c>
    </row>
    <row r="2134" customFormat="false" ht="15" hidden="false" customHeight="false" outlineLevel="0" collapsed="false">
      <c r="A2134" s="0" t="s">
        <v>723</v>
      </c>
      <c r="C2134" s="0" t="n">
        <v>2019</v>
      </c>
    </row>
    <row r="2135" customFormat="false" ht="15" hidden="false" customHeight="false" outlineLevel="0" collapsed="false">
      <c r="A2135" s="0" t="s">
        <v>723</v>
      </c>
      <c r="C2135" s="0" t="n">
        <v>2020</v>
      </c>
    </row>
    <row r="2136" customFormat="false" ht="15" hidden="false" customHeight="false" outlineLevel="0" collapsed="false">
      <c r="A2136" s="0" t="s">
        <v>723</v>
      </c>
      <c r="C2136" s="0" t="n">
        <v>2021</v>
      </c>
    </row>
    <row r="2137" customFormat="false" ht="15" hidden="false" customHeight="false" outlineLevel="0" collapsed="false">
      <c r="A2137" s="0" t="s">
        <v>723</v>
      </c>
      <c r="C2137" s="0" t="n">
        <v>2022</v>
      </c>
    </row>
    <row r="2138" customFormat="false" ht="15" hidden="false" customHeight="false" outlineLevel="0" collapsed="false">
      <c r="A2138" s="0" t="s">
        <v>723</v>
      </c>
      <c r="C2138" s="0" t="n">
        <v>2023</v>
      </c>
    </row>
    <row r="2139" customFormat="false" ht="15" hidden="false" customHeight="false" outlineLevel="0" collapsed="false">
      <c r="A2139" s="0" t="s">
        <v>723</v>
      </c>
      <c r="C2139" s="0" t="n">
        <v>2024</v>
      </c>
    </row>
    <row r="2140" customFormat="false" ht="15" hidden="false" customHeight="false" outlineLevel="0" collapsed="false">
      <c r="A2140" s="0" t="s">
        <v>724</v>
      </c>
      <c r="C2140" s="0" t="n">
        <v>2015</v>
      </c>
    </row>
    <row r="2141" customFormat="false" ht="15" hidden="false" customHeight="false" outlineLevel="0" collapsed="false">
      <c r="A2141" s="0" t="s">
        <v>724</v>
      </c>
      <c r="C2141" s="0" t="n">
        <v>2016</v>
      </c>
    </row>
    <row r="2142" customFormat="false" ht="15" hidden="false" customHeight="false" outlineLevel="0" collapsed="false">
      <c r="A2142" s="0" t="s">
        <v>724</v>
      </c>
      <c r="C2142" s="0" t="n">
        <v>2017</v>
      </c>
    </row>
    <row r="2143" customFormat="false" ht="15" hidden="false" customHeight="false" outlineLevel="0" collapsed="false">
      <c r="A2143" s="0" t="s">
        <v>724</v>
      </c>
      <c r="C2143" s="0" t="n">
        <v>2018</v>
      </c>
    </row>
    <row r="2144" customFormat="false" ht="15" hidden="false" customHeight="false" outlineLevel="0" collapsed="false">
      <c r="A2144" s="0" t="s">
        <v>724</v>
      </c>
      <c r="C2144" s="0" t="n">
        <v>2019</v>
      </c>
    </row>
    <row r="2145" customFormat="false" ht="15" hidden="false" customHeight="false" outlineLevel="0" collapsed="false">
      <c r="A2145" s="0" t="s">
        <v>724</v>
      </c>
      <c r="C2145" s="0" t="n">
        <v>2020</v>
      </c>
    </row>
    <row r="2146" customFormat="false" ht="15" hidden="false" customHeight="false" outlineLevel="0" collapsed="false">
      <c r="A2146" s="0" t="s">
        <v>724</v>
      </c>
      <c r="C2146" s="0" t="n">
        <v>2021</v>
      </c>
    </row>
    <row r="2147" customFormat="false" ht="15" hidden="false" customHeight="false" outlineLevel="0" collapsed="false">
      <c r="A2147" s="0" t="s">
        <v>724</v>
      </c>
      <c r="C2147" s="0" t="n">
        <v>2022</v>
      </c>
    </row>
    <row r="2148" customFormat="false" ht="15" hidden="false" customHeight="false" outlineLevel="0" collapsed="false">
      <c r="A2148" s="0" t="s">
        <v>724</v>
      </c>
      <c r="C2148" s="0" t="n">
        <v>2023</v>
      </c>
    </row>
    <row r="2149" customFormat="false" ht="15" hidden="false" customHeight="false" outlineLevel="0" collapsed="false">
      <c r="A2149" s="0" t="s">
        <v>724</v>
      </c>
      <c r="C2149" s="0" t="n">
        <v>2024</v>
      </c>
    </row>
    <row r="2150" customFormat="false" ht="15" hidden="false" customHeight="false" outlineLevel="0" collapsed="false">
      <c r="A2150" s="0" t="s">
        <v>725</v>
      </c>
      <c r="C2150" s="0" t="n">
        <v>2015</v>
      </c>
    </row>
    <row r="2151" customFormat="false" ht="15" hidden="false" customHeight="false" outlineLevel="0" collapsed="false">
      <c r="A2151" s="0" t="s">
        <v>725</v>
      </c>
      <c r="C2151" s="0" t="n">
        <v>2016</v>
      </c>
    </row>
    <row r="2152" customFormat="false" ht="15" hidden="false" customHeight="false" outlineLevel="0" collapsed="false">
      <c r="A2152" s="0" t="s">
        <v>725</v>
      </c>
      <c r="C2152" s="0" t="n">
        <v>2017</v>
      </c>
    </row>
    <row r="2153" customFormat="false" ht="15" hidden="false" customHeight="false" outlineLevel="0" collapsed="false">
      <c r="A2153" s="0" t="s">
        <v>725</v>
      </c>
      <c r="C2153" s="0" t="n">
        <v>2018</v>
      </c>
    </row>
    <row r="2154" customFormat="false" ht="15" hidden="false" customHeight="false" outlineLevel="0" collapsed="false">
      <c r="A2154" s="0" t="s">
        <v>725</v>
      </c>
      <c r="C2154" s="0" t="n">
        <v>2019</v>
      </c>
    </row>
    <row r="2155" customFormat="false" ht="15" hidden="false" customHeight="false" outlineLevel="0" collapsed="false">
      <c r="A2155" s="0" t="s">
        <v>725</v>
      </c>
      <c r="C2155" s="0" t="n">
        <v>2020</v>
      </c>
    </row>
    <row r="2156" customFormat="false" ht="15" hidden="false" customHeight="false" outlineLevel="0" collapsed="false">
      <c r="A2156" s="0" t="s">
        <v>725</v>
      </c>
      <c r="C2156" s="0" t="n">
        <v>2021</v>
      </c>
    </row>
    <row r="2157" customFormat="false" ht="15" hidden="false" customHeight="false" outlineLevel="0" collapsed="false">
      <c r="A2157" s="0" t="s">
        <v>725</v>
      </c>
      <c r="C2157" s="0" t="n">
        <v>2022</v>
      </c>
    </row>
    <row r="2158" customFormat="false" ht="15" hidden="false" customHeight="false" outlineLevel="0" collapsed="false">
      <c r="A2158" s="0" t="s">
        <v>725</v>
      </c>
      <c r="C2158" s="0" t="n">
        <v>2023</v>
      </c>
    </row>
    <row r="2159" customFormat="false" ht="15" hidden="false" customHeight="false" outlineLevel="0" collapsed="false">
      <c r="A2159" s="0" t="s">
        <v>725</v>
      </c>
      <c r="C2159" s="0" t="n">
        <v>2024</v>
      </c>
    </row>
    <row r="2160" customFormat="false" ht="15" hidden="false" customHeight="false" outlineLevel="0" collapsed="false">
      <c r="A2160" s="0" t="s">
        <v>726</v>
      </c>
      <c r="C2160" s="0" t="n">
        <v>2015</v>
      </c>
    </row>
    <row r="2161" customFormat="false" ht="15" hidden="false" customHeight="false" outlineLevel="0" collapsed="false">
      <c r="A2161" s="0" t="s">
        <v>726</v>
      </c>
      <c r="C2161" s="0" t="n">
        <v>2016</v>
      </c>
    </row>
    <row r="2162" customFormat="false" ht="15" hidden="false" customHeight="false" outlineLevel="0" collapsed="false">
      <c r="A2162" s="0" t="s">
        <v>726</v>
      </c>
      <c r="C2162" s="0" t="n">
        <v>2017</v>
      </c>
    </row>
    <row r="2163" customFormat="false" ht="15" hidden="false" customHeight="false" outlineLevel="0" collapsed="false">
      <c r="A2163" s="0" t="s">
        <v>726</v>
      </c>
      <c r="C2163" s="0" t="n">
        <v>2018</v>
      </c>
    </row>
    <row r="2164" customFormat="false" ht="15" hidden="false" customHeight="false" outlineLevel="0" collapsed="false">
      <c r="A2164" s="0" t="s">
        <v>726</v>
      </c>
      <c r="C2164" s="0" t="n">
        <v>2019</v>
      </c>
    </row>
    <row r="2165" customFormat="false" ht="15" hidden="false" customHeight="false" outlineLevel="0" collapsed="false">
      <c r="A2165" s="0" t="s">
        <v>726</v>
      </c>
      <c r="C2165" s="0" t="n">
        <v>2020</v>
      </c>
    </row>
    <row r="2166" customFormat="false" ht="15" hidden="false" customHeight="false" outlineLevel="0" collapsed="false">
      <c r="A2166" s="0" t="s">
        <v>726</v>
      </c>
      <c r="C2166" s="0" t="n">
        <v>2021</v>
      </c>
    </row>
    <row r="2167" customFormat="false" ht="15" hidden="false" customHeight="false" outlineLevel="0" collapsed="false">
      <c r="A2167" s="0" t="s">
        <v>726</v>
      </c>
      <c r="C2167" s="0" t="n">
        <v>2022</v>
      </c>
    </row>
    <row r="2168" customFormat="false" ht="15" hidden="false" customHeight="false" outlineLevel="0" collapsed="false">
      <c r="A2168" s="0" t="s">
        <v>726</v>
      </c>
      <c r="C2168" s="0" t="n">
        <v>2023</v>
      </c>
    </row>
    <row r="2169" customFormat="false" ht="15" hidden="false" customHeight="false" outlineLevel="0" collapsed="false">
      <c r="A2169" s="0" t="s">
        <v>726</v>
      </c>
      <c r="C2169" s="0" t="n">
        <v>2024</v>
      </c>
    </row>
    <row r="2170" customFormat="false" ht="15" hidden="false" customHeight="false" outlineLevel="0" collapsed="false">
      <c r="A2170" s="0" t="s">
        <v>727</v>
      </c>
      <c r="C2170" s="0" t="n">
        <v>2015</v>
      </c>
    </row>
    <row r="2171" customFormat="false" ht="15" hidden="false" customHeight="false" outlineLevel="0" collapsed="false">
      <c r="A2171" s="0" t="s">
        <v>727</v>
      </c>
      <c r="C2171" s="0" t="n">
        <v>2016</v>
      </c>
    </row>
    <row r="2172" customFormat="false" ht="15" hidden="false" customHeight="false" outlineLevel="0" collapsed="false">
      <c r="A2172" s="0" t="s">
        <v>727</v>
      </c>
      <c r="C2172" s="0" t="n">
        <v>2017</v>
      </c>
    </row>
    <row r="2173" customFormat="false" ht="15" hidden="false" customHeight="false" outlineLevel="0" collapsed="false">
      <c r="A2173" s="0" t="s">
        <v>727</v>
      </c>
      <c r="C2173" s="0" t="n">
        <v>2018</v>
      </c>
    </row>
    <row r="2174" customFormat="false" ht="15" hidden="false" customHeight="false" outlineLevel="0" collapsed="false">
      <c r="A2174" s="0" t="s">
        <v>727</v>
      </c>
      <c r="C2174" s="0" t="n">
        <v>2019</v>
      </c>
    </row>
    <row r="2175" customFormat="false" ht="15" hidden="false" customHeight="false" outlineLevel="0" collapsed="false">
      <c r="A2175" s="0" t="s">
        <v>727</v>
      </c>
      <c r="C2175" s="0" t="n">
        <v>2020</v>
      </c>
    </row>
    <row r="2176" customFormat="false" ht="15" hidden="false" customHeight="false" outlineLevel="0" collapsed="false">
      <c r="A2176" s="0" t="s">
        <v>727</v>
      </c>
      <c r="C2176" s="0" t="n">
        <v>2021</v>
      </c>
    </row>
    <row r="2177" customFormat="false" ht="15" hidden="false" customHeight="false" outlineLevel="0" collapsed="false">
      <c r="A2177" s="0" t="s">
        <v>727</v>
      </c>
      <c r="C2177" s="0" t="n">
        <v>2022</v>
      </c>
    </row>
    <row r="2178" customFormat="false" ht="15" hidden="false" customHeight="false" outlineLevel="0" collapsed="false">
      <c r="A2178" s="0" t="s">
        <v>727</v>
      </c>
      <c r="C2178" s="0" t="n">
        <v>2023</v>
      </c>
    </row>
    <row r="2179" customFormat="false" ht="15" hidden="false" customHeight="false" outlineLevel="0" collapsed="false">
      <c r="A2179" s="0" t="s">
        <v>727</v>
      </c>
      <c r="C2179" s="0" t="n">
        <v>2024</v>
      </c>
    </row>
    <row r="2180" customFormat="false" ht="15" hidden="false" customHeight="false" outlineLevel="0" collapsed="false">
      <c r="A2180" s="0" t="s">
        <v>728</v>
      </c>
      <c r="C2180" s="0" t="n">
        <v>2015</v>
      </c>
    </row>
    <row r="2181" customFormat="false" ht="15" hidden="false" customHeight="false" outlineLevel="0" collapsed="false">
      <c r="A2181" s="0" t="s">
        <v>728</v>
      </c>
      <c r="C2181" s="0" t="n">
        <v>2016</v>
      </c>
    </row>
    <row r="2182" customFormat="false" ht="15" hidden="false" customHeight="false" outlineLevel="0" collapsed="false">
      <c r="A2182" s="0" t="s">
        <v>728</v>
      </c>
      <c r="C2182" s="0" t="n">
        <v>2017</v>
      </c>
    </row>
    <row r="2183" customFormat="false" ht="15" hidden="false" customHeight="false" outlineLevel="0" collapsed="false">
      <c r="A2183" s="0" t="s">
        <v>728</v>
      </c>
      <c r="C2183" s="0" t="n">
        <v>2018</v>
      </c>
    </row>
    <row r="2184" customFormat="false" ht="15" hidden="false" customHeight="false" outlineLevel="0" collapsed="false">
      <c r="A2184" s="0" t="s">
        <v>728</v>
      </c>
      <c r="C2184" s="0" t="n">
        <v>2019</v>
      </c>
    </row>
    <row r="2185" customFormat="false" ht="15" hidden="false" customHeight="false" outlineLevel="0" collapsed="false">
      <c r="A2185" s="0" t="s">
        <v>728</v>
      </c>
      <c r="C2185" s="0" t="n">
        <v>2020</v>
      </c>
    </row>
    <row r="2186" customFormat="false" ht="15" hidden="false" customHeight="false" outlineLevel="0" collapsed="false">
      <c r="A2186" s="0" t="s">
        <v>728</v>
      </c>
      <c r="C2186" s="0" t="n">
        <v>2021</v>
      </c>
    </row>
    <row r="2187" customFormat="false" ht="15" hidden="false" customHeight="false" outlineLevel="0" collapsed="false">
      <c r="A2187" s="0" t="s">
        <v>728</v>
      </c>
      <c r="C2187" s="0" t="n">
        <v>2022</v>
      </c>
    </row>
    <row r="2188" customFormat="false" ht="15" hidden="false" customHeight="false" outlineLevel="0" collapsed="false">
      <c r="A2188" s="0" t="s">
        <v>728</v>
      </c>
      <c r="C2188" s="0" t="n">
        <v>2023</v>
      </c>
    </row>
    <row r="2189" customFormat="false" ht="15" hidden="false" customHeight="false" outlineLevel="0" collapsed="false">
      <c r="A2189" s="0" t="s">
        <v>728</v>
      </c>
      <c r="C2189" s="0" t="n">
        <v>2024</v>
      </c>
    </row>
    <row r="2190" customFormat="false" ht="15" hidden="false" customHeight="false" outlineLevel="0" collapsed="false">
      <c r="A2190" s="0" t="s">
        <v>729</v>
      </c>
      <c r="C2190" s="0" t="n">
        <v>2015</v>
      </c>
    </row>
    <row r="2191" customFormat="false" ht="15" hidden="false" customHeight="false" outlineLevel="0" collapsed="false">
      <c r="A2191" s="0" t="s">
        <v>729</v>
      </c>
      <c r="C2191" s="0" t="n">
        <v>2016</v>
      </c>
    </row>
    <row r="2192" customFormat="false" ht="15" hidden="false" customHeight="false" outlineLevel="0" collapsed="false">
      <c r="A2192" s="0" t="s">
        <v>729</v>
      </c>
      <c r="C2192" s="0" t="n">
        <v>2017</v>
      </c>
    </row>
    <row r="2193" customFormat="false" ht="15" hidden="false" customHeight="false" outlineLevel="0" collapsed="false">
      <c r="A2193" s="0" t="s">
        <v>729</v>
      </c>
      <c r="C2193" s="0" t="n">
        <v>2018</v>
      </c>
    </row>
    <row r="2194" customFormat="false" ht="15" hidden="false" customHeight="false" outlineLevel="0" collapsed="false">
      <c r="A2194" s="0" t="s">
        <v>729</v>
      </c>
      <c r="C2194" s="0" t="n">
        <v>2019</v>
      </c>
    </row>
    <row r="2195" customFormat="false" ht="15" hidden="false" customHeight="false" outlineLevel="0" collapsed="false">
      <c r="A2195" s="0" t="s">
        <v>729</v>
      </c>
      <c r="C2195" s="0" t="n">
        <v>2020</v>
      </c>
    </row>
    <row r="2196" customFormat="false" ht="15" hidden="false" customHeight="false" outlineLevel="0" collapsed="false">
      <c r="A2196" s="0" t="s">
        <v>729</v>
      </c>
      <c r="C2196" s="0" t="n">
        <v>2021</v>
      </c>
    </row>
    <row r="2197" customFormat="false" ht="15" hidden="false" customHeight="false" outlineLevel="0" collapsed="false">
      <c r="A2197" s="0" t="s">
        <v>729</v>
      </c>
      <c r="C2197" s="0" t="n">
        <v>2022</v>
      </c>
    </row>
    <row r="2198" customFormat="false" ht="15" hidden="false" customHeight="false" outlineLevel="0" collapsed="false">
      <c r="A2198" s="0" t="s">
        <v>729</v>
      </c>
      <c r="C2198" s="0" t="n">
        <v>2023</v>
      </c>
    </row>
    <row r="2199" customFormat="false" ht="15" hidden="false" customHeight="false" outlineLevel="0" collapsed="false">
      <c r="A2199" s="0" t="s">
        <v>729</v>
      </c>
      <c r="C2199" s="0" t="n">
        <v>2024</v>
      </c>
    </row>
    <row r="2200" customFormat="false" ht="15" hidden="false" customHeight="false" outlineLevel="0" collapsed="false">
      <c r="A2200" s="0" t="s">
        <v>730</v>
      </c>
      <c r="C2200" s="0" t="n">
        <v>2015</v>
      </c>
    </row>
    <row r="2201" customFormat="false" ht="15" hidden="false" customHeight="false" outlineLevel="0" collapsed="false">
      <c r="A2201" s="0" t="s">
        <v>730</v>
      </c>
      <c r="C2201" s="0" t="n">
        <v>2016</v>
      </c>
    </row>
    <row r="2202" customFormat="false" ht="15" hidden="false" customHeight="false" outlineLevel="0" collapsed="false">
      <c r="A2202" s="0" t="s">
        <v>730</v>
      </c>
      <c r="C2202" s="0" t="n">
        <v>2017</v>
      </c>
    </row>
    <row r="2203" customFormat="false" ht="15" hidden="false" customHeight="false" outlineLevel="0" collapsed="false">
      <c r="A2203" s="0" t="s">
        <v>730</v>
      </c>
      <c r="C2203" s="0" t="n">
        <v>2018</v>
      </c>
    </row>
    <row r="2204" customFormat="false" ht="15" hidden="false" customHeight="false" outlineLevel="0" collapsed="false">
      <c r="A2204" s="0" t="s">
        <v>730</v>
      </c>
      <c r="C2204" s="0" t="n">
        <v>2019</v>
      </c>
    </row>
    <row r="2205" customFormat="false" ht="15" hidden="false" customHeight="false" outlineLevel="0" collapsed="false">
      <c r="A2205" s="0" t="s">
        <v>730</v>
      </c>
      <c r="C2205" s="0" t="n">
        <v>2020</v>
      </c>
    </row>
    <row r="2206" customFormat="false" ht="15" hidden="false" customHeight="false" outlineLevel="0" collapsed="false">
      <c r="A2206" s="0" t="s">
        <v>730</v>
      </c>
      <c r="C2206" s="0" t="n">
        <v>2021</v>
      </c>
    </row>
    <row r="2207" customFormat="false" ht="15" hidden="false" customHeight="false" outlineLevel="0" collapsed="false">
      <c r="A2207" s="0" t="s">
        <v>730</v>
      </c>
      <c r="C2207" s="0" t="n">
        <v>2022</v>
      </c>
    </row>
    <row r="2208" customFormat="false" ht="15" hidden="false" customHeight="false" outlineLevel="0" collapsed="false">
      <c r="A2208" s="0" t="s">
        <v>730</v>
      </c>
      <c r="C2208" s="0" t="n">
        <v>2023</v>
      </c>
    </row>
    <row r="2209" customFormat="false" ht="15" hidden="false" customHeight="false" outlineLevel="0" collapsed="false">
      <c r="A2209" s="0" t="s">
        <v>730</v>
      </c>
      <c r="C2209" s="0" t="n">
        <v>2024</v>
      </c>
    </row>
    <row r="2210" customFormat="false" ht="15" hidden="false" customHeight="false" outlineLevel="0" collapsed="false">
      <c r="A2210" s="0" t="s">
        <v>325</v>
      </c>
      <c r="B2210" s="0" t="s">
        <v>564</v>
      </c>
      <c r="C2210" s="0" t="n">
        <v>2015</v>
      </c>
      <c r="D2210" s="0" t="n">
        <v>217290884</v>
      </c>
      <c r="E2210" s="0" t="n">
        <v>112.79</v>
      </c>
      <c r="F2210" s="0" t="n">
        <v>0.15</v>
      </c>
      <c r="G2210" s="0" t="n">
        <v>35</v>
      </c>
      <c r="H2210" s="0" t="n">
        <v>35.36</v>
      </c>
      <c r="I2210" s="0" t="n">
        <v>4.33</v>
      </c>
      <c r="J2210" s="0" t="n">
        <v>34.63</v>
      </c>
      <c r="K2210" s="0" t="n">
        <v>0.38</v>
      </c>
      <c r="L2210" s="0" t="n">
        <v>0.79</v>
      </c>
      <c r="M2210" s="0" t="n">
        <v>2.15</v>
      </c>
      <c r="N2210" s="0" t="n">
        <v>0</v>
      </c>
      <c r="O2210" s="0" t="n">
        <v>431.78</v>
      </c>
    </row>
    <row r="2211" customFormat="false" ht="15" hidden="false" customHeight="false" outlineLevel="0" collapsed="false">
      <c r="A2211" s="0" t="s">
        <v>325</v>
      </c>
      <c r="B2211" s="0" t="s">
        <v>564</v>
      </c>
      <c r="C2211" s="0" t="n">
        <v>2016</v>
      </c>
      <c r="D2211" s="0" t="n">
        <v>220138863</v>
      </c>
      <c r="E2211" s="0" t="n">
        <v>122.9</v>
      </c>
      <c r="F2211" s="0" t="n">
        <v>0.62</v>
      </c>
      <c r="G2211" s="0" t="n">
        <v>41.43</v>
      </c>
      <c r="H2211" s="0" t="n">
        <v>39.56</v>
      </c>
      <c r="I2211" s="0" t="n">
        <v>5.44</v>
      </c>
      <c r="J2211" s="0" t="n">
        <v>32.18</v>
      </c>
      <c r="K2211" s="0" t="n">
        <v>0.68</v>
      </c>
      <c r="L2211" s="0" t="n">
        <v>1.33</v>
      </c>
      <c r="M2211" s="0" t="n">
        <v>1.66</v>
      </c>
      <c r="N2211" s="0" t="n">
        <v>0</v>
      </c>
      <c r="O2211" s="0" t="n">
        <v>456.96</v>
      </c>
    </row>
    <row r="2212" customFormat="false" ht="15" hidden="false" customHeight="false" outlineLevel="0" collapsed="false">
      <c r="A2212" s="0" t="s">
        <v>325</v>
      </c>
      <c r="B2212" s="0" t="s">
        <v>564</v>
      </c>
      <c r="C2212" s="0" t="n">
        <v>2017</v>
      </c>
      <c r="D2212" s="0" t="n">
        <v>223273974</v>
      </c>
      <c r="E2212" s="0" t="n">
        <v>130.36</v>
      </c>
      <c r="F2212" s="0" t="n">
        <v>10.91</v>
      </c>
      <c r="G2212" s="0" t="n">
        <v>49.2</v>
      </c>
      <c r="H2212" s="0" t="n">
        <v>29.5</v>
      </c>
      <c r="I2212" s="0" t="n">
        <v>8.11</v>
      </c>
      <c r="J2212" s="0" t="n">
        <v>27.92</v>
      </c>
      <c r="K2212" s="0" t="n">
        <v>0.92</v>
      </c>
      <c r="L2212" s="0" t="n">
        <v>2.1</v>
      </c>
      <c r="M2212" s="0" t="n">
        <v>1.7</v>
      </c>
      <c r="N2212" s="0" t="n">
        <v>0</v>
      </c>
      <c r="O2212" s="0" t="n">
        <v>486.12</v>
      </c>
    </row>
    <row r="2213" customFormat="false" ht="15" hidden="false" customHeight="false" outlineLevel="0" collapsed="false">
      <c r="A2213" s="0" t="s">
        <v>325</v>
      </c>
      <c r="B2213" s="0" t="s">
        <v>564</v>
      </c>
      <c r="C2213" s="0" t="n">
        <v>2018</v>
      </c>
      <c r="D2213" s="0" t="n">
        <v>226928893</v>
      </c>
      <c r="E2213" s="0" t="n">
        <v>129.02</v>
      </c>
      <c r="F2213" s="0" t="n">
        <v>15.77</v>
      </c>
      <c r="G2213" s="0" t="n">
        <v>57.44</v>
      </c>
      <c r="H2213" s="0" t="n">
        <v>13.39</v>
      </c>
      <c r="I2213" s="0" t="n">
        <v>9.29</v>
      </c>
      <c r="J2213" s="0" t="n">
        <v>27.34</v>
      </c>
      <c r="K2213" s="0" t="n">
        <v>0.92</v>
      </c>
      <c r="L2213" s="0" t="n">
        <v>3.16</v>
      </c>
      <c r="M2213" s="0" t="n">
        <v>1.71</v>
      </c>
      <c r="N2213" s="0" t="n">
        <v>0</v>
      </c>
      <c r="O2213" s="0" t="n">
        <v>484.11</v>
      </c>
    </row>
    <row r="2214" customFormat="false" ht="15" hidden="false" customHeight="false" outlineLevel="0" collapsed="false">
      <c r="A2214" s="0" t="s">
        <v>325</v>
      </c>
      <c r="B2214" s="0" t="s">
        <v>564</v>
      </c>
      <c r="C2214" s="0" t="n">
        <v>2019</v>
      </c>
      <c r="D2214" s="0" t="n">
        <v>230800908</v>
      </c>
      <c r="E2214" s="0" t="n">
        <v>134.97</v>
      </c>
      <c r="F2214" s="0" t="n">
        <v>25.86</v>
      </c>
      <c r="G2214" s="0" t="n">
        <v>46.02</v>
      </c>
      <c r="H2214" s="0" t="n">
        <v>13.24</v>
      </c>
      <c r="I2214" s="0" t="n">
        <v>9.07</v>
      </c>
      <c r="J2214" s="0" t="n">
        <v>33.58</v>
      </c>
      <c r="K2214" s="0" t="n">
        <v>2.61</v>
      </c>
      <c r="L2214" s="0" t="n">
        <v>2.88</v>
      </c>
      <c r="M2214" s="0" t="n">
        <v>1.71</v>
      </c>
      <c r="N2214" s="0" t="n">
        <v>0</v>
      </c>
      <c r="O2214" s="0" t="n">
        <v>468.99</v>
      </c>
    </row>
    <row r="2215" customFormat="false" ht="15" hidden="false" customHeight="false" outlineLevel="0" collapsed="false">
      <c r="A2215" s="0" t="s">
        <v>325</v>
      </c>
      <c r="B2215" s="0" t="s">
        <v>564</v>
      </c>
      <c r="C2215" s="0" t="n">
        <v>2020</v>
      </c>
      <c r="D2215" s="0" t="n">
        <v>235001745</v>
      </c>
      <c r="E2215" s="0" t="n">
        <v>146.16</v>
      </c>
      <c r="F2215" s="0" t="n">
        <v>27.55</v>
      </c>
      <c r="G2215" s="0" t="n">
        <v>49.47</v>
      </c>
      <c r="H2215" s="0" t="n">
        <v>17.2</v>
      </c>
      <c r="I2215" s="0" t="n">
        <v>9.64</v>
      </c>
      <c r="J2215" s="0" t="n">
        <v>33.55</v>
      </c>
      <c r="K2215" s="0" t="n">
        <v>4.1</v>
      </c>
      <c r="L2215" s="0" t="n">
        <v>2.9</v>
      </c>
      <c r="M2215" s="0" t="n">
        <v>1.75</v>
      </c>
      <c r="N2215" s="0" t="n">
        <v>0</v>
      </c>
      <c r="O2215" s="0" t="n">
        <v>477.49</v>
      </c>
    </row>
    <row r="2216" customFormat="false" ht="15" hidden="false" customHeight="false" outlineLevel="0" collapsed="false">
      <c r="A2216" s="0" t="s">
        <v>325</v>
      </c>
      <c r="B2216" s="0" t="s">
        <v>564</v>
      </c>
      <c r="C2216" s="0" t="n">
        <v>2021</v>
      </c>
      <c r="D2216" s="0" t="n">
        <v>239477805</v>
      </c>
      <c r="E2216" s="0" t="n">
        <v>163.21</v>
      </c>
      <c r="F2216" s="0" t="n">
        <v>25.91</v>
      </c>
      <c r="G2216" s="0" t="n">
        <v>48.67</v>
      </c>
      <c r="H2216" s="0" t="n">
        <v>27.12</v>
      </c>
      <c r="I2216" s="0" t="n">
        <v>15.74</v>
      </c>
      <c r="J2216" s="0" t="n">
        <v>33.55</v>
      </c>
      <c r="K2216" s="0" t="n">
        <v>5.79</v>
      </c>
      <c r="L2216" s="0" t="n">
        <v>4.58</v>
      </c>
      <c r="M2216" s="0" t="n">
        <v>1.85</v>
      </c>
      <c r="N2216" s="0" t="n">
        <v>0</v>
      </c>
      <c r="O2216" s="0" t="n">
        <v>456.77</v>
      </c>
    </row>
    <row r="2217" customFormat="false" ht="15" hidden="false" customHeight="false" outlineLevel="0" collapsed="false">
      <c r="A2217" s="0" t="s">
        <v>325</v>
      </c>
      <c r="B2217" s="0" t="s">
        <v>564</v>
      </c>
      <c r="C2217" s="0" t="n">
        <v>2022</v>
      </c>
      <c r="D2217" s="0" t="n">
        <v>243700667</v>
      </c>
      <c r="E2217" s="0" t="n">
        <v>175.97</v>
      </c>
      <c r="F2217" s="0" t="n">
        <v>27.49</v>
      </c>
      <c r="G2217" s="0" t="n">
        <v>46.98</v>
      </c>
      <c r="H2217" s="0" t="n">
        <v>28.67</v>
      </c>
      <c r="I2217" s="0" t="n">
        <v>22.28</v>
      </c>
      <c r="J2217" s="0" t="n">
        <v>34.58</v>
      </c>
      <c r="K2217" s="0" t="n">
        <v>7.72</v>
      </c>
      <c r="L2217" s="0" t="n">
        <v>6.34</v>
      </c>
      <c r="M2217" s="0" t="n">
        <v>1.91</v>
      </c>
      <c r="N2217" s="0" t="n">
        <v>0</v>
      </c>
      <c r="O2217" s="0" t="n">
        <v>431.66</v>
      </c>
    </row>
    <row r="2218" customFormat="false" ht="15" hidden="false" customHeight="false" outlineLevel="0" collapsed="false">
      <c r="A2218" s="0" t="s">
        <v>325</v>
      </c>
      <c r="B2218" s="0" t="s">
        <v>564</v>
      </c>
      <c r="C2218" s="0" t="n">
        <v>2023</v>
      </c>
      <c r="D2218" s="0" t="n">
        <v>247504505</v>
      </c>
      <c r="E2218" s="0" t="n">
        <v>171.97</v>
      </c>
      <c r="F2218" s="0" t="n">
        <v>26.44</v>
      </c>
      <c r="G2218" s="0" t="n">
        <v>45.51</v>
      </c>
      <c r="H2218" s="0" t="n">
        <v>20.51</v>
      </c>
      <c r="I2218" s="0" t="n">
        <v>22.44</v>
      </c>
      <c r="J2218" s="0" t="n">
        <v>37.9</v>
      </c>
      <c r="K2218" s="0" t="n">
        <v>11.35</v>
      </c>
      <c r="L2218" s="0" t="n">
        <v>6.05</v>
      </c>
      <c r="M2218" s="0" t="n">
        <v>1.77</v>
      </c>
      <c r="N2218" s="0" t="n">
        <v>0</v>
      </c>
      <c r="O2218" s="0" t="n">
        <v>401.29</v>
      </c>
    </row>
    <row r="2219" customFormat="false" ht="15" hidden="false" customHeight="false" outlineLevel="0" collapsed="false">
      <c r="A2219" s="0" t="s">
        <v>325</v>
      </c>
      <c r="B2219" s="0" t="s">
        <v>564</v>
      </c>
      <c r="C2219" s="0" t="n">
        <v>2024</v>
      </c>
      <c r="D2219" s="0" t="n">
        <v>251269160</v>
      </c>
      <c r="E2219" s="0" t="n">
        <v>174.96</v>
      </c>
      <c r="F2219" s="0" t="n">
        <v>24.36</v>
      </c>
      <c r="G2219" s="0" t="n">
        <v>43.98</v>
      </c>
      <c r="H2219" s="0" t="n">
        <v>18.66</v>
      </c>
      <c r="I2219" s="0" t="n">
        <v>22.88</v>
      </c>
      <c r="J2219" s="0" t="n">
        <v>38.27</v>
      </c>
      <c r="K2219" s="0" t="n">
        <v>19.83</v>
      </c>
      <c r="L2219" s="0" t="n">
        <v>5.16</v>
      </c>
      <c r="M2219" s="0" t="n">
        <v>1.82</v>
      </c>
      <c r="N2219" s="0" t="n">
        <v>0</v>
      </c>
      <c r="O2219" s="0" t="n">
        <v>373.69</v>
      </c>
    </row>
    <row r="2220" customFormat="false" ht="15" hidden="false" customHeight="false" outlineLevel="0" collapsed="false">
      <c r="A2220" s="0" t="s">
        <v>325</v>
      </c>
      <c r="B2220" s="0" t="s">
        <v>564</v>
      </c>
      <c r="C2220" s="0" t="n">
        <v>2025</v>
      </c>
      <c r="D2220" s="0" t="n">
        <v>255219560</v>
      </c>
      <c r="E2220" s="0" t="n">
        <v>195.03</v>
      </c>
      <c r="F2220" s="0" t="n">
        <v>28.91</v>
      </c>
      <c r="G2220" s="0" t="n">
        <v>41.05</v>
      </c>
      <c r="H2220" s="0" t="n">
        <v>17.99</v>
      </c>
      <c r="I2220" s="0" t="n">
        <v>23.71</v>
      </c>
      <c r="J2220" s="0" t="n">
        <v>39.35</v>
      </c>
      <c r="K2220" s="0" t="n">
        <v>36.61</v>
      </c>
      <c r="L2220" s="0" t="n">
        <v>5.74</v>
      </c>
      <c r="M2220" s="0" t="n">
        <v>1.67</v>
      </c>
      <c r="N2220" s="0" t="n">
        <v>0</v>
      </c>
      <c r="O2220" s="0" t="n">
        <v>346.56</v>
      </c>
    </row>
    <row r="2221" customFormat="false" ht="15" hidden="false" customHeight="false" outlineLevel="0" collapsed="false">
      <c r="A2221" s="0" t="s">
        <v>326</v>
      </c>
      <c r="B2221" s="0" t="s">
        <v>565</v>
      </c>
      <c r="C2221" s="0" t="n">
        <v>2015</v>
      </c>
      <c r="D2221" s="0" t="n">
        <v>4521564</v>
      </c>
      <c r="E2221" s="0" t="n">
        <v>0.52</v>
      </c>
      <c r="F2221" s="0" t="n">
        <v>0</v>
      </c>
      <c r="G2221" s="0" t="n">
        <v>0</v>
      </c>
      <c r="H2221" s="0" t="n">
        <v>0.51</v>
      </c>
      <c r="I2221" s="0" t="n">
        <v>0</v>
      </c>
      <c r="J2221" s="0" t="n">
        <v>0</v>
      </c>
      <c r="K2221" s="0" t="n">
        <v>0.01</v>
      </c>
      <c r="L2221" s="0" t="n">
        <v>0</v>
      </c>
      <c r="M2221" s="0" t="n">
        <v>0</v>
      </c>
      <c r="N2221" s="0" t="n">
        <v>0</v>
      </c>
      <c r="O2221" s="0" t="n">
        <v>653.85</v>
      </c>
    </row>
    <row r="2222" customFormat="false" ht="15" hidden="false" customHeight="false" outlineLevel="0" collapsed="false">
      <c r="A2222" s="0" t="s">
        <v>326</v>
      </c>
      <c r="B2222" s="0" t="s">
        <v>565</v>
      </c>
      <c r="C2222" s="0" t="n">
        <v>2016</v>
      </c>
      <c r="D2222" s="0" t="n">
        <v>4632743</v>
      </c>
      <c r="E2222" s="0" t="n">
        <v>0.53</v>
      </c>
      <c r="F2222" s="0" t="n">
        <v>0</v>
      </c>
      <c r="G2222" s="0" t="n">
        <v>0</v>
      </c>
      <c r="H2222" s="0" t="n">
        <v>0.49</v>
      </c>
      <c r="I2222" s="0" t="n">
        <v>0</v>
      </c>
      <c r="J2222" s="0" t="n">
        <v>0</v>
      </c>
      <c r="K2222" s="0" t="n">
        <v>0.04</v>
      </c>
      <c r="L2222" s="0" t="n">
        <v>0</v>
      </c>
      <c r="M2222" s="0" t="n">
        <v>0</v>
      </c>
      <c r="N2222" s="0" t="n">
        <v>0</v>
      </c>
      <c r="O2222" s="0" t="n">
        <v>603.77</v>
      </c>
    </row>
    <row r="2223" customFormat="false" ht="15" hidden="false" customHeight="false" outlineLevel="0" collapsed="false">
      <c r="A2223" s="0" t="s">
        <v>326</v>
      </c>
      <c r="B2223" s="0" t="s">
        <v>565</v>
      </c>
      <c r="C2223" s="0" t="n">
        <v>2017</v>
      </c>
      <c r="D2223" s="0" t="n">
        <v>4742747</v>
      </c>
      <c r="E2223" s="0" t="n">
        <v>0.55</v>
      </c>
      <c r="F2223" s="0" t="n">
        <v>0</v>
      </c>
      <c r="G2223" s="0" t="n">
        <v>0</v>
      </c>
      <c r="H2223" s="0" t="n">
        <v>0.5</v>
      </c>
      <c r="I2223" s="0" t="n">
        <v>0</v>
      </c>
      <c r="J2223" s="0" t="n">
        <v>0</v>
      </c>
      <c r="K2223" s="0" t="n">
        <v>0.05</v>
      </c>
      <c r="L2223" s="0" t="n">
        <v>0</v>
      </c>
      <c r="M2223" s="0" t="n">
        <v>0</v>
      </c>
      <c r="N2223" s="0" t="n">
        <v>0</v>
      </c>
      <c r="O2223" s="0" t="n">
        <v>600</v>
      </c>
    </row>
    <row r="2224" customFormat="false" ht="15" hidden="false" customHeight="false" outlineLevel="0" collapsed="false">
      <c r="A2224" s="0" t="s">
        <v>326</v>
      </c>
      <c r="B2224" s="0" t="s">
        <v>565</v>
      </c>
      <c r="C2224" s="0" t="n">
        <v>2018</v>
      </c>
      <c r="D2224" s="0" t="n">
        <v>4850593</v>
      </c>
      <c r="E2224" s="0" t="n">
        <v>0.42</v>
      </c>
      <c r="F2224" s="0" t="n">
        <v>0</v>
      </c>
      <c r="G2224" s="0" t="n">
        <v>0</v>
      </c>
      <c r="H2224" s="0" t="n">
        <v>0.36</v>
      </c>
      <c r="I2224" s="0" t="n">
        <v>0</v>
      </c>
      <c r="J2224" s="0" t="n">
        <v>0</v>
      </c>
      <c r="K2224" s="0" t="n">
        <v>0.06</v>
      </c>
      <c r="L2224" s="0" t="n">
        <v>0</v>
      </c>
      <c r="M2224" s="0" t="n">
        <v>0</v>
      </c>
      <c r="N2224" s="0" t="n">
        <v>0</v>
      </c>
      <c r="O2224" s="0" t="n">
        <v>571.43</v>
      </c>
    </row>
    <row r="2225" customFormat="false" ht="15" hidden="false" customHeight="false" outlineLevel="0" collapsed="false">
      <c r="A2225" s="0" t="s">
        <v>326</v>
      </c>
      <c r="B2225" s="0" t="s">
        <v>565</v>
      </c>
      <c r="C2225" s="0" t="n">
        <v>2019</v>
      </c>
      <c r="D2225" s="0" t="n">
        <v>4957773</v>
      </c>
      <c r="E2225" s="0" t="n">
        <v>0.81</v>
      </c>
      <c r="F2225" s="0" t="n">
        <v>0</v>
      </c>
      <c r="G2225" s="0" t="n">
        <v>0</v>
      </c>
      <c r="H2225" s="0" t="n">
        <v>0.69</v>
      </c>
      <c r="I2225" s="0" t="n">
        <v>0</v>
      </c>
      <c r="J2225" s="0" t="n">
        <v>0</v>
      </c>
      <c r="K2225" s="0" t="n">
        <v>0.12</v>
      </c>
      <c r="L2225" s="0" t="n">
        <v>0</v>
      </c>
      <c r="M2225" s="0" t="n">
        <v>0</v>
      </c>
      <c r="N2225" s="0" t="n">
        <v>0</v>
      </c>
      <c r="O2225" s="0" t="n">
        <v>567.9</v>
      </c>
    </row>
    <row r="2226" customFormat="false" ht="15" hidden="false" customHeight="false" outlineLevel="0" collapsed="false">
      <c r="A2226" s="0" t="s">
        <v>326</v>
      </c>
      <c r="B2226" s="0" t="s">
        <v>565</v>
      </c>
      <c r="C2226" s="0" t="n">
        <v>2020</v>
      </c>
      <c r="D2226" s="0" t="n">
        <v>5069692</v>
      </c>
      <c r="E2226" s="0" t="n">
        <v>0.84</v>
      </c>
      <c r="F2226" s="0" t="n">
        <v>0</v>
      </c>
      <c r="G2226" s="0" t="n">
        <v>0</v>
      </c>
      <c r="H2226" s="0" t="n">
        <v>0.66</v>
      </c>
      <c r="I2226" s="0" t="n">
        <v>0</v>
      </c>
      <c r="J2226" s="0" t="n">
        <v>0</v>
      </c>
      <c r="K2226" s="0" t="n">
        <v>0.18</v>
      </c>
      <c r="L2226" s="0" t="n">
        <v>0</v>
      </c>
      <c r="M2226" s="0" t="n">
        <v>0</v>
      </c>
      <c r="N2226" s="0" t="n">
        <v>0</v>
      </c>
      <c r="O2226" s="0" t="n">
        <v>523.81</v>
      </c>
    </row>
    <row r="2227" customFormat="false" ht="15" hidden="false" customHeight="false" outlineLevel="0" collapsed="false">
      <c r="A2227" s="0" t="s">
        <v>326</v>
      </c>
      <c r="B2227" s="0" t="s">
        <v>565</v>
      </c>
      <c r="C2227" s="0" t="n">
        <v>2021</v>
      </c>
      <c r="D2227" s="0" t="n">
        <v>5185341</v>
      </c>
      <c r="E2227" s="0" t="n">
        <v>0.91</v>
      </c>
      <c r="F2227" s="0" t="n">
        <v>0</v>
      </c>
      <c r="G2227" s="0" t="n">
        <v>0</v>
      </c>
      <c r="H2227" s="0" t="n">
        <v>0.69</v>
      </c>
      <c r="I2227" s="0" t="n">
        <v>0</v>
      </c>
      <c r="J2227" s="0" t="n">
        <v>0</v>
      </c>
      <c r="K2227" s="0" t="n">
        <v>0.22</v>
      </c>
      <c r="L2227" s="0" t="n">
        <v>0</v>
      </c>
      <c r="M2227" s="0" t="n">
        <v>0</v>
      </c>
      <c r="N2227" s="0" t="n">
        <v>0</v>
      </c>
      <c r="O2227" s="0" t="n">
        <v>505.5</v>
      </c>
    </row>
    <row r="2228" customFormat="false" ht="15" hidden="false" customHeight="false" outlineLevel="0" collapsed="false">
      <c r="A2228" s="0" t="s">
        <v>326</v>
      </c>
      <c r="B2228" s="0" t="s">
        <v>565</v>
      </c>
      <c r="C2228" s="0" t="n">
        <v>2022</v>
      </c>
      <c r="D2228" s="0" t="n">
        <v>5305274</v>
      </c>
      <c r="E2228" s="0" t="n">
        <v>1.02</v>
      </c>
      <c r="F2228" s="0" t="n">
        <v>0</v>
      </c>
      <c r="G2228" s="0" t="n">
        <v>0</v>
      </c>
      <c r="H2228" s="0" t="n">
        <v>0.68</v>
      </c>
      <c r="I2228" s="0" t="n">
        <v>0</v>
      </c>
      <c r="J2228" s="0" t="n">
        <v>0</v>
      </c>
      <c r="K2228" s="0" t="n">
        <v>0.34</v>
      </c>
      <c r="L2228" s="0" t="n">
        <v>0</v>
      </c>
      <c r="M2228" s="0" t="n">
        <v>0</v>
      </c>
      <c r="N2228" s="0" t="n">
        <v>0</v>
      </c>
      <c r="O2228" s="0" t="n">
        <v>460.78</v>
      </c>
    </row>
    <row r="2229" customFormat="false" ht="15" hidden="false" customHeight="false" outlineLevel="0" collapsed="false">
      <c r="A2229" s="0" t="s">
        <v>326</v>
      </c>
      <c r="B2229" s="0" t="s">
        <v>565</v>
      </c>
      <c r="C2229" s="0" t="n">
        <v>2023</v>
      </c>
      <c r="D2229" s="0" t="n">
        <v>5409201</v>
      </c>
      <c r="E2229" s="0" t="n">
        <v>0.85</v>
      </c>
      <c r="F2229" s="0" t="n">
        <v>0</v>
      </c>
      <c r="G2229" s="0" t="n">
        <v>0</v>
      </c>
      <c r="H2229" s="0" t="n">
        <v>0.51</v>
      </c>
      <c r="I2229" s="0" t="n">
        <v>0</v>
      </c>
      <c r="J2229" s="0" t="n">
        <v>0</v>
      </c>
      <c r="K2229" s="0" t="n">
        <v>0.34</v>
      </c>
      <c r="L2229" s="0" t="n">
        <v>0</v>
      </c>
      <c r="M2229" s="0" t="n">
        <v>0</v>
      </c>
      <c r="N2229" s="0" t="n">
        <v>0</v>
      </c>
      <c r="O2229" s="0" t="n">
        <v>423.53</v>
      </c>
    </row>
    <row r="2230" customFormat="false" ht="15" hidden="false" customHeight="false" outlineLevel="0" collapsed="false">
      <c r="A2230" s="0" t="s">
        <v>326</v>
      </c>
      <c r="B2230" s="0" t="s">
        <v>565</v>
      </c>
      <c r="C2230" s="0" t="n">
        <v>2024</v>
      </c>
      <c r="D2230" s="0" t="n">
        <v>5495447</v>
      </c>
      <c r="E2230" s="0" t="n">
        <v>0.99</v>
      </c>
      <c r="F2230" s="0" t="n">
        <v>0</v>
      </c>
      <c r="G2230" s="0" t="n">
        <v>0</v>
      </c>
      <c r="H2230" s="0" t="n">
        <v>0.6</v>
      </c>
      <c r="I2230" s="0" t="n">
        <v>0</v>
      </c>
      <c r="J2230" s="0" t="n">
        <v>0</v>
      </c>
      <c r="K2230" s="0" t="n">
        <v>0.39</v>
      </c>
      <c r="L2230" s="0" t="n">
        <v>0</v>
      </c>
      <c r="M2230" s="0" t="n">
        <v>0</v>
      </c>
      <c r="N2230" s="0" t="n">
        <v>0</v>
      </c>
      <c r="O2230" s="0" t="n">
        <v>414.14</v>
      </c>
    </row>
    <row r="2231" customFormat="false" ht="15" hidden="false" customHeight="false" outlineLevel="0" collapsed="false">
      <c r="A2231" s="0" t="s">
        <v>327</v>
      </c>
      <c r="B2231" s="0" t="s">
        <v>566</v>
      </c>
      <c r="C2231" s="0" t="n">
        <v>2015</v>
      </c>
      <c r="D2231" s="0" t="n">
        <v>3960034</v>
      </c>
      <c r="E2231" s="0" t="n">
        <v>10.3</v>
      </c>
      <c r="F2231" s="0" t="n">
        <v>0.71</v>
      </c>
      <c r="G2231" s="0" t="n">
        <v>0</v>
      </c>
      <c r="H2231" s="0" t="n">
        <v>2.86</v>
      </c>
      <c r="I2231" s="0" t="n">
        <v>0</v>
      </c>
      <c r="J2231" s="0" t="n">
        <v>6.26</v>
      </c>
      <c r="K2231" s="0" t="n">
        <v>0.02</v>
      </c>
      <c r="L2231" s="0" t="n">
        <v>0.42</v>
      </c>
      <c r="M2231" s="0" t="n">
        <v>0.03</v>
      </c>
      <c r="N2231" s="0" t="n">
        <v>0</v>
      </c>
      <c r="O2231" s="0" t="n">
        <v>258.25</v>
      </c>
    </row>
    <row r="2232" customFormat="false" ht="15" hidden="false" customHeight="false" outlineLevel="0" collapsed="false">
      <c r="A2232" s="0" t="s">
        <v>327</v>
      </c>
      <c r="B2232" s="0" t="s">
        <v>566</v>
      </c>
      <c r="C2232" s="0" t="n">
        <v>2016</v>
      </c>
      <c r="D2232" s="0" t="n">
        <v>4029085</v>
      </c>
      <c r="E2232" s="0" t="n">
        <v>10.88</v>
      </c>
      <c r="F2232" s="0" t="n">
        <v>0.66</v>
      </c>
      <c r="G2232" s="0" t="n">
        <v>0</v>
      </c>
      <c r="H2232" s="0" t="n">
        <v>2.97</v>
      </c>
      <c r="I2232" s="0" t="n">
        <v>0</v>
      </c>
      <c r="J2232" s="0" t="n">
        <v>6.52</v>
      </c>
      <c r="K2232" s="0" t="n">
        <v>0.07</v>
      </c>
      <c r="L2232" s="0" t="n">
        <v>0.63</v>
      </c>
      <c r="M2232" s="0" t="n">
        <v>0.03</v>
      </c>
      <c r="N2232" s="0" t="n">
        <v>0</v>
      </c>
      <c r="O2232" s="0" t="n">
        <v>247.24</v>
      </c>
    </row>
    <row r="2233" customFormat="false" ht="15" hidden="false" customHeight="false" outlineLevel="0" collapsed="false">
      <c r="A2233" s="0" t="s">
        <v>327</v>
      </c>
      <c r="B2233" s="0" t="s">
        <v>566</v>
      </c>
      <c r="C2233" s="0" t="n">
        <v>2017</v>
      </c>
      <c r="D2233" s="0" t="n">
        <v>4098704</v>
      </c>
      <c r="E2233" s="0" t="n">
        <v>11.04</v>
      </c>
      <c r="F2233" s="0" t="n">
        <v>0.17</v>
      </c>
      <c r="G2233" s="0" t="n">
        <v>0</v>
      </c>
      <c r="H2233" s="0" t="n">
        <v>2.94</v>
      </c>
      <c r="I2233" s="0" t="n">
        <v>0</v>
      </c>
      <c r="J2233" s="0" t="n">
        <v>7.25</v>
      </c>
      <c r="K2233" s="0" t="n">
        <v>0.16</v>
      </c>
      <c r="L2233" s="0" t="n">
        <v>0.49</v>
      </c>
      <c r="M2233" s="0" t="n">
        <v>0.03</v>
      </c>
      <c r="N2233" s="0" t="n">
        <v>0</v>
      </c>
      <c r="O2233" s="0" t="n">
        <v>205.62</v>
      </c>
    </row>
    <row r="2234" customFormat="false" ht="15" hidden="false" customHeight="false" outlineLevel="0" collapsed="false">
      <c r="A2234" s="0" t="s">
        <v>327</v>
      </c>
      <c r="B2234" s="0" t="s">
        <v>566</v>
      </c>
      <c r="C2234" s="0" t="n">
        <v>2018</v>
      </c>
      <c r="D2234" s="0" t="n">
        <v>4167860</v>
      </c>
      <c r="E2234" s="0" t="n">
        <v>11.2</v>
      </c>
      <c r="F2234" s="0" t="n">
        <v>0.48</v>
      </c>
      <c r="G2234" s="0" t="n">
        <v>0.62</v>
      </c>
      <c r="H2234" s="0" t="n">
        <v>1.39</v>
      </c>
      <c r="I2234" s="0" t="n">
        <v>0</v>
      </c>
      <c r="J2234" s="0" t="n">
        <v>7.86</v>
      </c>
      <c r="K2234" s="0" t="n">
        <v>0.23</v>
      </c>
      <c r="L2234" s="0" t="n">
        <v>0.59</v>
      </c>
      <c r="M2234" s="0" t="n">
        <v>0.03</v>
      </c>
      <c r="N2234" s="0" t="n">
        <v>0</v>
      </c>
      <c r="O2234" s="0" t="n">
        <v>169.64</v>
      </c>
    </row>
    <row r="2235" customFormat="false" ht="15" hidden="false" customHeight="false" outlineLevel="0" collapsed="false">
      <c r="A2235" s="0" t="s">
        <v>327</v>
      </c>
      <c r="B2235" s="0" t="s">
        <v>566</v>
      </c>
      <c r="C2235" s="0" t="n">
        <v>2019</v>
      </c>
      <c r="D2235" s="0" t="n">
        <v>4234698</v>
      </c>
      <c r="E2235" s="0" t="n">
        <v>11.64</v>
      </c>
      <c r="F2235" s="0" t="n">
        <v>1.07</v>
      </c>
      <c r="G2235" s="0" t="n">
        <v>2.81</v>
      </c>
      <c r="H2235" s="0" t="n">
        <v>1.62</v>
      </c>
      <c r="I2235" s="0" t="n">
        <v>0</v>
      </c>
      <c r="J2235" s="0" t="n">
        <v>5.1</v>
      </c>
      <c r="K2235" s="0" t="n">
        <v>0.29</v>
      </c>
      <c r="L2235" s="0" t="n">
        <v>0.72</v>
      </c>
      <c r="M2235" s="0" t="n">
        <v>0.03</v>
      </c>
      <c r="N2235" s="0" t="n">
        <v>0</v>
      </c>
      <c r="O2235" s="0" t="n">
        <v>325.6</v>
      </c>
    </row>
    <row r="2236" customFormat="false" ht="15" hidden="false" customHeight="false" outlineLevel="0" collapsed="false">
      <c r="A2236" s="0" t="s">
        <v>327</v>
      </c>
      <c r="B2236" s="0" t="s">
        <v>566</v>
      </c>
      <c r="C2236" s="0" t="n">
        <v>2020</v>
      </c>
      <c r="D2236" s="0" t="n">
        <v>4293258</v>
      </c>
      <c r="E2236" s="0" t="n">
        <v>10.94</v>
      </c>
      <c r="F2236" s="0" t="n">
        <v>0.61</v>
      </c>
      <c r="G2236" s="0" t="n">
        <v>1.4</v>
      </c>
      <c r="H2236" s="0" t="n">
        <v>0.65</v>
      </c>
      <c r="I2236" s="0" t="n">
        <v>0</v>
      </c>
      <c r="J2236" s="0" t="n">
        <v>7.35</v>
      </c>
      <c r="K2236" s="0" t="n">
        <v>0.32</v>
      </c>
      <c r="L2236" s="0" t="n">
        <v>0.58</v>
      </c>
      <c r="M2236" s="0" t="n">
        <v>0.03</v>
      </c>
      <c r="N2236" s="0" t="n">
        <v>0</v>
      </c>
      <c r="O2236" s="0" t="n">
        <v>180.99</v>
      </c>
    </row>
    <row r="2237" customFormat="false" ht="15" hidden="false" customHeight="false" outlineLevel="0" collapsed="false">
      <c r="A2237" s="0" t="s">
        <v>327</v>
      </c>
      <c r="B2237" s="0" t="s">
        <v>566</v>
      </c>
      <c r="C2237" s="0" t="n">
        <v>2021</v>
      </c>
      <c r="D2237" s="0" t="n">
        <v>4345410</v>
      </c>
      <c r="E2237" s="0" t="n">
        <v>12.11</v>
      </c>
      <c r="F2237" s="0" t="n">
        <v>0.5</v>
      </c>
      <c r="G2237" s="0" t="n">
        <v>1.59</v>
      </c>
      <c r="H2237" s="0" t="n">
        <v>0.53</v>
      </c>
      <c r="I2237" s="0" t="n">
        <v>0</v>
      </c>
      <c r="J2237" s="0" t="n">
        <v>8.34</v>
      </c>
      <c r="K2237" s="0" t="n">
        <v>0.59</v>
      </c>
      <c r="L2237" s="0" t="n">
        <v>0.53</v>
      </c>
      <c r="M2237" s="0" t="n">
        <v>0.03</v>
      </c>
      <c r="N2237" s="0" t="n">
        <v>0</v>
      </c>
      <c r="O2237" s="0" t="n">
        <v>161.85</v>
      </c>
    </row>
    <row r="2238" customFormat="false" ht="15" hidden="false" customHeight="false" outlineLevel="0" collapsed="false">
      <c r="A2238" s="0" t="s">
        <v>327</v>
      </c>
      <c r="B2238" s="0" t="s">
        <v>566</v>
      </c>
      <c r="C2238" s="0" t="n">
        <v>2022</v>
      </c>
      <c r="D2238" s="0" t="n">
        <v>4400775</v>
      </c>
      <c r="E2238" s="0" t="n">
        <v>12.25</v>
      </c>
      <c r="F2238" s="0" t="n">
        <v>0.5</v>
      </c>
      <c r="G2238" s="0" t="n">
        <v>1.42</v>
      </c>
      <c r="H2238" s="0" t="n">
        <v>0.87</v>
      </c>
      <c r="I2238" s="0" t="n">
        <v>0</v>
      </c>
      <c r="J2238" s="0" t="n">
        <v>8.12</v>
      </c>
      <c r="K2238" s="0" t="n">
        <v>0.7</v>
      </c>
      <c r="L2238" s="0" t="n">
        <v>0.58</v>
      </c>
      <c r="M2238" s="0" t="n">
        <v>0.06</v>
      </c>
      <c r="N2238" s="0" t="n">
        <v>0</v>
      </c>
      <c r="O2238" s="0" t="n">
        <v>168.98</v>
      </c>
    </row>
    <row r="2239" customFormat="false" ht="15" hidden="false" customHeight="false" outlineLevel="0" collapsed="false">
      <c r="A2239" s="0" t="s">
        <v>327</v>
      </c>
      <c r="B2239" s="0" t="s">
        <v>566</v>
      </c>
      <c r="C2239" s="0" t="n">
        <v>2023</v>
      </c>
      <c r="D2239" s="0" t="n">
        <v>4458758</v>
      </c>
      <c r="E2239" s="0" t="n">
        <v>13.11</v>
      </c>
      <c r="F2239" s="0" t="n">
        <v>0.46</v>
      </c>
      <c r="G2239" s="0" t="n">
        <v>2.79</v>
      </c>
      <c r="H2239" s="0" t="n">
        <v>1.91</v>
      </c>
      <c r="I2239" s="0" t="n">
        <v>0</v>
      </c>
      <c r="J2239" s="0" t="n">
        <v>6.15</v>
      </c>
      <c r="K2239" s="0" t="n">
        <v>0.87</v>
      </c>
      <c r="L2239" s="0" t="n">
        <v>0.89</v>
      </c>
      <c r="M2239" s="0" t="n">
        <v>0.04</v>
      </c>
      <c r="N2239" s="0" t="n">
        <v>0</v>
      </c>
      <c r="O2239" s="0" t="n">
        <v>266.21</v>
      </c>
    </row>
    <row r="2240" customFormat="false" ht="15" hidden="false" customHeight="false" outlineLevel="0" collapsed="false">
      <c r="A2240" s="0" t="s">
        <v>327</v>
      </c>
      <c r="B2240" s="0" t="s">
        <v>566</v>
      </c>
      <c r="C2240" s="0" t="n">
        <v>2024</v>
      </c>
      <c r="D2240" s="0" t="n">
        <v>4515576</v>
      </c>
      <c r="E2240" s="0" t="n">
        <v>13.43</v>
      </c>
      <c r="F2240" s="0" t="n">
        <v>0.5</v>
      </c>
      <c r="G2240" s="0" t="n">
        <v>2.8</v>
      </c>
      <c r="H2240" s="0" t="n">
        <v>1</v>
      </c>
      <c r="I2240" s="0" t="n">
        <v>0</v>
      </c>
      <c r="J2240" s="0" t="n">
        <v>7.13</v>
      </c>
      <c r="K2240" s="0" t="n">
        <v>0.99</v>
      </c>
      <c r="L2240" s="0" t="n">
        <v>0.96</v>
      </c>
      <c r="M2240" s="0" t="n">
        <v>0.05</v>
      </c>
      <c r="N2240" s="0" t="n">
        <v>0</v>
      </c>
      <c r="O2240" s="0" t="n">
        <v>221.15</v>
      </c>
    </row>
    <row r="2241" customFormat="false" ht="15" hidden="false" customHeight="false" outlineLevel="0" collapsed="false">
      <c r="A2241" s="0" t="s">
        <v>328</v>
      </c>
      <c r="B2241" s="0" t="s">
        <v>567</v>
      </c>
      <c r="C2241" s="0" t="n">
        <v>2015</v>
      </c>
      <c r="D2241" s="0" t="n">
        <v>8743247</v>
      </c>
      <c r="E2241" s="0" t="n">
        <v>4.53</v>
      </c>
      <c r="F2241" s="0" t="n">
        <v>0</v>
      </c>
      <c r="G2241" s="0" t="n">
        <v>0.68</v>
      </c>
      <c r="H2241" s="0" t="n">
        <v>2.43</v>
      </c>
      <c r="I2241" s="0" t="n">
        <v>0</v>
      </c>
      <c r="J2241" s="0" t="n">
        <v>1</v>
      </c>
      <c r="K2241" s="0" t="n">
        <v>0</v>
      </c>
      <c r="L2241" s="0" t="n">
        <v>0</v>
      </c>
      <c r="M2241" s="0" t="n">
        <v>0.02</v>
      </c>
      <c r="N2241" s="0" t="n">
        <v>0.4</v>
      </c>
      <c r="O2241" s="0" t="n">
        <v>465.78</v>
      </c>
    </row>
    <row r="2242" customFormat="false" ht="15" hidden="false" customHeight="false" outlineLevel="0" collapsed="false">
      <c r="A2242" s="0" t="s">
        <v>328</v>
      </c>
      <c r="B2242" s="0" t="s">
        <v>567</v>
      </c>
      <c r="C2242" s="0" t="n">
        <v>2016</v>
      </c>
      <c r="D2242" s="0" t="n">
        <v>8961717</v>
      </c>
      <c r="E2242" s="0" t="n">
        <v>4.77</v>
      </c>
      <c r="F2242" s="0" t="n">
        <v>0</v>
      </c>
      <c r="G2242" s="0" t="n">
        <v>0.83</v>
      </c>
      <c r="H2242" s="0" t="n">
        <v>2.52</v>
      </c>
      <c r="I2242" s="0" t="n">
        <v>0</v>
      </c>
      <c r="J2242" s="0" t="n">
        <v>1</v>
      </c>
      <c r="K2242" s="0" t="n">
        <v>0</v>
      </c>
      <c r="L2242" s="0" t="n">
        <v>0</v>
      </c>
      <c r="M2242" s="0" t="n">
        <v>0.02</v>
      </c>
      <c r="N2242" s="0" t="n">
        <v>0.4</v>
      </c>
      <c r="O2242" s="0" t="n">
        <v>477.99</v>
      </c>
    </row>
    <row r="2243" customFormat="false" ht="15" hidden="false" customHeight="false" outlineLevel="0" collapsed="false">
      <c r="A2243" s="0" t="s">
        <v>328</v>
      </c>
      <c r="B2243" s="0" t="s">
        <v>567</v>
      </c>
      <c r="C2243" s="0" t="n">
        <v>2017</v>
      </c>
      <c r="D2243" s="0" t="n">
        <v>9178717</v>
      </c>
      <c r="E2243" s="0" t="n">
        <v>4.35</v>
      </c>
      <c r="F2243" s="0" t="n">
        <v>0</v>
      </c>
      <c r="G2243" s="0" t="n">
        <v>0.87</v>
      </c>
      <c r="H2243" s="0" t="n">
        <v>2.27</v>
      </c>
      <c r="I2243" s="0" t="n">
        <v>0</v>
      </c>
      <c r="J2243" s="0" t="n">
        <v>0.79</v>
      </c>
      <c r="K2243" s="0" t="n">
        <v>0</v>
      </c>
      <c r="L2243" s="0" t="n">
        <v>0</v>
      </c>
      <c r="M2243" s="0" t="n">
        <v>0.02</v>
      </c>
      <c r="N2243" s="0" t="n">
        <v>0.4</v>
      </c>
      <c r="O2243" s="0" t="n">
        <v>491.95</v>
      </c>
    </row>
    <row r="2244" customFormat="false" ht="15" hidden="false" customHeight="false" outlineLevel="0" collapsed="false">
      <c r="A2244" s="0" t="s">
        <v>328</v>
      </c>
      <c r="B2244" s="0" t="s">
        <v>567</v>
      </c>
      <c r="C2244" s="0" t="n">
        <v>2018</v>
      </c>
      <c r="D2244" s="0" t="n">
        <v>9394518</v>
      </c>
      <c r="E2244" s="0" t="n">
        <v>4.36</v>
      </c>
      <c r="F2244" s="0" t="n">
        <v>0</v>
      </c>
      <c r="G2244" s="0" t="n">
        <v>0.88</v>
      </c>
      <c r="H2244" s="0" t="n">
        <v>2.48</v>
      </c>
      <c r="I2244" s="0" t="n">
        <v>0</v>
      </c>
      <c r="J2244" s="0" t="n">
        <v>0.85</v>
      </c>
      <c r="K2244" s="0" t="n">
        <v>0</v>
      </c>
      <c r="L2244" s="0" t="n">
        <v>0</v>
      </c>
      <c r="M2244" s="0" t="n">
        <v>0.02</v>
      </c>
      <c r="N2244" s="0" t="n">
        <v>0.13</v>
      </c>
      <c r="O2244" s="0" t="n">
        <v>518.35</v>
      </c>
    </row>
    <row r="2245" customFormat="false" ht="15" hidden="false" customHeight="false" outlineLevel="0" collapsed="false">
      <c r="A2245" s="0" t="s">
        <v>328</v>
      </c>
      <c r="B2245" s="0" t="s">
        <v>567</v>
      </c>
      <c r="C2245" s="0" t="n">
        <v>2019</v>
      </c>
      <c r="D2245" s="0" t="n">
        <v>9609014</v>
      </c>
      <c r="E2245" s="0" t="n">
        <v>4.28</v>
      </c>
      <c r="F2245" s="0" t="n">
        <v>0</v>
      </c>
      <c r="G2245" s="0" t="n">
        <v>0.61</v>
      </c>
      <c r="H2245" s="0" t="n">
        <v>2.54</v>
      </c>
      <c r="I2245" s="0" t="n">
        <v>0</v>
      </c>
      <c r="J2245" s="0" t="n">
        <v>1.01</v>
      </c>
      <c r="K2245" s="0" t="n">
        <v>0</v>
      </c>
      <c r="L2245" s="0" t="n">
        <v>0</v>
      </c>
      <c r="M2245" s="0" t="n">
        <v>0.02</v>
      </c>
      <c r="N2245" s="0" t="n">
        <v>0.1</v>
      </c>
      <c r="O2245" s="0" t="n">
        <v>495.33</v>
      </c>
    </row>
    <row r="2246" customFormat="false" ht="15" hidden="false" customHeight="false" outlineLevel="0" collapsed="false">
      <c r="A2246" s="0" t="s">
        <v>328</v>
      </c>
      <c r="B2246" s="0" t="s">
        <v>567</v>
      </c>
      <c r="C2246" s="0" t="n">
        <v>2020</v>
      </c>
      <c r="D2246" s="0" t="n">
        <v>9815743</v>
      </c>
      <c r="E2246" s="0" t="n">
        <v>4.1</v>
      </c>
      <c r="F2246" s="0" t="n">
        <v>0</v>
      </c>
      <c r="G2246" s="0" t="n">
        <v>0.82</v>
      </c>
      <c r="H2246" s="0" t="n">
        <v>2.16</v>
      </c>
      <c r="I2246" s="0" t="n">
        <v>0</v>
      </c>
      <c r="J2246" s="0" t="n">
        <v>1.01</v>
      </c>
      <c r="K2246" s="0" t="n">
        <v>0</v>
      </c>
      <c r="L2246" s="0" t="n">
        <v>0</v>
      </c>
      <c r="M2246" s="0" t="n">
        <v>0.01</v>
      </c>
      <c r="N2246" s="0" t="n">
        <v>0.1</v>
      </c>
      <c r="O2246" s="0" t="n">
        <v>490.24</v>
      </c>
    </row>
    <row r="2247" customFormat="false" ht="15" hidden="false" customHeight="false" outlineLevel="0" collapsed="false">
      <c r="A2247" s="0" t="s">
        <v>328</v>
      </c>
      <c r="B2247" s="0" t="s">
        <v>567</v>
      </c>
      <c r="C2247" s="0" t="n">
        <v>2021</v>
      </c>
      <c r="D2247" s="0" t="n">
        <v>10012898</v>
      </c>
      <c r="E2247" s="0" t="n">
        <v>4.53</v>
      </c>
      <c r="F2247" s="0" t="n">
        <v>0</v>
      </c>
      <c r="G2247" s="0" t="n">
        <v>0.86</v>
      </c>
      <c r="H2247" s="0" t="n">
        <v>2.55</v>
      </c>
      <c r="I2247" s="0" t="n">
        <v>0</v>
      </c>
      <c r="J2247" s="0" t="n">
        <v>1.01</v>
      </c>
      <c r="K2247" s="0" t="n">
        <v>0</v>
      </c>
      <c r="L2247" s="0" t="n">
        <v>0</v>
      </c>
      <c r="M2247" s="0" t="n">
        <v>0.01</v>
      </c>
      <c r="N2247" s="0" t="n">
        <v>0.1</v>
      </c>
      <c r="O2247" s="0" t="n">
        <v>507.73</v>
      </c>
    </row>
    <row r="2248" customFormat="false" ht="15" hidden="false" customHeight="false" outlineLevel="0" collapsed="false">
      <c r="A2248" s="0" t="s">
        <v>328</v>
      </c>
      <c r="B2248" s="0" t="s">
        <v>567</v>
      </c>
      <c r="C2248" s="0" t="n">
        <v>2022</v>
      </c>
      <c r="D2248" s="0" t="n">
        <v>10203177</v>
      </c>
      <c r="E2248" s="0" t="n">
        <v>4.59</v>
      </c>
      <c r="F2248" s="0" t="n">
        <v>0</v>
      </c>
      <c r="G2248" s="0" t="n">
        <v>0.91</v>
      </c>
      <c r="H2248" s="0" t="n">
        <v>2.71</v>
      </c>
      <c r="I2248" s="0" t="n">
        <v>0</v>
      </c>
      <c r="J2248" s="0" t="n">
        <v>0.85</v>
      </c>
      <c r="K2248" s="0" t="n">
        <v>0.01</v>
      </c>
      <c r="L2248" s="0" t="n">
        <v>0</v>
      </c>
      <c r="M2248" s="0" t="n">
        <v>0.01</v>
      </c>
      <c r="N2248" s="0" t="n">
        <v>0.1</v>
      </c>
      <c r="O2248" s="0" t="n">
        <v>529.41</v>
      </c>
    </row>
    <row r="2249" customFormat="false" ht="15" hidden="false" customHeight="false" outlineLevel="0" collapsed="false">
      <c r="A2249" s="0" t="s">
        <v>328</v>
      </c>
      <c r="B2249" s="0" t="s">
        <v>567</v>
      </c>
      <c r="C2249" s="0" t="n">
        <v>2023</v>
      </c>
      <c r="D2249" s="0" t="n">
        <v>10389638</v>
      </c>
      <c r="E2249" s="0" t="n">
        <v>4.73</v>
      </c>
      <c r="F2249" s="0" t="n">
        <v>0</v>
      </c>
      <c r="G2249" s="0" t="n">
        <v>0.91</v>
      </c>
      <c r="H2249" s="0" t="n">
        <v>2.7</v>
      </c>
      <c r="I2249" s="0" t="n">
        <v>0</v>
      </c>
      <c r="J2249" s="0" t="n">
        <v>1</v>
      </c>
      <c r="K2249" s="0" t="n">
        <v>0.01</v>
      </c>
      <c r="L2249" s="0" t="n">
        <v>0</v>
      </c>
      <c r="M2249" s="0" t="n">
        <v>0.01</v>
      </c>
      <c r="N2249" s="0" t="n">
        <v>0.1</v>
      </c>
      <c r="O2249" s="0" t="n">
        <v>513.74</v>
      </c>
    </row>
    <row r="2250" customFormat="false" ht="15" hidden="false" customHeight="false" outlineLevel="0" collapsed="false">
      <c r="A2250" s="0" t="s">
        <v>328</v>
      </c>
      <c r="B2250" s="0" t="s">
        <v>567</v>
      </c>
      <c r="C2250" s="0" t="n">
        <v>2024</v>
      </c>
      <c r="D2250" s="0" t="n">
        <v>10576509</v>
      </c>
      <c r="E2250" s="0" t="n">
        <v>4.73</v>
      </c>
      <c r="F2250" s="0" t="n">
        <v>0</v>
      </c>
      <c r="G2250" s="0" t="n">
        <v>0.91</v>
      </c>
      <c r="H2250" s="0" t="n">
        <v>2.7</v>
      </c>
      <c r="I2250" s="0" t="n">
        <v>0</v>
      </c>
      <c r="J2250" s="0" t="n">
        <v>1</v>
      </c>
      <c r="K2250" s="0" t="n">
        <v>0.01</v>
      </c>
      <c r="L2250" s="0" t="n">
        <v>0</v>
      </c>
      <c r="M2250" s="0" t="n">
        <v>0.01</v>
      </c>
      <c r="N2250" s="0" t="n">
        <v>0.1</v>
      </c>
      <c r="O2250" s="0" t="n">
        <v>513.74</v>
      </c>
    </row>
    <row r="2251" customFormat="false" ht="15" hidden="false" customHeight="false" outlineLevel="0" collapsed="false">
      <c r="A2251" s="0" t="s">
        <v>329</v>
      </c>
      <c r="B2251" s="0" t="s">
        <v>568</v>
      </c>
      <c r="C2251" s="0" t="n">
        <v>2015</v>
      </c>
      <c r="D2251" s="0" t="n">
        <v>6159106</v>
      </c>
      <c r="E2251" s="0" t="n">
        <v>55.89</v>
      </c>
      <c r="F2251" s="0" t="n">
        <v>0</v>
      </c>
      <c r="G2251" s="0" t="n">
        <v>0</v>
      </c>
      <c r="H2251" s="0" t="n">
        <v>0</v>
      </c>
      <c r="I2251" s="0" t="n">
        <v>0</v>
      </c>
      <c r="J2251" s="0" t="n">
        <v>55.74</v>
      </c>
      <c r="K2251" s="0" t="n">
        <v>0</v>
      </c>
      <c r="L2251" s="0" t="n">
        <v>0</v>
      </c>
      <c r="M2251" s="0" t="n">
        <v>0.15</v>
      </c>
      <c r="N2251" s="0" t="n">
        <v>0</v>
      </c>
      <c r="O2251" s="0" t="n">
        <v>24.16</v>
      </c>
    </row>
    <row r="2252" customFormat="false" ht="15" hidden="false" customHeight="false" outlineLevel="0" collapsed="false">
      <c r="A2252" s="0" t="s">
        <v>329</v>
      </c>
      <c r="B2252" s="0" t="s">
        <v>568</v>
      </c>
      <c r="C2252" s="0" t="n">
        <v>2016</v>
      </c>
      <c r="D2252" s="0" t="n">
        <v>6249129</v>
      </c>
      <c r="E2252" s="0" t="n">
        <v>63.94</v>
      </c>
      <c r="F2252" s="0" t="n">
        <v>0</v>
      </c>
      <c r="G2252" s="0" t="n">
        <v>0</v>
      </c>
      <c r="H2252" s="0" t="n">
        <v>0</v>
      </c>
      <c r="I2252" s="0" t="n">
        <v>0</v>
      </c>
      <c r="J2252" s="0" t="n">
        <v>63.77</v>
      </c>
      <c r="K2252" s="0" t="n">
        <v>0</v>
      </c>
      <c r="L2252" s="0" t="n">
        <v>0</v>
      </c>
      <c r="M2252" s="0" t="n">
        <v>0.17</v>
      </c>
      <c r="N2252" s="0" t="n">
        <v>0</v>
      </c>
      <c r="O2252" s="0" t="n">
        <v>24.4</v>
      </c>
    </row>
    <row r="2253" customFormat="false" ht="15" hidden="false" customHeight="false" outlineLevel="0" collapsed="false">
      <c r="A2253" s="0" t="s">
        <v>329</v>
      </c>
      <c r="B2253" s="0" t="s">
        <v>568</v>
      </c>
      <c r="C2253" s="0" t="n">
        <v>2017</v>
      </c>
      <c r="D2253" s="0" t="n">
        <v>6338658</v>
      </c>
      <c r="E2253" s="0" t="n">
        <v>59.82</v>
      </c>
      <c r="F2253" s="0" t="n">
        <v>0</v>
      </c>
      <c r="G2253" s="0" t="n">
        <v>0</v>
      </c>
      <c r="H2253" s="0" t="n">
        <v>0</v>
      </c>
      <c r="I2253" s="0" t="n">
        <v>0</v>
      </c>
      <c r="J2253" s="0" t="n">
        <v>59.68</v>
      </c>
      <c r="K2253" s="0" t="n">
        <v>0</v>
      </c>
      <c r="L2253" s="0" t="n">
        <v>0</v>
      </c>
      <c r="M2253" s="0" t="n">
        <v>0.14</v>
      </c>
      <c r="N2253" s="0" t="n">
        <v>0</v>
      </c>
      <c r="O2253" s="0" t="n">
        <v>24.24</v>
      </c>
    </row>
    <row r="2254" customFormat="false" ht="15" hidden="false" customHeight="false" outlineLevel="0" collapsed="false">
      <c r="A2254" s="0" t="s">
        <v>329</v>
      </c>
      <c r="B2254" s="0" t="s">
        <v>568</v>
      </c>
      <c r="C2254" s="0" t="n">
        <v>2018</v>
      </c>
      <c r="D2254" s="0" t="n">
        <v>6427382</v>
      </c>
      <c r="E2254" s="0" t="n">
        <v>59.34</v>
      </c>
      <c r="F2254" s="0" t="n">
        <v>0</v>
      </c>
      <c r="G2254" s="0" t="n">
        <v>0</v>
      </c>
      <c r="H2254" s="0" t="n">
        <v>0</v>
      </c>
      <c r="I2254" s="0" t="n">
        <v>0</v>
      </c>
      <c r="J2254" s="0" t="n">
        <v>59.21</v>
      </c>
      <c r="K2254" s="0" t="n">
        <v>0</v>
      </c>
      <c r="L2254" s="0" t="n">
        <v>0</v>
      </c>
      <c r="M2254" s="0" t="n">
        <v>0.13</v>
      </c>
      <c r="N2254" s="0" t="n">
        <v>0</v>
      </c>
      <c r="O2254" s="0" t="n">
        <v>24.27</v>
      </c>
    </row>
    <row r="2255" customFormat="false" ht="15" hidden="false" customHeight="false" outlineLevel="0" collapsed="false">
      <c r="A2255" s="0" t="s">
        <v>329</v>
      </c>
      <c r="B2255" s="0" t="s">
        <v>568</v>
      </c>
      <c r="C2255" s="0" t="n">
        <v>2019</v>
      </c>
      <c r="D2255" s="0" t="n">
        <v>6515059</v>
      </c>
      <c r="E2255" s="0" t="n">
        <v>49.59</v>
      </c>
      <c r="F2255" s="0" t="n">
        <v>0</v>
      </c>
      <c r="G2255" s="0" t="n">
        <v>0</v>
      </c>
      <c r="H2255" s="0" t="n">
        <v>0</v>
      </c>
      <c r="I2255" s="0" t="n">
        <v>0</v>
      </c>
      <c r="J2255" s="0" t="n">
        <v>49.45</v>
      </c>
      <c r="K2255" s="0" t="n">
        <v>0</v>
      </c>
      <c r="L2255" s="0" t="n">
        <v>0</v>
      </c>
      <c r="M2255" s="0" t="n">
        <v>0.14</v>
      </c>
      <c r="N2255" s="0" t="n">
        <v>0</v>
      </c>
      <c r="O2255" s="0" t="n">
        <v>24.2</v>
      </c>
    </row>
    <row r="2256" customFormat="false" ht="15" hidden="false" customHeight="false" outlineLevel="0" collapsed="false">
      <c r="A2256" s="0" t="s">
        <v>329</v>
      </c>
      <c r="B2256" s="0" t="s">
        <v>568</v>
      </c>
      <c r="C2256" s="0" t="n">
        <v>2020</v>
      </c>
      <c r="D2256" s="0" t="n">
        <v>6603741</v>
      </c>
      <c r="E2256" s="0" t="n">
        <v>46.63</v>
      </c>
      <c r="F2256" s="0" t="n">
        <v>0</v>
      </c>
      <c r="G2256" s="0" t="n">
        <v>0</v>
      </c>
      <c r="H2256" s="0" t="n">
        <v>0</v>
      </c>
      <c r="I2256" s="0" t="n">
        <v>0</v>
      </c>
      <c r="J2256" s="0" t="n">
        <v>46.37</v>
      </c>
      <c r="K2256" s="0" t="n">
        <v>0</v>
      </c>
      <c r="L2256" s="0" t="n">
        <v>0</v>
      </c>
      <c r="M2256" s="0" t="n">
        <v>0.26</v>
      </c>
      <c r="N2256" s="0" t="n">
        <v>0</v>
      </c>
      <c r="O2256" s="0" t="n">
        <v>24.88</v>
      </c>
    </row>
    <row r="2257" customFormat="false" ht="15" hidden="false" customHeight="false" outlineLevel="0" collapsed="false">
      <c r="A2257" s="0" t="s">
        <v>329</v>
      </c>
      <c r="B2257" s="0" t="s">
        <v>568</v>
      </c>
      <c r="C2257" s="0" t="n">
        <v>2021</v>
      </c>
      <c r="D2257" s="0" t="n">
        <v>6684184</v>
      </c>
      <c r="E2257" s="0" t="n">
        <v>40.84</v>
      </c>
      <c r="F2257" s="0" t="n">
        <v>0</v>
      </c>
      <c r="G2257" s="0" t="n">
        <v>0</v>
      </c>
      <c r="H2257" s="0" t="n">
        <v>0</v>
      </c>
      <c r="I2257" s="0" t="n">
        <v>0</v>
      </c>
      <c r="J2257" s="0" t="n">
        <v>40.57</v>
      </c>
      <c r="K2257" s="0" t="n">
        <v>0</v>
      </c>
      <c r="L2257" s="0" t="n">
        <v>0</v>
      </c>
      <c r="M2257" s="0" t="n">
        <v>0.27</v>
      </c>
      <c r="N2257" s="0" t="n">
        <v>0</v>
      </c>
      <c r="O2257" s="0" t="n">
        <v>24.98</v>
      </c>
    </row>
    <row r="2258" customFormat="false" ht="15" hidden="false" customHeight="false" outlineLevel="0" collapsed="false">
      <c r="A2258" s="0" t="s">
        <v>329</v>
      </c>
      <c r="B2258" s="0" t="s">
        <v>568</v>
      </c>
      <c r="C2258" s="0" t="n">
        <v>2022</v>
      </c>
      <c r="D2258" s="0" t="n">
        <v>6760460</v>
      </c>
      <c r="E2258" s="0" t="n">
        <v>44.11</v>
      </c>
      <c r="F2258" s="0" t="n">
        <v>0</v>
      </c>
      <c r="G2258" s="0" t="n">
        <v>0</v>
      </c>
      <c r="H2258" s="0" t="n">
        <v>0</v>
      </c>
      <c r="I2258" s="0" t="n">
        <v>0</v>
      </c>
      <c r="J2258" s="0" t="n">
        <v>43.87</v>
      </c>
      <c r="K2258" s="0" t="n">
        <v>0</v>
      </c>
      <c r="L2258" s="0" t="n">
        <v>0</v>
      </c>
      <c r="M2258" s="0" t="n">
        <v>0.24</v>
      </c>
      <c r="N2258" s="0" t="n">
        <v>0</v>
      </c>
      <c r="O2258" s="0" t="n">
        <v>24.71</v>
      </c>
    </row>
    <row r="2259" customFormat="false" ht="15" hidden="false" customHeight="false" outlineLevel="0" collapsed="false">
      <c r="A2259" s="0" t="s">
        <v>329</v>
      </c>
      <c r="B2259" s="0" t="s">
        <v>568</v>
      </c>
      <c r="C2259" s="0" t="n">
        <v>2023</v>
      </c>
      <c r="D2259" s="0" t="n">
        <v>6844150</v>
      </c>
      <c r="E2259" s="0" t="n">
        <v>53.04</v>
      </c>
      <c r="F2259" s="0" t="n">
        <v>0</v>
      </c>
      <c r="G2259" s="0" t="n">
        <v>0</v>
      </c>
      <c r="H2259" s="0" t="n">
        <v>0</v>
      </c>
      <c r="I2259" s="0" t="n">
        <v>0</v>
      </c>
      <c r="J2259" s="0" t="n">
        <v>52.8</v>
      </c>
      <c r="K2259" s="0" t="n">
        <v>0</v>
      </c>
      <c r="L2259" s="0" t="n">
        <v>0</v>
      </c>
      <c r="M2259" s="0" t="n">
        <v>0.24</v>
      </c>
      <c r="N2259" s="0" t="n">
        <v>0</v>
      </c>
      <c r="O2259" s="0" t="n">
        <v>24.51</v>
      </c>
    </row>
    <row r="2260" customFormat="false" ht="15" hidden="false" customHeight="false" outlineLevel="0" collapsed="false">
      <c r="A2260" s="0" t="s">
        <v>329</v>
      </c>
      <c r="B2260" s="0" t="s">
        <v>568</v>
      </c>
      <c r="C2260" s="0" t="n">
        <v>2024</v>
      </c>
      <c r="D2260" s="0" t="n">
        <v>6929152</v>
      </c>
      <c r="E2260" s="0" t="n">
        <v>42.41</v>
      </c>
      <c r="F2260" s="0" t="n">
        <v>0</v>
      </c>
      <c r="G2260" s="0" t="n">
        <v>0</v>
      </c>
      <c r="H2260" s="0" t="n">
        <v>0</v>
      </c>
      <c r="I2260" s="0" t="n">
        <v>0</v>
      </c>
      <c r="J2260" s="0" t="n">
        <v>42.17</v>
      </c>
      <c r="K2260" s="0" t="n">
        <v>0</v>
      </c>
      <c r="L2260" s="0" t="n">
        <v>0</v>
      </c>
      <c r="M2260" s="0" t="n">
        <v>0.24</v>
      </c>
      <c r="N2260" s="0" t="n">
        <v>0</v>
      </c>
      <c r="O2260" s="0" t="n">
        <v>24.76</v>
      </c>
    </row>
    <row r="2261" customFormat="false" ht="15" hidden="false" customHeight="false" outlineLevel="0" collapsed="false">
      <c r="A2261" s="0" t="s">
        <v>329</v>
      </c>
      <c r="B2261" s="0" t="s">
        <v>568</v>
      </c>
      <c r="C2261" s="0" t="n">
        <v>2025</v>
      </c>
      <c r="D2261" s="0" t="n">
        <v>7013079</v>
      </c>
      <c r="E2261" s="0" t="n">
        <v>45.35</v>
      </c>
      <c r="F2261" s="0" t="n">
        <v>0</v>
      </c>
      <c r="G2261" s="0" t="n">
        <v>0</v>
      </c>
      <c r="H2261" s="0" t="n">
        <v>0</v>
      </c>
      <c r="I2261" s="0" t="n">
        <v>0</v>
      </c>
      <c r="J2261" s="0" t="n">
        <v>45.11</v>
      </c>
      <c r="K2261" s="0" t="n">
        <v>0</v>
      </c>
      <c r="L2261" s="0" t="n">
        <v>0</v>
      </c>
      <c r="M2261" s="0" t="n">
        <v>0.24</v>
      </c>
      <c r="N2261" s="0" t="n">
        <v>0</v>
      </c>
      <c r="O2261" s="0" t="n">
        <v>24.7</v>
      </c>
    </row>
    <row r="2262" customFormat="false" ht="15" hidden="false" customHeight="false" outlineLevel="0" collapsed="false">
      <c r="A2262" s="0" t="s">
        <v>731</v>
      </c>
      <c r="C2262" s="0" t="n">
        <v>2015</v>
      </c>
    </row>
    <row r="2263" customFormat="false" ht="15" hidden="false" customHeight="false" outlineLevel="0" collapsed="false">
      <c r="A2263" s="0" t="s">
        <v>731</v>
      </c>
      <c r="C2263" s="0" t="n">
        <v>2016</v>
      </c>
    </row>
    <row r="2264" customFormat="false" ht="15" hidden="false" customHeight="false" outlineLevel="0" collapsed="false">
      <c r="A2264" s="0" t="s">
        <v>731</v>
      </c>
      <c r="C2264" s="0" t="n">
        <v>2017</v>
      </c>
    </row>
    <row r="2265" customFormat="false" ht="15" hidden="false" customHeight="false" outlineLevel="0" collapsed="false">
      <c r="A2265" s="0" t="s">
        <v>731</v>
      </c>
      <c r="C2265" s="0" t="n">
        <v>2018</v>
      </c>
    </row>
    <row r="2266" customFormat="false" ht="15" hidden="false" customHeight="false" outlineLevel="0" collapsed="false">
      <c r="A2266" s="0" t="s">
        <v>731</v>
      </c>
      <c r="C2266" s="0" t="n">
        <v>2019</v>
      </c>
    </row>
    <row r="2267" customFormat="false" ht="15" hidden="false" customHeight="false" outlineLevel="0" collapsed="false">
      <c r="A2267" s="0" t="s">
        <v>731</v>
      </c>
      <c r="C2267" s="0" t="n">
        <v>2020</v>
      </c>
    </row>
    <row r="2268" customFormat="false" ht="15" hidden="false" customHeight="false" outlineLevel="0" collapsed="false">
      <c r="A2268" s="0" t="s">
        <v>731</v>
      </c>
      <c r="C2268" s="0" t="n">
        <v>2021</v>
      </c>
    </row>
    <row r="2269" customFormat="false" ht="15" hidden="false" customHeight="false" outlineLevel="0" collapsed="false">
      <c r="A2269" s="0" t="s">
        <v>731</v>
      </c>
      <c r="C2269" s="0" t="n">
        <v>2022</v>
      </c>
    </row>
    <row r="2270" customFormat="false" ht="15" hidden="false" customHeight="false" outlineLevel="0" collapsed="false">
      <c r="A2270" s="0" t="s">
        <v>731</v>
      </c>
      <c r="C2270" s="0" t="n">
        <v>2023</v>
      </c>
    </row>
    <row r="2271" customFormat="false" ht="15" hidden="false" customHeight="false" outlineLevel="0" collapsed="false">
      <c r="A2271" s="0" t="s">
        <v>732</v>
      </c>
      <c r="C2271" s="0" t="n">
        <v>2015</v>
      </c>
    </row>
    <row r="2272" customFormat="false" ht="15" hidden="false" customHeight="false" outlineLevel="0" collapsed="false">
      <c r="A2272" s="0" t="s">
        <v>732</v>
      </c>
      <c r="C2272" s="0" t="n">
        <v>2016</v>
      </c>
    </row>
    <row r="2273" customFormat="false" ht="15" hidden="false" customHeight="false" outlineLevel="0" collapsed="false">
      <c r="A2273" s="0" t="s">
        <v>330</v>
      </c>
      <c r="B2273" s="0" t="s">
        <v>569</v>
      </c>
      <c r="C2273" s="0" t="n">
        <v>2015</v>
      </c>
      <c r="D2273" s="0" t="n">
        <v>30457598</v>
      </c>
      <c r="E2273" s="0" t="n">
        <v>48.27</v>
      </c>
      <c r="F2273" s="0" t="n">
        <v>0.41</v>
      </c>
      <c r="G2273" s="0" t="n">
        <v>21.73</v>
      </c>
      <c r="H2273" s="0" t="n">
        <v>0.68</v>
      </c>
      <c r="I2273" s="0" t="n">
        <v>0</v>
      </c>
      <c r="J2273" s="0" t="n">
        <v>23.71</v>
      </c>
      <c r="K2273" s="0" t="n">
        <v>0.23</v>
      </c>
      <c r="L2273" s="0" t="n">
        <v>0.6</v>
      </c>
      <c r="M2273" s="0" t="n">
        <v>0.91</v>
      </c>
      <c r="N2273" s="0" t="n">
        <v>0</v>
      </c>
      <c r="O2273" s="0" t="n">
        <v>305.78</v>
      </c>
    </row>
    <row r="2274" customFormat="false" ht="15" hidden="false" customHeight="false" outlineLevel="0" collapsed="false">
      <c r="A2274" s="0" t="s">
        <v>330</v>
      </c>
      <c r="B2274" s="0" t="s">
        <v>569</v>
      </c>
      <c r="C2274" s="0" t="n">
        <v>2016</v>
      </c>
      <c r="D2274" s="0" t="n">
        <v>30866497</v>
      </c>
      <c r="E2274" s="0" t="n">
        <v>51.63</v>
      </c>
      <c r="F2274" s="0" t="n">
        <v>0.99</v>
      </c>
      <c r="G2274" s="0" t="n">
        <v>23.56</v>
      </c>
      <c r="H2274" s="0" t="n">
        <v>1.06</v>
      </c>
      <c r="I2274" s="0" t="n">
        <v>0</v>
      </c>
      <c r="J2274" s="0" t="n">
        <v>24.16</v>
      </c>
      <c r="K2274" s="0" t="n">
        <v>0.24</v>
      </c>
      <c r="L2274" s="0" t="n">
        <v>1.06</v>
      </c>
      <c r="M2274" s="0" t="n">
        <v>0.56</v>
      </c>
      <c r="N2274" s="0" t="n">
        <v>0</v>
      </c>
      <c r="O2274" s="0" t="n">
        <v>320.94</v>
      </c>
    </row>
    <row r="2275" customFormat="false" ht="15" hidden="false" customHeight="false" outlineLevel="0" collapsed="false">
      <c r="A2275" s="0" t="s">
        <v>330</v>
      </c>
      <c r="B2275" s="0" t="s">
        <v>569</v>
      </c>
      <c r="C2275" s="0" t="n">
        <v>2017</v>
      </c>
      <c r="D2275" s="0" t="n">
        <v>31324639</v>
      </c>
      <c r="E2275" s="0" t="n">
        <v>52.71</v>
      </c>
      <c r="F2275" s="0" t="n">
        <v>0.76</v>
      </c>
      <c r="G2275" s="0" t="n">
        <v>19.87</v>
      </c>
      <c r="H2275" s="0" t="n">
        <v>1.19</v>
      </c>
      <c r="I2275" s="0" t="n">
        <v>0</v>
      </c>
      <c r="J2275" s="0" t="n">
        <v>29.06</v>
      </c>
      <c r="K2275" s="0" t="n">
        <v>0.29</v>
      </c>
      <c r="L2275" s="0" t="n">
        <v>1.07</v>
      </c>
      <c r="M2275" s="0" t="n">
        <v>0.47</v>
      </c>
      <c r="N2275" s="0" t="n">
        <v>0</v>
      </c>
      <c r="O2275" s="0" t="n">
        <v>271.49</v>
      </c>
    </row>
    <row r="2276" customFormat="false" ht="15" hidden="false" customHeight="false" outlineLevel="0" collapsed="false">
      <c r="A2276" s="0" t="s">
        <v>330</v>
      </c>
      <c r="B2276" s="0" t="s">
        <v>569</v>
      </c>
      <c r="C2276" s="0" t="n">
        <v>2018</v>
      </c>
      <c r="D2276" s="0" t="n">
        <v>31897590</v>
      </c>
      <c r="E2276" s="0" t="n">
        <v>54.62</v>
      </c>
      <c r="F2276" s="0" t="n">
        <v>0.13</v>
      </c>
      <c r="G2276" s="0" t="n">
        <v>20.68</v>
      </c>
      <c r="H2276" s="0" t="n">
        <v>0.42</v>
      </c>
      <c r="I2276" s="0" t="n">
        <v>0</v>
      </c>
      <c r="J2276" s="0" t="n">
        <v>30.72</v>
      </c>
      <c r="K2276" s="0" t="n">
        <v>0.75</v>
      </c>
      <c r="L2276" s="0" t="n">
        <v>1.5</v>
      </c>
      <c r="M2276" s="0" t="n">
        <v>0.42</v>
      </c>
      <c r="N2276" s="0" t="n">
        <v>0</v>
      </c>
      <c r="O2276" s="0" t="n">
        <v>252.84</v>
      </c>
    </row>
    <row r="2277" customFormat="false" ht="15" hidden="false" customHeight="false" outlineLevel="0" collapsed="false">
      <c r="A2277" s="0" t="s">
        <v>330</v>
      </c>
      <c r="B2277" s="0" t="s">
        <v>569</v>
      </c>
      <c r="C2277" s="0" t="n">
        <v>2019</v>
      </c>
      <c r="D2277" s="0" t="n">
        <v>32449302</v>
      </c>
      <c r="E2277" s="0" t="n">
        <v>56.87</v>
      </c>
      <c r="F2277" s="0" t="n">
        <v>0.16</v>
      </c>
      <c r="G2277" s="0" t="n">
        <v>21.73</v>
      </c>
      <c r="H2277" s="0" t="n">
        <v>0.55</v>
      </c>
      <c r="I2277" s="0" t="n">
        <v>0</v>
      </c>
      <c r="J2277" s="0" t="n">
        <v>31.45</v>
      </c>
      <c r="K2277" s="0" t="n">
        <v>0.78</v>
      </c>
      <c r="L2277" s="0" t="n">
        <v>1.65</v>
      </c>
      <c r="M2277" s="0" t="n">
        <v>0.55</v>
      </c>
      <c r="N2277" s="0" t="n">
        <v>0</v>
      </c>
      <c r="O2277" s="0" t="n">
        <v>256.73</v>
      </c>
    </row>
    <row r="2278" customFormat="false" ht="15" hidden="false" customHeight="false" outlineLevel="0" collapsed="false">
      <c r="A2278" s="0" t="s">
        <v>330</v>
      </c>
      <c r="B2278" s="0" t="s">
        <v>569</v>
      </c>
      <c r="C2278" s="0" t="n">
        <v>2020</v>
      </c>
      <c r="D2278" s="0" t="n">
        <v>32838577</v>
      </c>
      <c r="E2278" s="0" t="n">
        <v>52.99</v>
      </c>
      <c r="F2278" s="0" t="n">
        <v>0.14</v>
      </c>
      <c r="G2278" s="0" t="n">
        <v>18.67</v>
      </c>
      <c r="H2278" s="0" t="n">
        <v>0.54</v>
      </c>
      <c r="I2278" s="0" t="n">
        <v>0</v>
      </c>
      <c r="J2278" s="0" t="n">
        <v>30.5</v>
      </c>
      <c r="K2278" s="0" t="n">
        <v>0.79</v>
      </c>
      <c r="L2278" s="0" t="n">
        <v>1.81</v>
      </c>
      <c r="M2278" s="0" t="n">
        <v>0.54</v>
      </c>
      <c r="N2278" s="0" t="n">
        <v>0</v>
      </c>
      <c r="O2278" s="0" t="n">
        <v>239.67</v>
      </c>
    </row>
    <row r="2279" customFormat="false" ht="15" hidden="false" customHeight="false" outlineLevel="0" collapsed="false">
      <c r="A2279" s="0" t="s">
        <v>330</v>
      </c>
      <c r="B2279" s="0" t="s">
        <v>569</v>
      </c>
      <c r="C2279" s="0" t="n">
        <v>2021</v>
      </c>
      <c r="D2279" s="0" t="n">
        <v>33155883</v>
      </c>
      <c r="E2279" s="0" t="n">
        <v>56.99</v>
      </c>
      <c r="F2279" s="0" t="n">
        <v>0.14</v>
      </c>
      <c r="G2279" s="0" t="n">
        <v>21.17</v>
      </c>
      <c r="H2279" s="0" t="n">
        <v>0.59</v>
      </c>
      <c r="I2279" s="0" t="n">
        <v>0</v>
      </c>
      <c r="J2279" s="0" t="n">
        <v>31.89</v>
      </c>
      <c r="K2279" s="0" t="n">
        <v>0.8</v>
      </c>
      <c r="L2279" s="0" t="n">
        <v>1.82</v>
      </c>
      <c r="M2279" s="0" t="n">
        <v>0.58</v>
      </c>
      <c r="N2279" s="0" t="n">
        <v>0</v>
      </c>
      <c r="O2279" s="0" t="n">
        <v>250.92</v>
      </c>
    </row>
    <row r="2280" customFormat="false" ht="15" hidden="false" customHeight="false" outlineLevel="0" collapsed="false">
      <c r="A2280" s="0" t="s">
        <v>330</v>
      </c>
      <c r="B2280" s="0" t="s">
        <v>569</v>
      </c>
      <c r="C2280" s="0" t="n">
        <v>2022</v>
      </c>
      <c r="D2280" s="0" t="n">
        <v>33475436</v>
      </c>
      <c r="E2280" s="0" t="n">
        <v>59.9</v>
      </c>
      <c r="F2280" s="0" t="n">
        <v>0.17</v>
      </c>
      <c r="G2280" s="0" t="n">
        <v>26.02</v>
      </c>
      <c r="H2280" s="0" t="n">
        <v>0.62</v>
      </c>
      <c r="I2280" s="0" t="n">
        <v>0</v>
      </c>
      <c r="J2280" s="0" t="n">
        <v>29.73</v>
      </c>
      <c r="K2280" s="0" t="n">
        <v>0.84</v>
      </c>
      <c r="L2280" s="0" t="n">
        <v>1.93</v>
      </c>
      <c r="M2280" s="0" t="n">
        <v>0.59</v>
      </c>
      <c r="N2280" s="0" t="n">
        <v>0</v>
      </c>
      <c r="O2280" s="0" t="n">
        <v>287.81</v>
      </c>
    </row>
    <row r="2281" customFormat="false" ht="15" hidden="false" customHeight="false" outlineLevel="0" collapsed="false">
      <c r="A2281" s="0" t="s">
        <v>330</v>
      </c>
      <c r="B2281" s="0" t="s">
        <v>569</v>
      </c>
      <c r="C2281" s="0" t="n">
        <v>2023</v>
      </c>
      <c r="D2281" s="0" t="n">
        <v>33845616</v>
      </c>
      <c r="E2281" s="0" t="n">
        <v>60.87</v>
      </c>
      <c r="F2281" s="0" t="n">
        <v>0.04</v>
      </c>
      <c r="G2281" s="0" t="n">
        <v>27.44</v>
      </c>
      <c r="H2281" s="0" t="n">
        <v>0.29</v>
      </c>
      <c r="I2281" s="0" t="n">
        <v>0</v>
      </c>
      <c r="J2281" s="0" t="n">
        <v>29.73</v>
      </c>
      <c r="K2281" s="0" t="n">
        <v>0.84</v>
      </c>
      <c r="L2281" s="0" t="n">
        <v>1.93</v>
      </c>
      <c r="M2281" s="0" t="n">
        <v>0.6</v>
      </c>
      <c r="N2281" s="0" t="n">
        <v>0</v>
      </c>
      <c r="O2281" s="0" t="n">
        <v>291.77</v>
      </c>
    </row>
    <row r="2282" customFormat="false" ht="15" hidden="false" customHeight="false" outlineLevel="0" collapsed="false">
      <c r="A2282" s="0" t="s">
        <v>330</v>
      </c>
      <c r="B2282" s="0" t="s">
        <v>569</v>
      </c>
      <c r="C2282" s="0" t="n">
        <v>2024</v>
      </c>
      <c r="D2282" s="0" t="n">
        <v>34217850</v>
      </c>
      <c r="E2282" s="0" t="n">
        <v>59.29</v>
      </c>
      <c r="F2282" s="0" t="n">
        <v>0</v>
      </c>
      <c r="G2282" s="0" t="n">
        <v>23.23</v>
      </c>
      <c r="H2282" s="0" t="n">
        <v>0.42</v>
      </c>
      <c r="I2282" s="0" t="n">
        <v>0</v>
      </c>
      <c r="J2282" s="0" t="n">
        <v>32</v>
      </c>
      <c r="K2282" s="0" t="n">
        <v>0.95</v>
      </c>
      <c r="L2282" s="0" t="n">
        <v>2.09</v>
      </c>
      <c r="M2282" s="0" t="n">
        <v>0.6</v>
      </c>
      <c r="N2282" s="0" t="n">
        <v>0</v>
      </c>
      <c r="O2282" s="0" t="n">
        <v>258.73</v>
      </c>
    </row>
    <row r="2283" customFormat="false" ht="15" hidden="false" customHeight="false" outlineLevel="0" collapsed="false">
      <c r="A2283" s="0" t="s">
        <v>330</v>
      </c>
      <c r="B2283" s="0" t="s">
        <v>569</v>
      </c>
      <c r="C2283" s="0" t="n">
        <v>2025</v>
      </c>
      <c r="D2283" s="0" t="n">
        <v>34576673</v>
      </c>
      <c r="E2283" s="0" t="n">
        <v>60.44</v>
      </c>
      <c r="F2283" s="0" t="n">
        <v>0.01</v>
      </c>
      <c r="G2283" s="0" t="n">
        <v>21.83</v>
      </c>
      <c r="H2283" s="0" t="n">
        <v>0.13</v>
      </c>
      <c r="I2283" s="0" t="n">
        <v>0</v>
      </c>
      <c r="J2283" s="0" t="n">
        <v>33.88</v>
      </c>
      <c r="K2283" s="0" t="n">
        <v>1.83</v>
      </c>
      <c r="L2283" s="0" t="n">
        <v>2.11</v>
      </c>
      <c r="M2283" s="0" t="n">
        <v>0.65</v>
      </c>
      <c r="N2283" s="0" t="n">
        <v>0</v>
      </c>
      <c r="O2283" s="0" t="n">
        <v>238.25</v>
      </c>
    </row>
    <row r="2284" customFormat="false" ht="15" hidden="false" customHeight="false" outlineLevel="0" collapsed="false">
      <c r="A2284" s="0" t="s">
        <v>331</v>
      </c>
      <c r="B2284" s="0" t="s">
        <v>570</v>
      </c>
      <c r="C2284" s="0" t="n">
        <v>2015</v>
      </c>
      <c r="D2284" s="0" t="n">
        <v>105312988</v>
      </c>
      <c r="E2284" s="0" t="n">
        <v>82.4</v>
      </c>
      <c r="F2284" s="0" t="n">
        <v>36.69</v>
      </c>
      <c r="G2284" s="0" t="n">
        <v>18.88</v>
      </c>
      <c r="H2284" s="0" t="n">
        <v>5.89</v>
      </c>
      <c r="I2284" s="0" t="n">
        <v>0</v>
      </c>
      <c r="J2284" s="0" t="n">
        <v>8.66</v>
      </c>
      <c r="K2284" s="0" t="n">
        <v>0.14</v>
      </c>
      <c r="L2284" s="0" t="n">
        <v>0.75</v>
      </c>
      <c r="M2284" s="0" t="n">
        <v>0.35</v>
      </c>
      <c r="N2284" s="0" t="n">
        <v>11.04</v>
      </c>
      <c r="O2284" s="0" t="n">
        <v>544.78</v>
      </c>
    </row>
    <row r="2285" customFormat="false" ht="15" hidden="false" customHeight="false" outlineLevel="0" collapsed="false">
      <c r="A2285" s="0" t="s">
        <v>331</v>
      </c>
      <c r="B2285" s="0" t="s">
        <v>570</v>
      </c>
      <c r="C2285" s="0" t="n">
        <v>2016</v>
      </c>
      <c r="D2285" s="0" t="n">
        <v>106735721</v>
      </c>
      <c r="E2285" s="0" t="n">
        <v>90.79</v>
      </c>
      <c r="F2285" s="0" t="n">
        <v>43.3</v>
      </c>
      <c r="G2285" s="0" t="n">
        <v>19.85</v>
      </c>
      <c r="H2285" s="0" t="n">
        <v>5.66</v>
      </c>
      <c r="I2285" s="0" t="n">
        <v>0</v>
      </c>
      <c r="J2285" s="0" t="n">
        <v>8.11</v>
      </c>
      <c r="K2285" s="0" t="n">
        <v>1.1</v>
      </c>
      <c r="L2285" s="0" t="n">
        <v>0.98</v>
      </c>
      <c r="M2285" s="0" t="n">
        <v>0.72</v>
      </c>
      <c r="N2285" s="0" t="n">
        <v>11.07</v>
      </c>
      <c r="O2285" s="0" t="n">
        <v>560.19</v>
      </c>
    </row>
    <row r="2286" customFormat="false" ht="15" hidden="false" customHeight="false" outlineLevel="0" collapsed="false">
      <c r="A2286" s="0" t="s">
        <v>331</v>
      </c>
      <c r="B2286" s="0" t="s">
        <v>570</v>
      </c>
      <c r="C2286" s="0" t="n">
        <v>2017</v>
      </c>
      <c r="D2286" s="0" t="n">
        <v>108119691</v>
      </c>
      <c r="E2286" s="0" t="n">
        <v>94.36</v>
      </c>
      <c r="F2286" s="0" t="n">
        <v>46.85</v>
      </c>
      <c r="G2286" s="0" t="n">
        <v>20.55</v>
      </c>
      <c r="H2286" s="0" t="n">
        <v>3.79</v>
      </c>
      <c r="I2286" s="0" t="n">
        <v>0</v>
      </c>
      <c r="J2286" s="0" t="n">
        <v>9.61</v>
      </c>
      <c r="K2286" s="0" t="n">
        <v>1.2</v>
      </c>
      <c r="L2286" s="0" t="n">
        <v>1.09</v>
      </c>
      <c r="M2286" s="0" t="n">
        <v>1</v>
      </c>
      <c r="N2286" s="0" t="n">
        <v>10.27</v>
      </c>
      <c r="O2286" s="0" t="n">
        <v>560.51</v>
      </c>
    </row>
    <row r="2287" customFormat="false" ht="15" hidden="false" customHeight="false" outlineLevel="0" collapsed="false">
      <c r="A2287" s="0" t="s">
        <v>331</v>
      </c>
      <c r="B2287" s="0" t="s">
        <v>570</v>
      </c>
      <c r="C2287" s="0" t="n">
        <v>2018</v>
      </c>
      <c r="D2287" s="0" t="n">
        <v>109465284</v>
      </c>
      <c r="E2287" s="0" t="n">
        <v>99.74</v>
      </c>
      <c r="F2287" s="0" t="n">
        <v>51.93</v>
      </c>
      <c r="G2287" s="0" t="n">
        <v>21.33</v>
      </c>
      <c r="H2287" s="0" t="n">
        <v>3.17</v>
      </c>
      <c r="I2287" s="0" t="n">
        <v>0</v>
      </c>
      <c r="J2287" s="0" t="n">
        <v>9.38</v>
      </c>
      <c r="K2287" s="0" t="n">
        <v>1.25</v>
      </c>
      <c r="L2287" s="0" t="n">
        <v>1.15</v>
      </c>
      <c r="M2287" s="0" t="n">
        <v>1.09</v>
      </c>
      <c r="N2287" s="0" t="n">
        <v>10.44</v>
      </c>
      <c r="O2287" s="0" t="n">
        <v>572.39</v>
      </c>
    </row>
    <row r="2288" customFormat="false" ht="15" hidden="false" customHeight="false" outlineLevel="0" collapsed="false">
      <c r="A2288" s="0" t="s">
        <v>331</v>
      </c>
      <c r="B2288" s="0" t="s">
        <v>570</v>
      </c>
      <c r="C2288" s="0" t="n">
        <v>2019</v>
      </c>
      <c r="D2288" s="0" t="n">
        <v>110804685</v>
      </c>
      <c r="E2288" s="0" t="n">
        <v>106.03</v>
      </c>
      <c r="F2288" s="0" t="n">
        <v>57.89</v>
      </c>
      <c r="G2288" s="0" t="n">
        <v>22.35</v>
      </c>
      <c r="H2288" s="0" t="n">
        <v>3.75</v>
      </c>
      <c r="I2288" s="0" t="n">
        <v>0</v>
      </c>
      <c r="J2288" s="0" t="n">
        <v>8.03</v>
      </c>
      <c r="K2288" s="0" t="n">
        <v>1.25</v>
      </c>
      <c r="L2288" s="0" t="n">
        <v>1.04</v>
      </c>
      <c r="M2288" s="0" t="n">
        <v>1.03</v>
      </c>
      <c r="N2288" s="0" t="n">
        <v>10.69</v>
      </c>
      <c r="O2288" s="0" t="n">
        <v>592.66</v>
      </c>
    </row>
    <row r="2289" customFormat="false" ht="15" hidden="false" customHeight="false" outlineLevel="0" collapsed="false">
      <c r="A2289" s="0" t="s">
        <v>331</v>
      </c>
      <c r="B2289" s="0" t="s">
        <v>570</v>
      </c>
      <c r="C2289" s="0" t="n">
        <v>2020</v>
      </c>
      <c r="D2289" s="0" t="n">
        <v>112081270</v>
      </c>
      <c r="E2289" s="0" t="n">
        <v>101.75</v>
      </c>
      <c r="F2289" s="0" t="n">
        <v>58.18</v>
      </c>
      <c r="G2289" s="0" t="n">
        <v>19.5</v>
      </c>
      <c r="H2289" s="0" t="n">
        <v>2.47</v>
      </c>
      <c r="I2289" s="0" t="n">
        <v>0</v>
      </c>
      <c r="J2289" s="0" t="n">
        <v>7.19</v>
      </c>
      <c r="K2289" s="0" t="n">
        <v>1.37</v>
      </c>
      <c r="L2289" s="0" t="n">
        <v>1.03</v>
      </c>
      <c r="M2289" s="0" t="n">
        <v>1.25</v>
      </c>
      <c r="N2289" s="0" t="n">
        <v>10.76</v>
      </c>
      <c r="O2289" s="0" t="n">
        <v>598.82</v>
      </c>
    </row>
    <row r="2290" customFormat="false" ht="15" hidden="false" customHeight="false" outlineLevel="0" collapsed="false">
      <c r="A2290" s="0" t="s">
        <v>331</v>
      </c>
      <c r="B2290" s="0" t="s">
        <v>570</v>
      </c>
      <c r="C2290" s="0" t="n">
        <v>2021</v>
      </c>
      <c r="D2290" s="0" t="n">
        <v>113100947</v>
      </c>
      <c r="E2290" s="0" t="n">
        <v>105.76</v>
      </c>
      <c r="F2290" s="0" t="n">
        <v>62.05</v>
      </c>
      <c r="G2290" s="0" t="n">
        <v>18.68</v>
      </c>
      <c r="H2290" s="0" t="n">
        <v>1.62</v>
      </c>
      <c r="I2290" s="0" t="n">
        <v>0</v>
      </c>
      <c r="J2290" s="0" t="n">
        <v>9.19</v>
      </c>
      <c r="K2290" s="0" t="n">
        <v>1.47</v>
      </c>
      <c r="L2290" s="0" t="n">
        <v>1.28</v>
      </c>
      <c r="M2290" s="0" t="n">
        <v>1.45</v>
      </c>
      <c r="N2290" s="0" t="n">
        <v>10.02</v>
      </c>
      <c r="O2290" s="0" t="n">
        <v>599.57</v>
      </c>
    </row>
    <row r="2291" customFormat="false" ht="15" hidden="false" customHeight="false" outlineLevel="0" collapsed="false">
      <c r="A2291" s="0" t="s">
        <v>331</v>
      </c>
      <c r="B2291" s="0" t="s">
        <v>570</v>
      </c>
      <c r="C2291" s="0" t="n">
        <v>2022</v>
      </c>
      <c r="D2291" s="0" t="n">
        <v>113964343</v>
      </c>
      <c r="E2291" s="0" t="n">
        <v>111.55</v>
      </c>
      <c r="F2291" s="0" t="n">
        <v>66.43</v>
      </c>
      <c r="G2291" s="0" t="n">
        <v>17.88</v>
      </c>
      <c r="H2291" s="0" t="n">
        <v>2.52</v>
      </c>
      <c r="I2291" s="0" t="n">
        <v>0</v>
      </c>
      <c r="J2291" s="0" t="n">
        <v>10.09</v>
      </c>
      <c r="K2291" s="0" t="n">
        <v>1.82</v>
      </c>
      <c r="L2291" s="0" t="n">
        <v>1.06</v>
      </c>
      <c r="M2291" s="0" t="n">
        <v>1.32</v>
      </c>
      <c r="N2291" s="0" t="n">
        <v>10.43</v>
      </c>
      <c r="O2291" s="0" t="n">
        <v>602.51</v>
      </c>
    </row>
    <row r="2292" customFormat="false" ht="15" hidden="false" customHeight="false" outlineLevel="0" collapsed="false">
      <c r="A2292" s="0" t="s">
        <v>331</v>
      </c>
      <c r="B2292" s="0" t="s">
        <v>570</v>
      </c>
      <c r="C2292" s="0" t="n">
        <v>2023</v>
      </c>
      <c r="D2292" s="0" t="n">
        <v>114891199</v>
      </c>
      <c r="E2292" s="0" t="n">
        <v>116.73</v>
      </c>
      <c r="F2292" s="0" t="n">
        <v>73.75</v>
      </c>
      <c r="G2292" s="0" t="n">
        <v>16.67</v>
      </c>
      <c r="H2292" s="0" t="n">
        <v>1.3</v>
      </c>
      <c r="I2292" s="0" t="n">
        <v>0</v>
      </c>
      <c r="J2292" s="0" t="n">
        <v>10.09</v>
      </c>
      <c r="K2292" s="0" t="n">
        <v>1.82</v>
      </c>
      <c r="L2292" s="0" t="n">
        <v>1.35</v>
      </c>
      <c r="M2292" s="0" t="n">
        <v>1.32</v>
      </c>
      <c r="N2292" s="0" t="n">
        <v>10.43</v>
      </c>
      <c r="O2292" s="0" t="n">
        <v>616.12</v>
      </c>
    </row>
    <row r="2293" customFormat="false" ht="15" hidden="false" customHeight="false" outlineLevel="0" collapsed="false">
      <c r="A2293" s="0" t="s">
        <v>331</v>
      </c>
      <c r="B2293" s="0" t="s">
        <v>570</v>
      </c>
      <c r="C2293" s="0" t="n">
        <v>2024</v>
      </c>
      <c r="D2293" s="0" t="n">
        <v>115843663</v>
      </c>
      <c r="E2293" s="0" t="n">
        <v>124.17</v>
      </c>
      <c r="F2293" s="0" t="n">
        <v>79.36</v>
      </c>
      <c r="G2293" s="0" t="n">
        <v>18.05</v>
      </c>
      <c r="H2293" s="0" t="n">
        <v>1.34</v>
      </c>
      <c r="I2293" s="0" t="n">
        <v>0</v>
      </c>
      <c r="J2293" s="0" t="n">
        <v>10.09</v>
      </c>
      <c r="K2293" s="0" t="n">
        <v>2.08</v>
      </c>
      <c r="L2293" s="0" t="n">
        <v>1.5</v>
      </c>
      <c r="M2293" s="0" t="n">
        <v>1.32</v>
      </c>
      <c r="N2293" s="0" t="n">
        <v>10.43</v>
      </c>
      <c r="O2293" s="0" t="n">
        <v>621.73</v>
      </c>
    </row>
    <row r="2294" customFormat="false" ht="15" hidden="false" customHeight="false" outlineLevel="0" collapsed="false">
      <c r="A2294" s="0" t="s">
        <v>331</v>
      </c>
      <c r="B2294" s="0" t="s">
        <v>570</v>
      </c>
      <c r="C2294" s="0" t="n">
        <v>2025</v>
      </c>
      <c r="D2294" s="0" t="n">
        <v>116786960</v>
      </c>
      <c r="E2294" s="0" t="n">
        <v>123.12</v>
      </c>
      <c r="F2294" s="0" t="n">
        <v>72.23</v>
      </c>
      <c r="G2294" s="0" t="n">
        <v>21.25</v>
      </c>
      <c r="H2294" s="0" t="n">
        <v>0.94</v>
      </c>
      <c r="I2294" s="0" t="n">
        <v>0</v>
      </c>
      <c r="J2294" s="0" t="n">
        <v>12.7</v>
      </c>
      <c r="K2294" s="0" t="n">
        <v>3</v>
      </c>
      <c r="L2294" s="0" t="n">
        <v>1.46</v>
      </c>
      <c r="M2294" s="0" t="n">
        <v>1.45</v>
      </c>
      <c r="N2294" s="0" t="n">
        <v>10.09</v>
      </c>
      <c r="O2294" s="0" t="n">
        <v>588.29</v>
      </c>
    </row>
    <row r="2295" customFormat="false" ht="15" hidden="false" customHeight="false" outlineLevel="0" collapsed="false">
      <c r="A2295" s="0" t="s">
        <v>332</v>
      </c>
      <c r="B2295" s="0" t="s">
        <v>571</v>
      </c>
      <c r="C2295" s="0" t="n">
        <v>2015</v>
      </c>
      <c r="D2295" s="0" t="n">
        <v>38266314</v>
      </c>
      <c r="E2295" s="0" t="n">
        <v>164.3</v>
      </c>
      <c r="F2295" s="0" t="n">
        <v>130.52</v>
      </c>
      <c r="G2295" s="0" t="n">
        <v>6.39</v>
      </c>
      <c r="H2295" s="0" t="n">
        <v>4.7</v>
      </c>
      <c r="I2295" s="0" t="n">
        <v>0</v>
      </c>
      <c r="J2295" s="0" t="n">
        <v>1.83</v>
      </c>
      <c r="K2295" s="0" t="n">
        <v>0.06</v>
      </c>
      <c r="L2295" s="0" t="n">
        <v>10.86</v>
      </c>
      <c r="M2295" s="0" t="n">
        <v>9.94</v>
      </c>
      <c r="N2295" s="0" t="n">
        <v>0</v>
      </c>
      <c r="O2295" s="0" t="n">
        <v>826.11</v>
      </c>
    </row>
    <row r="2296" customFormat="false" ht="15" hidden="false" customHeight="false" outlineLevel="0" collapsed="false">
      <c r="A2296" s="0" t="s">
        <v>332</v>
      </c>
      <c r="B2296" s="0" t="s">
        <v>571</v>
      </c>
      <c r="C2296" s="0" t="n">
        <v>2016</v>
      </c>
      <c r="D2296" s="0" t="n">
        <v>38263260</v>
      </c>
      <c r="E2296" s="0" t="n">
        <v>166</v>
      </c>
      <c r="F2296" s="0" t="n">
        <v>130.32</v>
      </c>
      <c r="G2296" s="0" t="n">
        <v>7.83</v>
      </c>
      <c r="H2296" s="0" t="n">
        <v>5.04</v>
      </c>
      <c r="I2296" s="0" t="n">
        <v>0</v>
      </c>
      <c r="J2296" s="0" t="n">
        <v>2.14</v>
      </c>
      <c r="K2296" s="0" t="n">
        <v>0.12</v>
      </c>
      <c r="L2296" s="0" t="n">
        <v>12.59</v>
      </c>
      <c r="M2296" s="0" t="n">
        <v>7.96</v>
      </c>
      <c r="N2296" s="0" t="n">
        <v>0</v>
      </c>
      <c r="O2296" s="0" t="n">
        <v>818.55</v>
      </c>
    </row>
    <row r="2297" customFormat="false" ht="15" hidden="false" customHeight="false" outlineLevel="0" collapsed="false">
      <c r="A2297" s="0" t="s">
        <v>332</v>
      </c>
      <c r="B2297" s="0" t="s">
        <v>571</v>
      </c>
      <c r="C2297" s="0" t="n">
        <v>2017</v>
      </c>
      <c r="D2297" s="0" t="n">
        <v>38254964</v>
      </c>
      <c r="E2297" s="0" t="n">
        <v>169.91</v>
      </c>
      <c r="F2297" s="0" t="n">
        <v>131.16</v>
      </c>
      <c r="G2297" s="0" t="n">
        <v>10.03</v>
      </c>
      <c r="H2297" s="0" t="n">
        <v>4.59</v>
      </c>
      <c r="I2297" s="0" t="n">
        <v>0</v>
      </c>
      <c r="J2297" s="0" t="n">
        <v>2.56</v>
      </c>
      <c r="K2297" s="0" t="n">
        <v>0.17</v>
      </c>
      <c r="L2297" s="0" t="n">
        <v>14.91</v>
      </c>
      <c r="M2297" s="0" t="n">
        <v>6.49</v>
      </c>
      <c r="N2297" s="0" t="n">
        <v>0</v>
      </c>
      <c r="O2297" s="0" t="n">
        <v>805.54</v>
      </c>
    </row>
    <row r="2298" customFormat="false" ht="15" hidden="false" customHeight="false" outlineLevel="0" collapsed="false">
      <c r="A2298" s="0" t="s">
        <v>332</v>
      </c>
      <c r="B2298" s="0" t="s">
        <v>571</v>
      </c>
      <c r="C2298" s="0" t="n">
        <v>2018</v>
      </c>
      <c r="D2298" s="0" t="n">
        <v>38241070</v>
      </c>
      <c r="E2298" s="0" t="n">
        <v>169.43</v>
      </c>
      <c r="F2298" s="0" t="n">
        <v>130.56</v>
      </c>
      <c r="G2298" s="0" t="n">
        <v>12.63</v>
      </c>
      <c r="H2298" s="0" t="n">
        <v>4.62</v>
      </c>
      <c r="I2298" s="0" t="n">
        <v>0</v>
      </c>
      <c r="J2298" s="0" t="n">
        <v>1.97</v>
      </c>
      <c r="K2298" s="0" t="n">
        <v>0.3</v>
      </c>
      <c r="L2298" s="0" t="n">
        <v>12.8</v>
      </c>
      <c r="M2298" s="0" t="n">
        <v>6.55</v>
      </c>
      <c r="N2298" s="0" t="n">
        <v>0</v>
      </c>
      <c r="O2298" s="0" t="n">
        <v>809.01</v>
      </c>
    </row>
    <row r="2299" customFormat="false" ht="15" hidden="false" customHeight="false" outlineLevel="0" collapsed="false">
      <c r="A2299" s="0" t="s">
        <v>332</v>
      </c>
      <c r="B2299" s="0" t="s">
        <v>571</v>
      </c>
      <c r="C2299" s="0" t="n">
        <v>2019</v>
      </c>
      <c r="D2299" s="0" t="n">
        <v>38225884</v>
      </c>
      <c r="E2299" s="0" t="n">
        <v>163.22</v>
      </c>
      <c r="F2299" s="0" t="n">
        <v>118.14</v>
      </c>
      <c r="G2299" s="0" t="n">
        <v>14.8</v>
      </c>
      <c r="H2299" s="0" t="n">
        <v>4.82</v>
      </c>
      <c r="I2299" s="0" t="n">
        <v>0</v>
      </c>
      <c r="J2299" s="0" t="n">
        <v>1.96</v>
      </c>
      <c r="K2299" s="0" t="n">
        <v>0.71</v>
      </c>
      <c r="L2299" s="0" t="n">
        <v>15.11</v>
      </c>
      <c r="M2299" s="0" t="n">
        <v>7.68</v>
      </c>
      <c r="N2299" s="0" t="n">
        <v>0</v>
      </c>
      <c r="O2299" s="0" t="n">
        <v>771.66</v>
      </c>
    </row>
    <row r="2300" customFormat="false" ht="15" hidden="false" customHeight="false" outlineLevel="0" collapsed="false">
      <c r="A2300" s="0" t="s">
        <v>332</v>
      </c>
      <c r="B2300" s="0" t="s">
        <v>571</v>
      </c>
      <c r="C2300" s="0" t="n">
        <v>2020</v>
      </c>
      <c r="D2300" s="0" t="n">
        <v>38171005</v>
      </c>
      <c r="E2300" s="0" t="n">
        <v>157.15</v>
      </c>
      <c r="F2300" s="0" t="n">
        <v>107.4</v>
      </c>
      <c r="G2300" s="0" t="n">
        <v>17.29</v>
      </c>
      <c r="H2300" s="0" t="n">
        <v>4.23</v>
      </c>
      <c r="I2300" s="0" t="n">
        <v>0</v>
      </c>
      <c r="J2300" s="0" t="n">
        <v>2.12</v>
      </c>
      <c r="K2300" s="0" t="n">
        <v>1.96</v>
      </c>
      <c r="L2300" s="0" t="n">
        <v>15.8</v>
      </c>
      <c r="M2300" s="0" t="n">
        <v>8.35</v>
      </c>
      <c r="N2300" s="0" t="n">
        <v>0</v>
      </c>
      <c r="O2300" s="0" t="n">
        <v>738.28</v>
      </c>
    </row>
    <row r="2301" customFormat="false" ht="15" hidden="false" customHeight="false" outlineLevel="0" collapsed="false">
      <c r="A2301" s="0" t="s">
        <v>332</v>
      </c>
      <c r="B2301" s="0" t="s">
        <v>571</v>
      </c>
      <c r="C2301" s="0" t="n">
        <v>2021</v>
      </c>
      <c r="D2301" s="0" t="n">
        <v>38040303</v>
      </c>
      <c r="E2301" s="0" t="n">
        <v>178.79</v>
      </c>
      <c r="F2301" s="0" t="n">
        <v>127.57</v>
      </c>
      <c r="G2301" s="0" t="n">
        <v>15.82</v>
      </c>
      <c r="H2301" s="0" t="n">
        <v>4.84</v>
      </c>
      <c r="I2301" s="0" t="n">
        <v>0</v>
      </c>
      <c r="J2301" s="0" t="n">
        <v>2.34</v>
      </c>
      <c r="K2301" s="0" t="n">
        <v>3.93</v>
      </c>
      <c r="L2301" s="0" t="n">
        <v>16.23</v>
      </c>
      <c r="M2301" s="0" t="n">
        <v>8.06</v>
      </c>
      <c r="N2301" s="0" t="n">
        <v>0</v>
      </c>
      <c r="O2301" s="0" t="n">
        <v>756.36</v>
      </c>
    </row>
    <row r="2302" customFormat="false" ht="15" hidden="false" customHeight="false" outlineLevel="0" collapsed="false">
      <c r="A2302" s="0" t="s">
        <v>332</v>
      </c>
      <c r="B2302" s="0" t="s">
        <v>571</v>
      </c>
      <c r="C2302" s="0" t="n">
        <v>2022</v>
      </c>
      <c r="D2302" s="0" t="n">
        <v>38385734</v>
      </c>
      <c r="E2302" s="0" t="n">
        <v>178.6</v>
      </c>
      <c r="F2302" s="0" t="n">
        <v>124.73</v>
      </c>
      <c r="G2302" s="0" t="n">
        <v>11.36</v>
      </c>
      <c r="H2302" s="0" t="n">
        <v>4.82</v>
      </c>
      <c r="I2302" s="0" t="n">
        <v>0</v>
      </c>
      <c r="J2302" s="0" t="n">
        <v>1.97</v>
      </c>
      <c r="K2302" s="0" t="n">
        <v>8.31</v>
      </c>
      <c r="L2302" s="0" t="n">
        <v>19.78</v>
      </c>
      <c r="M2302" s="0" t="n">
        <v>7.63</v>
      </c>
      <c r="N2302" s="0" t="n">
        <v>0</v>
      </c>
      <c r="O2302" s="0" t="n">
        <v>732.48</v>
      </c>
    </row>
    <row r="2303" customFormat="false" ht="15" hidden="false" customHeight="false" outlineLevel="0" collapsed="false">
      <c r="A2303" s="0" t="s">
        <v>332</v>
      </c>
      <c r="B2303" s="0" t="s">
        <v>571</v>
      </c>
      <c r="C2303" s="0" t="n">
        <v>2023</v>
      </c>
      <c r="D2303" s="0" t="n">
        <v>38762847</v>
      </c>
      <c r="E2303" s="0" t="n">
        <v>165.52</v>
      </c>
      <c r="F2303" s="0" t="n">
        <v>98.85</v>
      </c>
      <c r="G2303" s="0" t="n">
        <v>16.49</v>
      </c>
      <c r="H2303" s="0" t="n">
        <v>4.32</v>
      </c>
      <c r="I2303" s="0" t="n">
        <v>0</v>
      </c>
      <c r="J2303" s="0" t="n">
        <v>2.41</v>
      </c>
      <c r="K2303" s="0" t="n">
        <v>11.11</v>
      </c>
      <c r="L2303" s="0" t="n">
        <v>24.18</v>
      </c>
      <c r="M2303" s="0" t="n">
        <v>8.16</v>
      </c>
      <c r="N2303" s="0" t="n">
        <v>0</v>
      </c>
      <c r="O2303" s="0" t="n">
        <v>650.68</v>
      </c>
    </row>
    <row r="2304" customFormat="false" ht="15" hidden="false" customHeight="false" outlineLevel="0" collapsed="false">
      <c r="A2304" s="0" t="s">
        <v>332</v>
      </c>
      <c r="B2304" s="0" t="s">
        <v>571</v>
      </c>
      <c r="C2304" s="0" t="n">
        <v>2024</v>
      </c>
      <c r="D2304" s="0" t="n">
        <v>38539209</v>
      </c>
      <c r="E2304" s="0" t="n">
        <v>172.12</v>
      </c>
      <c r="F2304" s="0" t="n">
        <v>93.5</v>
      </c>
      <c r="G2304" s="0" t="n">
        <v>20.46</v>
      </c>
      <c r="H2304" s="0" t="n">
        <v>4.55</v>
      </c>
      <c r="I2304" s="0" t="n">
        <v>0</v>
      </c>
      <c r="J2304" s="0" t="n">
        <v>2.11</v>
      </c>
      <c r="K2304" s="0" t="n">
        <v>17.66</v>
      </c>
      <c r="L2304" s="0" t="n">
        <v>25.89</v>
      </c>
      <c r="M2304" s="0" t="n">
        <v>7.95</v>
      </c>
      <c r="N2304" s="0" t="n">
        <v>0</v>
      </c>
      <c r="O2304" s="0" t="n">
        <v>608.18</v>
      </c>
    </row>
    <row r="2305" customFormat="false" ht="15" hidden="false" customHeight="false" outlineLevel="0" collapsed="false">
      <c r="A2305" s="0" t="s">
        <v>332</v>
      </c>
      <c r="B2305" s="0" t="s">
        <v>571</v>
      </c>
      <c r="C2305" s="0" t="n">
        <v>2025</v>
      </c>
      <c r="D2305" s="0" t="n">
        <v>38140913</v>
      </c>
      <c r="E2305" s="0" t="n">
        <v>173.26</v>
      </c>
      <c r="F2305" s="0" t="n">
        <v>87.32</v>
      </c>
      <c r="G2305" s="0" t="n">
        <v>24.82</v>
      </c>
      <c r="H2305" s="0" t="n">
        <v>6.53</v>
      </c>
      <c r="I2305" s="0" t="n">
        <v>0</v>
      </c>
      <c r="J2305" s="0" t="n">
        <v>1.7</v>
      </c>
      <c r="K2305" s="0" t="n">
        <v>19.55</v>
      </c>
      <c r="L2305" s="0" t="n">
        <v>24.62</v>
      </c>
      <c r="M2305" s="0" t="n">
        <v>8.48</v>
      </c>
      <c r="N2305" s="0" t="n">
        <v>0.24</v>
      </c>
      <c r="O2305" s="0" t="n">
        <v>588.6</v>
      </c>
    </row>
    <row r="2306" customFormat="false" ht="15" hidden="false" customHeight="false" outlineLevel="0" collapsed="false">
      <c r="A2306" s="0" t="s">
        <v>333</v>
      </c>
      <c r="B2306" s="0" t="s">
        <v>572</v>
      </c>
      <c r="C2306" s="0" t="n">
        <v>2015</v>
      </c>
      <c r="D2306" s="0" t="n">
        <v>10370264</v>
      </c>
      <c r="E2306" s="0" t="n">
        <v>51.14</v>
      </c>
      <c r="F2306" s="0" t="n">
        <v>14.73</v>
      </c>
      <c r="G2306" s="0" t="n">
        <v>10.56</v>
      </c>
      <c r="H2306" s="0" t="n">
        <v>1.49</v>
      </c>
      <c r="I2306" s="0" t="n">
        <v>0</v>
      </c>
      <c r="J2306" s="0" t="n">
        <v>8.66</v>
      </c>
      <c r="K2306" s="0" t="n">
        <v>0.8</v>
      </c>
      <c r="L2306" s="0" t="n">
        <v>11.6</v>
      </c>
      <c r="M2306" s="0" t="n">
        <v>3.1</v>
      </c>
      <c r="N2306" s="0" t="n">
        <v>0.2</v>
      </c>
      <c r="O2306" s="0" t="n">
        <v>413.96</v>
      </c>
    </row>
    <row r="2307" customFormat="false" ht="15" hidden="false" customHeight="false" outlineLevel="0" collapsed="false">
      <c r="A2307" s="0" t="s">
        <v>333</v>
      </c>
      <c r="B2307" s="0" t="s">
        <v>572</v>
      </c>
      <c r="C2307" s="0" t="n">
        <v>2016</v>
      </c>
      <c r="D2307" s="0" t="n">
        <v>10346377</v>
      </c>
      <c r="E2307" s="0" t="n">
        <v>59.05</v>
      </c>
      <c r="F2307" s="0" t="n">
        <v>12.63</v>
      </c>
      <c r="G2307" s="0" t="n">
        <v>12.58</v>
      </c>
      <c r="H2307" s="0" t="n">
        <v>1.54</v>
      </c>
      <c r="I2307" s="0" t="n">
        <v>0</v>
      </c>
      <c r="J2307" s="0" t="n">
        <v>15.72</v>
      </c>
      <c r="K2307" s="0" t="n">
        <v>0.87</v>
      </c>
      <c r="L2307" s="0" t="n">
        <v>12.47</v>
      </c>
      <c r="M2307" s="0" t="n">
        <v>3.07</v>
      </c>
      <c r="N2307" s="0" t="n">
        <v>0.17</v>
      </c>
      <c r="O2307" s="0" t="n">
        <v>343.61</v>
      </c>
    </row>
    <row r="2308" customFormat="false" ht="15" hidden="false" customHeight="false" outlineLevel="0" collapsed="false">
      <c r="A2308" s="0" t="s">
        <v>333</v>
      </c>
      <c r="B2308" s="0" t="s">
        <v>572</v>
      </c>
      <c r="C2308" s="0" t="n">
        <v>2017</v>
      </c>
      <c r="D2308" s="0" t="n">
        <v>10330838</v>
      </c>
      <c r="E2308" s="0" t="n">
        <v>57.59</v>
      </c>
      <c r="F2308" s="0" t="n">
        <v>14.67</v>
      </c>
      <c r="G2308" s="0" t="n">
        <v>18.89</v>
      </c>
      <c r="H2308" s="0" t="n">
        <v>1.45</v>
      </c>
      <c r="I2308" s="0" t="n">
        <v>0</v>
      </c>
      <c r="J2308" s="0" t="n">
        <v>5.9</v>
      </c>
      <c r="K2308" s="0" t="n">
        <v>0.99</v>
      </c>
      <c r="L2308" s="0" t="n">
        <v>12.25</v>
      </c>
      <c r="M2308" s="0" t="n">
        <v>3.22</v>
      </c>
      <c r="N2308" s="0" t="n">
        <v>0.22</v>
      </c>
      <c r="O2308" s="0" t="n">
        <v>433.76</v>
      </c>
    </row>
    <row r="2309" customFormat="false" ht="15" hidden="false" customHeight="false" outlineLevel="0" collapsed="false">
      <c r="A2309" s="0" t="s">
        <v>333</v>
      </c>
      <c r="B2309" s="0" t="s">
        <v>572</v>
      </c>
      <c r="C2309" s="0" t="n">
        <v>2018</v>
      </c>
      <c r="D2309" s="0" t="n">
        <v>10325355</v>
      </c>
      <c r="E2309" s="0" t="n">
        <v>58.35</v>
      </c>
      <c r="F2309" s="0" t="n">
        <v>12.01</v>
      </c>
      <c r="G2309" s="0" t="n">
        <v>15.61</v>
      </c>
      <c r="H2309" s="0" t="n">
        <v>1.32</v>
      </c>
      <c r="I2309" s="0" t="n">
        <v>0</v>
      </c>
      <c r="J2309" s="0" t="n">
        <v>12.39</v>
      </c>
      <c r="K2309" s="0" t="n">
        <v>1.01</v>
      </c>
      <c r="L2309" s="0" t="n">
        <v>12.62</v>
      </c>
      <c r="M2309" s="0" t="n">
        <v>3.16</v>
      </c>
      <c r="N2309" s="0" t="n">
        <v>0.23</v>
      </c>
      <c r="O2309" s="0" t="n">
        <v>358.7</v>
      </c>
    </row>
    <row r="2310" customFormat="false" ht="15" hidden="false" customHeight="false" outlineLevel="0" collapsed="false">
      <c r="A2310" s="0" t="s">
        <v>333</v>
      </c>
      <c r="B2310" s="0" t="s">
        <v>572</v>
      </c>
      <c r="C2310" s="0" t="n">
        <v>2019</v>
      </c>
      <c r="D2310" s="0" t="n">
        <v>10343218</v>
      </c>
      <c r="E2310" s="0" t="n">
        <v>51.6</v>
      </c>
      <c r="F2310" s="0" t="n">
        <v>5.53</v>
      </c>
      <c r="G2310" s="0" t="n">
        <v>17.26</v>
      </c>
      <c r="H2310" s="0" t="n">
        <v>1.4</v>
      </c>
      <c r="I2310" s="0" t="n">
        <v>0</v>
      </c>
      <c r="J2310" s="0" t="n">
        <v>8.82</v>
      </c>
      <c r="K2310" s="0" t="n">
        <v>1.34</v>
      </c>
      <c r="L2310" s="0" t="n">
        <v>13.67</v>
      </c>
      <c r="M2310" s="0" t="n">
        <v>3.36</v>
      </c>
      <c r="N2310" s="0" t="n">
        <v>0.22</v>
      </c>
      <c r="O2310" s="0" t="n">
        <v>300.97</v>
      </c>
    </row>
    <row r="2311" customFormat="false" ht="15" hidden="false" customHeight="false" outlineLevel="0" collapsed="false">
      <c r="A2311" s="0" t="s">
        <v>333</v>
      </c>
      <c r="B2311" s="0" t="s">
        <v>572</v>
      </c>
      <c r="C2311" s="0" t="n">
        <v>2020</v>
      </c>
      <c r="D2311" s="0" t="n">
        <v>10370519</v>
      </c>
      <c r="E2311" s="0" t="n">
        <v>51.39</v>
      </c>
      <c r="F2311" s="0" t="n">
        <v>2.36</v>
      </c>
      <c r="G2311" s="0" t="n">
        <v>17.6</v>
      </c>
      <c r="H2311" s="0" t="n">
        <v>1.32</v>
      </c>
      <c r="I2311" s="0" t="n">
        <v>0</v>
      </c>
      <c r="J2311" s="0" t="n">
        <v>12.08</v>
      </c>
      <c r="K2311" s="0" t="n">
        <v>1.72</v>
      </c>
      <c r="L2311" s="0" t="n">
        <v>12.3</v>
      </c>
      <c r="M2311" s="0" t="n">
        <v>3.79</v>
      </c>
      <c r="N2311" s="0" t="n">
        <v>0.22</v>
      </c>
      <c r="O2311" s="0" t="n">
        <v>248.3</v>
      </c>
    </row>
    <row r="2312" customFormat="false" ht="15" hidden="false" customHeight="false" outlineLevel="0" collapsed="false">
      <c r="A2312" s="0" t="s">
        <v>333</v>
      </c>
      <c r="B2312" s="0" t="s">
        <v>572</v>
      </c>
      <c r="C2312" s="0" t="n">
        <v>2021</v>
      </c>
      <c r="D2312" s="0" t="n">
        <v>10390957</v>
      </c>
      <c r="E2312" s="0" t="n">
        <v>49.22</v>
      </c>
      <c r="F2312" s="0" t="n">
        <v>0.8</v>
      </c>
      <c r="G2312" s="0" t="n">
        <v>15.57</v>
      </c>
      <c r="H2312" s="0" t="n">
        <v>1.31</v>
      </c>
      <c r="I2312" s="0" t="n">
        <v>0</v>
      </c>
      <c r="J2312" s="0" t="n">
        <v>11.91</v>
      </c>
      <c r="K2312" s="0" t="n">
        <v>2.24</v>
      </c>
      <c r="L2312" s="0" t="n">
        <v>13.21</v>
      </c>
      <c r="M2312" s="0" t="n">
        <v>4</v>
      </c>
      <c r="N2312" s="0" t="n">
        <v>0.18</v>
      </c>
      <c r="O2312" s="0" t="n">
        <v>210.48</v>
      </c>
    </row>
    <row r="2313" customFormat="false" ht="15" hidden="false" customHeight="false" outlineLevel="0" collapsed="false">
      <c r="A2313" s="0" t="s">
        <v>333</v>
      </c>
      <c r="B2313" s="0" t="s">
        <v>572</v>
      </c>
      <c r="C2313" s="0" t="n">
        <v>2022</v>
      </c>
      <c r="D2313" s="0" t="n">
        <v>10417074</v>
      </c>
      <c r="E2313" s="0" t="n">
        <v>46.33</v>
      </c>
      <c r="F2313" s="0" t="n">
        <v>0</v>
      </c>
      <c r="G2313" s="0" t="n">
        <v>17.39</v>
      </c>
      <c r="H2313" s="0" t="n">
        <v>1.33</v>
      </c>
      <c r="I2313" s="0" t="n">
        <v>0</v>
      </c>
      <c r="J2313" s="0" t="n">
        <v>6.54</v>
      </c>
      <c r="K2313" s="0" t="n">
        <v>3.52</v>
      </c>
      <c r="L2313" s="0" t="n">
        <v>13.25</v>
      </c>
      <c r="M2313" s="0" t="n">
        <v>4.11</v>
      </c>
      <c r="N2313" s="0" t="n">
        <v>0.19</v>
      </c>
      <c r="O2313" s="0" t="n">
        <v>225.34</v>
      </c>
    </row>
    <row r="2314" customFormat="false" ht="15" hidden="false" customHeight="false" outlineLevel="0" collapsed="false">
      <c r="A2314" s="0" t="s">
        <v>333</v>
      </c>
      <c r="B2314" s="0" t="s">
        <v>572</v>
      </c>
      <c r="C2314" s="0" t="n">
        <v>2023</v>
      </c>
      <c r="D2314" s="0" t="n">
        <v>10430735</v>
      </c>
      <c r="E2314" s="0" t="n">
        <v>46.14</v>
      </c>
      <c r="F2314" s="0" t="n">
        <v>0</v>
      </c>
      <c r="G2314" s="0" t="n">
        <v>10.42</v>
      </c>
      <c r="H2314" s="0" t="n">
        <v>1.36</v>
      </c>
      <c r="I2314" s="0" t="n">
        <v>0</v>
      </c>
      <c r="J2314" s="0" t="n">
        <v>12.04</v>
      </c>
      <c r="K2314" s="0" t="n">
        <v>5.16</v>
      </c>
      <c r="L2314" s="0" t="n">
        <v>13.15</v>
      </c>
      <c r="M2314" s="0" t="n">
        <v>3.8</v>
      </c>
      <c r="N2314" s="0" t="n">
        <v>0.21</v>
      </c>
      <c r="O2314" s="0" t="n">
        <v>158.43</v>
      </c>
    </row>
    <row r="2315" customFormat="false" ht="15" hidden="false" customHeight="false" outlineLevel="0" collapsed="false">
      <c r="A2315" s="0" t="s">
        <v>333</v>
      </c>
      <c r="B2315" s="0" t="s">
        <v>572</v>
      </c>
      <c r="C2315" s="0" t="n">
        <v>2024</v>
      </c>
      <c r="D2315" s="0" t="n">
        <v>10425291</v>
      </c>
      <c r="E2315" s="0" t="n">
        <v>47.27</v>
      </c>
      <c r="F2315" s="0" t="n">
        <v>0</v>
      </c>
      <c r="G2315" s="0" t="n">
        <v>5.63</v>
      </c>
      <c r="H2315" s="0" t="n">
        <v>1.37</v>
      </c>
      <c r="I2315" s="0" t="n">
        <v>0</v>
      </c>
      <c r="J2315" s="0" t="n">
        <v>14.89</v>
      </c>
      <c r="K2315" s="0" t="n">
        <v>7.09</v>
      </c>
      <c r="L2315" s="0" t="n">
        <v>14.34</v>
      </c>
      <c r="M2315" s="0" t="n">
        <v>3.75</v>
      </c>
      <c r="N2315" s="0" t="n">
        <v>0.2</v>
      </c>
      <c r="O2315" s="0" t="n">
        <v>110.64</v>
      </c>
    </row>
    <row r="2316" customFormat="false" ht="15" hidden="false" customHeight="false" outlineLevel="0" collapsed="false">
      <c r="A2316" s="0" t="s">
        <v>333</v>
      </c>
      <c r="B2316" s="0" t="s">
        <v>572</v>
      </c>
      <c r="C2316" s="0" t="n">
        <v>2025</v>
      </c>
      <c r="D2316" s="0" t="n">
        <v>10411831</v>
      </c>
      <c r="E2316" s="0" t="n">
        <v>51.13</v>
      </c>
      <c r="F2316" s="0" t="n">
        <v>0</v>
      </c>
      <c r="G2316" s="0" t="n">
        <v>8.39</v>
      </c>
      <c r="H2316" s="0" t="n">
        <v>1.35</v>
      </c>
      <c r="I2316" s="0" t="n">
        <v>0</v>
      </c>
      <c r="J2316" s="0" t="n">
        <v>15.18</v>
      </c>
      <c r="K2316" s="0" t="n">
        <v>8.86</v>
      </c>
      <c r="L2316" s="0" t="n">
        <v>13.67</v>
      </c>
      <c r="M2316" s="0" t="n">
        <v>3.48</v>
      </c>
      <c r="N2316" s="0" t="n">
        <v>0.2</v>
      </c>
      <c r="O2316" s="0" t="n">
        <v>127.91</v>
      </c>
    </row>
    <row r="2317" customFormat="false" ht="15" hidden="false" customHeight="false" outlineLevel="0" collapsed="false">
      <c r="A2317" s="0" t="s">
        <v>334</v>
      </c>
      <c r="B2317" s="0" t="s">
        <v>573</v>
      </c>
      <c r="C2317" s="0" t="n">
        <v>2015</v>
      </c>
      <c r="D2317" s="0" t="n">
        <v>3521811</v>
      </c>
      <c r="E2317" s="0" t="n">
        <v>20.9</v>
      </c>
      <c r="F2317" s="0" t="n">
        <v>3.26</v>
      </c>
      <c r="G2317" s="0" t="n">
        <v>6.37</v>
      </c>
      <c r="H2317" s="0" t="n">
        <v>10.89</v>
      </c>
      <c r="I2317" s="0" t="n">
        <v>0</v>
      </c>
      <c r="J2317" s="0" t="n">
        <v>0.05</v>
      </c>
      <c r="K2317" s="0" t="n">
        <v>0.09</v>
      </c>
      <c r="L2317" s="0" t="n">
        <v>0.24</v>
      </c>
      <c r="M2317" s="0" t="n">
        <v>0</v>
      </c>
      <c r="N2317" s="0" t="n">
        <v>0</v>
      </c>
      <c r="O2317" s="0" t="n">
        <v>680.86</v>
      </c>
    </row>
    <row r="2318" customFormat="false" ht="15" hidden="false" customHeight="false" outlineLevel="0" collapsed="false">
      <c r="A2318" s="0" t="s">
        <v>334</v>
      </c>
      <c r="B2318" s="0" t="s">
        <v>573</v>
      </c>
      <c r="C2318" s="0" t="n">
        <v>2016</v>
      </c>
      <c r="D2318" s="0" t="n">
        <v>3476008</v>
      </c>
      <c r="E2318" s="0" t="n">
        <v>20.64</v>
      </c>
      <c r="F2318" s="0" t="n">
        <v>3.48</v>
      </c>
      <c r="G2318" s="0" t="n">
        <v>6.96</v>
      </c>
      <c r="H2318" s="0" t="n">
        <v>9.81</v>
      </c>
      <c r="I2318" s="0" t="n">
        <v>0</v>
      </c>
      <c r="J2318" s="0" t="n">
        <v>0.07</v>
      </c>
      <c r="K2318" s="0" t="n">
        <v>0.12</v>
      </c>
      <c r="L2318" s="0" t="n">
        <v>0.19</v>
      </c>
      <c r="M2318" s="0" t="n">
        <v>0.01</v>
      </c>
      <c r="N2318" s="0" t="n">
        <v>0</v>
      </c>
      <c r="O2318" s="0" t="n">
        <v>683.14</v>
      </c>
    </row>
    <row r="2319" customFormat="false" ht="15" hidden="false" customHeight="false" outlineLevel="0" collapsed="false">
      <c r="A2319" s="0" t="s">
        <v>334</v>
      </c>
      <c r="B2319" s="0" t="s">
        <v>573</v>
      </c>
      <c r="C2319" s="0" t="n">
        <v>2017</v>
      </c>
      <c r="D2319" s="0" t="n">
        <v>3371878</v>
      </c>
      <c r="E2319" s="0" t="n">
        <v>16.38</v>
      </c>
      <c r="F2319" s="0" t="n">
        <v>2.32</v>
      </c>
      <c r="G2319" s="0" t="n">
        <v>5.28</v>
      </c>
      <c r="H2319" s="0" t="n">
        <v>8.41</v>
      </c>
      <c r="I2319" s="0" t="n">
        <v>0</v>
      </c>
      <c r="J2319" s="0" t="n">
        <v>0.05</v>
      </c>
      <c r="K2319" s="0" t="n">
        <v>0.16</v>
      </c>
      <c r="L2319" s="0" t="n">
        <v>0.15</v>
      </c>
      <c r="M2319" s="0" t="n">
        <v>0.01</v>
      </c>
      <c r="N2319" s="0" t="n">
        <v>0</v>
      </c>
      <c r="O2319" s="0" t="n">
        <v>673.99</v>
      </c>
    </row>
    <row r="2320" customFormat="false" ht="15" hidden="false" customHeight="false" outlineLevel="0" collapsed="false">
      <c r="A2320" s="0" t="s">
        <v>334</v>
      </c>
      <c r="B2320" s="0" t="s">
        <v>573</v>
      </c>
      <c r="C2320" s="0" t="n">
        <v>2018</v>
      </c>
      <c r="D2320" s="0" t="n">
        <v>3290068</v>
      </c>
      <c r="E2320" s="0" t="n">
        <v>17.69</v>
      </c>
      <c r="F2320" s="0" t="n">
        <v>2.51</v>
      </c>
      <c r="G2320" s="0" t="n">
        <v>6.22</v>
      </c>
      <c r="H2320" s="0" t="n">
        <v>8.49</v>
      </c>
      <c r="I2320" s="0" t="n">
        <v>0</v>
      </c>
      <c r="J2320" s="0" t="n">
        <v>0.04</v>
      </c>
      <c r="K2320" s="0" t="n">
        <v>0.31</v>
      </c>
      <c r="L2320" s="0" t="n">
        <v>0.11</v>
      </c>
      <c r="M2320" s="0" t="n">
        <v>0.01</v>
      </c>
      <c r="N2320" s="0" t="n">
        <v>0</v>
      </c>
      <c r="O2320" s="0" t="n">
        <v>671.57</v>
      </c>
    </row>
    <row r="2321" customFormat="false" ht="15" hidden="false" customHeight="false" outlineLevel="0" collapsed="false">
      <c r="A2321" s="0" t="s">
        <v>334</v>
      </c>
      <c r="B2321" s="0" t="s">
        <v>573</v>
      </c>
      <c r="C2321" s="0" t="n">
        <v>2019</v>
      </c>
      <c r="D2321" s="0" t="n">
        <v>3288027</v>
      </c>
      <c r="E2321" s="0" t="n">
        <v>19.15</v>
      </c>
      <c r="F2321" s="0" t="n">
        <v>3.52</v>
      </c>
      <c r="G2321" s="0" t="n">
        <v>7.63</v>
      </c>
      <c r="H2321" s="0" t="n">
        <v>7.27</v>
      </c>
      <c r="I2321" s="0" t="n">
        <v>0</v>
      </c>
      <c r="J2321" s="0" t="n">
        <v>0.05</v>
      </c>
      <c r="K2321" s="0" t="n">
        <v>0.5</v>
      </c>
      <c r="L2321" s="0" t="n">
        <v>0.16</v>
      </c>
      <c r="M2321" s="0" t="n">
        <v>0.02</v>
      </c>
      <c r="N2321" s="0" t="n">
        <v>0</v>
      </c>
      <c r="O2321" s="0" t="n">
        <v>673.63</v>
      </c>
    </row>
    <row r="2322" customFormat="false" ht="15" hidden="false" customHeight="false" outlineLevel="0" collapsed="false">
      <c r="A2322" s="0" t="s">
        <v>334</v>
      </c>
      <c r="B2322" s="0" t="s">
        <v>573</v>
      </c>
      <c r="C2322" s="0" t="n">
        <v>2020</v>
      </c>
      <c r="D2322" s="0" t="n">
        <v>3275800</v>
      </c>
      <c r="E2322" s="0" t="n">
        <v>19.07</v>
      </c>
      <c r="F2322" s="0" t="n">
        <v>3.06</v>
      </c>
      <c r="G2322" s="0" t="n">
        <v>5.62</v>
      </c>
      <c r="H2322" s="0" t="n">
        <v>9.63</v>
      </c>
      <c r="I2322" s="0" t="n">
        <v>0</v>
      </c>
      <c r="J2322" s="0" t="n">
        <v>0.05</v>
      </c>
      <c r="K2322" s="0" t="n">
        <v>0.56</v>
      </c>
      <c r="L2322" s="0" t="n">
        <v>0.14</v>
      </c>
      <c r="M2322" s="0" t="n">
        <v>0.01</v>
      </c>
      <c r="N2322" s="0" t="n">
        <v>0</v>
      </c>
      <c r="O2322" s="0" t="n">
        <v>668.59</v>
      </c>
    </row>
    <row r="2323" customFormat="false" ht="15" hidden="false" customHeight="false" outlineLevel="0" collapsed="false">
      <c r="A2323" s="0" t="s">
        <v>334</v>
      </c>
      <c r="B2323" s="0" t="s">
        <v>573</v>
      </c>
      <c r="C2323" s="0" t="n">
        <v>2021</v>
      </c>
      <c r="D2323" s="0" t="n">
        <v>3253210</v>
      </c>
      <c r="E2323" s="0" t="n">
        <v>19.36</v>
      </c>
      <c r="F2323" s="0" t="n">
        <v>3.18</v>
      </c>
      <c r="G2323" s="0" t="n">
        <v>5.28</v>
      </c>
      <c r="H2323" s="0" t="n">
        <v>10</v>
      </c>
      <c r="I2323" s="0" t="n">
        <v>0</v>
      </c>
      <c r="J2323" s="0" t="n">
        <v>0.05</v>
      </c>
      <c r="K2323" s="0" t="n">
        <v>0.68</v>
      </c>
      <c r="L2323" s="0" t="n">
        <v>0.16</v>
      </c>
      <c r="M2323" s="0" t="n">
        <v>0.01</v>
      </c>
      <c r="N2323" s="0" t="n">
        <v>0</v>
      </c>
      <c r="O2323" s="0" t="n">
        <v>665.29</v>
      </c>
    </row>
    <row r="2324" customFormat="false" ht="15" hidden="false" customHeight="false" outlineLevel="0" collapsed="false">
      <c r="A2324" s="0" t="s">
        <v>334</v>
      </c>
      <c r="B2324" s="0" t="s">
        <v>573</v>
      </c>
      <c r="C2324" s="0" t="n">
        <v>2022</v>
      </c>
      <c r="D2324" s="0" t="n">
        <v>3240972</v>
      </c>
      <c r="E2324" s="0" t="n">
        <v>19.9</v>
      </c>
      <c r="F2324" s="0" t="n">
        <v>3.24</v>
      </c>
      <c r="G2324" s="0" t="n">
        <v>5.39</v>
      </c>
      <c r="H2324" s="0" t="n">
        <v>10.2</v>
      </c>
      <c r="I2324" s="0" t="n">
        <v>0</v>
      </c>
      <c r="J2324" s="0" t="n">
        <v>0.05</v>
      </c>
      <c r="K2324" s="0" t="n">
        <v>0.85</v>
      </c>
      <c r="L2324" s="0" t="n">
        <v>0.16</v>
      </c>
      <c r="M2324" s="0" t="n">
        <v>0.01</v>
      </c>
      <c r="N2324" s="0" t="n">
        <v>0</v>
      </c>
      <c r="O2324" s="0" t="n">
        <v>660.3</v>
      </c>
    </row>
    <row r="2325" customFormat="false" ht="15" hidden="false" customHeight="false" outlineLevel="0" collapsed="false">
      <c r="A2325" s="0" t="s">
        <v>334</v>
      </c>
      <c r="B2325" s="0" t="s">
        <v>573</v>
      </c>
      <c r="C2325" s="0" t="n">
        <v>2023</v>
      </c>
      <c r="D2325" s="0" t="n">
        <v>3242022</v>
      </c>
      <c r="E2325" s="0" t="n">
        <v>19.9</v>
      </c>
      <c r="F2325" s="0" t="n">
        <v>3.24</v>
      </c>
      <c r="G2325" s="0" t="n">
        <v>5.39</v>
      </c>
      <c r="H2325" s="0" t="n">
        <v>10.2</v>
      </c>
      <c r="I2325" s="0" t="n">
        <v>0</v>
      </c>
      <c r="J2325" s="0" t="n">
        <v>0.05</v>
      </c>
      <c r="K2325" s="0" t="n">
        <v>0.85</v>
      </c>
      <c r="L2325" s="0" t="n">
        <v>0.16</v>
      </c>
      <c r="M2325" s="0" t="n">
        <v>0.01</v>
      </c>
      <c r="N2325" s="0" t="n">
        <v>0</v>
      </c>
      <c r="O2325" s="0" t="n">
        <v>660.3</v>
      </c>
    </row>
    <row r="2326" customFormat="false" ht="15" hidden="false" customHeight="false" outlineLevel="0" collapsed="false">
      <c r="A2326" s="0" t="s">
        <v>334</v>
      </c>
      <c r="B2326" s="0" t="s">
        <v>573</v>
      </c>
      <c r="C2326" s="0" t="n">
        <v>2024</v>
      </c>
      <c r="D2326" s="0" t="n">
        <v>3242212</v>
      </c>
      <c r="E2326" s="0" t="n">
        <v>20</v>
      </c>
      <c r="F2326" s="0" t="n">
        <v>3.2</v>
      </c>
      <c r="G2326" s="0" t="n">
        <v>5.4</v>
      </c>
      <c r="H2326" s="0" t="n">
        <v>10.2</v>
      </c>
      <c r="I2326" s="0" t="n">
        <v>0</v>
      </c>
      <c r="J2326" s="0" t="n">
        <v>0.05</v>
      </c>
      <c r="K2326" s="0" t="n">
        <v>0.96</v>
      </c>
      <c r="L2326" s="0" t="n">
        <v>0.18</v>
      </c>
      <c r="M2326" s="0" t="n">
        <v>0.01</v>
      </c>
      <c r="N2326" s="0" t="n">
        <v>0</v>
      </c>
      <c r="O2326" s="0" t="n">
        <v>656</v>
      </c>
    </row>
    <row r="2327" customFormat="false" ht="15" hidden="false" customHeight="false" outlineLevel="0" collapsed="false">
      <c r="A2327" s="0" t="s">
        <v>334</v>
      </c>
      <c r="B2327" s="0" t="s">
        <v>573</v>
      </c>
      <c r="C2327" s="0" t="n">
        <v>2025</v>
      </c>
      <c r="D2327" s="0" t="n">
        <v>3235290</v>
      </c>
      <c r="E2327" s="0" t="n">
        <v>20.27</v>
      </c>
      <c r="F2327" s="0" t="n">
        <v>3.35</v>
      </c>
      <c r="G2327" s="0" t="n">
        <v>5.98</v>
      </c>
      <c r="H2327" s="0" t="n">
        <v>9.65</v>
      </c>
      <c r="I2327" s="0" t="n">
        <v>0</v>
      </c>
      <c r="J2327" s="0" t="n">
        <v>0.05</v>
      </c>
      <c r="K2327" s="0" t="n">
        <v>1</v>
      </c>
      <c r="L2327" s="0" t="n">
        <v>0.23</v>
      </c>
      <c r="M2327" s="0" t="n">
        <v>0.01</v>
      </c>
      <c r="N2327" s="0" t="n">
        <v>0</v>
      </c>
      <c r="O2327" s="0" t="n">
        <v>654.66</v>
      </c>
    </row>
    <row r="2328" customFormat="false" ht="15" hidden="false" customHeight="false" outlineLevel="0" collapsed="false">
      <c r="A2328" s="0" t="s">
        <v>335</v>
      </c>
      <c r="B2328" s="0" t="s">
        <v>574</v>
      </c>
      <c r="C2328" s="0" t="n">
        <v>2015</v>
      </c>
      <c r="D2328" s="0" t="n">
        <v>2427340</v>
      </c>
      <c r="E2328" s="0" t="n">
        <v>41.63</v>
      </c>
      <c r="F2328" s="0" t="n">
        <v>0</v>
      </c>
      <c r="G2328" s="0" t="n">
        <v>41.5</v>
      </c>
      <c r="H2328" s="0" t="n">
        <v>0</v>
      </c>
      <c r="I2328" s="0" t="n">
        <v>0</v>
      </c>
      <c r="J2328" s="0" t="n">
        <v>0</v>
      </c>
      <c r="K2328" s="0" t="n">
        <v>0.01</v>
      </c>
      <c r="L2328" s="0" t="n">
        <v>0</v>
      </c>
      <c r="M2328" s="0" t="n">
        <v>0.12</v>
      </c>
      <c r="N2328" s="0" t="n">
        <v>0</v>
      </c>
      <c r="O2328" s="0" t="n">
        <v>602.45</v>
      </c>
    </row>
    <row r="2329" customFormat="false" ht="15" hidden="false" customHeight="false" outlineLevel="0" collapsed="false">
      <c r="A2329" s="0" t="s">
        <v>335</v>
      </c>
      <c r="B2329" s="0" t="s">
        <v>574</v>
      </c>
      <c r="C2329" s="0" t="n">
        <v>2016</v>
      </c>
      <c r="D2329" s="0" t="n">
        <v>2599382</v>
      </c>
      <c r="E2329" s="0" t="n">
        <v>42.44</v>
      </c>
      <c r="F2329" s="0" t="n">
        <v>0</v>
      </c>
      <c r="G2329" s="0" t="n">
        <v>42.31</v>
      </c>
      <c r="H2329" s="0" t="n">
        <v>0</v>
      </c>
      <c r="I2329" s="0" t="n">
        <v>0</v>
      </c>
      <c r="J2329" s="0" t="n">
        <v>0</v>
      </c>
      <c r="K2329" s="0" t="n">
        <v>0.01</v>
      </c>
      <c r="L2329" s="0" t="n">
        <v>0</v>
      </c>
      <c r="M2329" s="0" t="n">
        <v>0.12</v>
      </c>
      <c r="N2329" s="0" t="n">
        <v>0</v>
      </c>
      <c r="O2329" s="0" t="n">
        <v>602.5</v>
      </c>
    </row>
    <row r="2330" customFormat="false" ht="15" hidden="false" customHeight="false" outlineLevel="0" collapsed="false">
      <c r="A2330" s="0" t="s">
        <v>335</v>
      </c>
      <c r="B2330" s="0" t="s">
        <v>574</v>
      </c>
      <c r="C2330" s="0" t="n">
        <v>2017</v>
      </c>
      <c r="D2330" s="0" t="n">
        <v>2706716</v>
      </c>
      <c r="E2330" s="0" t="n">
        <v>45.7</v>
      </c>
      <c r="F2330" s="0" t="n">
        <v>0</v>
      </c>
      <c r="G2330" s="0" t="n">
        <v>45.56</v>
      </c>
      <c r="H2330" s="0" t="n">
        <v>0</v>
      </c>
      <c r="I2330" s="0" t="n">
        <v>0</v>
      </c>
      <c r="J2330" s="0" t="n">
        <v>0</v>
      </c>
      <c r="K2330" s="0" t="n">
        <v>0.01</v>
      </c>
      <c r="L2330" s="0" t="n">
        <v>0</v>
      </c>
      <c r="M2330" s="0" t="n">
        <v>0.13</v>
      </c>
      <c r="N2330" s="0" t="n">
        <v>0</v>
      </c>
      <c r="O2330" s="0" t="n">
        <v>602.41</v>
      </c>
    </row>
    <row r="2331" customFormat="false" ht="15" hidden="false" customHeight="false" outlineLevel="0" collapsed="false">
      <c r="A2331" s="0" t="s">
        <v>335</v>
      </c>
      <c r="B2331" s="0" t="s">
        <v>574</v>
      </c>
      <c r="C2331" s="0" t="n">
        <v>2018</v>
      </c>
      <c r="D2331" s="0" t="n">
        <v>2761144</v>
      </c>
      <c r="E2331" s="0" t="n">
        <v>48.06</v>
      </c>
      <c r="F2331" s="0" t="n">
        <v>0</v>
      </c>
      <c r="G2331" s="0" t="n">
        <v>47.91</v>
      </c>
      <c r="H2331" s="0" t="n">
        <v>0</v>
      </c>
      <c r="I2331" s="0" t="n">
        <v>0</v>
      </c>
      <c r="J2331" s="0" t="n">
        <v>0</v>
      </c>
      <c r="K2331" s="0" t="n">
        <v>0.01</v>
      </c>
      <c r="L2331" s="0" t="n">
        <v>0</v>
      </c>
      <c r="M2331" s="0" t="n">
        <v>0.14</v>
      </c>
      <c r="N2331" s="0" t="n">
        <v>0</v>
      </c>
      <c r="O2331" s="0" t="n">
        <v>602.37</v>
      </c>
    </row>
    <row r="2332" customFormat="false" ht="15" hidden="false" customHeight="false" outlineLevel="0" collapsed="false">
      <c r="A2332" s="0" t="s">
        <v>335</v>
      </c>
      <c r="B2332" s="0" t="s">
        <v>574</v>
      </c>
      <c r="C2332" s="0" t="n">
        <v>2019</v>
      </c>
      <c r="D2332" s="0" t="n">
        <v>2797927</v>
      </c>
      <c r="E2332" s="0" t="n">
        <v>50</v>
      </c>
      <c r="F2332" s="0" t="n">
        <v>0</v>
      </c>
      <c r="G2332" s="0" t="n">
        <v>49.87</v>
      </c>
      <c r="H2332" s="0" t="n">
        <v>0</v>
      </c>
      <c r="I2332" s="0" t="n">
        <v>0</v>
      </c>
      <c r="J2332" s="0" t="n">
        <v>0</v>
      </c>
      <c r="K2332" s="0" t="n">
        <v>0.01</v>
      </c>
      <c r="L2332" s="0" t="n">
        <v>0</v>
      </c>
      <c r="M2332" s="0" t="n">
        <v>0.12</v>
      </c>
      <c r="N2332" s="0" t="n">
        <v>0</v>
      </c>
      <c r="O2332" s="0" t="n">
        <v>602.8</v>
      </c>
    </row>
    <row r="2333" customFormat="false" ht="15" hidden="false" customHeight="false" outlineLevel="0" collapsed="false">
      <c r="A2333" s="0" t="s">
        <v>335</v>
      </c>
      <c r="B2333" s="0" t="s">
        <v>574</v>
      </c>
      <c r="C2333" s="0" t="n">
        <v>2020</v>
      </c>
      <c r="D2333" s="0" t="n">
        <v>2803375</v>
      </c>
      <c r="E2333" s="0" t="n">
        <v>49.4</v>
      </c>
      <c r="F2333" s="0" t="n">
        <v>0</v>
      </c>
      <c r="G2333" s="0" t="n">
        <v>49.26</v>
      </c>
      <c r="H2333" s="0" t="n">
        <v>0</v>
      </c>
      <c r="I2333" s="0" t="n">
        <v>0</v>
      </c>
      <c r="J2333" s="0" t="n">
        <v>0</v>
      </c>
      <c r="K2333" s="0" t="n">
        <v>0.01</v>
      </c>
      <c r="L2333" s="0" t="n">
        <v>0</v>
      </c>
      <c r="M2333" s="0" t="n">
        <v>0.13</v>
      </c>
      <c r="N2333" s="0" t="n">
        <v>0</v>
      </c>
      <c r="O2333" s="0" t="n">
        <v>602.63</v>
      </c>
    </row>
    <row r="2334" customFormat="false" ht="15" hidden="false" customHeight="false" outlineLevel="0" collapsed="false">
      <c r="A2334" s="0" t="s">
        <v>335</v>
      </c>
      <c r="B2334" s="0" t="s">
        <v>574</v>
      </c>
      <c r="C2334" s="0" t="n">
        <v>2021</v>
      </c>
      <c r="D2334" s="0" t="n">
        <v>2814988</v>
      </c>
      <c r="E2334" s="0" t="n">
        <v>51.79</v>
      </c>
      <c r="F2334" s="0" t="n">
        <v>0</v>
      </c>
      <c r="G2334" s="0" t="n">
        <v>51.64</v>
      </c>
      <c r="H2334" s="0" t="n">
        <v>0</v>
      </c>
      <c r="I2334" s="0" t="n">
        <v>0</v>
      </c>
      <c r="J2334" s="0" t="n">
        <v>0</v>
      </c>
      <c r="K2334" s="0" t="n">
        <v>0.01</v>
      </c>
      <c r="L2334" s="0" t="n">
        <v>0</v>
      </c>
      <c r="M2334" s="0" t="n">
        <v>0.14</v>
      </c>
      <c r="N2334" s="0" t="n">
        <v>0</v>
      </c>
      <c r="O2334" s="0" t="n">
        <v>602.43</v>
      </c>
    </row>
    <row r="2335" customFormat="false" ht="15" hidden="false" customHeight="false" outlineLevel="0" collapsed="false">
      <c r="A2335" s="0" t="s">
        <v>335</v>
      </c>
      <c r="B2335" s="0" t="s">
        <v>574</v>
      </c>
      <c r="C2335" s="0" t="n">
        <v>2022</v>
      </c>
      <c r="D2335" s="0" t="n">
        <v>2892466</v>
      </c>
      <c r="E2335" s="0" t="n">
        <v>54.75</v>
      </c>
      <c r="F2335" s="0" t="n">
        <v>0</v>
      </c>
      <c r="G2335" s="0" t="n">
        <v>54.03</v>
      </c>
      <c r="H2335" s="0" t="n">
        <v>0</v>
      </c>
      <c r="I2335" s="0" t="n">
        <v>0</v>
      </c>
      <c r="J2335" s="0" t="n">
        <v>0</v>
      </c>
      <c r="K2335" s="0" t="n">
        <v>0.59</v>
      </c>
      <c r="L2335" s="0" t="n">
        <v>0</v>
      </c>
      <c r="M2335" s="0" t="n">
        <v>0.13</v>
      </c>
      <c r="N2335" s="0" t="n">
        <v>0</v>
      </c>
      <c r="O2335" s="0" t="n">
        <v>596.9</v>
      </c>
    </row>
    <row r="2336" customFormat="false" ht="15" hidden="false" customHeight="false" outlineLevel="0" collapsed="false">
      <c r="A2336" s="0" t="s">
        <v>335</v>
      </c>
      <c r="B2336" s="0" t="s">
        <v>574</v>
      </c>
      <c r="C2336" s="0" t="n">
        <v>2023</v>
      </c>
      <c r="D2336" s="0" t="n">
        <v>2979086</v>
      </c>
      <c r="E2336" s="0" t="n">
        <v>56.38</v>
      </c>
      <c r="F2336" s="0" t="n">
        <v>0</v>
      </c>
      <c r="G2336" s="0" t="n">
        <v>54.37</v>
      </c>
      <c r="H2336" s="0" t="n">
        <v>0</v>
      </c>
      <c r="I2336" s="0" t="n">
        <v>0</v>
      </c>
      <c r="J2336" s="0" t="n">
        <v>0</v>
      </c>
      <c r="K2336" s="0" t="n">
        <v>1.88</v>
      </c>
      <c r="L2336" s="0" t="n">
        <v>0</v>
      </c>
      <c r="M2336" s="0" t="n">
        <v>0.13</v>
      </c>
      <c r="N2336" s="0" t="n">
        <v>0</v>
      </c>
      <c r="O2336" s="0" t="n">
        <v>584.25</v>
      </c>
    </row>
    <row r="2337" customFormat="false" ht="15" hidden="false" customHeight="false" outlineLevel="0" collapsed="false">
      <c r="A2337" s="0" t="s">
        <v>335</v>
      </c>
      <c r="B2337" s="0" t="s">
        <v>574</v>
      </c>
      <c r="C2337" s="0" t="n">
        <v>2024</v>
      </c>
      <c r="D2337" s="0" t="n">
        <v>3048429</v>
      </c>
      <c r="E2337" s="0" t="n">
        <v>56.68</v>
      </c>
      <c r="F2337" s="0" t="n">
        <v>0</v>
      </c>
      <c r="G2337" s="0" t="n">
        <v>54.4</v>
      </c>
      <c r="H2337" s="0" t="n">
        <v>0</v>
      </c>
      <c r="I2337" s="0" t="n">
        <v>0</v>
      </c>
      <c r="J2337" s="0" t="n">
        <v>0</v>
      </c>
      <c r="K2337" s="0" t="n">
        <v>2.15</v>
      </c>
      <c r="L2337" s="0" t="n">
        <v>0</v>
      </c>
      <c r="M2337" s="0" t="n">
        <v>0.13</v>
      </c>
      <c r="N2337" s="0" t="n">
        <v>0</v>
      </c>
      <c r="O2337" s="0" t="n">
        <v>581.69</v>
      </c>
    </row>
    <row r="2338" customFormat="false" ht="15" hidden="false" customHeight="false" outlineLevel="0" collapsed="false">
      <c r="A2338" s="0" t="s">
        <v>335</v>
      </c>
      <c r="B2338" s="0" t="s">
        <v>574</v>
      </c>
      <c r="C2338" s="0" t="n">
        <v>2025</v>
      </c>
      <c r="D2338" s="0" t="n">
        <v>3115891</v>
      </c>
      <c r="E2338" s="0" t="n">
        <v>56.18</v>
      </c>
      <c r="F2338" s="0" t="n">
        <v>0</v>
      </c>
      <c r="G2338" s="0" t="n">
        <v>53.9</v>
      </c>
      <c r="H2338" s="0" t="n">
        <v>0</v>
      </c>
      <c r="I2338" s="0" t="n">
        <v>0</v>
      </c>
      <c r="J2338" s="0" t="n">
        <v>0</v>
      </c>
      <c r="K2338" s="0" t="n">
        <v>2.15</v>
      </c>
      <c r="L2338" s="0" t="n">
        <v>0</v>
      </c>
      <c r="M2338" s="0" t="n">
        <v>0.13</v>
      </c>
      <c r="N2338" s="0" t="n">
        <v>0</v>
      </c>
      <c r="O2338" s="0" t="n">
        <v>581.52</v>
      </c>
    </row>
    <row r="2339" customFormat="false" ht="15" hidden="false" customHeight="false" outlineLevel="0" collapsed="false">
      <c r="A2339" s="0" t="s">
        <v>733</v>
      </c>
      <c r="C2339" s="0" t="n">
        <v>2015</v>
      </c>
    </row>
    <row r="2340" customFormat="false" ht="15" hidden="false" customHeight="false" outlineLevel="0" collapsed="false">
      <c r="A2340" s="0" t="s">
        <v>733</v>
      </c>
      <c r="C2340" s="0" t="n">
        <v>2016</v>
      </c>
    </row>
    <row r="2341" customFormat="false" ht="15" hidden="false" customHeight="false" outlineLevel="0" collapsed="false">
      <c r="A2341" s="0" t="s">
        <v>733</v>
      </c>
      <c r="C2341" s="0" t="n">
        <v>2017</v>
      </c>
    </row>
    <row r="2342" customFormat="false" ht="15" hidden="false" customHeight="false" outlineLevel="0" collapsed="false">
      <c r="A2342" s="0" t="s">
        <v>733</v>
      </c>
      <c r="C2342" s="0" t="n">
        <v>2018</v>
      </c>
    </row>
    <row r="2343" customFormat="false" ht="15" hidden="false" customHeight="false" outlineLevel="0" collapsed="false">
      <c r="A2343" s="0" t="s">
        <v>733</v>
      </c>
      <c r="C2343" s="0" t="n">
        <v>2019</v>
      </c>
    </row>
    <row r="2344" customFormat="false" ht="15" hidden="false" customHeight="false" outlineLevel="0" collapsed="false">
      <c r="A2344" s="0" t="s">
        <v>733</v>
      </c>
      <c r="C2344" s="0" t="n">
        <v>2020</v>
      </c>
    </row>
    <row r="2345" customFormat="false" ht="15" hidden="false" customHeight="false" outlineLevel="0" collapsed="false">
      <c r="A2345" s="0" t="s">
        <v>733</v>
      </c>
      <c r="C2345" s="0" t="n">
        <v>2021</v>
      </c>
    </row>
    <row r="2346" customFormat="false" ht="15" hidden="false" customHeight="false" outlineLevel="0" collapsed="false">
      <c r="A2346" s="0" t="s">
        <v>733</v>
      </c>
      <c r="C2346" s="0" t="n">
        <v>2022</v>
      </c>
    </row>
    <row r="2347" customFormat="false" ht="15" hidden="false" customHeight="false" outlineLevel="0" collapsed="false">
      <c r="A2347" s="0" t="s">
        <v>733</v>
      </c>
      <c r="C2347" s="0" t="n">
        <v>2023</v>
      </c>
    </row>
    <row r="2348" customFormat="false" ht="15" hidden="false" customHeight="false" outlineLevel="0" collapsed="false">
      <c r="A2348" s="0" t="s">
        <v>733</v>
      </c>
      <c r="C2348" s="0" t="n">
        <v>2024</v>
      </c>
    </row>
    <row r="2349" customFormat="false" ht="15" hidden="false" customHeight="false" outlineLevel="0" collapsed="false">
      <c r="A2349" s="0" t="s">
        <v>336</v>
      </c>
      <c r="B2349" s="0" t="s">
        <v>575</v>
      </c>
      <c r="C2349" s="0" t="n">
        <v>2015</v>
      </c>
      <c r="D2349" s="0" t="n">
        <v>865016</v>
      </c>
      <c r="E2349" s="0" t="n">
        <v>2.9</v>
      </c>
      <c r="F2349" s="0" t="n">
        <v>1.17</v>
      </c>
      <c r="H2349" s="0" t="n">
        <v>0.68</v>
      </c>
      <c r="J2349" s="0" t="n">
        <v>0.5</v>
      </c>
      <c r="K2349" s="0" t="n">
        <v>0.24</v>
      </c>
      <c r="L2349" s="0" t="n">
        <v>0.02</v>
      </c>
      <c r="M2349" s="0" t="n">
        <v>0.29</v>
      </c>
      <c r="O2349" s="0" t="n">
        <v>551.72</v>
      </c>
    </row>
    <row r="2350" customFormat="false" ht="15" hidden="false" customHeight="false" outlineLevel="0" collapsed="false">
      <c r="A2350" s="0" t="s">
        <v>336</v>
      </c>
      <c r="B2350" s="0" t="s">
        <v>575</v>
      </c>
      <c r="C2350" s="0" t="n">
        <v>2016</v>
      </c>
      <c r="D2350" s="0" t="n">
        <v>862861</v>
      </c>
      <c r="E2350" s="0" t="n">
        <v>2.94</v>
      </c>
      <c r="F2350" s="0" t="n">
        <v>1.14</v>
      </c>
      <c r="H2350" s="0" t="n">
        <v>0.8</v>
      </c>
      <c r="J2350" s="0" t="n">
        <v>0.46</v>
      </c>
      <c r="K2350" s="0" t="n">
        <v>0.26</v>
      </c>
      <c r="L2350" s="0" t="n">
        <v>0.02</v>
      </c>
      <c r="M2350" s="0" t="n">
        <v>0.26</v>
      </c>
      <c r="O2350" s="0" t="n">
        <v>561.22</v>
      </c>
    </row>
    <row r="2351" customFormat="false" ht="15" hidden="false" customHeight="false" outlineLevel="0" collapsed="false">
      <c r="A2351" s="0" t="s">
        <v>336</v>
      </c>
      <c r="B2351" s="0" t="s">
        <v>575</v>
      </c>
      <c r="C2351" s="0" t="n">
        <v>2017</v>
      </c>
      <c r="D2351" s="0" t="n">
        <v>858761</v>
      </c>
      <c r="E2351" s="0" t="n">
        <v>2.98</v>
      </c>
      <c r="F2351" s="0" t="n">
        <v>1.14</v>
      </c>
      <c r="H2351" s="0" t="n">
        <v>0.88</v>
      </c>
      <c r="J2351" s="0" t="n">
        <v>0.42</v>
      </c>
      <c r="K2351" s="0" t="n">
        <v>0.26</v>
      </c>
      <c r="L2351" s="0" t="n">
        <v>0.01</v>
      </c>
      <c r="M2351" s="0" t="n">
        <v>0.27</v>
      </c>
      <c r="O2351" s="0" t="n">
        <v>570.47</v>
      </c>
    </row>
    <row r="2352" customFormat="false" ht="15" hidden="false" customHeight="false" outlineLevel="0" collapsed="false">
      <c r="A2352" s="0" t="s">
        <v>336</v>
      </c>
      <c r="B2352" s="0" t="s">
        <v>575</v>
      </c>
      <c r="C2352" s="0" t="n">
        <v>2018</v>
      </c>
      <c r="D2352" s="0" t="n">
        <v>856946</v>
      </c>
      <c r="E2352" s="0" t="n">
        <v>2.95</v>
      </c>
      <c r="F2352" s="0" t="n">
        <v>1.06</v>
      </c>
      <c r="H2352" s="0" t="n">
        <v>0.82</v>
      </c>
      <c r="J2352" s="0" t="n">
        <v>0.6</v>
      </c>
      <c r="K2352" s="0" t="n">
        <v>0.25</v>
      </c>
      <c r="L2352" s="0" t="n">
        <v>0.01</v>
      </c>
      <c r="M2352" s="0" t="n">
        <v>0.21</v>
      </c>
      <c r="O2352" s="0" t="n">
        <v>535.59</v>
      </c>
    </row>
    <row r="2353" customFormat="false" ht="15" hidden="false" customHeight="false" outlineLevel="0" collapsed="false">
      <c r="A2353" s="0" t="s">
        <v>336</v>
      </c>
      <c r="B2353" s="0" t="s">
        <v>575</v>
      </c>
      <c r="C2353" s="0" t="n">
        <v>2019</v>
      </c>
      <c r="D2353" s="0" t="n">
        <v>857327</v>
      </c>
      <c r="E2353" s="0" t="n">
        <v>3.05</v>
      </c>
      <c r="F2353" s="0" t="n">
        <v>1.09</v>
      </c>
      <c r="H2353" s="0" t="n">
        <v>1.01</v>
      </c>
      <c r="J2353" s="0" t="n">
        <v>0.42</v>
      </c>
      <c r="K2353" s="0" t="n">
        <v>0.26</v>
      </c>
      <c r="L2353" s="0" t="n">
        <v>0.01</v>
      </c>
      <c r="M2353" s="0" t="n">
        <v>0.26</v>
      </c>
      <c r="O2353" s="0" t="n">
        <v>567.21</v>
      </c>
    </row>
    <row r="2354" customFormat="false" ht="15" hidden="false" customHeight="false" outlineLevel="0" collapsed="false">
      <c r="A2354" s="0" t="s">
        <v>336</v>
      </c>
      <c r="B2354" s="0" t="s">
        <v>575</v>
      </c>
      <c r="C2354" s="0" t="n">
        <v>2020</v>
      </c>
      <c r="D2354" s="0" t="n">
        <v>861452</v>
      </c>
      <c r="E2354" s="0" t="n">
        <v>3.79</v>
      </c>
      <c r="F2354" s="0" t="n">
        <v>1.91</v>
      </c>
      <c r="H2354" s="0" t="n">
        <v>0.95</v>
      </c>
      <c r="J2354" s="0" t="n">
        <v>0.42</v>
      </c>
      <c r="K2354" s="0" t="n">
        <v>0.26</v>
      </c>
      <c r="L2354" s="0" t="n">
        <v>0.01</v>
      </c>
      <c r="M2354" s="0" t="n">
        <v>0.24</v>
      </c>
      <c r="O2354" s="0" t="n">
        <v>643.8</v>
      </c>
    </row>
    <row r="2355" customFormat="false" ht="15" hidden="false" customHeight="false" outlineLevel="0" collapsed="false">
      <c r="A2355" s="0" t="s">
        <v>336</v>
      </c>
      <c r="B2355" s="0" t="s">
        <v>575</v>
      </c>
      <c r="C2355" s="0" t="n">
        <v>2021</v>
      </c>
      <c r="D2355" s="0" t="n">
        <v>868085</v>
      </c>
      <c r="E2355" s="0" t="n">
        <v>3.09</v>
      </c>
      <c r="F2355" s="0" t="n">
        <v>0.93</v>
      </c>
      <c r="H2355" s="0" t="n">
        <v>1.29</v>
      </c>
      <c r="J2355" s="0" t="n">
        <v>0.36</v>
      </c>
      <c r="K2355" s="0" t="n">
        <v>0.27</v>
      </c>
      <c r="L2355" s="0" t="n">
        <v>0</v>
      </c>
      <c r="M2355" s="0" t="n">
        <v>0.24</v>
      </c>
      <c r="O2355" s="0" t="n">
        <v>572.82</v>
      </c>
    </row>
    <row r="2356" customFormat="false" ht="15" hidden="false" customHeight="false" outlineLevel="0" collapsed="false">
      <c r="A2356" s="0" t="s">
        <v>336</v>
      </c>
      <c r="B2356" s="0" t="s">
        <v>575</v>
      </c>
      <c r="C2356" s="0" t="n">
        <v>2022</v>
      </c>
      <c r="D2356" s="0" t="n">
        <v>871543</v>
      </c>
      <c r="E2356" s="0" t="n">
        <v>3.06</v>
      </c>
      <c r="F2356" s="0" t="n">
        <v>0.58</v>
      </c>
      <c r="H2356" s="0" t="n">
        <v>1.33</v>
      </c>
      <c r="J2356" s="0" t="n">
        <v>0.63</v>
      </c>
      <c r="K2356" s="0" t="n">
        <v>0.27</v>
      </c>
      <c r="L2356" s="0" t="n">
        <v>0</v>
      </c>
      <c r="M2356" s="0" t="n">
        <v>0.25</v>
      </c>
      <c r="O2356" s="0" t="n">
        <v>483.66</v>
      </c>
    </row>
    <row r="2357" customFormat="false" ht="15" hidden="false" customHeight="false" outlineLevel="0" collapsed="false">
      <c r="A2357" s="0" t="s">
        <v>336</v>
      </c>
      <c r="B2357" s="0" t="s">
        <v>575</v>
      </c>
      <c r="C2357" s="0" t="n">
        <v>2023</v>
      </c>
      <c r="D2357" s="0" t="n">
        <v>874883</v>
      </c>
      <c r="E2357" s="0" t="n">
        <v>3.07</v>
      </c>
      <c r="F2357" s="0" t="n">
        <v>0.4</v>
      </c>
      <c r="H2357" s="0" t="n">
        <v>0.93</v>
      </c>
      <c r="J2357" s="0" t="n">
        <v>0.39</v>
      </c>
      <c r="K2357" s="0" t="n">
        <v>0.29</v>
      </c>
      <c r="L2357" s="0" t="n">
        <v>0.02</v>
      </c>
      <c r="M2357" s="0" t="n">
        <v>1.04</v>
      </c>
      <c r="O2357" s="0" t="n">
        <v>394.14</v>
      </c>
    </row>
    <row r="2358" customFormat="false" ht="15" hidden="false" customHeight="false" outlineLevel="0" collapsed="false">
      <c r="A2358" s="0" t="s">
        <v>337</v>
      </c>
      <c r="B2358" s="0" t="s">
        <v>576</v>
      </c>
      <c r="C2358" s="0" t="n">
        <v>2015</v>
      </c>
      <c r="D2358" s="0" t="n">
        <v>19871018</v>
      </c>
      <c r="E2358" s="0" t="n">
        <v>65.66</v>
      </c>
      <c r="F2358" s="0" t="n">
        <v>18.13</v>
      </c>
      <c r="G2358" s="0" t="n">
        <v>9.39</v>
      </c>
      <c r="H2358" s="0" t="n">
        <v>0.31</v>
      </c>
      <c r="I2358" s="0" t="n">
        <v>11.64</v>
      </c>
      <c r="J2358" s="0" t="n">
        <v>16.63</v>
      </c>
      <c r="K2358" s="0" t="n">
        <v>1.98</v>
      </c>
      <c r="L2358" s="0" t="n">
        <v>7.06</v>
      </c>
      <c r="M2358" s="0" t="n">
        <v>0.52</v>
      </c>
      <c r="N2358" s="0" t="n">
        <v>0</v>
      </c>
      <c r="O2358" s="0" t="n">
        <v>369.02</v>
      </c>
    </row>
    <row r="2359" customFormat="false" ht="15" hidden="false" customHeight="false" outlineLevel="0" collapsed="false">
      <c r="A2359" s="0" t="s">
        <v>337</v>
      </c>
      <c r="B2359" s="0" t="s">
        <v>576</v>
      </c>
      <c r="C2359" s="0" t="n">
        <v>2016</v>
      </c>
      <c r="D2359" s="0" t="n">
        <v>19777049</v>
      </c>
      <c r="E2359" s="0" t="n">
        <v>64.22</v>
      </c>
      <c r="F2359" s="0" t="n">
        <v>15.88</v>
      </c>
      <c r="G2359" s="0" t="n">
        <v>9.65</v>
      </c>
      <c r="H2359" s="0" t="n">
        <v>0.43</v>
      </c>
      <c r="I2359" s="0" t="n">
        <v>11.29</v>
      </c>
      <c r="J2359" s="0" t="n">
        <v>18.03</v>
      </c>
      <c r="K2359" s="0" t="n">
        <v>1.82</v>
      </c>
      <c r="L2359" s="0" t="n">
        <v>6.59</v>
      </c>
      <c r="M2359" s="0" t="n">
        <v>0.53</v>
      </c>
      <c r="N2359" s="0" t="n">
        <v>0</v>
      </c>
      <c r="O2359" s="0" t="n">
        <v>345.38</v>
      </c>
    </row>
    <row r="2360" customFormat="false" ht="15" hidden="false" customHeight="false" outlineLevel="0" collapsed="false">
      <c r="A2360" s="0" t="s">
        <v>337</v>
      </c>
      <c r="B2360" s="0" t="s">
        <v>576</v>
      </c>
      <c r="C2360" s="0" t="n">
        <v>2017</v>
      </c>
      <c r="D2360" s="0" t="n">
        <v>19689405</v>
      </c>
      <c r="E2360" s="0" t="n">
        <v>63.54</v>
      </c>
      <c r="F2360" s="0" t="n">
        <v>16.78</v>
      </c>
      <c r="G2360" s="0" t="n">
        <v>10.66</v>
      </c>
      <c r="H2360" s="0" t="n">
        <v>0.3</v>
      </c>
      <c r="I2360" s="0" t="n">
        <v>11.51</v>
      </c>
      <c r="J2360" s="0" t="n">
        <v>14.49</v>
      </c>
      <c r="K2360" s="0" t="n">
        <v>1.86</v>
      </c>
      <c r="L2360" s="0" t="n">
        <v>7.41</v>
      </c>
      <c r="M2360" s="0" t="n">
        <v>0.53</v>
      </c>
      <c r="N2360" s="0" t="n">
        <v>0</v>
      </c>
      <c r="O2360" s="0" t="n">
        <v>369.22</v>
      </c>
    </row>
    <row r="2361" customFormat="false" ht="15" hidden="false" customHeight="false" outlineLevel="0" collapsed="false">
      <c r="A2361" s="0" t="s">
        <v>337</v>
      </c>
      <c r="B2361" s="0" t="s">
        <v>576</v>
      </c>
      <c r="C2361" s="0" t="n">
        <v>2018</v>
      </c>
      <c r="D2361" s="0" t="n">
        <v>19597874</v>
      </c>
      <c r="E2361" s="0" t="n">
        <v>64.07</v>
      </c>
      <c r="F2361" s="0" t="n">
        <v>15.65</v>
      </c>
      <c r="G2361" s="0" t="n">
        <v>10.52</v>
      </c>
      <c r="H2361" s="0" t="n">
        <v>0.33</v>
      </c>
      <c r="I2361" s="0" t="n">
        <v>11.38</v>
      </c>
      <c r="J2361" s="0" t="n">
        <v>17.66</v>
      </c>
      <c r="K2361" s="0" t="n">
        <v>1.77</v>
      </c>
      <c r="L2361" s="0" t="n">
        <v>6.32</v>
      </c>
      <c r="M2361" s="0" t="n">
        <v>0.44</v>
      </c>
      <c r="N2361" s="0" t="n">
        <v>0</v>
      </c>
      <c r="O2361" s="0" t="n">
        <v>348.06</v>
      </c>
    </row>
    <row r="2362" customFormat="false" ht="15" hidden="false" customHeight="false" outlineLevel="0" collapsed="false">
      <c r="A2362" s="0" t="s">
        <v>337</v>
      </c>
      <c r="B2362" s="0" t="s">
        <v>576</v>
      </c>
      <c r="C2362" s="0" t="n">
        <v>2019</v>
      </c>
      <c r="D2362" s="0" t="n">
        <v>19501542</v>
      </c>
      <c r="E2362" s="0" t="n">
        <v>58.76</v>
      </c>
      <c r="F2362" s="0" t="n">
        <v>13.61</v>
      </c>
      <c r="G2362" s="0" t="n">
        <v>8.95</v>
      </c>
      <c r="H2362" s="0" t="n">
        <v>0.29</v>
      </c>
      <c r="I2362" s="0" t="n">
        <v>11.28</v>
      </c>
      <c r="J2362" s="0" t="n">
        <v>15.58</v>
      </c>
      <c r="K2362" s="0" t="n">
        <v>1.78</v>
      </c>
      <c r="L2362" s="0" t="n">
        <v>6.77</v>
      </c>
      <c r="M2362" s="0" t="n">
        <v>0.5</v>
      </c>
      <c r="N2362" s="0" t="n">
        <v>0</v>
      </c>
      <c r="O2362" s="0" t="n">
        <v>328.97</v>
      </c>
    </row>
    <row r="2363" customFormat="false" ht="15" hidden="false" customHeight="false" outlineLevel="0" collapsed="false">
      <c r="A2363" s="0" t="s">
        <v>337</v>
      </c>
      <c r="B2363" s="0" t="s">
        <v>576</v>
      </c>
      <c r="C2363" s="0" t="n">
        <v>2020</v>
      </c>
      <c r="D2363" s="0" t="n">
        <v>19392467</v>
      </c>
      <c r="E2363" s="0" t="n">
        <v>55.21</v>
      </c>
      <c r="F2363" s="0" t="n">
        <v>9.36</v>
      </c>
      <c r="G2363" s="0" t="n">
        <v>9.46</v>
      </c>
      <c r="H2363" s="0" t="n">
        <v>0.31</v>
      </c>
      <c r="I2363" s="0" t="n">
        <v>11.47</v>
      </c>
      <c r="J2363" s="0" t="n">
        <v>15.38</v>
      </c>
      <c r="K2363" s="0" t="n">
        <v>1.73</v>
      </c>
      <c r="L2363" s="0" t="n">
        <v>6.95</v>
      </c>
      <c r="M2363" s="0" t="n">
        <v>0.55</v>
      </c>
      <c r="N2363" s="0" t="n">
        <v>0</v>
      </c>
      <c r="O2363" s="0" t="n">
        <v>277.85</v>
      </c>
    </row>
    <row r="2364" customFormat="false" ht="15" hidden="false" customHeight="false" outlineLevel="0" collapsed="false">
      <c r="A2364" s="0" t="s">
        <v>337</v>
      </c>
      <c r="B2364" s="0" t="s">
        <v>576</v>
      </c>
      <c r="C2364" s="0" t="n">
        <v>2021</v>
      </c>
      <c r="D2364" s="0" t="n">
        <v>19248159</v>
      </c>
      <c r="E2364" s="0" t="n">
        <v>58.56</v>
      </c>
      <c r="F2364" s="0" t="n">
        <v>10.69</v>
      </c>
      <c r="G2364" s="0" t="n">
        <v>9.91</v>
      </c>
      <c r="H2364" s="0" t="n">
        <v>0.34</v>
      </c>
      <c r="I2364" s="0" t="n">
        <v>11.28</v>
      </c>
      <c r="J2364" s="0" t="n">
        <v>17.41</v>
      </c>
      <c r="K2364" s="0" t="n">
        <v>1.7</v>
      </c>
      <c r="L2364" s="0" t="n">
        <v>6.58</v>
      </c>
      <c r="M2364" s="0" t="n">
        <v>0.65</v>
      </c>
      <c r="N2364" s="0" t="n">
        <v>0</v>
      </c>
      <c r="O2364" s="0" t="n">
        <v>289.96</v>
      </c>
    </row>
    <row r="2365" customFormat="false" ht="15" hidden="false" customHeight="false" outlineLevel="0" collapsed="false">
      <c r="A2365" s="0" t="s">
        <v>337</v>
      </c>
      <c r="B2365" s="0" t="s">
        <v>576</v>
      </c>
      <c r="C2365" s="0" t="n">
        <v>2022</v>
      </c>
      <c r="D2365" s="0" t="n">
        <v>19166776</v>
      </c>
      <c r="E2365" s="0" t="n">
        <v>54.74</v>
      </c>
      <c r="F2365" s="0" t="n">
        <v>10.37</v>
      </c>
      <c r="G2365" s="0" t="n">
        <v>9.33</v>
      </c>
      <c r="H2365" s="0" t="n">
        <v>0.33</v>
      </c>
      <c r="I2365" s="0" t="n">
        <v>11.09</v>
      </c>
      <c r="J2365" s="0" t="n">
        <v>13.98</v>
      </c>
      <c r="K2365" s="0" t="n">
        <v>1.99</v>
      </c>
      <c r="L2365" s="0" t="n">
        <v>7</v>
      </c>
      <c r="M2365" s="0" t="n">
        <v>0.65</v>
      </c>
      <c r="N2365" s="0" t="n">
        <v>0</v>
      </c>
      <c r="O2365" s="0" t="n">
        <v>297.77</v>
      </c>
    </row>
    <row r="2366" customFormat="false" ht="15" hidden="false" customHeight="false" outlineLevel="0" collapsed="false">
      <c r="A2366" s="0" t="s">
        <v>337</v>
      </c>
      <c r="B2366" s="0" t="s">
        <v>576</v>
      </c>
      <c r="C2366" s="0" t="n">
        <v>2023</v>
      </c>
      <c r="D2366" s="0" t="n">
        <v>19118482</v>
      </c>
      <c r="E2366" s="0" t="n">
        <v>56.95</v>
      </c>
      <c r="F2366" s="0" t="n">
        <v>8.06</v>
      </c>
      <c r="G2366" s="0" t="n">
        <v>9.15</v>
      </c>
      <c r="H2366" s="0" t="n">
        <v>0.19</v>
      </c>
      <c r="I2366" s="0" t="n">
        <v>11.19</v>
      </c>
      <c r="J2366" s="0" t="n">
        <v>18.14</v>
      </c>
      <c r="K2366" s="0" t="n">
        <v>2.23</v>
      </c>
      <c r="L2366" s="0" t="n">
        <v>7.55</v>
      </c>
      <c r="M2366" s="0" t="n">
        <v>0.44</v>
      </c>
      <c r="N2366" s="0" t="n">
        <v>0</v>
      </c>
      <c r="O2366" s="0" t="n">
        <v>243.2</v>
      </c>
    </row>
    <row r="2367" customFormat="false" ht="15" hidden="false" customHeight="false" outlineLevel="0" collapsed="false">
      <c r="A2367" s="0" t="s">
        <v>337</v>
      </c>
      <c r="B2367" s="0" t="s">
        <v>576</v>
      </c>
      <c r="C2367" s="0" t="n">
        <v>2024</v>
      </c>
      <c r="D2367" s="0" t="n">
        <v>19015096</v>
      </c>
      <c r="E2367" s="0" t="n">
        <v>52.72</v>
      </c>
      <c r="F2367" s="0" t="n">
        <v>7.08</v>
      </c>
      <c r="G2367" s="0" t="n">
        <v>10.03</v>
      </c>
      <c r="H2367" s="0" t="n">
        <v>0.18</v>
      </c>
      <c r="I2367" s="0" t="n">
        <v>10.91</v>
      </c>
      <c r="J2367" s="0" t="n">
        <v>14.19</v>
      </c>
      <c r="K2367" s="0" t="n">
        <v>3.42</v>
      </c>
      <c r="L2367" s="0" t="n">
        <v>6.43</v>
      </c>
      <c r="M2367" s="0" t="n">
        <v>0.48</v>
      </c>
      <c r="N2367" s="0" t="n">
        <v>0</v>
      </c>
      <c r="O2367" s="0" t="n">
        <v>251.33</v>
      </c>
    </row>
    <row r="2368" customFormat="false" ht="15" hidden="false" customHeight="false" outlineLevel="0" collapsed="false">
      <c r="A2368" s="0" t="s">
        <v>337</v>
      </c>
      <c r="B2368" s="0" t="s">
        <v>576</v>
      </c>
      <c r="C2368" s="0" t="n">
        <v>2025</v>
      </c>
      <c r="D2368" s="0" t="n">
        <v>18908655</v>
      </c>
      <c r="E2368" s="0" t="n">
        <v>49.81</v>
      </c>
      <c r="F2368" s="0" t="n">
        <v>6.68</v>
      </c>
      <c r="G2368" s="0" t="n">
        <v>9.32</v>
      </c>
      <c r="H2368" s="0" t="n">
        <v>0.18</v>
      </c>
      <c r="I2368" s="0" t="n">
        <v>10.2</v>
      </c>
      <c r="J2368" s="0" t="n">
        <v>12.09</v>
      </c>
      <c r="K2368" s="0" t="n">
        <v>4.88</v>
      </c>
      <c r="L2368" s="0" t="n">
        <v>5.97</v>
      </c>
      <c r="M2368" s="0" t="n">
        <v>0.49</v>
      </c>
      <c r="N2368" s="0" t="n">
        <v>0</v>
      </c>
      <c r="O2368" s="0" t="n">
        <v>250.75</v>
      </c>
    </row>
    <row r="2369" customFormat="false" ht="15" hidden="false" customHeight="false" outlineLevel="0" collapsed="false">
      <c r="A2369" s="0" t="s">
        <v>338</v>
      </c>
      <c r="B2369" s="0" t="s">
        <v>577</v>
      </c>
      <c r="C2369" s="0" t="n">
        <v>2015</v>
      </c>
      <c r="D2369" s="0" t="n">
        <v>145307612</v>
      </c>
      <c r="E2369" s="0" t="n">
        <v>1067.55</v>
      </c>
      <c r="F2369" s="0" t="n">
        <v>158.55</v>
      </c>
      <c r="G2369" s="0" t="n">
        <v>529.76</v>
      </c>
      <c r="H2369" s="0" t="n">
        <v>14.81</v>
      </c>
      <c r="I2369" s="0" t="n">
        <v>195.47</v>
      </c>
      <c r="J2369" s="0" t="n">
        <v>167.99</v>
      </c>
      <c r="K2369" s="0" t="n">
        <v>0.34</v>
      </c>
      <c r="L2369" s="0" t="n">
        <v>0.15</v>
      </c>
      <c r="M2369" s="0" t="n">
        <v>0.48</v>
      </c>
      <c r="O2369" s="0" t="n">
        <v>444.35</v>
      </c>
    </row>
    <row r="2370" customFormat="false" ht="15" hidden="false" customHeight="false" outlineLevel="0" collapsed="false">
      <c r="A2370" s="0" t="s">
        <v>338</v>
      </c>
      <c r="B2370" s="0" t="s">
        <v>577</v>
      </c>
      <c r="C2370" s="0" t="n">
        <v>2016</v>
      </c>
      <c r="D2370" s="0" t="n">
        <v>145778668</v>
      </c>
      <c r="E2370" s="0" t="n">
        <v>1090.97</v>
      </c>
      <c r="F2370" s="0" t="n">
        <v>171.45</v>
      </c>
      <c r="G2370" s="0" t="n">
        <v>521.81</v>
      </c>
      <c r="H2370" s="0" t="n">
        <v>15.42</v>
      </c>
      <c r="I2370" s="0" t="n">
        <v>196.61</v>
      </c>
      <c r="J2370" s="0" t="n">
        <v>184.61</v>
      </c>
      <c r="K2370" s="0" t="n">
        <v>0.47</v>
      </c>
      <c r="L2370" s="0" t="n">
        <v>0.15</v>
      </c>
      <c r="M2370" s="0" t="n">
        <v>0.45</v>
      </c>
      <c r="O2370" s="0" t="n">
        <v>442.74</v>
      </c>
    </row>
    <row r="2371" customFormat="false" ht="15" hidden="false" customHeight="false" outlineLevel="0" collapsed="false">
      <c r="A2371" s="0" t="s">
        <v>338</v>
      </c>
      <c r="B2371" s="0" t="s">
        <v>577</v>
      </c>
      <c r="C2371" s="0" t="n">
        <v>2017</v>
      </c>
      <c r="D2371" s="0" t="n">
        <v>146186798</v>
      </c>
      <c r="E2371" s="0" t="n">
        <v>1091.17</v>
      </c>
      <c r="F2371" s="0" t="n">
        <v>174.01</v>
      </c>
      <c r="G2371" s="0" t="n">
        <v>516.27</v>
      </c>
      <c r="H2371" s="0" t="n">
        <v>11.39</v>
      </c>
      <c r="I2371" s="0" t="n">
        <v>203.14</v>
      </c>
      <c r="J2371" s="0" t="n">
        <v>185.16</v>
      </c>
      <c r="K2371" s="0" t="n">
        <v>0.54</v>
      </c>
      <c r="L2371" s="0" t="n">
        <v>0.14</v>
      </c>
      <c r="M2371" s="0" t="n">
        <v>0.52</v>
      </c>
      <c r="O2371" s="0" t="n">
        <v>439.63</v>
      </c>
    </row>
    <row r="2372" customFormat="false" ht="15" hidden="false" customHeight="false" outlineLevel="0" collapsed="false">
      <c r="A2372" s="0" t="s">
        <v>338</v>
      </c>
      <c r="B2372" s="0" t="s">
        <v>577</v>
      </c>
      <c r="C2372" s="0" t="n">
        <v>2018</v>
      </c>
      <c r="D2372" s="0" t="n">
        <v>146430146</v>
      </c>
      <c r="E2372" s="0" t="n">
        <v>1109.19</v>
      </c>
      <c r="F2372" s="0" t="n">
        <v>176.61</v>
      </c>
      <c r="G2372" s="0" t="n">
        <v>523.72</v>
      </c>
      <c r="H2372" s="0" t="n">
        <v>12.28</v>
      </c>
      <c r="I2372" s="0" t="n">
        <v>204.58</v>
      </c>
      <c r="J2372" s="0" t="n">
        <v>190.64</v>
      </c>
      <c r="K2372" s="0" t="n">
        <v>0.62</v>
      </c>
      <c r="L2372" s="0" t="n">
        <v>0.24</v>
      </c>
      <c r="M2372" s="0" t="n">
        <v>0.5</v>
      </c>
      <c r="O2372" s="0" t="n">
        <v>439.33</v>
      </c>
    </row>
    <row r="2373" customFormat="false" ht="15" hidden="false" customHeight="false" outlineLevel="0" collapsed="false">
      <c r="A2373" s="0" t="s">
        <v>338</v>
      </c>
      <c r="B2373" s="0" t="s">
        <v>577</v>
      </c>
      <c r="C2373" s="0" t="n">
        <v>2019</v>
      </c>
      <c r="D2373" s="0" t="n">
        <v>146533063</v>
      </c>
      <c r="E2373" s="0" t="n">
        <v>1118.16</v>
      </c>
      <c r="F2373" s="0" t="n">
        <v>187.55</v>
      </c>
      <c r="G2373" s="0" t="n">
        <v>512.33</v>
      </c>
      <c r="H2373" s="0" t="n">
        <v>13.07</v>
      </c>
      <c r="I2373" s="0" t="n">
        <v>208.99</v>
      </c>
      <c r="J2373" s="0" t="n">
        <v>194.38</v>
      </c>
      <c r="K2373" s="0" t="n">
        <v>0.99</v>
      </c>
      <c r="L2373" s="0" t="n">
        <v>0.31</v>
      </c>
      <c r="M2373" s="0" t="n">
        <v>0.54</v>
      </c>
      <c r="O2373" s="0" t="n">
        <v>440.04</v>
      </c>
    </row>
    <row r="2374" customFormat="false" ht="15" hidden="false" customHeight="false" outlineLevel="0" collapsed="false">
      <c r="A2374" s="0" t="s">
        <v>338</v>
      </c>
      <c r="B2374" s="0" t="s">
        <v>577</v>
      </c>
      <c r="C2374" s="0" t="n">
        <v>2020</v>
      </c>
      <c r="D2374" s="0" t="n">
        <v>146371295</v>
      </c>
      <c r="E2374" s="0" t="n">
        <v>1085.42</v>
      </c>
      <c r="F2374" s="0" t="n">
        <v>174.96</v>
      </c>
      <c r="G2374" s="0" t="n">
        <v>465.88</v>
      </c>
      <c r="H2374" s="0" t="n">
        <v>12.42</v>
      </c>
      <c r="I2374" s="0" t="n">
        <v>215.91</v>
      </c>
      <c r="J2374" s="0" t="n">
        <v>212.44</v>
      </c>
      <c r="K2374" s="0" t="n">
        <v>1.86</v>
      </c>
      <c r="L2374" s="0" t="n">
        <v>1.14</v>
      </c>
      <c r="M2374" s="0" t="n">
        <v>0.81</v>
      </c>
      <c r="O2374" s="0" t="n">
        <v>417.65</v>
      </c>
    </row>
    <row r="2375" customFormat="false" ht="15" hidden="false" customHeight="false" outlineLevel="0" collapsed="false">
      <c r="A2375" s="0" t="s">
        <v>338</v>
      </c>
      <c r="B2375" s="0" t="s">
        <v>577</v>
      </c>
      <c r="C2375" s="0" t="n">
        <v>2021</v>
      </c>
      <c r="D2375" s="0" t="n">
        <v>145836172</v>
      </c>
      <c r="E2375" s="0" t="n">
        <v>1157.07</v>
      </c>
      <c r="F2375" s="0" t="n">
        <v>187.14</v>
      </c>
      <c r="G2375" s="0" t="n">
        <v>513.41</v>
      </c>
      <c r="H2375" s="0" t="n">
        <v>13.89</v>
      </c>
      <c r="I2375" s="0" t="n">
        <v>222.39</v>
      </c>
      <c r="J2375" s="0" t="n">
        <v>214.53</v>
      </c>
      <c r="K2375" s="0" t="n">
        <v>2.31</v>
      </c>
      <c r="L2375" s="0" t="n">
        <v>2.58</v>
      </c>
      <c r="M2375" s="0" t="n">
        <v>0.82</v>
      </c>
      <c r="O2375" s="0" t="n">
        <v>426.81</v>
      </c>
    </row>
    <row r="2376" customFormat="false" ht="15" hidden="false" customHeight="false" outlineLevel="0" collapsed="false">
      <c r="A2376" s="0" t="s">
        <v>338</v>
      </c>
      <c r="B2376" s="0" t="s">
        <v>577</v>
      </c>
      <c r="C2376" s="0" t="n">
        <v>2022</v>
      </c>
      <c r="D2376" s="0" t="n">
        <v>145579889</v>
      </c>
      <c r="E2376" s="0" t="n">
        <v>1166.94</v>
      </c>
      <c r="F2376" s="0" t="n">
        <v>191.96</v>
      </c>
      <c r="G2376" s="0" t="n">
        <v>531.59</v>
      </c>
      <c r="H2376" s="0" t="n">
        <v>14.58</v>
      </c>
      <c r="I2376" s="0" t="n">
        <v>223.7</v>
      </c>
      <c r="J2376" s="0" t="n">
        <v>197.67</v>
      </c>
      <c r="K2376" s="0" t="n">
        <v>2.4</v>
      </c>
      <c r="L2376" s="0" t="n">
        <v>4.2</v>
      </c>
      <c r="M2376" s="0" t="n">
        <v>0.84</v>
      </c>
      <c r="O2376" s="0" t="n">
        <v>436.33</v>
      </c>
    </row>
    <row r="2377" customFormat="false" ht="15" hidden="false" customHeight="false" outlineLevel="0" collapsed="false">
      <c r="A2377" s="0" t="s">
        <v>338</v>
      </c>
      <c r="B2377" s="0" t="s">
        <v>577</v>
      </c>
      <c r="C2377" s="0" t="n">
        <v>2023</v>
      </c>
      <c r="D2377" s="0" t="n">
        <v>145440502</v>
      </c>
      <c r="E2377" s="0" t="n">
        <v>1178.25</v>
      </c>
      <c r="F2377" s="0" t="n">
        <v>204.06</v>
      </c>
      <c r="G2377" s="0" t="n">
        <v>533.35</v>
      </c>
      <c r="H2377" s="0" t="n">
        <v>14.36</v>
      </c>
      <c r="I2377" s="0" t="n">
        <v>217.38</v>
      </c>
      <c r="J2377" s="0" t="n">
        <v>200.87</v>
      </c>
      <c r="K2377" s="0" t="n">
        <v>2.63</v>
      </c>
      <c r="L2377" s="0" t="n">
        <v>4.75</v>
      </c>
      <c r="M2377" s="0" t="n">
        <v>0.85</v>
      </c>
      <c r="O2377" s="0" t="n">
        <v>442.74</v>
      </c>
    </row>
    <row r="2378" customFormat="false" ht="15" hidden="false" customHeight="false" outlineLevel="0" collapsed="false">
      <c r="A2378" s="0" t="s">
        <v>338</v>
      </c>
      <c r="B2378" s="0" t="s">
        <v>577</v>
      </c>
      <c r="C2378" s="0" t="n">
        <v>2024</v>
      </c>
      <c r="D2378" s="0" t="n">
        <v>144820421</v>
      </c>
      <c r="E2378" s="0" t="n">
        <v>1209.31</v>
      </c>
      <c r="F2378" s="0" t="n">
        <v>215.17</v>
      </c>
      <c r="G2378" s="0" t="n">
        <v>545.78</v>
      </c>
      <c r="H2378" s="0" t="n">
        <v>13.79</v>
      </c>
      <c r="I2378" s="0" t="n">
        <v>215.71</v>
      </c>
      <c r="J2378" s="0" t="n">
        <v>210.54</v>
      </c>
      <c r="K2378" s="0" t="n">
        <v>2.92</v>
      </c>
      <c r="L2378" s="0" t="n">
        <v>4.57</v>
      </c>
      <c r="M2378" s="0" t="n">
        <v>0.83</v>
      </c>
      <c r="O2378" s="0" t="n">
        <v>445.98</v>
      </c>
    </row>
    <row r="2379" customFormat="false" ht="15" hidden="false" customHeight="false" outlineLevel="0" collapsed="false">
      <c r="A2379" s="0" t="s">
        <v>338</v>
      </c>
      <c r="B2379" s="0" t="s">
        <v>577</v>
      </c>
      <c r="C2379" s="0" t="n">
        <v>2025</v>
      </c>
      <c r="D2379" s="0" t="n">
        <v>143997393</v>
      </c>
      <c r="E2379" s="0" t="n">
        <v>1192.79</v>
      </c>
      <c r="F2379" s="0" t="n">
        <v>219.52</v>
      </c>
      <c r="G2379" s="0" t="n">
        <v>533.17</v>
      </c>
      <c r="H2379" s="0" t="n">
        <v>14.47</v>
      </c>
      <c r="I2379" s="0" t="n">
        <v>218.65</v>
      </c>
      <c r="J2379" s="0" t="n">
        <v>199.73</v>
      </c>
      <c r="K2379" s="0" t="n">
        <v>2.84</v>
      </c>
      <c r="L2379" s="0" t="n">
        <v>3.64</v>
      </c>
      <c r="M2379" s="0" t="n">
        <v>0.77</v>
      </c>
      <c r="O2379" s="0" t="n">
        <v>449.73</v>
      </c>
    </row>
    <row r="2380" customFormat="false" ht="15" hidden="false" customHeight="false" outlineLevel="0" collapsed="false">
      <c r="A2380" s="0" t="s">
        <v>339</v>
      </c>
      <c r="B2380" s="0" t="s">
        <v>578</v>
      </c>
      <c r="C2380" s="0" t="n">
        <v>2015</v>
      </c>
      <c r="D2380" s="0" t="n">
        <v>11640026</v>
      </c>
      <c r="E2380" s="0" t="n">
        <v>0.51</v>
      </c>
      <c r="F2380" s="0" t="n">
        <v>0</v>
      </c>
      <c r="G2380" s="0" t="n">
        <v>0.02</v>
      </c>
      <c r="H2380" s="0" t="n">
        <v>0.2</v>
      </c>
      <c r="I2380" s="0" t="n">
        <v>0</v>
      </c>
      <c r="J2380" s="0" t="n">
        <v>0.28</v>
      </c>
      <c r="K2380" s="0" t="n">
        <v>0.01</v>
      </c>
      <c r="L2380" s="0" t="n">
        <v>0</v>
      </c>
      <c r="M2380" s="0" t="n">
        <v>0</v>
      </c>
      <c r="N2380" s="0" t="n">
        <v>0</v>
      </c>
      <c r="O2380" s="0" t="n">
        <v>294.12</v>
      </c>
    </row>
    <row r="2381" customFormat="false" ht="15" hidden="false" customHeight="false" outlineLevel="0" collapsed="false">
      <c r="A2381" s="0" t="s">
        <v>339</v>
      </c>
      <c r="B2381" s="0" t="s">
        <v>578</v>
      </c>
      <c r="C2381" s="0" t="n">
        <v>2016</v>
      </c>
      <c r="D2381" s="0" t="n">
        <v>11919183</v>
      </c>
      <c r="E2381" s="0" t="n">
        <v>0.64</v>
      </c>
      <c r="F2381" s="0" t="n">
        <v>0.01</v>
      </c>
      <c r="G2381" s="0" t="n">
        <v>0.1</v>
      </c>
      <c r="H2381" s="0" t="n">
        <v>0.21</v>
      </c>
      <c r="I2381" s="0" t="n">
        <v>0</v>
      </c>
      <c r="J2381" s="0" t="n">
        <v>0.3</v>
      </c>
      <c r="K2381" s="0" t="n">
        <v>0.02</v>
      </c>
      <c r="L2381" s="0" t="n">
        <v>0</v>
      </c>
      <c r="M2381" s="0" t="n">
        <v>0</v>
      </c>
      <c r="N2381" s="0" t="n">
        <v>0</v>
      </c>
      <c r="O2381" s="0" t="n">
        <v>343.75</v>
      </c>
    </row>
    <row r="2382" customFormat="false" ht="15" hidden="false" customHeight="false" outlineLevel="0" collapsed="false">
      <c r="A2382" s="0" t="s">
        <v>339</v>
      </c>
      <c r="B2382" s="0" t="s">
        <v>578</v>
      </c>
      <c r="C2382" s="0" t="n">
        <v>2017</v>
      </c>
      <c r="D2382" s="0" t="n">
        <v>12202062</v>
      </c>
      <c r="E2382" s="0" t="n">
        <v>0.65</v>
      </c>
      <c r="F2382" s="0" t="n">
        <v>0.02</v>
      </c>
      <c r="G2382" s="0" t="n">
        <v>0.11</v>
      </c>
      <c r="H2382" s="0" t="n">
        <v>0.22</v>
      </c>
      <c r="I2382" s="0" t="n">
        <v>0</v>
      </c>
      <c r="J2382" s="0" t="n">
        <v>0.28</v>
      </c>
      <c r="K2382" s="0" t="n">
        <v>0.02</v>
      </c>
      <c r="L2382" s="0" t="n">
        <v>0</v>
      </c>
      <c r="M2382" s="0" t="n">
        <v>0</v>
      </c>
      <c r="N2382" s="0" t="n">
        <v>0</v>
      </c>
      <c r="O2382" s="0" t="n">
        <v>353.85</v>
      </c>
    </row>
    <row r="2383" customFormat="false" ht="15" hidden="false" customHeight="false" outlineLevel="0" collapsed="false">
      <c r="A2383" s="0" t="s">
        <v>339</v>
      </c>
      <c r="B2383" s="0" t="s">
        <v>578</v>
      </c>
      <c r="C2383" s="0" t="n">
        <v>2018</v>
      </c>
      <c r="D2383" s="0" t="n">
        <v>12488000</v>
      </c>
      <c r="E2383" s="0" t="n">
        <v>0.82</v>
      </c>
      <c r="F2383" s="0" t="n">
        <v>0.03</v>
      </c>
      <c r="G2383" s="0" t="n">
        <v>0.21</v>
      </c>
      <c r="H2383" s="0" t="n">
        <v>0.24</v>
      </c>
      <c r="I2383" s="0" t="n">
        <v>0</v>
      </c>
      <c r="J2383" s="0" t="n">
        <v>0.31</v>
      </c>
      <c r="K2383" s="0" t="n">
        <v>0.03</v>
      </c>
      <c r="L2383" s="0" t="n">
        <v>0</v>
      </c>
      <c r="M2383" s="0" t="n">
        <v>0</v>
      </c>
      <c r="N2383" s="0" t="n">
        <v>0</v>
      </c>
      <c r="O2383" s="0" t="n">
        <v>390.24</v>
      </c>
    </row>
    <row r="2384" customFormat="false" ht="15" hidden="false" customHeight="false" outlineLevel="0" collapsed="false">
      <c r="A2384" s="0" t="s">
        <v>339</v>
      </c>
      <c r="B2384" s="0" t="s">
        <v>578</v>
      </c>
      <c r="C2384" s="0" t="n">
        <v>2019</v>
      </c>
      <c r="D2384" s="0" t="n">
        <v>12776102</v>
      </c>
      <c r="E2384" s="0" t="n">
        <v>0.85</v>
      </c>
      <c r="F2384" s="0" t="n">
        <v>0.02</v>
      </c>
      <c r="G2384" s="0" t="n">
        <v>0.21</v>
      </c>
      <c r="H2384" s="0" t="n">
        <v>0.19</v>
      </c>
      <c r="I2384" s="0" t="n">
        <v>0</v>
      </c>
      <c r="J2384" s="0" t="n">
        <v>0.4</v>
      </c>
      <c r="K2384" s="0" t="n">
        <v>0.03</v>
      </c>
      <c r="L2384" s="0" t="n">
        <v>0</v>
      </c>
      <c r="M2384" s="0" t="n">
        <v>0</v>
      </c>
      <c r="N2384" s="0" t="n">
        <v>0</v>
      </c>
      <c r="O2384" s="0" t="n">
        <v>329.41</v>
      </c>
    </row>
    <row r="2385" customFormat="false" ht="15" hidden="false" customHeight="false" outlineLevel="0" collapsed="false">
      <c r="A2385" s="0" t="s">
        <v>339</v>
      </c>
      <c r="B2385" s="0" t="s">
        <v>578</v>
      </c>
      <c r="C2385" s="0" t="n">
        <v>2020</v>
      </c>
      <c r="D2385" s="0" t="n">
        <v>13065838</v>
      </c>
      <c r="E2385" s="0" t="n">
        <v>0.89</v>
      </c>
      <c r="F2385" s="0" t="n">
        <v>0.03</v>
      </c>
      <c r="G2385" s="0" t="n">
        <v>0.21</v>
      </c>
      <c r="H2385" s="0" t="n">
        <v>0.09</v>
      </c>
      <c r="I2385" s="0" t="n">
        <v>0</v>
      </c>
      <c r="J2385" s="0" t="n">
        <v>0.53</v>
      </c>
      <c r="K2385" s="0" t="n">
        <v>0.03</v>
      </c>
      <c r="L2385" s="0" t="n">
        <v>0</v>
      </c>
      <c r="M2385" s="0" t="n">
        <v>0</v>
      </c>
      <c r="N2385" s="0" t="n">
        <v>0</v>
      </c>
      <c r="O2385" s="0" t="n">
        <v>247.19</v>
      </c>
    </row>
    <row r="2386" customFormat="false" ht="15" hidden="false" customHeight="false" outlineLevel="0" collapsed="false">
      <c r="A2386" s="0" t="s">
        <v>339</v>
      </c>
      <c r="B2386" s="0" t="s">
        <v>578</v>
      </c>
      <c r="C2386" s="0" t="n">
        <v>2021</v>
      </c>
      <c r="D2386" s="0" t="n">
        <v>13355260</v>
      </c>
      <c r="E2386" s="0" t="n">
        <v>1</v>
      </c>
      <c r="F2386" s="0" t="n">
        <v>0.04</v>
      </c>
      <c r="G2386" s="0" t="n">
        <v>0.22</v>
      </c>
      <c r="H2386" s="0" t="n">
        <v>0.15</v>
      </c>
      <c r="I2386" s="0" t="n">
        <v>0</v>
      </c>
      <c r="J2386" s="0" t="n">
        <v>0.55</v>
      </c>
      <c r="K2386" s="0" t="n">
        <v>0.04</v>
      </c>
      <c r="L2386" s="0" t="n">
        <v>0</v>
      </c>
      <c r="M2386" s="0" t="n">
        <v>0</v>
      </c>
      <c r="N2386" s="0" t="n">
        <v>0</v>
      </c>
      <c r="O2386" s="0" t="n">
        <v>280</v>
      </c>
    </row>
    <row r="2387" customFormat="false" ht="15" hidden="false" customHeight="false" outlineLevel="0" collapsed="false">
      <c r="A2387" s="0" t="s">
        <v>339</v>
      </c>
      <c r="B2387" s="0" t="s">
        <v>578</v>
      </c>
      <c r="C2387" s="0" t="n">
        <v>2022</v>
      </c>
      <c r="D2387" s="0" t="n">
        <v>13651025</v>
      </c>
      <c r="E2387" s="0" t="n">
        <v>1.04</v>
      </c>
      <c r="F2387" s="0" t="n">
        <v>0.05</v>
      </c>
      <c r="G2387" s="0" t="n">
        <v>0.21</v>
      </c>
      <c r="H2387" s="0" t="n">
        <v>0.18</v>
      </c>
      <c r="I2387" s="0" t="n">
        <v>0</v>
      </c>
      <c r="J2387" s="0" t="n">
        <v>0.56</v>
      </c>
      <c r="K2387" s="0" t="n">
        <v>0.04</v>
      </c>
      <c r="L2387" s="0" t="n">
        <v>0</v>
      </c>
      <c r="M2387" s="0" t="n">
        <v>0</v>
      </c>
      <c r="N2387" s="0" t="n">
        <v>0</v>
      </c>
      <c r="O2387" s="0" t="n">
        <v>288.46</v>
      </c>
    </row>
    <row r="2388" customFormat="false" ht="15" hidden="false" customHeight="false" outlineLevel="0" collapsed="false">
      <c r="A2388" s="0" t="s">
        <v>339</v>
      </c>
      <c r="B2388" s="0" t="s">
        <v>578</v>
      </c>
      <c r="C2388" s="0" t="n">
        <v>2023</v>
      </c>
      <c r="D2388" s="0" t="n">
        <v>13954473</v>
      </c>
      <c r="E2388" s="0" t="n">
        <v>1.1</v>
      </c>
      <c r="F2388" s="0" t="n">
        <v>0.17</v>
      </c>
      <c r="G2388" s="0" t="n">
        <v>0.3</v>
      </c>
      <c r="H2388" s="0" t="n">
        <v>0.09</v>
      </c>
      <c r="I2388" s="0" t="n">
        <v>0</v>
      </c>
      <c r="J2388" s="0" t="n">
        <v>0.5</v>
      </c>
      <c r="K2388" s="0" t="n">
        <v>0.04</v>
      </c>
      <c r="L2388" s="0" t="n">
        <v>0</v>
      </c>
      <c r="M2388" s="0" t="n">
        <v>0</v>
      </c>
      <c r="N2388" s="0" t="n">
        <v>0</v>
      </c>
      <c r="O2388" s="0" t="n">
        <v>354.55</v>
      </c>
    </row>
    <row r="2389" customFormat="false" ht="15" hidden="false" customHeight="false" outlineLevel="0" collapsed="false">
      <c r="A2389" s="0" t="s">
        <v>339</v>
      </c>
      <c r="B2389" s="0" t="s">
        <v>578</v>
      </c>
      <c r="C2389" s="0" t="n">
        <v>2024</v>
      </c>
      <c r="D2389" s="0" t="n">
        <v>14256573</v>
      </c>
      <c r="E2389" s="0" t="n">
        <v>1.13</v>
      </c>
      <c r="F2389" s="0" t="n">
        <v>0.17</v>
      </c>
      <c r="G2389" s="0" t="n">
        <v>0.3</v>
      </c>
      <c r="H2389" s="0" t="n">
        <v>0.1</v>
      </c>
      <c r="I2389" s="0" t="n">
        <v>0</v>
      </c>
      <c r="J2389" s="0" t="n">
        <v>0.52</v>
      </c>
      <c r="K2389" s="0" t="n">
        <v>0.04</v>
      </c>
      <c r="L2389" s="0" t="n">
        <v>0</v>
      </c>
      <c r="M2389" s="0" t="n">
        <v>0</v>
      </c>
      <c r="N2389" s="0" t="n">
        <v>0</v>
      </c>
      <c r="O2389" s="0" t="n">
        <v>353.98</v>
      </c>
    </row>
    <row r="2390" customFormat="false" ht="15" hidden="false" customHeight="false" outlineLevel="0" collapsed="false">
      <c r="A2390" s="0" t="s">
        <v>340</v>
      </c>
      <c r="B2390" s="0" t="s">
        <v>579</v>
      </c>
      <c r="C2390" s="0" t="n">
        <v>2015</v>
      </c>
      <c r="D2390" s="0" t="n">
        <v>5529</v>
      </c>
      <c r="E2390" s="0" t="n">
        <v>0.01</v>
      </c>
      <c r="F2390" s="0" t="n">
        <v>0</v>
      </c>
      <c r="G2390" s="0" t="n">
        <v>0</v>
      </c>
      <c r="H2390" s="0" t="n">
        <v>0.01</v>
      </c>
      <c r="I2390" s="0" t="n">
        <v>0</v>
      </c>
      <c r="J2390" s="0" t="n">
        <v>0</v>
      </c>
      <c r="K2390" s="0" t="n">
        <v>0</v>
      </c>
      <c r="L2390" s="0" t="n">
        <v>0</v>
      </c>
      <c r="M2390" s="0" t="n">
        <v>0</v>
      </c>
      <c r="N2390" s="0" t="n">
        <v>0</v>
      </c>
      <c r="O2390" s="0" t="n">
        <v>1000</v>
      </c>
    </row>
    <row r="2391" customFormat="false" ht="15" hidden="false" customHeight="false" outlineLevel="0" collapsed="false">
      <c r="A2391" s="0" t="s">
        <v>340</v>
      </c>
      <c r="B2391" s="0" t="s">
        <v>579</v>
      </c>
      <c r="C2391" s="0" t="n">
        <v>2016</v>
      </c>
      <c r="D2391" s="0" t="n">
        <v>5544</v>
      </c>
      <c r="E2391" s="0" t="n">
        <v>0.01</v>
      </c>
      <c r="F2391" s="0" t="n">
        <v>0</v>
      </c>
      <c r="G2391" s="0" t="n">
        <v>0</v>
      </c>
      <c r="H2391" s="0" t="n">
        <v>0.01</v>
      </c>
      <c r="I2391" s="0" t="n">
        <v>0</v>
      </c>
      <c r="J2391" s="0" t="n">
        <v>0</v>
      </c>
      <c r="K2391" s="0" t="n">
        <v>0</v>
      </c>
      <c r="L2391" s="0" t="n">
        <v>0</v>
      </c>
      <c r="M2391" s="0" t="n">
        <v>0</v>
      </c>
      <c r="N2391" s="0" t="n">
        <v>0</v>
      </c>
      <c r="O2391" s="0" t="n">
        <v>1000</v>
      </c>
    </row>
    <row r="2392" customFormat="false" ht="15" hidden="false" customHeight="false" outlineLevel="0" collapsed="false">
      <c r="A2392" s="0" t="s">
        <v>340</v>
      </c>
      <c r="B2392" s="0" t="s">
        <v>579</v>
      </c>
      <c r="C2392" s="0" t="n">
        <v>2017</v>
      </c>
      <c r="D2392" s="0" t="n">
        <v>5528</v>
      </c>
      <c r="E2392" s="0" t="n">
        <v>0.01</v>
      </c>
      <c r="F2392" s="0" t="n">
        <v>0</v>
      </c>
      <c r="G2392" s="0" t="n">
        <v>0</v>
      </c>
      <c r="H2392" s="0" t="n">
        <v>0.01</v>
      </c>
      <c r="I2392" s="0" t="n">
        <v>0</v>
      </c>
      <c r="J2392" s="0" t="n">
        <v>0</v>
      </c>
      <c r="K2392" s="0" t="n">
        <v>0</v>
      </c>
      <c r="L2392" s="0" t="n">
        <v>0</v>
      </c>
      <c r="M2392" s="0" t="n">
        <v>0</v>
      </c>
      <c r="N2392" s="0" t="n">
        <v>0</v>
      </c>
      <c r="O2392" s="0" t="n">
        <v>1000</v>
      </c>
    </row>
    <row r="2393" customFormat="false" ht="15" hidden="false" customHeight="false" outlineLevel="0" collapsed="false">
      <c r="A2393" s="0" t="s">
        <v>340</v>
      </c>
      <c r="B2393" s="0" t="s">
        <v>579</v>
      </c>
      <c r="C2393" s="0" t="n">
        <v>2018</v>
      </c>
      <c r="D2393" s="0" t="n">
        <v>5507</v>
      </c>
      <c r="E2393" s="0" t="n">
        <v>0.01</v>
      </c>
      <c r="F2393" s="0" t="n">
        <v>0</v>
      </c>
      <c r="G2393" s="0" t="n">
        <v>0</v>
      </c>
      <c r="H2393" s="0" t="n">
        <v>0.01</v>
      </c>
      <c r="I2393" s="0" t="n">
        <v>0</v>
      </c>
      <c r="J2393" s="0" t="n">
        <v>0</v>
      </c>
      <c r="K2393" s="0" t="n">
        <v>0</v>
      </c>
      <c r="L2393" s="0" t="n">
        <v>0</v>
      </c>
      <c r="M2393" s="0" t="n">
        <v>0</v>
      </c>
      <c r="N2393" s="0" t="n">
        <v>0</v>
      </c>
      <c r="O2393" s="0" t="n">
        <v>1000</v>
      </c>
    </row>
    <row r="2394" customFormat="false" ht="15" hidden="false" customHeight="false" outlineLevel="0" collapsed="false">
      <c r="A2394" s="0" t="s">
        <v>340</v>
      </c>
      <c r="B2394" s="0" t="s">
        <v>579</v>
      </c>
      <c r="C2394" s="0" t="n">
        <v>2019</v>
      </c>
      <c r="D2394" s="0" t="n">
        <v>5485</v>
      </c>
      <c r="E2394" s="0" t="n">
        <v>0.01</v>
      </c>
      <c r="F2394" s="0" t="n">
        <v>0</v>
      </c>
      <c r="G2394" s="0" t="n">
        <v>0</v>
      </c>
      <c r="H2394" s="0" t="n">
        <v>0.01</v>
      </c>
      <c r="I2394" s="0" t="n">
        <v>0</v>
      </c>
      <c r="J2394" s="0" t="n">
        <v>0</v>
      </c>
      <c r="K2394" s="0" t="n">
        <v>0</v>
      </c>
      <c r="L2394" s="0" t="n">
        <v>0</v>
      </c>
      <c r="M2394" s="0" t="n">
        <v>0</v>
      </c>
      <c r="N2394" s="0" t="n">
        <v>0</v>
      </c>
      <c r="O2394" s="0" t="n">
        <v>1000</v>
      </c>
    </row>
    <row r="2395" customFormat="false" ht="15" hidden="false" customHeight="false" outlineLevel="0" collapsed="false">
      <c r="A2395" s="0" t="s">
        <v>340</v>
      </c>
      <c r="B2395" s="0" t="s">
        <v>579</v>
      </c>
      <c r="C2395" s="0" t="n">
        <v>2020</v>
      </c>
      <c r="D2395" s="0" t="n">
        <v>5451</v>
      </c>
      <c r="E2395" s="0" t="n">
        <v>0.01</v>
      </c>
      <c r="F2395" s="0" t="n">
        <v>0</v>
      </c>
      <c r="G2395" s="0" t="n">
        <v>0</v>
      </c>
      <c r="H2395" s="0" t="n">
        <v>0.01</v>
      </c>
      <c r="I2395" s="0" t="n">
        <v>0</v>
      </c>
      <c r="J2395" s="0" t="n">
        <v>0</v>
      </c>
      <c r="K2395" s="0" t="n">
        <v>0</v>
      </c>
      <c r="L2395" s="0" t="n">
        <v>0</v>
      </c>
      <c r="M2395" s="0" t="n">
        <v>0</v>
      </c>
      <c r="N2395" s="0" t="n">
        <v>0</v>
      </c>
      <c r="O2395" s="0" t="n">
        <v>1000</v>
      </c>
    </row>
    <row r="2396" customFormat="false" ht="15" hidden="false" customHeight="false" outlineLevel="0" collapsed="false">
      <c r="A2396" s="0" t="s">
        <v>340</v>
      </c>
      <c r="B2396" s="0" t="s">
        <v>579</v>
      </c>
      <c r="C2396" s="0" t="n">
        <v>2021</v>
      </c>
      <c r="D2396" s="0" t="n">
        <v>5415</v>
      </c>
      <c r="E2396" s="0" t="n">
        <v>0.01</v>
      </c>
      <c r="F2396" s="0" t="n">
        <v>0</v>
      </c>
      <c r="G2396" s="0" t="n">
        <v>0</v>
      </c>
      <c r="H2396" s="0" t="n">
        <v>0.01</v>
      </c>
      <c r="I2396" s="0" t="n">
        <v>0</v>
      </c>
      <c r="J2396" s="0" t="n">
        <v>0</v>
      </c>
      <c r="K2396" s="0" t="n">
        <v>0</v>
      </c>
      <c r="L2396" s="0" t="n">
        <v>0</v>
      </c>
      <c r="M2396" s="0" t="n">
        <v>0</v>
      </c>
      <c r="N2396" s="0" t="n">
        <v>0</v>
      </c>
      <c r="O2396" s="0" t="n">
        <v>1000</v>
      </c>
    </row>
    <row r="2397" customFormat="false" ht="15" hidden="false" customHeight="false" outlineLevel="0" collapsed="false">
      <c r="A2397" s="0" t="s">
        <v>340</v>
      </c>
      <c r="B2397" s="0" t="s">
        <v>579</v>
      </c>
      <c r="C2397" s="0" t="n">
        <v>2022</v>
      </c>
      <c r="D2397" s="0" t="n">
        <v>5369</v>
      </c>
      <c r="E2397" s="0" t="n">
        <v>0.01</v>
      </c>
      <c r="F2397" s="0" t="n">
        <v>0</v>
      </c>
      <c r="G2397" s="0" t="n">
        <v>0</v>
      </c>
      <c r="H2397" s="0" t="n">
        <v>0.01</v>
      </c>
      <c r="I2397" s="0" t="n">
        <v>0</v>
      </c>
      <c r="J2397" s="0" t="n">
        <v>0</v>
      </c>
      <c r="K2397" s="0" t="n">
        <v>0</v>
      </c>
      <c r="L2397" s="0" t="n">
        <v>0</v>
      </c>
      <c r="M2397" s="0" t="n">
        <v>0</v>
      </c>
      <c r="N2397" s="0" t="n">
        <v>0</v>
      </c>
      <c r="O2397" s="0" t="n">
        <v>1000</v>
      </c>
    </row>
    <row r="2398" customFormat="false" ht="15" hidden="false" customHeight="false" outlineLevel="0" collapsed="false">
      <c r="A2398" s="0" t="s">
        <v>340</v>
      </c>
      <c r="B2398" s="0" t="s">
        <v>579</v>
      </c>
      <c r="C2398" s="0" t="n">
        <v>2023</v>
      </c>
      <c r="D2398" s="0" t="n">
        <v>5316</v>
      </c>
      <c r="E2398" s="0" t="n">
        <v>0.01</v>
      </c>
      <c r="F2398" s="0" t="n">
        <v>0</v>
      </c>
      <c r="G2398" s="0" t="n">
        <v>0</v>
      </c>
      <c r="H2398" s="0" t="n">
        <v>0.01</v>
      </c>
      <c r="I2398" s="0" t="n">
        <v>0</v>
      </c>
      <c r="J2398" s="0" t="n">
        <v>0</v>
      </c>
      <c r="K2398" s="0" t="n">
        <v>0</v>
      </c>
      <c r="L2398" s="0" t="n">
        <v>0</v>
      </c>
      <c r="M2398" s="0" t="n">
        <v>0</v>
      </c>
      <c r="N2398" s="0" t="n">
        <v>0</v>
      </c>
      <c r="O2398" s="0" t="n">
        <v>1000</v>
      </c>
    </row>
    <row r="2399" customFormat="false" ht="15" hidden="false" customHeight="false" outlineLevel="0" collapsed="false">
      <c r="A2399" s="0" t="s">
        <v>341</v>
      </c>
      <c r="B2399" s="0" t="s">
        <v>580</v>
      </c>
      <c r="C2399" s="0" t="n">
        <v>2015</v>
      </c>
      <c r="D2399" s="0" t="n">
        <v>47108</v>
      </c>
      <c r="E2399" s="0" t="n">
        <v>0.22</v>
      </c>
      <c r="F2399" s="0" t="n">
        <v>0</v>
      </c>
      <c r="G2399" s="0" t="n">
        <v>0</v>
      </c>
      <c r="H2399" s="0" t="n">
        <v>0.21</v>
      </c>
      <c r="I2399" s="0" t="n">
        <v>0</v>
      </c>
      <c r="J2399" s="0" t="n">
        <v>0</v>
      </c>
      <c r="K2399" s="0" t="n">
        <v>0</v>
      </c>
      <c r="L2399" s="0" t="n">
        <v>0.01</v>
      </c>
      <c r="M2399" s="0" t="n">
        <v>0</v>
      </c>
      <c r="N2399" s="0" t="n">
        <v>0</v>
      </c>
      <c r="O2399" s="0" t="n">
        <v>636.36</v>
      </c>
    </row>
    <row r="2400" customFormat="false" ht="15" hidden="false" customHeight="false" outlineLevel="0" collapsed="false">
      <c r="A2400" s="0" t="s">
        <v>341</v>
      </c>
      <c r="B2400" s="0" t="s">
        <v>580</v>
      </c>
      <c r="C2400" s="0" t="n">
        <v>2016</v>
      </c>
      <c r="D2400" s="0" t="n">
        <v>47099</v>
      </c>
      <c r="E2400" s="0" t="n">
        <v>0.23</v>
      </c>
      <c r="F2400" s="0" t="n">
        <v>0</v>
      </c>
      <c r="G2400" s="0" t="n">
        <v>0</v>
      </c>
      <c r="H2400" s="0" t="n">
        <v>0.22</v>
      </c>
      <c r="I2400" s="0" t="n">
        <v>0</v>
      </c>
      <c r="J2400" s="0" t="n">
        <v>0</v>
      </c>
      <c r="K2400" s="0" t="n">
        <v>0</v>
      </c>
      <c r="L2400" s="0" t="n">
        <v>0.01</v>
      </c>
      <c r="M2400" s="0" t="n">
        <v>0</v>
      </c>
      <c r="N2400" s="0" t="n">
        <v>0</v>
      </c>
      <c r="O2400" s="0" t="n">
        <v>608.7</v>
      </c>
    </row>
    <row r="2401" customFormat="false" ht="15" hidden="false" customHeight="false" outlineLevel="0" collapsed="false">
      <c r="A2401" s="0" t="s">
        <v>341</v>
      </c>
      <c r="B2401" s="0" t="s">
        <v>580</v>
      </c>
      <c r="C2401" s="0" t="n">
        <v>2017</v>
      </c>
      <c r="D2401" s="0" t="n">
        <v>47075</v>
      </c>
      <c r="E2401" s="0" t="n">
        <v>0.22</v>
      </c>
      <c r="F2401" s="0" t="n">
        <v>0</v>
      </c>
      <c r="G2401" s="0" t="n">
        <v>0</v>
      </c>
      <c r="H2401" s="0" t="n">
        <v>0.22</v>
      </c>
      <c r="I2401" s="0" t="n">
        <v>0</v>
      </c>
      <c r="J2401" s="0" t="n">
        <v>0</v>
      </c>
      <c r="K2401" s="0" t="n">
        <v>0</v>
      </c>
      <c r="L2401" s="0" t="n">
        <v>0</v>
      </c>
      <c r="M2401" s="0" t="n">
        <v>0</v>
      </c>
      <c r="N2401" s="0" t="n">
        <v>0</v>
      </c>
      <c r="O2401" s="0" t="n">
        <v>636.36</v>
      </c>
    </row>
    <row r="2402" customFormat="false" ht="15" hidden="false" customHeight="false" outlineLevel="0" collapsed="false">
      <c r="A2402" s="0" t="s">
        <v>341</v>
      </c>
      <c r="B2402" s="0" t="s">
        <v>580</v>
      </c>
      <c r="C2402" s="0" t="n">
        <v>2018</v>
      </c>
      <c r="D2402" s="0" t="n">
        <v>47032</v>
      </c>
      <c r="E2402" s="0" t="n">
        <v>0.23</v>
      </c>
      <c r="F2402" s="0" t="n">
        <v>0</v>
      </c>
      <c r="G2402" s="0" t="n">
        <v>0</v>
      </c>
      <c r="H2402" s="0" t="n">
        <v>0.22</v>
      </c>
      <c r="I2402" s="0" t="n">
        <v>0</v>
      </c>
      <c r="J2402" s="0" t="n">
        <v>0</v>
      </c>
      <c r="K2402" s="0" t="n">
        <v>0</v>
      </c>
      <c r="L2402" s="0" t="n">
        <v>0.01</v>
      </c>
      <c r="M2402" s="0" t="n">
        <v>0</v>
      </c>
      <c r="N2402" s="0" t="n">
        <v>0</v>
      </c>
      <c r="O2402" s="0" t="n">
        <v>608.7</v>
      </c>
    </row>
    <row r="2403" customFormat="false" ht="15" hidden="false" customHeight="false" outlineLevel="0" collapsed="false">
      <c r="A2403" s="0" t="s">
        <v>341</v>
      </c>
      <c r="B2403" s="0" t="s">
        <v>580</v>
      </c>
      <c r="C2403" s="0" t="n">
        <v>2019</v>
      </c>
      <c r="D2403" s="0" t="n">
        <v>46976</v>
      </c>
      <c r="E2403" s="0" t="n">
        <v>0.23</v>
      </c>
      <c r="F2403" s="0" t="n">
        <v>0</v>
      </c>
      <c r="G2403" s="0" t="n">
        <v>0</v>
      </c>
      <c r="H2403" s="0" t="n">
        <v>0.22</v>
      </c>
      <c r="I2403" s="0" t="n">
        <v>0</v>
      </c>
      <c r="J2403" s="0" t="n">
        <v>0</v>
      </c>
      <c r="K2403" s="0" t="n">
        <v>0</v>
      </c>
      <c r="L2403" s="0" t="n">
        <v>0.01</v>
      </c>
      <c r="M2403" s="0" t="n">
        <v>0</v>
      </c>
      <c r="N2403" s="0" t="n">
        <v>0</v>
      </c>
      <c r="O2403" s="0" t="n">
        <v>608.7</v>
      </c>
    </row>
    <row r="2404" customFormat="false" ht="15" hidden="false" customHeight="false" outlineLevel="0" collapsed="false">
      <c r="A2404" s="0" t="s">
        <v>341</v>
      </c>
      <c r="B2404" s="0" t="s">
        <v>580</v>
      </c>
      <c r="C2404" s="0" t="n">
        <v>2020</v>
      </c>
      <c r="D2404" s="0" t="n">
        <v>46896</v>
      </c>
      <c r="E2404" s="0" t="n">
        <v>0.22</v>
      </c>
      <c r="F2404" s="0" t="n">
        <v>0</v>
      </c>
      <c r="G2404" s="0" t="n">
        <v>0</v>
      </c>
      <c r="H2404" s="0" t="n">
        <v>0.21</v>
      </c>
      <c r="I2404" s="0" t="n">
        <v>0</v>
      </c>
      <c r="J2404" s="0" t="n">
        <v>0</v>
      </c>
      <c r="K2404" s="0" t="n">
        <v>0</v>
      </c>
      <c r="L2404" s="0" t="n">
        <v>0.01</v>
      </c>
      <c r="M2404" s="0" t="n">
        <v>0</v>
      </c>
      <c r="N2404" s="0" t="n">
        <v>0</v>
      </c>
      <c r="O2404" s="0" t="n">
        <v>636.36</v>
      </c>
    </row>
    <row r="2405" customFormat="false" ht="15" hidden="false" customHeight="false" outlineLevel="0" collapsed="false">
      <c r="A2405" s="0" t="s">
        <v>341</v>
      </c>
      <c r="B2405" s="0" t="s">
        <v>580</v>
      </c>
      <c r="C2405" s="0" t="n">
        <v>2021</v>
      </c>
      <c r="D2405" s="0" t="n">
        <v>46786</v>
      </c>
      <c r="E2405" s="0" t="n">
        <v>0.22</v>
      </c>
      <c r="F2405" s="0" t="n">
        <v>0</v>
      </c>
      <c r="G2405" s="0" t="n">
        <v>0</v>
      </c>
      <c r="H2405" s="0" t="n">
        <v>0.21</v>
      </c>
      <c r="I2405" s="0" t="n">
        <v>0</v>
      </c>
      <c r="J2405" s="0" t="n">
        <v>0</v>
      </c>
      <c r="K2405" s="0" t="n">
        <v>0</v>
      </c>
      <c r="L2405" s="0" t="n">
        <v>0.01</v>
      </c>
      <c r="M2405" s="0" t="n">
        <v>0</v>
      </c>
      <c r="N2405" s="0" t="n">
        <v>0</v>
      </c>
      <c r="O2405" s="0" t="n">
        <v>636.36</v>
      </c>
    </row>
    <row r="2406" customFormat="false" ht="15" hidden="false" customHeight="false" outlineLevel="0" collapsed="false">
      <c r="A2406" s="0" t="s">
        <v>341</v>
      </c>
      <c r="B2406" s="0" t="s">
        <v>580</v>
      </c>
      <c r="C2406" s="0" t="n">
        <v>2022</v>
      </c>
      <c r="D2406" s="0" t="n">
        <v>46732</v>
      </c>
      <c r="E2406" s="0" t="n">
        <v>0.22</v>
      </c>
      <c r="F2406" s="0" t="n">
        <v>0</v>
      </c>
      <c r="G2406" s="0" t="n">
        <v>0</v>
      </c>
      <c r="H2406" s="0" t="n">
        <v>0.21</v>
      </c>
      <c r="I2406" s="0" t="n">
        <v>0</v>
      </c>
      <c r="J2406" s="0" t="n">
        <v>0</v>
      </c>
      <c r="K2406" s="0" t="n">
        <v>0</v>
      </c>
      <c r="L2406" s="0" t="n">
        <v>0.01</v>
      </c>
      <c r="M2406" s="0" t="n">
        <v>0</v>
      </c>
      <c r="N2406" s="0" t="n">
        <v>0</v>
      </c>
      <c r="O2406" s="0" t="n">
        <v>636.36</v>
      </c>
    </row>
    <row r="2407" customFormat="false" ht="15" hidden="false" customHeight="false" outlineLevel="0" collapsed="false">
      <c r="A2407" s="0" t="s">
        <v>341</v>
      </c>
      <c r="B2407" s="0" t="s">
        <v>580</v>
      </c>
      <c r="C2407" s="0" t="n">
        <v>2023</v>
      </c>
      <c r="D2407" s="0" t="n">
        <v>46783</v>
      </c>
      <c r="E2407" s="0" t="n">
        <v>0.22</v>
      </c>
      <c r="F2407" s="0" t="n">
        <v>0</v>
      </c>
      <c r="G2407" s="0" t="n">
        <v>0</v>
      </c>
      <c r="H2407" s="0" t="n">
        <v>0.21</v>
      </c>
      <c r="I2407" s="0" t="n">
        <v>0</v>
      </c>
      <c r="J2407" s="0" t="n">
        <v>0</v>
      </c>
      <c r="K2407" s="0" t="n">
        <v>0</v>
      </c>
      <c r="L2407" s="0" t="n">
        <v>0.01</v>
      </c>
      <c r="M2407" s="0" t="n">
        <v>0</v>
      </c>
      <c r="N2407" s="0" t="n">
        <v>0</v>
      </c>
      <c r="O2407" s="0" t="n">
        <v>636.36</v>
      </c>
    </row>
    <row r="2408" customFormat="false" ht="15" hidden="false" customHeight="false" outlineLevel="0" collapsed="false">
      <c r="A2408" s="0" t="s">
        <v>341</v>
      </c>
      <c r="B2408" s="0" t="s">
        <v>580</v>
      </c>
      <c r="C2408" s="0" t="n">
        <v>2024</v>
      </c>
      <c r="D2408" s="0" t="n">
        <v>46867</v>
      </c>
      <c r="E2408" s="0" t="n">
        <v>0.23</v>
      </c>
      <c r="F2408" s="0" t="n">
        <v>0</v>
      </c>
      <c r="G2408" s="0" t="n">
        <v>0</v>
      </c>
      <c r="H2408" s="0" t="n">
        <v>0.21</v>
      </c>
      <c r="I2408" s="0" t="n">
        <v>0</v>
      </c>
      <c r="J2408" s="0" t="n">
        <v>0</v>
      </c>
      <c r="K2408" s="0" t="n">
        <v>0.01</v>
      </c>
      <c r="L2408" s="0" t="n">
        <v>0.01</v>
      </c>
      <c r="M2408" s="0" t="n">
        <v>0</v>
      </c>
      <c r="N2408" s="0" t="n">
        <v>0</v>
      </c>
      <c r="O2408" s="0" t="n">
        <v>608.7</v>
      </c>
    </row>
    <row r="2409" customFormat="false" ht="15" hidden="false" customHeight="false" outlineLevel="0" collapsed="false">
      <c r="A2409" s="0" t="s">
        <v>342</v>
      </c>
      <c r="B2409" s="0" t="s">
        <v>581</v>
      </c>
      <c r="C2409" s="0" t="n">
        <v>2015</v>
      </c>
      <c r="D2409" s="0" t="n">
        <v>174919</v>
      </c>
      <c r="E2409" s="0" t="n">
        <v>0.38</v>
      </c>
      <c r="F2409" s="0" t="n">
        <v>0</v>
      </c>
      <c r="G2409" s="0" t="n">
        <v>0</v>
      </c>
      <c r="H2409" s="0" t="n">
        <v>0.38</v>
      </c>
      <c r="I2409" s="0" t="n">
        <v>0</v>
      </c>
      <c r="J2409" s="0" t="n">
        <v>0</v>
      </c>
      <c r="K2409" s="0" t="n">
        <v>0</v>
      </c>
      <c r="L2409" s="0" t="n">
        <v>0</v>
      </c>
      <c r="M2409" s="0" t="n">
        <v>0</v>
      </c>
      <c r="N2409" s="0" t="n">
        <v>0</v>
      </c>
      <c r="O2409" s="0" t="n">
        <v>657.9</v>
      </c>
    </row>
    <row r="2410" customFormat="false" ht="15" hidden="false" customHeight="false" outlineLevel="0" collapsed="false">
      <c r="A2410" s="0" t="s">
        <v>342</v>
      </c>
      <c r="B2410" s="0" t="s">
        <v>581</v>
      </c>
      <c r="C2410" s="0" t="n">
        <v>2016</v>
      </c>
      <c r="D2410" s="0" t="n">
        <v>175651</v>
      </c>
      <c r="E2410" s="0" t="n">
        <v>0.39</v>
      </c>
      <c r="F2410" s="0" t="n">
        <v>0</v>
      </c>
      <c r="G2410" s="0" t="n">
        <v>0</v>
      </c>
      <c r="H2410" s="0" t="n">
        <v>0.39</v>
      </c>
      <c r="I2410" s="0" t="n">
        <v>0</v>
      </c>
      <c r="J2410" s="0" t="n">
        <v>0</v>
      </c>
      <c r="K2410" s="0" t="n">
        <v>0</v>
      </c>
      <c r="L2410" s="0" t="n">
        <v>0</v>
      </c>
      <c r="M2410" s="0" t="n">
        <v>0</v>
      </c>
      <c r="N2410" s="0" t="n">
        <v>0</v>
      </c>
      <c r="O2410" s="0" t="n">
        <v>666.67</v>
      </c>
    </row>
    <row r="2411" customFormat="false" ht="15" hidden="false" customHeight="false" outlineLevel="0" collapsed="false">
      <c r="A2411" s="0" t="s">
        <v>342</v>
      </c>
      <c r="B2411" s="0" t="s">
        <v>581</v>
      </c>
      <c r="C2411" s="0" t="n">
        <v>2017</v>
      </c>
      <c r="D2411" s="0" t="n">
        <v>176352</v>
      </c>
      <c r="E2411" s="0" t="n">
        <v>0.4</v>
      </c>
      <c r="F2411" s="0" t="n">
        <v>0</v>
      </c>
      <c r="G2411" s="0" t="n">
        <v>0</v>
      </c>
      <c r="H2411" s="0" t="n">
        <v>0.4</v>
      </c>
      <c r="I2411" s="0" t="n">
        <v>0</v>
      </c>
      <c r="J2411" s="0" t="n">
        <v>0</v>
      </c>
      <c r="K2411" s="0" t="n">
        <v>0</v>
      </c>
      <c r="L2411" s="0" t="n">
        <v>0</v>
      </c>
      <c r="M2411" s="0" t="n">
        <v>0</v>
      </c>
      <c r="N2411" s="0" t="n">
        <v>0</v>
      </c>
      <c r="O2411" s="0" t="n">
        <v>650</v>
      </c>
    </row>
    <row r="2412" customFormat="false" ht="15" hidden="false" customHeight="false" outlineLevel="0" collapsed="false">
      <c r="A2412" s="0" t="s">
        <v>342</v>
      </c>
      <c r="B2412" s="0" t="s">
        <v>581</v>
      </c>
      <c r="C2412" s="0" t="n">
        <v>2018</v>
      </c>
      <c r="D2412" s="0" t="n">
        <v>177032</v>
      </c>
      <c r="E2412" s="0" t="n">
        <v>0.41</v>
      </c>
      <c r="F2412" s="0" t="n">
        <v>0</v>
      </c>
      <c r="G2412" s="0" t="n">
        <v>0</v>
      </c>
      <c r="H2412" s="0" t="n">
        <v>0.4</v>
      </c>
      <c r="I2412" s="0" t="n">
        <v>0</v>
      </c>
      <c r="J2412" s="0" t="n">
        <v>0</v>
      </c>
      <c r="K2412" s="0" t="n">
        <v>0.01</v>
      </c>
      <c r="L2412" s="0" t="n">
        <v>0</v>
      </c>
      <c r="M2412" s="0" t="n">
        <v>0</v>
      </c>
      <c r="N2412" s="0" t="n">
        <v>0</v>
      </c>
      <c r="O2412" s="0" t="n">
        <v>634.15</v>
      </c>
    </row>
    <row r="2413" customFormat="false" ht="15" hidden="false" customHeight="false" outlineLevel="0" collapsed="false">
      <c r="A2413" s="0" t="s">
        <v>342</v>
      </c>
      <c r="B2413" s="0" t="s">
        <v>581</v>
      </c>
      <c r="C2413" s="0" t="n">
        <v>2019</v>
      </c>
      <c r="D2413" s="0" t="n">
        <v>177675</v>
      </c>
      <c r="E2413" s="0" t="n">
        <v>0.42</v>
      </c>
      <c r="F2413" s="0" t="n">
        <v>0</v>
      </c>
      <c r="G2413" s="0" t="n">
        <v>0</v>
      </c>
      <c r="H2413" s="0" t="n">
        <v>0.41</v>
      </c>
      <c r="I2413" s="0" t="n">
        <v>0</v>
      </c>
      <c r="J2413" s="0" t="n">
        <v>0</v>
      </c>
      <c r="K2413" s="0" t="n">
        <v>0.01</v>
      </c>
      <c r="L2413" s="0" t="n">
        <v>0</v>
      </c>
      <c r="M2413" s="0" t="n">
        <v>0</v>
      </c>
      <c r="N2413" s="0" t="n">
        <v>0</v>
      </c>
      <c r="O2413" s="0" t="n">
        <v>642.86</v>
      </c>
    </row>
    <row r="2414" customFormat="false" ht="15" hidden="false" customHeight="false" outlineLevel="0" collapsed="false">
      <c r="A2414" s="0" t="s">
        <v>342</v>
      </c>
      <c r="B2414" s="0" t="s">
        <v>581</v>
      </c>
      <c r="C2414" s="0" t="n">
        <v>2020</v>
      </c>
      <c r="D2414" s="0" t="n">
        <v>178261</v>
      </c>
      <c r="E2414" s="0" t="n">
        <v>0.38</v>
      </c>
      <c r="F2414" s="0" t="n">
        <v>0</v>
      </c>
      <c r="G2414" s="0" t="n">
        <v>0</v>
      </c>
      <c r="H2414" s="0" t="n">
        <v>0.37</v>
      </c>
      <c r="I2414" s="0" t="n">
        <v>0</v>
      </c>
      <c r="J2414" s="0" t="n">
        <v>0</v>
      </c>
      <c r="K2414" s="0" t="n">
        <v>0.01</v>
      </c>
      <c r="L2414" s="0" t="n">
        <v>0</v>
      </c>
      <c r="M2414" s="0" t="n">
        <v>0</v>
      </c>
      <c r="N2414" s="0" t="n">
        <v>0</v>
      </c>
      <c r="O2414" s="0" t="n">
        <v>631.58</v>
      </c>
    </row>
    <row r="2415" customFormat="false" ht="15" hidden="false" customHeight="false" outlineLevel="0" collapsed="false">
      <c r="A2415" s="0" t="s">
        <v>342</v>
      </c>
      <c r="B2415" s="0" t="s">
        <v>581</v>
      </c>
      <c r="C2415" s="0" t="n">
        <v>2021</v>
      </c>
      <c r="D2415" s="0" t="n">
        <v>178540</v>
      </c>
      <c r="E2415" s="0" t="n">
        <v>0.4</v>
      </c>
      <c r="F2415" s="0" t="n">
        <v>0</v>
      </c>
      <c r="G2415" s="0" t="n">
        <v>0</v>
      </c>
      <c r="H2415" s="0" t="n">
        <v>0.39</v>
      </c>
      <c r="I2415" s="0" t="n">
        <v>0</v>
      </c>
      <c r="J2415" s="0" t="n">
        <v>0</v>
      </c>
      <c r="K2415" s="0" t="n">
        <v>0.01</v>
      </c>
      <c r="L2415" s="0" t="n">
        <v>0</v>
      </c>
      <c r="M2415" s="0" t="n">
        <v>0</v>
      </c>
      <c r="N2415" s="0" t="n">
        <v>0</v>
      </c>
      <c r="O2415" s="0" t="n">
        <v>650</v>
      </c>
    </row>
    <row r="2416" customFormat="false" ht="15" hidden="false" customHeight="false" outlineLevel="0" collapsed="false">
      <c r="A2416" s="0" t="s">
        <v>342</v>
      </c>
      <c r="B2416" s="0" t="s">
        <v>581</v>
      </c>
      <c r="C2416" s="0" t="n">
        <v>2022</v>
      </c>
      <c r="D2416" s="0" t="n">
        <v>178794</v>
      </c>
      <c r="E2416" s="0" t="n">
        <v>0.4</v>
      </c>
      <c r="F2416" s="0" t="n">
        <v>0</v>
      </c>
      <c r="G2416" s="0" t="n">
        <v>0</v>
      </c>
      <c r="H2416" s="0" t="n">
        <v>0.39</v>
      </c>
      <c r="I2416" s="0" t="n">
        <v>0</v>
      </c>
      <c r="J2416" s="0" t="n">
        <v>0</v>
      </c>
      <c r="K2416" s="0" t="n">
        <v>0.01</v>
      </c>
      <c r="L2416" s="0" t="n">
        <v>0</v>
      </c>
      <c r="M2416" s="0" t="n">
        <v>0</v>
      </c>
      <c r="N2416" s="0" t="n">
        <v>0</v>
      </c>
      <c r="O2416" s="0" t="n">
        <v>650</v>
      </c>
    </row>
    <row r="2417" customFormat="false" ht="15" hidden="false" customHeight="false" outlineLevel="0" collapsed="false">
      <c r="A2417" s="0" t="s">
        <v>342</v>
      </c>
      <c r="B2417" s="0" t="s">
        <v>581</v>
      </c>
      <c r="C2417" s="0" t="n">
        <v>2023</v>
      </c>
      <c r="D2417" s="0" t="n">
        <v>179291</v>
      </c>
      <c r="E2417" s="0" t="n">
        <v>0.4</v>
      </c>
      <c r="F2417" s="0" t="n">
        <v>0</v>
      </c>
      <c r="G2417" s="0" t="n">
        <v>0</v>
      </c>
      <c r="H2417" s="0" t="n">
        <v>0.39</v>
      </c>
      <c r="I2417" s="0" t="n">
        <v>0</v>
      </c>
      <c r="J2417" s="0" t="n">
        <v>0</v>
      </c>
      <c r="K2417" s="0" t="n">
        <v>0.01</v>
      </c>
      <c r="L2417" s="0" t="n">
        <v>0</v>
      </c>
      <c r="M2417" s="0" t="n">
        <v>0</v>
      </c>
      <c r="N2417" s="0" t="n">
        <v>0</v>
      </c>
      <c r="O2417" s="0" t="n">
        <v>650</v>
      </c>
    </row>
    <row r="2418" customFormat="false" ht="15" hidden="false" customHeight="false" outlineLevel="0" collapsed="false">
      <c r="A2418" s="0" t="s">
        <v>342</v>
      </c>
      <c r="B2418" s="0" t="s">
        <v>581</v>
      </c>
      <c r="C2418" s="0" t="n">
        <v>2024</v>
      </c>
      <c r="D2418" s="0" t="n">
        <v>179751</v>
      </c>
      <c r="E2418" s="0" t="n">
        <v>0.4</v>
      </c>
      <c r="F2418" s="0" t="n">
        <v>0</v>
      </c>
      <c r="G2418" s="0" t="n">
        <v>0</v>
      </c>
      <c r="H2418" s="0" t="n">
        <v>0.39</v>
      </c>
      <c r="I2418" s="0" t="n">
        <v>0</v>
      </c>
      <c r="J2418" s="0" t="n">
        <v>0</v>
      </c>
      <c r="K2418" s="0" t="n">
        <v>0.01</v>
      </c>
      <c r="L2418" s="0" t="n">
        <v>0</v>
      </c>
      <c r="M2418" s="0" t="n">
        <v>0</v>
      </c>
      <c r="N2418" s="0" t="n">
        <v>0</v>
      </c>
      <c r="O2418" s="0" t="n">
        <v>650</v>
      </c>
    </row>
    <row r="2419" customFormat="false" ht="15" hidden="false" customHeight="false" outlineLevel="0" collapsed="false">
      <c r="A2419" s="0" t="s">
        <v>343</v>
      </c>
      <c r="B2419" s="0" t="s">
        <v>582</v>
      </c>
      <c r="C2419" s="0" t="n">
        <v>2015</v>
      </c>
      <c r="D2419" s="0" t="n">
        <v>5971</v>
      </c>
      <c r="E2419" s="0" t="n">
        <v>0.05</v>
      </c>
      <c r="F2419" s="0" t="n">
        <v>0</v>
      </c>
      <c r="G2419" s="0" t="n">
        <v>0</v>
      </c>
      <c r="H2419" s="0" t="n">
        <v>0.05</v>
      </c>
      <c r="I2419" s="0" t="n">
        <v>0</v>
      </c>
      <c r="J2419" s="0" t="n">
        <v>0</v>
      </c>
      <c r="K2419" s="0" t="n">
        <v>0</v>
      </c>
      <c r="L2419" s="0" t="n">
        <v>0</v>
      </c>
      <c r="M2419" s="0" t="n">
        <v>0</v>
      </c>
      <c r="N2419" s="0" t="n">
        <v>0</v>
      </c>
      <c r="O2419" s="0" t="n">
        <v>600</v>
      </c>
    </row>
    <row r="2420" customFormat="false" ht="15" hidden="false" customHeight="false" outlineLevel="0" collapsed="false">
      <c r="A2420" s="0" t="s">
        <v>343</v>
      </c>
      <c r="B2420" s="0" t="s">
        <v>582</v>
      </c>
      <c r="C2420" s="0" t="n">
        <v>2016</v>
      </c>
      <c r="D2420" s="0" t="n">
        <v>5957</v>
      </c>
      <c r="E2420" s="0" t="n">
        <v>0.05</v>
      </c>
      <c r="F2420" s="0" t="n">
        <v>0</v>
      </c>
      <c r="G2420" s="0" t="n">
        <v>0</v>
      </c>
      <c r="H2420" s="0" t="n">
        <v>0.05</v>
      </c>
      <c r="I2420" s="0" t="n">
        <v>0</v>
      </c>
      <c r="J2420" s="0" t="n">
        <v>0</v>
      </c>
      <c r="K2420" s="0" t="n">
        <v>0</v>
      </c>
      <c r="L2420" s="0" t="n">
        <v>0</v>
      </c>
      <c r="M2420" s="0" t="n">
        <v>0</v>
      </c>
      <c r="N2420" s="0" t="n">
        <v>0</v>
      </c>
      <c r="O2420" s="0" t="n">
        <v>600</v>
      </c>
    </row>
    <row r="2421" customFormat="false" ht="15" hidden="false" customHeight="false" outlineLevel="0" collapsed="false">
      <c r="A2421" s="0" t="s">
        <v>343</v>
      </c>
      <c r="B2421" s="0" t="s">
        <v>582</v>
      </c>
      <c r="C2421" s="0" t="n">
        <v>2017</v>
      </c>
      <c r="D2421" s="0" t="n">
        <v>5946</v>
      </c>
      <c r="E2421" s="0" t="n">
        <v>0.05</v>
      </c>
      <c r="F2421" s="0" t="n">
        <v>0</v>
      </c>
      <c r="G2421" s="0" t="n">
        <v>0</v>
      </c>
      <c r="H2421" s="0" t="n">
        <v>0.05</v>
      </c>
      <c r="I2421" s="0" t="n">
        <v>0</v>
      </c>
      <c r="J2421" s="0" t="n">
        <v>0</v>
      </c>
      <c r="K2421" s="0" t="n">
        <v>0</v>
      </c>
      <c r="L2421" s="0" t="n">
        <v>0</v>
      </c>
      <c r="M2421" s="0" t="n">
        <v>0</v>
      </c>
      <c r="N2421" s="0" t="n">
        <v>0</v>
      </c>
      <c r="O2421" s="0" t="n">
        <v>600</v>
      </c>
    </row>
    <row r="2422" customFormat="false" ht="15" hidden="false" customHeight="false" outlineLevel="0" collapsed="false">
      <c r="A2422" s="0" t="s">
        <v>343</v>
      </c>
      <c r="B2422" s="0" t="s">
        <v>582</v>
      </c>
      <c r="C2422" s="0" t="n">
        <v>2018</v>
      </c>
      <c r="D2422" s="0" t="n">
        <v>5932</v>
      </c>
      <c r="E2422" s="0" t="n">
        <v>0.05</v>
      </c>
      <c r="F2422" s="0" t="n">
        <v>0</v>
      </c>
      <c r="G2422" s="0" t="n">
        <v>0</v>
      </c>
      <c r="H2422" s="0" t="n">
        <v>0.05</v>
      </c>
      <c r="I2422" s="0" t="n">
        <v>0</v>
      </c>
      <c r="J2422" s="0" t="n">
        <v>0</v>
      </c>
      <c r="K2422" s="0" t="n">
        <v>0</v>
      </c>
      <c r="L2422" s="0" t="n">
        <v>0</v>
      </c>
      <c r="M2422" s="0" t="n">
        <v>0</v>
      </c>
      <c r="N2422" s="0" t="n">
        <v>0</v>
      </c>
      <c r="O2422" s="0" t="n">
        <v>600</v>
      </c>
    </row>
    <row r="2423" customFormat="false" ht="15" hidden="false" customHeight="false" outlineLevel="0" collapsed="false">
      <c r="A2423" s="0" t="s">
        <v>343</v>
      </c>
      <c r="B2423" s="0" t="s">
        <v>582</v>
      </c>
      <c r="C2423" s="0" t="n">
        <v>2019</v>
      </c>
      <c r="D2423" s="0" t="n">
        <v>5899</v>
      </c>
      <c r="E2423" s="0" t="n">
        <v>0.05</v>
      </c>
      <c r="F2423" s="0" t="n">
        <v>0</v>
      </c>
      <c r="G2423" s="0" t="n">
        <v>0</v>
      </c>
      <c r="H2423" s="0" t="n">
        <v>0.05</v>
      </c>
      <c r="I2423" s="0" t="n">
        <v>0</v>
      </c>
      <c r="J2423" s="0" t="n">
        <v>0</v>
      </c>
      <c r="K2423" s="0" t="n">
        <v>0</v>
      </c>
      <c r="L2423" s="0" t="n">
        <v>0</v>
      </c>
      <c r="M2423" s="0" t="n">
        <v>0</v>
      </c>
      <c r="N2423" s="0" t="n">
        <v>0</v>
      </c>
      <c r="O2423" s="0" t="n">
        <v>600</v>
      </c>
    </row>
    <row r="2424" customFormat="false" ht="15" hidden="false" customHeight="false" outlineLevel="0" collapsed="false">
      <c r="A2424" s="0" t="s">
        <v>343</v>
      </c>
      <c r="B2424" s="0" t="s">
        <v>582</v>
      </c>
      <c r="C2424" s="0" t="n">
        <v>2020</v>
      </c>
      <c r="D2424" s="0" t="n">
        <v>5852</v>
      </c>
      <c r="E2424" s="0" t="n">
        <v>0.05</v>
      </c>
      <c r="F2424" s="0" t="n">
        <v>0</v>
      </c>
      <c r="G2424" s="0" t="n">
        <v>0</v>
      </c>
      <c r="H2424" s="0" t="n">
        <v>0.05</v>
      </c>
      <c r="I2424" s="0" t="n">
        <v>0</v>
      </c>
      <c r="J2424" s="0" t="n">
        <v>0</v>
      </c>
      <c r="K2424" s="0" t="n">
        <v>0</v>
      </c>
      <c r="L2424" s="0" t="n">
        <v>0</v>
      </c>
      <c r="M2424" s="0" t="n">
        <v>0</v>
      </c>
      <c r="N2424" s="0" t="n">
        <v>0</v>
      </c>
      <c r="O2424" s="0" t="n">
        <v>600</v>
      </c>
    </row>
    <row r="2425" customFormat="false" ht="15" hidden="false" customHeight="false" outlineLevel="0" collapsed="false">
      <c r="A2425" s="0" t="s">
        <v>343</v>
      </c>
      <c r="B2425" s="0" t="s">
        <v>582</v>
      </c>
      <c r="C2425" s="0" t="n">
        <v>2021</v>
      </c>
      <c r="D2425" s="0" t="n">
        <v>5802</v>
      </c>
      <c r="E2425" s="0" t="n">
        <v>0.05</v>
      </c>
      <c r="F2425" s="0" t="n">
        <v>0</v>
      </c>
      <c r="G2425" s="0" t="n">
        <v>0</v>
      </c>
      <c r="H2425" s="0" t="n">
        <v>0.05</v>
      </c>
      <c r="I2425" s="0" t="n">
        <v>0</v>
      </c>
      <c r="J2425" s="0" t="n">
        <v>0</v>
      </c>
      <c r="K2425" s="0" t="n">
        <v>0</v>
      </c>
      <c r="L2425" s="0" t="n">
        <v>0</v>
      </c>
      <c r="M2425" s="0" t="n">
        <v>0</v>
      </c>
      <c r="N2425" s="0" t="n">
        <v>0</v>
      </c>
      <c r="O2425" s="0" t="n">
        <v>600</v>
      </c>
    </row>
    <row r="2426" customFormat="false" ht="15" hidden="false" customHeight="false" outlineLevel="0" collapsed="false">
      <c r="A2426" s="0" t="s">
        <v>343</v>
      </c>
      <c r="B2426" s="0" t="s">
        <v>582</v>
      </c>
      <c r="C2426" s="0" t="n">
        <v>2022</v>
      </c>
      <c r="D2426" s="0" t="n">
        <v>5760</v>
      </c>
      <c r="E2426" s="0" t="n">
        <v>0.05</v>
      </c>
      <c r="F2426" s="0" t="n">
        <v>0</v>
      </c>
      <c r="G2426" s="0" t="n">
        <v>0</v>
      </c>
      <c r="H2426" s="0" t="n">
        <v>0.05</v>
      </c>
      <c r="I2426" s="0" t="n">
        <v>0</v>
      </c>
      <c r="J2426" s="0" t="n">
        <v>0</v>
      </c>
      <c r="K2426" s="0" t="n">
        <v>0</v>
      </c>
      <c r="L2426" s="0" t="n">
        <v>0</v>
      </c>
      <c r="M2426" s="0" t="n">
        <v>0</v>
      </c>
      <c r="N2426" s="0" t="n">
        <v>0</v>
      </c>
      <c r="O2426" s="0" t="n">
        <v>600</v>
      </c>
    </row>
    <row r="2427" customFormat="false" ht="15" hidden="false" customHeight="false" outlineLevel="0" collapsed="false">
      <c r="A2427" s="0" t="s">
        <v>343</v>
      </c>
      <c r="B2427" s="0" t="s">
        <v>582</v>
      </c>
      <c r="C2427" s="0" t="n">
        <v>2023</v>
      </c>
      <c r="D2427" s="0" t="n">
        <v>5707</v>
      </c>
      <c r="E2427" s="0" t="n">
        <v>0.05</v>
      </c>
      <c r="F2427" s="0" t="n">
        <v>0</v>
      </c>
      <c r="G2427" s="0" t="n">
        <v>0</v>
      </c>
      <c r="H2427" s="0" t="n">
        <v>0.05</v>
      </c>
      <c r="I2427" s="0" t="n">
        <v>0</v>
      </c>
      <c r="J2427" s="0" t="n">
        <v>0</v>
      </c>
      <c r="K2427" s="0" t="n">
        <v>0</v>
      </c>
      <c r="L2427" s="0" t="n">
        <v>0</v>
      </c>
      <c r="M2427" s="0" t="n">
        <v>0</v>
      </c>
      <c r="N2427" s="0" t="n">
        <v>0</v>
      </c>
      <c r="O2427" s="0" t="n">
        <v>600</v>
      </c>
    </row>
    <row r="2428" customFormat="false" ht="15" hidden="false" customHeight="false" outlineLevel="0" collapsed="false">
      <c r="A2428" s="0" t="s">
        <v>344</v>
      </c>
      <c r="B2428" s="0" t="s">
        <v>583</v>
      </c>
      <c r="C2428" s="0" t="n">
        <v>2015</v>
      </c>
      <c r="D2428" s="0" t="n">
        <v>106975</v>
      </c>
      <c r="E2428" s="0" t="n">
        <v>0.15</v>
      </c>
      <c r="F2428" s="0" t="n">
        <v>0</v>
      </c>
      <c r="G2428" s="0" t="n">
        <v>0</v>
      </c>
      <c r="H2428" s="0" t="n">
        <v>0.13</v>
      </c>
      <c r="I2428" s="0" t="n">
        <v>0</v>
      </c>
      <c r="J2428" s="0" t="n">
        <v>0.02</v>
      </c>
      <c r="K2428" s="0" t="n">
        <v>0</v>
      </c>
      <c r="L2428" s="0" t="n">
        <v>0</v>
      </c>
      <c r="M2428" s="0" t="n">
        <v>0</v>
      </c>
      <c r="N2428" s="0" t="n">
        <v>0</v>
      </c>
      <c r="O2428" s="0" t="n">
        <v>600</v>
      </c>
    </row>
    <row r="2429" customFormat="false" ht="15" hidden="false" customHeight="false" outlineLevel="0" collapsed="false">
      <c r="A2429" s="0" t="s">
        <v>344</v>
      </c>
      <c r="B2429" s="0" t="s">
        <v>583</v>
      </c>
      <c r="C2429" s="0" t="n">
        <v>2016</v>
      </c>
      <c r="D2429" s="0" t="n">
        <v>106365</v>
      </c>
      <c r="E2429" s="0" t="n">
        <v>0.16</v>
      </c>
      <c r="F2429" s="0" t="n">
        <v>0</v>
      </c>
      <c r="G2429" s="0" t="n">
        <v>0</v>
      </c>
      <c r="H2429" s="0" t="n">
        <v>0.14</v>
      </c>
      <c r="I2429" s="0" t="n">
        <v>0</v>
      </c>
      <c r="J2429" s="0" t="n">
        <v>0.02</v>
      </c>
      <c r="K2429" s="0" t="n">
        <v>0</v>
      </c>
      <c r="L2429" s="0" t="n">
        <v>0</v>
      </c>
      <c r="M2429" s="0" t="n">
        <v>0</v>
      </c>
      <c r="N2429" s="0" t="n">
        <v>0</v>
      </c>
      <c r="O2429" s="0" t="n">
        <v>562.5</v>
      </c>
    </row>
    <row r="2430" customFormat="false" ht="15" hidden="false" customHeight="false" outlineLevel="0" collapsed="false">
      <c r="A2430" s="0" t="s">
        <v>344</v>
      </c>
      <c r="B2430" s="0" t="s">
        <v>583</v>
      </c>
      <c r="C2430" s="0" t="n">
        <v>2017</v>
      </c>
      <c r="D2430" s="0" t="n">
        <v>105674</v>
      </c>
      <c r="E2430" s="0" t="n">
        <v>0.15</v>
      </c>
      <c r="F2430" s="0" t="n">
        <v>0</v>
      </c>
      <c r="G2430" s="0" t="n">
        <v>0</v>
      </c>
      <c r="H2430" s="0" t="n">
        <v>0.13</v>
      </c>
      <c r="I2430" s="0" t="n">
        <v>0</v>
      </c>
      <c r="J2430" s="0" t="n">
        <v>0.02</v>
      </c>
      <c r="K2430" s="0" t="n">
        <v>0</v>
      </c>
      <c r="L2430" s="0" t="n">
        <v>0</v>
      </c>
      <c r="M2430" s="0" t="n">
        <v>0</v>
      </c>
      <c r="N2430" s="0" t="n">
        <v>0</v>
      </c>
      <c r="O2430" s="0" t="n">
        <v>600</v>
      </c>
    </row>
    <row r="2431" customFormat="false" ht="15" hidden="false" customHeight="false" outlineLevel="0" collapsed="false">
      <c r="A2431" s="0" t="s">
        <v>344</v>
      </c>
      <c r="B2431" s="0" t="s">
        <v>583</v>
      </c>
      <c r="C2431" s="0" t="n">
        <v>2018</v>
      </c>
      <c r="D2431" s="0" t="n">
        <v>104939</v>
      </c>
      <c r="E2431" s="0" t="n">
        <v>0.15</v>
      </c>
      <c r="F2431" s="0" t="n">
        <v>0</v>
      </c>
      <c r="G2431" s="0" t="n">
        <v>0</v>
      </c>
      <c r="H2431" s="0" t="n">
        <v>0.13</v>
      </c>
      <c r="I2431" s="0" t="n">
        <v>0</v>
      </c>
      <c r="J2431" s="0" t="n">
        <v>0.02</v>
      </c>
      <c r="K2431" s="0" t="n">
        <v>0</v>
      </c>
      <c r="L2431" s="0" t="n">
        <v>0</v>
      </c>
      <c r="M2431" s="0" t="n">
        <v>0</v>
      </c>
      <c r="N2431" s="0" t="n">
        <v>0</v>
      </c>
      <c r="O2431" s="0" t="n">
        <v>600</v>
      </c>
    </row>
    <row r="2432" customFormat="false" ht="15" hidden="false" customHeight="false" outlineLevel="0" collapsed="false">
      <c r="A2432" s="0" t="s">
        <v>344</v>
      </c>
      <c r="B2432" s="0" t="s">
        <v>583</v>
      </c>
      <c r="C2432" s="0" t="n">
        <v>2019</v>
      </c>
      <c r="D2432" s="0" t="n">
        <v>104183</v>
      </c>
      <c r="E2432" s="0" t="n">
        <v>0.15</v>
      </c>
      <c r="F2432" s="0" t="n">
        <v>0</v>
      </c>
      <c r="G2432" s="0" t="n">
        <v>0</v>
      </c>
      <c r="H2432" s="0" t="n">
        <v>0.13</v>
      </c>
      <c r="I2432" s="0" t="n">
        <v>0</v>
      </c>
      <c r="J2432" s="0" t="n">
        <v>0.02</v>
      </c>
      <c r="K2432" s="0" t="n">
        <v>0</v>
      </c>
      <c r="L2432" s="0" t="n">
        <v>0</v>
      </c>
      <c r="M2432" s="0" t="n">
        <v>0</v>
      </c>
      <c r="N2432" s="0" t="n">
        <v>0</v>
      </c>
      <c r="O2432" s="0" t="n">
        <v>600</v>
      </c>
    </row>
    <row r="2433" customFormat="false" ht="15" hidden="false" customHeight="false" outlineLevel="0" collapsed="false">
      <c r="A2433" s="0" t="s">
        <v>344</v>
      </c>
      <c r="B2433" s="0" t="s">
        <v>583</v>
      </c>
      <c r="C2433" s="0" t="n">
        <v>2020</v>
      </c>
      <c r="D2433" s="0" t="n">
        <v>103540</v>
      </c>
      <c r="E2433" s="0" t="n">
        <v>0.15</v>
      </c>
      <c r="F2433" s="0" t="n">
        <v>0</v>
      </c>
      <c r="G2433" s="0" t="n">
        <v>0</v>
      </c>
      <c r="H2433" s="0" t="n">
        <v>0.13</v>
      </c>
      <c r="I2433" s="0" t="n">
        <v>0</v>
      </c>
      <c r="J2433" s="0" t="n">
        <v>0.02</v>
      </c>
      <c r="K2433" s="0" t="n">
        <v>0</v>
      </c>
      <c r="L2433" s="0" t="n">
        <v>0</v>
      </c>
      <c r="M2433" s="0" t="n">
        <v>0</v>
      </c>
      <c r="N2433" s="0" t="n">
        <v>0</v>
      </c>
      <c r="O2433" s="0" t="n">
        <v>600</v>
      </c>
    </row>
    <row r="2434" customFormat="false" ht="15" hidden="false" customHeight="false" outlineLevel="0" collapsed="false">
      <c r="A2434" s="0" t="s">
        <v>344</v>
      </c>
      <c r="B2434" s="0" t="s">
        <v>583</v>
      </c>
      <c r="C2434" s="0" t="n">
        <v>2021</v>
      </c>
      <c r="D2434" s="0" t="n">
        <v>102848</v>
      </c>
      <c r="E2434" s="0" t="n">
        <v>0.14</v>
      </c>
      <c r="F2434" s="0" t="n">
        <v>0</v>
      </c>
      <c r="G2434" s="0" t="n">
        <v>0</v>
      </c>
      <c r="H2434" s="0" t="n">
        <v>0.12</v>
      </c>
      <c r="I2434" s="0" t="n">
        <v>0</v>
      </c>
      <c r="J2434" s="0" t="n">
        <v>0.02</v>
      </c>
      <c r="K2434" s="0" t="n">
        <v>0</v>
      </c>
      <c r="L2434" s="0" t="n">
        <v>0</v>
      </c>
      <c r="M2434" s="0" t="n">
        <v>0</v>
      </c>
      <c r="N2434" s="0" t="n">
        <v>0</v>
      </c>
      <c r="O2434" s="0" t="n">
        <v>571.43</v>
      </c>
    </row>
    <row r="2435" customFormat="false" ht="15" hidden="false" customHeight="false" outlineLevel="0" collapsed="false">
      <c r="A2435" s="0" t="s">
        <v>344</v>
      </c>
      <c r="B2435" s="0" t="s">
        <v>583</v>
      </c>
      <c r="C2435" s="0" t="n">
        <v>2022</v>
      </c>
      <c r="D2435" s="0" t="n">
        <v>102063</v>
      </c>
      <c r="E2435" s="0" t="n">
        <v>0.15</v>
      </c>
      <c r="F2435" s="0" t="n">
        <v>0</v>
      </c>
      <c r="G2435" s="0" t="n">
        <v>0</v>
      </c>
      <c r="H2435" s="0" t="n">
        <v>0.13</v>
      </c>
      <c r="I2435" s="0" t="n">
        <v>0</v>
      </c>
      <c r="J2435" s="0" t="n">
        <v>0.02</v>
      </c>
      <c r="K2435" s="0" t="n">
        <v>0</v>
      </c>
      <c r="L2435" s="0" t="n">
        <v>0</v>
      </c>
      <c r="M2435" s="0" t="n">
        <v>0</v>
      </c>
      <c r="N2435" s="0" t="n">
        <v>0</v>
      </c>
      <c r="O2435" s="0" t="n">
        <v>600</v>
      </c>
    </row>
    <row r="2436" customFormat="false" ht="15" hidden="false" customHeight="false" outlineLevel="0" collapsed="false">
      <c r="A2436" s="0" t="s">
        <v>344</v>
      </c>
      <c r="B2436" s="0" t="s">
        <v>583</v>
      </c>
      <c r="C2436" s="0" t="n">
        <v>2023</v>
      </c>
      <c r="D2436" s="0" t="n">
        <v>101331</v>
      </c>
      <c r="E2436" s="0" t="n">
        <v>0.15</v>
      </c>
      <c r="F2436" s="0" t="n">
        <v>0</v>
      </c>
      <c r="G2436" s="0" t="n">
        <v>0</v>
      </c>
      <c r="H2436" s="0" t="n">
        <v>0.13</v>
      </c>
      <c r="I2436" s="0" t="n">
        <v>0</v>
      </c>
      <c r="J2436" s="0" t="n">
        <v>0.02</v>
      </c>
      <c r="K2436" s="0" t="n">
        <v>0</v>
      </c>
      <c r="L2436" s="0" t="n">
        <v>0</v>
      </c>
      <c r="M2436" s="0" t="n">
        <v>0</v>
      </c>
      <c r="N2436" s="0" t="n">
        <v>0</v>
      </c>
      <c r="O2436" s="0" t="n">
        <v>600</v>
      </c>
    </row>
    <row r="2437" customFormat="false" ht="15" hidden="false" customHeight="false" outlineLevel="0" collapsed="false">
      <c r="A2437" s="0" t="s">
        <v>344</v>
      </c>
      <c r="B2437" s="0" t="s">
        <v>583</v>
      </c>
      <c r="C2437" s="0" t="n">
        <v>2024</v>
      </c>
      <c r="D2437" s="0" t="n">
        <v>100630</v>
      </c>
      <c r="E2437" s="0" t="n">
        <v>0.15</v>
      </c>
      <c r="F2437" s="0" t="n">
        <v>0</v>
      </c>
      <c r="G2437" s="0" t="n">
        <v>0</v>
      </c>
      <c r="H2437" s="0" t="n">
        <v>0.13</v>
      </c>
      <c r="I2437" s="0" t="n">
        <v>0</v>
      </c>
      <c r="J2437" s="0" t="n">
        <v>0.02</v>
      </c>
      <c r="K2437" s="0" t="n">
        <v>0</v>
      </c>
      <c r="L2437" s="0" t="n">
        <v>0</v>
      </c>
      <c r="M2437" s="0" t="n">
        <v>0</v>
      </c>
      <c r="N2437" s="0" t="n">
        <v>0</v>
      </c>
      <c r="O2437" s="0" t="n">
        <v>600</v>
      </c>
    </row>
    <row r="2438" customFormat="false" ht="15" hidden="false" customHeight="false" outlineLevel="0" collapsed="false">
      <c r="A2438" s="0" t="s">
        <v>345</v>
      </c>
      <c r="B2438" s="0" t="s">
        <v>584</v>
      </c>
      <c r="C2438" s="0" t="n">
        <v>2015</v>
      </c>
      <c r="D2438" s="0" t="n">
        <v>201794</v>
      </c>
      <c r="E2438" s="0" t="n">
        <v>0.13</v>
      </c>
      <c r="F2438" s="0" t="n">
        <v>0</v>
      </c>
      <c r="G2438" s="0" t="n">
        <v>0</v>
      </c>
      <c r="H2438" s="0" t="n">
        <v>0.09</v>
      </c>
      <c r="I2438" s="0" t="n">
        <v>0</v>
      </c>
      <c r="J2438" s="0" t="n">
        <v>0.03</v>
      </c>
      <c r="K2438" s="0" t="n">
        <v>0.01</v>
      </c>
      <c r="L2438" s="0" t="n">
        <v>0</v>
      </c>
      <c r="M2438" s="0" t="n">
        <v>0</v>
      </c>
      <c r="N2438" s="0" t="n">
        <v>0</v>
      </c>
      <c r="O2438" s="0" t="n">
        <v>461.54</v>
      </c>
    </row>
    <row r="2439" customFormat="false" ht="15" hidden="false" customHeight="false" outlineLevel="0" collapsed="false">
      <c r="A2439" s="0" t="s">
        <v>345</v>
      </c>
      <c r="B2439" s="0" t="s">
        <v>584</v>
      </c>
      <c r="C2439" s="0" t="n">
        <v>2016</v>
      </c>
      <c r="D2439" s="0" t="n">
        <v>203509</v>
      </c>
      <c r="E2439" s="0" t="n">
        <v>0.15</v>
      </c>
      <c r="F2439" s="0" t="n">
        <v>0</v>
      </c>
      <c r="G2439" s="0" t="n">
        <v>0</v>
      </c>
      <c r="H2439" s="0" t="n">
        <v>0.1</v>
      </c>
      <c r="I2439" s="0" t="n">
        <v>0</v>
      </c>
      <c r="J2439" s="0" t="n">
        <v>0.03</v>
      </c>
      <c r="K2439" s="0" t="n">
        <v>0.02</v>
      </c>
      <c r="L2439" s="0" t="n">
        <v>0</v>
      </c>
      <c r="M2439" s="0" t="n">
        <v>0</v>
      </c>
      <c r="N2439" s="0" t="n">
        <v>0</v>
      </c>
      <c r="O2439" s="0" t="n">
        <v>466.67</v>
      </c>
    </row>
    <row r="2440" customFormat="false" ht="15" hidden="false" customHeight="false" outlineLevel="0" collapsed="false">
      <c r="A2440" s="0" t="s">
        <v>345</v>
      </c>
      <c r="B2440" s="0" t="s">
        <v>584</v>
      </c>
      <c r="C2440" s="0" t="n">
        <v>2017</v>
      </c>
      <c r="D2440" s="0" t="n">
        <v>205423</v>
      </c>
      <c r="E2440" s="0" t="n">
        <v>0.16</v>
      </c>
      <c r="F2440" s="0" t="n">
        <v>0</v>
      </c>
      <c r="G2440" s="0" t="n">
        <v>0</v>
      </c>
      <c r="H2440" s="0" t="n">
        <v>0.11</v>
      </c>
      <c r="I2440" s="0" t="n">
        <v>0</v>
      </c>
      <c r="J2440" s="0" t="n">
        <v>0.03</v>
      </c>
      <c r="K2440" s="0" t="n">
        <v>0.02</v>
      </c>
      <c r="L2440" s="0" t="n">
        <v>0</v>
      </c>
      <c r="M2440" s="0" t="n">
        <v>0</v>
      </c>
      <c r="N2440" s="0" t="n">
        <v>0</v>
      </c>
      <c r="O2440" s="0" t="n">
        <v>437.5</v>
      </c>
    </row>
    <row r="2441" customFormat="false" ht="15" hidden="false" customHeight="false" outlineLevel="0" collapsed="false">
      <c r="A2441" s="0" t="s">
        <v>345</v>
      </c>
      <c r="B2441" s="0" t="s">
        <v>584</v>
      </c>
      <c r="C2441" s="0" t="n">
        <v>2018</v>
      </c>
      <c r="D2441" s="0" t="n">
        <v>207595</v>
      </c>
      <c r="E2441" s="0" t="n">
        <v>0.15</v>
      </c>
      <c r="F2441" s="0" t="n">
        <v>0</v>
      </c>
      <c r="G2441" s="0" t="n">
        <v>0</v>
      </c>
      <c r="H2441" s="0" t="n">
        <v>0.09</v>
      </c>
      <c r="I2441" s="0" t="n">
        <v>0</v>
      </c>
      <c r="J2441" s="0" t="n">
        <v>0.04</v>
      </c>
      <c r="K2441" s="0" t="n">
        <v>0.02</v>
      </c>
      <c r="L2441" s="0" t="n">
        <v>0</v>
      </c>
      <c r="M2441" s="0" t="n">
        <v>0</v>
      </c>
      <c r="N2441" s="0" t="n">
        <v>0</v>
      </c>
      <c r="O2441" s="0" t="n">
        <v>400</v>
      </c>
    </row>
    <row r="2442" customFormat="false" ht="15" hidden="false" customHeight="false" outlineLevel="0" collapsed="false">
      <c r="A2442" s="0" t="s">
        <v>345</v>
      </c>
      <c r="B2442" s="0" t="s">
        <v>584</v>
      </c>
      <c r="C2442" s="0" t="n">
        <v>2019</v>
      </c>
      <c r="D2442" s="0" t="n">
        <v>209794</v>
      </c>
      <c r="E2442" s="0" t="n">
        <v>0.17</v>
      </c>
      <c r="F2442" s="0" t="n">
        <v>0</v>
      </c>
      <c r="G2442" s="0" t="n">
        <v>0</v>
      </c>
      <c r="H2442" s="0" t="n">
        <v>0.1</v>
      </c>
      <c r="I2442" s="0" t="n">
        <v>0</v>
      </c>
      <c r="J2442" s="0" t="n">
        <v>0.05</v>
      </c>
      <c r="K2442" s="0" t="n">
        <v>0.02</v>
      </c>
      <c r="L2442" s="0" t="n">
        <v>0</v>
      </c>
      <c r="M2442" s="0" t="n">
        <v>0</v>
      </c>
      <c r="N2442" s="0" t="n">
        <v>0</v>
      </c>
      <c r="O2442" s="0" t="n">
        <v>411.77</v>
      </c>
    </row>
    <row r="2443" customFormat="false" ht="15" hidden="false" customHeight="false" outlineLevel="0" collapsed="false">
      <c r="A2443" s="0" t="s">
        <v>345</v>
      </c>
      <c r="B2443" s="0" t="s">
        <v>584</v>
      </c>
      <c r="C2443" s="0" t="n">
        <v>2020</v>
      </c>
      <c r="D2443" s="0" t="n">
        <v>211957</v>
      </c>
      <c r="E2443" s="0" t="n">
        <v>0.18</v>
      </c>
      <c r="F2443" s="0" t="n">
        <v>0</v>
      </c>
      <c r="G2443" s="0" t="n">
        <v>0</v>
      </c>
      <c r="H2443" s="0" t="n">
        <v>0.11</v>
      </c>
      <c r="I2443" s="0" t="n">
        <v>0</v>
      </c>
      <c r="J2443" s="0" t="n">
        <v>0.05</v>
      </c>
      <c r="K2443" s="0" t="n">
        <v>0.02</v>
      </c>
      <c r="L2443" s="0" t="n">
        <v>0</v>
      </c>
      <c r="M2443" s="0" t="n">
        <v>0</v>
      </c>
      <c r="N2443" s="0" t="n">
        <v>0</v>
      </c>
      <c r="O2443" s="0" t="n">
        <v>388.89</v>
      </c>
    </row>
    <row r="2444" customFormat="false" ht="15" hidden="false" customHeight="false" outlineLevel="0" collapsed="false">
      <c r="A2444" s="0" t="s">
        <v>345</v>
      </c>
      <c r="B2444" s="0" t="s">
        <v>584</v>
      </c>
      <c r="C2444" s="0" t="n">
        <v>2021</v>
      </c>
      <c r="D2444" s="0" t="n">
        <v>213792</v>
      </c>
      <c r="E2444" s="0" t="n">
        <v>0.17</v>
      </c>
      <c r="F2444" s="0" t="n">
        <v>0</v>
      </c>
      <c r="G2444" s="0" t="n">
        <v>0</v>
      </c>
      <c r="H2444" s="0" t="n">
        <v>0.09</v>
      </c>
      <c r="I2444" s="0" t="n">
        <v>0</v>
      </c>
      <c r="J2444" s="0" t="n">
        <v>0.05</v>
      </c>
      <c r="K2444" s="0" t="n">
        <v>0.02</v>
      </c>
      <c r="L2444" s="0" t="n">
        <v>0</v>
      </c>
      <c r="M2444" s="0" t="n">
        <v>0.01</v>
      </c>
      <c r="N2444" s="0" t="n">
        <v>0</v>
      </c>
      <c r="O2444" s="0" t="n">
        <v>352.94</v>
      </c>
    </row>
    <row r="2445" customFormat="false" ht="15" hidden="false" customHeight="false" outlineLevel="0" collapsed="false">
      <c r="A2445" s="0" t="s">
        <v>345</v>
      </c>
      <c r="B2445" s="0" t="s">
        <v>584</v>
      </c>
      <c r="C2445" s="0" t="n">
        <v>2022</v>
      </c>
      <c r="D2445" s="0" t="n">
        <v>215270</v>
      </c>
      <c r="E2445" s="0" t="n">
        <v>0.16</v>
      </c>
      <c r="F2445" s="0" t="n">
        <v>0</v>
      </c>
      <c r="G2445" s="0" t="n">
        <v>0</v>
      </c>
      <c r="H2445" s="0" t="n">
        <v>0.09</v>
      </c>
      <c r="I2445" s="0" t="n">
        <v>0</v>
      </c>
      <c r="J2445" s="0" t="n">
        <v>0.04</v>
      </c>
      <c r="K2445" s="0" t="n">
        <v>0.02</v>
      </c>
      <c r="L2445" s="0" t="n">
        <v>0</v>
      </c>
      <c r="M2445" s="0" t="n">
        <v>0.01</v>
      </c>
      <c r="N2445" s="0" t="n">
        <v>0</v>
      </c>
      <c r="O2445" s="0" t="n">
        <v>375</v>
      </c>
    </row>
    <row r="2446" customFormat="false" ht="15" hidden="false" customHeight="false" outlineLevel="0" collapsed="false">
      <c r="A2446" s="0" t="s">
        <v>345</v>
      </c>
      <c r="B2446" s="0" t="s">
        <v>584</v>
      </c>
      <c r="C2446" s="0" t="n">
        <v>2023</v>
      </c>
      <c r="D2446" s="0" t="n">
        <v>216673</v>
      </c>
      <c r="E2446" s="0" t="n">
        <v>0.15</v>
      </c>
      <c r="F2446" s="0" t="n">
        <v>0</v>
      </c>
      <c r="G2446" s="0" t="n">
        <v>0</v>
      </c>
      <c r="H2446" s="0" t="n">
        <v>0.09</v>
      </c>
      <c r="I2446" s="0" t="n">
        <v>0</v>
      </c>
      <c r="J2446" s="0" t="n">
        <v>0.03</v>
      </c>
      <c r="K2446" s="0" t="n">
        <v>0.02</v>
      </c>
      <c r="L2446" s="0" t="n">
        <v>0</v>
      </c>
      <c r="M2446" s="0" t="n">
        <v>0.01</v>
      </c>
      <c r="N2446" s="0" t="n">
        <v>0</v>
      </c>
      <c r="O2446" s="0" t="n">
        <v>400</v>
      </c>
    </row>
    <row r="2447" customFormat="false" ht="15" hidden="false" customHeight="false" outlineLevel="0" collapsed="false">
      <c r="A2447" s="0" t="s">
        <v>345</v>
      </c>
      <c r="B2447" s="0" t="s">
        <v>584</v>
      </c>
      <c r="C2447" s="0" t="n">
        <v>2024</v>
      </c>
      <c r="D2447" s="0" t="n">
        <v>218031</v>
      </c>
      <c r="E2447" s="0" t="n">
        <v>0.16</v>
      </c>
      <c r="F2447" s="0" t="n">
        <v>0</v>
      </c>
      <c r="G2447" s="0" t="n">
        <v>0</v>
      </c>
      <c r="H2447" s="0" t="n">
        <v>0.09</v>
      </c>
      <c r="I2447" s="0" t="n">
        <v>0</v>
      </c>
      <c r="J2447" s="0" t="n">
        <v>0.03</v>
      </c>
      <c r="K2447" s="0" t="n">
        <v>0.03</v>
      </c>
      <c r="L2447" s="0" t="n">
        <v>0</v>
      </c>
      <c r="M2447" s="0" t="n">
        <v>0.01</v>
      </c>
      <c r="N2447" s="0" t="n">
        <v>0</v>
      </c>
      <c r="O2447" s="0" t="n">
        <v>375</v>
      </c>
    </row>
    <row r="2448" customFormat="false" ht="15" hidden="false" customHeight="false" outlineLevel="0" collapsed="false">
      <c r="A2448" s="0" t="s">
        <v>346</v>
      </c>
      <c r="B2448" s="0" t="s">
        <v>585</v>
      </c>
      <c r="C2448" s="0" t="n">
        <v>2015</v>
      </c>
      <c r="D2448" s="0" t="n">
        <v>200308</v>
      </c>
      <c r="E2448" s="0" t="n">
        <v>0.1</v>
      </c>
      <c r="F2448" s="0" t="n">
        <v>0</v>
      </c>
      <c r="G2448" s="0" t="n">
        <v>0</v>
      </c>
      <c r="H2448" s="0" t="n">
        <v>0.09</v>
      </c>
      <c r="I2448" s="0" t="n">
        <v>0</v>
      </c>
      <c r="J2448" s="0" t="n">
        <v>0.01</v>
      </c>
      <c r="K2448" s="0" t="n">
        <v>0</v>
      </c>
      <c r="L2448" s="0" t="n">
        <v>0</v>
      </c>
      <c r="M2448" s="0" t="n">
        <v>0</v>
      </c>
      <c r="N2448" s="0" t="n">
        <v>0</v>
      </c>
      <c r="O2448" s="0" t="n">
        <v>600</v>
      </c>
    </row>
    <row r="2449" customFormat="false" ht="15" hidden="false" customHeight="false" outlineLevel="0" collapsed="false">
      <c r="A2449" s="0" t="s">
        <v>346</v>
      </c>
      <c r="B2449" s="0" t="s">
        <v>585</v>
      </c>
      <c r="C2449" s="0" t="n">
        <v>2016</v>
      </c>
      <c r="D2449" s="0" t="n">
        <v>203702</v>
      </c>
      <c r="E2449" s="0" t="n">
        <v>0.11</v>
      </c>
      <c r="F2449" s="0" t="n">
        <v>0</v>
      </c>
      <c r="G2449" s="0" t="n">
        <v>0</v>
      </c>
      <c r="H2449" s="0" t="n">
        <v>0.1</v>
      </c>
      <c r="I2449" s="0" t="n">
        <v>0</v>
      </c>
      <c r="J2449" s="0" t="n">
        <v>0.01</v>
      </c>
      <c r="K2449" s="0" t="n">
        <v>0</v>
      </c>
      <c r="L2449" s="0" t="n">
        <v>0</v>
      </c>
      <c r="M2449" s="0" t="n">
        <v>0</v>
      </c>
      <c r="N2449" s="0" t="n">
        <v>0</v>
      </c>
      <c r="O2449" s="0" t="n">
        <v>636.36</v>
      </c>
    </row>
    <row r="2450" customFormat="false" ht="15" hidden="false" customHeight="false" outlineLevel="0" collapsed="false">
      <c r="A2450" s="0" t="s">
        <v>346</v>
      </c>
      <c r="B2450" s="0" t="s">
        <v>585</v>
      </c>
      <c r="C2450" s="0" t="n">
        <v>2017</v>
      </c>
      <c r="D2450" s="0" t="n">
        <v>206986</v>
      </c>
      <c r="E2450" s="0" t="n">
        <v>0.1</v>
      </c>
      <c r="F2450" s="0" t="n">
        <v>0</v>
      </c>
      <c r="G2450" s="0" t="n">
        <v>0</v>
      </c>
      <c r="H2450" s="0" t="n">
        <v>0.1</v>
      </c>
      <c r="I2450" s="0" t="n">
        <v>0</v>
      </c>
      <c r="J2450" s="0" t="n">
        <v>0</v>
      </c>
      <c r="K2450" s="0" t="n">
        <v>0</v>
      </c>
      <c r="L2450" s="0" t="n">
        <v>0</v>
      </c>
      <c r="M2450" s="0" t="n">
        <v>0</v>
      </c>
      <c r="N2450" s="0" t="n">
        <v>0</v>
      </c>
      <c r="O2450" s="0" t="n">
        <v>700</v>
      </c>
    </row>
    <row r="2451" customFormat="false" ht="15" hidden="false" customHeight="false" outlineLevel="0" collapsed="false">
      <c r="A2451" s="0" t="s">
        <v>346</v>
      </c>
      <c r="B2451" s="0" t="s">
        <v>585</v>
      </c>
      <c r="C2451" s="0" t="n">
        <v>2018</v>
      </c>
      <c r="D2451" s="0" t="n">
        <v>210198</v>
      </c>
      <c r="E2451" s="0" t="n">
        <v>0.1</v>
      </c>
      <c r="F2451" s="0" t="n">
        <v>0</v>
      </c>
      <c r="G2451" s="0" t="n">
        <v>0</v>
      </c>
      <c r="H2451" s="0" t="n">
        <v>0.1</v>
      </c>
      <c r="I2451" s="0" t="n">
        <v>0</v>
      </c>
      <c r="J2451" s="0" t="n">
        <v>0</v>
      </c>
      <c r="K2451" s="0" t="n">
        <v>0</v>
      </c>
      <c r="L2451" s="0" t="n">
        <v>0</v>
      </c>
      <c r="M2451" s="0" t="n">
        <v>0</v>
      </c>
      <c r="N2451" s="0" t="n">
        <v>0</v>
      </c>
      <c r="O2451" s="0" t="n">
        <v>700</v>
      </c>
    </row>
    <row r="2452" customFormat="false" ht="15" hidden="false" customHeight="false" outlineLevel="0" collapsed="false">
      <c r="A2452" s="0" t="s">
        <v>346</v>
      </c>
      <c r="B2452" s="0" t="s">
        <v>585</v>
      </c>
      <c r="C2452" s="0" t="n">
        <v>2019</v>
      </c>
      <c r="D2452" s="0" t="n">
        <v>213405</v>
      </c>
      <c r="E2452" s="0" t="n">
        <v>0.11</v>
      </c>
      <c r="F2452" s="0" t="n">
        <v>0</v>
      </c>
      <c r="G2452" s="0" t="n">
        <v>0</v>
      </c>
      <c r="H2452" s="0" t="n">
        <v>0.1</v>
      </c>
      <c r="I2452" s="0" t="n">
        <v>0</v>
      </c>
      <c r="J2452" s="0" t="n">
        <v>0.01</v>
      </c>
      <c r="K2452" s="0" t="n">
        <v>0</v>
      </c>
      <c r="L2452" s="0" t="n">
        <v>0</v>
      </c>
      <c r="M2452" s="0" t="n">
        <v>0</v>
      </c>
      <c r="N2452" s="0" t="n">
        <v>0</v>
      </c>
      <c r="O2452" s="0" t="n">
        <v>636.36</v>
      </c>
    </row>
    <row r="2453" customFormat="false" ht="15" hidden="false" customHeight="false" outlineLevel="0" collapsed="false">
      <c r="A2453" s="0" t="s">
        <v>346</v>
      </c>
      <c r="B2453" s="0" t="s">
        <v>585</v>
      </c>
      <c r="C2453" s="0" t="n">
        <v>2020</v>
      </c>
      <c r="D2453" s="0" t="n">
        <v>217450</v>
      </c>
      <c r="E2453" s="0" t="n">
        <v>0.11</v>
      </c>
      <c r="F2453" s="0" t="n">
        <v>0</v>
      </c>
      <c r="G2453" s="0" t="n">
        <v>0</v>
      </c>
      <c r="H2453" s="0" t="n">
        <v>0.1</v>
      </c>
      <c r="I2453" s="0" t="n">
        <v>0</v>
      </c>
      <c r="J2453" s="0" t="n">
        <v>0.01</v>
      </c>
      <c r="K2453" s="0" t="n">
        <v>0</v>
      </c>
      <c r="L2453" s="0" t="n">
        <v>0</v>
      </c>
      <c r="M2453" s="0" t="n">
        <v>0</v>
      </c>
      <c r="N2453" s="0" t="n">
        <v>0</v>
      </c>
      <c r="O2453" s="0" t="n">
        <v>636.36</v>
      </c>
    </row>
    <row r="2454" customFormat="false" ht="15" hidden="false" customHeight="false" outlineLevel="0" collapsed="false">
      <c r="A2454" s="0" t="s">
        <v>346</v>
      </c>
      <c r="B2454" s="0" t="s">
        <v>585</v>
      </c>
      <c r="C2454" s="0" t="n">
        <v>2021</v>
      </c>
      <c r="D2454" s="0" t="n">
        <v>221975</v>
      </c>
      <c r="E2454" s="0" t="n">
        <v>0.11</v>
      </c>
      <c r="F2454" s="0" t="n">
        <v>0</v>
      </c>
      <c r="G2454" s="0" t="n">
        <v>0</v>
      </c>
      <c r="H2454" s="0" t="n">
        <v>0.1</v>
      </c>
      <c r="I2454" s="0" t="n">
        <v>0</v>
      </c>
      <c r="J2454" s="0" t="n">
        <v>0.01</v>
      </c>
      <c r="K2454" s="0" t="n">
        <v>0</v>
      </c>
      <c r="L2454" s="0" t="n">
        <v>0</v>
      </c>
      <c r="M2454" s="0" t="n">
        <v>0</v>
      </c>
      <c r="N2454" s="0" t="n">
        <v>0</v>
      </c>
      <c r="O2454" s="0" t="n">
        <v>636.36</v>
      </c>
    </row>
    <row r="2455" customFormat="false" ht="15" hidden="false" customHeight="false" outlineLevel="0" collapsed="false">
      <c r="A2455" s="0" t="s">
        <v>346</v>
      </c>
      <c r="B2455" s="0" t="s">
        <v>585</v>
      </c>
      <c r="C2455" s="0" t="n">
        <v>2022</v>
      </c>
      <c r="D2455" s="0" t="n">
        <v>226313</v>
      </c>
      <c r="E2455" s="0" t="n">
        <v>0.09</v>
      </c>
      <c r="F2455" s="0" t="n">
        <v>0</v>
      </c>
      <c r="G2455" s="0" t="n">
        <v>0</v>
      </c>
      <c r="H2455" s="0" t="n">
        <v>0.08</v>
      </c>
      <c r="I2455" s="0" t="n">
        <v>0</v>
      </c>
      <c r="J2455" s="0" t="n">
        <v>0.01</v>
      </c>
      <c r="K2455" s="0" t="n">
        <v>0</v>
      </c>
      <c r="L2455" s="0" t="n">
        <v>0</v>
      </c>
      <c r="M2455" s="0" t="n">
        <v>0</v>
      </c>
      <c r="N2455" s="0" t="n">
        <v>0</v>
      </c>
      <c r="O2455" s="0" t="n">
        <v>555.56</v>
      </c>
    </row>
    <row r="2456" customFormat="false" ht="15" hidden="false" customHeight="false" outlineLevel="0" collapsed="false">
      <c r="A2456" s="0" t="s">
        <v>346</v>
      </c>
      <c r="B2456" s="0" t="s">
        <v>585</v>
      </c>
      <c r="C2456" s="0" t="n">
        <v>2023</v>
      </c>
      <c r="D2456" s="0" t="n">
        <v>230882</v>
      </c>
      <c r="E2456" s="0" t="n">
        <v>0.09</v>
      </c>
      <c r="F2456" s="0" t="n">
        <v>0</v>
      </c>
      <c r="G2456" s="0" t="n">
        <v>0</v>
      </c>
      <c r="H2456" s="0" t="n">
        <v>0.08</v>
      </c>
      <c r="I2456" s="0" t="n">
        <v>0</v>
      </c>
      <c r="J2456" s="0" t="n">
        <v>0.01</v>
      </c>
      <c r="K2456" s="0" t="n">
        <v>0</v>
      </c>
      <c r="L2456" s="0" t="n">
        <v>0</v>
      </c>
      <c r="M2456" s="0" t="n">
        <v>0</v>
      </c>
      <c r="N2456" s="0" t="n">
        <v>0</v>
      </c>
      <c r="O2456" s="0" t="n">
        <v>555.56</v>
      </c>
    </row>
    <row r="2457" customFormat="false" ht="15" hidden="false" customHeight="false" outlineLevel="0" collapsed="false">
      <c r="A2457" s="0" t="s">
        <v>347</v>
      </c>
      <c r="B2457" s="0" t="s">
        <v>586</v>
      </c>
      <c r="C2457" s="0" t="n">
        <v>2015</v>
      </c>
      <c r="D2457" s="0" t="n">
        <v>29974944</v>
      </c>
      <c r="E2457" s="0" t="n">
        <v>350.64</v>
      </c>
      <c r="F2457" s="0" t="n">
        <v>0</v>
      </c>
      <c r="G2457" s="0" t="n">
        <v>165.33</v>
      </c>
      <c r="H2457" s="0" t="n">
        <v>185.26</v>
      </c>
      <c r="I2457" s="0" t="n">
        <v>0</v>
      </c>
      <c r="K2457" s="0" t="n">
        <v>0.05</v>
      </c>
      <c r="L2457" s="0" t="n">
        <v>0</v>
      </c>
      <c r="M2457" s="0" t="n">
        <v>0</v>
      </c>
      <c r="O2457" s="0" t="n">
        <v>693.08</v>
      </c>
    </row>
    <row r="2458" customFormat="false" ht="15" hidden="false" customHeight="false" outlineLevel="0" collapsed="false">
      <c r="A2458" s="0" t="s">
        <v>347</v>
      </c>
      <c r="B2458" s="0" t="s">
        <v>586</v>
      </c>
      <c r="C2458" s="0" t="n">
        <v>2016</v>
      </c>
      <c r="D2458" s="0" t="n">
        <v>30717804</v>
      </c>
      <c r="E2458" s="0" t="n">
        <v>357.66</v>
      </c>
      <c r="F2458" s="0" t="n">
        <v>0</v>
      </c>
      <c r="G2458" s="0" t="n">
        <v>188.56</v>
      </c>
      <c r="H2458" s="0" t="n">
        <v>169.05</v>
      </c>
      <c r="I2458" s="0" t="n">
        <v>0</v>
      </c>
      <c r="K2458" s="0" t="n">
        <v>0.05</v>
      </c>
      <c r="L2458" s="0" t="n">
        <v>0</v>
      </c>
      <c r="M2458" s="0" t="n">
        <v>0</v>
      </c>
      <c r="O2458" s="0" t="n">
        <v>697.23</v>
      </c>
    </row>
    <row r="2459" customFormat="false" ht="15" hidden="false" customHeight="false" outlineLevel="0" collapsed="false">
      <c r="A2459" s="0" t="s">
        <v>347</v>
      </c>
      <c r="B2459" s="0" t="s">
        <v>586</v>
      </c>
      <c r="C2459" s="0" t="n">
        <v>2017</v>
      </c>
      <c r="D2459" s="0" t="n">
        <v>30782400</v>
      </c>
      <c r="E2459" s="0" t="n">
        <v>394.99</v>
      </c>
      <c r="F2459" s="0" t="n">
        <v>0</v>
      </c>
      <c r="G2459" s="0" t="n">
        <v>222.73</v>
      </c>
      <c r="H2459" s="0" t="n">
        <v>172.19</v>
      </c>
      <c r="I2459" s="0" t="n">
        <v>0</v>
      </c>
      <c r="K2459" s="0" t="n">
        <v>0.07</v>
      </c>
      <c r="L2459" s="0" t="n">
        <v>0</v>
      </c>
      <c r="M2459" s="0" t="n">
        <v>0</v>
      </c>
      <c r="O2459" s="0" t="n">
        <v>699.97</v>
      </c>
    </row>
    <row r="2460" customFormat="false" ht="15" hidden="false" customHeight="false" outlineLevel="0" collapsed="false">
      <c r="A2460" s="0" t="s">
        <v>347</v>
      </c>
      <c r="B2460" s="0" t="s">
        <v>586</v>
      </c>
      <c r="C2460" s="0" t="n">
        <v>2018</v>
      </c>
      <c r="D2460" s="0" t="n">
        <v>30365119</v>
      </c>
      <c r="E2460" s="0" t="n">
        <v>374.77</v>
      </c>
      <c r="F2460" s="0" t="n">
        <v>0</v>
      </c>
      <c r="G2460" s="0" t="n">
        <v>226.68</v>
      </c>
      <c r="H2460" s="0" t="n">
        <v>147.93</v>
      </c>
      <c r="I2460" s="0" t="n">
        <v>0</v>
      </c>
      <c r="K2460" s="0" t="n">
        <v>0.16</v>
      </c>
      <c r="L2460" s="0" t="n">
        <v>0</v>
      </c>
      <c r="M2460" s="0" t="n">
        <v>0</v>
      </c>
      <c r="O2460" s="0" t="n">
        <v>702.88</v>
      </c>
    </row>
    <row r="2461" customFormat="false" ht="15" hidden="false" customHeight="false" outlineLevel="0" collapsed="false">
      <c r="A2461" s="0" t="s">
        <v>347</v>
      </c>
      <c r="B2461" s="0" t="s">
        <v>586</v>
      </c>
      <c r="C2461" s="0" t="n">
        <v>2019</v>
      </c>
      <c r="D2461" s="0" t="n">
        <v>30472809</v>
      </c>
      <c r="E2461" s="0" t="n">
        <v>378.55</v>
      </c>
      <c r="F2461" s="0" t="n">
        <v>0</v>
      </c>
      <c r="G2461" s="0" t="n">
        <v>223.54</v>
      </c>
      <c r="H2461" s="0" t="n">
        <v>154.79</v>
      </c>
      <c r="I2461" s="0" t="n">
        <v>0</v>
      </c>
      <c r="K2461" s="0" t="n">
        <v>0.21</v>
      </c>
      <c r="L2461" s="0" t="n">
        <v>0.01</v>
      </c>
      <c r="M2461" s="0" t="n">
        <v>0</v>
      </c>
      <c r="O2461" s="0" t="n">
        <v>701.7</v>
      </c>
    </row>
    <row r="2462" customFormat="false" ht="15" hidden="false" customHeight="false" outlineLevel="0" collapsed="false">
      <c r="A2462" s="0" t="s">
        <v>347</v>
      </c>
      <c r="B2462" s="0" t="s">
        <v>586</v>
      </c>
      <c r="C2462" s="0" t="n">
        <v>2020</v>
      </c>
      <c r="D2462" s="0" t="n">
        <v>30991206</v>
      </c>
      <c r="E2462" s="0" t="n">
        <v>380.9</v>
      </c>
      <c r="F2462" s="0" t="n">
        <v>0</v>
      </c>
      <c r="G2462" s="0" t="n">
        <v>231.57</v>
      </c>
      <c r="H2462" s="0" t="n">
        <v>148.41</v>
      </c>
      <c r="I2462" s="0" t="n">
        <v>0</v>
      </c>
      <c r="K2462" s="0" t="n">
        <v>0.91</v>
      </c>
      <c r="L2462" s="0" t="n">
        <v>0.01</v>
      </c>
      <c r="M2462" s="0" t="n">
        <v>0</v>
      </c>
      <c r="O2462" s="0" t="n">
        <v>701.86</v>
      </c>
    </row>
    <row r="2463" customFormat="false" ht="15" hidden="false" customHeight="false" outlineLevel="0" collapsed="false">
      <c r="A2463" s="0" t="s">
        <v>347</v>
      </c>
      <c r="B2463" s="0" t="s">
        <v>586</v>
      </c>
      <c r="C2463" s="0" t="n">
        <v>2021</v>
      </c>
      <c r="D2463" s="0" t="n">
        <v>31328374</v>
      </c>
      <c r="E2463" s="0" t="n">
        <v>392.95</v>
      </c>
      <c r="F2463" s="0" t="n">
        <v>0</v>
      </c>
      <c r="G2463" s="0" t="n">
        <v>242.09</v>
      </c>
      <c r="H2463" s="0" t="n">
        <v>149.86</v>
      </c>
      <c r="I2463" s="0" t="n">
        <v>0</v>
      </c>
      <c r="K2463" s="0" t="n">
        <v>0.99</v>
      </c>
      <c r="L2463" s="0" t="n">
        <v>0.01</v>
      </c>
      <c r="M2463" s="0" t="n">
        <v>0</v>
      </c>
      <c r="O2463" s="0" t="n">
        <v>702.43</v>
      </c>
    </row>
    <row r="2464" customFormat="false" ht="15" hidden="false" customHeight="false" outlineLevel="0" collapsed="false">
      <c r="A2464" s="0" t="s">
        <v>347</v>
      </c>
      <c r="B2464" s="0" t="s">
        <v>586</v>
      </c>
      <c r="C2464" s="0" t="n">
        <v>2022</v>
      </c>
      <c r="D2464" s="0" t="n">
        <v>32175351</v>
      </c>
      <c r="E2464" s="0" t="n">
        <v>409.84</v>
      </c>
      <c r="F2464" s="0" t="n">
        <v>0</v>
      </c>
      <c r="G2464" s="0" t="n">
        <v>247.84</v>
      </c>
      <c r="H2464" s="0" t="n">
        <v>159.99</v>
      </c>
      <c r="I2464" s="0" t="n">
        <v>0</v>
      </c>
      <c r="K2464" s="0" t="n">
        <v>1.22</v>
      </c>
      <c r="L2464" s="0" t="n">
        <v>0.79</v>
      </c>
      <c r="M2464" s="0" t="n">
        <v>0</v>
      </c>
      <c r="O2464" s="0" t="n">
        <v>700.05</v>
      </c>
    </row>
    <row r="2465" customFormat="false" ht="15" hidden="false" customHeight="false" outlineLevel="0" collapsed="false">
      <c r="A2465" s="0" t="s">
        <v>347</v>
      </c>
      <c r="B2465" s="0" t="s">
        <v>586</v>
      </c>
      <c r="C2465" s="0" t="n">
        <v>2023</v>
      </c>
      <c r="D2465" s="0" t="n">
        <v>33264289</v>
      </c>
      <c r="E2465" s="0" t="n">
        <v>429.25</v>
      </c>
      <c r="F2465" s="0" t="n">
        <v>0</v>
      </c>
      <c r="G2465" s="0" t="n">
        <v>265.5</v>
      </c>
      <c r="H2465" s="0" t="n">
        <v>159.03</v>
      </c>
      <c r="I2465" s="0" t="n">
        <v>0</v>
      </c>
      <c r="K2465" s="0" t="n">
        <v>3.13</v>
      </c>
      <c r="L2465" s="0" t="n">
        <v>1.59</v>
      </c>
      <c r="M2465" s="0" t="n">
        <v>0</v>
      </c>
      <c r="O2465" s="0" t="n">
        <v>697.31</v>
      </c>
    </row>
    <row r="2466" customFormat="false" ht="15" hidden="false" customHeight="false" outlineLevel="0" collapsed="false">
      <c r="A2466" s="0" t="s">
        <v>347</v>
      </c>
      <c r="B2466" s="0" t="s">
        <v>586</v>
      </c>
      <c r="C2466" s="0" t="n">
        <v>2024</v>
      </c>
      <c r="D2466" s="0" t="n">
        <v>33962751</v>
      </c>
      <c r="E2466" s="0" t="n">
        <v>454.64</v>
      </c>
      <c r="F2466" s="0" t="n">
        <v>0</v>
      </c>
      <c r="G2466" s="0" t="n">
        <v>287.98</v>
      </c>
      <c r="H2466" s="0" t="n">
        <v>156.84</v>
      </c>
      <c r="I2466" s="0" t="n">
        <v>0</v>
      </c>
      <c r="K2466" s="0" t="n">
        <v>8.23</v>
      </c>
      <c r="L2466" s="0" t="n">
        <v>1.59</v>
      </c>
      <c r="M2466" s="0" t="n">
        <v>0</v>
      </c>
      <c r="O2466" s="0" t="n">
        <v>691.95</v>
      </c>
    </row>
    <row r="2467" customFormat="false" ht="15" hidden="false" customHeight="false" outlineLevel="0" collapsed="false">
      <c r="A2467" s="0" t="s">
        <v>348</v>
      </c>
      <c r="B2467" s="0" t="s">
        <v>587</v>
      </c>
      <c r="C2467" s="0" t="n">
        <v>2015</v>
      </c>
      <c r="D2467" s="0" t="n">
        <v>14593335</v>
      </c>
      <c r="E2467" s="0" t="n">
        <v>4.44</v>
      </c>
      <c r="F2467" s="0" t="n">
        <v>0.2</v>
      </c>
      <c r="G2467" s="0" t="n">
        <v>0.08</v>
      </c>
      <c r="H2467" s="0" t="n">
        <v>3.76</v>
      </c>
      <c r="I2467" s="0" t="n">
        <v>0</v>
      </c>
      <c r="J2467" s="0" t="n">
        <v>0.33</v>
      </c>
      <c r="K2467" s="0" t="n">
        <v>0</v>
      </c>
      <c r="L2467" s="0" t="n">
        <v>0</v>
      </c>
      <c r="M2467" s="0" t="n">
        <v>0.07</v>
      </c>
      <c r="N2467" s="0" t="n">
        <v>0</v>
      </c>
      <c r="O2467" s="0" t="n">
        <v>619.37</v>
      </c>
    </row>
    <row r="2468" customFormat="false" ht="15" hidden="false" customHeight="false" outlineLevel="0" collapsed="false">
      <c r="A2468" s="0" t="s">
        <v>348</v>
      </c>
      <c r="B2468" s="0" t="s">
        <v>587</v>
      </c>
      <c r="C2468" s="0" t="n">
        <v>2016</v>
      </c>
      <c r="D2468" s="0" t="n">
        <v>15034517</v>
      </c>
      <c r="E2468" s="0" t="n">
        <v>4.78</v>
      </c>
      <c r="F2468" s="0" t="n">
        <v>0.39</v>
      </c>
      <c r="G2468" s="0" t="n">
        <v>0.08</v>
      </c>
      <c r="H2468" s="0" t="n">
        <v>3.88</v>
      </c>
      <c r="I2468" s="0" t="n">
        <v>0</v>
      </c>
      <c r="J2468" s="0" t="n">
        <v>0.36</v>
      </c>
      <c r="K2468" s="0" t="n">
        <v>0.01</v>
      </c>
      <c r="L2468" s="0" t="n">
        <v>0</v>
      </c>
      <c r="M2468" s="0" t="n">
        <v>0.06</v>
      </c>
      <c r="N2468" s="0" t="n">
        <v>0</v>
      </c>
      <c r="O2468" s="0" t="n">
        <v>623.43</v>
      </c>
    </row>
    <row r="2469" customFormat="false" ht="15" hidden="false" customHeight="false" outlineLevel="0" collapsed="false">
      <c r="A2469" s="0" t="s">
        <v>348</v>
      </c>
      <c r="B2469" s="0" t="s">
        <v>587</v>
      </c>
      <c r="C2469" s="0" t="n">
        <v>2017</v>
      </c>
      <c r="D2469" s="0" t="n">
        <v>15475001</v>
      </c>
      <c r="E2469" s="0" t="n">
        <v>4.72</v>
      </c>
      <c r="F2469" s="0" t="n">
        <v>0.31</v>
      </c>
      <c r="G2469" s="0" t="n">
        <v>0.06</v>
      </c>
      <c r="H2469" s="0" t="n">
        <v>3.82</v>
      </c>
      <c r="I2469" s="0" t="n">
        <v>0</v>
      </c>
      <c r="J2469" s="0" t="n">
        <v>0.36</v>
      </c>
      <c r="K2469" s="0" t="n">
        <v>0.09</v>
      </c>
      <c r="L2469" s="0" t="n">
        <v>0</v>
      </c>
      <c r="M2469" s="0" t="n">
        <v>0.08</v>
      </c>
      <c r="N2469" s="0" t="n">
        <v>0</v>
      </c>
      <c r="O2469" s="0" t="n">
        <v>608.05</v>
      </c>
    </row>
    <row r="2470" customFormat="false" ht="15" hidden="false" customHeight="false" outlineLevel="0" collapsed="false">
      <c r="A2470" s="0" t="s">
        <v>348</v>
      </c>
      <c r="B2470" s="0" t="s">
        <v>587</v>
      </c>
      <c r="C2470" s="0" t="n">
        <v>2018</v>
      </c>
      <c r="D2470" s="0" t="n">
        <v>15914495</v>
      </c>
      <c r="E2470" s="0" t="n">
        <v>4.94</v>
      </c>
      <c r="F2470" s="0" t="n">
        <v>0.49</v>
      </c>
      <c r="G2470" s="0" t="n">
        <v>0.04</v>
      </c>
      <c r="H2470" s="0" t="n">
        <v>3.71</v>
      </c>
      <c r="I2470" s="0" t="n">
        <v>0</v>
      </c>
      <c r="J2470" s="0" t="n">
        <v>0.36</v>
      </c>
      <c r="K2470" s="0" t="n">
        <v>0.25</v>
      </c>
      <c r="L2470" s="0" t="n">
        <v>0</v>
      </c>
      <c r="M2470" s="0" t="n">
        <v>0.09</v>
      </c>
      <c r="N2470" s="0" t="n">
        <v>0</v>
      </c>
      <c r="O2470" s="0" t="n">
        <v>595.14</v>
      </c>
    </row>
    <row r="2471" customFormat="false" ht="15" hidden="false" customHeight="false" outlineLevel="0" collapsed="false">
      <c r="A2471" s="0" t="s">
        <v>348</v>
      </c>
      <c r="B2471" s="0" t="s">
        <v>587</v>
      </c>
      <c r="C2471" s="0" t="n">
        <v>2019</v>
      </c>
      <c r="D2471" s="0" t="n">
        <v>16352926</v>
      </c>
      <c r="E2471" s="0" t="n">
        <v>5.82</v>
      </c>
      <c r="F2471" s="0" t="n">
        <v>0.76</v>
      </c>
      <c r="G2471" s="0" t="n">
        <v>0.06</v>
      </c>
      <c r="H2471" s="0" t="n">
        <v>4.22</v>
      </c>
      <c r="I2471" s="0" t="n">
        <v>0</v>
      </c>
      <c r="J2471" s="0" t="n">
        <v>0.31</v>
      </c>
      <c r="K2471" s="0" t="n">
        <v>0.33</v>
      </c>
      <c r="L2471" s="0" t="n">
        <v>0.02</v>
      </c>
      <c r="M2471" s="0" t="n">
        <v>0.12</v>
      </c>
      <c r="N2471" s="0" t="n">
        <v>0</v>
      </c>
      <c r="O2471" s="0" t="n">
        <v>609.97</v>
      </c>
    </row>
    <row r="2472" customFormat="false" ht="15" hidden="false" customHeight="false" outlineLevel="0" collapsed="false">
      <c r="A2472" s="0" t="s">
        <v>348</v>
      </c>
      <c r="B2472" s="0" t="s">
        <v>587</v>
      </c>
      <c r="C2472" s="0" t="n">
        <v>2020</v>
      </c>
      <c r="D2472" s="0" t="n">
        <v>16789217</v>
      </c>
      <c r="E2472" s="0" t="n">
        <v>6.06</v>
      </c>
      <c r="F2472" s="0" t="n">
        <v>0.15</v>
      </c>
      <c r="G2472" s="0" t="n">
        <v>0.05</v>
      </c>
      <c r="H2472" s="0" t="n">
        <v>4.84</v>
      </c>
      <c r="I2472" s="0" t="n">
        <v>0</v>
      </c>
      <c r="J2472" s="0" t="n">
        <v>0.31</v>
      </c>
      <c r="K2472" s="0" t="n">
        <v>0.38</v>
      </c>
      <c r="L2472" s="0" t="n">
        <v>0.22</v>
      </c>
      <c r="M2472" s="0" t="n">
        <v>0.11</v>
      </c>
      <c r="N2472" s="0" t="n">
        <v>0</v>
      </c>
      <c r="O2472" s="0" t="n">
        <v>562.71</v>
      </c>
    </row>
    <row r="2473" customFormat="false" ht="15" hidden="false" customHeight="false" outlineLevel="0" collapsed="false">
      <c r="A2473" s="0" t="s">
        <v>348</v>
      </c>
      <c r="B2473" s="0" t="s">
        <v>587</v>
      </c>
      <c r="C2473" s="0" t="n">
        <v>2021</v>
      </c>
      <c r="D2473" s="0" t="n">
        <v>17220866</v>
      </c>
      <c r="E2473" s="0" t="n">
        <v>6.66</v>
      </c>
      <c r="F2473" s="0" t="n">
        <v>0.4</v>
      </c>
      <c r="G2473" s="0" t="n">
        <v>0.02</v>
      </c>
      <c r="H2473" s="0" t="n">
        <v>4.89</v>
      </c>
      <c r="I2473" s="0" t="n">
        <v>0</v>
      </c>
      <c r="J2473" s="0" t="n">
        <v>0.31</v>
      </c>
      <c r="K2473" s="0" t="n">
        <v>0.54</v>
      </c>
      <c r="L2473" s="0" t="n">
        <v>0.4</v>
      </c>
      <c r="M2473" s="0" t="n">
        <v>0.1</v>
      </c>
      <c r="N2473" s="0" t="n">
        <v>0</v>
      </c>
      <c r="O2473" s="0" t="n">
        <v>546.55</v>
      </c>
    </row>
    <row r="2474" customFormat="false" ht="15" hidden="false" customHeight="false" outlineLevel="0" collapsed="false">
      <c r="A2474" s="0" t="s">
        <v>348</v>
      </c>
      <c r="B2474" s="0" t="s">
        <v>587</v>
      </c>
      <c r="C2474" s="0" t="n">
        <v>2022</v>
      </c>
      <c r="D2474" s="0" t="n">
        <v>17651099</v>
      </c>
      <c r="E2474" s="0" t="n">
        <v>7.16</v>
      </c>
      <c r="F2474" s="0" t="n">
        <v>0.47</v>
      </c>
      <c r="G2474" s="0" t="n">
        <v>0.02</v>
      </c>
      <c r="H2474" s="0" t="n">
        <v>5.26</v>
      </c>
      <c r="I2474" s="0" t="n">
        <v>0</v>
      </c>
      <c r="J2474" s="0" t="n">
        <v>0.31</v>
      </c>
      <c r="K2474" s="0" t="n">
        <v>0.59</v>
      </c>
      <c r="L2474" s="0" t="n">
        <v>0.4</v>
      </c>
      <c r="M2474" s="0" t="n">
        <v>0.11</v>
      </c>
      <c r="N2474" s="0" t="n">
        <v>0</v>
      </c>
      <c r="O2474" s="0" t="n">
        <v>550.28</v>
      </c>
    </row>
    <row r="2475" customFormat="false" ht="15" hidden="false" customHeight="false" outlineLevel="0" collapsed="false">
      <c r="A2475" s="0" t="s">
        <v>348</v>
      </c>
      <c r="B2475" s="0" t="s">
        <v>587</v>
      </c>
      <c r="C2475" s="0" t="n">
        <v>2023</v>
      </c>
      <c r="D2475" s="0" t="n">
        <v>18077573</v>
      </c>
      <c r="E2475" s="0" t="n">
        <v>8.2</v>
      </c>
      <c r="F2475" s="0" t="n">
        <v>0.09</v>
      </c>
      <c r="G2475" s="0" t="n">
        <v>0.02</v>
      </c>
      <c r="H2475" s="0" t="n">
        <v>6.7</v>
      </c>
      <c r="I2475" s="0" t="n">
        <v>0</v>
      </c>
      <c r="J2475" s="0" t="n">
        <v>0.31</v>
      </c>
      <c r="K2475" s="0" t="n">
        <v>0.59</v>
      </c>
      <c r="L2475" s="0" t="n">
        <v>0.38</v>
      </c>
      <c r="M2475" s="0" t="n">
        <v>0.11</v>
      </c>
      <c r="N2475" s="0" t="n">
        <v>0</v>
      </c>
      <c r="O2475" s="0" t="n">
        <v>557.32</v>
      </c>
    </row>
    <row r="2476" customFormat="false" ht="15" hidden="false" customHeight="false" outlineLevel="0" collapsed="false">
      <c r="A2476" s="0" t="s">
        <v>348</v>
      </c>
      <c r="B2476" s="0" t="s">
        <v>587</v>
      </c>
      <c r="C2476" s="0" t="n">
        <v>2024</v>
      </c>
      <c r="D2476" s="0" t="n">
        <v>18501988</v>
      </c>
      <c r="E2476" s="0" t="n">
        <v>7.63</v>
      </c>
      <c r="F2476" s="0" t="n">
        <v>0.1</v>
      </c>
      <c r="G2476" s="0" t="n">
        <v>0.02</v>
      </c>
      <c r="H2476" s="0" t="n">
        <v>6</v>
      </c>
      <c r="I2476" s="0" t="n">
        <v>0</v>
      </c>
      <c r="J2476" s="0" t="n">
        <v>0.31</v>
      </c>
      <c r="K2476" s="0" t="n">
        <v>0.68</v>
      </c>
      <c r="L2476" s="0" t="n">
        <v>0.41</v>
      </c>
      <c r="M2476" s="0" t="n">
        <v>0.11</v>
      </c>
      <c r="N2476" s="0" t="n">
        <v>0</v>
      </c>
      <c r="O2476" s="0" t="n">
        <v>539.97</v>
      </c>
    </row>
    <row r="2477" customFormat="false" ht="15" hidden="false" customHeight="false" outlineLevel="0" collapsed="false">
      <c r="A2477" s="0" t="s">
        <v>349</v>
      </c>
      <c r="B2477" s="0" t="s">
        <v>588</v>
      </c>
      <c r="C2477" s="0" t="n">
        <v>2015</v>
      </c>
      <c r="D2477" s="0" t="n">
        <v>7177257</v>
      </c>
      <c r="E2477" s="0" t="n">
        <v>37.59</v>
      </c>
      <c r="F2477" s="0" t="n">
        <v>27.16</v>
      </c>
      <c r="G2477" s="0" t="n">
        <v>0.22</v>
      </c>
      <c r="H2477" s="0" t="n">
        <v>0.1</v>
      </c>
      <c r="I2477" s="0" t="n">
        <v>0</v>
      </c>
      <c r="J2477" s="0" t="n">
        <v>10.08</v>
      </c>
      <c r="K2477" s="0" t="n">
        <v>0.01</v>
      </c>
      <c r="L2477" s="0" t="n">
        <v>0</v>
      </c>
      <c r="M2477" s="0" t="n">
        <v>0.02</v>
      </c>
      <c r="N2477" s="0" t="n">
        <v>0</v>
      </c>
      <c r="O2477" s="0" t="n">
        <v>744.35</v>
      </c>
    </row>
    <row r="2478" customFormat="false" ht="15" hidden="false" customHeight="false" outlineLevel="0" collapsed="false">
      <c r="A2478" s="0" t="s">
        <v>349</v>
      </c>
      <c r="B2478" s="0" t="s">
        <v>588</v>
      </c>
      <c r="C2478" s="0" t="n">
        <v>2016</v>
      </c>
      <c r="D2478" s="0" t="n">
        <v>7126083</v>
      </c>
      <c r="E2478" s="0" t="n">
        <v>38.61</v>
      </c>
      <c r="F2478" s="0" t="n">
        <v>27.24</v>
      </c>
      <c r="G2478" s="0" t="n">
        <v>0.38</v>
      </c>
      <c r="H2478" s="0" t="n">
        <v>0.13</v>
      </c>
      <c r="I2478" s="0" t="n">
        <v>0</v>
      </c>
      <c r="J2478" s="0" t="n">
        <v>10.79</v>
      </c>
      <c r="K2478" s="0" t="n">
        <v>0.01</v>
      </c>
      <c r="L2478" s="0" t="n">
        <v>0.03</v>
      </c>
      <c r="M2478" s="0" t="n">
        <v>0.03</v>
      </c>
      <c r="N2478" s="0" t="n">
        <v>0</v>
      </c>
      <c r="O2478" s="0" t="n">
        <v>729.86</v>
      </c>
    </row>
    <row r="2479" customFormat="false" ht="15" hidden="false" customHeight="false" outlineLevel="0" collapsed="false">
      <c r="A2479" s="0" t="s">
        <v>349</v>
      </c>
      <c r="B2479" s="0" t="s">
        <v>588</v>
      </c>
      <c r="C2479" s="0" t="n">
        <v>2017</v>
      </c>
      <c r="D2479" s="0" t="n">
        <v>7073507</v>
      </c>
      <c r="E2479" s="0" t="n">
        <v>36.44</v>
      </c>
      <c r="F2479" s="0" t="n">
        <v>26.46</v>
      </c>
      <c r="G2479" s="0" t="n">
        <v>0.55</v>
      </c>
      <c r="H2479" s="0" t="n">
        <v>0.14</v>
      </c>
      <c r="I2479" s="0" t="n">
        <v>0</v>
      </c>
      <c r="J2479" s="0" t="n">
        <v>9.15</v>
      </c>
      <c r="K2479" s="0" t="n">
        <v>0.01</v>
      </c>
      <c r="L2479" s="0" t="n">
        <v>0.05</v>
      </c>
      <c r="M2479" s="0" t="n">
        <v>0.08</v>
      </c>
      <c r="N2479" s="0" t="n">
        <v>0</v>
      </c>
      <c r="O2479" s="0" t="n">
        <v>752.74</v>
      </c>
    </row>
    <row r="2480" customFormat="false" ht="15" hidden="false" customHeight="false" outlineLevel="0" collapsed="false">
      <c r="A2480" s="0" t="s">
        <v>349</v>
      </c>
      <c r="B2480" s="0" t="s">
        <v>588</v>
      </c>
      <c r="C2480" s="0" t="n">
        <v>2018</v>
      </c>
      <c r="D2480" s="0" t="n">
        <v>7020014</v>
      </c>
      <c r="E2480" s="0" t="n">
        <v>36.67</v>
      </c>
      <c r="F2480" s="0" t="n">
        <v>25.02</v>
      </c>
      <c r="G2480" s="0" t="n">
        <v>0.6</v>
      </c>
      <c r="H2480" s="0" t="n">
        <v>0.15</v>
      </c>
      <c r="I2480" s="0" t="n">
        <v>0</v>
      </c>
      <c r="J2480" s="0" t="n">
        <v>10.64</v>
      </c>
      <c r="K2480" s="0" t="n">
        <v>0.01</v>
      </c>
      <c r="L2480" s="0" t="n">
        <v>0.15</v>
      </c>
      <c r="M2480" s="0" t="n">
        <v>0.1</v>
      </c>
      <c r="N2480" s="0" t="n">
        <v>0</v>
      </c>
      <c r="O2480" s="0" t="n">
        <v>709.85</v>
      </c>
    </row>
    <row r="2481" customFormat="false" ht="15" hidden="false" customHeight="false" outlineLevel="0" collapsed="false">
      <c r="A2481" s="0" t="s">
        <v>349</v>
      </c>
      <c r="B2481" s="0" t="s">
        <v>588</v>
      </c>
      <c r="C2481" s="0" t="n">
        <v>2019</v>
      </c>
      <c r="D2481" s="0" t="n">
        <v>6966155</v>
      </c>
      <c r="E2481" s="0" t="n">
        <v>36.86</v>
      </c>
      <c r="F2481" s="0" t="n">
        <v>25.58</v>
      </c>
      <c r="G2481" s="0" t="n">
        <v>0.67</v>
      </c>
      <c r="H2481" s="0" t="n">
        <v>0.1</v>
      </c>
      <c r="I2481" s="0" t="n">
        <v>0</v>
      </c>
      <c r="J2481" s="0" t="n">
        <v>9.46</v>
      </c>
      <c r="K2481" s="0" t="n">
        <v>0.01</v>
      </c>
      <c r="L2481" s="0" t="n">
        <v>0.9</v>
      </c>
      <c r="M2481" s="0" t="n">
        <v>0.14</v>
      </c>
      <c r="N2481" s="0" t="n">
        <v>0</v>
      </c>
      <c r="O2481" s="0" t="n">
        <v>721.38</v>
      </c>
    </row>
    <row r="2482" customFormat="false" ht="15" hidden="false" customHeight="false" outlineLevel="0" collapsed="false">
      <c r="A2482" s="0" t="s">
        <v>349</v>
      </c>
      <c r="B2482" s="0" t="s">
        <v>588</v>
      </c>
      <c r="C2482" s="0" t="n">
        <v>2020</v>
      </c>
      <c r="D2482" s="0" t="n">
        <v>6907814</v>
      </c>
      <c r="E2482" s="0" t="n">
        <v>37.18</v>
      </c>
      <c r="F2482" s="0" t="n">
        <v>26.46</v>
      </c>
      <c r="G2482" s="0" t="n">
        <v>0.51</v>
      </c>
      <c r="H2482" s="0" t="n">
        <v>0.05</v>
      </c>
      <c r="I2482" s="0" t="n">
        <v>0</v>
      </c>
      <c r="J2482" s="0" t="n">
        <v>8.98</v>
      </c>
      <c r="K2482" s="0" t="n">
        <v>0.01</v>
      </c>
      <c r="L2482" s="0" t="n">
        <v>0.98</v>
      </c>
      <c r="M2482" s="0" t="n">
        <v>0.19</v>
      </c>
      <c r="N2482" s="0" t="n">
        <v>0</v>
      </c>
      <c r="O2482" s="0" t="n">
        <v>736.15</v>
      </c>
    </row>
    <row r="2483" customFormat="false" ht="15" hidden="false" customHeight="false" outlineLevel="0" collapsed="false">
      <c r="A2483" s="0" t="s">
        <v>349</v>
      </c>
      <c r="B2483" s="0" t="s">
        <v>588</v>
      </c>
      <c r="C2483" s="0" t="n">
        <v>2021</v>
      </c>
      <c r="D2483" s="0" t="n">
        <v>6835429</v>
      </c>
      <c r="E2483" s="0" t="n">
        <v>37.46</v>
      </c>
      <c r="F2483" s="0" t="n">
        <v>23.77</v>
      </c>
      <c r="G2483" s="0" t="n">
        <v>1.07</v>
      </c>
      <c r="H2483" s="0" t="n">
        <v>0.07</v>
      </c>
      <c r="I2483" s="0" t="n">
        <v>0</v>
      </c>
      <c r="J2483" s="0" t="n">
        <v>11.21</v>
      </c>
      <c r="K2483" s="0" t="n">
        <v>0.01</v>
      </c>
      <c r="L2483" s="0" t="n">
        <v>1.08</v>
      </c>
      <c r="M2483" s="0" t="n">
        <v>0.25</v>
      </c>
      <c r="N2483" s="0" t="n">
        <v>0</v>
      </c>
      <c r="O2483" s="0" t="n">
        <v>666.31</v>
      </c>
    </row>
    <row r="2484" customFormat="false" ht="15" hidden="false" customHeight="false" outlineLevel="0" collapsed="false">
      <c r="A2484" s="0" t="s">
        <v>349</v>
      </c>
      <c r="B2484" s="0" t="s">
        <v>588</v>
      </c>
      <c r="C2484" s="0" t="n">
        <v>2022</v>
      </c>
      <c r="D2484" s="0" t="n">
        <v>6791215</v>
      </c>
      <c r="E2484" s="0" t="n">
        <v>34.84</v>
      </c>
      <c r="F2484" s="0" t="n">
        <v>23.49</v>
      </c>
      <c r="G2484" s="0" t="n">
        <v>1.45</v>
      </c>
      <c r="H2484" s="0" t="n">
        <v>0.08</v>
      </c>
      <c r="I2484" s="0" t="n">
        <v>0</v>
      </c>
      <c r="J2484" s="0" t="n">
        <v>8.6</v>
      </c>
      <c r="K2484" s="0" t="n">
        <v>0.02</v>
      </c>
      <c r="L2484" s="0" t="n">
        <v>0.95</v>
      </c>
      <c r="M2484" s="0" t="n">
        <v>0.25</v>
      </c>
      <c r="N2484" s="0" t="n">
        <v>0</v>
      </c>
      <c r="O2484" s="0" t="n">
        <v>710.68</v>
      </c>
    </row>
    <row r="2485" customFormat="false" ht="15" hidden="false" customHeight="false" outlineLevel="0" collapsed="false">
      <c r="A2485" s="0" t="s">
        <v>349</v>
      </c>
      <c r="B2485" s="0" t="s">
        <v>588</v>
      </c>
      <c r="C2485" s="0" t="n">
        <v>2023</v>
      </c>
      <c r="D2485" s="0" t="n">
        <v>6773204</v>
      </c>
      <c r="E2485" s="0" t="n">
        <v>39.33</v>
      </c>
      <c r="F2485" s="0" t="n">
        <v>23.54</v>
      </c>
      <c r="G2485" s="0" t="n">
        <v>1.97</v>
      </c>
      <c r="H2485" s="0" t="n">
        <v>0.07</v>
      </c>
      <c r="I2485" s="0" t="n">
        <v>0</v>
      </c>
      <c r="J2485" s="0" t="n">
        <v>12.38</v>
      </c>
      <c r="K2485" s="0" t="n">
        <v>0.05</v>
      </c>
      <c r="L2485" s="0" t="n">
        <v>1.07</v>
      </c>
      <c r="M2485" s="0" t="n">
        <v>0.25</v>
      </c>
      <c r="N2485" s="0" t="n">
        <v>0</v>
      </c>
      <c r="O2485" s="0" t="n">
        <v>638.95</v>
      </c>
    </row>
    <row r="2486" customFormat="false" ht="15" hidden="false" customHeight="false" outlineLevel="0" collapsed="false">
      <c r="A2486" s="0" t="s">
        <v>349</v>
      </c>
      <c r="B2486" s="0" t="s">
        <v>588</v>
      </c>
      <c r="C2486" s="0" t="n">
        <v>2024</v>
      </c>
      <c r="D2486" s="0" t="n">
        <v>6736217</v>
      </c>
      <c r="E2486" s="0" t="n">
        <v>36.96</v>
      </c>
      <c r="F2486" s="0" t="n">
        <v>23.26</v>
      </c>
      <c r="G2486" s="0" t="n">
        <v>1.72</v>
      </c>
      <c r="H2486" s="0" t="n">
        <v>0.13</v>
      </c>
      <c r="I2486" s="0" t="n">
        <v>0</v>
      </c>
      <c r="J2486" s="0" t="n">
        <v>10.1</v>
      </c>
      <c r="K2486" s="0" t="n">
        <v>0.16</v>
      </c>
      <c r="L2486" s="0" t="n">
        <v>1.25</v>
      </c>
      <c r="M2486" s="0" t="n">
        <v>0.34</v>
      </c>
      <c r="N2486" s="0" t="n">
        <v>0</v>
      </c>
      <c r="O2486" s="0" t="n">
        <v>666.4</v>
      </c>
    </row>
    <row r="2487" customFormat="false" ht="15" hidden="false" customHeight="false" outlineLevel="0" collapsed="false">
      <c r="A2487" s="0" t="s">
        <v>349</v>
      </c>
      <c r="B2487" s="0" t="s">
        <v>588</v>
      </c>
      <c r="C2487" s="0" t="n">
        <v>2025</v>
      </c>
      <c r="D2487" s="0" t="n">
        <v>6689038</v>
      </c>
      <c r="E2487" s="0" t="n">
        <v>36.62</v>
      </c>
      <c r="F2487" s="0" t="n">
        <v>23.82</v>
      </c>
      <c r="G2487" s="0" t="n">
        <v>2.51</v>
      </c>
      <c r="H2487" s="0" t="n">
        <v>0.11</v>
      </c>
      <c r="I2487" s="0" t="n">
        <v>0</v>
      </c>
      <c r="J2487" s="0" t="n">
        <v>8.14</v>
      </c>
      <c r="K2487" s="0" t="n">
        <v>0.16</v>
      </c>
      <c r="L2487" s="0" t="n">
        <v>1.47</v>
      </c>
      <c r="M2487" s="0" t="n">
        <v>0.41</v>
      </c>
      <c r="N2487" s="0" t="n">
        <v>0</v>
      </c>
      <c r="O2487" s="0" t="n">
        <v>695.8</v>
      </c>
    </row>
    <row r="2488" customFormat="false" ht="15" hidden="false" customHeight="false" outlineLevel="0" collapsed="false">
      <c r="A2488" s="0" t="s">
        <v>350</v>
      </c>
      <c r="B2488" s="0" t="s">
        <v>589</v>
      </c>
      <c r="C2488" s="0" t="n">
        <v>2015</v>
      </c>
      <c r="D2488" s="0" t="n">
        <v>107247</v>
      </c>
      <c r="E2488" s="0" t="n">
        <v>0.46</v>
      </c>
      <c r="F2488" s="0" t="n">
        <v>0</v>
      </c>
      <c r="G2488" s="0" t="n">
        <v>0</v>
      </c>
      <c r="H2488" s="0" t="n">
        <v>0.45</v>
      </c>
      <c r="I2488" s="0" t="n">
        <v>0</v>
      </c>
      <c r="J2488" s="0" t="n">
        <v>0</v>
      </c>
      <c r="K2488" s="0" t="n">
        <v>0</v>
      </c>
      <c r="L2488" s="0" t="n">
        <v>0.01</v>
      </c>
      <c r="M2488" s="0" t="n">
        <v>0</v>
      </c>
      <c r="N2488" s="0" t="n">
        <v>0</v>
      </c>
      <c r="O2488" s="0" t="n">
        <v>652.17</v>
      </c>
    </row>
    <row r="2489" customFormat="false" ht="15" hidden="false" customHeight="false" outlineLevel="0" collapsed="false">
      <c r="A2489" s="0" t="s">
        <v>350</v>
      </c>
      <c r="B2489" s="0" t="s">
        <v>589</v>
      </c>
      <c r="C2489" s="0" t="n">
        <v>2016</v>
      </c>
      <c r="D2489" s="0" t="n">
        <v>109836</v>
      </c>
      <c r="E2489" s="0" t="n">
        <v>0.5</v>
      </c>
      <c r="F2489" s="0" t="n">
        <v>0</v>
      </c>
      <c r="G2489" s="0" t="n">
        <v>0</v>
      </c>
      <c r="H2489" s="0" t="n">
        <v>0.49</v>
      </c>
      <c r="I2489" s="0" t="n">
        <v>0</v>
      </c>
      <c r="J2489" s="0" t="n">
        <v>0</v>
      </c>
      <c r="K2489" s="0" t="n">
        <v>0</v>
      </c>
      <c r="L2489" s="0" t="n">
        <v>0.01</v>
      </c>
      <c r="M2489" s="0" t="n">
        <v>0</v>
      </c>
      <c r="N2489" s="0" t="n">
        <v>0</v>
      </c>
      <c r="O2489" s="0" t="n">
        <v>640</v>
      </c>
    </row>
    <row r="2490" customFormat="false" ht="15" hidden="false" customHeight="false" outlineLevel="0" collapsed="false">
      <c r="A2490" s="0" t="s">
        <v>350</v>
      </c>
      <c r="B2490" s="0" t="s">
        <v>589</v>
      </c>
      <c r="C2490" s="0" t="n">
        <v>2017</v>
      </c>
      <c r="D2490" s="0" t="n">
        <v>112443</v>
      </c>
      <c r="E2490" s="0" t="n">
        <v>0.51</v>
      </c>
      <c r="F2490" s="0" t="n">
        <v>0</v>
      </c>
      <c r="G2490" s="0" t="n">
        <v>0</v>
      </c>
      <c r="H2490" s="0" t="n">
        <v>0.5</v>
      </c>
      <c r="I2490" s="0" t="n">
        <v>0</v>
      </c>
      <c r="J2490" s="0" t="n">
        <v>0</v>
      </c>
      <c r="K2490" s="0" t="n">
        <v>0</v>
      </c>
      <c r="L2490" s="0" t="n">
        <v>0.01</v>
      </c>
      <c r="M2490" s="0" t="n">
        <v>0</v>
      </c>
      <c r="N2490" s="0" t="n">
        <v>0</v>
      </c>
      <c r="O2490" s="0" t="n">
        <v>647.06</v>
      </c>
    </row>
    <row r="2491" customFormat="false" ht="15" hidden="false" customHeight="false" outlineLevel="0" collapsed="false">
      <c r="A2491" s="0" t="s">
        <v>350</v>
      </c>
      <c r="B2491" s="0" t="s">
        <v>589</v>
      </c>
      <c r="C2491" s="0" t="n">
        <v>2018</v>
      </c>
      <c r="D2491" s="0" t="n">
        <v>115053</v>
      </c>
      <c r="E2491" s="0" t="n">
        <v>0.52</v>
      </c>
      <c r="F2491" s="0" t="n">
        <v>0</v>
      </c>
      <c r="G2491" s="0" t="n">
        <v>0</v>
      </c>
      <c r="H2491" s="0" t="n">
        <v>0.51</v>
      </c>
      <c r="I2491" s="0" t="n">
        <v>0</v>
      </c>
      <c r="J2491" s="0" t="n">
        <v>0</v>
      </c>
      <c r="K2491" s="0" t="n">
        <v>0</v>
      </c>
      <c r="L2491" s="0" t="n">
        <v>0.01</v>
      </c>
      <c r="M2491" s="0" t="n">
        <v>0</v>
      </c>
      <c r="N2491" s="0" t="n">
        <v>0</v>
      </c>
      <c r="O2491" s="0" t="n">
        <v>653.85</v>
      </c>
    </row>
    <row r="2492" customFormat="false" ht="15" hidden="false" customHeight="false" outlineLevel="0" collapsed="false">
      <c r="A2492" s="0" t="s">
        <v>350</v>
      </c>
      <c r="B2492" s="0" t="s">
        <v>589</v>
      </c>
      <c r="C2492" s="0" t="n">
        <v>2019</v>
      </c>
      <c r="D2492" s="0" t="n">
        <v>117662</v>
      </c>
      <c r="E2492" s="0" t="n">
        <v>0.57</v>
      </c>
      <c r="F2492" s="0" t="n">
        <v>0</v>
      </c>
      <c r="G2492" s="0" t="n">
        <v>0</v>
      </c>
      <c r="H2492" s="0" t="n">
        <v>0.53</v>
      </c>
      <c r="I2492" s="0" t="n">
        <v>0</v>
      </c>
      <c r="J2492" s="0" t="n">
        <v>0</v>
      </c>
      <c r="K2492" s="0" t="n">
        <v>0.04</v>
      </c>
      <c r="L2492" s="0" t="n">
        <v>0</v>
      </c>
      <c r="M2492" s="0" t="n">
        <v>0</v>
      </c>
      <c r="N2492" s="0" t="n">
        <v>0</v>
      </c>
      <c r="O2492" s="0" t="n">
        <v>614.04</v>
      </c>
    </row>
    <row r="2493" customFormat="false" ht="15" hidden="false" customHeight="false" outlineLevel="0" collapsed="false">
      <c r="A2493" s="0" t="s">
        <v>350</v>
      </c>
      <c r="B2493" s="0" t="s">
        <v>589</v>
      </c>
      <c r="C2493" s="0" t="n">
        <v>2020</v>
      </c>
      <c r="D2493" s="0" t="n">
        <v>120299</v>
      </c>
      <c r="E2493" s="0" t="n">
        <v>0.59</v>
      </c>
      <c r="F2493" s="0" t="n">
        <v>0</v>
      </c>
      <c r="G2493" s="0" t="n">
        <v>0</v>
      </c>
      <c r="H2493" s="0" t="n">
        <v>0.52</v>
      </c>
      <c r="I2493" s="0" t="n">
        <v>0</v>
      </c>
      <c r="J2493" s="0" t="n">
        <v>0</v>
      </c>
      <c r="K2493" s="0" t="n">
        <v>0.06</v>
      </c>
      <c r="L2493" s="0" t="n">
        <v>0.01</v>
      </c>
      <c r="M2493" s="0" t="n">
        <v>0</v>
      </c>
      <c r="N2493" s="0" t="n">
        <v>0</v>
      </c>
      <c r="O2493" s="0" t="n">
        <v>576.27</v>
      </c>
    </row>
    <row r="2494" customFormat="false" ht="15" hidden="false" customHeight="false" outlineLevel="0" collapsed="false">
      <c r="A2494" s="0" t="s">
        <v>350</v>
      </c>
      <c r="B2494" s="0" t="s">
        <v>589</v>
      </c>
      <c r="C2494" s="0" t="n">
        <v>2021</v>
      </c>
      <c r="D2494" s="0" t="n">
        <v>123000</v>
      </c>
      <c r="E2494" s="0" t="n">
        <v>0.6</v>
      </c>
      <c r="F2494" s="0" t="n">
        <v>0</v>
      </c>
      <c r="G2494" s="0" t="n">
        <v>0</v>
      </c>
      <c r="H2494" s="0" t="n">
        <v>0.52</v>
      </c>
      <c r="I2494" s="0" t="n">
        <v>0</v>
      </c>
      <c r="J2494" s="0" t="n">
        <v>0</v>
      </c>
      <c r="K2494" s="0" t="n">
        <v>0.07</v>
      </c>
      <c r="L2494" s="0" t="n">
        <v>0.01</v>
      </c>
      <c r="M2494" s="0" t="n">
        <v>0</v>
      </c>
      <c r="N2494" s="0" t="n">
        <v>0</v>
      </c>
      <c r="O2494" s="0" t="n">
        <v>566.67</v>
      </c>
    </row>
    <row r="2495" customFormat="false" ht="15" hidden="false" customHeight="false" outlineLevel="0" collapsed="false">
      <c r="A2495" s="0" t="s">
        <v>350</v>
      </c>
      <c r="B2495" s="0" t="s">
        <v>589</v>
      </c>
      <c r="C2495" s="0" t="n">
        <v>2022</v>
      </c>
      <c r="D2495" s="0" t="n">
        <v>125533</v>
      </c>
      <c r="E2495" s="0" t="n">
        <v>0.62</v>
      </c>
      <c r="F2495" s="0" t="n">
        <v>0</v>
      </c>
      <c r="G2495" s="0" t="n">
        <v>0</v>
      </c>
      <c r="H2495" s="0" t="n">
        <v>0.53</v>
      </c>
      <c r="I2495" s="0" t="n">
        <v>0</v>
      </c>
      <c r="J2495" s="0" t="n">
        <v>0</v>
      </c>
      <c r="K2495" s="0" t="n">
        <v>0.08</v>
      </c>
      <c r="L2495" s="0" t="n">
        <v>0.01</v>
      </c>
      <c r="M2495" s="0" t="n">
        <v>0</v>
      </c>
      <c r="N2495" s="0" t="n">
        <v>0</v>
      </c>
      <c r="O2495" s="0" t="n">
        <v>564.52</v>
      </c>
    </row>
    <row r="2496" customFormat="false" ht="15" hidden="false" customHeight="false" outlineLevel="0" collapsed="false">
      <c r="A2496" s="0" t="s">
        <v>350</v>
      </c>
      <c r="B2496" s="0" t="s">
        <v>589</v>
      </c>
      <c r="C2496" s="0" t="n">
        <v>2023</v>
      </c>
      <c r="D2496" s="0" t="n">
        <v>127961</v>
      </c>
      <c r="E2496" s="0" t="n">
        <v>0.62</v>
      </c>
      <c r="F2496" s="0" t="n">
        <v>0</v>
      </c>
      <c r="G2496" s="0" t="n">
        <v>0</v>
      </c>
      <c r="H2496" s="0" t="n">
        <v>0.53</v>
      </c>
      <c r="I2496" s="0" t="n">
        <v>0</v>
      </c>
      <c r="J2496" s="0" t="n">
        <v>0</v>
      </c>
      <c r="K2496" s="0" t="n">
        <v>0.08</v>
      </c>
      <c r="L2496" s="0" t="n">
        <v>0.01</v>
      </c>
      <c r="M2496" s="0" t="n">
        <v>0</v>
      </c>
      <c r="N2496" s="0" t="n">
        <v>0</v>
      </c>
      <c r="O2496" s="0" t="n">
        <v>564.52</v>
      </c>
    </row>
    <row r="2497" customFormat="false" ht="15" hidden="false" customHeight="false" outlineLevel="0" collapsed="false">
      <c r="A2497" s="0" t="s">
        <v>350</v>
      </c>
      <c r="B2497" s="0" t="s">
        <v>589</v>
      </c>
      <c r="C2497" s="0" t="n">
        <v>2024</v>
      </c>
      <c r="D2497" s="0" t="n">
        <v>130436</v>
      </c>
      <c r="E2497" s="0" t="n">
        <v>0.63</v>
      </c>
      <c r="F2497" s="0" t="n">
        <v>0</v>
      </c>
      <c r="G2497" s="0" t="n">
        <v>0</v>
      </c>
      <c r="H2497" s="0" t="n">
        <v>0.53</v>
      </c>
      <c r="I2497" s="0" t="n">
        <v>0</v>
      </c>
      <c r="J2497" s="0" t="n">
        <v>0</v>
      </c>
      <c r="K2497" s="0" t="n">
        <v>0.09</v>
      </c>
      <c r="L2497" s="0" t="n">
        <v>0.01</v>
      </c>
      <c r="M2497" s="0" t="n">
        <v>0</v>
      </c>
      <c r="N2497" s="0" t="n">
        <v>0</v>
      </c>
      <c r="O2497" s="0" t="n">
        <v>555.56</v>
      </c>
    </row>
    <row r="2498" customFormat="false" ht="15" hidden="false" customHeight="false" outlineLevel="0" collapsed="false">
      <c r="A2498" s="0" t="s">
        <v>351</v>
      </c>
      <c r="B2498" s="0" t="s">
        <v>590</v>
      </c>
      <c r="C2498" s="0" t="n">
        <v>2015</v>
      </c>
      <c r="D2498" s="0" t="n">
        <v>7037660</v>
      </c>
      <c r="E2498" s="0" t="n">
        <v>0.16</v>
      </c>
      <c r="F2498" s="0" t="n">
        <v>0</v>
      </c>
      <c r="G2498" s="0" t="n">
        <v>0</v>
      </c>
      <c r="H2498" s="0" t="n">
        <v>0.04</v>
      </c>
      <c r="I2498" s="0" t="n">
        <v>0</v>
      </c>
      <c r="J2498" s="0" t="n">
        <v>0.12</v>
      </c>
      <c r="K2498" s="0" t="n">
        <v>0</v>
      </c>
      <c r="L2498" s="0" t="n">
        <v>0</v>
      </c>
      <c r="M2498" s="0" t="n">
        <v>0</v>
      </c>
      <c r="N2498" s="0" t="n">
        <v>0</v>
      </c>
      <c r="O2498" s="0" t="n">
        <v>187.5</v>
      </c>
    </row>
    <row r="2499" customFormat="false" ht="15" hidden="false" customHeight="false" outlineLevel="0" collapsed="false">
      <c r="A2499" s="0" t="s">
        <v>351</v>
      </c>
      <c r="B2499" s="0" t="s">
        <v>590</v>
      </c>
      <c r="C2499" s="0" t="n">
        <v>2016</v>
      </c>
      <c r="D2499" s="0" t="n">
        <v>7205339</v>
      </c>
      <c r="E2499" s="0" t="n">
        <v>0.21</v>
      </c>
      <c r="F2499" s="0" t="n">
        <v>0</v>
      </c>
      <c r="G2499" s="0" t="n">
        <v>0</v>
      </c>
      <c r="H2499" s="0" t="n">
        <v>0.08</v>
      </c>
      <c r="I2499" s="0" t="n">
        <v>0</v>
      </c>
      <c r="J2499" s="0" t="n">
        <v>0.13</v>
      </c>
      <c r="K2499" s="0" t="n">
        <v>0</v>
      </c>
      <c r="L2499" s="0" t="n">
        <v>0</v>
      </c>
      <c r="M2499" s="0" t="n">
        <v>0</v>
      </c>
      <c r="N2499" s="0" t="n">
        <v>0</v>
      </c>
      <c r="O2499" s="0" t="n">
        <v>238.1</v>
      </c>
    </row>
    <row r="2500" customFormat="false" ht="15" hidden="false" customHeight="false" outlineLevel="0" collapsed="false">
      <c r="A2500" s="0" t="s">
        <v>351</v>
      </c>
      <c r="B2500" s="0" t="s">
        <v>590</v>
      </c>
      <c r="C2500" s="0" t="n">
        <v>2017</v>
      </c>
      <c r="D2500" s="0" t="n">
        <v>7379300</v>
      </c>
      <c r="E2500" s="0" t="n">
        <v>0.23</v>
      </c>
      <c r="F2500" s="0" t="n">
        <v>0</v>
      </c>
      <c r="G2500" s="0" t="n">
        <v>0</v>
      </c>
      <c r="H2500" s="0" t="n">
        <v>0.09</v>
      </c>
      <c r="I2500" s="0" t="n">
        <v>0</v>
      </c>
      <c r="J2500" s="0" t="n">
        <v>0.13</v>
      </c>
      <c r="K2500" s="0" t="n">
        <v>0.01</v>
      </c>
      <c r="L2500" s="0" t="n">
        <v>0</v>
      </c>
      <c r="M2500" s="0" t="n">
        <v>0</v>
      </c>
      <c r="N2500" s="0" t="n">
        <v>0</v>
      </c>
      <c r="O2500" s="0" t="n">
        <v>260.87</v>
      </c>
    </row>
    <row r="2501" customFormat="false" ht="15" hidden="false" customHeight="false" outlineLevel="0" collapsed="false">
      <c r="A2501" s="0" t="s">
        <v>351</v>
      </c>
      <c r="B2501" s="0" t="s">
        <v>590</v>
      </c>
      <c r="C2501" s="0" t="n">
        <v>2018</v>
      </c>
      <c r="D2501" s="0" t="n">
        <v>7554568</v>
      </c>
      <c r="E2501" s="0" t="n">
        <v>0.27</v>
      </c>
      <c r="F2501" s="0" t="n">
        <v>0</v>
      </c>
      <c r="G2501" s="0" t="n">
        <v>0</v>
      </c>
      <c r="H2501" s="0" t="n">
        <v>0.09</v>
      </c>
      <c r="I2501" s="0" t="n">
        <v>0</v>
      </c>
      <c r="J2501" s="0" t="n">
        <v>0.17</v>
      </c>
      <c r="K2501" s="0" t="n">
        <v>0.01</v>
      </c>
      <c r="L2501" s="0" t="n">
        <v>0</v>
      </c>
      <c r="M2501" s="0" t="n">
        <v>0</v>
      </c>
      <c r="N2501" s="0" t="n">
        <v>0</v>
      </c>
      <c r="O2501" s="0" t="n">
        <v>222.22</v>
      </c>
    </row>
    <row r="2502" customFormat="false" ht="15" hidden="false" customHeight="false" outlineLevel="0" collapsed="false">
      <c r="A2502" s="0" t="s">
        <v>351</v>
      </c>
      <c r="B2502" s="0" t="s">
        <v>590</v>
      </c>
      <c r="C2502" s="0" t="n">
        <v>2019</v>
      </c>
      <c r="D2502" s="0" t="n">
        <v>7731994</v>
      </c>
      <c r="E2502" s="0" t="n">
        <v>0.2</v>
      </c>
      <c r="F2502" s="0" t="n">
        <v>0</v>
      </c>
      <c r="G2502" s="0" t="n">
        <v>0</v>
      </c>
      <c r="H2502" s="0" t="n">
        <v>0.01</v>
      </c>
      <c r="I2502" s="0" t="n">
        <v>0</v>
      </c>
      <c r="J2502" s="0" t="n">
        <v>0.18</v>
      </c>
      <c r="K2502" s="0" t="n">
        <v>0.01</v>
      </c>
      <c r="L2502" s="0" t="n">
        <v>0</v>
      </c>
      <c r="M2502" s="0" t="n">
        <v>0</v>
      </c>
      <c r="N2502" s="0" t="n">
        <v>0</v>
      </c>
      <c r="O2502" s="0" t="n">
        <v>50</v>
      </c>
    </row>
    <row r="2503" customFormat="false" ht="15" hidden="false" customHeight="false" outlineLevel="0" collapsed="false">
      <c r="A2503" s="0" t="s">
        <v>351</v>
      </c>
      <c r="B2503" s="0" t="s">
        <v>590</v>
      </c>
      <c r="C2503" s="0" t="n">
        <v>2020</v>
      </c>
      <c r="D2503" s="0" t="n">
        <v>7912557</v>
      </c>
      <c r="E2503" s="0" t="n">
        <v>0.2</v>
      </c>
      <c r="F2503" s="0" t="n">
        <v>0</v>
      </c>
      <c r="G2503" s="0" t="n">
        <v>0</v>
      </c>
      <c r="H2503" s="0" t="n">
        <v>0.01</v>
      </c>
      <c r="I2503" s="0" t="n">
        <v>0</v>
      </c>
      <c r="J2503" s="0" t="n">
        <v>0.18</v>
      </c>
      <c r="K2503" s="0" t="n">
        <v>0.01</v>
      </c>
      <c r="L2503" s="0" t="n">
        <v>0</v>
      </c>
      <c r="M2503" s="0" t="n">
        <v>0</v>
      </c>
      <c r="N2503" s="0" t="n">
        <v>0</v>
      </c>
      <c r="O2503" s="0" t="n">
        <v>50</v>
      </c>
    </row>
    <row r="2504" customFormat="false" ht="15" hidden="false" customHeight="false" outlineLevel="0" collapsed="false">
      <c r="A2504" s="0" t="s">
        <v>351</v>
      </c>
      <c r="B2504" s="0" t="s">
        <v>590</v>
      </c>
      <c r="C2504" s="0" t="n">
        <v>2021</v>
      </c>
      <c r="D2504" s="0" t="n">
        <v>8094603</v>
      </c>
      <c r="E2504" s="0" t="n">
        <v>0.2</v>
      </c>
      <c r="F2504" s="0" t="n">
        <v>0</v>
      </c>
      <c r="G2504" s="0" t="n">
        <v>0</v>
      </c>
      <c r="H2504" s="0" t="n">
        <v>0.01</v>
      </c>
      <c r="I2504" s="0" t="n">
        <v>0</v>
      </c>
      <c r="J2504" s="0" t="n">
        <v>0.18</v>
      </c>
      <c r="K2504" s="0" t="n">
        <v>0.01</v>
      </c>
      <c r="L2504" s="0" t="n">
        <v>0</v>
      </c>
      <c r="M2504" s="0" t="n">
        <v>0</v>
      </c>
      <c r="N2504" s="0" t="n">
        <v>0</v>
      </c>
      <c r="O2504" s="0" t="n">
        <v>50</v>
      </c>
    </row>
    <row r="2505" customFormat="false" ht="15" hidden="false" customHeight="false" outlineLevel="0" collapsed="false">
      <c r="A2505" s="0" t="s">
        <v>351</v>
      </c>
      <c r="B2505" s="0" t="s">
        <v>590</v>
      </c>
      <c r="C2505" s="0" t="n">
        <v>2022</v>
      </c>
      <c r="D2505" s="0" t="n">
        <v>8276809</v>
      </c>
      <c r="E2505" s="0" t="n">
        <v>0.2</v>
      </c>
      <c r="F2505" s="0" t="n">
        <v>0</v>
      </c>
      <c r="G2505" s="0" t="n">
        <v>0</v>
      </c>
      <c r="H2505" s="0" t="n">
        <v>0.01</v>
      </c>
      <c r="I2505" s="0" t="n">
        <v>0</v>
      </c>
      <c r="J2505" s="0" t="n">
        <v>0.18</v>
      </c>
      <c r="K2505" s="0" t="n">
        <v>0.01</v>
      </c>
      <c r="L2505" s="0" t="n">
        <v>0</v>
      </c>
      <c r="M2505" s="0" t="n">
        <v>0</v>
      </c>
      <c r="N2505" s="0" t="n">
        <v>0</v>
      </c>
      <c r="O2505" s="0" t="n">
        <v>50</v>
      </c>
    </row>
    <row r="2506" customFormat="false" ht="15" hidden="false" customHeight="false" outlineLevel="0" collapsed="false">
      <c r="A2506" s="0" t="s">
        <v>351</v>
      </c>
      <c r="B2506" s="0" t="s">
        <v>590</v>
      </c>
      <c r="C2506" s="0" t="n">
        <v>2023</v>
      </c>
      <c r="D2506" s="0" t="n">
        <v>8460523</v>
      </c>
      <c r="E2506" s="0" t="n">
        <v>0.21</v>
      </c>
      <c r="F2506" s="0" t="n">
        <v>0</v>
      </c>
      <c r="G2506" s="0" t="n">
        <v>0</v>
      </c>
      <c r="H2506" s="0" t="n">
        <v>0.01</v>
      </c>
      <c r="I2506" s="0" t="n">
        <v>0</v>
      </c>
      <c r="J2506" s="0" t="n">
        <v>0.18</v>
      </c>
      <c r="K2506" s="0" t="n">
        <v>0.02</v>
      </c>
      <c r="L2506" s="0" t="n">
        <v>0</v>
      </c>
      <c r="M2506" s="0" t="n">
        <v>0</v>
      </c>
      <c r="N2506" s="0" t="n">
        <v>0</v>
      </c>
      <c r="O2506" s="0" t="n">
        <v>47.62</v>
      </c>
    </row>
    <row r="2507" customFormat="false" ht="15" hidden="false" customHeight="false" outlineLevel="0" collapsed="false">
      <c r="A2507" s="0" t="s">
        <v>351</v>
      </c>
      <c r="B2507" s="0" t="s">
        <v>590</v>
      </c>
      <c r="C2507" s="0" t="n">
        <v>2024</v>
      </c>
      <c r="D2507" s="0" t="n">
        <v>8642029</v>
      </c>
      <c r="E2507" s="0" t="n">
        <v>0.21</v>
      </c>
      <c r="F2507" s="0" t="n">
        <v>0</v>
      </c>
      <c r="G2507" s="0" t="n">
        <v>0</v>
      </c>
      <c r="H2507" s="0" t="n">
        <v>0.01</v>
      </c>
      <c r="I2507" s="0" t="n">
        <v>0</v>
      </c>
      <c r="J2507" s="0" t="n">
        <v>0.18</v>
      </c>
      <c r="K2507" s="0" t="n">
        <v>0.02</v>
      </c>
      <c r="L2507" s="0" t="n">
        <v>0</v>
      </c>
      <c r="M2507" s="0" t="n">
        <v>0</v>
      </c>
      <c r="N2507" s="0" t="n">
        <v>0</v>
      </c>
      <c r="O2507" s="0" t="n">
        <v>47.62</v>
      </c>
    </row>
    <row r="2508" customFormat="false" ht="15" hidden="false" customHeight="false" outlineLevel="0" collapsed="false">
      <c r="A2508" s="0" t="s">
        <v>352</v>
      </c>
      <c r="B2508" s="0" t="s">
        <v>591</v>
      </c>
      <c r="C2508" s="0" t="n">
        <v>2015</v>
      </c>
      <c r="D2508" s="0" t="n">
        <v>5525343</v>
      </c>
      <c r="E2508" s="0" t="n">
        <v>50.28</v>
      </c>
      <c r="F2508" s="0" t="n">
        <v>0.6</v>
      </c>
      <c r="G2508" s="0" t="n">
        <v>47.89</v>
      </c>
      <c r="H2508" s="0" t="n">
        <v>0.33</v>
      </c>
      <c r="I2508" s="0" t="n">
        <v>0</v>
      </c>
      <c r="K2508" s="0" t="n">
        <v>0</v>
      </c>
      <c r="M2508" s="0" t="n">
        <v>1.46</v>
      </c>
      <c r="O2508" s="0" t="n">
        <v>506.96</v>
      </c>
    </row>
    <row r="2509" customFormat="false" ht="15" hidden="false" customHeight="false" outlineLevel="0" collapsed="false">
      <c r="A2509" s="0" t="s">
        <v>352</v>
      </c>
      <c r="B2509" s="0" t="s">
        <v>591</v>
      </c>
      <c r="C2509" s="0" t="n">
        <v>2016</v>
      </c>
      <c r="D2509" s="0" t="n">
        <v>5577936</v>
      </c>
      <c r="E2509" s="0" t="n">
        <v>51.59</v>
      </c>
      <c r="F2509" s="0" t="n">
        <v>0.62</v>
      </c>
      <c r="G2509" s="0" t="n">
        <v>49.11</v>
      </c>
      <c r="H2509" s="0" t="n">
        <v>0.36</v>
      </c>
      <c r="I2509" s="0" t="n">
        <v>0</v>
      </c>
      <c r="K2509" s="0" t="n">
        <v>0.09</v>
      </c>
      <c r="M2509" s="0" t="n">
        <v>1.41</v>
      </c>
      <c r="O2509" s="0" t="n">
        <v>506.49</v>
      </c>
    </row>
    <row r="2510" customFormat="false" ht="15" hidden="false" customHeight="false" outlineLevel="0" collapsed="false">
      <c r="A2510" s="0" t="s">
        <v>352</v>
      </c>
      <c r="B2510" s="0" t="s">
        <v>591</v>
      </c>
      <c r="C2510" s="0" t="n">
        <v>2017</v>
      </c>
      <c r="D2510" s="0" t="n">
        <v>5604087</v>
      </c>
      <c r="E2510" s="0" t="n">
        <v>52.28</v>
      </c>
      <c r="F2510" s="0" t="n">
        <v>0.68</v>
      </c>
      <c r="G2510" s="0" t="n">
        <v>49.72</v>
      </c>
      <c r="H2510" s="0" t="n">
        <v>0.37</v>
      </c>
      <c r="I2510" s="0" t="n">
        <v>0</v>
      </c>
      <c r="K2510" s="0" t="n">
        <v>0.12</v>
      </c>
      <c r="M2510" s="0" t="n">
        <v>1.39</v>
      </c>
      <c r="O2510" s="0" t="n">
        <v>507.27</v>
      </c>
    </row>
    <row r="2511" customFormat="false" ht="15" hidden="false" customHeight="false" outlineLevel="0" collapsed="false">
      <c r="A2511" s="0" t="s">
        <v>352</v>
      </c>
      <c r="B2511" s="0" t="s">
        <v>591</v>
      </c>
      <c r="C2511" s="0" t="n">
        <v>2018</v>
      </c>
      <c r="D2511" s="0" t="n">
        <v>5634366</v>
      </c>
      <c r="E2511" s="0" t="n">
        <v>52.97</v>
      </c>
      <c r="F2511" s="0" t="n">
        <v>0.69</v>
      </c>
      <c r="G2511" s="0" t="n">
        <v>50.47</v>
      </c>
      <c r="H2511" s="0" t="n">
        <v>0.32</v>
      </c>
      <c r="I2511" s="0" t="n">
        <v>0</v>
      </c>
      <c r="K2511" s="0" t="n">
        <v>0.14</v>
      </c>
      <c r="M2511" s="0" t="n">
        <v>1.35</v>
      </c>
      <c r="O2511" s="0" t="n">
        <v>507.08</v>
      </c>
    </row>
    <row r="2512" customFormat="false" ht="15" hidden="false" customHeight="false" outlineLevel="0" collapsed="false">
      <c r="A2512" s="0" t="s">
        <v>352</v>
      </c>
      <c r="B2512" s="0" t="s">
        <v>591</v>
      </c>
      <c r="C2512" s="0" t="n">
        <v>2019</v>
      </c>
      <c r="D2512" s="0" t="n">
        <v>5669562</v>
      </c>
      <c r="E2512" s="0" t="n">
        <v>54.14</v>
      </c>
      <c r="F2512" s="0" t="n">
        <v>0.65</v>
      </c>
      <c r="G2512" s="0" t="n">
        <v>51.76</v>
      </c>
      <c r="H2512" s="0" t="n">
        <v>0.22</v>
      </c>
      <c r="I2512" s="0" t="n">
        <v>0</v>
      </c>
      <c r="K2512" s="0" t="n">
        <v>0.19</v>
      </c>
      <c r="M2512" s="0" t="n">
        <v>1.32</v>
      </c>
      <c r="O2512" s="0" t="n">
        <v>506.1</v>
      </c>
    </row>
    <row r="2513" customFormat="false" ht="15" hidden="false" customHeight="false" outlineLevel="0" collapsed="false">
      <c r="A2513" s="0" t="s">
        <v>352</v>
      </c>
      <c r="B2513" s="0" t="s">
        <v>591</v>
      </c>
      <c r="C2513" s="0" t="n">
        <v>2020</v>
      </c>
      <c r="D2513" s="0" t="n">
        <v>5620151</v>
      </c>
      <c r="E2513" s="0" t="n">
        <v>53.07</v>
      </c>
      <c r="F2513" s="0" t="n">
        <v>0.53</v>
      </c>
      <c r="G2513" s="0" t="n">
        <v>50.84</v>
      </c>
      <c r="H2513" s="0" t="n">
        <v>0.21</v>
      </c>
      <c r="I2513" s="0" t="n">
        <v>0</v>
      </c>
      <c r="K2513" s="0" t="n">
        <v>0.3</v>
      </c>
      <c r="M2513" s="0" t="n">
        <v>1.19</v>
      </c>
      <c r="O2513" s="0" t="n">
        <v>504.62</v>
      </c>
    </row>
    <row r="2514" customFormat="false" ht="15" hidden="false" customHeight="false" outlineLevel="0" collapsed="false">
      <c r="A2514" s="0" t="s">
        <v>352</v>
      </c>
      <c r="B2514" s="0" t="s">
        <v>591</v>
      </c>
      <c r="C2514" s="0" t="n">
        <v>2021</v>
      </c>
      <c r="D2514" s="0" t="n">
        <v>5546291</v>
      </c>
      <c r="E2514" s="0" t="n">
        <v>55.79</v>
      </c>
      <c r="F2514" s="0" t="n">
        <v>0.67</v>
      </c>
      <c r="G2514" s="0" t="n">
        <v>52.94</v>
      </c>
      <c r="H2514" s="0" t="n">
        <v>0.56</v>
      </c>
      <c r="I2514" s="0" t="n">
        <v>0</v>
      </c>
      <c r="K2514" s="0" t="n">
        <v>0.4</v>
      </c>
      <c r="M2514" s="0" t="n">
        <v>1.22</v>
      </c>
      <c r="O2514" s="0" t="n">
        <v>506.18</v>
      </c>
    </row>
    <row r="2515" customFormat="false" ht="15" hidden="false" customHeight="false" outlineLevel="0" collapsed="false">
      <c r="A2515" s="0" t="s">
        <v>352</v>
      </c>
      <c r="B2515" s="0" t="s">
        <v>591</v>
      </c>
      <c r="C2515" s="0" t="n">
        <v>2022</v>
      </c>
      <c r="D2515" s="0" t="n">
        <v>5649888</v>
      </c>
      <c r="E2515" s="0" t="n">
        <v>56.92</v>
      </c>
      <c r="F2515" s="0" t="n">
        <v>0.57</v>
      </c>
      <c r="G2515" s="0" t="n">
        <v>52.54</v>
      </c>
      <c r="H2515" s="0" t="n">
        <v>1.48</v>
      </c>
      <c r="I2515" s="0" t="n">
        <v>0</v>
      </c>
      <c r="K2515" s="0" t="n">
        <v>0.67</v>
      </c>
      <c r="M2515" s="0" t="n">
        <v>1.66</v>
      </c>
      <c r="O2515" s="0" t="n">
        <v>504.22</v>
      </c>
    </row>
    <row r="2516" customFormat="false" ht="15" hidden="false" customHeight="false" outlineLevel="0" collapsed="false">
      <c r="A2516" s="0" t="s">
        <v>352</v>
      </c>
      <c r="B2516" s="0" t="s">
        <v>591</v>
      </c>
      <c r="C2516" s="0" t="n">
        <v>2023</v>
      </c>
      <c r="D2516" s="0" t="n">
        <v>5789092</v>
      </c>
      <c r="E2516" s="0" t="n">
        <v>57.32</v>
      </c>
      <c r="F2516" s="0" t="n">
        <v>0.57</v>
      </c>
      <c r="G2516" s="0" t="n">
        <v>53.06</v>
      </c>
      <c r="H2516" s="0" t="n">
        <v>1.09</v>
      </c>
      <c r="I2516" s="0" t="n">
        <v>0</v>
      </c>
      <c r="K2516" s="0" t="n">
        <v>0.94</v>
      </c>
      <c r="M2516" s="0" t="n">
        <v>1.66</v>
      </c>
      <c r="O2516" s="0" t="n">
        <v>500.87</v>
      </c>
    </row>
    <row r="2517" customFormat="false" ht="15" hidden="false" customHeight="false" outlineLevel="0" collapsed="false">
      <c r="A2517" s="0" t="s">
        <v>352</v>
      </c>
      <c r="B2517" s="0" t="s">
        <v>591</v>
      </c>
      <c r="C2517" s="0" t="n">
        <v>2024</v>
      </c>
      <c r="D2517" s="0" t="n">
        <v>5832387</v>
      </c>
      <c r="E2517" s="0" t="n">
        <v>59.61</v>
      </c>
      <c r="F2517" s="0" t="n">
        <v>0.57</v>
      </c>
      <c r="G2517" s="0" t="n">
        <v>54.93</v>
      </c>
      <c r="H2517" s="0" t="n">
        <v>1.17</v>
      </c>
      <c r="I2517" s="0" t="n">
        <v>0</v>
      </c>
      <c r="K2517" s="0" t="n">
        <v>1.28</v>
      </c>
      <c r="M2517" s="0" t="n">
        <v>1.66</v>
      </c>
      <c r="O2517" s="0" t="n">
        <v>498.74</v>
      </c>
    </row>
    <row r="2518" customFormat="false" ht="15" hidden="false" customHeight="false" outlineLevel="0" collapsed="false">
      <c r="A2518" s="0" t="s">
        <v>352</v>
      </c>
      <c r="B2518" s="0" t="s">
        <v>591</v>
      </c>
      <c r="C2518" s="0" t="n">
        <v>2025</v>
      </c>
      <c r="D2518" s="0" t="n">
        <v>5870749</v>
      </c>
      <c r="E2518" s="0" t="n">
        <v>60.15</v>
      </c>
      <c r="F2518" s="0" t="n">
        <v>0.57</v>
      </c>
      <c r="G2518" s="0" t="n">
        <v>54.81</v>
      </c>
      <c r="H2518" s="0" t="n">
        <v>1.47</v>
      </c>
      <c r="K2518" s="0" t="n">
        <v>1.64</v>
      </c>
      <c r="M2518" s="0" t="n">
        <v>1.66</v>
      </c>
      <c r="O2518" s="0" t="n">
        <v>497.09</v>
      </c>
    </row>
    <row r="2519" customFormat="false" ht="15" hidden="false" customHeight="false" outlineLevel="0" collapsed="false">
      <c r="A2519" s="0" t="s">
        <v>353</v>
      </c>
      <c r="B2519" s="0" t="s">
        <v>592</v>
      </c>
      <c r="C2519" s="0" t="n">
        <v>2015</v>
      </c>
      <c r="D2519" s="0" t="n">
        <v>5420278</v>
      </c>
      <c r="E2519" s="0" t="n">
        <v>26.62</v>
      </c>
      <c r="F2519" s="0" t="n">
        <v>2.83</v>
      </c>
      <c r="G2519" s="0" t="n">
        <v>1.6</v>
      </c>
      <c r="H2519" s="0" t="n">
        <v>0.99</v>
      </c>
      <c r="I2519" s="0" t="n">
        <v>15.15</v>
      </c>
      <c r="J2519" s="0" t="n">
        <v>3.87</v>
      </c>
      <c r="K2519" s="0" t="n">
        <v>0.51</v>
      </c>
      <c r="L2519" s="0" t="n">
        <v>0.01</v>
      </c>
      <c r="M2519" s="0" t="n">
        <v>1.66</v>
      </c>
      <c r="N2519" s="0" t="n">
        <v>0</v>
      </c>
      <c r="O2519" s="0" t="n">
        <v>177.31</v>
      </c>
    </row>
    <row r="2520" customFormat="false" ht="15" hidden="false" customHeight="false" outlineLevel="0" collapsed="false">
      <c r="A2520" s="0" t="s">
        <v>353</v>
      </c>
      <c r="B2520" s="0" t="s">
        <v>592</v>
      </c>
      <c r="C2520" s="0" t="n">
        <v>2016</v>
      </c>
      <c r="D2520" s="0" t="n">
        <v>5427262</v>
      </c>
      <c r="E2520" s="0" t="n">
        <v>26.8</v>
      </c>
      <c r="F2520" s="0" t="n">
        <v>2.8</v>
      </c>
      <c r="G2520" s="0" t="n">
        <v>1.52</v>
      </c>
      <c r="H2520" s="0" t="n">
        <v>1.08</v>
      </c>
      <c r="I2520" s="0" t="n">
        <v>14.77</v>
      </c>
      <c r="J2520" s="0" t="n">
        <v>4.36</v>
      </c>
      <c r="K2520" s="0" t="n">
        <v>0.53</v>
      </c>
      <c r="L2520" s="0" t="n">
        <v>0.01</v>
      </c>
      <c r="M2520" s="0" t="n">
        <v>1.73</v>
      </c>
      <c r="N2520" s="0" t="n">
        <v>0</v>
      </c>
      <c r="O2520" s="0" t="n">
        <v>177.24</v>
      </c>
    </row>
    <row r="2521" customFormat="false" ht="15" hidden="false" customHeight="false" outlineLevel="0" collapsed="false">
      <c r="A2521" s="0" t="s">
        <v>353</v>
      </c>
      <c r="B2521" s="0" t="s">
        <v>592</v>
      </c>
      <c r="C2521" s="0" t="n">
        <v>2017</v>
      </c>
      <c r="D2521" s="0" t="n">
        <v>5435702</v>
      </c>
      <c r="E2521" s="0" t="n">
        <v>27.42</v>
      </c>
      <c r="F2521" s="0" t="n">
        <v>2.99</v>
      </c>
      <c r="G2521" s="0" t="n">
        <v>1.67</v>
      </c>
      <c r="H2521" s="0" t="n">
        <v>1.14</v>
      </c>
      <c r="I2521" s="0" t="n">
        <v>15.08</v>
      </c>
      <c r="J2521" s="0" t="n">
        <v>4.32</v>
      </c>
      <c r="K2521" s="0" t="n">
        <v>0.51</v>
      </c>
      <c r="L2521" s="0" t="n">
        <v>0.01</v>
      </c>
      <c r="M2521" s="0" t="n">
        <v>1.7</v>
      </c>
      <c r="N2521" s="0" t="n">
        <v>0</v>
      </c>
      <c r="O2521" s="0" t="n">
        <v>183.08</v>
      </c>
    </row>
    <row r="2522" customFormat="false" ht="15" hidden="false" customHeight="false" outlineLevel="0" collapsed="false">
      <c r="A2522" s="0" t="s">
        <v>353</v>
      </c>
      <c r="B2522" s="0" t="s">
        <v>592</v>
      </c>
      <c r="C2522" s="0" t="n">
        <v>2018</v>
      </c>
      <c r="D2522" s="0" t="n">
        <v>5443229</v>
      </c>
      <c r="E2522" s="0" t="n">
        <v>26.66</v>
      </c>
      <c r="F2522" s="0" t="n">
        <v>3.01</v>
      </c>
      <c r="G2522" s="0" t="n">
        <v>1.86</v>
      </c>
      <c r="H2522" s="0" t="n">
        <v>1.14</v>
      </c>
      <c r="I2522" s="0" t="n">
        <v>14.84</v>
      </c>
      <c r="J2522" s="0" t="n">
        <v>3.59</v>
      </c>
      <c r="K2522" s="0" t="n">
        <v>0.58</v>
      </c>
      <c r="L2522" s="0" t="n">
        <v>0.01</v>
      </c>
      <c r="M2522" s="0" t="n">
        <v>1.63</v>
      </c>
      <c r="N2522" s="0" t="n">
        <v>0</v>
      </c>
      <c r="O2522" s="0" t="n">
        <v>191.67</v>
      </c>
    </row>
    <row r="2523" customFormat="false" ht="15" hidden="false" customHeight="false" outlineLevel="0" collapsed="false">
      <c r="A2523" s="0" t="s">
        <v>353</v>
      </c>
      <c r="B2523" s="0" t="s">
        <v>592</v>
      </c>
      <c r="C2523" s="0" t="n">
        <v>2019</v>
      </c>
      <c r="D2523" s="0" t="n">
        <v>5450627</v>
      </c>
      <c r="E2523" s="0" t="n">
        <v>28.21</v>
      </c>
      <c r="F2523" s="0" t="n">
        <v>2.34</v>
      </c>
      <c r="G2523" s="0" t="n">
        <v>3.07</v>
      </c>
      <c r="H2523" s="0" t="n">
        <v>0.87</v>
      </c>
      <c r="I2523" s="0" t="n">
        <v>15.28</v>
      </c>
      <c r="J2523" s="0" t="n">
        <v>4.36</v>
      </c>
      <c r="K2523" s="0" t="n">
        <v>0.59</v>
      </c>
      <c r="L2523" s="0" t="n">
        <v>0.01</v>
      </c>
      <c r="M2523" s="0" t="n">
        <v>1.69</v>
      </c>
      <c r="N2523" s="0" t="n">
        <v>0</v>
      </c>
      <c r="O2523" s="0" t="n">
        <v>171.22</v>
      </c>
    </row>
    <row r="2524" customFormat="false" ht="15" hidden="false" customHeight="false" outlineLevel="0" collapsed="false">
      <c r="A2524" s="0" t="s">
        <v>353</v>
      </c>
      <c r="B2524" s="0" t="s">
        <v>592</v>
      </c>
      <c r="C2524" s="0" t="n">
        <v>2020</v>
      </c>
      <c r="D2524" s="0" t="n">
        <v>5455028</v>
      </c>
      <c r="E2524" s="0" t="n">
        <v>28.51</v>
      </c>
      <c r="F2524" s="0" t="n">
        <v>1.86</v>
      </c>
      <c r="G2524" s="0" t="n">
        <v>3.57</v>
      </c>
      <c r="H2524" s="0" t="n">
        <v>0.79</v>
      </c>
      <c r="I2524" s="0" t="n">
        <v>15.44</v>
      </c>
      <c r="J2524" s="0" t="n">
        <v>4.52</v>
      </c>
      <c r="K2524" s="0" t="n">
        <v>0.66</v>
      </c>
      <c r="L2524" s="0" t="n">
        <v>0</v>
      </c>
      <c r="M2524" s="0" t="n">
        <v>1.67</v>
      </c>
      <c r="N2524" s="0" t="n">
        <v>0</v>
      </c>
      <c r="O2524" s="0" t="n">
        <v>158.54</v>
      </c>
    </row>
    <row r="2525" customFormat="false" ht="15" hidden="false" customHeight="false" outlineLevel="0" collapsed="false">
      <c r="A2525" s="0" t="s">
        <v>353</v>
      </c>
      <c r="B2525" s="0" t="s">
        <v>592</v>
      </c>
      <c r="C2525" s="0" t="n">
        <v>2021</v>
      </c>
      <c r="D2525" s="0" t="n">
        <v>5442766</v>
      </c>
      <c r="E2525" s="0" t="n">
        <v>29.7</v>
      </c>
      <c r="F2525" s="0" t="n">
        <v>1.7</v>
      </c>
      <c r="G2525" s="0" t="n">
        <v>4.37</v>
      </c>
      <c r="H2525" s="0" t="n">
        <v>1.13</v>
      </c>
      <c r="I2525" s="0" t="n">
        <v>15.73</v>
      </c>
      <c r="J2525" s="0" t="n">
        <v>4.26</v>
      </c>
      <c r="K2525" s="0" t="n">
        <v>0.67</v>
      </c>
      <c r="L2525" s="0" t="n">
        <v>0</v>
      </c>
      <c r="M2525" s="0" t="n">
        <v>1.84</v>
      </c>
      <c r="N2525" s="0" t="n">
        <v>0</v>
      </c>
      <c r="O2525" s="0" t="n">
        <v>167.34</v>
      </c>
    </row>
    <row r="2526" customFormat="false" ht="15" hidden="false" customHeight="false" outlineLevel="0" collapsed="false">
      <c r="A2526" s="0" t="s">
        <v>353</v>
      </c>
      <c r="B2526" s="0" t="s">
        <v>592</v>
      </c>
      <c r="C2526" s="0" t="n">
        <v>2022</v>
      </c>
      <c r="D2526" s="0" t="n">
        <v>5473195</v>
      </c>
      <c r="E2526" s="0" t="n">
        <v>26.54</v>
      </c>
      <c r="F2526" s="0" t="n">
        <v>1.62</v>
      </c>
      <c r="G2526" s="0" t="n">
        <v>2.1</v>
      </c>
      <c r="H2526" s="0" t="n">
        <v>1.08</v>
      </c>
      <c r="I2526" s="0" t="n">
        <v>15.92</v>
      </c>
      <c r="J2526" s="0" t="n">
        <v>3.68</v>
      </c>
      <c r="K2526" s="0" t="n">
        <v>0.65</v>
      </c>
      <c r="L2526" s="0" t="n">
        <v>0</v>
      </c>
      <c r="M2526" s="0" t="n">
        <v>1.49</v>
      </c>
      <c r="N2526" s="0" t="n">
        <v>0</v>
      </c>
      <c r="O2526" s="0" t="n">
        <v>142.05</v>
      </c>
    </row>
    <row r="2527" customFormat="false" ht="15" hidden="false" customHeight="false" outlineLevel="0" collapsed="false">
      <c r="A2527" s="0" t="s">
        <v>353</v>
      </c>
      <c r="B2527" s="0" t="s">
        <v>592</v>
      </c>
      <c r="C2527" s="0" t="n">
        <v>2023</v>
      </c>
      <c r="D2527" s="0" t="n">
        <v>5518057</v>
      </c>
      <c r="E2527" s="0" t="n">
        <v>29.53</v>
      </c>
      <c r="F2527" s="0" t="n">
        <v>1.22</v>
      </c>
      <c r="G2527" s="0" t="n">
        <v>2.28</v>
      </c>
      <c r="H2527" s="0" t="n">
        <v>0.99</v>
      </c>
      <c r="I2527" s="0" t="n">
        <v>18.33</v>
      </c>
      <c r="J2527" s="0" t="n">
        <v>4.69</v>
      </c>
      <c r="K2527" s="0" t="n">
        <v>0.61</v>
      </c>
      <c r="L2527" s="0" t="n">
        <v>0</v>
      </c>
      <c r="M2527" s="0" t="n">
        <v>1.41</v>
      </c>
      <c r="N2527" s="0" t="n">
        <v>0</v>
      </c>
      <c r="O2527" s="0" t="n">
        <v>115.14</v>
      </c>
    </row>
    <row r="2528" customFormat="false" ht="15" hidden="false" customHeight="false" outlineLevel="0" collapsed="false">
      <c r="A2528" s="0" t="s">
        <v>353</v>
      </c>
      <c r="B2528" s="0" t="s">
        <v>592</v>
      </c>
      <c r="C2528" s="0" t="n">
        <v>2024</v>
      </c>
      <c r="D2528" s="0" t="n">
        <v>5506759</v>
      </c>
      <c r="E2528" s="0" t="n">
        <v>29.52</v>
      </c>
      <c r="F2528" s="0" t="n">
        <v>0.52</v>
      </c>
      <c r="G2528" s="0" t="n">
        <v>2.88</v>
      </c>
      <c r="H2528" s="0" t="n">
        <v>0.79</v>
      </c>
      <c r="I2528" s="0" t="n">
        <v>18.23</v>
      </c>
      <c r="J2528" s="0" t="n">
        <v>4.83</v>
      </c>
      <c r="K2528" s="0" t="n">
        <v>0.69</v>
      </c>
      <c r="L2528" s="0" t="n">
        <v>0</v>
      </c>
      <c r="M2528" s="0" t="n">
        <v>1.58</v>
      </c>
      <c r="N2528" s="0" t="n">
        <v>0</v>
      </c>
      <c r="O2528" s="0" t="n">
        <v>96.55</v>
      </c>
    </row>
    <row r="2529" customFormat="false" ht="15" hidden="false" customHeight="false" outlineLevel="0" collapsed="false">
      <c r="A2529" s="0" t="s">
        <v>353</v>
      </c>
      <c r="B2529" s="0" t="s">
        <v>592</v>
      </c>
      <c r="C2529" s="0" t="n">
        <v>2025</v>
      </c>
      <c r="D2529" s="0" t="n">
        <v>5474874</v>
      </c>
      <c r="E2529" s="0" t="n">
        <v>29.1</v>
      </c>
      <c r="F2529" s="0" t="n">
        <v>0.31</v>
      </c>
      <c r="G2529" s="0" t="n">
        <v>3.28</v>
      </c>
      <c r="H2529" s="0" t="n">
        <v>0.73</v>
      </c>
      <c r="I2529" s="0" t="n">
        <v>19.33</v>
      </c>
      <c r="J2529" s="0" t="n">
        <v>3.16</v>
      </c>
      <c r="K2529" s="0" t="n">
        <v>0.7</v>
      </c>
      <c r="L2529" s="0" t="n">
        <v>0</v>
      </c>
      <c r="M2529" s="0" t="n">
        <v>1.58</v>
      </c>
      <c r="N2529" s="0" t="n">
        <v>0.01</v>
      </c>
      <c r="O2529" s="0" t="n">
        <v>94.85</v>
      </c>
    </row>
    <row r="2530" customFormat="false" ht="15" hidden="false" customHeight="false" outlineLevel="0" collapsed="false">
      <c r="A2530" s="0" t="s">
        <v>354</v>
      </c>
      <c r="B2530" s="0" t="s">
        <v>593</v>
      </c>
      <c r="C2530" s="0" t="n">
        <v>2015</v>
      </c>
      <c r="D2530" s="0" t="n">
        <v>2059946</v>
      </c>
      <c r="E2530" s="0" t="n">
        <v>14.8</v>
      </c>
      <c r="F2530" s="0" t="n">
        <v>4.38</v>
      </c>
      <c r="G2530" s="0" t="n">
        <v>0.4</v>
      </c>
      <c r="H2530" s="0" t="n">
        <v>0.02</v>
      </c>
      <c r="I2530" s="0" t="n">
        <v>5.65</v>
      </c>
      <c r="J2530" s="0" t="n">
        <v>3.81</v>
      </c>
      <c r="K2530" s="0" t="n">
        <v>0.27</v>
      </c>
      <c r="L2530" s="0" t="n">
        <v>0.01</v>
      </c>
      <c r="M2530" s="0" t="n">
        <v>0.26</v>
      </c>
      <c r="N2530" s="0" t="n">
        <v>0</v>
      </c>
      <c r="O2530" s="0" t="n">
        <v>316.89</v>
      </c>
    </row>
    <row r="2531" customFormat="false" ht="15" hidden="false" customHeight="false" outlineLevel="0" collapsed="false">
      <c r="A2531" s="0" t="s">
        <v>354</v>
      </c>
      <c r="B2531" s="0" t="s">
        <v>593</v>
      </c>
      <c r="C2531" s="0" t="n">
        <v>2016</v>
      </c>
      <c r="D2531" s="0" t="n">
        <v>2061379</v>
      </c>
      <c r="E2531" s="0" t="n">
        <v>16.23</v>
      </c>
      <c r="F2531" s="0" t="n">
        <v>5.01</v>
      </c>
      <c r="G2531" s="0" t="n">
        <v>0.42</v>
      </c>
      <c r="H2531" s="0" t="n">
        <v>0.02</v>
      </c>
      <c r="I2531" s="0" t="n">
        <v>5.72</v>
      </c>
      <c r="J2531" s="0" t="n">
        <v>4.5</v>
      </c>
      <c r="K2531" s="0" t="n">
        <v>0.27</v>
      </c>
      <c r="L2531" s="0" t="n">
        <v>0.01</v>
      </c>
      <c r="M2531" s="0" t="n">
        <v>0.28</v>
      </c>
      <c r="N2531" s="0" t="n">
        <v>0</v>
      </c>
      <c r="O2531" s="0" t="n">
        <v>325.94</v>
      </c>
    </row>
    <row r="2532" customFormat="false" ht="15" hidden="false" customHeight="false" outlineLevel="0" collapsed="false">
      <c r="A2532" s="0" t="s">
        <v>354</v>
      </c>
      <c r="B2532" s="0" t="s">
        <v>593</v>
      </c>
      <c r="C2532" s="0" t="n">
        <v>2017</v>
      </c>
      <c r="D2532" s="0" t="n">
        <v>2062410</v>
      </c>
      <c r="E2532" s="0" t="n">
        <v>16.05</v>
      </c>
      <c r="F2532" s="0" t="n">
        <v>4.82</v>
      </c>
      <c r="G2532" s="0" t="n">
        <v>0.48</v>
      </c>
      <c r="H2532" s="0" t="n">
        <v>0.02</v>
      </c>
      <c r="I2532" s="0" t="n">
        <v>6.29</v>
      </c>
      <c r="J2532" s="0" t="n">
        <v>3.87</v>
      </c>
      <c r="K2532" s="0" t="n">
        <v>0.28</v>
      </c>
      <c r="L2532" s="0" t="n">
        <v>0.01</v>
      </c>
      <c r="M2532" s="0" t="n">
        <v>0.28</v>
      </c>
      <c r="N2532" s="0" t="n">
        <v>0</v>
      </c>
      <c r="O2532" s="0" t="n">
        <v>318.38</v>
      </c>
    </row>
    <row r="2533" customFormat="false" ht="15" hidden="false" customHeight="false" outlineLevel="0" collapsed="false">
      <c r="A2533" s="0" t="s">
        <v>354</v>
      </c>
      <c r="B2533" s="0" t="s">
        <v>593</v>
      </c>
      <c r="C2533" s="0" t="n">
        <v>2018</v>
      </c>
      <c r="D2533" s="0" t="n">
        <v>2069484</v>
      </c>
      <c r="E2533" s="0" t="n">
        <v>16.12</v>
      </c>
      <c r="F2533" s="0" t="n">
        <v>4.62</v>
      </c>
      <c r="G2533" s="0" t="n">
        <v>0.48</v>
      </c>
      <c r="H2533" s="0" t="n">
        <v>0.02</v>
      </c>
      <c r="I2533" s="0" t="n">
        <v>5.78</v>
      </c>
      <c r="J2533" s="0" t="n">
        <v>4.7</v>
      </c>
      <c r="K2533" s="0" t="n">
        <v>0.25</v>
      </c>
      <c r="L2533" s="0" t="n">
        <v>0.01</v>
      </c>
      <c r="M2533" s="0" t="n">
        <v>0.26</v>
      </c>
      <c r="N2533" s="0" t="n">
        <v>0</v>
      </c>
      <c r="O2533" s="0" t="n">
        <v>304.59</v>
      </c>
    </row>
    <row r="2534" customFormat="false" ht="15" hidden="false" customHeight="false" outlineLevel="0" collapsed="false">
      <c r="A2534" s="0" t="s">
        <v>354</v>
      </c>
      <c r="B2534" s="0" t="s">
        <v>593</v>
      </c>
      <c r="C2534" s="0" t="n">
        <v>2019</v>
      </c>
      <c r="D2534" s="0" t="n">
        <v>2083438</v>
      </c>
      <c r="E2534" s="0" t="n">
        <v>15.89</v>
      </c>
      <c r="F2534" s="0" t="n">
        <v>4.48</v>
      </c>
      <c r="G2534" s="0" t="n">
        <v>0.54</v>
      </c>
      <c r="H2534" s="0" t="n">
        <v>0.01</v>
      </c>
      <c r="I2534" s="0" t="n">
        <v>5.82</v>
      </c>
      <c r="J2534" s="0" t="n">
        <v>4.48</v>
      </c>
      <c r="K2534" s="0" t="n">
        <v>0.3</v>
      </c>
      <c r="L2534" s="0" t="n">
        <v>0.01</v>
      </c>
      <c r="M2534" s="0" t="n">
        <v>0.25</v>
      </c>
      <c r="N2534" s="0" t="n">
        <v>0</v>
      </c>
      <c r="O2534" s="0" t="n">
        <v>298.93</v>
      </c>
    </row>
    <row r="2535" customFormat="false" ht="15" hidden="false" customHeight="false" outlineLevel="0" collapsed="false">
      <c r="A2535" s="0" t="s">
        <v>354</v>
      </c>
      <c r="B2535" s="0" t="s">
        <v>593</v>
      </c>
      <c r="C2535" s="0" t="n">
        <v>2020</v>
      </c>
      <c r="D2535" s="0" t="n">
        <v>2102421</v>
      </c>
      <c r="E2535" s="0" t="n">
        <v>16.89</v>
      </c>
      <c r="F2535" s="0" t="n">
        <v>4.36</v>
      </c>
      <c r="G2535" s="0" t="n">
        <v>0.58</v>
      </c>
      <c r="H2535" s="0" t="n">
        <v>0.02</v>
      </c>
      <c r="I2535" s="0" t="n">
        <v>6.35</v>
      </c>
      <c r="J2535" s="0" t="n">
        <v>4.93</v>
      </c>
      <c r="K2535" s="0" t="n">
        <v>0.37</v>
      </c>
      <c r="L2535" s="0" t="n">
        <v>0.01</v>
      </c>
      <c r="M2535" s="0" t="n">
        <v>0.27</v>
      </c>
      <c r="N2535" s="0" t="n">
        <v>0</v>
      </c>
      <c r="O2535" s="0" t="n">
        <v>277.09</v>
      </c>
    </row>
    <row r="2536" customFormat="false" ht="15" hidden="false" customHeight="false" outlineLevel="0" collapsed="false">
      <c r="A2536" s="0" t="s">
        <v>354</v>
      </c>
      <c r="B2536" s="0" t="s">
        <v>593</v>
      </c>
      <c r="C2536" s="0" t="n">
        <v>2021</v>
      </c>
      <c r="D2536" s="0" t="n">
        <v>2113495</v>
      </c>
      <c r="E2536" s="0" t="n">
        <v>15.59</v>
      </c>
      <c r="F2536" s="0" t="n">
        <v>3.85</v>
      </c>
      <c r="G2536" s="0" t="n">
        <v>0.52</v>
      </c>
      <c r="H2536" s="0" t="n">
        <v>0.07</v>
      </c>
      <c r="I2536" s="0" t="n">
        <v>5.71</v>
      </c>
      <c r="J2536" s="0" t="n">
        <v>4.71</v>
      </c>
      <c r="K2536" s="0" t="n">
        <v>0.45</v>
      </c>
      <c r="L2536" s="0" t="n">
        <v>0.01</v>
      </c>
      <c r="M2536" s="0" t="n">
        <v>0.27</v>
      </c>
      <c r="N2536" s="0" t="n">
        <v>0</v>
      </c>
      <c r="O2536" s="0" t="n">
        <v>269.4</v>
      </c>
    </row>
    <row r="2537" customFormat="false" ht="15" hidden="false" customHeight="false" outlineLevel="0" collapsed="false">
      <c r="A2537" s="0" t="s">
        <v>354</v>
      </c>
      <c r="B2537" s="0" t="s">
        <v>593</v>
      </c>
      <c r="C2537" s="0" t="n">
        <v>2022</v>
      </c>
      <c r="D2537" s="0" t="n">
        <v>2115231</v>
      </c>
      <c r="E2537" s="0" t="n">
        <v>13.36</v>
      </c>
      <c r="F2537" s="0" t="n">
        <v>3.13</v>
      </c>
      <c r="G2537" s="0" t="n">
        <v>0.49</v>
      </c>
      <c r="H2537" s="0" t="n">
        <v>0.06</v>
      </c>
      <c r="I2537" s="0" t="n">
        <v>5.61</v>
      </c>
      <c r="J2537" s="0" t="n">
        <v>3.15</v>
      </c>
      <c r="K2537" s="0" t="n">
        <v>0.65</v>
      </c>
      <c r="L2537" s="0" t="n">
        <v>0.01</v>
      </c>
      <c r="M2537" s="0" t="n">
        <v>0.26</v>
      </c>
      <c r="N2537" s="0" t="n">
        <v>0</v>
      </c>
      <c r="O2537" s="0" t="n">
        <v>257.49</v>
      </c>
    </row>
    <row r="2538" customFormat="false" ht="15" hidden="false" customHeight="false" outlineLevel="0" collapsed="false">
      <c r="A2538" s="0" t="s">
        <v>354</v>
      </c>
      <c r="B2538" s="0" t="s">
        <v>593</v>
      </c>
      <c r="C2538" s="0" t="n">
        <v>2023</v>
      </c>
      <c r="D2538" s="0" t="n">
        <v>2118394</v>
      </c>
      <c r="E2538" s="0" t="n">
        <v>15.55</v>
      </c>
      <c r="F2538" s="0" t="n">
        <v>3.14</v>
      </c>
      <c r="G2538" s="0" t="n">
        <v>0.5</v>
      </c>
      <c r="H2538" s="0" t="n">
        <v>0.01</v>
      </c>
      <c r="I2538" s="0" t="n">
        <v>5.6</v>
      </c>
      <c r="J2538" s="0" t="n">
        <v>5.02</v>
      </c>
      <c r="K2538" s="0" t="n">
        <v>0.98</v>
      </c>
      <c r="L2538" s="0" t="n">
        <v>0.01</v>
      </c>
      <c r="M2538" s="0" t="n">
        <v>0.29</v>
      </c>
      <c r="N2538" s="0" t="n">
        <v>0</v>
      </c>
      <c r="O2538" s="0" t="n">
        <v>225.08</v>
      </c>
    </row>
    <row r="2539" customFormat="false" ht="15" hidden="false" customHeight="false" outlineLevel="0" collapsed="false">
      <c r="A2539" s="0" t="s">
        <v>354</v>
      </c>
      <c r="B2539" s="0" t="s">
        <v>593</v>
      </c>
      <c r="C2539" s="0" t="n">
        <v>2024</v>
      </c>
      <c r="D2539" s="0" t="n">
        <v>2118692</v>
      </c>
      <c r="E2539" s="0" t="n">
        <v>16.71</v>
      </c>
      <c r="F2539" s="0" t="n">
        <v>3.5</v>
      </c>
      <c r="G2539" s="0" t="n">
        <v>0.48</v>
      </c>
      <c r="H2539" s="0" t="n">
        <v>0.02</v>
      </c>
      <c r="I2539" s="0" t="n">
        <v>5.84</v>
      </c>
      <c r="J2539" s="0" t="n">
        <v>5.34</v>
      </c>
      <c r="K2539" s="0" t="n">
        <v>1.27</v>
      </c>
      <c r="L2539" s="0" t="n">
        <v>0.01</v>
      </c>
      <c r="M2539" s="0" t="n">
        <v>0.25</v>
      </c>
      <c r="N2539" s="0" t="n">
        <v>0</v>
      </c>
      <c r="O2539" s="0" t="n">
        <v>230.4</v>
      </c>
    </row>
    <row r="2540" customFormat="false" ht="15" hidden="false" customHeight="false" outlineLevel="0" collapsed="false">
      <c r="A2540" s="0" t="s">
        <v>354</v>
      </c>
      <c r="B2540" s="0" t="s">
        <v>593</v>
      </c>
      <c r="C2540" s="0" t="n">
        <v>2025</v>
      </c>
      <c r="D2540" s="0" t="n">
        <v>2117070</v>
      </c>
      <c r="E2540" s="0" t="n">
        <v>14.84</v>
      </c>
      <c r="F2540" s="0" t="n">
        <v>2.18</v>
      </c>
      <c r="G2540" s="0" t="n">
        <v>0.95</v>
      </c>
      <c r="H2540" s="0" t="n">
        <v>0</v>
      </c>
      <c r="I2540" s="0" t="n">
        <v>5.83</v>
      </c>
      <c r="J2540" s="0" t="n">
        <v>4.04</v>
      </c>
      <c r="K2540" s="0" t="n">
        <v>1.54</v>
      </c>
      <c r="L2540" s="0" t="n">
        <v>0.01</v>
      </c>
      <c r="M2540" s="0" t="n">
        <v>0.29</v>
      </c>
      <c r="N2540" s="0" t="n">
        <v>0</v>
      </c>
      <c r="O2540" s="0" t="n">
        <v>183.29</v>
      </c>
    </row>
    <row r="2541" customFormat="false" ht="15" hidden="false" customHeight="false" outlineLevel="0" collapsed="false">
      <c r="A2541" s="0" t="s">
        <v>355</v>
      </c>
      <c r="B2541" s="0" t="s">
        <v>594</v>
      </c>
      <c r="C2541" s="0" t="n">
        <v>2015</v>
      </c>
      <c r="D2541" s="0" t="n">
        <v>639423</v>
      </c>
      <c r="E2541" s="0" t="n">
        <v>0.09</v>
      </c>
      <c r="F2541" s="0" t="n">
        <v>0</v>
      </c>
      <c r="G2541" s="0" t="n">
        <v>0</v>
      </c>
      <c r="H2541" s="0" t="n">
        <v>0.09</v>
      </c>
      <c r="I2541" s="0" t="n">
        <v>0</v>
      </c>
      <c r="J2541" s="0" t="n">
        <v>0</v>
      </c>
      <c r="K2541" s="0" t="n">
        <v>0</v>
      </c>
      <c r="L2541" s="0" t="n">
        <v>0</v>
      </c>
      <c r="M2541" s="0" t="n">
        <v>0</v>
      </c>
      <c r="N2541" s="0" t="n">
        <v>0</v>
      </c>
      <c r="O2541" s="0" t="n">
        <v>666.67</v>
      </c>
    </row>
    <row r="2542" customFormat="false" ht="15" hidden="false" customHeight="false" outlineLevel="0" collapsed="false">
      <c r="A2542" s="0" t="s">
        <v>355</v>
      </c>
      <c r="B2542" s="0" t="s">
        <v>594</v>
      </c>
      <c r="C2542" s="0" t="n">
        <v>2016</v>
      </c>
      <c r="D2542" s="0" t="n">
        <v>662387</v>
      </c>
      <c r="E2542" s="0" t="n">
        <v>0.1</v>
      </c>
      <c r="F2542" s="0" t="n">
        <v>0</v>
      </c>
      <c r="G2542" s="0" t="n">
        <v>0</v>
      </c>
      <c r="H2542" s="0" t="n">
        <v>0.1</v>
      </c>
      <c r="I2542" s="0" t="n">
        <v>0</v>
      </c>
      <c r="J2542" s="0" t="n">
        <v>0</v>
      </c>
      <c r="K2542" s="0" t="n">
        <v>0</v>
      </c>
      <c r="L2542" s="0" t="n">
        <v>0</v>
      </c>
      <c r="M2542" s="0" t="n">
        <v>0</v>
      </c>
      <c r="N2542" s="0" t="n">
        <v>0</v>
      </c>
      <c r="O2542" s="0" t="n">
        <v>700</v>
      </c>
    </row>
    <row r="2543" customFormat="false" ht="15" hidden="false" customHeight="false" outlineLevel="0" collapsed="false">
      <c r="A2543" s="0" t="s">
        <v>355</v>
      </c>
      <c r="B2543" s="0" t="s">
        <v>594</v>
      </c>
      <c r="C2543" s="0" t="n">
        <v>2017</v>
      </c>
      <c r="D2543" s="0" t="n">
        <v>685677</v>
      </c>
      <c r="E2543" s="0" t="n">
        <v>0.1</v>
      </c>
      <c r="F2543" s="0" t="n">
        <v>0</v>
      </c>
      <c r="G2543" s="0" t="n">
        <v>0</v>
      </c>
      <c r="H2543" s="0" t="n">
        <v>0.1</v>
      </c>
      <c r="I2543" s="0" t="n">
        <v>0</v>
      </c>
      <c r="J2543" s="0" t="n">
        <v>0</v>
      </c>
      <c r="K2543" s="0" t="n">
        <v>0</v>
      </c>
      <c r="L2543" s="0" t="n">
        <v>0</v>
      </c>
      <c r="M2543" s="0" t="n">
        <v>0</v>
      </c>
      <c r="N2543" s="0" t="n">
        <v>0</v>
      </c>
      <c r="O2543" s="0" t="n">
        <v>700</v>
      </c>
    </row>
    <row r="2544" customFormat="false" ht="15" hidden="false" customHeight="false" outlineLevel="0" collapsed="false">
      <c r="A2544" s="0" t="s">
        <v>355</v>
      </c>
      <c r="B2544" s="0" t="s">
        <v>594</v>
      </c>
      <c r="C2544" s="0" t="n">
        <v>2018</v>
      </c>
      <c r="D2544" s="0" t="n">
        <v>709109</v>
      </c>
      <c r="E2544" s="0" t="n">
        <v>0.1</v>
      </c>
      <c r="F2544" s="0" t="n">
        <v>0</v>
      </c>
      <c r="G2544" s="0" t="n">
        <v>0</v>
      </c>
      <c r="H2544" s="0" t="n">
        <v>0.1</v>
      </c>
      <c r="I2544" s="0" t="n">
        <v>0</v>
      </c>
      <c r="J2544" s="0" t="n">
        <v>0</v>
      </c>
      <c r="K2544" s="0" t="n">
        <v>0</v>
      </c>
      <c r="L2544" s="0" t="n">
        <v>0</v>
      </c>
      <c r="M2544" s="0" t="n">
        <v>0</v>
      </c>
      <c r="N2544" s="0" t="n">
        <v>0</v>
      </c>
      <c r="O2544" s="0" t="n">
        <v>700</v>
      </c>
    </row>
    <row r="2545" customFormat="false" ht="15" hidden="false" customHeight="false" outlineLevel="0" collapsed="false">
      <c r="A2545" s="0" t="s">
        <v>355</v>
      </c>
      <c r="B2545" s="0" t="s">
        <v>594</v>
      </c>
      <c r="C2545" s="0" t="n">
        <v>2019</v>
      </c>
      <c r="D2545" s="0" t="n">
        <v>728156</v>
      </c>
      <c r="E2545" s="0" t="n">
        <v>0.1</v>
      </c>
      <c r="F2545" s="0" t="n">
        <v>0</v>
      </c>
      <c r="G2545" s="0" t="n">
        <v>0</v>
      </c>
      <c r="H2545" s="0" t="n">
        <v>0.1</v>
      </c>
      <c r="I2545" s="0" t="n">
        <v>0</v>
      </c>
      <c r="J2545" s="0" t="n">
        <v>0</v>
      </c>
      <c r="K2545" s="0" t="n">
        <v>0</v>
      </c>
      <c r="L2545" s="0" t="n">
        <v>0</v>
      </c>
      <c r="M2545" s="0" t="n">
        <v>0</v>
      </c>
      <c r="N2545" s="0" t="n">
        <v>0</v>
      </c>
      <c r="O2545" s="0" t="n">
        <v>700</v>
      </c>
    </row>
    <row r="2546" customFormat="false" ht="15" hidden="false" customHeight="false" outlineLevel="0" collapsed="false">
      <c r="A2546" s="0" t="s">
        <v>355</v>
      </c>
      <c r="B2546" s="0" t="s">
        <v>594</v>
      </c>
      <c r="C2546" s="0" t="n">
        <v>2020</v>
      </c>
      <c r="D2546" s="0" t="n">
        <v>744505</v>
      </c>
      <c r="E2546" s="0" t="n">
        <v>0.1</v>
      </c>
      <c r="F2546" s="0" t="n">
        <v>0</v>
      </c>
      <c r="G2546" s="0" t="n">
        <v>0</v>
      </c>
      <c r="H2546" s="0" t="n">
        <v>0.1</v>
      </c>
      <c r="I2546" s="0" t="n">
        <v>0</v>
      </c>
      <c r="J2546" s="0" t="n">
        <v>0</v>
      </c>
      <c r="K2546" s="0" t="n">
        <v>0</v>
      </c>
      <c r="L2546" s="0" t="n">
        <v>0</v>
      </c>
      <c r="M2546" s="0" t="n">
        <v>0</v>
      </c>
      <c r="N2546" s="0" t="n">
        <v>0</v>
      </c>
      <c r="O2546" s="0" t="n">
        <v>700</v>
      </c>
    </row>
    <row r="2547" customFormat="false" ht="15" hidden="false" customHeight="false" outlineLevel="0" collapsed="false">
      <c r="A2547" s="0" t="s">
        <v>355</v>
      </c>
      <c r="B2547" s="0" t="s">
        <v>594</v>
      </c>
      <c r="C2547" s="0" t="n">
        <v>2021</v>
      </c>
      <c r="D2547" s="0" t="n">
        <v>762594</v>
      </c>
      <c r="E2547" s="0" t="n">
        <v>0.1</v>
      </c>
      <c r="F2547" s="0" t="n">
        <v>0</v>
      </c>
      <c r="G2547" s="0" t="n">
        <v>0</v>
      </c>
      <c r="H2547" s="0" t="n">
        <v>0.1</v>
      </c>
      <c r="I2547" s="0" t="n">
        <v>0</v>
      </c>
      <c r="J2547" s="0" t="n">
        <v>0</v>
      </c>
      <c r="K2547" s="0" t="n">
        <v>0</v>
      </c>
      <c r="L2547" s="0" t="n">
        <v>0</v>
      </c>
      <c r="M2547" s="0" t="n">
        <v>0</v>
      </c>
      <c r="N2547" s="0" t="n">
        <v>0</v>
      </c>
      <c r="O2547" s="0" t="n">
        <v>700</v>
      </c>
    </row>
    <row r="2548" customFormat="false" ht="15" hidden="false" customHeight="false" outlineLevel="0" collapsed="false">
      <c r="A2548" s="0" t="s">
        <v>355</v>
      </c>
      <c r="B2548" s="0" t="s">
        <v>594</v>
      </c>
      <c r="C2548" s="0" t="n">
        <v>2022</v>
      </c>
      <c r="D2548" s="0" t="n">
        <v>781075</v>
      </c>
      <c r="E2548" s="0" t="n">
        <v>0.11</v>
      </c>
      <c r="F2548" s="0" t="n">
        <v>0</v>
      </c>
      <c r="G2548" s="0" t="n">
        <v>0</v>
      </c>
      <c r="H2548" s="0" t="n">
        <v>0.1</v>
      </c>
      <c r="I2548" s="0" t="n">
        <v>0</v>
      </c>
      <c r="J2548" s="0" t="n">
        <v>0</v>
      </c>
      <c r="K2548" s="0" t="n">
        <v>0.01</v>
      </c>
      <c r="L2548" s="0" t="n">
        <v>0</v>
      </c>
      <c r="M2548" s="0" t="n">
        <v>0</v>
      </c>
      <c r="N2548" s="0" t="n">
        <v>0</v>
      </c>
      <c r="O2548" s="0" t="n">
        <v>636.36</v>
      </c>
    </row>
    <row r="2549" customFormat="false" ht="15" hidden="false" customHeight="false" outlineLevel="0" collapsed="false">
      <c r="A2549" s="0" t="s">
        <v>355</v>
      </c>
      <c r="B2549" s="0" t="s">
        <v>594</v>
      </c>
      <c r="C2549" s="0" t="n">
        <v>2023</v>
      </c>
      <c r="D2549" s="0" t="n">
        <v>800014</v>
      </c>
      <c r="E2549" s="0" t="n">
        <v>0.11</v>
      </c>
      <c r="F2549" s="0" t="n">
        <v>0</v>
      </c>
      <c r="G2549" s="0" t="n">
        <v>0</v>
      </c>
      <c r="H2549" s="0" t="n">
        <v>0.1</v>
      </c>
      <c r="I2549" s="0" t="n">
        <v>0</v>
      </c>
      <c r="J2549" s="0" t="n">
        <v>0</v>
      </c>
      <c r="K2549" s="0" t="n">
        <v>0.01</v>
      </c>
      <c r="L2549" s="0" t="n">
        <v>0</v>
      </c>
      <c r="M2549" s="0" t="n">
        <v>0</v>
      </c>
      <c r="N2549" s="0" t="n">
        <v>0</v>
      </c>
      <c r="O2549" s="0" t="n">
        <v>636.36</v>
      </c>
    </row>
    <row r="2550" customFormat="false" ht="15" hidden="false" customHeight="false" outlineLevel="0" collapsed="false">
      <c r="A2550" s="0" t="s">
        <v>355</v>
      </c>
      <c r="B2550" s="0" t="s">
        <v>594</v>
      </c>
      <c r="C2550" s="0" t="n">
        <v>2024</v>
      </c>
      <c r="D2550" s="0" t="n">
        <v>819206</v>
      </c>
      <c r="E2550" s="0" t="n">
        <v>0.11</v>
      </c>
      <c r="F2550" s="0" t="n">
        <v>0</v>
      </c>
      <c r="G2550" s="0" t="n">
        <v>0</v>
      </c>
      <c r="H2550" s="0" t="n">
        <v>0.1</v>
      </c>
      <c r="I2550" s="0" t="n">
        <v>0</v>
      </c>
      <c r="J2550" s="0" t="n">
        <v>0</v>
      </c>
      <c r="K2550" s="0" t="n">
        <v>0.01</v>
      </c>
      <c r="L2550" s="0" t="n">
        <v>0</v>
      </c>
      <c r="M2550" s="0" t="n">
        <v>0</v>
      </c>
      <c r="N2550" s="0" t="n">
        <v>0</v>
      </c>
      <c r="O2550" s="0" t="n">
        <v>636.36</v>
      </c>
    </row>
    <row r="2551" customFormat="false" ht="15" hidden="false" customHeight="false" outlineLevel="0" collapsed="false">
      <c r="A2551" s="0" t="s">
        <v>356</v>
      </c>
      <c r="B2551" s="0" t="s">
        <v>595</v>
      </c>
      <c r="C2551" s="0" t="n">
        <v>2015</v>
      </c>
      <c r="D2551" s="0" t="n">
        <v>13806969</v>
      </c>
      <c r="E2551" s="0" t="n">
        <v>0.35</v>
      </c>
      <c r="F2551" s="0" t="n">
        <v>0</v>
      </c>
      <c r="G2551" s="0" t="n">
        <v>0</v>
      </c>
      <c r="H2551" s="0" t="n">
        <v>0.35</v>
      </c>
      <c r="I2551" s="0" t="n">
        <v>0</v>
      </c>
      <c r="J2551" s="0" t="n">
        <v>0</v>
      </c>
      <c r="K2551" s="0" t="n">
        <v>0</v>
      </c>
      <c r="L2551" s="0" t="n">
        <v>0</v>
      </c>
      <c r="M2551" s="0" t="n">
        <v>0</v>
      </c>
      <c r="N2551" s="0" t="n">
        <v>0</v>
      </c>
      <c r="O2551" s="0" t="n">
        <v>657.14</v>
      </c>
    </row>
    <row r="2552" customFormat="false" ht="15" hidden="false" customHeight="false" outlineLevel="0" collapsed="false">
      <c r="A2552" s="0" t="s">
        <v>356</v>
      </c>
      <c r="B2552" s="0" t="s">
        <v>595</v>
      </c>
      <c r="C2552" s="0" t="n">
        <v>2016</v>
      </c>
      <c r="D2552" s="0" t="n">
        <v>14348741</v>
      </c>
      <c r="E2552" s="0" t="n">
        <v>0.36</v>
      </c>
      <c r="F2552" s="0" t="n">
        <v>0</v>
      </c>
      <c r="G2552" s="0" t="n">
        <v>0</v>
      </c>
      <c r="H2552" s="0" t="n">
        <v>0.35</v>
      </c>
      <c r="I2552" s="0" t="n">
        <v>0</v>
      </c>
      <c r="J2552" s="0" t="n">
        <v>0</v>
      </c>
      <c r="K2552" s="0" t="n">
        <v>0.01</v>
      </c>
      <c r="L2552" s="0" t="n">
        <v>0</v>
      </c>
      <c r="M2552" s="0" t="n">
        <v>0</v>
      </c>
      <c r="N2552" s="0" t="n">
        <v>0</v>
      </c>
      <c r="O2552" s="0" t="n">
        <v>638.89</v>
      </c>
    </row>
    <row r="2553" customFormat="false" ht="15" hidden="false" customHeight="false" outlineLevel="0" collapsed="false">
      <c r="A2553" s="0" t="s">
        <v>356</v>
      </c>
      <c r="B2553" s="0" t="s">
        <v>595</v>
      </c>
      <c r="C2553" s="0" t="n">
        <v>2017</v>
      </c>
      <c r="D2553" s="0" t="n">
        <v>14916630</v>
      </c>
      <c r="E2553" s="0" t="n">
        <v>0.37</v>
      </c>
      <c r="F2553" s="0" t="n">
        <v>0</v>
      </c>
      <c r="G2553" s="0" t="n">
        <v>0</v>
      </c>
      <c r="H2553" s="0" t="n">
        <v>0.35</v>
      </c>
      <c r="I2553" s="0" t="n">
        <v>0</v>
      </c>
      <c r="J2553" s="0" t="n">
        <v>0</v>
      </c>
      <c r="K2553" s="0" t="n">
        <v>0.01</v>
      </c>
      <c r="L2553" s="0" t="n">
        <v>0.01</v>
      </c>
      <c r="M2553" s="0" t="n">
        <v>0</v>
      </c>
      <c r="N2553" s="0" t="n">
        <v>0</v>
      </c>
      <c r="O2553" s="0" t="n">
        <v>621.62</v>
      </c>
    </row>
    <row r="2554" customFormat="false" ht="15" hidden="false" customHeight="false" outlineLevel="0" collapsed="false">
      <c r="A2554" s="0" t="s">
        <v>356</v>
      </c>
      <c r="B2554" s="0" t="s">
        <v>595</v>
      </c>
      <c r="C2554" s="0" t="n">
        <v>2018</v>
      </c>
      <c r="D2554" s="0" t="n">
        <v>15452489</v>
      </c>
      <c r="E2554" s="0" t="n">
        <v>0.37</v>
      </c>
      <c r="F2554" s="0" t="n">
        <v>0</v>
      </c>
      <c r="G2554" s="0" t="n">
        <v>0</v>
      </c>
      <c r="H2554" s="0" t="n">
        <v>0.35</v>
      </c>
      <c r="I2554" s="0" t="n">
        <v>0</v>
      </c>
      <c r="J2554" s="0" t="n">
        <v>0</v>
      </c>
      <c r="K2554" s="0" t="n">
        <v>0.01</v>
      </c>
      <c r="L2554" s="0" t="n">
        <v>0.01</v>
      </c>
      <c r="M2554" s="0" t="n">
        <v>0</v>
      </c>
      <c r="N2554" s="0" t="n">
        <v>0</v>
      </c>
      <c r="O2554" s="0" t="n">
        <v>621.62</v>
      </c>
    </row>
    <row r="2555" customFormat="false" ht="15" hidden="false" customHeight="false" outlineLevel="0" collapsed="false">
      <c r="A2555" s="0" t="s">
        <v>356</v>
      </c>
      <c r="B2555" s="0" t="s">
        <v>595</v>
      </c>
      <c r="C2555" s="0" t="n">
        <v>2019</v>
      </c>
      <c r="D2555" s="0" t="n">
        <v>16030969</v>
      </c>
      <c r="E2555" s="0" t="n">
        <v>0.37</v>
      </c>
      <c r="F2555" s="0" t="n">
        <v>0</v>
      </c>
      <c r="G2555" s="0" t="n">
        <v>0</v>
      </c>
      <c r="H2555" s="0" t="n">
        <v>0.35</v>
      </c>
      <c r="I2555" s="0" t="n">
        <v>0</v>
      </c>
      <c r="J2555" s="0" t="n">
        <v>0</v>
      </c>
      <c r="K2555" s="0" t="n">
        <v>0.01</v>
      </c>
      <c r="L2555" s="0" t="n">
        <v>0.01</v>
      </c>
      <c r="M2555" s="0" t="n">
        <v>0</v>
      </c>
      <c r="N2555" s="0" t="n">
        <v>0</v>
      </c>
      <c r="O2555" s="0" t="n">
        <v>621.62</v>
      </c>
    </row>
    <row r="2556" customFormat="false" ht="15" hidden="false" customHeight="false" outlineLevel="0" collapsed="false">
      <c r="A2556" s="0" t="s">
        <v>356</v>
      </c>
      <c r="B2556" s="0" t="s">
        <v>595</v>
      </c>
      <c r="C2556" s="0" t="n">
        <v>2020</v>
      </c>
      <c r="D2556" s="0" t="n">
        <v>16651200</v>
      </c>
      <c r="E2556" s="0" t="n">
        <v>0.37</v>
      </c>
      <c r="F2556" s="0" t="n">
        <v>0</v>
      </c>
      <c r="G2556" s="0" t="n">
        <v>0</v>
      </c>
      <c r="H2556" s="0" t="n">
        <v>0.34</v>
      </c>
      <c r="I2556" s="0" t="n">
        <v>0</v>
      </c>
      <c r="J2556" s="0" t="n">
        <v>0</v>
      </c>
      <c r="K2556" s="0" t="n">
        <v>0.02</v>
      </c>
      <c r="L2556" s="0" t="n">
        <v>0.01</v>
      </c>
      <c r="M2556" s="0" t="n">
        <v>0</v>
      </c>
      <c r="N2556" s="0" t="n">
        <v>0</v>
      </c>
      <c r="O2556" s="0" t="n">
        <v>594.6</v>
      </c>
    </row>
    <row r="2557" customFormat="false" ht="15" hidden="false" customHeight="false" outlineLevel="0" collapsed="false">
      <c r="A2557" s="0" t="s">
        <v>356</v>
      </c>
      <c r="B2557" s="0" t="s">
        <v>595</v>
      </c>
      <c r="C2557" s="0" t="n">
        <v>2021</v>
      </c>
      <c r="D2557" s="0" t="n">
        <v>17271435</v>
      </c>
      <c r="E2557" s="0" t="n">
        <v>0.38</v>
      </c>
      <c r="F2557" s="0" t="n">
        <v>0</v>
      </c>
      <c r="G2557" s="0" t="n">
        <v>0</v>
      </c>
      <c r="H2557" s="0" t="n">
        <v>0.34</v>
      </c>
      <c r="I2557" s="0" t="n">
        <v>0</v>
      </c>
      <c r="J2557" s="0" t="n">
        <v>0</v>
      </c>
      <c r="K2557" s="0" t="n">
        <v>0.03</v>
      </c>
      <c r="L2557" s="0" t="n">
        <v>0.01</v>
      </c>
      <c r="M2557" s="0" t="n">
        <v>0</v>
      </c>
      <c r="N2557" s="0" t="n">
        <v>0</v>
      </c>
      <c r="O2557" s="0" t="n">
        <v>578.95</v>
      </c>
    </row>
    <row r="2558" customFormat="false" ht="15" hidden="false" customHeight="false" outlineLevel="0" collapsed="false">
      <c r="A2558" s="0" t="s">
        <v>356</v>
      </c>
      <c r="B2558" s="0" t="s">
        <v>595</v>
      </c>
      <c r="C2558" s="0" t="n">
        <v>2022</v>
      </c>
      <c r="D2558" s="0" t="n">
        <v>17801895</v>
      </c>
      <c r="E2558" s="0" t="n">
        <v>0.42</v>
      </c>
      <c r="F2558" s="0" t="n">
        <v>0</v>
      </c>
      <c r="G2558" s="0" t="n">
        <v>0</v>
      </c>
      <c r="H2558" s="0" t="n">
        <v>0.34</v>
      </c>
      <c r="I2558" s="0" t="n">
        <v>0</v>
      </c>
      <c r="J2558" s="0" t="n">
        <v>0</v>
      </c>
      <c r="K2558" s="0" t="n">
        <v>0.07</v>
      </c>
      <c r="L2558" s="0" t="n">
        <v>0.01</v>
      </c>
      <c r="M2558" s="0" t="n">
        <v>0</v>
      </c>
      <c r="N2558" s="0" t="n">
        <v>0</v>
      </c>
      <c r="O2558" s="0" t="n">
        <v>523.81</v>
      </c>
    </row>
    <row r="2559" customFormat="false" ht="15" hidden="false" customHeight="false" outlineLevel="0" collapsed="false">
      <c r="A2559" s="0" t="s">
        <v>356</v>
      </c>
      <c r="B2559" s="0" t="s">
        <v>595</v>
      </c>
      <c r="C2559" s="0" t="n">
        <v>2023</v>
      </c>
      <c r="D2559" s="0" t="n">
        <v>18358622</v>
      </c>
      <c r="E2559" s="0" t="n">
        <v>0.42</v>
      </c>
      <c r="F2559" s="0" t="n">
        <v>0</v>
      </c>
      <c r="G2559" s="0" t="n">
        <v>0</v>
      </c>
      <c r="H2559" s="0" t="n">
        <v>0.34</v>
      </c>
      <c r="I2559" s="0" t="n">
        <v>0</v>
      </c>
      <c r="J2559" s="0" t="n">
        <v>0</v>
      </c>
      <c r="K2559" s="0" t="n">
        <v>0.07</v>
      </c>
      <c r="L2559" s="0" t="n">
        <v>0.01</v>
      </c>
      <c r="M2559" s="0" t="n">
        <v>0</v>
      </c>
      <c r="N2559" s="0" t="n">
        <v>0</v>
      </c>
      <c r="O2559" s="0" t="n">
        <v>523.81</v>
      </c>
    </row>
    <row r="2560" customFormat="false" ht="15" hidden="false" customHeight="false" outlineLevel="0" collapsed="false">
      <c r="A2560" s="0" t="s">
        <v>356</v>
      </c>
      <c r="B2560" s="0" t="s">
        <v>595</v>
      </c>
      <c r="C2560" s="0" t="n">
        <v>2024</v>
      </c>
      <c r="D2560" s="0" t="n">
        <v>19009155</v>
      </c>
      <c r="E2560" s="0" t="n">
        <v>0.43</v>
      </c>
      <c r="F2560" s="0" t="n">
        <v>0</v>
      </c>
      <c r="G2560" s="0" t="n">
        <v>0</v>
      </c>
      <c r="H2560" s="0" t="n">
        <v>0.34</v>
      </c>
      <c r="I2560" s="0" t="n">
        <v>0</v>
      </c>
      <c r="J2560" s="0" t="n">
        <v>0</v>
      </c>
      <c r="K2560" s="0" t="n">
        <v>0.08</v>
      </c>
      <c r="L2560" s="0" t="n">
        <v>0.01</v>
      </c>
      <c r="M2560" s="0" t="n">
        <v>0</v>
      </c>
      <c r="N2560" s="0" t="n">
        <v>0</v>
      </c>
      <c r="O2560" s="0" t="n">
        <v>511.63</v>
      </c>
    </row>
    <row r="2561" customFormat="false" ht="15" hidden="false" customHeight="false" outlineLevel="0" collapsed="false">
      <c r="A2561" s="0" t="s">
        <v>357</v>
      </c>
      <c r="B2561" s="0" t="s">
        <v>596</v>
      </c>
      <c r="C2561" s="0" t="n">
        <v>2015</v>
      </c>
      <c r="D2561" s="0" t="n">
        <v>56723536</v>
      </c>
      <c r="E2561" s="0" t="n">
        <v>250.05</v>
      </c>
      <c r="F2561" s="0" t="n">
        <v>227.3</v>
      </c>
      <c r="G2561" s="0" t="n">
        <v>0</v>
      </c>
      <c r="H2561" s="0" t="n">
        <v>3.99</v>
      </c>
      <c r="I2561" s="0" t="n">
        <v>12.24</v>
      </c>
      <c r="J2561" s="0" t="n">
        <v>0.73</v>
      </c>
      <c r="K2561" s="0" t="n">
        <v>2.4</v>
      </c>
      <c r="L2561" s="0" t="n">
        <v>3.07</v>
      </c>
      <c r="M2561" s="0" t="n">
        <v>0.32</v>
      </c>
      <c r="O2561" s="0" t="n">
        <v>790.96</v>
      </c>
    </row>
    <row r="2562" customFormat="false" ht="15" hidden="false" customHeight="false" outlineLevel="0" collapsed="false">
      <c r="A2562" s="0" t="s">
        <v>357</v>
      </c>
      <c r="B2562" s="0" t="s">
        <v>596</v>
      </c>
      <c r="C2562" s="0" t="n">
        <v>2016</v>
      </c>
      <c r="D2562" s="0" t="n">
        <v>57259550</v>
      </c>
      <c r="E2562" s="0" t="n">
        <v>252.81</v>
      </c>
      <c r="F2562" s="0" t="n">
        <v>229.58</v>
      </c>
      <c r="G2562" s="0" t="n">
        <v>0</v>
      </c>
      <c r="H2562" s="0" t="n">
        <v>0.03</v>
      </c>
      <c r="I2562" s="0" t="n">
        <v>15.03</v>
      </c>
      <c r="J2562" s="0" t="n">
        <v>0.62</v>
      </c>
      <c r="K2562" s="0" t="n">
        <v>3.01</v>
      </c>
      <c r="L2562" s="0" t="n">
        <v>4.21</v>
      </c>
      <c r="M2562" s="0" t="n">
        <v>0.33</v>
      </c>
      <c r="O2562" s="0" t="n">
        <v>779.4</v>
      </c>
    </row>
    <row r="2563" customFormat="false" ht="15" hidden="false" customHeight="false" outlineLevel="0" collapsed="false">
      <c r="A2563" s="0" t="s">
        <v>357</v>
      </c>
      <c r="B2563" s="0" t="s">
        <v>596</v>
      </c>
      <c r="C2563" s="0" t="n">
        <v>2017</v>
      </c>
      <c r="D2563" s="0" t="n">
        <v>57635158</v>
      </c>
      <c r="E2563" s="0" t="n">
        <v>255.14</v>
      </c>
      <c r="F2563" s="0" t="n">
        <v>228.7</v>
      </c>
      <c r="G2563" s="0" t="n">
        <v>0</v>
      </c>
      <c r="H2563" s="0" t="n">
        <v>0.12</v>
      </c>
      <c r="I2563" s="0" t="n">
        <v>14.19</v>
      </c>
      <c r="J2563" s="0" t="n">
        <v>0.78</v>
      </c>
      <c r="K2563" s="0" t="n">
        <v>3.94</v>
      </c>
      <c r="L2563" s="0" t="n">
        <v>7.02</v>
      </c>
      <c r="M2563" s="0" t="n">
        <v>0.39</v>
      </c>
      <c r="O2563" s="0" t="n">
        <v>768.91</v>
      </c>
    </row>
    <row r="2564" customFormat="false" ht="15" hidden="false" customHeight="false" outlineLevel="0" collapsed="false">
      <c r="A2564" s="0" t="s">
        <v>357</v>
      </c>
      <c r="B2564" s="0" t="s">
        <v>596</v>
      </c>
      <c r="C2564" s="0" t="n">
        <v>2018</v>
      </c>
      <c r="D2564" s="0" t="n">
        <v>58613001</v>
      </c>
      <c r="E2564" s="0" t="n">
        <v>256.3</v>
      </c>
      <c r="F2564" s="0" t="n">
        <v>231.01</v>
      </c>
      <c r="G2564" s="0" t="n">
        <v>0</v>
      </c>
      <c r="H2564" s="0" t="n">
        <v>1.23</v>
      </c>
      <c r="I2564" s="0" t="n">
        <v>11.58</v>
      </c>
      <c r="J2564" s="0" t="n">
        <v>1.1</v>
      </c>
      <c r="K2564" s="0" t="n">
        <v>4.54</v>
      </c>
      <c r="L2564" s="0" t="n">
        <v>6.41</v>
      </c>
      <c r="M2564" s="0" t="n">
        <v>0.43</v>
      </c>
      <c r="O2564" s="0" t="n">
        <v>774.68</v>
      </c>
    </row>
    <row r="2565" customFormat="false" ht="15" hidden="false" customHeight="false" outlineLevel="0" collapsed="false">
      <c r="A2565" s="0" t="s">
        <v>357</v>
      </c>
      <c r="B2565" s="0" t="s">
        <v>596</v>
      </c>
      <c r="C2565" s="0" t="n">
        <v>2019</v>
      </c>
      <c r="D2565" s="0" t="n">
        <v>59587880</v>
      </c>
      <c r="E2565" s="0" t="n">
        <v>253.07</v>
      </c>
      <c r="F2565" s="0" t="n">
        <v>225.26</v>
      </c>
      <c r="G2565" s="0" t="n">
        <v>0</v>
      </c>
      <c r="H2565" s="0" t="n">
        <v>1.36</v>
      </c>
      <c r="I2565" s="0" t="n">
        <v>13.25</v>
      </c>
      <c r="J2565" s="0" t="n">
        <v>0.74</v>
      </c>
      <c r="K2565" s="0" t="n">
        <v>5.4</v>
      </c>
      <c r="L2565" s="0" t="n">
        <v>6.63</v>
      </c>
      <c r="M2565" s="0" t="n">
        <v>0.43</v>
      </c>
      <c r="O2565" s="0" t="n">
        <v>764.26</v>
      </c>
    </row>
    <row r="2566" customFormat="false" ht="15" hidden="false" customHeight="false" outlineLevel="0" collapsed="false">
      <c r="A2566" s="0" t="s">
        <v>357</v>
      </c>
      <c r="B2566" s="0" t="s">
        <v>596</v>
      </c>
      <c r="C2566" s="0" t="n">
        <v>2020</v>
      </c>
      <c r="D2566" s="0" t="n">
        <v>60562374</v>
      </c>
      <c r="E2566" s="0" t="n">
        <v>240.74</v>
      </c>
      <c r="F2566" s="0" t="n">
        <v>214.08</v>
      </c>
      <c r="G2566" s="0" t="n">
        <v>0</v>
      </c>
      <c r="H2566" s="0" t="n">
        <v>1.49</v>
      </c>
      <c r="I2566" s="0" t="n">
        <v>9.9</v>
      </c>
      <c r="J2566" s="0" t="n">
        <v>1.47</v>
      </c>
      <c r="K2566" s="0" t="n">
        <v>6.98</v>
      </c>
      <c r="L2566" s="0" t="n">
        <v>6.41</v>
      </c>
      <c r="M2566" s="0" t="n">
        <v>0.41</v>
      </c>
      <c r="O2566" s="0" t="n">
        <v>763.15</v>
      </c>
    </row>
    <row r="2567" customFormat="false" ht="15" hidden="false" customHeight="false" outlineLevel="0" collapsed="false">
      <c r="A2567" s="0" t="s">
        <v>357</v>
      </c>
      <c r="B2567" s="0" t="s">
        <v>596</v>
      </c>
      <c r="C2567" s="0" t="n">
        <v>2021</v>
      </c>
      <c r="D2567" s="0" t="n">
        <v>61502602</v>
      </c>
      <c r="E2567" s="0" t="n">
        <v>245.46</v>
      </c>
      <c r="F2567" s="0" t="n">
        <v>210.92</v>
      </c>
      <c r="G2567" s="0" t="n">
        <v>0</v>
      </c>
      <c r="H2567" s="0" t="n">
        <v>3.27</v>
      </c>
      <c r="I2567" s="0" t="n">
        <v>12.35</v>
      </c>
      <c r="J2567" s="0" t="n">
        <v>2.02</v>
      </c>
      <c r="K2567" s="0" t="n">
        <v>7.84</v>
      </c>
      <c r="L2567" s="0" t="n">
        <v>8.65</v>
      </c>
      <c r="M2567" s="0" t="n">
        <v>0.41</v>
      </c>
      <c r="O2567" s="0" t="n">
        <v>741.51</v>
      </c>
    </row>
    <row r="2568" customFormat="false" ht="15" hidden="false" customHeight="false" outlineLevel="0" collapsed="false">
      <c r="A2568" s="0" t="s">
        <v>357</v>
      </c>
      <c r="B2568" s="0" t="s">
        <v>596</v>
      </c>
      <c r="C2568" s="0" t="n">
        <v>2022</v>
      </c>
      <c r="D2568" s="0" t="n">
        <v>62378417</v>
      </c>
      <c r="E2568" s="0" t="n">
        <v>239.17</v>
      </c>
      <c r="F2568" s="0" t="n">
        <v>201.77</v>
      </c>
      <c r="G2568" s="0" t="n">
        <v>0</v>
      </c>
      <c r="H2568" s="0" t="n">
        <v>3.68</v>
      </c>
      <c r="I2568" s="0" t="n">
        <v>10.1</v>
      </c>
      <c r="J2568" s="0" t="n">
        <v>3.1</v>
      </c>
      <c r="K2568" s="0" t="n">
        <v>10.46</v>
      </c>
      <c r="L2568" s="0" t="n">
        <v>9.7</v>
      </c>
      <c r="M2568" s="0" t="n">
        <v>0.36</v>
      </c>
      <c r="O2568" s="0" t="n">
        <v>729.02</v>
      </c>
    </row>
    <row r="2569" customFormat="false" ht="15" hidden="false" customHeight="false" outlineLevel="0" collapsed="false">
      <c r="A2569" s="0" t="s">
        <v>357</v>
      </c>
      <c r="B2569" s="0" t="s">
        <v>596</v>
      </c>
      <c r="C2569" s="0" t="n">
        <v>2023</v>
      </c>
      <c r="D2569" s="0" t="n">
        <v>63212386</v>
      </c>
      <c r="E2569" s="0" t="n">
        <v>232.95</v>
      </c>
      <c r="F2569" s="0" t="n">
        <v>192.29</v>
      </c>
      <c r="G2569" s="0" t="n">
        <v>0</v>
      </c>
      <c r="H2569" s="0" t="n">
        <v>3.68</v>
      </c>
      <c r="I2569" s="0" t="n">
        <v>8.1</v>
      </c>
      <c r="J2569" s="0" t="n">
        <v>2</v>
      </c>
      <c r="K2569" s="0" t="n">
        <v>14.81</v>
      </c>
      <c r="L2569" s="0" t="n">
        <v>11.6</v>
      </c>
      <c r="M2569" s="0" t="n">
        <v>0.47</v>
      </c>
      <c r="O2569" s="0" t="n">
        <v>714.4</v>
      </c>
    </row>
    <row r="2570" customFormat="false" ht="15" hidden="false" customHeight="false" outlineLevel="0" collapsed="false">
      <c r="A2570" s="0" t="s">
        <v>357</v>
      </c>
      <c r="B2570" s="0" t="s">
        <v>596</v>
      </c>
      <c r="C2570" s="0" t="n">
        <v>2024</v>
      </c>
      <c r="D2570" s="0" t="n">
        <v>64007187</v>
      </c>
      <c r="E2570" s="0" t="n">
        <v>247.52</v>
      </c>
      <c r="F2570" s="0" t="n">
        <v>206.81</v>
      </c>
      <c r="G2570" s="0" t="n">
        <v>0</v>
      </c>
      <c r="H2570" s="0" t="n">
        <v>1.94</v>
      </c>
      <c r="I2570" s="0" t="n">
        <v>7.8</v>
      </c>
      <c r="J2570" s="0" t="n">
        <v>1.1</v>
      </c>
      <c r="K2570" s="0" t="n">
        <v>18.3</v>
      </c>
      <c r="L2570" s="0" t="n">
        <v>11.1</v>
      </c>
      <c r="M2570" s="0" t="n">
        <v>0.47</v>
      </c>
      <c r="O2570" s="0" t="n">
        <v>717.36</v>
      </c>
    </row>
    <row r="2571" customFormat="false" ht="15" hidden="false" customHeight="false" outlineLevel="0" collapsed="false">
      <c r="A2571" s="0" t="s">
        <v>357</v>
      </c>
      <c r="B2571" s="0" t="s">
        <v>596</v>
      </c>
      <c r="C2571" s="0" t="n">
        <v>2025</v>
      </c>
      <c r="D2571" s="0" t="n">
        <v>64747319</v>
      </c>
      <c r="E2571" s="0" t="n">
        <v>242.76</v>
      </c>
      <c r="F2571" s="0" t="n">
        <v>197.5</v>
      </c>
      <c r="G2571" s="0" t="n">
        <v>0</v>
      </c>
      <c r="H2571" s="0" t="n">
        <v>1.95</v>
      </c>
      <c r="I2571" s="0" t="n">
        <v>10.21</v>
      </c>
      <c r="J2571" s="0" t="n">
        <v>1.83</v>
      </c>
      <c r="K2571" s="0" t="n">
        <v>19.48</v>
      </c>
      <c r="L2571" s="0" t="n">
        <v>11.32</v>
      </c>
      <c r="M2571" s="0" t="n">
        <v>0.47</v>
      </c>
      <c r="O2571" s="0" t="n">
        <v>699.29</v>
      </c>
    </row>
    <row r="2572" customFormat="false" ht="15" hidden="false" customHeight="false" outlineLevel="0" collapsed="false">
      <c r="A2572" s="0" t="s">
        <v>734</v>
      </c>
      <c r="C2572" s="0" t="n">
        <v>2015</v>
      </c>
      <c r="D2572" s="0" t="n">
        <v>409619969</v>
      </c>
      <c r="E2572" s="0" t="n">
        <v>1163.59</v>
      </c>
      <c r="F2572" s="0" t="n">
        <v>64.87</v>
      </c>
      <c r="G2572" s="0" t="n">
        <v>251.38</v>
      </c>
      <c r="H2572" s="0" t="n">
        <v>92</v>
      </c>
      <c r="I2572" s="0" t="n">
        <v>21.77</v>
      </c>
      <c r="J2572" s="0" t="n">
        <v>642.41</v>
      </c>
      <c r="K2572" s="0" t="n">
        <v>1.71</v>
      </c>
      <c r="L2572" s="0" t="n">
        <v>27.28</v>
      </c>
      <c r="M2572" s="0" t="n">
        <v>62.17</v>
      </c>
      <c r="N2572" s="0" t="n">
        <v>0</v>
      </c>
      <c r="O2572" s="0" t="n">
        <v>260.908</v>
      </c>
    </row>
    <row r="2573" customFormat="false" ht="15" hidden="false" customHeight="false" outlineLevel="0" collapsed="false">
      <c r="A2573" s="0" t="s">
        <v>734</v>
      </c>
      <c r="C2573" s="0" t="n">
        <v>2016</v>
      </c>
      <c r="D2573" s="0" t="n">
        <v>413395039</v>
      </c>
      <c r="E2573" s="0" t="n">
        <v>1167.76</v>
      </c>
      <c r="F2573" s="0" t="n">
        <v>65.03</v>
      </c>
      <c r="G2573" s="0" t="n">
        <v>237.32</v>
      </c>
      <c r="H2573" s="0" t="n">
        <v>74.15</v>
      </c>
      <c r="I2573" s="0" t="n">
        <v>24.14</v>
      </c>
      <c r="J2573" s="0" t="n">
        <v>659.26</v>
      </c>
      <c r="K2573" s="0" t="n">
        <v>3.21</v>
      </c>
      <c r="L2573" s="0" t="n">
        <v>40.81</v>
      </c>
      <c r="M2573" s="0" t="n">
        <v>63.84</v>
      </c>
      <c r="N2573" s="0" t="n">
        <v>0</v>
      </c>
      <c r="O2573" s="0" t="n">
        <v>244.048</v>
      </c>
    </row>
    <row r="2574" customFormat="false" ht="15" hidden="false" customHeight="false" outlineLevel="0" collapsed="false">
      <c r="A2574" s="0" t="s">
        <v>734</v>
      </c>
      <c r="C2574" s="0" t="n">
        <v>2017</v>
      </c>
      <c r="D2574" s="0" t="n">
        <v>417045362</v>
      </c>
      <c r="E2574" s="0" t="n">
        <v>1164.29</v>
      </c>
      <c r="F2574" s="0" t="n">
        <v>58.07</v>
      </c>
      <c r="G2574" s="0" t="n">
        <v>235.85</v>
      </c>
      <c r="H2574" s="0" t="n">
        <v>61.48</v>
      </c>
      <c r="I2574" s="0" t="n">
        <v>21.83</v>
      </c>
      <c r="J2574" s="0" t="n">
        <v>664.38</v>
      </c>
      <c r="K2574" s="0" t="n">
        <v>5.39</v>
      </c>
      <c r="L2574" s="0" t="n">
        <v>51.56</v>
      </c>
      <c r="M2574" s="0" t="n">
        <v>65.67</v>
      </c>
      <c r="N2574" s="0" t="n">
        <v>0.06</v>
      </c>
      <c r="O2574" s="0" t="n">
        <v>229.968</v>
      </c>
    </row>
    <row r="2575" customFormat="false" ht="15" hidden="false" customHeight="false" outlineLevel="0" collapsed="false">
      <c r="A2575" s="0" t="s">
        <v>734</v>
      </c>
      <c r="C2575" s="0" t="n">
        <v>2018</v>
      </c>
      <c r="D2575" s="0" t="n">
        <v>420440405</v>
      </c>
      <c r="E2575" s="0" t="n">
        <v>1179.67</v>
      </c>
      <c r="F2575" s="0" t="n">
        <v>57.37</v>
      </c>
      <c r="G2575" s="0" t="n">
        <v>228.65</v>
      </c>
      <c r="H2575" s="0" t="n">
        <v>52.59</v>
      </c>
      <c r="I2575" s="0" t="n">
        <v>22.54</v>
      </c>
      <c r="J2575" s="0" t="n">
        <v>681.59</v>
      </c>
      <c r="K2575" s="0" t="n">
        <v>10.12</v>
      </c>
      <c r="L2575" s="0" t="n">
        <v>59.92</v>
      </c>
      <c r="M2575" s="0" t="n">
        <v>66.68</v>
      </c>
      <c r="N2575" s="0" t="n">
        <v>0.21</v>
      </c>
      <c r="O2575" s="0" t="n">
        <v>218.29</v>
      </c>
    </row>
    <row r="2576" customFormat="false" ht="15" hidden="false" customHeight="false" outlineLevel="0" collapsed="false">
      <c r="A2576" s="0" t="s">
        <v>734</v>
      </c>
      <c r="C2576" s="0" t="n">
        <v>2019</v>
      </c>
      <c r="D2576" s="0" t="n">
        <v>423548291</v>
      </c>
      <c r="E2576" s="0" t="n">
        <v>1190.27</v>
      </c>
      <c r="F2576" s="0" t="n">
        <v>59.27</v>
      </c>
      <c r="G2576" s="0" t="n">
        <v>237.19</v>
      </c>
      <c r="H2576" s="0" t="n">
        <v>45.48</v>
      </c>
      <c r="I2576" s="0" t="n">
        <v>24.57</v>
      </c>
      <c r="J2576" s="0" t="n">
        <v>668.31</v>
      </c>
      <c r="K2576" s="0" t="n">
        <v>15.4</v>
      </c>
      <c r="L2576" s="0" t="n">
        <v>72.56</v>
      </c>
      <c r="M2576" s="0" t="n">
        <v>67.29</v>
      </c>
      <c r="N2576" s="0" t="n">
        <v>0.2</v>
      </c>
      <c r="O2576" s="0" t="n">
        <v>217.699</v>
      </c>
    </row>
    <row r="2577" customFormat="false" ht="15" hidden="false" customHeight="false" outlineLevel="0" collapsed="false">
      <c r="A2577" s="0" t="s">
        <v>734</v>
      </c>
      <c r="C2577" s="0" t="n">
        <v>2020</v>
      </c>
      <c r="D2577" s="0" t="n">
        <v>426213552</v>
      </c>
      <c r="E2577" s="0" t="n">
        <v>1174.14</v>
      </c>
      <c r="F2577" s="0" t="n">
        <v>54.72</v>
      </c>
      <c r="G2577" s="0" t="n">
        <v>216.51</v>
      </c>
      <c r="H2577" s="0" t="n">
        <v>42.36</v>
      </c>
      <c r="I2577" s="0" t="n">
        <v>24.06</v>
      </c>
      <c r="J2577" s="0" t="n">
        <v>662.56</v>
      </c>
      <c r="K2577" s="0" t="n">
        <v>21.52</v>
      </c>
      <c r="L2577" s="0" t="n">
        <v>79.47</v>
      </c>
      <c r="M2577" s="0" t="n">
        <v>72.7</v>
      </c>
      <c r="N2577" s="0" t="n">
        <v>0.24</v>
      </c>
      <c r="O2577" s="0" t="n">
        <v>204.626</v>
      </c>
    </row>
    <row r="2578" customFormat="false" ht="15" hidden="false" customHeight="false" outlineLevel="0" collapsed="false">
      <c r="A2578" s="0" t="s">
        <v>734</v>
      </c>
      <c r="C2578" s="0" t="n">
        <v>2021</v>
      </c>
      <c r="D2578" s="0" t="n">
        <v>428331419</v>
      </c>
      <c r="E2578" s="0" t="n">
        <v>1225.96</v>
      </c>
      <c r="F2578" s="0" t="n">
        <v>57.27</v>
      </c>
      <c r="G2578" s="0" t="n">
        <v>247.11</v>
      </c>
      <c r="H2578" s="0" t="n">
        <v>58.24</v>
      </c>
      <c r="I2578" s="0" t="n">
        <v>24.87</v>
      </c>
      <c r="J2578" s="0" t="n">
        <v>635.92</v>
      </c>
      <c r="K2578" s="0" t="n">
        <v>31.6</v>
      </c>
      <c r="L2578" s="0" t="n">
        <v>99.93</v>
      </c>
      <c r="M2578" s="0" t="n">
        <v>70.7</v>
      </c>
      <c r="N2578" s="0" t="n">
        <v>0.32</v>
      </c>
      <c r="O2578" s="0" t="n">
        <v>220.945</v>
      </c>
    </row>
    <row r="2579" customFormat="false" ht="15" hidden="false" customHeight="false" outlineLevel="0" collapsed="false">
      <c r="A2579" s="0" t="s">
        <v>734</v>
      </c>
      <c r="C2579" s="0" t="n">
        <v>2022</v>
      </c>
      <c r="D2579" s="0" t="n">
        <v>430492816</v>
      </c>
      <c r="E2579" s="0" t="n">
        <v>1246.98</v>
      </c>
      <c r="F2579" s="0" t="n">
        <v>43.44</v>
      </c>
      <c r="G2579" s="0" t="n">
        <v>194.76</v>
      </c>
      <c r="H2579" s="0" t="n">
        <v>52.43</v>
      </c>
      <c r="I2579" s="0" t="n">
        <v>22.03</v>
      </c>
      <c r="J2579" s="0" t="n">
        <v>702.09</v>
      </c>
      <c r="K2579" s="0" t="n">
        <v>51.22</v>
      </c>
      <c r="L2579" s="0" t="n">
        <v>111.97</v>
      </c>
      <c r="M2579" s="0" t="n">
        <v>68.58</v>
      </c>
      <c r="N2579" s="0" t="n">
        <v>0.46</v>
      </c>
      <c r="O2579" s="0" t="n">
        <v>181.398</v>
      </c>
    </row>
    <row r="2580" customFormat="false" ht="15" hidden="false" customHeight="false" outlineLevel="0" collapsed="false">
      <c r="A2580" s="0" t="s">
        <v>734</v>
      </c>
      <c r="C2580" s="0" t="n">
        <v>2023</v>
      </c>
      <c r="D2580" s="0" t="n">
        <v>433024223</v>
      </c>
      <c r="E2580" s="0" t="n">
        <v>1283.65</v>
      </c>
      <c r="F2580" s="0" t="n">
        <v>38.88</v>
      </c>
      <c r="G2580" s="0" t="n">
        <v>188.15</v>
      </c>
      <c r="H2580" s="0" t="n">
        <v>41.83</v>
      </c>
      <c r="I2580" s="0" t="n">
        <v>23.46</v>
      </c>
      <c r="J2580" s="0" t="n">
        <v>716.16</v>
      </c>
      <c r="K2580" s="0" t="n">
        <v>75.02</v>
      </c>
      <c r="L2580" s="0" t="n">
        <v>127.32</v>
      </c>
      <c r="M2580" s="0" t="n">
        <v>72.39</v>
      </c>
      <c r="N2580" s="0" t="n">
        <v>0.44</v>
      </c>
      <c r="O2580" s="0" t="n">
        <v>165.053</v>
      </c>
    </row>
    <row r="2581" customFormat="false" ht="15" hidden="false" customHeight="false" outlineLevel="0" collapsed="false">
      <c r="A2581" s="0" t="s">
        <v>734</v>
      </c>
      <c r="C2581" s="0" t="n">
        <v>2024</v>
      </c>
      <c r="D2581" s="0" t="n">
        <v>435611337</v>
      </c>
      <c r="E2581" s="0" t="n">
        <v>1320.5</v>
      </c>
      <c r="F2581" s="0" t="n">
        <v>42.29</v>
      </c>
      <c r="G2581" s="0" t="n">
        <v>199.71</v>
      </c>
      <c r="H2581" s="0" t="n">
        <v>38.3</v>
      </c>
      <c r="I2581" s="0" t="n">
        <v>26.23</v>
      </c>
      <c r="J2581" s="0" t="n">
        <v>696.63</v>
      </c>
      <c r="K2581" s="0" t="n">
        <v>100.9</v>
      </c>
      <c r="L2581" s="0" t="n">
        <v>143.22</v>
      </c>
      <c r="M2581" s="0" t="n">
        <v>72.77</v>
      </c>
      <c r="N2581" s="0" t="n">
        <v>0.45</v>
      </c>
      <c r="O2581" s="0" t="n">
        <v>166.831</v>
      </c>
    </row>
    <row r="2582" customFormat="false" ht="15" hidden="false" customHeight="false" outlineLevel="0" collapsed="false">
      <c r="A2582" s="0" t="s">
        <v>358</v>
      </c>
      <c r="B2582" s="0" t="s">
        <v>597</v>
      </c>
      <c r="C2582" s="0" t="n">
        <v>2015</v>
      </c>
      <c r="D2582" s="0" t="n">
        <v>50983909</v>
      </c>
      <c r="E2582" s="0" t="n">
        <v>547.8</v>
      </c>
      <c r="F2582" s="0" t="n">
        <v>232.68</v>
      </c>
      <c r="G2582" s="0" t="n">
        <v>122.03</v>
      </c>
      <c r="H2582" s="0" t="n">
        <v>13.13</v>
      </c>
      <c r="I2582" s="0" t="n">
        <v>164.76</v>
      </c>
      <c r="J2582" s="0" t="n">
        <v>2.15</v>
      </c>
      <c r="K2582" s="0" t="n">
        <v>4.23</v>
      </c>
      <c r="L2582" s="0" t="n">
        <v>1.34</v>
      </c>
      <c r="M2582" s="0" t="n">
        <v>7.48</v>
      </c>
      <c r="O2582" s="0" t="n">
        <v>487.64</v>
      </c>
    </row>
    <row r="2583" customFormat="false" ht="15" hidden="false" customHeight="false" outlineLevel="0" collapsed="false">
      <c r="A2583" s="0" t="s">
        <v>358</v>
      </c>
      <c r="B2583" s="0" t="s">
        <v>597</v>
      </c>
      <c r="C2583" s="0" t="n">
        <v>2016</v>
      </c>
      <c r="D2583" s="0" t="n">
        <v>51297836</v>
      </c>
      <c r="E2583" s="0" t="n">
        <v>560.98</v>
      </c>
      <c r="F2583" s="0" t="n">
        <v>232.91</v>
      </c>
      <c r="G2583" s="0" t="n">
        <v>130.52</v>
      </c>
      <c r="H2583" s="0" t="n">
        <v>17.43</v>
      </c>
      <c r="I2583" s="0" t="n">
        <v>161.99</v>
      </c>
      <c r="J2583" s="0" t="n">
        <v>2.85</v>
      </c>
      <c r="K2583" s="0" t="n">
        <v>5.52</v>
      </c>
      <c r="L2583" s="0" t="n">
        <v>1.68</v>
      </c>
      <c r="M2583" s="0" t="n">
        <v>8.08</v>
      </c>
      <c r="O2583" s="0" t="n">
        <v>489.38</v>
      </c>
    </row>
    <row r="2584" customFormat="false" ht="15" hidden="false" customHeight="false" outlineLevel="0" collapsed="false">
      <c r="A2584" s="0" t="s">
        <v>358</v>
      </c>
      <c r="B2584" s="0" t="s">
        <v>597</v>
      </c>
      <c r="C2584" s="0" t="n">
        <v>2017</v>
      </c>
      <c r="D2584" s="0" t="n">
        <v>51486268</v>
      </c>
      <c r="E2584" s="0" t="n">
        <v>576.41</v>
      </c>
      <c r="F2584" s="0" t="n">
        <v>260.79</v>
      </c>
      <c r="G2584" s="0" t="n">
        <v>135.16</v>
      </c>
      <c r="H2584" s="0" t="n">
        <v>9.7</v>
      </c>
      <c r="I2584" s="0" t="n">
        <v>148.43</v>
      </c>
      <c r="J2584" s="0" t="n">
        <v>2.81</v>
      </c>
      <c r="K2584" s="0" t="n">
        <v>7.74</v>
      </c>
      <c r="L2584" s="0" t="n">
        <v>2.17</v>
      </c>
      <c r="M2584" s="0" t="n">
        <v>9.61</v>
      </c>
      <c r="O2584" s="0" t="n">
        <v>511.48</v>
      </c>
    </row>
    <row r="2585" customFormat="false" ht="15" hidden="false" customHeight="false" outlineLevel="0" collapsed="false">
      <c r="A2585" s="0" t="s">
        <v>358</v>
      </c>
      <c r="B2585" s="0" t="s">
        <v>597</v>
      </c>
      <c r="C2585" s="0" t="n">
        <v>2018</v>
      </c>
      <c r="D2585" s="0" t="n">
        <v>51640894</v>
      </c>
      <c r="E2585" s="0" t="n">
        <v>592.91</v>
      </c>
      <c r="F2585" s="0" t="n">
        <v>257.67</v>
      </c>
      <c r="G2585" s="0" t="n">
        <v>163.28</v>
      </c>
      <c r="H2585" s="0" t="n">
        <v>10.65</v>
      </c>
      <c r="I2585" s="0" t="n">
        <v>133.51</v>
      </c>
      <c r="J2585" s="0" t="n">
        <v>3.36</v>
      </c>
      <c r="K2585" s="0" t="n">
        <v>10.17</v>
      </c>
      <c r="L2585" s="0" t="n">
        <v>2.46</v>
      </c>
      <c r="M2585" s="0" t="n">
        <v>11.81</v>
      </c>
      <c r="O2585" s="0" t="n">
        <v>518.81</v>
      </c>
    </row>
    <row r="2586" customFormat="false" ht="15" hidden="false" customHeight="false" outlineLevel="0" collapsed="false">
      <c r="A2586" s="0" t="s">
        <v>358</v>
      </c>
      <c r="B2586" s="0" t="s">
        <v>597</v>
      </c>
      <c r="C2586" s="0" t="n">
        <v>2019</v>
      </c>
      <c r="D2586" s="0" t="n">
        <v>51767844</v>
      </c>
      <c r="E2586" s="0" t="n">
        <v>586.8</v>
      </c>
      <c r="F2586" s="0" t="n">
        <v>245.04</v>
      </c>
      <c r="G2586" s="0" t="n">
        <v>155.41</v>
      </c>
      <c r="H2586" s="0" t="n">
        <v>7.43</v>
      </c>
      <c r="I2586" s="0" t="n">
        <v>145.91</v>
      </c>
      <c r="J2586" s="0" t="n">
        <v>2.79</v>
      </c>
      <c r="K2586" s="0" t="n">
        <v>14.19</v>
      </c>
      <c r="L2586" s="0" t="n">
        <v>2.68</v>
      </c>
      <c r="M2586" s="0" t="n">
        <v>13.35</v>
      </c>
      <c r="O2586" s="0" t="n">
        <v>496.97</v>
      </c>
    </row>
    <row r="2587" customFormat="false" ht="15" hidden="false" customHeight="false" outlineLevel="0" collapsed="false">
      <c r="A2587" s="0" t="s">
        <v>358</v>
      </c>
      <c r="B2587" s="0" t="s">
        <v>597</v>
      </c>
      <c r="C2587" s="0" t="n">
        <v>2020</v>
      </c>
      <c r="D2587" s="0" t="n">
        <v>51858481</v>
      </c>
      <c r="E2587" s="0" t="n">
        <v>577.11</v>
      </c>
      <c r="F2587" s="0" t="n">
        <v>207.97</v>
      </c>
      <c r="G2587" s="0" t="n">
        <v>162.54</v>
      </c>
      <c r="H2587" s="0" t="n">
        <v>6.02</v>
      </c>
      <c r="I2587" s="0" t="n">
        <v>160.18</v>
      </c>
      <c r="J2587" s="0" t="n">
        <v>3.88</v>
      </c>
      <c r="K2587" s="0" t="n">
        <v>19.34</v>
      </c>
      <c r="L2587" s="0" t="n">
        <v>3.15</v>
      </c>
      <c r="M2587" s="0" t="n">
        <v>14.03</v>
      </c>
      <c r="O2587" s="0" t="n">
        <v>457.63</v>
      </c>
    </row>
    <row r="2588" customFormat="false" ht="15" hidden="false" customHeight="false" outlineLevel="0" collapsed="false">
      <c r="A2588" s="0" t="s">
        <v>358</v>
      </c>
      <c r="B2588" s="0" t="s">
        <v>597</v>
      </c>
      <c r="C2588" s="0" t="n">
        <v>2021</v>
      </c>
      <c r="D2588" s="0" t="n">
        <v>51848401</v>
      </c>
      <c r="E2588" s="0" t="n">
        <v>607.76</v>
      </c>
      <c r="F2588" s="0" t="n">
        <v>213.32</v>
      </c>
      <c r="G2588" s="0" t="n">
        <v>181.23</v>
      </c>
      <c r="H2588" s="0" t="n">
        <v>7.1</v>
      </c>
      <c r="I2588" s="0" t="n">
        <v>158.01</v>
      </c>
      <c r="J2588" s="0" t="n">
        <v>3.05</v>
      </c>
      <c r="K2588" s="0" t="n">
        <v>24.72</v>
      </c>
      <c r="L2588" s="0" t="n">
        <v>3.18</v>
      </c>
      <c r="M2588" s="0" t="n">
        <v>17.15</v>
      </c>
      <c r="O2588" s="0" t="n">
        <v>459.46</v>
      </c>
    </row>
    <row r="2589" customFormat="false" ht="15" hidden="false" customHeight="false" outlineLevel="0" collapsed="false">
      <c r="A2589" s="0" t="s">
        <v>358</v>
      </c>
      <c r="B2589" s="0" t="s">
        <v>597</v>
      </c>
      <c r="C2589" s="0" t="n">
        <v>2022</v>
      </c>
      <c r="D2589" s="0" t="n">
        <v>51782515</v>
      </c>
      <c r="E2589" s="0" t="n">
        <v>622.59</v>
      </c>
      <c r="F2589" s="0" t="n">
        <v>209.22</v>
      </c>
      <c r="G2589" s="0" t="n">
        <v>174.71</v>
      </c>
      <c r="H2589" s="0" t="n">
        <v>7.12</v>
      </c>
      <c r="I2589" s="0" t="n">
        <v>176.05</v>
      </c>
      <c r="J2589" s="0" t="n">
        <v>3.54</v>
      </c>
      <c r="K2589" s="0" t="n">
        <v>30.73</v>
      </c>
      <c r="L2589" s="0" t="n">
        <v>3.37</v>
      </c>
      <c r="M2589" s="0" t="n">
        <v>17.85</v>
      </c>
      <c r="O2589" s="0" t="n">
        <v>438.06</v>
      </c>
    </row>
    <row r="2590" customFormat="false" ht="15" hidden="false" customHeight="false" outlineLevel="0" collapsed="false">
      <c r="A2590" s="0" t="s">
        <v>358</v>
      </c>
      <c r="B2590" s="0" t="s">
        <v>597</v>
      </c>
      <c r="C2590" s="0" t="n">
        <v>2023</v>
      </c>
      <c r="D2590" s="0" t="n">
        <v>51748744</v>
      </c>
      <c r="E2590" s="0" t="n">
        <v>617.49</v>
      </c>
      <c r="F2590" s="0" t="n">
        <v>201.34</v>
      </c>
      <c r="G2590" s="0" t="n">
        <v>169.61</v>
      </c>
      <c r="H2590" s="0" t="n">
        <v>6.98</v>
      </c>
      <c r="I2590" s="0" t="n">
        <v>180.49</v>
      </c>
      <c r="J2590" s="0" t="n">
        <v>3.72</v>
      </c>
      <c r="K2590" s="0" t="n">
        <v>33.24</v>
      </c>
      <c r="L2590" s="0" t="n">
        <v>3.39</v>
      </c>
      <c r="M2590" s="0" t="n">
        <v>18.72</v>
      </c>
      <c r="O2590" s="0" t="n">
        <v>427.29</v>
      </c>
    </row>
    <row r="2591" customFormat="false" ht="15" hidden="false" customHeight="false" outlineLevel="0" collapsed="false">
      <c r="A2591" s="0" t="s">
        <v>358</v>
      </c>
      <c r="B2591" s="0" t="s">
        <v>597</v>
      </c>
      <c r="C2591" s="0" t="n">
        <v>2024</v>
      </c>
      <c r="D2591" s="0" t="n">
        <v>51717587</v>
      </c>
      <c r="E2591" s="0" t="n">
        <v>625.38</v>
      </c>
      <c r="F2591" s="0" t="n">
        <v>190.78</v>
      </c>
      <c r="G2591" s="0" t="n">
        <v>178.35</v>
      </c>
      <c r="H2591" s="0" t="n">
        <v>6.78</v>
      </c>
      <c r="I2591" s="0" t="n">
        <v>188.75</v>
      </c>
      <c r="J2591" s="0" t="n">
        <v>4.3</v>
      </c>
      <c r="K2591" s="0" t="n">
        <v>32.72</v>
      </c>
      <c r="L2591" s="0" t="n">
        <v>3.36</v>
      </c>
      <c r="M2591" s="0" t="n">
        <v>20.34</v>
      </c>
      <c r="O2591" s="0" t="n">
        <v>415.51</v>
      </c>
    </row>
    <row r="2592" customFormat="false" ht="15" hidden="false" customHeight="false" outlineLevel="0" collapsed="false">
      <c r="A2592" s="0" t="s">
        <v>358</v>
      </c>
      <c r="B2592" s="0" t="s">
        <v>597</v>
      </c>
      <c r="C2592" s="0" t="n">
        <v>2025</v>
      </c>
      <c r="D2592" s="0" t="n">
        <v>51667035</v>
      </c>
      <c r="E2592" s="0" t="n">
        <v>624.66</v>
      </c>
      <c r="F2592" s="0" t="n">
        <v>194.53</v>
      </c>
      <c r="G2592" s="0" t="n">
        <v>174.58</v>
      </c>
      <c r="H2592" s="0" t="n">
        <v>5.95</v>
      </c>
      <c r="I2592" s="0" t="n">
        <v>184.67</v>
      </c>
      <c r="J2592" s="0" t="n">
        <v>3.8</v>
      </c>
      <c r="K2592" s="0" t="n">
        <v>37.8</v>
      </c>
      <c r="L2592" s="0" t="n">
        <v>3.64</v>
      </c>
      <c r="M2592" s="0" t="n">
        <v>19.69</v>
      </c>
      <c r="O2592" s="0" t="n">
        <v>417.06</v>
      </c>
    </row>
    <row r="2593" customFormat="false" ht="15" hidden="false" customHeight="false" outlineLevel="0" collapsed="false">
      <c r="A2593" s="0" t="s">
        <v>359</v>
      </c>
      <c r="B2593" s="0" t="s">
        <v>598</v>
      </c>
      <c r="C2593" s="0" t="n">
        <v>2015</v>
      </c>
      <c r="D2593" s="0" t="n">
        <v>11107569</v>
      </c>
      <c r="E2593" s="0" t="n">
        <v>0.58</v>
      </c>
      <c r="F2593" s="0" t="n">
        <v>0</v>
      </c>
      <c r="G2593" s="0" t="n">
        <v>0</v>
      </c>
      <c r="H2593" s="0" t="n">
        <v>0.58</v>
      </c>
      <c r="I2593" s="0" t="n">
        <v>0</v>
      </c>
      <c r="J2593" s="0" t="n">
        <v>0</v>
      </c>
      <c r="K2593" s="0" t="n">
        <v>0</v>
      </c>
      <c r="L2593" s="0" t="n">
        <v>0</v>
      </c>
      <c r="M2593" s="0" t="n">
        <v>0</v>
      </c>
      <c r="N2593" s="0" t="n">
        <v>0</v>
      </c>
      <c r="O2593" s="0" t="n">
        <v>655.17</v>
      </c>
    </row>
    <row r="2594" customFormat="false" ht="15" hidden="false" customHeight="false" outlineLevel="0" collapsed="false">
      <c r="A2594" s="0" t="s">
        <v>359</v>
      </c>
      <c r="B2594" s="0" t="s">
        <v>598</v>
      </c>
      <c r="C2594" s="0" t="n">
        <v>2016</v>
      </c>
      <c r="D2594" s="0" t="n">
        <v>10830108</v>
      </c>
      <c r="E2594" s="0" t="n">
        <v>0.52</v>
      </c>
      <c r="F2594" s="0" t="n">
        <v>0</v>
      </c>
      <c r="G2594" s="0" t="n">
        <v>0</v>
      </c>
      <c r="H2594" s="0" t="n">
        <v>0.52</v>
      </c>
      <c r="I2594" s="0" t="n">
        <v>0</v>
      </c>
      <c r="J2594" s="0" t="n">
        <v>0</v>
      </c>
      <c r="K2594" s="0" t="n">
        <v>0</v>
      </c>
      <c r="L2594" s="0" t="n">
        <v>0</v>
      </c>
      <c r="M2594" s="0" t="n">
        <v>0</v>
      </c>
      <c r="N2594" s="0" t="n">
        <v>0</v>
      </c>
      <c r="O2594" s="0" t="n">
        <v>653.85</v>
      </c>
    </row>
    <row r="2595" customFormat="false" ht="15" hidden="false" customHeight="false" outlineLevel="0" collapsed="false">
      <c r="A2595" s="0" t="s">
        <v>359</v>
      </c>
      <c r="B2595" s="0" t="s">
        <v>598</v>
      </c>
      <c r="C2595" s="0" t="n">
        <v>2017</v>
      </c>
      <c r="D2595" s="0" t="n">
        <v>10259150</v>
      </c>
      <c r="E2595" s="0" t="n">
        <v>0.54</v>
      </c>
      <c r="F2595" s="0" t="n">
        <v>0</v>
      </c>
      <c r="G2595" s="0" t="n">
        <v>0</v>
      </c>
      <c r="H2595" s="0" t="n">
        <v>0.54</v>
      </c>
      <c r="I2595" s="0" t="n">
        <v>0</v>
      </c>
      <c r="J2595" s="0" t="n">
        <v>0</v>
      </c>
      <c r="K2595" s="0" t="n">
        <v>0</v>
      </c>
      <c r="L2595" s="0" t="n">
        <v>0</v>
      </c>
      <c r="M2595" s="0" t="n">
        <v>0</v>
      </c>
      <c r="N2595" s="0" t="n">
        <v>0</v>
      </c>
      <c r="O2595" s="0" t="n">
        <v>666.67</v>
      </c>
    </row>
    <row r="2596" customFormat="false" ht="15" hidden="false" customHeight="false" outlineLevel="0" collapsed="false">
      <c r="A2596" s="0" t="s">
        <v>359</v>
      </c>
      <c r="B2596" s="0" t="s">
        <v>598</v>
      </c>
      <c r="C2596" s="0" t="n">
        <v>2018</v>
      </c>
      <c r="D2596" s="0" t="n">
        <v>10122983</v>
      </c>
      <c r="E2596" s="0" t="n">
        <v>0.54</v>
      </c>
      <c r="F2596" s="0" t="n">
        <v>0</v>
      </c>
      <c r="G2596" s="0" t="n">
        <v>0</v>
      </c>
      <c r="H2596" s="0" t="n">
        <v>0.54</v>
      </c>
      <c r="I2596" s="0" t="n">
        <v>0</v>
      </c>
      <c r="J2596" s="0" t="n">
        <v>0</v>
      </c>
      <c r="K2596" s="0" t="n">
        <v>0</v>
      </c>
      <c r="L2596" s="0" t="n">
        <v>0</v>
      </c>
      <c r="M2596" s="0" t="n">
        <v>0</v>
      </c>
      <c r="N2596" s="0" t="n">
        <v>0</v>
      </c>
      <c r="O2596" s="0" t="n">
        <v>666.67</v>
      </c>
    </row>
    <row r="2597" customFormat="false" ht="15" hidden="false" customHeight="false" outlineLevel="0" collapsed="false">
      <c r="A2597" s="0" t="s">
        <v>359</v>
      </c>
      <c r="B2597" s="0" t="s">
        <v>598</v>
      </c>
      <c r="C2597" s="0" t="n">
        <v>2019</v>
      </c>
      <c r="D2597" s="0" t="n">
        <v>10423382</v>
      </c>
      <c r="E2597" s="0" t="n">
        <v>0.55</v>
      </c>
      <c r="F2597" s="0" t="n">
        <v>0</v>
      </c>
      <c r="G2597" s="0" t="n">
        <v>0</v>
      </c>
      <c r="H2597" s="0" t="n">
        <v>0.55</v>
      </c>
      <c r="I2597" s="0" t="n">
        <v>0</v>
      </c>
      <c r="J2597" s="0" t="n">
        <v>0</v>
      </c>
      <c r="K2597" s="0" t="n">
        <v>0</v>
      </c>
      <c r="L2597" s="0" t="n">
        <v>0</v>
      </c>
      <c r="M2597" s="0" t="n">
        <v>0</v>
      </c>
      <c r="N2597" s="0" t="n">
        <v>0</v>
      </c>
      <c r="O2597" s="0" t="n">
        <v>654.55</v>
      </c>
    </row>
    <row r="2598" customFormat="false" ht="15" hidden="false" customHeight="false" outlineLevel="0" collapsed="false">
      <c r="A2598" s="0" t="s">
        <v>359</v>
      </c>
      <c r="B2598" s="0" t="s">
        <v>598</v>
      </c>
      <c r="C2598" s="0" t="n">
        <v>2020</v>
      </c>
      <c r="D2598" s="0" t="n">
        <v>10698471</v>
      </c>
      <c r="E2598" s="0" t="n">
        <v>0.56</v>
      </c>
      <c r="F2598" s="0" t="n">
        <v>0</v>
      </c>
      <c r="G2598" s="0" t="n">
        <v>0</v>
      </c>
      <c r="H2598" s="0" t="n">
        <v>0.55</v>
      </c>
      <c r="I2598" s="0" t="n">
        <v>0</v>
      </c>
      <c r="J2598" s="0" t="n">
        <v>0</v>
      </c>
      <c r="K2598" s="0" t="n">
        <v>0.01</v>
      </c>
      <c r="L2598" s="0" t="n">
        <v>0</v>
      </c>
      <c r="M2598" s="0" t="n">
        <v>0</v>
      </c>
      <c r="N2598" s="0" t="n">
        <v>0</v>
      </c>
      <c r="O2598" s="0" t="n">
        <v>642.86</v>
      </c>
    </row>
    <row r="2599" customFormat="false" ht="15" hidden="false" customHeight="false" outlineLevel="0" collapsed="false">
      <c r="A2599" s="0" t="s">
        <v>359</v>
      </c>
      <c r="B2599" s="0" t="s">
        <v>598</v>
      </c>
      <c r="C2599" s="0" t="n">
        <v>2021</v>
      </c>
      <c r="D2599" s="0" t="n">
        <v>10865786</v>
      </c>
      <c r="E2599" s="0" t="n">
        <v>0.57</v>
      </c>
      <c r="F2599" s="0" t="n">
        <v>0</v>
      </c>
      <c r="G2599" s="0" t="n">
        <v>0</v>
      </c>
      <c r="H2599" s="0" t="n">
        <v>0.56</v>
      </c>
      <c r="I2599" s="0" t="n">
        <v>0</v>
      </c>
      <c r="J2599" s="0" t="n">
        <v>0</v>
      </c>
      <c r="K2599" s="0" t="n">
        <v>0.01</v>
      </c>
      <c r="L2599" s="0" t="n">
        <v>0</v>
      </c>
      <c r="M2599" s="0" t="n">
        <v>0</v>
      </c>
      <c r="N2599" s="0" t="n">
        <v>0</v>
      </c>
      <c r="O2599" s="0" t="n">
        <v>649.12</v>
      </c>
    </row>
    <row r="2600" customFormat="false" ht="15" hidden="false" customHeight="false" outlineLevel="0" collapsed="false">
      <c r="A2600" s="0" t="s">
        <v>359</v>
      </c>
      <c r="B2600" s="0" t="s">
        <v>598</v>
      </c>
      <c r="C2600" s="0" t="n">
        <v>2022</v>
      </c>
      <c r="D2600" s="0" t="n">
        <v>11021175</v>
      </c>
      <c r="E2600" s="0" t="n">
        <v>0.51</v>
      </c>
      <c r="F2600" s="0" t="n">
        <v>0</v>
      </c>
      <c r="G2600" s="0" t="n">
        <v>0</v>
      </c>
      <c r="H2600" s="0" t="n">
        <v>0.5</v>
      </c>
      <c r="I2600" s="0" t="n">
        <v>0</v>
      </c>
      <c r="J2600" s="0" t="n">
        <v>0</v>
      </c>
      <c r="K2600" s="0" t="n">
        <v>0.01</v>
      </c>
      <c r="L2600" s="0" t="n">
        <v>0</v>
      </c>
      <c r="M2600" s="0" t="n">
        <v>0</v>
      </c>
      <c r="N2600" s="0" t="n">
        <v>0</v>
      </c>
      <c r="O2600" s="0" t="n">
        <v>647.06</v>
      </c>
    </row>
    <row r="2601" customFormat="false" ht="15" hidden="false" customHeight="false" outlineLevel="0" collapsed="false">
      <c r="A2601" s="0" t="s">
        <v>359</v>
      </c>
      <c r="B2601" s="0" t="s">
        <v>598</v>
      </c>
      <c r="C2601" s="0" t="n">
        <v>2023</v>
      </c>
      <c r="D2601" s="0" t="n">
        <v>11483370</v>
      </c>
      <c r="E2601" s="0" t="n">
        <v>0.56</v>
      </c>
      <c r="F2601" s="0" t="n">
        <v>0</v>
      </c>
      <c r="G2601" s="0" t="n">
        <v>0</v>
      </c>
      <c r="H2601" s="0" t="n">
        <v>0.55</v>
      </c>
      <c r="I2601" s="0" t="n">
        <v>0</v>
      </c>
      <c r="J2601" s="0" t="n">
        <v>0</v>
      </c>
      <c r="K2601" s="0" t="n">
        <v>0.01</v>
      </c>
      <c r="L2601" s="0" t="n">
        <v>0</v>
      </c>
      <c r="M2601" s="0" t="n">
        <v>0</v>
      </c>
      <c r="N2601" s="0" t="n">
        <v>0</v>
      </c>
      <c r="O2601" s="0" t="n">
        <v>642.86</v>
      </c>
    </row>
    <row r="2602" customFormat="false" ht="15" hidden="false" customHeight="false" outlineLevel="0" collapsed="false">
      <c r="A2602" s="0" t="s">
        <v>359</v>
      </c>
      <c r="B2602" s="0" t="s">
        <v>598</v>
      </c>
      <c r="C2602" s="0" t="n">
        <v>2024</v>
      </c>
      <c r="D2602" s="0" t="n">
        <v>11943410</v>
      </c>
      <c r="E2602" s="0" t="n">
        <v>0.56</v>
      </c>
      <c r="F2602" s="0" t="n">
        <v>0</v>
      </c>
      <c r="G2602" s="0" t="n">
        <v>0</v>
      </c>
      <c r="H2602" s="0" t="n">
        <v>0.55</v>
      </c>
      <c r="I2602" s="0" t="n">
        <v>0</v>
      </c>
      <c r="J2602" s="0" t="n">
        <v>0</v>
      </c>
      <c r="K2602" s="0" t="n">
        <v>0.01</v>
      </c>
      <c r="L2602" s="0" t="n">
        <v>0</v>
      </c>
      <c r="M2602" s="0" t="n">
        <v>0</v>
      </c>
      <c r="N2602" s="0" t="n">
        <v>0</v>
      </c>
      <c r="O2602" s="0" t="n">
        <v>642.86</v>
      </c>
    </row>
    <row r="2603" customFormat="false" ht="15" hidden="false" customHeight="false" outlineLevel="0" collapsed="false">
      <c r="A2603" s="0" t="s">
        <v>735</v>
      </c>
      <c r="C2603" s="0" t="n">
        <v>2015</v>
      </c>
      <c r="E2603" s="0" t="n">
        <v>1299.037</v>
      </c>
      <c r="F2603" s="0" t="n">
        <v>74.604</v>
      </c>
      <c r="G2603" s="0" t="n">
        <v>271.873</v>
      </c>
      <c r="H2603" s="0" t="n">
        <v>160.222</v>
      </c>
      <c r="I2603" s="0" t="n">
        <v>21.773</v>
      </c>
      <c r="J2603" s="0" t="n">
        <v>663.208</v>
      </c>
      <c r="K2603" s="0" t="n">
        <v>2.88</v>
      </c>
      <c r="L2603" s="0" t="n">
        <v>31.479</v>
      </c>
    </row>
    <row r="2604" customFormat="false" ht="15" hidden="false" customHeight="false" outlineLevel="0" collapsed="false">
      <c r="A2604" s="0" t="s">
        <v>735</v>
      </c>
      <c r="C2604" s="0" t="n">
        <v>2016</v>
      </c>
      <c r="E2604" s="0" t="n">
        <v>1306.583</v>
      </c>
      <c r="F2604" s="0" t="n">
        <v>77.293</v>
      </c>
      <c r="G2604" s="0" t="n">
        <v>260.948</v>
      </c>
      <c r="H2604" s="0" t="n">
        <v>139.221</v>
      </c>
      <c r="I2604" s="0" t="n">
        <v>24.149</v>
      </c>
      <c r="J2604" s="0" t="n">
        <v>679.318</v>
      </c>
      <c r="K2604" s="0" t="n">
        <v>4.904</v>
      </c>
      <c r="L2604" s="0" t="n">
        <v>45.206</v>
      </c>
    </row>
    <row r="2605" customFormat="false" ht="15" hidden="false" customHeight="false" outlineLevel="0" collapsed="false">
      <c r="A2605" s="0" t="s">
        <v>735</v>
      </c>
      <c r="C2605" s="0" t="n">
        <v>2017</v>
      </c>
      <c r="E2605" s="0" t="n">
        <v>1305.761</v>
      </c>
      <c r="F2605" s="0" t="n">
        <v>66.81</v>
      </c>
      <c r="G2605" s="0" t="n">
        <v>257.409</v>
      </c>
      <c r="H2605" s="0" t="n">
        <v>114.22</v>
      </c>
      <c r="I2605" s="0" t="n">
        <v>21.827</v>
      </c>
      <c r="J2605" s="0" t="n">
        <v>701.098</v>
      </c>
      <c r="K2605" s="0" t="n">
        <v>7.66</v>
      </c>
      <c r="L2605" s="0" t="n">
        <v>56.156</v>
      </c>
    </row>
    <row r="2606" customFormat="false" ht="15" hidden="false" customHeight="false" outlineLevel="0" collapsed="false">
      <c r="A2606" s="0" t="s">
        <v>735</v>
      </c>
      <c r="C2606" s="0" t="n">
        <v>2018</v>
      </c>
      <c r="E2606" s="0" t="n">
        <v>1314.955</v>
      </c>
      <c r="F2606" s="0" t="n">
        <v>66.592</v>
      </c>
      <c r="G2606" s="0" t="n">
        <v>247.488</v>
      </c>
      <c r="H2606" s="0" t="n">
        <v>98.591</v>
      </c>
      <c r="I2606" s="0" t="n">
        <v>22.546</v>
      </c>
      <c r="J2606" s="0" t="n">
        <v>717.162</v>
      </c>
      <c r="K2606" s="0" t="n">
        <v>12.814</v>
      </c>
      <c r="L2606" s="0" t="n">
        <v>65.765</v>
      </c>
    </row>
    <row r="2607" customFormat="false" ht="15" hidden="false" customHeight="false" outlineLevel="0" collapsed="false">
      <c r="A2607" s="0" t="s">
        <v>735</v>
      </c>
      <c r="C2607" s="0" t="n">
        <v>2019</v>
      </c>
      <c r="E2607" s="0" t="n">
        <v>1332.415</v>
      </c>
      <c r="F2607" s="0" t="n">
        <v>72.25</v>
      </c>
      <c r="G2607" s="0" t="n">
        <v>253.101</v>
      </c>
      <c r="H2607" s="0" t="n">
        <v>94.463</v>
      </c>
      <c r="I2607" s="0" t="n">
        <v>24.571</v>
      </c>
      <c r="J2607" s="0" t="n">
        <v>705.525</v>
      </c>
      <c r="K2607" s="0" t="n">
        <v>18.976</v>
      </c>
      <c r="L2607" s="0" t="n">
        <v>78.791</v>
      </c>
    </row>
    <row r="2608" customFormat="false" ht="15" hidden="false" customHeight="false" outlineLevel="0" collapsed="false">
      <c r="A2608" s="0" t="s">
        <v>735</v>
      </c>
      <c r="C2608" s="0" t="n">
        <v>2020</v>
      </c>
      <c r="E2608" s="0" t="n">
        <v>1316.431</v>
      </c>
      <c r="F2608" s="0" t="n">
        <v>69.531</v>
      </c>
      <c r="G2608" s="0" t="n">
        <v>236.111</v>
      </c>
      <c r="H2608" s="0" t="n">
        <v>90.036</v>
      </c>
      <c r="I2608" s="0" t="n">
        <v>24.063</v>
      </c>
      <c r="J2608" s="0" t="n">
        <v>697.096</v>
      </c>
      <c r="K2608" s="0" t="n">
        <v>25.798</v>
      </c>
      <c r="L2608" s="0" t="n">
        <v>85.304</v>
      </c>
    </row>
    <row r="2609" customFormat="false" ht="15" hidden="false" customHeight="false" outlineLevel="0" collapsed="false">
      <c r="A2609" s="0" t="s">
        <v>735</v>
      </c>
      <c r="C2609" s="0" t="n">
        <v>2021</v>
      </c>
      <c r="E2609" s="0" t="n">
        <v>1370.68</v>
      </c>
      <c r="F2609" s="0" t="n">
        <v>72.775</v>
      </c>
      <c r="G2609" s="0" t="n">
        <v>274.143</v>
      </c>
      <c r="H2609" s="0" t="n">
        <v>101.303</v>
      </c>
      <c r="I2609" s="0" t="n">
        <v>24.874</v>
      </c>
      <c r="J2609" s="0" t="n">
        <v>668.971</v>
      </c>
      <c r="K2609" s="0" t="n">
        <v>36.872</v>
      </c>
      <c r="L2609" s="0" t="n">
        <v>106.198</v>
      </c>
    </row>
    <row r="2610" customFormat="false" ht="15" hidden="false" customHeight="false" outlineLevel="0" collapsed="false">
      <c r="A2610" s="0" t="s">
        <v>735</v>
      </c>
      <c r="C2610" s="0" t="n">
        <v>2022</v>
      </c>
      <c r="E2610" s="0" t="n">
        <v>1396.46</v>
      </c>
      <c r="F2610" s="0" t="n">
        <v>53.881</v>
      </c>
      <c r="G2610" s="0" t="n">
        <v>223.042</v>
      </c>
      <c r="H2610" s="0" t="n">
        <v>94.389</v>
      </c>
      <c r="I2610" s="0" t="n">
        <v>22.028</v>
      </c>
      <c r="J2610" s="0" t="n">
        <v>745.107</v>
      </c>
      <c r="K2610" s="0" t="n">
        <v>56.701</v>
      </c>
      <c r="L2610" s="0" t="n">
        <v>117.878</v>
      </c>
    </row>
    <row r="2611" customFormat="false" ht="15" hidden="false" customHeight="false" outlineLevel="0" collapsed="false">
      <c r="A2611" s="0" t="s">
        <v>735</v>
      </c>
      <c r="C2611" s="0" t="n">
        <v>2023</v>
      </c>
      <c r="E2611" s="0" t="n">
        <v>1459.449</v>
      </c>
      <c r="F2611" s="0" t="n">
        <v>52.525</v>
      </c>
      <c r="G2611" s="0" t="n">
        <v>232.534</v>
      </c>
      <c r="H2611" s="0" t="n">
        <v>91.029</v>
      </c>
      <c r="I2611" s="0" t="n">
        <v>23.467</v>
      </c>
      <c r="J2611" s="0" t="n">
        <v>755.154</v>
      </c>
      <c r="K2611" s="0" t="n">
        <v>82.168</v>
      </c>
      <c r="L2611" s="0" t="n">
        <v>134.074</v>
      </c>
    </row>
    <row r="2612" customFormat="false" ht="15" hidden="false" customHeight="false" outlineLevel="0" collapsed="false">
      <c r="A2612" s="0" t="s">
        <v>735</v>
      </c>
      <c r="C2612" s="0" t="n">
        <v>2024</v>
      </c>
      <c r="E2612" s="0" t="n">
        <v>1506.268</v>
      </c>
      <c r="F2612" s="0" t="n">
        <v>54.562</v>
      </c>
      <c r="G2612" s="0" t="n">
        <v>248.819</v>
      </c>
      <c r="H2612" s="0" t="n">
        <v>90.57</v>
      </c>
      <c r="I2612" s="0" t="n">
        <v>26.227</v>
      </c>
      <c r="J2612" s="0" t="n">
        <v>735.744</v>
      </c>
      <c r="K2612" s="0" t="n">
        <v>109.26</v>
      </c>
      <c r="L2612" s="0" t="n">
        <v>150.271</v>
      </c>
    </row>
    <row r="2613" customFormat="false" ht="15" hidden="false" customHeight="false" outlineLevel="0" collapsed="false">
      <c r="A2613" s="0" t="s">
        <v>360</v>
      </c>
      <c r="B2613" s="0" t="s">
        <v>599</v>
      </c>
      <c r="C2613" s="0" t="n">
        <v>2015</v>
      </c>
      <c r="D2613" s="0" t="n">
        <v>46683683</v>
      </c>
      <c r="E2613" s="0" t="n">
        <v>277.17</v>
      </c>
      <c r="F2613" s="0" t="n">
        <v>51.37</v>
      </c>
      <c r="G2613" s="0" t="n">
        <v>52.5</v>
      </c>
      <c r="H2613" s="0" t="n">
        <v>19.02</v>
      </c>
      <c r="I2613" s="0" t="n">
        <v>57.2</v>
      </c>
      <c r="J2613" s="0" t="n">
        <v>28.14</v>
      </c>
      <c r="K2613" s="0" t="n">
        <v>13.86</v>
      </c>
      <c r="L2613" s="0" t="n">
        <v>49.32</v>
      </c>
      <c r="M2613" s="0" t="n">
        <v>5.76</v>
      </c>
      <c r="N2613" s="0" t="n">
        <v>0</v>
      </c>
      <c r="O2613" s="0" t="n">
        <v>328.5</v>
      </c>
    </row>
    <row r="2614" customFormat="false" ht="15" hidden="false" customHeight="false" outlineLevel="0" collapsed="false">
      <c r="A2614" s="0" t="s">
        <v>360</v>
      </c>
      <c r="B2614" s="0" t="s">
        <v>599</v>
      </c>
      <c r="C2614" s="0" t="n">
        <v>2016</v>
      </c>
      <c r="D2614" s="0" t="n">
        <v>46732768</v>
      </c>
      <c r="E2614" s="0" t="n">
        <v>270.7</v>
      </c>
      <c r="F2614" s="0" t="n">
        <v>36.43</v>
      </c>
      <c r="G2614" s="0" t="n">
        <v>52.83</v>
      </c>
      <c r="H2614" s="0" t="n">
        <v>18.18</v>
      </c>
      <c r="I2614" s="0" t="n">
        <v>58.63</v>
      </c>
      <c r="J2614" s="0" t="n">
        <v>36.4</v>
      </c>
      <c r="K2614" s="0" t="n">
        <v>13.64</v>
      </c>
      <c r="L2614" s="0" t="n">
        <v>48.9</v>
      </c>
      <c r="M2614" s="0" t="n">
        <v>5.69</v>
      </c>
      <c r="N2614" s="0" t="n">
        <v>0</v>
      </c>
      <c r="O2614" s="0" t="n">
        <v>282.93</v>
      </c>
    </row>
    <row r="2615" customFormat="false" ht="15" hidden="false" customHeight="false" outlineLevel="0" collapsed="false">
      <c r="A2615" s="0" t="s">
        <v>360</v>
      </c>
      <c r="B2615" s="0" t="s">
        <v>599</v>
      </c>
      <c r="C2615" s="0" t="n">
        <v>2017</v>
      </c>
      <c r="D2615" s="0" t="n">
        <v>46868594</v>
      </c>
      <c r="E2615" s="0" t="n">
        <v>272.38</v>
      </c>
      <c r="F2615" s="0" t="n">
        <v>45.13</v>
      </c>
      <c r="G2615" s="0" t="n">
        <v>64.04</v>
      </c>
      <c r="H2615" s="0" t="n">
        <v>17.24</v>
      </c>
      <c r="I2615" s="0" t="n">
        <v>58.04</v>
      </c>
      <c r="J2615" s="0" t="n">
        <v>18.32</v>
      </c>
      <c r="K2615" s="0" t="n">
        <v>14.4</v>
      </c>
      <c r="L2615" s="0" t="n">
        <v>49.13</v>
      </c>
      <c r="M2615" s="0" t="n">
        <v>6.08</v>
      </c>
      <c r="N2615" s="0" t="n">
        <v>0</v>
      </c>
      <c r="O2615" s="0" t="n">
        <v>329.17</v>
      </c>
    </row>
    <row r="2616" customFormat="false" ht="15" hidden="false" customHeight="false" outlineLevel="0" collapsed="false">
      <c r="A2616" s="0" t="s">
        <v>360</v>
      </c>
      <c r="B2616" s="0" t="s">
        <v>599</v>
      </c>
      <c r="C2616" s="0" t="n">
        <v>2018</v>
      </c>
      <c r="D2616" s="0" t="n">
        <v>47092817</v>
      </c>
      <c r="E2616" s="0" t="n">
        <v>271.4</v>
      </c>
      <c r="F2616" s="0" t="n">
        <v>37.34</v>
      </c>
      <c r="G2616" s="0" t="n">
        <v>58</v>
      </c>
      <c r="H2616" s="0" t="n">
        <v>16.42</v>
      </c>
      <c r="I2616" s="0" t="n">
        <v>55.77</v>
      </c>
      <c r="J2616" s="0" t="n">
        <v>34.33</v>
      </c>
      <c r="K2616" s="0" t="n">
        <v>12.74</v>
      </c>
      <c r="L2616" s="0" t="n">
        <v>50.89</v>
      </c>
      <c r="M2616" s="0" t="n">
        <v>5.91</v>
      </c>
      <c r="N2616" s="0" t="n">
        <v>0</v>
      </c>
      <c r="O2616" s="0" t="n">
        <v>290.86</v>
      </c>
    </row>
    <row r="2617" customFormat="false" ht="15" hidden="false" customHeight="false" outlineLevel="0" collapsed="false">
      <c r="A2617" s="0" t="s">
        <v>360</v>
      </c>
      <c r="B2617" s="0" t="s">
        <v>599</v>
      </c>
      <c r="C2617" s="0" t="n">
        <v>2019</v>
      </c>
      <c r="D2617" s="0" t="n">
        <v>47435121</v>
      </c>
      <c r="E2617" s="0" t="n">
        <v>270.52</v>
      </c>
      <c r="F2617" s="0" t="n">
        <v>12.86</v>
      </c>
      <c r="G2617" s="0" t="n">
        <v>83.71</v>
      </c>
      <c r="H2617" s="0" t="n">
        <v>14.61</v>
      </c>
      <c r="I2617" s="0" t="n">
        <v>58.35</v>
      </c>
      <c r="J2617" s="0" t="n">
        <v>24.65</v>
      </c>
      <c r="K2617" s="0" t="n">
        <v>15.1</v>
      </c>
      <c r="L2617" s="0" t="n">
        <v>55.65</v>
      </c>
      <c r="M2617" s="0" t="n">
        <v>5.57</v>
      </c>
      <c r="N2617" s="0" t="n">
        <v>0.02</v>
      </c>
      <c r="O2617" s="0" t="n">
        <v>246.67</v>
      </c>
    </row>
    <row r="2618" customFormat="false" ht="15" hidden="false" customHeight="false" outlineLevel="0" collapsed="false">
      <c r="A2618" s="0" t="s">
        <v>360</v>
      </c>
      <c r="B2618" s="0" t="s">
        <v>599</v>
      </c>
      <c r="C2618" s="0" t="n">
        <v>2020</v>
      </c>
      <c r="D2618" s="0" t="n">
        <v>47679482</v>
      </c>
      <c r="E2618" s="0" t="n">
        <v>259.47</v>
      </c>
      <c r="F2618" s="0" t="n">
        <v>5.52</v>
      </c>
      <c r="G2618" s="0" t="n">
        <v>69.74</v>
      </c>
      <c r="H2618" s="0" t="n">
        <v>12.12</v>
      </c>
      <c r="I2618" s="0" t="n">
        <v>58.3</v>
      </c>
      <c r="J2618" s="0" t="n">
        <v>30.51</v>
      </c>
      <c r="K2618" s="0" t="n">
        <v>20.67</v>
      </c>
      <c r="L2618" s="0" t="n">
        <v>56.44</v>
      </c>
      <c r="M2618" s="0" t="n">
        <v>6.14</v>
      </c>
      <c r="N2618" s="0" t="n">
        <v>0.03</v>
      </c>
      <c r="O2618" s="0" t="n">
        <v>199.1</v>
      </c>
    </row>
    <row r="2619" customFormat="false" ht="15" hidden="false" customHeight="false" outlineLevel="0" collapsed="false">
      <c r="A2619" s="0" t="s">
        <v>360</v>
      </c>
      <c r="B2619" s="0" t="s">
        <v>599</v>
      </c>
      <c r="C2619" s="0" t="n">
        <v>2021</v>
      </c>
      <c r="D2619" s="0" t="n">
        <v>47735670</v>
      </c>
      <c r="E2619" s="0" t="n">
        <v>270.75</v>
      </c>
      <c r="F2619" s="0" t="n">
        <v>4.86</v>
      </c>
      <c r="G2619" s="0" t="n">
        <v>71.5</v>
      </c>
      <c r="H2619" s="0" t="n">
        <v>12.08</v>
      </c>
      <c r="I2619" s="0" t="n">
        <v>56.56</v>
      </c>
      <c r="J2619" s="0" t="n">
        <v>29.63</v>
      </c>
      <c r="K2619" s="0" t="n">
        <v>27.1</v>
      </c>
      <c r="L2619" s="0" t="n">
        <v>62.06</v>
      </c>
      <c r="M2619" s="0" t="n">
        <v>6.94</v>
      </c>
      <c r="N2619" s="0" t="n">
        <v>0.02</v>
      </c>
      <c r="O2619" s="0" t="n">
        <v>193.54</v>
      </c>
    </row>
    <row r="2620" customFormat="false" ht="15" hidden="false" customHeight="false" outlineLevel="0" collapsed="false">
      <c r="A2620" s="0" t="s">
        <v>360</v>
      </c>
      <c r="B2620" s="0" t="s">
        <v>599</v>
      </c>
      <c r="C2620" s="0" t="n">
        <v>2022</v>
      </c>
      <c r="D2620" s="0" t="n">
        <v>47828386</v>
      </c>
      <c r="E2620" s="0" t="n">
        <v>287.15</v>
      </c>
      <c r="F2620" s="0" t="n">
        <v>7.86</v>
      </c>
      <c r="G2620" s="0" t="n">
        <v>86.1</v>
      </c>
      <c r="H2620" s="0" t="n">
        <v>11.69</v>
      </c>
      <c r="I2620" s="0" t="n">
        <v>58.59</v>
      </c>
      <c r="J2620" s="0" t="n">
        <v>17.59</v>
      </c>
      <c r="K2620" s="0" t="n">
        <v>35.72</v>
      </c>
      <c r="L2620" s="0" t="n">
        <v>62.78</v>
      </c>
      <c r="M2620" s="0" t="n">
        <v>6.8</v>
      </c>
      <c r="N2620" s="0" t="n">
        <v>0.02</v>
      </c>
      <c r="O2620" s="0" t="n">
        <v>217.13</v>
      </c>
    </row>
    <row r="2621" customFormat="false" ht="15" hidden="false" customHeight="false" outlineLevel="0" collapsed="false">
      <c r="A2621" s="0" t="s">
        <v>360</v>
      </c>
      <c r="B2621" s="0" t="s">
        <v>599</v>
      </c>
      <c r="C2621" s="0" t="n">
        <v>2023</v>
      </c>
      <c r="D2621" s="0" t="n">
        <v>47911583</v>
      </c>
      <c r="E2621" s="0" t="n">
        <v>279.11</v>
      </c>
      <c r="F2621" s="0" t="n">
        <v>3.62</v>
      </c>
      <c r="G2621" s="0" t="n">
        <v>64.36</v>
      </c>
      <c r="H2621" s="0" t="n">
        <v>10.48</v>
      </c>
      <c r="I2621" s="0" t="n">
        <v>56.87</v>
      </c>
      <c r="J2621" s="0" t="n">
        <v>25</v>
      </c>
      <c r="K2621" s="0" t="n">
        <v>48.59</v>
      </c>
      <c r="L2621" s="0" t="n">
        <v>64.28</v>
      </c>
      <c r="M2621" s="0" t="n">
        <v>5.9</v>
      </c>
      <c r="N2621" s="0" t="n">
        <v>0.01</v>
      </c>
      <c r="O2621" s="0" t="n">
        <v>169.68</v>
      </c>
    </row>
    <row r="2622" customFormat="false" ht="15" hidden="false" customHeight="false" outlineLevel="0" collapsed="false">
      <c r="A2622" s="0" t="s">
        <v>360</v>
      </c>
      <c r="B2622" s="0" t="s">
        <v>599</v>
      </c>
      <c r="C2622" s="0" t="n">
        <v>2024</v>
      </c>
      <c r="D2622" s="0" t="n">
        <v>47910533</v>
      </c>
      <c r="E2622" s="0" t="n">
        <v>280.94</v>
      </c>
      <c r="F2622" s="0" t="n">
        <v>2.58</v>
      </c>
      <c r="G2622" s="0" t="n">
        <v>52.34</v>
      </c>
      <c r="H2622" s="0" t="n">
        <v>10.41</v>
      </c>
      <c r="I2622" s="0" t="n">
        <v>54.53</v>
      </c>
      <c r="J2622" s="0" t="n">
        <v>34.41</v>
      </c>
      <c r="K2622" s="0" t="n">
        <v>58.29</v>
      </c>
      <c r="L2622" s="0" t="n">
        <v>62.2</v>
      </c>
      <c r="M2622" s="0" t="n">
        <v>6.17</v>
      </c>
      <c r="N2622" s="0" t="n">
        <v>0.01</v>
      </c>
      <c r="O2622" s="0" t="n">
        <v>146.22</v>
      </c>
    </row>
    <row r="2623" customFormat="false" ht="15" hidden="false" customHeight="false" outlineLevel="0" collapsed="false">
      <c r="A2623" s="0" t="s">
        <v>360</v>
      </c>
      <c r="B2623" s="0" t="s">
        <v>599</v>
      </c>
      <c r="C2623" s="0" t="n">
        <v>2025</v>
      </c>
      <c r="D2623" s="0" t="n">
        <v>47889960</v>
      </c>
      <c r="E2623" s="0" t="n">
        <v>287.89</v>
      </c>
      <c r="F2623" s="0" t="n">
        <v>0.92</v>
      </c>
      <c r="G2623" s="0" t="n">
        <v>62.06</v>
      </c>
      <c r="H2623" s="0" t="n">
        <v>10.03</v>
      </c>
      <c r="I2623" s="0" t="n">
        <v>54.07</v>
      </c>
      <c r="J2623" s="0" t="n">
        <v>32.74</v>
      </c>
      <c r="K2623" s="0" t="n">
        <v>62.9</v>
      </c>
      <c r="L2623" s="0" t="n">
        <v>58.76</v>
      </c>
      <c r="M2623" s="0" t="n">
        <v>6.41</v>
      </c>
      <c r="N2623" s="0" t="n">
        <v>0</v>
      </c>
      <c r="O2623" s="0" t="n">
        <v>153.6</v>
      </c>
    </row>
    <row r="2624" customFormat="false" ht="15" hidden="false" customHeight="false" outlineLevel="0" collapsed="false">
      <c r="A2624" s="0" t="s">
        <v>361</v>
      </c>
      <c r="B2624" s="0" t="s">
        <v>600</v>
      </c>
      <c r="C2624" s="0" t="n">
        <v>2015</v>
      </c>
      <c r="D2624" s="0" t="n">
        <v>21729975</v>
      </c>
      <c r="E2624" s="0" t="n">
        <v>13.21</v>
      </c>
      <c r="F2624" s="0" t="n">
        <v>4.46</v>
      </c>
      <c r="H2624" s="0" t="n">
        <v>2.31</v>
      </c>
      <c r="I2624" s="0" t="n">
        <v>0</v>
      </c>
      <c r="J2624" s="0" t="n">
        <v>6</v>
      </c>
      <c r="K2624" s="0" t="n">
        <v>0.04</v>
      </c>
      <c r="L2624" s="0" t="n">
        <v>0.34</v>
      </c>
      <c r="M2624" s="0" t="n">
        <v>0.06</v>
      </c>
      <c r="O2624" s="0" t="n">
        <v>417.87</v>
      </c>
    </row>
    <row r="2625" customFormat="false" ht="15" hidden="false" customHeight="false" outlineLevel="0" collapsed="false">
      <c r="A2625" s="0" t="s">
        <v>361</v>
      </c>
      <c r="B2625" s="0" t="s">
        <v>600</v>
      </c>
      <c r="C2625" s="0" t="n">
        <v>2016</v>
      </c>
      <c r="D2625" s="0" t="n">
        <v>21910763</v>
      </c>
      <c r="E2625" s="0" t="n">
        <v>14.31</v>
      </c>
      <c r="F2625" s="0" t="n">
        <v>5.07</v>
      </c>
      <c r="H2625" s="0" t="n">
        <v>4.52</v>
      </c>
      <c r="I2625" s="0" t="n">
        <v>0</v>
      </c>
      <c r="J2625" s="0" t="n">
        <v>4.25</v>
      </c>
      <c r="K2625" s="0" t="n">
        <v>0.05</v>
      </c>
      <c r="L2625" s="0" t="n">
        <v>0.35</v>
      </c>
      <c r="M2625" s="0" t="n">
        <v>0.07</v>
      </c>
      <c r="O2625" s="0" t="n">
        <v>522.01</v>
      </c>
    </row>
    <row r="2626" customFormat="false" ht="15" hidden="false" customHeight="false" outlineLevel="0" collapsed="false">
      <c r="A2626" s="0" t="s">
        <v>361</v>
      </c>
      <c r="B2626" s="0" t="s">
        <v>600</v>
      </c>
      <c r="C2626" s="0" t="n">
        <v>2017</v>
      </c>
      <c r="D2626" s="0" t="n">
        <v>22087525</v>
      </c>
      <c r="E2626" s="0" t="n">
        <v>14.89</v>
      </c>
      <c r="F2626" s="0" t="n">
        <v>5.12</v>
      </c>
      <c r="H2626" s="0" t="n">
        <v>5.15</v>
      </c>
      <c r="I2626" s="0" t="n">
        <v>0</v>
      </c>
      <c r="J2626" s="0" t="n">
        <v>4.03</v>
      </c>
      <c r="K2626" s="0" t="n">
        <v>0.15</v>
      </c>
      <c r="L2626" s="0" t="n">
        <v>0.37</v>
      </c>
      <c r="M2626" s="0" t="n">
        <v>0.07</v>
      </c>
      <c r="O2626" s="0" t="n">
        <v>533.24</v>
      </c>
    </row>
    <row r="2627" customFormat="false" ht="15" hidden="false" customHeight="false" outlineLevel="0" collapsed="false">
      <c r="A2627" s="0" t="s">
        <v>361</v>
      </c>
      <c r="B2627" s="0" t="s">
        <v>600</v>
      </c>
      <c r="C2627" s="0" t="n">
        <v>2018</v>
      </c>
      <c r="D2627" s="0" t="n">
        <v>22253116</v>
      </c>
      <c r="E2627" s="0" t="n">
        <v>16.07</v>
      </c>
      <c r="F2627" s="0" t="n">
        <v>5.3</v>
      </c>
      <c r="H2627" s="0" t="n">
        <v>3.72</v>
      </c>
      <c r="I2627" s="0" t="n">
        <v>0</v>
      </c>
      <c r="J2627" s="0" t="n">
        <v>6.41</v>
      </c>
      <c r="K2627" s="0" t="n">
        <v>0.22</v>
      </c>
      <c r="L2627" s="0" t="n">
        <v>0.33</v>
      </c>
      <c r="M2627" s="0" t="n">
        <v>0.09</v>
      </c>
      <c r="O2627" s="0" t="n">
        <v>448.66</v>
      </c>
    </row>
    <row r="2628" customFormat="false" ht="15" hidden="false" customHeight="false" outlineLevel="0" collapsed="false">
      <c r="A2628" s="0" t="s">
        <v>361</v>
      </c>
      <c r="B2628" s="0" t="s">
        <v>600</v>
      </c>
      <c r="C2628" s="0" t="n">
        <v>2019</v>
      </c>
      <c r="D2628" s="0" t="n">
        <v>22410552</v>
      </c>
      <c r="E2628" s="0" t="n">
        <v>16.67</v>
      </c>
      <c r="F2628" s="0" t="n">
        <v>5.92</v>
      </c>
      <c r="H2628" s="0" t="n">
        <v>5.12</v>
      </c>
      <c r="I2628" s="0" t="n">
        <v>0</v>
      </c>
      <c r="J2628" s="0" t="n">
        <v>4.82</v>
      </c>
      <c r="K2628" s="0" t="n">
        <v>0.34</v>
      </c>
      <c r="L2628" s="0" t="n">
        <v>0.35</v>
      </c>
      <c r="M2628" s="0" t="n">
        <v>0.12</v>
      </c>
      <c r="O2628" s="0" t="n">
        <v>518.3</v>
      </c>
    </row>
    <row r="2629" customFormat="false" ht="15" hidden="false" customHeight="false" outlineLevel="0" collapsed="false">
      <c r="A2629" s="0" t="s">
        <v>361</v>
      </c>
      <c r="B2629" s="0" t="s">
        <v>600</v>
      </c>
      <c r="C2629" s="0" t="n">
        <v>2020</v>
      </c>
      <c r="D2629" s="0" t="n">
        <v>22561808</v>
      </c>
      <c r="E2629" s="0" t="n">
        <v>16.5</v>
      </c>
      <c r="F2629" s="0" t="n">
        <v>6.36</v>
      </c>
      <c r="H2629" s="0" t="n">
        <v>4.27</v>
      </c>
      <c r="I2629" s="0" t="n">
        <v>0</v>
      </c>
      <c r="J2629" s="0" t="n">
        <v>4.98</v>
      </c>
      <c r="K2629" s="0" t="n">
        <v>0.46</v>
      </c>
      <c r="L2629" s="0" t="n">
        <v>0.33</v>
      </c>
      <c r="M2629" s="0" t="n">
        <v>0.1</v>
      </c>
      <c r="N2629" s="0" t="n">
        <v>0</v>
      </c>
      <c r="O2629" s="0" t="n">
        <v>512.73</v>
      </c>
    </row>
    <row r="2630" customFormat="false" ht="15" hidden="false" customHeight="false" outlineLevel="0" collapsed="false">
      <c r="A2630" s="0" t="s">
        <v>361</v>
      </c>
      <c r="B2630" s="0" t="s">
        <v>600</v>
      </c>
      <c r="C2630" s="0" t="n">
        <v>2021</v>
      </c>
      <c r="D2630" s="0" t="n">
        <v>22700377</v>
      </c>
      <c r="E2630" s="0" t="n">
        <v>17.51</v>
      </c>
      <c r="F2630" s="0" t="n">
        <v>6.11</v>
      </c>
      <c r="H2630" s="0" t="n">
        <v>2.75</v>
      </c>
      <c r="I2630" s="0" t="n">
        <v>0</v>
      </c>
      <c r="J2630" s="0" t="n">
        <v>7.23</v>
      </c>
      <c r="K2630" s="0" t="n">
        <v>0.64</v>
      </c>
      <c r="L2630" s="0" t="n">
        <v>0.65</v>
      </c>
      <c r="M2630" s="0" t="n">
        <v>0.09</v>
      </c>
      <c r="N2630" s="0" t="n">
        <v>0.04</v>
      </c>
      <c r="O2630" s="0" t="n">
        <v>418.05</v>
      </c>
    </row>
    <row r="2631" customFormat="false" ht="15" hidden="false" customHeight="false" outlineLevel="0" collapsed="false">
      <c r="A2631" s="0" t="s">
        <v>361</v>
      </c>
      <c r="B2631" s="0" t="s">
        <v>600</v>
      </c>
      <c r="C2631" s="0" t="n">
        <v>2022</v>
      </c>
      <c r="D2631" s="0" t="n">
        <v>22834965</v>
      </c>
      <c r="E2631" s="0" t="n">
        <v>16.75</v>
      </c>
      <c r="F2631" s="0" t="n">
        <v>5.73</v>
      </c>
      <c r="H2631" s="0" t="n">
        <v>2.59</v>
      </c>
      <c r="I2631" s="0" t="n">
        <v>0</v>
      </c>
      <c r="J2631" s="0" t="n">
        <v>6.77</v>
      </c>
      <c r="K2631" s="0" t="n">
        <v>0.84</v>
      </c>
      <c r="L2631" s="0" t="n">
        <v>0.74</v>
      </c>
      <c r="M2631" s="0" t="n">
        <v>0.05</v>
      </c>
      <c r="N2631" s="0" t="n">
        <v>0.03</v>
      </c>
      <c r="O2631" s="0" t="n">
        <v>410.15</v>
      </c>
    </row>
    <row r="2632" customFormat="false" ht="15" hidden="false" customHeight="false" outlineLevel="0" collapsed="false">
      <c r="A2632" s="0" t="s">
        <v>361</v>
      </c>
      <c r="B2632" s="0" t="s">
        <v>600</v>
      </c>
      <c r="C2632" s="0" t="n">
        <v>2023</v>
      </c>
      <c r="D2632" s="0" t="n">
        <v>22971615</v>
      </c>
      <c r="E2632" s="0" t="n">
        <v>16.39</v>
      </c>
      <c r="F2632" s="0" t="n">
        <v>5.15</v>
      </c>
      <c r="H2632" s="0" t="n">
        <v>3.28</v>
      </c>
      <c r="I2632" s="0" t="n">
        <v>0</v>
      </c>
      <c r="J2632" s="0" t="n">
        <v>5.98</v>
      </c>
      <c r="K2632" s="0" t="n">
        <v>1</v>
      </c>
      <c r="L2632" s="0" t="n">
        <v>0.82</v>
      </c>
      <c r="M2632" s="0" t="n">
        <v>0.12</v>
      </c>
      <c r="N2632" s="0" t="n">
        <v>0.04</v>
      </c>
      <c r="O2632" s="0" t="n">
        <v>417.33</v>
      </c>
    </row>
    <row r="2633" customFormat="false" ht="15" hidden="false" customHeight="false" outlineLevel="0" collapsed="false">
      <c r="A2633" s="0" t="s">
        <v>361</v>
      </c>
      <c r="B2633" s="0" t="s">
        <v>600</v>
      </c>
      <c r="C2633" s="0" t="n">
        <v>2024</v>
      </c>
      <c r="D2633" s="0" t="n">
        <v>23103561</v>
      </c>
      <c r="E2633" s="0" t="n">
        <v>17.07</v>
      </c>
      <c r="F2633" s="0" t="n">
        <v>5.61</v>
      </c>
      <c r="H2633" s="0" t="n">
        <v>2.03</v>
      </c>
      <c r="I2633" s="0" t="n">
        <v>0</v>
      </c>
      <c r="J2633" s="0" t="n">
        <v>7.01</v>
      </c>
      <c r="K2633" s="0" t="n">
        <v>1.31</v>
      </c>
      <c r="L2633" s="0" t="n">
        <v>0.87</v>
      </c>
      <c r="M2633" s="0" t="n">
        <v>0.2</v>
      </c>
      <c r="N2633" s="0" t="n">
        <v>0.04</v>
      </c>
      <c r="O2633" s="0" t="n">
        <v>378.44</v>
      </c>
    </row>
    <row r="2634" customFormat="false" ht="15" hidden="false" customHeight="false" outlineLevel="0" collapsed="false">
      <c r="A2634" s="0" t="s">
        <v>361</v>
      </c>
      <c r="B2634" s="0" t="s">
        <v>600</v>
      </c>
      <c r="C2634" s="0" t="n">
        <v>2025</v>
      </c>
      <c r="D2634" s="0" t="n">
        <v>23229474</v>
      </c>
      <c r="E2634" s="0" t="n">
        <v>17.25</v>
      </c>
      <c r="F2634" s="0" t="n">
        <v>4.75</v>
      </c>
      <c r="H2634" s="0" t="n">
        <v>1.87</v>
      </c>
      <c r="J2634" s="0" t="n">
        <v>6.59</v>
      </c>
      <c r="K2634" s="0" t="n">
        <v>2.84</v>
      </c>
      <c r="L2634" s="0" t="n">
        <v>0.93</v>
      </c>
      <c r="M2634" s="0" t="n">
        <v>0.23</v>
      </c>
      <c r="N2634" s="0" t="n">
        <v>0.04</v>
      </c>
      <c r="O2634" s="0" t="n">
        <v>329.28</v>
      </c>
    </row>
    <row r="2635" customFormat="false" ht="15" hidden="false" customHeight="false" outlineLevel="0" collapsed="false">
      <c r="A2635" s="0" t="s">
        <v>362</v>
      </c>
      <c r="B2635" s="0" t="s">
        <v>601</v>
      </c>
      <c r="C2635" s="0" t="n">
        <v>2015</v>
      </c>
      <c r="D2635" s="0" t="n">
        <v>40024433</v>
      </c>
      <c r="E2635" s="0" t="n">
        <v>13.09</v>
      </c>
      <c r="F2635" s="0" t="n">
        <v>0</v>
      </c>
      <c r="G2635" s="0" t="n">
        <v>0</v>
      </c>
      <c r="H2635" s="0" t="n">
        <v>4.63</v>
      </c>
      <c r="I2635" s="0" t="n">
        <v>0</v>
      </c>
      <c r="J2635" s="0" t="n">
        <v>8.34</v>
      </c>
      <c r="K2635" s="0" t="n">
        <v>0.01</v>
      </c>
      <c r="L2635" s="0" t="n">
        <v>0</v>
      </c>
      <c r="M2635" s="0" t="n">
        <v>0.11</v>
      </c>
      <c r="N2635" s="0" t="n">
        <v>0</v>
      </c>
      <c r="O2635" s="0" t="n">
        <v>249.81</v>
      </c>
    </row>
    <row r="2636" customFormat="false" ht="15" hidden="false" customHeight="false" outlineLevel="0" collapsed="false">
      <c r="A2636" s="0" t="s">
        <v>362</v>
      </c>
      <c r="B2636" s="0" t="s">
        <v>601</v>
      </c>
      <c r="C2636" s="0" t="n">
        <v>2016</v>
      </c>
      <c r="D2636" s="0" t="n">
        <v>41259892</v>
      </c>
      <c r="E2636" s="0" t="n">
        <v>14.57</v>
      </c>
      <c r="F2636" s="0" t="n">
        <v>0</v>
      </c>
      <c r="G2636" s="0" t="n">
        <v>0</v>
      </c>
      <c r="H2636" s="0" t="n">
        <v>6.38</v>
      </c>
      <c r="I2636" s="0" t="n">
        <v>0</v>
      </c>
      <c r="J2636" s="0" t="n">
        <v>8.05</v>
      </c>
      <c r="K2636" s="0" t="n">
        <v>0.02</v>
      </c>
      <c r="L2636" s="0" t="n">
        <v>0</v>
      </c>
      <c r="M2636" s="0" t="n">
        <v>0.12</v>
      </c>
      <c r="N2636" s="0" t="n">
        <v>0</v>
      </c>
      <c r="O2636" s="0" t="n">
        <v>303.36</v>
      </c>
    </row>
    <row r="2637" customFormat="false" ht="15" hidden="false" customHeight="false" outlineLevel="0" collapsed="false">
      <c r="A2637" s="0" t="s">
        <v>362</v>
      </c>
      <c r="B2637" s="0" t="s">
        <v>601</v>
      </c>
      <c r="C2637" s="0" t="n">
        <v>2017</v>
      </c>
      <c r="D2637" s="0" t="n">
        <v>42714311</v>
      </c>
      <c r="E2637" s="0" t="n">
        <v>15.7</v>
      </c>
      <c r="F2637" s="0" t="n">
        <v>0</v>
      </c>
      <c r="G2637" s="0" t="n">
        <v>0</v>
      </c>
      <c r="H2637" s="0" t="n">
        <v>6.2</v>
      </c>
      <c r="I2637" s="0" t="n">
        <v>0</v>
      </c>
      <c r="J2637" s="0" t="n">
        <v>9.35</v>
      </c>
      <c r="K2637" s="0" t="n">
        <v>0.02</v>
      </c>
      <c r="L2637" s="0" t="n">
        <v>0</v>
      </c>
      <c r="M2637" s="0" t="n">
        <v>0.13</v>
      </c>
      <c r="N2637" s="0" t="n">
        <v>0</v>
      </c>
      <c r="O2637" s="0" t="n">
        <v>275.8</v>
      </c>
    </row>
    <row r="2638" customFormat="false" ht="15" hidden="false" customHeight="false" outlineLevel="0" collapsed="false">
      <c r="A2638" s="0" t="s">
        <v>362</v>
      </c>
      <c r="B2638" s="0" t="s">
        <v>601</v>
      </c>
      <c r="C2638" s="0" t="n">
        <v>2018</v>
      </c>
      <c r="D2638" s="0" t="n">
        <v>44230597</v>
      </c>
      <c r="E2638" s="0" t="n">
        <v>16.4</v>
      </c>
      <c r="F2638" s="0" t="n">
        <v>0</v>
      </c>
      <c r="G2638" s="0" t="n">
        <v>0</v>
      </c>
      <c r="H2638" s="0" t="n">
        <v>6.6</v>
      </c>
      <c r="I2638" s="0" t="n">
        <v>0</v>
      </c>
      <c r="J2638" s="0" t="n">
        <v>9.66</v>
      </c>
      <c r="K2638" s="0" t="n">
        <v>0.02</v>
      </c>
      <c r="L2638" s="0" t="n">
        <v>0</v>
      </c>
      <c r="M2638" s="0" t="n">
        <v>0.12</v>
      </c>
      <c r="N2638" s="0" t="n">
        <v>0</v>
      </c>
      <c r="O2638" s="0" t="n">
        <v>280.49</v>
      </c>
    </row>
    <row r="2639" customFormat="false" ht="15" hidden="false" customHeight="false" outlineLevel="0" collapsed="false">
      <c r="A2639" s="0" t="s">
        <v>362</v>
      </c>
      <c r="B2639" s="0" t="s">
        <v>601</v>
      </c>
      <c r="C2639" s="0" t="n">
        <v>2019</v>
      </c>
      <c r="D2639" s="0" t="n">
        <v>45548179</v>
      </c>
      <c r="E2639" s="0" t="n">
        <v>16.22</v>
      </c>
      <c r="F2639" s="0" t="n">
        <v>0</v>
      </c>
      <c r="G2639" s="0" t="n">
        <v>0</v>
      </c>
      <c r="H2639" s="0" t="n">
        <v>5.88</v>
      </c>
      <c r="I2639" s="0" t="n">
        <v>0</v>
      </c>
      <c r="J2639" s="0" t="n">
        <v>10.21</v>
      </c>
      <c r="K2639" s="0" t="n">
        <v>0.02</v>
      </c>
      <c r="L2639" s="0" t="n">
        <v>0</v>
      </c>
      <c r="M2639" s="0" t="n">
        <v>0.11</v>
      </c>
      <c r="N2639" s="0" t="n">
        <v>0</v>
      </c>
      <c r="O2639" s="0" t="n">
        <v>254.62</v>
      </c>
    </row>
    <row r="2640" customFormat="false" ht="15" hidden="false" customHeight="false" outlineLevel="0" collapsed="false">
      <c r="A2640" s="0" t="s">
        <v>362</v>
      </c>
      <c r="B2640" s="0" t="s">
        <v>601</v>
      </c>
      <c r="C2640" s="0" t="n">
        <v>2020</v>
      </c>
      <c r="D2640" s="0" t="n">
        <v>46789237</v>
      </c>
      <c r="E2640" s="0" t="n">
        <v>17.2</v>
      </c>
      <c r="F2640" s="0" t="n">
        <v>0</v>
      </c>
      <c r="G2640" s="0" t="n">
        <v>0</v>
      </c>
      <c r="H2640" s="0" t="n">
        <v>6.05</v>
      </c>
      <c r="I2640" s="0" t="n">
        <v>0</v>
      </c>
      <c r="J2640" s="0" t="n">
        <v>11.01</v>
      </c>
      <c r="K2640" s="0" t="n">
        <v>0.03</v>
      </c>
      <c r="L2640" s="0" t="n">
        <v>0</v>
      </c>
      <c r="M2640" s="0" t="n">
        <v>0.11</v>
      </c>
      <c r="N2640" s="0" t="n">
        <v>0</v>
      </c>
      <c r="O2640" s="0" t="n">
        <v>247.67</v>
      </c>
    </row>
    <row r="2641" customFormat="false" ht="15" hidden="false" customHeight="false" outlineLevel="0" collapsed="false">
      <c r="A2641" s="0" t="s">
        <v>362</v>
      </c>
      <c r="B2641" s="0" t="s">
        <v>601</v>
      </c>
      <c r="C2641" s="0" t="n">
        <v>2021</v>
      </c>
      <c r="D2641" s="0" t="n">
        <v>48066930</v>
      </c>
      <c r="E2641" s="0" t="n">
        <v>17.7</v>
      </c>
      <c r="F2641" s="0" t="n">
        <v>0</v>
      </c>
      <c r="G2641" s="0" t="n">
        <v>0</v>
      </c>
      <c r="H2641" s="0" t="n">
        <v>6.61</v>
      </c>
      <c r="I2641" s="0" t="n">
        <v>0</v>
      </c>
      <c r="J2641" s="0" t="n">
        <v>10.95</v>
      </c>
      <c r="K2641" s="0" t="n">
        <v>0.03</v>
      </c>
      <c r="L2641" s="0" t="n">
        <v>0</v>
      </c>
      <c r="M2641" s="0" t="n">
        <v>0.11</v>
      </c>
      <c r="N2641" s="0" t="n">
        <v>0</v>
      </c>
      <c r="O2641" s="0" t="n">
        <v>261.58</v>
      </c>
    </row>
    <row r="2642" customFormat="false" ht="15" hidden="false" customHeight="false" outlineLevel="0" collapsed="false">
      <c r="A2642" s="0" t="s">
        <v>362</v>
      </c>
      <c r="B2642" s="0" t="s">
        <v>601</v>
      </c>
      <c r="C2642" s="0" t="n">
        <v>2022</v>
      </c>
      <c r="D2642" s="0" t="n">
        <v>49383344</v>
      </c>
      <c r="E2642" s="0" t="n">
        <v>16.78</v>
      </c>
      <c r="F2642" s="0" t="n">
        <v>0</v>
      </c>
      <c r="G2642" s="0" t="n">
        <v>0</v>
      </c>
      <c r="H2642" s="0" t="n">
        <v>4.74</v>
      </c>
      <c r="I2642" s="0" t="n">
        <v>0</v>
      </c>
      <c r="J2642" s="0" t="n">
        <v>11.8</v>
      </c>
      <c r="K2642" s="0" t="n">
        <v>0.13</v>
      </c>
      <c r="L2642" s="0" t="n">
        <v>0</v>
      </c>
      <c r="M2642" s="0" t="n">
        <v>0.11</v>
      </c>
      <c r="N2642" s="0" t="n">
        <v>0</v>
      </c>
      <c r="O2642" s="0" t="n">
        <v>204.41</v>
      </c>
    </row>
    <row r="2643" customFormat="false" ht="15" hidden="false" customHeight="false" outlineLevel="0" collapsed="false">
      <c r="A2643" s="0" t="s">
        <v>362</v>
      </c>
      <c r="B2643" s="0" t="s">
        <v>601</v>
      </c>
      <c r="C2643" s="0" t="n">
        <v>2023</v>
      </c>
      <c r="D2643" s="0" t="n">
        <v>50042800</v>
      </c>
      <c r="E2643" s="0" t="n">
        <v>14.51</v>
      </c>
      <c r="F2643" s="0" t="n">
        <v>0</v>
      </c>
      <c r="G2643" s="0" t="n">
        <v>0</v>
      </c>
      <c r="H2643" s="0" t="n">
        <v>2.76</v>
      </c>
      <c r="I2643" s="0" t="n">
        <v>0</v>
      </c>
      <c r="J2643" s="0" t="n">
        <v>11.5</v>
      </c>
      <c r="K2643" s="0" t="n">
        <v>0.14</v>
      </c>
      <c r="L2643" s="0" t="n">
        <v>0</v>
      </c>
      <c r="M2643" s="0" t="n">
        <v>0.11</v>
      </c>
      <c r="N2643" s="0" t="n">
        <v>0</v>
      </c>
      <c r="O2643" s="0" t="n">
        <v>146.11</v>
      </c>
    </row>
    <row r="2644" customFormat="false" ht="15" hidden="false" customHeight="false" outlineLevel="0" collapsed="false">
      <c r="A2644" s="0" t="s">
        <v>362</v>
      </c>
      <c r="B2644" s="0" t="s">
        <v>601</v>
      </c>
      <c r="C2644" s="0" t="n">
        <v>2024</v>
      </c>
      <c r="D2644" s="0" t="n">
        <v>50448960</v>
      </c>
      <c r="E2644" s="0" t="n">
        <v>14.77</v>
      </c>
      <c r="F2644" s="0" t="n">
        <v>0</v>
      </c>
      <c r="G2644" s="0" t="n">
        <v>0</v>
      </c>
      <c r="H2644" s="0" t="n">
        <v>3</v>
      </c>
      <c r="I2644" s="0" t="n">
        <v>0</v>
      </c>
      <c r="J2644" s="0" t="n">
        <v>11.5</v>
      </c>
      <c r="K2644" s="0" t="n">
        <v>0.16</v>
      </c>
      <c r="L2644" s="0" t="n">
        <v>0</v>
      </c>
      <c r="M2644" s="0" t="n">
        <v>0.11</v>
      </c>
      <c r="N2644" s="0" t="n">
        <v>0</v>
      </c>
      <c r="O2644" s="0" t="n">
        <v>153.69</v>
      </c>
    </row>
    <row r="2645" customFormat="false" ht="15" hidden="false" customHeight="false" outlineLevel="0" collapsed="false">
      <c r="A2645" s="0" t="s">
        <v>363</v>
      </c>
      <c r="B2645" s="0" t="s">
        <v>602</v>
      </c>
      <c r="C2645" s="0" t="n">
        <v>2015</v>
      </c>
      <c r="D2645" s="0" t="n">
        <v>581634</v>
      </c>
      <c r="E2645" s="0" t="n">
        <v>1.86</v>
      </c>
      <c r="F2645" s="0" t="n">
        <v>0</v>
      </c>
      <c r="G2645" s="0" t="n">
        <v>0.01</v>
      </c>
      <c r="H2645" s="0" t="n">
        <v>1.36</v>
      </c>
      <c r="I2645" s="0" t="n">
        <v>0</v>
      </c>
      <c r="J2645" s="0" t="n">
        <v>0.47</v>
      </c>
      <c r="K2645" s="0" t="n">
        <v>0.01</v>
      </c>
      <c r="L2645" s="0" t="n">
        <v>0</v>
      </c>
      <c r="M2645" s="0" t="n">
        <v>0.01</v>
      </c>
      <c r="N2645" s="0" t="n">
        <v>0</v>
      </c>
      <c r="O2645" s="0" t="n">
        <v>489.25</v>
      </c>
    </row>
    <row r="2646" customFormat="false" ht="15" hidden="false" customHeight="false" outlineLevel="0" collapsed="false">
      <c r="A2646" s="0" t="s">
        <v>363</v>
      </c>
      <c r="B2646" s="0" t="s">
        <v>602</v>
      </c>
      <c r="C2646" s="0" t="n">
        <v>2016</v>
      </c>
      <c r="D2646" s="0" t="n">
        <v>587765</v>
      </c>
      <c r="E2646" s="0" t="n">
        <v>1.82</v>
      </c>
      <c r="F2646" s="0" t="n">
        <v>0</v>
      </c>
      <c r="G2646" s="0" t="n">
        <v>0.01</v>
      </c>
      <c r="H2646" s="0" t="n">
        <v>1.01</v>
      </c>
      <c r="I2646" s="0" t="n">
        <v>0</v>
      </c>
      <c r="J2646" s="0" t="n">
        <v>0.78</v>
      </c>
      <c r="K2646" s="0" t="n">
        <v>0.01</v>
      </c>
      <c r="L2646" s="0" t="n">
        <v>0</v>
      </c>
      <c r="M2646" s="0" t="n">
        <v>0.01</v>
      </c>
      <c r="N2646" s="0" t="n">
        <v>0</v>
      </c>
      <c r="O2646" s="0" t="n">
        <v>379.12</v>
      </c>
    </row>
    <row r="2647" customFormat="false" ht="15" hidden="false" customHeight="false" outlineLevel="0" collapsed="false">
      <c r="A2647" s="0" t="s">
        <v>363</v>
      </c>
      <c r="B2647" s="0" t="s">
        <v>602</v>
      </c>
      <c r="C2647" s="0" t="n">
        <v>2017</v>
      </c>
      <c r="D2647" s="0" t="n">
        <v>593720</v>
      </c>
      <c r="E2647" s="0" t="n">
        <v>1.81</v>
      </c>
      <c r="F2647" s="0" t="n">
        <v>0</v>
      </c>
      <c r="G2647" s="0" t="n">
        <v>0.01</v>
      </c>
      <c r="H2647" s="0" t="n">
        <v>0.86</v>
      </c>
      <c r="I2647" s="0" t="n">
        <v>0</v>
      </c>
      <c r="J2647" s="0" t="n">
        <v>0.92</v>
      </c>
      <c r="K2647" s="0" t="n">
        <v>0.01</v>
      </c>
      <c r="L2647" s="0" t="n">
        <v>0</v>
      </c>
      <c r="M2647" s="0" t="n">
        <v>0.01</v>
      </c>
      <c r="N2647" s="0" t="n">
        <v>0</v>
      </c>
      <c r="O2647" s="0" t="n">
        <v>331.49</v>
      </c>
    </row>
    <row r="2648" customFormat="false" ht="15" hidden="false" customHeight="false" outlineLevel="0" collapsed="false">
      <c r="A2648" s="0" t="s">
        <v>363</v>
      </c>
      <c r="B2648" s="0" t="s">
        <v>602</v>
      </c>
      <c r="C2648" s="0" t="n">
        <v>2018</v>
      </c>
      <c r="D2648" s="0" t="n">
        <v>599519</v>
      </c>
      <c r="E2648" s="0" t="n">
        <v>1.9</v>
      </c>
      <c r="F2648" s="0" t="n">
        <v>0</v>
      </c>
      <c r="G2648" s="0" t="n">
        <v>0.02</v>
      </c>
      <c r="H2648" s="0" t="n">
        <v>0.87</v>
      </c>
      <c r="I2648" s="0" t="n">
        <v>0</v>
      </c>
      <c r="J2648" s="0" t="n">
        <v>0.99</v>
      </c>
      <c r="K2648" s="0" t="n">
        <v>0.01</v>
      </c>
      <c r="L2648" s="0" t="n">
        <v>0</v>
      </c>
      <c r="M2648" s="0" t="n">
        <v>0.01</v>
      </c>
      <c r="N2648" s="0" t="n">
        <v>0</v>
      </c>
      <c r="O2648" s="0" t="n">
        <v>315.79</v>
      </c>
    </row>
    <row r="2649" customFormat="false" ht="15" hidden="false" customHeight="false" outlineLevel="0" collapsed="false">
      <c r="A2649" s="0" t="s">
        <v>363</v>
      </c>
      <c r="B2649" s="0" t="s">
        <v>602</v>
      </c>
      <c r="C2649" s="0" t="n">
        <v>2019</v>
      </c>
      <c r="D2649" s="0" t="n">
        <v>605779</v>
      </c>
      <c r="E2649" s="0" t="n">
        <v>2.04</v>
      </c>
      <c r="F2649" s="0" t="n">
        <v>0</v>
      </c>
      <c r="G2649" s="0" t="n">
        <v>0.02</v>
      </c>
      <c r="H2649" s="0" t="n">
        <v>1.05</v>
      </c>
      <c r="I2649" s="0" t="n">
        <v>0</v>
      </c>
      <c r="J2649" s="0" t="n">
        <v>0.95</v>
      </c>
      <c r="K2649" s="0" t="n">
        <v>0.01</v>
      </c>
      <c r="L2649" s="0" t="n">
        <v>0</v>
      </c>
      <c r="M2649" s="0" t="n">
        <v>0.01</v>
      </c>
      <c r="N2649" s="0" t="n">
        <v>0</v>
      </c>
      <c r="O2649" s="0" t="n">
        <v>352.94</v>
      </c>
    </row>
    <row r="2650" customFormat="false" ht="15" hidden="false" customHeight="false" outlineLevel="0" collapsed="false">
      <c r="A2650" s="0" t="s">
        <v>363</v>
      </c>
      <c r="B2650" s="0" t="s">
        <v>602</v>
      </c>
      <c r="C2650" s="0" t="n">
        <v>2020</v>
      </c>
      <c r="D2650" s="0" t="n">
        <v>612320</v>
      </c>
      <c r="E2650" s="0" t="n">
        <v>2.05</v>
      </c>
      <c r="F2650" s="0" t="n">
        <v>0</v>
      </c>
      <c r="G2650" s="0" t="n">
        <v>0.02</v>
      </c>
      <c r="H2650" s="0" t="n">
        <v>1.04</v>
      </c>
      <c r="I2650" s="0" t="n">
        <v>0</v>
      </c>
      <c r="J2650" s="0" t="n">
        <v>0.97</v>
      </c>
      <c r="K2650" s="0" t="n">
        <v>0.01</v>
      </c>
      <c r="L2650" s="0" t="n">
        <v>0</v>
      </c>
      <c r="M2650" s="0" t="n">
        <v>0.01</v>
      </c>
      <c r="N2650" s="0" t="n">
        <v>0</v>
      </c>
      <c r="O2650" s="0" t="n">
        <v>346.34</v>
      </c>
    </row>
    <row r="2651" customFormat="false" ht="15" hidden="false" customHeight="false" outlineLevel="0" collapsed="false">
      <c r="A2651" s="0" t="s">
        <v>363</v>
      </c>
      <c r="B2651" s="0" t="s">
        <v>602</v>
      </c>
      <c r="C2651" s="0" t="n">
        <v>2021</v>
      </c>
      <c r="D2651" s="0" t="n">
        <v>617905</v>
      </c>
      <c r="E2651" s="0" t="n">
        <v>2.09</v>
      </c>
      <c r="F2651" s="0" t="n">
        <v>0</v>
      </c>
      <c r="G2651" s="0" t="n">
        <v>0.02</v>
      </c>
      <c r="H2651" s="0" t="n">
        <v>1.06</v>
      </c>
      <c r="I2651" s="0" t="n">
        <v>0</v>
      </c>
      <c r="J2651" s="0" t="n">
        <v>0.99</v>
      </c>
      <c r="K2651" s="0" t="n">
        <v>0.01</v>
      </c>
      <c r="L2651" s="0" t="n">
        <v>0</v>
      </c>
      <c r="M2651" s="0" t="n">
        <v>0.01</v>
      </c>
      <c r="N2651" s="0" t="n">
        <v>0</v>
      </c>
      <c r="O2651" s="0" t="n">
        <v>349.28</v>
      </c>
    </row>
    <row r="2652" customFormat="false" ht="15" hidden="false" customHeight="false" outlineLevel="0" collapsed="false">
      <c r="A2652" s="0" t="s">
        <v>363</v>
      </c>
      <c r="B2652" s="0" t="s">
        <v>602</v>
      </c>
      <c r="C2652" s="0" t="n">
        <v>2022</v>
      </c>
      <c r="D2652" s="0" t="n">
        <v>623172</v>
      </c>
      <c r="E2652" s="0" t="n">
        <v>2.11</v>
      </c>
      <c r="F2652" s="0" t="n">
        <v>0</v>
      </c>
      <c r="G2652" s="0" t="n">
        <v>0.02</v>
      </c>
      <c r="H2652" s="0" t="n">
        <v>1.15</v>
      </c>
      <c r="I2652" s="0" t="n">
        <v>0</v>
      </c>
      <c r="J2652" s="0" t="n">
        <v>0.92</v>
      </c>
      <c r="K2652" s="0" t="n">
        <v>0.01</v>
      </c>
      <c r="L2652" s="0" t="n">
        <v>0</v>
      </c>
      <c r="M2652" s="0" t="n">
        <v>0.01</v>
      </c>
      <c r="N2652" s="0" t="n">
        <v>0</v>
      </c>
      <c r="O2652" s="0" t="n">
        <v>374.41</v>
      </c>
    </row>
    <row r="2653" customFormat="false" ht="15" hidden="false" customHeight="false" outlineLevel="0" collapsed="false">
      <c r="A2653" s="0" t="s">
        <v>363</v>
      </c>
      <c r="B2653" s="0" t="s">
        <v>602</v>
      </c>
      <c r="C2653" s="0" t="n">
        <v>2023</v>
      </c>
      <c r="D2653" s="0" t="n">
        <v>628892</v>
      </c>
      <c r="E2653" s="0" t="n">
        <v>1.73</v>
      </c>
      <c r="F2653" s="0" t="n">
        <v>0</v>
      </c>
      <c r="G2653" s="0" t="n">
        <v>0.02</v>
      </c>
      <c r="H2653" s="0" t="n">
        <v>0.79</v>
      </c>
      <c r="I2653" s="0" t="n">
        <v>0</v>
      </c>
      <c r="J2653" s="0" t="n">
        <v>0.9</v>
      </c>
      <c r="K2653" s="0" t="n">
        <v>0.01</v>
      </c>
      <c r="L2653" s="0" t="n">
        <v>0</v>
      </c>
      <c r="M2653" s="0" t="n">
        <v>0.01</v>
      </c>
      <c r="N2653" s="0" t="n">
        <v>0</v>
      </c>
      <c r="O2653" s="0" t="n">
        <v>317.92</v>
      </c>
    </row>
    <row r="2654" customFormat="false" ht="15" hidden="false" customHeight="false" outlineLevel="0" collapsed="false">
      <c r="A2654" s="0" t="s">
        <v>363</v>
      </c>
      <c r="B2654" s="0" t="s">
        <v>602</v>
      </c>
      <c r="C2654" s="0" t="n">
        <v>2024</v>
      </c>
      <c r="D2654" s="0" t="n">
        <v>634438</v>
      </c>
      <c r="E2654" s="0" t="n">
        <v>1.74</v>
      </c>
      <c r="F2654" s="0" t="n">
        <v>0</v>
      </c>
      <c r="G2654" s="0" t="n">
        <v>0.02</v>
      </c>
      <c r="H2654" s="0" t="n">
        <v>0.8</v>
      </c>
      <c r="I2654" s="0" t="n">
        <v>0</v>
      </c>
      <c r="J2654" s="0" t="n">
        <v>0.9</v>
      </c>
      <c r="K2654" s="0" t="n">
        <v>0.01</v>
      </c>
      <c r="L2654" s="0" t="n">
        <v>0</v>
      </c>
      <c r="M2654" s="0" t="n">
        <v>0.01</v>
      </c>
      <c r="N2654" s="0" t="n">
        <v>0</v>
      </c>
      <c r="O2654" s="0" t="n">
        <v>321.84</v>
      </c>
    </row>
    <row r="2655" customFormat="false" ht="15" hidden="false" customHeight="false" outlineLevel="0" collapsed="false">
      <c r="A2655" s="0" t="s">
        <v>364</v>
      </c>
      <c r="B2655" s="0" t="s">
        <v>603</v>
      </c>
      <c r="C2655" s="0" t="n">
        <v>2015</v>
      </c>
      <c r="D2655" s="0" t="n">
        <v>9799483</v>
      </c>
      <c r="E2655" s="0" t="n">
        <v>162</v>
      </c>
      <c r="F2655" s="0" t="n">
        <v>0.39</v>
      </c>
      <c r="G2655" s="0" t="n">
        <v>0.45</v>
      </c>
      <c r="H2655" s="0" t="n">
        <v>2.31</v>
      </c>
      <c r="I2655" s="0" t="n">
        <v>56.35</v>
      </c>
      <c r="J2655" s="0" t="n">
        <v>75.31</v>
      </c>
      <c r="K2655" s="0" t="n">
        <v>0.1</v>
      </c>
      <c r="L2655" s="0" t="n">
        <v>16.32</v>
      </c>
      <c r="M2655" s="0" t="n">
        <v>10.77</v>
      </c>
      <c r="N2655" s="0" t="n">
        <v>0</v>
      </c>
      <c r="O2655" s="0" t="n">
        <v>40.86</v>
      </c>
    </row>
    <row r="2656" customFormat="false" ht="15" hidden="false" customHeight="false" outlineLevel="0" collapsed="false">
      <c r="A2656" s="0" t="s">
        <v>364</v>
      </c>
      <c r="B2656" s="0" t="s">
        <v>603</v>
      </c>
      <c r="C2656" s="0" t="n">
        <v>2016</v>
      </c>
      <c r="D2656" s="0" t="n">
        <v>9923281</v>
      </c>
      <c r="E2656" s="0" t="n">
        <v>155.89</v>
      </c>
      <c r="F2656" s="0" t="n">
        <v>0.26</v>
      </c>
      <c r="G2656" s="0" t="n">
        <v>0.68</v>
      </c>
      <c r="H2656" s="0" t="n">
        <v>2.72</v>
      </c>
      <c r="I2656" s="0" t="n">
        <v>63.1</v>
      </c>
      <c r="J2656" s="0" t="n">
        <v>62.02</v>
      </c>
      <c r="K2656" s="0" t="n">
        <v>0.14</v>
      </c>
      <c r="L2656" s="0" t="n">
        <v>15.48</v>
      </c>
      <c r="M2656" s="0" t="n">
        <v>11.49</v>
      </c>
      <c r="N2656" s="0" t="n">
        <v>0</v>
      </c>
      <c r="O2656" s="0" t="n">
        <v>42.98</v>
      </c>
    </row>
    <row r="2657" customFormat="false" ht="15" hidden="false" customHeight="false" outlineLevel="0" collapsed="false">
      <c r="A2657" s="0" t="s">
        <v>364</v>
      </c>
      <c r="B2657" s="0" t="s">
        <v>603</v>
      </c>
      <c r="C2657" s="0" t="n">
        <v>2017</v>
      </c>
      <c r="D2657" s="0" t="n">
        <v>10057864</v>
      </c>
      <c r="E2657" s="0" t="n">
        <v>164.23</v>
      </c>
      <c r="F2657" s="0" t="n">
        <v>0.32</v>
      </c>
      <c r="G2657" s="0" t="n">
        <v>0.33</v>
      </c>
      <c r="H2657" s="0" t="n">
        <v>2.82</v>
      </c>
      <c r="I2657" s="0" t="n">
        <v>65.7</v>
      </c>
      <c r="J2657" s="0" t="n">
        <v>65.14</v>
      </c>
      <c r="K2657" s="0" t="n">
        <v>0.23</v>
      </c>
      <c r="L2657" s="0" t="n">
        <v>17.61</v>
      </c>
      <c r="M2657" s="0" t="n">
        <v>12.08</v>
      </c>
      <c r="N2657" s="0" t="n">
        <v>0</v>
      </c>
      <c r="O2657" s="0" t="n">
        <v>42.5</v>
      </c>
    </row>
    <row r="2658" customFormat="false" ht="15" hidden="false" customHeight="false" outlineLevel="0" collapsed="false">
      <c r="A2658" s="0" t="s">
        <v>364</v>
      </c>
      <c r="B2658" s="0" t="s">
        <v>603</v>
      </c>
      <c r="C2658" s="0" t="n">
        <v>2018</v>
      </c>
      <c r="D2658" s="0" t="n">
        <v>10175400</v>
      </c>
      <c r="E2658" s="0" t="n">
        <v>163.36</v>
      </c>
      <c r="F2658" s="0" t="n">
        <v>0.34</v>
      </c>
      <c r="G2658" s="0" t="n">
        <v>0.38</v>
      </c>
      <c r="H2658" s="0" t="n">
        <v>2.94</v>
      </c>
      <c r="I2658" s="0" t="n">
        <v>68.55</v>
      </c>
      <c r="J2658" s="0" t="n">
        <v>62.21</v>
      </c>
      <c r="K2658" s="0" t="n">
        <v>0.41</v>
      </c>
      <c r="L2658" s="0" t="n">
        <v>16.62</v>
      </c>
      <c r="M2658" s="0" t="n">
        <v>11.91</v>
      </c>
      <c r="N2658" s="0" t="n">
        <v>0</v>
      </c>
      <c r="O2658" s="0" t="n">
        <v>42.73</v>
      </c>
    </row>
    <row r="2659" customFormat="false" ht="15" hidden="false" customHeight="false" outlineLevel="0" collapsed="false">
      <c r="A2659" s="0" t="s">
        <v>364</v>
      </c>
      <c r="B2659" s="0" t="s">
        <v>603</v>
      </c>
      <c r="C2659" s="0" t="n">
        <v>2019</v>
      </c>
      <c r="D2659" s="0" t="n">
        <v>10279120</v>
      </c>
      <c r="E2659" s="0" t="n">
        <v>168.42</v>
      </c>
      <c r="F2659" s="0" t="n">
        <v>0.21</v>
      </c>
      <c r="G2659" s="0" t="n">
        <v>0.29</v>
      </c>
      <c r="H2659" s="0" t="n">
        <v>2.85</v>
      </c>
      <c r="I2659" s="0" t="n">
        <v>66.13</v>
      </c>
      <c r="J2659" s="0" t="n">
        <v>65.37</v>
      </c>
      <c r="K2659" s="0" t="n">
        <v>0.68</v>
      </c>
      <c r="L2659" s="0" t="n">
        <v>19.85</v>
      </c>
      <c r="M2659" s="0" t="n">
        <v>13.04</v>
      </c>
      <c r="N2659" s="0" t="n">
        <v>0</v>
      </c>
      <c r="O2659" s="0" t="n">
        <v>42.34</v>
      </c>
    </row>
    <row r="2660" customFormat="false" ht="15" hidden="false" customHeight="false" outlineLevel="0" collapsed="false">
      <c r="A2660" s="0" t="s">
        <v>364</v>
      </c>
      <c r="B2660" s="0" t="s">
        <v>603</v>
      </c>
      <c r="C2660" s="0" t="n">
        <v>2020</v>
      </c>
      <c r="D2660" s="0" t="n">
        <v>10353682</v>
      </c>
      <c r="E2660" s="0" t="n">
        <v>163.78</v>
      </c>
      <c r="F2660" s="0" t="n">
        <v>0</v>
      </c>
      <c r="G2660" s="0" t="n">
        <v>0.1</v>
      </c>
      <c r="H2660" s="0" t="n">
        <v>2.34</v>
      </c>
      <c r="I2660" s="0" t="n">
        <v>49.2</v>
      </c>
      <c r="J2660" s="0" t="n">
        <v>72.39</v>
      </c>
      <c r="K2660" s="0" t="n">
        <v>1.05</v>
      </c>
      <c r="L2660" s="0" t="n">
        <v>27.52</v>
      </c>
      <c r="M2660" s="0" t="n">
        <v>11.18</v>
      </c>
      <c r="N2660" s="0" t="n">
        <v>0</v>
      </c>
      <c r="O2660" s="0" t="n">
        <v>38.71</v>
      </c>
    </row>
    <row r="2661" customFormat="false" ht="15" hidden="false" customHeight="false" outlineLevel="0" collapsed="false">
      <c r="A2661" s="0" t="s">
        <v>364</v>
      </c>
      <c r="B2661" s="0" t="s">
        <v>603</v>
      </c>
      <c r="C2661" s="0" t="n">
        <v>2021</v>
      </c>
      <c r="D2661" s="0" t="n">
        <v>10416134</v>
      </c>
      <c r="E2661" s="0" t="n">
        <v>171.78</v>
      </c>
      <c r="F2661" s="0" t="n">
        <v>0</v>
      </c>
      <c r="G2661" s="0" t="n">
        <v>0.29</v>
      </c>
      <c r="H2661" s="0" t="n">
        <v>2.77</v>
      </c>
      <c r="I2661" s="0" t="n">
        <v>52.97</v>
      </c>
      <c r="J2661" s="0" t="n">
        <v>73.89</v>
      </c>
      <c r="K2661" s="0" t="n">
        <v>1.53</v>
      </c>
      <c r="L2661" s="0" t="n">
        <v>27.25</v>
      </c>
      <c r="M2661" s="0" t="n">
        <v>13.08</v>
      </c>
      <c r="N2661" s="0" t="n">
        <v>0</v>
      </c>
      <c r="O2661" s="0" t="n">
        <v>41.74</v>
      </c>
    </row>
    <row r="2662" customFormat="false" ht="15" hidden="false" customHeight="false" outlineLevel="0" collapsed="false">
      <c r="A2662" s="0" t="s">
        <v>364</v>
      </c>
      <c r="B2662" s="0" t="s">
        <v>603</v>
      </c>
      <c r="C2662" s="0" t="n">
        <v>2022</v>
      </c>
      <c r="D2662" s="0" t="n">
        <v>10487335</v>
      </c>
      <c r="E2662" s="0" t="n">
        <v>173.05</v>
      </c>
      <c r="F2662" s="0" t="n">
        <v>0</v>
      </c>
      <c r="G2662" s="0" t="n">
        <v>0.15</v>
      </c>
      <c r="H2662" s="0" t="n">
        <v>2.73</v>
      </c>
      <c r="I2662" s="0" t="n">
        <v>51.94</v>
      </c>
      <c r="J2662" s="0" t="n">
        <v>69.87</v>
      </c>
      <c r="K2662" s="0" t="n">
        <v>1.98</v>
      </c>
      <c r="L2662" s="0" t="n">
        <v>33.25</v>
      </c>
      <c r="M2662" s="0" t="n">
        <v>13.13</v>
      </c>
      <c r="N2662" s="0" t="n">
        <v>0</v>
      </c>
      <c r="O2662" s="0" t="n">
        <v>41.03</v>
      </c>
    </row>
    <row r="2663" customFormat="false" ht="15" hidden="false" customHeight="false" outlineLevel="0" collapsed="false">
      <c r="A2663" s="0" t="s">
        <v>364</v>
      </c>
      <c r="B2663" s="0" t="s">
        <v>603</v>
      </c>
      <c r="C2663" s="0" t="n">
        <v>2023</v>
      </c>
      <c r="D2663" s="0" t="n">
        <v>10551493</v>
      </c>
      <c r="E2663" s="0" t="n">
        <v>166.05</v>
      </c>
      <c r="F2663" s="0" t="n">
        <v>0</v>
      </c>
      <c r="G2663" s="0" t="n">
        <v>0.16</v>
      </c>
      <c r="H2663" s="0" t="n">
        <v>2.17</v>
      </c>
      <c r="I2663" s="0" t="n">
        <v>48.47</v>
      </c>
      <c r="J2663" s="0" t="n">
        <v>66.19</v>
      </c>
      <c r="K2663" s="0" t="n">
        <v>3.11</v>
      </c>
      <c r="L2663" s="0" t="n">
        <v>34.25</v>
      </c>
      <c r="M2663" s="0" t="n">
        <v>11.7</v>
      </c>
      <c r="N2663" s="0" t="n">
        <v>0</v>
      </c>
      <c r="O2663" s="0" t="n">
        <v>38.42</v>
      </c>
    </row>
    <row r="2664" customFormat="false" ht="15" hidden="false" customHeight="false" outlineLevel="0" collapsed="false">
      <c r="A2664" s="0" t="s">
        <v>364</v>
      </c>
      <c r="B2664" s="0" t="s">
        <v>603</v>
      </c>
      <c r="C2664" s="0" t="n">
        <v>2024</v>
      </c>
      <c r="D2664" s="0" t="n">
        <v>10606993</v>
      </c>
      <c r="E2664" s="0" t="n">
        <v>172.15</v>
      </c>
      <c r="F2664" s="0" t="n">
        <v>0</v>
      </c>
      <c r="G2664" s="0" t="n">
        <v>0.11</v>
      </c>
      <c r="H2664" s="0" t="n">
        <v>1.97</v>
      </c>
      <c r="I2664" s="0" t="n">
        <v>50.67</v>
      </c>
      <c r="J2664" s="0" t="n">
        <v>64.61</v>
      </c>
      <c r="K2664" s="0" t="n">
        <v>4.16</v>
      </c>
      <c r="L2664" s="0" t="n">
        <v>40.45</v>
      </c>
      <c r="M2664" s="0" t="n">
        <v>10.18</v>
      </c>
      <c r="N2664" s="0" t="n">
        <v>0</v>
      </c>
      <c r="O2664" s="0" t="n">
        <v>34.91</v>
      </c>
    </row>
    <row r="2665" customFormat="false" ht="15" hidden="false" customHeight="false" outlineLevel="0" collapsed="false">
      <c r="A2665" s="0" t="s">
        <v>364</v>
      </c>
      <c r="B2665" s="0" t="s">
        <v>603</v>
      </c>
      <c r="C2665" s="0" t="n">
        <v>2025</v>
      </c>
      <c r="D2665" s="0" t="n">
        <v>10656636</v>
      </c>
      <c r="E2665" s="0" t="n">
        <v>170.71</v>
      </c>
      <c r="F2665" s="0" t="n">
        <v>0</v>
      </c>
      <c r="G2665" s="0" t="n">
        <v>0.11</v>
      </c>
      <c r="H2665" s="0" t="n">
        <v>1.97</v>
      </c>
      <c r="I2665" s="0" t="n">
        <v>47.1</v>
      </c>
      <c r="J2665" s="0" t="n">
        <v>68.24</v>
      </c>
      <c r="K2665" s="0" t="n">
        <v>4.43</v>
      </c>
      <c r="L2665" s="0" t="n">
        <v>38.9</v>
      </c>
      <c r="M2665" s="0" t="n">
        <v>9.96</v>
      </c>
      <c r="N2665" s="0" t="n">
        <v>0</v>
      </c>
      <c r="O2665" s="0" t="n">
        <v>35.26</v>
      </c>
    </row>
    <row r="2666" customFormat="false" ht="15" hidden="false" customHeight="false" outlineLevel="0" collapsed="false">
      <c r="A2666" s="0" t="s">
        <v>365</v>
      </c>
      <c r="B2666" s="0" t="s">
        <v>604</v>
      </c>
      <c r="C2666" s="0" t="n">
        <v>2015</v>
      </c>
      <c r="D2666" s="0" t="n">
        <v>8283940</v>
      </c>
      <c r="E2666" s="0" t="n">
        <v>66.07</v>
      </c>
      <c r="F2666" s="0" t="n">
        <v>0</v>
      </c>
      <c r="G2666" s="0" t="n">
        <v>0.63</v>
      </c>
      <c r="H2666" s="0" t="n">
        <v>1.23</v>
      </c>
      <c r="I2666" s="0" t="n">
        <v>23.09</v>
      </c>
      <c r="J2666" s="0" t="n">
        <v>38.26</v>
      </c>
      <c r="K2666" s="0" t="n">
        <v>1.12</v>
      </c>
      <c r="L2666" s="0" t="n">
        <v>0.11</v>
      </c>
      <c r="M2666" s="0" t="n">
        <v>0.52</v>
      </c>
      <c r="N2666" s="0" t="n">
        <v>1.11</v>
      </c>
      <c r="O2666" s="0" t="n">
        <v>35.57</v>
      </c>
    </row>
    <row r="2667" customFormat="false" ht="15" hidden="false" customHeight="false" outlineLevel="0" collapsed="false">
      <c r="A2667" s="0" t="s">
        <v>365</v>
      </c>
      <c r="B2667" s="0" t="s">
        <v>604</v>
      </c>
      <c r="C2667" s="0" t="n">
        <v>2016</v>
      </c>
      <c r="D2667" s="0" t="n">
        <v>8374903</v>
      </c>
      <c r="E2667" s="0" t="n">
        <v>61.1</v>
      </c>
      <c r="F2667" s="0" t="n">
        <v>0</v>
      </c>
      <c r="G2667" s="0" t="n">
        <v>0.86</v>
      </c>
      <c r="H2667" s="0" t="n">
        <v>1.28</v>
      </c>
      <c r="I2667" s="0" t="n">
        <v>21.15</v>
      </c>
      <c r="J2667" s="0" t="n">
        <v>34.62</v>
      </c>
      <c r="K2667" s="0" t="n">
        <v>1.33</v>
      </c>
      <c r="L2667" s="0" t="n">
        <v>0.11</v>
      </c>
      <c r="M2667" s="0" t="n">
        <v>0.58</v>
      </c>
      <c r="N2667" s="0" t="n">
        <v>1.17</v>
      </c>
      <c r="O2667" s="0" t="n">
        <v>39.44</v>
      </c>
    </row>
    <row r="2668" customFormat="false" ht="15" hidden="false" customHeight="false" outlineLevel="0" collapsed="false">
      <c r="A2668" s="0" t="s">
        <v>365</v>
      </c>
      <c r="B2668" s="0" t="s">
        <v>604</v>
      </c>
      <c r="C2668" s="0" t="n">
        <v>2017</v>
      </c>
      <c r="D2668" s="0" t="n">
        <v>8453630</v>
      </c>
      <c r="E2668" s="0" t="n">
        <v>60.15</v>
      </c>
      <c r="F2668" s="0" t="n">
        <v>0</v>
      </c>
      <c r="G2668" s="0" t="n">
        <v>0.72</v>
      </c>
      <c r="H2668" s="0" t="n">
        <v>1.29</v>
      </c>
      <c r="I2668" s="0" t="n">
        <v>20.38</v>
      </c>
      <c r="J2668" s="0" t="n">
        <v>34.09</v>
      </c>
      <c r="K2668" s="0" t="n">
        <v>1.68</v>
      </c>
      <c r="L2668" s="0" t="n">
        <v>0.13</v>
      </c>
      <c r="M2668" s="0" t="n">
        <v>0.69</v>
      </c>
      <c r="N2668" s="0" t="n">
        <v>1.17</v>
      </c>
      <c r="O2668" s="0" t="n">
        <v>39.73</v>
      </c>
    </row>
    <row r="2669" customFormat="false" ht="15" hidden="false" customHeight="false" outlineLevel="0" collapsed="false">
      <c r="A2669" s="0" t="s">
        <v>365</v>
      </c>
      <c r="B2669" s="0" t="s">
        <v>604</v>
      </c>
      <c r="C2669" s="0" t="n">
        <v>2018</v>
      </c>
      <c r="D2669" s="0" t="n">
        <v>8516341</v>
      </c>
      <c r="E2669" s="0" t="n">
        <v>66.29</v>
      </c>
      <c r="F2669" s="0" t="n">
        <v>0</v>
      </c>
      <c r="G2669" s="0" t="n">
        <v>0.62</v>
      </c>
      <c r="H2669" s="0" t="n">
        <v>1.28</v>
      </c>
      <c r="I2669" s="0" t="n">
        <v>25.51</v>
      </c>
      <c r="J2669" s="0" t="n">
        <v>34.98</v>
      </c>
      <c r="K2669" s="0" t="n">
        <v>1.95</v>
      </c>
      <c r="L2669" s="0" t="n">
        <v>0.12</v>
      </c>
      <c r="M2669" s="0" t="n">
        <v>0.67</v>
      </c>
      <c r="N2669" s="0" t="n">
        <v>1.16</v>
      </c>
      <c r="O2669" s="0" t="n">
        <v>36.05</v>
      </c>
    </row>
    <row r="2670" customFormat="false" ht="15" hidden="false" customHeight="false" outlineLevel="0" collapsed="false">
      <c r="A2670" s="0" t="s">
        <v>365</v>
      </c>
      <c r="B2670" s="0" t="s">
        <v>604</v>
      </c>
      <c r="C2670" s="0" t="n">
        <v>2019</v>
      </c>
      <c r="D2670" s="0" t="n">
        <v>8577525</v>
      </c>
      <c r="E2670" s="0" t="n">
        <v>70.57</v>
      </c>
      <c r="F2670" s="0" t="n">
        <v>0</v>
      </c>
      <c r="G2670" s="0" t="n">
        <v>0.61</v>
      </c>
      <c r="H2670" s="0" t="n">
        <v>1.29</v>
      </c>
      <c r="I2670" s="0" t="n">
        <v>26.42</v>
      </c>
      <c r="J2670" s="0" t="n">
        <v>38.04</v>
      </c>
      <c r="K2670" s="0" t="n">
        <v>2.18</v>
      </c>
      <c r="L2670" s="0" t="n">
        <v>0.15</v>
      </c>
      <c r="M2670" s="0" t="n">
        <v>0.71</v>
      </c>
      <c r="N2670" s="0" t="n">
        <v>1.17</v>
      </c>
      <c r="O2670" s="0" t="n">
        <v>35.28</v>
      </c>
    </row>
    <row r="2671" customFormat="false" ht="15" hidden="false" customHeight="false" outlineLevel="0" collapsed="false">
      <c r="A2671" s="0" t="s">
        <v>365</v>
      </c>
      <c r="B2671" s="0" t="s">
        <v>604</v>
      </c>
      <c r="C2671" s="0" t="n">
        <v>2020</v>
      </c>
      <c r="D2671" s="0" t="n">
        <v>8640582</v>
      </c>
      <c r="E2671" s="0" t="n">
        <v>68.5</v>
      </c>
      <c r="F2671" s="0" t="n">
        <v>0</v>
      </c>
      <c r="G2671" s="0" t="n">
        <v>0.62</v>
      </c>
      <c r="H2671" s="0" t="n">
        <v>1.25</v>
      </c>
      <c r="I2671" s="0" t="n">
        <v>24.02</v>
      </c>
      <c r="J2671" s="0" t="n">
        <v>37.87</v>
      </c>
      <c r="K2671" s="0" t="n">
        <v>2.6</v>
      </c>
      <c r="L2671" s="0" t="n">
        <v>0.15</v>
      </c>
      <c r="M2671" s="0" t="n">
        <v>0.81</v>
      </c>
      <c r="N2671" s="0" t="n">
        <v>1.18</v>
      </c>
      <c r="O2671" s="0" t="n">
        <v>36.64</v>
      </c>
    </row>
    <row r="2672" customFormat="false" ht="15" hidden="false" customHeight="false" outlineLevel="0" collapsed="false">
      <c r="A2672" s="0" t="s">
        <v>365</v>
      </c>
      <c r="B2672" s="0" t="s">
        <v>604</v>
      </c>
      <c r="C2672" s="0" t="n">
        <v>2021</v>
      </c>
      <c r="D2672" s="0" t="n">
        <v>8707019</v>
      </c>
      <c r="E2672" s="0" t="n">
        <v>63.09</v>
      </c>
      <c r="F2672" s="0" t="n">
        <v>0</v>
      </c>
      <c r="G2672" s="0" t="n">
        <v>0.5</v>
      </c>
      <c r="H2672" s="0" t="n">
        <v>1.22</v>
      </c>
      <c r="I2672" s="0" t="n">
        <v>19.36</v>
      </c>
      <c r="J2672" s="0" t="n">
        <v>36.96</v>
      </c>
      <c r="K2672" s="0" t="n">
        <v>2.84</v>
      </c>
      <c r="L2672" s="0" t="n">
        <v>0.14</v>
      </c>
      <c r="M2672" s="0" t="n">
        <v>0.96</v>
      </c>
      <c r="N2672" s="0" t="n">
        <v>1.11</v>
      </c>
      <c r="O2672" s="0" t="n">
        <v>38.52</v>
      </c>
    </row>
    <row r="2673" customFormat="false" ht="15" hidden="false" customHeight="false" outlineLevel="0" collapsed="false">
      <c r="A2673" s="0" t="s">
        <v>365</v>
      </c>
      <c r="B2673" s="0" t="s">
        <v>604</v>
      </c>
      <c r="C2673" s="0" t="n">
        <v>2022</v>
      </c>
      <c r="D2673" s="0" t="n">
        <v>8792180</v>
      </c>
      <c r="E2673" s="0" t="n">
        <v>61.72</v>
      </c>
      <c r="F2673" s="0" t="n">
        <v>0</v>
      </c>
      <c r="G2673" s="0" t="n">
        <v>0.37</v>
      </c>
      <c r="H2673" s="0" t="n">
        <v>1.21</v>
      </c>
      <c r="I2673" s="0" t="n">
        <v>24.15</v>
      </c>
      <c r="J2673" s="0" t="n">
        <v>29.9</v>
      </c>
      <c r="K2673" s="0" t="n">
        <v>3.86</v>
      </c>
      <c r="L2673" s="0" t="n">
        <v>0.15</v>
      </c>
      <c r="M2673" s="0" t="n">
        <v>0.99</v>
      </c>
      <c r="N2673" s="0" t="n">
        <v>1.09</v>
      </c>
      <c r="O2673" s="0" t="n">
        <v>37.27</v>
      </c>
    </row>
    <row r="2674" customFormat="false" ht="15" hidden="false" customHeight="false" outlineLevel="0" collapsed="false">
      <c r="A2674" s="0" t="s">
        <v>365</v>
      </c>
      <c r="B2674" s="0" t="s">
        <v>604</v>
      </c>
      <c r="C2674" s="0" t="n">
        <v>2023</v>
      </c>
      <c r="D2674" s="0" t="n">
        <v>8870564</v>
      </c>
      <c r="E2674" s="0" t="n">
        <v>70.07</v>
      </c>
      <c r="F2674" s="0" t="n">
        <v>0</v>
      </c>
      <c r="G2674" s="0" t="n">
        <v>0.27</v>
      </c>
      <c r="H2674" s="0" t="n">
        <v>1.16</v>
      </c>
      <c r="I2674" s="0" t="n">
        <v>24.38</v>
      </c>
      <c r="J2674" s="0" t="n">
        <v>37.39</v>
      </c>
      <c r="K2674" s="0" t="n">
        <v>4.62</v>
      </c>
      <c r="L2674" s="0" t="n">
        <v>0.17</v>
      </c>
      <c r="M2674" s="0" t="n">
        <v>1.04</v>
      </c>
      <c r="N2674" s="0" t="n">
        <v>1.04</v>
      </c>
      <c r="O2674" s="0" t="n">
        <v>34.82</v>
      </c>
    </row>
    <row r="2675" customFormat="false" ht="15" hidden="false" customHeight="false" outlineLevel="0" collapsed="false">
      <c r="A2675" s="0" t="s">
        <v>365</v>
      </c>
      <c r="B2675" s="0" t="s">
        <v>604</v>
      </c>
      <c r="C2675" s="0" t="n">
        <v>2024</v>
      </c>
      <c r="D2675" s="0" t="n">
        <v>8921979</v>
      </c>
      <c r="E2675" s="0" t="n">
        <v>78.37</v>
      </c>
      <c r="F2675" s="0" t="n">
        <v>0</v>
      </c>
      <c r="G2675" s="0" t="n">
        <v>0.27</v>
      </c>
      <c r="H2675" s="0" t="n">
        <v>1.22</v>
      </c>
      <c r="I2675" s="0" t="n">
        <v>24.02</v>
      </c>
      <c r="J2675" s="0" t="n">
        <v>44.94</v>
      </c>
      <c r="K2675" s="0" t="n">
        <v>5.66</v>
      </c>
      <c r="L2675" s="0" t="n">
        <v>0.18</v>
      </c>
      <c r="M2675" s="0" t="n">
        <v>1.04</v>
      </c>
      <c r="N2675" s="0" t="n">
        <v>1.04</v>
      </c>
      <c r="O2675" s="0" t="n">
        <v>34.58</v>
      </c>
    </row>
    <row r="2676" customFormat="false" ht="15" hidden="false" customHeight="false" outlineLevel="0" collapsed="false">
      <c r="A2676" s="0" t="s">
        <v>365</v>
      </c>
      <c r="B2676" s="0" t="s">
        <v>604</v>
      </c>
      <c r="C2676" s="0" t="n">
        <v>2025</v>
      </c>
      <c r="D2676" s="0" t="n">
        <v>8967413</v>
      </c>
      <c r="E2676" s="0" t="n">
        <v>65.02</v>
      </c>
      <c r="F2676" s="0" t="n">
        <v>0</v>
      </c>
      <c r="G2676" s="0" t="n">
        <v>0.27</v>
      </c>
      <c r="H2676" s="0" t="n">
        <v>1.23</v>
      </c>
      <c r="I2676" s="0" t="n">
        <v>19.42</v>
      </c>
      <c r="J2676" s="0" t="n">
        <v>33.99</v>
      </c>
      <c r="K2676" s="0" t="n">
        <v>7.89</v>
      </c>
      <c r="L2676" s="0" t="n">
        <v>0.14</v>
      </c>
      <c r="M2676" s="0" t="n">
        <v>1.04</v>
      </c>
      <c r="N2676" s="0" t="n">
        <v>1.04</v>
      </c>
      <c r="O2676" s="0" t="n">
        <v>39.22</v>
      </c>
    </row>
    <row r="2677" customFormat="false" ht="15" hidden="false" customHeight="false" outlineLevel="0" collapsed="false">
      <c r="A2677" s="0" t="s">
        <v>366</v>
      </c>
      <c r="B2677" s="0" t="s">
        <v>605</v>
      </c>
      <c r="C2677" s="0" t="n">
        <v>2015</v>
      </c>
      <c r="D2677" s="0" t="n">
        <v>19424615</v>
      </c>
      <c r="E2677" s="0" t="n">
        <v>18.01</v>
      </c>
      <c r="F2677" s="0" t="n">
        <v>0</v>
      </c>
      <c r="G2677" s="0" t="n">
        <v>12.27</v>
      </c>
      <c r="H2677" s="0" t="n">
        <v>5.3</v>
      </c>
      <c r="I2677" s="0" t="n">
        <v>0</v>
      </c>
      <c r="J2677" s="0" t="n">
        <v>0.41</v>
      </c>
      <c r="K2677" s="0" t="n">
        <v>0</v>
      </c>
      <c r="L2677" s="0" t="n">
        <v>0</v>
      </c>
      <c r="M2677" s="0" t="n">
        <v>0.03</v>
      </c>
      <c r="N2677" s="0" t="n">
        <v>0</v>
      </c>
      <c r="O2677" s="0" t="n">
        <v>734.59</v>
      </c>
    </row>
    <row r="2678" customFormat="false" ht="15" hidden="false" customHeight="false" outlineLevel="0" collapsed="false">
      <c r="A2678" s="0" t="s">
        <v>366</v>
      </c>
      <c r="B2678" s="0" t="s">
        <v>605</v>
      </c>
      <c r="C2678" s="0" t="n">
        <v>2016</v>
      </c>
      <c r="D2678" s="0" t="n">
        <v>19193835</v>
      </c>
      <c r="E2678" s="0" t="n">
        <v>18.17</v>
      </c>
      <c r="F2678" s="0" t="n">
        <v>0</v>
      </c>
      <c r="G2678" s="0" t="n">
        <v>10.7</v>
      </c>
      <c r="H2678" s="0" t="n">
        <v>6.51</v>
      </c>
      <c r="I2678" s="0" t="n">
        <v>0</v>
      </c>
      <c r="J2678" s="0" t="n">
        <v>0.93</v>
      </c>
      <c r="K2678" s="0" t="n">
        <v>0</v>
      </c>
      <c r="L2678" s="0" t="n">
        <v>0</v>
      </c>
      <c r="M2678" s="0" t="n">
        <v>0.03</v>
      </c>
      <c r="N2678" s="0" t="n">
        <v>0</v>
      </c>
      <c r="O2678" s="0" t="n">
        <v>703.91</v>
      </c>
    </row>
    <row r="2679" customFormat="false" ht="15" hidden="false" customHeight="false" outlineLevel="0" collapsed="false">
      <c r="A2679" s="0" t="s">
        <v>366</v>
      </c>
      <c r="B2679" s="0" t="s">
        <v>605</v>
      </c>
      <c r="C2679" s="0" t="n">
        <v>2017</v>
      </c>
      <c r="D2679" s="0" t="n">
        <v>19224671</v>
      </c>
      <c r="E2679" s="0" t="n">
        <v>18.44</v>
      </c>
      <c r="F2679" s="0" t="n">
        <v>0</v>
      </c>
      <c r="G2679" s="0" t="n">
        <v>10.56</v>
      </c>
      <c r="H2679" s="0" t="n">
        <v>7.1</v>
      </c>
      <c r="I2679" s="0" t="n">
        <v>0</v>
      </c>
      <c r="J2679" s="0" t="n">
        <v>0.75</v>
      </c>
      <c r="K2679" s="0" t="n">
        <v>0</v>
      </c>
      <c r="L2679" s="0" t="n">
        <v>0</v>
      </c>
      <c r="M2679" s="0" t="n">
        <v>0.03</v>
      </c>
      <c r="N2679" s="0" t="n">
        <v>0</v>
      </c>
      <c r="O2679" s="0" t="n">
        <v>708.79</v>
      </c>
    </row>
    <row r="2680" customFormat="false" ht="15" hidden="false" customHeight="false" outlineLevel="0" collapsed="false">
      <c r="A2680" s="0" t="s">
        <v>366</v>
      </c>
      <c r="B2680" s="0" t="s">
        <v>605</v>
      </c>
      <c r="C2680" s="0" t="n">
        <v>2018</v>
      </c>
      <c r="D2680" s="0" t="n">
        <v>19577849</v>
      </c>
      <c r="E2680" s="0" t="n">
        <v>22.32</v>
      </c>
      <c r="F2680" s="0" t="n">
        <v>0</v>
      </c>
      <c r="G2680" s="0" t="n">
        <v>10.5</v>
      </c>
      <c r="H2680" s="0" t="n">
        <v>11.04</v>
      </c>
      <c r="I2680" s="0" t="n">
        <v>0</v>
      </c>
      <c r="J2680" s="0" t="n">
        <v>0.75</v>
      </c>
      <c r="K2680" s="0" t="n">
        <v>0</v>
      </c>
      <c r="L2680" s="0" t="n">
        <v>0</v>
      </c>
      <c r="M2680" s="0" t="n">
        <v>0.03</v>
      </c>
      <c r="N2680" s="0" t="n">
        <v>0</v>
      </c>
      <c r="O2680" s="0" t="n">
        <v>699.37</v>
      </c>
    </row>
    <row r="2681" customFormat="false" ht="15" hidden="false" customHeight="false" outlineLevel="0" collapsed="false">
      <c r="A2681" s="0" t="s">
        <v>366</v>
      </c>
      <c r="B2681" s="0" t="s">
        <v>605</v>
      </c>
      <c r="C2681" s="0" t="n">
        <v>2019</v>
      </c>
      <c r="D2681" s="0" t="n">
        <v>20353536</v>
      </c>
      <c r="E2681" s="0" t="n">
        <v>22.32</v>
      </c>
      <c r="F2681" s="0" t="n">
        <v>0</v>
      </c>
      <c r="G2681" s="0" t="n">
        <v>10.07</v>
      </c>
      <c r="H2681" s="0" t="n">
        <v>11.47</v>
      </c>
      <c r="I2681" s="0" t="n">
        <v>0</v>
      </c>
      <c r="J2681" s="0" t="n">
        <v>0.75</v>
      </c>
      <c r="K2681" s="0" t="n">
        <v>0</v>
      </c>
      <c r="L2681" s="0" t="n">
        <v>0</v>
      </c>
      <c r="M2681" s="0" t="n">
        <v>0.03</v>
      </c>
      <c r="N2681" s="0" t="n">
        <v>0</v>
      </c>
      <c r="O2681" s="0" t="n">
        <v>697.13</v>
      </c>
    </row>
    <row r="2682" customFormat="false" ht="15" hidden="false" customHeight="false" outlineLevel="0" collapsed="false">
      <c r="A2682" s="0" t="s">
        <v>366</v>
      </c>
      <c r="B2682" s="0" t="s">
        <v>605</v>
      </c>
      <c r="C2682" s="0" t="n">
        <v>2020</v>
      </c>
      <c r="D2682" s="0" t="n">
        <v>21049431</v>
      </c>
      <c r="E2682" s="0" t="n">
        <v>21.03</v>
      </c>
      <c r="F2682" s="0" t="n">
        <v>0</v>
      </c>
      <c r="G2682" s="0" t="n">
        <v>8.85</v>
      </c>
      <c r="H2682" s="0" t="n">
        <v>11.38</v>
      </c>
      <c r="I2682" s="0" t="n">
        <v>0</v>
      </c>
      <c r="J2682" s="0" t="n">
        <v>0.75</v>
      </c>
      <c r="K2682" s="0" t="n">
        <v>0.02</v>
      </c>
      <c r="L2682" s="0" t="n">
        <v>0</v>
      </c>
      <c r="M2682" s="0" t="n">
        <v>0.03</v>
      </c>
      <c r="N2682" s="0" t="n">
        <v>0</v>
      </c>
      <c r="O2682" s="0" t="n">
        <v>690.92</v>
      </c>
    </row>
    <row r="2683" customFormat="false" ht="15" hidden="false" customHeight="false" outlineLevel="0" collapsed="false">
      <c r="A2683" s="0" t="s">
        <v>366</v>
      </c>
      <c r="B2683" s="0" t="s">
        <v>605</v>
      </c>
      <c r="C2683" s="0" t="n">
        <v>2021</v>
      </c>
      <c r="D2683" s="0" t="n">
        <v>21628837</v>
      </c>
      <c r="E2683" s="0" t="n">
        <v>21.71</v>
      </c>
      <c r="F2683" s="0" t="n">
        <v>0</v>
      </c>
      <c r="G2683" s="0" t="n">
        <v>9.42</v>
      </c>
      <c r="H2683" s="0" t="n">
        <v>11.45</v>
      </c>
      <c r="I2683" s="0" t="n">
        <v>0</v>
      </c>
      <c r="J2683" s="0" t="n">
        <v>0.75</v>
      </c>
      <c r="K2683" s="0" t="n">
        <v>0.06</v>
      </c>
      <c r="L2683" s="0" t="n">
        <v>0</v>
      </c>
      <c r="M2683" s="0" t="n">
        <v>0.03</v>
      </c>
      <c r="N2683" s="0" t="n">
        <v>0</v>
      </c>
      <c r="O2683" s="0" t="n">
        <v>692.31</v>
      </c>
    </row>
    <row r="2684" customFormat="false" ht="15" hidden="false" customHeight="false" outlineLevel="0" collapsed="false">
      <c r="A2684" s="0" t="s">
        <v>366</v>
      </c>
      <c r="B2684" s="0" t="s">
        <v>605</v>
      </c>
      <c r="C2684" s="0" t="n">
        <v>2022</v>
      </c>
      <c r="D2684" s="0" t="n">
        <v>22462170</v>
      </c>
      <c r="E2684" s="0" t="n">
        <v>20.08</v>
      </c>
      <c r="F2684" s="0" t="n">
        <v>0</v>
      </c>
      <c r="G2684" s="0" t="n">
        <v>7.7</v>
      </c>
      <c r="H2684" s="0" t="n">
        <v>11.5</v>
      </c>
      <c r="I2684" s="0" t="n">
        <v>0</v>
      </c>
      <c r="J2684" s="0" t="n">
        <v>0.75</v>
      </c>
      <c r="K2684" s="0" t="n">
        <v>0.1</v>
      </c>
      <c r="L2684" s="0" t="n">
        <v>0</v>
      </c>
      <c r="M2684" s="0" t="n">
        <v>0.03</v>
      </c>
      <c r="N2684" s="0" t="n">
        <v>0</v>
      </c>
      <c r="O2684" s="0" t="n">
        <v>682.27</v>
      </c>
    </row>
    <row r="2685" customFormat="false" ht="15" hidden="false" customHeight="false" outlineLevel="0" collapsed="false">
      <c r="A2685" s="0" t="s">
        <v>366</v>
      </c>
      <c r="B2685" s="0" t="s">
        <v>605</v>
      </c>
      <c r="C2685" s="0" t="n">
        <v>2023</v>
      </c>
      <c r="D2685" s="0" t="n">
        <v>23594623</v>
      </c>
      <c r="E2685" s="0" t="n">
        <v>25.02</v>
      </c>
      <c r="F2685" s="0" t="n">
        <v>0</v>
      </c>
      <c r="G2685" s="0" t="n">
        <v>12.95</v>
      </c>
      <c r="H2685" s="0" t="n">
        <v>11.19</v>
      </c>
      <c r="I2685" s="0" t="n">
        <v>0</v>
      </c>
      <c r="J2685" s="0" t="n">
        <v>0.75</v>
      </c>
      <c r="K2685" s="0" t="n">
        <v>0.1</v>
      </c>
      <c r="L2685" s="0" t="n">
        <v>0</v>
      </c>
      <c r="M2685" s="0" t="n">
        <v>0.03</v>
      </c>
      <c r="N2685" s="0" t="n">
        <v>0</v>
      </c>
      <c r="O2685" s="0" t="n">
        <v>705.44</v>
      </c>
    </row>
    <row r="2686" customFormat="false" ht="15" hidden="false" customHeight="false" outlineLevel="0" collapsed="false">
      <c r="A2686" s="0" t="s">
        <v>366</v>
      </c>
      <c r="B2686" s="0" t="s">
        <v>605</v>
      </c>
      <c r="C2686" s="0" t="n">
        <v>2024</v>
      </c>
      <c r="D2686" s="0" t="n">
        <v>24672758</v>
      </c>
      <c r="E2686" s="0" t="n">
        <v>24.88</v>
      </c>
      <c r="F2686" s="0" t="n">
        <v>0</v>
      </c>
      <c r="G2686" s="0" t="n">
        <v>13</v>
      </c>
      <c r="H2686" s="0" t="n">
        <v>11</v>
      </c>
      <c r="I2686" s="0" t="n">
        <v>0</v>
      </c>
      <c r="J2686" s="0" t="n">
        <v>0.75</v>
      </c>
      <c r="K2686" s="0" t="n">
        <v>0.1</v>
      </c>
      <c r="L2686" s="0" t="n">
        <v>0</v>
      </c>
      <c r="M2686" s="0" t="n">
        <v>0.03</v>
      </c>
      <c r="N2686" s="0" t="n">
        <v>0</v>
      </c>
      <c r="O2686" s="0" t="n">
        <v>706.19</v>
      </c>
    </row>
    <row r="2687" customFormat="false" ht="15" hidden="false" customHeight="false" outlineLevel="0" collapsed="false">
      <c r="A2687" s="0" t="s">
        <v>367</v>
      </c>
      <c r="B2687" s="0" t="s">
        <v>606</v>
      </c>
      <c r="C2687" s="0" t="n">
        <v>2015</v>
      </c>
      <c r="D2687" s="0" t="n">
        <v>23529260</v>
      </c>
      <c r="E2687" s="0" t="n">
        <v>258.14</v>
      </c>
      <c r="F2687" s="0" t="n">
        <v>119.82</v>
      </c>
      <c r="G2687" s="0" t="n">
        <v>80.8</v>
      </c>
      <c r="H2687" s="0" t="n">
        <v>12.26</v>
      </c>
      <c r="I2687" s="0" t="n">
        <v>36.47</v>
      </c>
      <c r="J2687" s="0" t="n">
        <v>4.47</v>
      </c>
      <c r="K2687" s="0" t="n">
        <v>0.85</v>
      </c>
      <c r="L2687" s="0" t="n">
        <v>1.53</v>
      </c>
      <c r="M2687" s="0" t="n">
        <v>1.94</v>
      </c>
      <c r="O2687" s="0" t="n">
        <v>650.27</v>
      </c>
    </row>
    <row r="2688" customFormat="false" ht="15" hidden="false" customHeight="false" outlineLevel="0" collapsed="false">
      <c r="A2688" s="0" t="s">
        <v>367</v>
      </c>
      <c r="B2688" s="0" t="s">
        <v>606</v>
      </c>
      <c r="C2688" s="0" t="n">
        <v>2016</v>
      </c>
      <c r="D2688" s="0" t="n">
        <v>23586140</v>
      </c>
      <c r="E2688" s="0" t="n">
        <v>264.12</v>
      </c>
      <c r="F2688" s="0" t="n">
        <v>124.02</v>
      </c>
      <c r="G2688" s="0" t="n">
        <v>85.23</v>
      </c>
      <c r="H2688" s="0" t="n">
        <v>12.17</v>
      </c>
      <c r="I2688" s="0" t="n">
        <v>31.66</v>
      </c>
      <c r="J2688" s="0" t="n">
        <v>6.56</v>
      </c>
      <c r="K2688" s="0" t="n">
        <v>1.11</v>
      </c>
      <c r="L2688" s="0" t="n">
        <v>1.46</v>
      </c>
      <c r="M2688" s="0" t="n">
        <v>1.91</v>
      </c>
      <c r="O2688" s="0" t="n">
        <v>659.17</v>
      </c>
    </row>
    <row r="2689" customFormat="false" ht="15" hidden="false" customHeight="false" outlineLevel="0" collapsed="false">
      <c r="A2689" s="0" t="s">
        <v>367</v>
      </c>
      <c r="B2689" s="0" t="s">
        <v>606</v>
      </c>
      <c r="C2689" s="0" t="n">
        <v>2017</v>
      </c>
      <c r="D2689" s="0" t="n">
        <v>23632950</v>
      </c>
      <c r="E2689" s="0" t="n">
        <v>270.26</v>
      </c>
      <c r="F2689" s="0" t="n">
        <v>130.71</v>
      </c>
      <c r="G2689" s="0" t="n">
        <v>93.41</v>
      </c>
      <c r="H2689" s="0" t="n">
        <v>12.99</v>
      </c>
      <c r="I2689" s="0" t="n">
        <v>22.45</v>
      </c>
      <c r="J2689" s="0" t="n">
        <v>5.45</v>
      </c>
      <c r="K2689" s="0" t="n">
        <v>1.67</v>
      </c>
      <c r="L2689" s="0" t="n">
        <v>1.72</v>
      </c>
      <c r="M2689" s="0" t="n">
        <v>1.86</v>
      </c>
      <c r="O2689" s="0" t="n">
        <v>684.71</v>
      </c>
    </row>
    <row r="2690" customFormat="false" ht="15" hidden="false" customHeight="false" outlineLevel="0" collapsed="false">
      <c r="A2690" s="0" t="s">
        <v>367</v>
      </c>
      <c r="B2690" s="0" t="s">
        <v>606</v>
      </c>
      <c r="C2690" s="0" t="n">
        <v>2018</v>
      </c>
      <c r="D2690" s="0" t="n">
        <v>23659308</v>
      </c>
      <c r="E2690" s="0" t="n">
        <v>275.53</v>
      </c>
      <c r="F2690" s="0" t="n">
        <v>134.18</v>
      </c>
      <c r="G2690" s="0" t="n">
        <v>94.46</v>
      </c>
      <c r="H2690" s="0" t="n">
        <v>8.35</v>
      </c>
      <c r="I2690" s="0" t="n">
        <v>27.68</v>
      </c>
      <c r="J2690" s="0" t="n">
        <v>4.48</v>
      </c>
      <c r="K2690" s="0" t="n">
        <v>2.7</v>
      </c>
      <c r="L2690" s="0" t="n">
        <v>1.71</v>
      </c>
      <c r="M2690" s="0" t="n">
        <v>1.97</v>
      </c>
      <c r="O2690" s="0" t="n">
        <v>672.2</v>
      </c>
    </row>
    <row r="2691" customFormat="false" ht="15" hidden="false" customHeight="false" outlineLevel="0" collapsed="false">
      <c r="A2691" s="0" t="s">
        <v>367</v>
      </c>
      <c r="B2691" s="0" t="s">
        <v>606</v>
      </c>
      <c r="C2691" s="0" t="n">
        <v>2019</v>
      </c>
      <c r="D2691" s="0" t="n">
        <v>23674137</v>
      </c>
      <c r="E2691" s="0" t="n">
        <v>274.18</v>
      </c>
      <c r="F2691" s="0" t="n">
        <v>129.24</v>
      </c>
      <c r="G2691" s="0" t="n">
        <v>93.2</v>
      </c>
      <c r="H2691" s="0" t="n">
        <v>5.98</v>
      </c>
      <c r="I2691" s="0" t="n">
        <v>32.32</v>
      </c>
      <c r="J2691" s="0" t="n">
        <v>5.54</v>
      </c>
      <c r="K2691" s="0" t="n">
        <v>4.02</v>
      </c>
      <c r="L2691" s="0" t="n">
        <v>1.89</v>
      </c>
      <c r="M2691" s="0" t="n">
        <v>1.99</v>
      </c>
      <c r="O2691" s="0" t="n">
        <v>649.06</v>
      </c>
    </row>
    <row r="2692" customFormat="false" ht="15" hidden="false" customHeight="false" outlineLevel="0" collapsed="false">
      <c r="A2692" s="0" t="s">
        <v>367</v>
      </c>
      <c r="B2692" s="0" t="s">
        <v>606</v>
      </c>
      <c r="C2692" s="0" t="n">
        <v>2020</v>
      </c>
      <c r="D2692" s="0" t="n">
        <v>23663461</v>
      </c>
      <c r="E2692" s="0" t="n">
        <v>279.99</v>
      </c>
      <c r="F2692" s="0" t="n">
        <v>128.61</v>
      </c>
      <c r="G2692" s="0" t="n">
        <v>102.03</v>
      </c>
      <c r="H2692" s="0" t="n">
        <v>4.51</v>
      </c>
      <c r="I2692" s="0" t="n">
        <v>31.44</v>
      </c>
      <c r="J2692" s="0" t="n">
        <v>3.02</v>
      </c>
      <c r="K2692" s="0" t="n">
        <v>6.07</v>
      </c>
      <c r="L2692" s="0" t="n">
        <v>2.31</v>
      </c>
      <c r="M2692" s="0" t="n">
        <v>2</v>
      </c>
      <c r="O2692" s="0" t="n">
        <v>648.06</v>
      </c>
    </row>
    <row r="2693" customFormat="false" ht="15" hidden="false" customHeight="false" outlineLevel="0" collapsed="false">
      <c r="A2693" s="0" t="s">
        <v>367</v>
      </c>
      <c r="B2693" s="0" t="s">
        <v>606</v>
      </c>
      <c r="C2693" s="0" t="n">
        <v>2021</v>
      </c>
      <c r="D2693" s="0" t="n">
        <v>23558330</v>
      </c>
      <c r="E2693" s="0" t="n">
        <v>291.03</v>
      </c>
      <c r="F2693" s="0" t="n">
        <v>131.49</v>
      </c>
      <c r="G2693" s="0" t="n">
        <v>110.59</v>
      </c>
      <c r="H2693" s="0" t="n">
        <v>5.44</v>
      </c>
      <c r="I2693" s="0" t="n">
        <v>27.79</v>
      </c>
      <c r="J2693" s="0" t="n">
        <v>3.47</v>
      </c>
      <c r="K2693" s="0" t="n">
        <v>7.97</v>
      </c>
      <c r="L2693" s="0" t="n">
        <v>2.27</v>
      </c>
      <c r="M2693" s="0" t="n">
        <v>2.01</v>
      </c>
      <c r="O2693" s="0" t="n">
        <v>652.1</v>
      </c>
    </row>
    <row r="2694" customFormat="false" ht="15" hidden="false" customHeight="false" outlineLevel="0" collapsed="false">
      <c r="A2694" s="0" t="s">
        <v>367</v>
      </c>
      <c r="B2694" s="0" t="s">
        <v>606</v>
      </c>
      <c r="C2694" s="0" t="n">
        <v>2022</v>
      </c>
      <c r="D2694" s="0" t="n">
        <v>23420107</v>
      </c>
      <c r="E2694" s="0" t="n">
        <v>288.19</v>
      </c>
      <c r="F2694" s="0" t="n">
        <v>123.51</v>
      </c>
      <c r="G2694" s="0" t="n">
        <v>114.3</v>
      </c>
      <c r="H2694" s="0" t="n">
        <v>4.54</v>
      </c>
      <c r="I2694" s="0" t="n">
        <v>23.75</v>
      </c>
      <c r="J2694" s="0" t="n">
        <v>5.84</v>
      </c>
      <c r="K2694" s="0" t="n">
        <v>10.68</v>
      </c>
      <c r="L2694" s="0" t="n">
        <v>3.58</v>
      </c>
      <c r="M2694" s="0" t="n">
        <v>1.99</v>
      </c>
      <c r="O2694" s="0" t="n">
        <v>639.23</v>
      </c>
    </row>
    <row r="2695" customFormat="false" ht="15" hidden="false" customHeight="false" outlineLevel="0" collapsed="false">
      <c r="A2695" s="0" t="s">
        <v>367</v>
      </c>
      <c r="B2695" s="0" t="s">
        <v>606</v>
      </c>
      <c r="C2695" s="0" t="n">
        <v>2023</v>
      </c>
      <c r="D2695" s="0" t="n">
        <v>23317145</v>
      </c>
      <c r="E2695" s="0" t="n">
        <v>282.28</v>
      </c>
      <c r="F2695" s="0" t="n">
        <v>121.6</v>
      </c>
      <c r="G2695" s="0" t="n">
        <v>113.91</v>
      </c>
      <c r="H2695" s="0" t="n">
        <v>3.85</v>
      </c>
      <c r="I2695" s="0" t="n">
        <v>17.8</v>
      </c>
      <c r="J2695" s="0" t="n">
        <v>3.96</v>
      </c>
      <c r="K2695" s="0" t="n">
        <v>12.91</v>
      </c>
      <c r="L2695" s="0" t="n">
        <v>6.24</v>
      </c>
      <c r="M2695" s="0" t="n">
        <v>2.01</v>
      </c>
      <c r="O2695" s="0" t="n">
        <v>644.18</v>
      </c>
    </row>
    <row r="2696" customFormat="false" ht="15" hidden="false" customHeight="false" outlineLevel="0" collapsed="false">
      <c r="A2696" s="0" t="s">
        <v>367</v>
      </c>
      <c r="B2696" s="0" t="s">
        <v>606</v>
      </c>
      <c r="C2696" s="0" t="n">
        <v>2024</v>
      </c>
      <c r="D2696" s="0" t="n">
        <v>23213964</v>
      </c>
      <c r="E2696" s="0" t="n">
        <v>288.56</v>
      </c>
      <c r="F2696" s="0" t="n">
        <v>115.62</v>
      </c>
      <c r="G2696" s="0" t="n">
        <v>124.99</v>
      </c>
      <c r="H2696" s="0" t="n">
        <v>4.26</v>
      </c>
      <c r="I2696" s="0" t="n">
        <v>12.18</v>
      </c>
      <c r="J2696" s="0" t="n">
        <v>4.21</v>
      </c>
      <c r="K2696" s="0" t="n">
        <v>14.9</v>
      </c>
      <c r="L2696" s="0" t="n">
        <v>10.33</v>
      </c>
      <c r="M2696" s="0" t="n">
        <v>2.07</v>
      </c>
      <c r="O2696" s="0" t="n">
        <v>635.19</v>
      </c>
    </row>
    <row r="2697" customFormat="false" ht="15" hidden="false" customHeight="false" outlineLevel="0" collapsed="false">
      <c r="A2697" s="0" t="s">
        <v>367</v>
      </c>
      <c r="B2697" s="0" t="s">
        <v>606</v>
      </c>
      <c r="C2697" s="0" t="n">
        <v>2025</v>
      </c>
      <c r="D2697" s="0" t="n">
        <v>23112797</v>
      </c>
      <c r="E2697" s="0" t="n">
        <v>288.39</v>
      </c>
      <c r="F2697" s="0" t="n">
        <v>104.55</v>
      </c>
      <c r="G2697" s="0" t="n">
        <v>140.66</v>
      </c>
      <c r="H2697" s="0" t="n">
        <v>4.63</v>
      </c>
      <c r="I2697" s="0" t="n">
        <v>3.25</v>
      </c>
      <c r="J2697" s="0" t="n">
        <v>5.51</v>
      </c>
      <c r="K2697" s="0" t="n">
        <v>15.68</v>
      </c>
      <c r="L2697" s="0" t="n">
        <v>12.01</v>
      </c>
      <c r="M2697" s="0" t="n">
        <v>2.1</v>
      </c>
      <c r="O2697" s="0" t="n">
        <v>633.21</v>
      </c>
    </row>
    <row r="2698" customFormat="false" ht="15" hidden="false" customHeight="false" outlineLevel="0" collapsed="false">
      <c r="A2698" s="0" t="s">
        <v>368</v>
      </c>
      <c r="B2698" s="0" t="s">
        <v>607</v>
      </c>
      <c r="C2698" s="0" t="n">
        <v>2015</v>
      </c>
      <c r="D2698" s="0" t="n">
        <v>8643839</v>
      </c>
      <c r="E2698" s="0" t="n">
        <v>17.16</v>
      </c>
      <c r="F2698" s="0" t="n">
        <v>0.16</v>
      </c>
      <c r="G2698" s="0" t="n">
        <v>0</v>
      </c>
      <c r="H2698" s="0" t="n">
        <v>0</v>
      </c>
      <c r="I2698" s="0" t="n">
        <v>0</v>
      </c>
      <c r="J2698" s="0" t="n">
        <v>17</v>
      </c>
      <c r="K2698" s="0" t="n">
        <v>0</v>
      </c>
      <c r="L2698" s="0" t="n">
        <v>0</v>
      </c>
      <c r="M2698" s="0" t="n">
        <v>0</v>
      </c>
      <c r="N2698" s="0" t="n">
        <v>0</v>
      </c>
      <c r="O2698" s="0" t="n">
        <v>32.05</v>
      </c>
    </row>
    <row r="2699" customFormat="false" ht="15" hidden="false" customHeight="false" outlineLevel="0" collapsed="false">
      <c r="A2699" s="0" t="s">
        <v>368</v>
      </c>
      <c r="B2699" s="0" t="s">
        <v>607</v>
      </c>
      <c r="C2699" s="0" t="n">
        <v>2016</v>
      </c>
      <c r="D2699" s="0" t="n">
        <v>8865623</v>
      </c>
      <c r="E2699" s="0" t="n">
        <v>17.24</v>
      </c>
      <c r="F2699" s="0" t="n">
        <v>0.61</v>
      </c>
      <c r="G2699" s="0" t="n">
        <v>0</v>
      </c>
      <c r="H2699" s="0" t="n">
        <v>0</v>
      </c>
      <c r="I2699" s="0" t="n">
        <v>0</v>
      </c>
      <c r="J2699" s="0" t="n">
        <v>16.63</v>
      </c>
      <c r="K2699" s="0" t="n">
        <v>0</v>
      </c>
      <c r="L2699" s="0" t="n">
        <v>0</v>
      </c>
      <c r="M2699" s="0" t="n">
        <v>0</v>
      </c>
      <c r="N2699" s="0" t="n">
        <v>0</v>
      </c>
      <c r="O2699" s="0" t="n">
        <v>56.85</v>
      </c>
    </row>
    <row r="2700" customFormat="false" ht="15" hidden="false" customHeight="false" outlineLevel="0" collapsed="false">
      <c r="A2700" s="0" t="s">
        <v>368</v>
      </c>
      <c r="B2700" s="0" t="s">
        <v>607</v>
      </c>
      <c r="C2700" s="0" t="n">
        <v>2017</v>
      </c>
      <c r="D2700" s="0" t="n">
        <v>9085942</v>
      </c>
      <c r="E2700" s="0" t="n">
        <v>18.11</v>
      </c>
      <c r="F2700" s="0" t="n">
        <v>0.98</v>
      </c>
      <c r="G2700" s="0" t="n">
        <v>0</v>
      </c>
      <c r="H2700" s="0" t="n">
        <v>0</v>
      </c>
      <c r="I2700" s="0" t="n">
        <v>0</v>
      </c>
      <c r="J2700" s="0" t="n">
        <v>17.13</v>
      </c>
      <c r="K2700" s="0" t="n">
        <v>0</v>
      </c>
      <c r="L2700" s="0" t="n">
        <v>0</v>
      </c>
      <c r="M2700" s="0" t="n">
        <v>0</v>
      </c>
      <c r="N2700" s="0" t="n">
        <v>0</v>
      </c>
      <c r="O2700" s="0" t="n">
        <v>74.54</v>
      </c>
    </row>
    <row r="2701" customFormat="false" ht="15" hidden="false" customHeight="false" outlineLevel="0" collapsed="false">
      <c r="A2701" s="0" t="s">
        <v>368</v>
      </c>
      <c r="B2701" s="0" t="s">
        <v>607</v>
      </c>
      <c r="C2701" s="0" t="n">
        <v>2018</v>
      </c>
      <c r="D2701" s="0" t="n">
        <v>9307345</v>
      </c>
      <c r="E2701" s="0" t="n">
        <v>19.74</v>
      </c>
      <c r="F2701" s="0" t="n">
        <v>1.35</v>
      </c>
      <c r="G2701" s="0" t="n">
        <v>0</v>
      </c>
      <c r="H2701" s="0" t="n">
        <v>0</v>
      </c>
      <c r="I2701" s="0" t="n">
        <v>0</v>
      </c>
      <c r="J2701" s="0" t="n">
        <v>18.39</v>
      </c>
      <c r="K2701" s="0" t="n">
        <v>0</v>
      </c>
      <c r="L2701" s="0" t="n">
        <v>0</v>
      </c>
      <c r="M2701" s="0" t="n">
        <v>0</v>
      </c>
      <c r="N2701" s="0" t="n">
        <v>0</v>
      </c>
      <c r="O2701" s="0" t="n">
        <v>87.64</v>
      </c>
    </row>
    <row r="2702" customFormat="false" ht="15" hidden="false" customHeight="false" outlineLevel="0" collapsed="false">
      <c r="A2702" s="0" t="s">
        <v>368</v>
      </c>
      <c r="B2702" s="0" t="s">
        <v>607</v>
      </c>
      <c r="C2702" s="0" t="n">
        <v>2019</v>
      </c>
      <c r="D2702" s="0" t="n">
        <v>9529970</v>
      </c>
      <c r="E2702" s="0" t="n">
        <v>20.96</v>
      </c>
      <c r="F2702" s="0" t="n">
        <v>1.48</v>
      </c>
      <c r="G2702" s="0" t="n">
        <v>0.31</v>
      </c>
      <c r="H2702" s="0" t="n">
        <v>0</v>
      </c>
      <c r="I2702" s="0" t="n">
        <v>0</v>
      </c>
      <c r="J2702" s="0" t="n">
        <v>19.17</v>
      </c>
      <c r="K2702" s="0" t="n">
        <v>0</v>
      </c>
      <c r="L2702" s="0" t="n">
        <v>0</v>
      </c>
      <c r="M2702" s="0" t="n">
        <v>0</v>
      </c>
      <c r="N2702" s="0" t="n">
        <v>0</v>
      </c>
      <c r="O2702" s="0" t="n">
        <v>98.28</v>
      </c>
    </row>
    <row r="2703" customFormat="false" ht="15" hidden="false" customHeight="false" outlineLevel="0" collapsed="false">
      <c r="A2703" s="0" t="s">
        <v>368</v>
      </c>
      <c r="B2703" s="0" t="s">
        <v>607</v>
      </c>
      <c r="C2703" s="0" t="n">
        <v>2020</v>
      </c>
      <c r="D2703" s="0" t="n">
        <v>9749312</v>
      </c>
      <c r="E2703" s="0" t="n">
        <v>20.1</v>
      </c>
      <c r="F2703" s="0" t="n">
        <v>1.66</v>
      </c>
      <c r="G2703" s="0" t="n">
        <v>0.33</v>
      </c>
      <c r="H2703" s="0" t="n">
        <v>0</v>
      </c>
      <c r="I2703" s="0" t="n">
        <v>0</v>
      </c>
      <c r="J2703" s="0" t="n">
        <v>18.11</v>
      </c>
      <c r="K2703" s="0" t="n">
        <v>0</v>
      </c>
      <c r="L2703" s="0" t="n">
        <v>0</v>
      </c>
      <c r="M2703" s="0" t="n">
        <v>0</v>
      </c>
      <c r="N2703" s="0" t="n">
        <v>0</v>
      </c>
      <c r="O2703" s="0" t="n">
        <v>109.95</v>
      </c>
    </row>
    <row r="2704" customFormat="false" ht="15" hidden="false" customHeight="false" outlineLevel="0" collapsed="false">
      <c r="A2704" s="0" t="s">
        <v>368</v>
      </c>
      <c r="B2704" s="0" t="s">
        <v>607</v>
      </c>
      <c r="C2704" s="0" t="n">
        <v>2021</v>
      </c>
      <c r="D2704" s="0" t="n">
        <v>9966912</v>
      </c>
      <c r="E2704" s="0" t="n">
        <v>20.72</v>
      </c>
      <c r="F2704" s="0" t="n">
        <v>1.75</v>
      </c>
      <c r="G2704" s="0" t="n">
        <v>0.31</v>
      </c>
      <c r="H2704" s="0" t="n">
        <v>0</v>
      </c>
      <c r="I2704" s="0" t="n">
        <v>0</v>
      </c>
      <c r="J2704" s="0" t="n">
        <v>18.66</v>
      </c>
      <c r="K2704" s="0" t="n">
        <v>0</v>
      </c>
      <c r="L2704" s="0" t="n">
        <v>0</v>
      </c>
      <c r="M2704" s="0" t="n">
        <v>0</v>
      </c>
      <c r="N2704" s="0" t="n">
        <v>0</v>
      </c>
      <c r="O2704" s="0" t="n">
        <v>110.52</v>
      </c>
    </row>
    <row r="2705" customFormat="false" ht="15" hidden="false" customHeight="false" outlineLevel="0" collapsed="false">
      <c r="A2705" s="0" t="s">
        <v>368</v>
      </c>
      <c r="B2705" s="0" t="s">
        <v>607</v>
      </c>
      <c r="C2705" s="0" t="n">
        <v>2022</v>
      </c>
      <c r="D2705" s="0" t="n">
        <v>10182228</v>
      </c>
      <c r="E2705" s="0" t="n">
        <v>21.49</v>
      </c>
      <c r="F2705" s="0" t="n">
        <v>1.28</v>
      </c>
      <c r="G2705" s="0" t="n">
        <v>0.29</v>
      </c>
      <c r="H2705" s="0" t="n">
        <v>0</v>
      </c>
      <c r="I2705" s="0" t="n">
        <v>0</v>
      </c>
      <c r="J2705" s="0" t="n">
        <v>19.92</v>
      </c>
      <c r="K2705" s="0" t="n">
        <v>0</v>
      </c>
      <c r="L2705" s="0" t="n">
        <v>0</v>
      </c>
      <c r="M2705" s="0" t="n">
        <v>0</v>
      </c>
      <c r="N2705" s="0" t="n">
        <v>0</v>
      </c>
      <c r="O2705" s="0" t="n">
        <v>86.55</v>
      </c>
    </row>
    <row r="2706" customFormat="false" ht="15" hidden="false" customHeight="false" outlineLevel="0" collapsed="false">
      <c r="A2706" s="0" t="s">
        <v>368</v>
      </c>
      <c r="B2706" s="0" t="s">
        <v>607</v>
      </c>
      <c r="C2706" s="0" t="n">
        <v>2023</v>
      </c>
      <c r="D2706" s="0" t="n">
        <v>10389807</v>
      </c>
      <c r="E2706" s="0" t="n">
        <v>21.23</v>
      </c>
      <c r="F2706" s="0" t="n">
        <v>1.01</v>
      </c>
      <c r="G2706" s="0" t="n">
        <v>0.22</v>
      </c>
      <c r="H2706" s="0" t="n">
        <v>0</v>
      </c>
      <c r="I2706" s="0" t="n">
        <v>0</v>
      </c>
      <c r="J2706" s="0" t="n">
        <v>20</v>
      </c>
      <c r="K2706" s="0" t="n">
        <v>0</v>
      </c>
      <c r="L2706" s="0" t="n">
        <v>0</v>
      </c>
      <c r="M2706" s="0" t="n">
        <v>0</v>
      </c>
      <c r="N2706" s="0" t="n">
        <v>0</v>
      </c>
      <c r="O2706" s="0" t="n">
        <v>74.42</v>
      </c>
    </row>
    <row r="2707" customFormat="false" ht="15" hidden="false" customHeight="false" outlineLevel="0" collapsed="false">
      <c r="A2707" s="0" t="s">
        <v>368</v>
      </c>
      <c r="B2707" s="0" t="s">
        <v>607</v>
      </c>
      <c r="C2707" s="0" t="n">
        <v>2024</v>
      </c>
      <c r="D2707" s="0" t="n">
        <v>10590930</v>
      </c>
      <c r="E2707" s="0" t="n">
        <v>22.2</v>
      </c>
      <c r="F2707" s="0" t="n">
        <v>1</v>
      </c>
      <c r="G2707" s="0" t="n">
        <v>0.2</v>
      </c>
      <c r="H2707" s="0" t="n">
        <v>0</v>
      </c>
      <c r="I2707" s="0" t="n">
        <v>0</v>
      </c>
      <c r="J2707" s="0" t="n">
        <v>21</v>
      </c>
      <c r="K2707" s="0" t="n">
        <v>0</v>
      </c>
      <c r="L2707" s="0" t="n">
        <v>0</v>
      </c>
      <c r="M2707" s="0" t="n">
        <v>0</v>
      </c>
      <c r="N2707" s="0" t="n">
        <v>0</v>
      </c>
      <c r="O2707" s="0" t="n">
        <v>71.17</v>
      </c>
    </row>
    <row r="2708" customFormat="false" ht="15" hidden="false" customHeight="false" outlineLevel="0" collapsed="false">
      <c r="A2708" s="0" t="s">
        <v>368</v>
      </c>
      <c r="B2708" s="0" t="s">
        <v>607</v>
      </c>
      <c r="C2708" s="0" t="n">
        <v>2025</v>
      </c>
      <c r="D2708" s="0" t="n">
        <v>10786738</v>
      </c>
      <c r="E2708" s="0" t="n">
        <v>24.67</v>
      </c>
      <c r="F2708" s="0" t="n">
        <v>1.15</v>
      </c>
      <c r="G2708" s="0" t="n">
        <v>0.24</v>
      </c>
      <c r="H2708" s="0" t="n">
        <v>0</v>
      </c>
      <c r="I2708" s="0" t="n">
        <v>0</v>
      </c>
      <c r="J2708" s="0" t="n">
        <v>23.28</v>
      </c>
      <c r="K2708" s="0" t="n">
        <v>0</v>
      </c>
      <c r="L2708" s="0" t="n">
        <v>0</v>
      </c>
      <c r="M2708" s="0" t="n">
        <v>0</v>
      </c>
      <c r="N2708" s="0" t="n">
        <v>0</v>
      </c>
      <c r="O2708" s="0" t="n">
        <v>72.56</v>
      </c>
    </row>
    <row r="2709" customFormat="false" ht="15" hidden="false" customHeight="false" outlineLevel="0" collapsed="false">
      <c r="A2709" s="0" t="s">
        <v>369</v>
      </c>
      <c r="B2709" s="0" t="s">
        <v>608</v>
      </c>
      <c r="C2709" s="0" t="n">
        <v>2015</v>
      </c>
      <c r="D2709" s="0" t="n">
        <v>52020958</v>
      </c>
      <c r="E2709" s="0" t="n">
        <v>6.53</v>
      </c>
      <c r="F2709" s="0" t="n">
        <v>0</v>
      </c>
      <c r="G2709" s="0" t="n">
        <v>2.86</v>
      </c>
      <c r="H2709" s="0" t="n">
        <v>1.48</v>
      </c>
      <c r="I2709" s="0" t="n">
        <v>0</v>
      </c>
      <c r="J2709" s="0" t="n">
        <v>2.11</v>
      </c>
      <c r="K2709" s="0" t="n">
        <v>0.02</v>
      </c>
      <c r="L2709" s="0" t="n">
        <v>0</v>
      </c>
      <c r="M2709" s="0" t="n">
        <v>0.06</v>
      </c>
      <c r="N2709" s="0" t="n">
        <v>0</v>
      </c>
      <c r="O2709" s="0" t="n">
        <v>370.6</v>
      </c>
    </row>
    <row r="2710" customFormat="false" ht="15" hidden="false" customHeight="false" outlineLevel="0" collapsed="false">
      <c r="A2710" s="0" t="s">
        <v>369</v>
      </c>
      <c r="B2710" s="0" t="s">
        <v>608</v>
      </c>
      <c r="C2710" s="0" t="n">
        <v>2016</v>
      </c>
      <c r="D2710" s="0" t="n">
        <v>53824012</v>
      </c>
      <c r="E2710" s="0" t="n">
        <v>6.82</v>
      </c>
      <c r="F2710" s="0" t="n">
        <v>0</v>
      </c>
      <c r="G2710" s="0" t="n">
        <v>4.1</v>
      </c>
      <c r="H2710" s="0" t="n">
        <v>0.25</v>
      </c>
      <c r="I2710" s="0" t="n">
        <v>0</v>
      </c>
      <c r="J2710" s="0" t="n">
        <v>2.37</v>
      </c>
      <c r="K2710" s="0" t="n">
        <v>0.03</v>
      </c>
      <c r="L2710" s="0" t="n">
        <v>0</v>
      </c>
      <c r="M2710" s="0" t="n">
        <v>0.07</v>
      </c>
      <c r="N2710" s="0" t="n">
        <v>0</v>
      </c>
      <c r="O2710" s="0" t="n">
        <v>328.45</v>
      </c>
    </row>
    <row r="2711" customFormat="false" ht="15" hidden="false" customHeight="false" outlineLevel="0" collapsed="false">
      <c r="A2711" s="0" t="s">
        <v>369</v>
      </c>
      <c r="B2711" s="0" t="s">
        <v>608</v>
      </c>
      <c r="C2711" s="0" t="n">
        <v>2017</v>
      </c>
      <c r="D2711" s="0" t="n">
        <v>55652888</v>
      </c>
      <c r="E2711" s="0" t="n">
        <v>7.07</v>
      </c>
      <c r="F2711" s="0" t="n">
        <v>0</v>
      </c>
      <c r="G2711" s="0" t="n">
        <v>4.32</v>
      </c>
      <c r="H2711" s="0" t="n">
        <v>0.29</v>
      </c>
      <c r="I2711" s="0" t="n">
        <v>0</v>
      </c>
      <c r="J2711" s="0" t="n">
        <v>2.35</v>
      </c>
      <c r="K2711" s="0" t="n">
        <v>0.04</v>
      </c>
      <c r="L2711" s="0" t="n">
        <v>0</v>
      </c>
      <c r="M2711" s="0" t="n">
        <v>0.07</v>
      </c>
      <c r="N2711" s="0" t="n">
        <v>0</v>
      </c>
      <c r="O2711" s="0" t="n">
        <v>336.63</v>
      </c>
    </row>
    <row r="2712" customFormat="false" ht="15" hidden="false" customHeight="false" outlineLevel="0" collapsed="false">
      <c r="A2712" s="0" t="s">
        <v>369</v>
      </c>
      <c r="B2712" s="0" t="s">
        <v>608</v>
      </c>
      <c r="C2712" s="0" t="n">
        <v>2018</v>
      </c>
      <c r="D2712" s="0" t="n">
        <v>57437134</v>
      </c>
      <c r="E2712" s="0" t="n">
        <v>7.31</v>
      </c>
      <c r="F2712" s="0" t="n">
        <v>0</v>
      </c>
      <c r="G2712" s="0" t="n">
        <v>4.87</v>
      </c>
      <c r="H2712" s="0" t="n">
        <v>0.12</v>
      </c>
      <c r="I2712" s="0" t="n">
        <v>0</v>
      </c>
      <c r="J2712" s="0" t="n">
        <v>2.23</v>
      </c>
      <c r="K2712" s="0" t="n">
        <v>0.03</v>
      </c>
      <c r="L2712" s="0" t="n">
        <v>0</v>
      </c>
      <c r="M2712" s="0" t="n">
        <v>0.06</v>
      </c>
      <c r="N2712" s="0" t="n">
        <v>0</v>
      </c>
      <c r="O2712" s="0" t="n">
        <v>344.73</v>
      </c>
    </row>
    <row r="2713" customFormat="false" ht="15" hidden="false" customHeight="false" outlineLevel="0" collapsed="false">
      <c r="A2713" s="0" t="s">
        <v>369</v>
      </c>
      <c r="B2713" s="0" t="s">
        <v>608</v>
      </c>
      <c r="C2713" s="0" t="n">
        <v>2019</v>
      </c>
      <c r="D2713" s="0" t="n">
        <v>59174889</v>
      </c>
      <c r="E2713" s="0" t="n">
        <v>7.77</v>
      </c>
      <c r="F2713" s="0" t="n">
        <v>0</v>
      </c>
      <c r="G2713" s="0" t="n">
        <v>5.11</v>
      </c>
      <c r="H2713" s="0" t="n">
        <v>0.08</v>
      </c>
      <c r="I2713" s="0" t="n">
        <v>0</v>
      </c>
      <c r="J2713" s="0" t="n">
        <v>2.48</v>
      </c>
      <c r="K2713" s="0" t="n">
        <v>0.03</v>
      </c>
      <c r="L2713" s="0" t="n">
        <v>0</v>
      </c>
      <c r="M2713" s="0" t="n">
        <v>0.07</v>
      </c>
      <c r="N2713" s="0" t="n">
        <v>0</v>
      </c>
      <c r="O2713" s="0" t="n">
        <v>337.19</v>
      </c>
    </row>
    <row r="2714" customFormat="false" ht="15" hidden="false" customHeight="false" outlineLevel="0" collapsed="false">
      <c r="A2714" s="0" t="s">
        <v>369</v>
      </c>
      <c r="B2714" s="0" t="s">
        <v>608</v>
      </c>
      <c r="C2714" s="0" t="n">
        <v>2020</v>
      </c>
      <c r="D2714" s="0" t="n">
        <v>60972803</v>
      </c>
      <c r="E2714" s="0" t="n">
        <v>7.83</v>
      </c>
      <c r="F2714" s="0" t="n">
        <v>0</v>
      </c>
      <c r="G2714" s="0" t="n">
        <v>4.51</v>
      </c>
      <c r="H2714" s="0" t="n">
        <v>0.08</v>
      </c>
      <c r="I2714" s="0" t="n">
        <v>0</v>
      </c>
      <c r="J2714" s="0" t="n">
        <v>3.14</v>
      </c>
      <c r="K2714" s="0" t="n">
        <v>0.03</v>
      </c>
      <c r="L2714" s="0" t="n">
        <v>0</v>
      </c>
      <c r="M2714" s="0" t="n">
        <v>0.07</v>
      </c>
      <c r="N2714" s="0" t="n">
        <v>0</v>
      </c>
      <c r="O2714" s="0" t="n">
        <v>298.85</v>
      </c>
    </row>
    <row r="2715" customFormat="false" ht="15" hidden="false" customHeight="false" outlineLevel="0" collapsed="false">
      <c r="A2715" s="0" t="s">
        <v>369</v>
      </c>
      <c r="B2715" s="0" t="s">
        <v>608</v>
      </c>
      <c r="C2715" s="0" t="n">
        <v>2021</v>
      </c>
      <c r="D2715" s="0" t="n">
        <v>62830410</v>
      </c>
      <c r="E2715" s="0" t="n">
        <v>8.65</v>
      </c>
      <c r="F2715" s="0" t="n">
        <v>0</v>
      </c>
      <c r="G2715" s="0" t="n">
        <v>5.36</v>
      </c>
      <c r="H2715" s="0" t="n">
        <v>0.1</v>
      </c>
      <c r="I2715" s="0" t="n">
        <v>0</v>
      </c>
      <c r="J2715" s="0" t="n">
        <v>3.09</v>
      </c>
      <c r="K2715" s="0" t="n">
        <v>0.03</v>
      </c>
      <c r="L2715" s="0" t="n">
        <v>0</v>
      </c>
      <c r="M2715" s="0" t="n">
        <v>0.07</v>
      </c>
      <c r="N2715" s="0" t="n">
        <v>0</v>
      </c>
      <c r="O2715" s="0" t="n">
        <v>320.23</v>
      </c>
    </row>
    <row r="2716" customFormat="false" ht="15" hidden="false" customHeight="false" outlineLevel="0" collapsed="false">
      <c r="A2716" s="0" t="s">
        <v>369</v>
      </c>
      <c r="B2716" s="0" t="s">
        <v>608</v>
      </c>
      <c r="C2716" s="0" t="n">
        <v>2022</v>
      </c>
      <c r="D2716" s="0" t="n">
        <v>64711822</v>
      </c>
      <c r="E2716" s="0" t="n">
        <v>9.62</v>
      </c>
      <c r="F2716" s="0" t="n">
        <v>0</v>
      </c>
      <c r="G2716" s="0" t="n">
        <v>6.68</v>
      </c>
      <c r="H2716" s="0" t="n">
        <v>0.02</v>
      </c>
      <c r="I2716" s="0" t="n">
        <v>0</v>
      </c>
      <c r="J2716" s="0" t="n">
        <v>2.82</v>
      </c>
      <c r="K2716" s="0" t="n">
        <v>0.03</v>
      </c>
      <c r="L2716" s="0" t="n">
        <v>0</v>
      </c>
      <c r="M2716" s="0" t="n">
        <v>0.07</v>
      </c>
      <c r="N2716" s="0" t="n">
        <v>0</v>
      </c>
      <c r="O2716" s="0" t="n">
        <v>349.27</v>
      </c>
    </row>
    <row r="2717" customFormat="false" ht="15" hidden="false" customHeight="false" outlineLevel="0" collapsed="false">
      <c r="A2717" s="0" t="s">
        <v>369</v>
      </c>
      <c r="B2717" s="0" t="s">
        <v>608</v>
      </c>
      <c r="C2717" s="0" t="n">
        <v>2023</v>
      </c>
      <c r="D2717" s="0" t="n">
        <v>66617607</v>
      </c>
      <c r="E2717" s="0" t="n">
        <v>10.57</v>
      </c>
      <c r="F2717" s="0" t="n">
        <v>0</v>
      </c>
      <c r="G2717" s="0" t="n">
        <v>7.38</v>
      </c>
      <c r="H2717" s="0" t="n">
        <v>0.39</v>
      </c>
      <c r="I2717" s="0" t="n">
        <v>0</v>
      </c>
      <c r="J2717" s="0" t="n">
        <v>2.7</v>
      </c>
      <c r="K2717" s="0" t="n">
        <v>0.03</v>
      </c>
      <c r="L2717" s="0" t="n">
        <v>0</v>
      </c>
      <c r="M2717" s="0" t="n">
        <v>0.07</v>
      </c>
      <c r="N2717" s="0" t="n">
        <v>0</v>
      </c>
      <c r="O2717" s="0" t="n">
        <v>372.75</v>
      </c>
    </row>
    <row r="2718" customFormat="false" ht="15" hidden="false" customHeight="false" outlineLevel="0" collapsed="false">
      <c r="A2718" s="0" t="s">
        <v>369</v>
      </c>
      <c r="B2718" s="0" t="s">
        <v>608</v>
      </c>
      <c r="C2718" s="0" t="n">
        <v>2024</v>
      </c>
      <c r="D2718" s="0" t="n">
        <v>68560162</v>
      </c>
      <c r="E2718" s="0" t="n">
        <v>8.84</v>
      </c>
      <c r="F2718" s="0" t="n">
        <v>0</v>
      </c>
      <c r="G2718" s="0" t="n">
        <v>5.55</v>
      </c>
      <c r="H2718" s="0" t="n">
        <v>0.38</v>
      </c>
      <c r="I2718" s="0" t="n">
        <v>0</v>
      </c>
      <c r="J2718" s="0" t="n">
        <v>2.8</v>
      </c>
      <c r="K2718" s="0" t="n">
        <v>0.04</v>
      </c>
      <c r="L2718" s="0" t="n">
        <v>0</v>
      </c>
      <c r="M2718" s="0" t="n">
        <v>0.07</v>
      </c>
      <c r="N2718" s="0" t="n">
        <v>0</v>
      </c>
      <c r="O2718" s="0" t="n">
        <v>345.02</v>
      </c>
    </row>
    <row r="2719" customFormat="false" ht="15" hidden="false" customHeight="false" outlineLevel="0" collapsed="false">
      <c r="A2719" s="0" t="s">
        <v>370</v>
      </c>
      <c r="B2719" s="0" t="s">
        <v>609</v>
      </c>
      <c r="C2719" s="0" t="n">
        <v>2015</v>
      </c>
      <c r="D2719" s="0" t="n">
        <v>70540787</v>
      </c>
      <c r="E2719" s="0" t="n">
        <v>177.83</v>
      </c>
      <c r="F2719" s="0" t="n">
        <v>34.58</v>
      </c>
      <c r="G2719" s="0" t="n">
        <v>128.52</v>
      </c>
      <c r="H2719" s="0" t="n">
        <v>0.92</v>
      </c>
      <c r="I2719" s="0" t="n">
        <v>0</v>
      </c>
      <c r="J2719" s="0" t="n">
        <v>3.76</v>
      </c>
      <c r="K2719" s="0" t="n">
        <v>2.38</v>
      </c>
      <c r="L2719" s="0" t="n">
        <v>0.33</v>
      </c>
      <c r="M2719" s="0" t="n">
        <v>7.34</v>
      </c>
      <c r="O2719" s="0" t="n">
        <v>597.14</v>
      </c>
    </row>
    <row r="2720" customFormat="false" ht="15" hidden="false" customHeight="false" outlineLevel="0" collapsed="false">
      <c r="A2720" s="0" t="s">
        <v>370</v>
      </c>
      <c r="B2720" s="0" t="s">
        <v>609</v>
      </c>
      <c r="C2720" s="0" t="n">
        <v>2016</v>
      </c>
      <c r="D2720" s="0" t="n">
        <v>70859835</v>
      </c>
      <c r="E2720" s="0" t="n">
        <v>179.82</v>
      </c>
      <c r="F2720" s="0" t="n">
        <v>37.11</v>
      </c>
      <c r="G2720" s="0" t="n">
        <v>126.15</v>
      </c>
      <c r="H2720" s="0" t="n">
        <v>0.49</v>
      </c>
      <c r="I2720" s="0" t="n">
        <v>0</v>
      </c>
      <c r="J2720" s="0" t="n">
        <v>3.54</v>
      </c>
      <c r="K2720" s="0" t="n">
        <v>3.55</v>
      </c>
      <c r="L2720" s="0" t="n">
        <v>0.38</v>
      </c>
      <c r="M2720" s="0" t="n">
        <v>8.6</v>
      </c>
      <c r="O2720" s="0" t="n">
        <v>595.48</v>
      </c>
    </row>
    <row r="2721" customFormat="false" ht="15" hidden="false" customHeight="false" outlineLevel="0" collapsed="false">
      <c r="A2721" s="0" t="s">
        <v>370</v>
      </c>
      <c r="B2721" s="0" t="s">
        <v>609</v>
      </c>
      <c r="C2721" s="0" t="n">
        <v>2017</v>
      </c>
      <c r="D2721" s="0" t="n">
        <v>71160183</v>
      </c>
      <c r="E2721" s="0" t="n">
        <v>176.73</v>
      </c>
      <c r="F2721" s="0" t="n">
        <v>35.73</v>
      </c>
      <c r="G2721" s="0" t="n">
        <v>121.04</v>
      </c>
      <c r="H2721" s="0" t="n">
        <v>0.33</v>
      </c>
      <c r="I2721" s="0" t="n">
        <v>0</v>
      </c>
      <c r="J2721" s="0" t="n">
        <v>4.69</v>
      </c>
      <c r="K2721" s="0" t="n">
        <v>4.54</v>
      </c>
      <c r="L2721" s="0" t="n">
        <v>1.11</v>
      </c>
      <c r="M2721" s="0" t="n">
        <v>9.29</v>
      </c>
      <c r="O2721" s="0" t="n">
        <v>583.32</v>
      </c>
    </row>
    <row r="2722" customFormat="false" ht="15" hidden="false" customHeight="false" outlineLevel="0" collapsed="false">
      <c r="A2722" s="0" t="s">
        <v>370</v>
      </c>
      <c r="B2722" s="0" t="s">
        <v>609</v>
      </c>
      <c r="C2722" s="0" t="n">
        <v>2018</v>
      </c>
      <c r="D2722" s="0" t="n">
        <v>71376081</v>
      </c>
      <c r="E2722" s="0" t="n">
        <v>177.76</v>
      </c>
      <c r="F2722" s="0" t="n">
        <v>35.8</v>
      </c>
      <c r="G2722" s="0" t="n">
        <v>116.26</v>
      </c>
      <c r="H2722" s="0" t="n">
        <v>0.18</v>
      </c>
      <c r="I2722" s="0" t="n">
        <v>0</v>
      </c>
      <c r="J2722" s="0" t="n">
        <v>7.6</v>
      </c>
      <c r="K2722" s="0" t="n">
        <v>4.54</v>
      </c>
      <c r="L2722" s="0" t="n">
        <v>1.64</v>
      </c>
      <c r="M2722" s="0" t="n">
        <v>11.74</v>
      </c>
      <c r="O2722" s="0" t="n">
        <v>567.79</v>
      </c>
    </row>
    <row r="2723" customFormat="false" ht="15" hidden="false" customHeight="false" outlineLevel="0" collapsed="false">
      <c r="A2723" s="0" t="s">
        <v>370</v>
      </c>
      <c r="B2723" s="0" t="s">
        <v>609</v>
      </c>
      <c r="C2723" s="0" t="n">
        <v>2019</v>
      </c>
      <c r="D2723" s="0" t="n">
        <v>71522264</v>
      </c>
      <c r="E2723" s="0" t="n">
        <v>186.51</v>
      </c>
      <c r="F2723" s="0" t="n">
        <v>35.83</v>
      </c>
      <c r="G2723" s="0" t="n">
        <v>121.84</v>
      </c>
      <c r="H2723" s="0" t="n">
        <v>1.12</v>
      </c>
      <c r="I2723" s="0" t="n">
        <v>0</v>
      </c>
      <c r="J2723" s="0" t="n">
        <v>6.31</v>
      </c>
      <c r="K2723" s="0" t="n">
        <v>5.15</v>
      </c>
      <c r="L2723" s="0" t="n">
        <v>3.67</v>
      </c>
      <c r="M2723" s="0" t="n">
        <v>12.59</v>
      </c>
      <c r="O2723" s="0" t="n">
        <v>562.28</v>
      </c>
    </row>
    <row r="2724" customFormat="false" ht="15" hidden="false" customHeight="false" outlineLevel="0" collapsed="false">
      <c r="A2724" s="0" t="s">
        <v>370</v>
      </c>
      <c r="B2724" s="0" t="s">
        <v>609</v>
      </c>
      <c r="C2724" s="0" t="n">
        <v>2020</v>
      </c>
      <c r="D2724" s="0" t="n">
        <v>71641484</v>
      </c>
      <c r="E2724" s="0" t="n">
        <v>176.48</v>
      </c>
      <c r="F2724" s="0" t="n">
        <v>36.82</v>
      </c>
      <c r="G2724" s="0" t="n">
        <v>113.86</v>
      </c>
      <c r="H2724" s="0" t="n">
        <v>0.72</v>
      </c>
      <c r="I2724" s="0" t="n">
        <v>0</v>
      </c>
      <c r="J2724" s="0" t="n">
        <v>4.54</v>
      </c>
      <c r="K2724" s="0" t="n">
        <v>5.03</v>
      </c>
      <c r="L2724" s="0" t="n">
        <v>3.22</v>
      </c>
      <c r="M2724" s="0" t="n">
        <v>12.29</v>
      </c>
      <c r="O2724" s="0" t="n">
        <v>570.49</v>
      </c>
    </row>
    <row r="2725" customFormat="false" ht="15" hidden="false" customHeight="false" outlineLevel="0" collapsed="false">
      <c r="A2725" s="0" t="s">
        <v>370</v>
      </c>
      <c r="B2725" s="0" t="s">
        <v>609</v>
      </c>
      <c r="C2725" s="0" t="n">
        <v>2021</v>
      </c>
      <c r="D2725" s="0" t="n">
        <v>71727338</v>
      </c>
      <c r="E2725" s="0" t="n">
        <v>176.36</v>
      </c>
      <c r="F2725" s="0" t="n">
        <v>36.06</v>
      </c>
      <c r="G2725" s="0" t="n">
        <v>113.11</v>
      </c>
      <c r="H2725" s="0" t="n">
        <v>0.72</v>
      </c>
      <c r="I2725" s="0" t="n">
        <v>0</v>
      </c>
      <c r="J2725" s="0" t="n">
        <v>4.54</v>
      </c>
      <c r="K2725" s="0" t="n">
        <v>4.99</v>
      </c>
      <c r="L2725" s="0" t="n">
        <v>3.53</v>
      </c>
      <c r="M2725" s="0" t="n">
        <v>13.41</v>
      </c>
      <c r="O2725" s="0" t="n">
        <v>566.06</v>
      </c>
    </row>
    <row r="2726" customFormat="false" ht="15" hidden="false" customHeight="false" outlineLevel="0" collapsed="false">
      <c r="A2726" s="0" t="s">
        <v>370</v>
      </c>
      <c r="B2726" s="0" t="s">
        <v>609</v>
      </c>
      <c r="C2726" s="0" t="n">
        <v>2022</v>
      </c>
      <c r="D2726" s="0" t="n">
        <v>71735321</v>
      </c>
      <c r="E2726" s="0" t="n">
        <v>180.37</v>
      </c>
      <c r="F2726" s="0" t="n">
        <v>35.52</v>
      </c>
      <c r="G2726" s="0" t="n">
        <v>114.64</v>
      </c>
      <c r="H2726" s="0" t="n">
        <v>1.73</v>
      </c>
      <c r="I2726" s="0" t="n">
        <v>0</v>
      </c>
      <c r="J2726" s="0" t="n">
        <v>6.6</v>
      </c>
      <c r="K2726" s="0" t="n">
        <v>5.03</v>
      </c>
      <c r="L2726" s="0" t="n">
        <v>2.99</v>
      </c>
      <c r="M2726" s="0" t="n">
        <v>13.86</v>
      </c>
      <c r="O2726" s="0" t="n">
        <v>560.29</v>
      </c>
    </row>
    <row r="2727" customFormat="false" ht="15" hidden="false" customHeight="false" outlineLevel="0" collapsed="false">
      <c r="A2727" s="0" t="s">
        <v>370</v>
      </c>
      <c r="B2727" s="0" t="s">
        <v>609</v>
      </c>
      <c r="C2727" s="0" t="n">
        <v>2023</v>
      </c>
      <c r="D2727" s="0" t="n">
        <v>71702436</v>
      </c>
      <c r="E2727" s="0" t="n">
        <v>190.48</v>
      </c>
      <c r="F2727" s="0" t="n">
        <v>30.43</v>
      </c>
      <c r="G2727" s="0" t="n">
        <v>129.4</v>
      </c>
      <c r="H2727" s="0" t="n">
        <v>0.89</v>
      </c>
      <c r="I2727" s="0" t="n">
        <v>0</v>
      </c>
      <c r="J2727" s="0" t="n">
        <v>6.59</v>
      </c>
      <c r="K2727" s="0" t="n">
        <v>5.14</v>
      </c>
      <c r="L2727" s="0" t="n">
        <v>3.74</v>
      </c>
      <c r="M2727" s="0" t="n">
        <v>14.29</v>
      </c>
      <c r="O2727" s="0" t="n">
        <v>549.24</v>
      </c>
    </row>
    <row r="2728" customFormat="false" ht="15" hidden="false" customHeight="false" outlineLevel="0" collapsed="false">
      <c r="A2728" s="0" t="s">
        <v>370</v>
      </c>
      <c r="B2728" s="0" t="s">
        <v>609</v>
      </c>
      <c r="C2728" s="0" t="n">
        <v>2024</v>
      </c>
      <c r="D2728" s="0" t="n">
        <v>71668010</v>
      </c>
      <c r="E2728" s="0" t="n">
        <v>199.52</v>
      </c>
      <c r="F2728" s="0" t="n">
        <v>33.26</v>
      </c>
      <c r="G2728" s="0" t="n">
        <v>136.37</v>
      </c>
      <c r="H2728" s="0" t="n">
        <v>0.28</v>
      </c>
      <c r="I2728" s="0" t="n">
        <v>0</v>
      </c>
      <c r="J2728" s="0" t="n">
        <v>6.41</v>
      </c>
      <c r="K2728" s="0" t="n">
        <v>5.43</v>
      </c>
      <c r="L2728" s="0" t="n">
        <v>3.38</v>
      </c>
      <c r="M2728" s="0" t="n">
        <v>14.39</v>
      </c>
      <c r="O2728" s="0" t="n">
        <v>554.73</v>
      </c>
    </row>
    <row r="2729" customFormat="false" ht="15" hidden="false" customHeight="false" outlineLevel="0" collapsed="false">
      <c r="A2729" s="0" t="s">
        <v>370</v>
      </c>
      <c r="B2729" s="0" t="s">
        <v>609</v>
      </c>
      <c r="C2729" s="0" t="n">
        <v>2025</v>
      </c>
      <c r="D2729" s="0" t="n">
        <v>71619866</v>
      </c>
      <c r="E2729" s="0" t="n">
        <v>188.24</v>
      </c>
      <c r="F2729" s="0" t="n">
        <v>33.56</v>
      </c>
      <c r="G2729" s="0" t="n">
        <v>123.34</v>
      </c>
      <c r="H2729" s="0" t="n">
        <v>0.14</v>
      </c>
      <c r="J2729" s="0" t="n">
        <v>7.62</v>
      </c>
      <c r="K2729" s="0" t="n">
        <v>9.98</v>
      </c>
      <c r="L2729" s="0" t="n">
        <v>3.41</v>
      </c>
      <c r="M2729" s="0" t="n">
        <v>10.19</v>
      </c>
      <c r="O2729" s="0" t="n">
        <v>545.74</v>
      </c>
    </row>
    <row r="2730" customFormat="false" ht="15" hidden="false" customHeight="false" outlineLevel="0" collapsed="false">
      <c r="A2730" s="0" t="s">
        <v>371</v>
      </c>
      <c r="B2730" s="0" t="s">
        <v>610</v>
      </c>
      <c r="C2730" s="0" t="n">
        <v>2015</v>
      </c>
      <c r="D2730" s="0" t="n">
        <v>7071500</v>
      </c>
      <c r="E2730" s="0" t="n">
        <v>0.44</v>
      </c>
      <c r="F2730" s="0" t="n">
        <v>0</v>
      </c>
      <c r="G2730" s="0" t="n">
        <v>0.18</v>
      </c>
      <c r="H2730" s="0" t="n">
        <v>0.2</v>
      </c>
      <c r="I2730" s="0" t="n">
        <v>0</v>
      </c>
      <c r="J2730" s="0" t="n">
        <v>0.06</v>
      </c>
      <c r="K2730" s="0" t="n">
        <v>0</v>
      </c>
      <c r="L2730" s="0" t="n">
        <v>0</v>
      </c>
      <c r="M2730" s="0" t="n">
        <v>0</v>
      </c>
      <c r="N2730" s="0" t="n">
        <v>0</v>
      </c>
      <c r="O2730" s="0" t="n">
        <v>522.73</v>
      </c>
    </row>
    <row r="2731" customFormat="false" ht="15" hidden="false" customHeight="false" outlineLevel="0" collapsed="false">
      <c r="A2731" s="0" t="s">
        <v>371</v>
      </c>
      <c r="B2731" s="0" t="s">
        <v>610</v>
      </c>
      <c r="C2731" s="0" t="n">
        <v>2016</v>
      </c>
      <c r="D2731" s="0" t="n">
        <v>7200883</v>
      </c>
      <c r="E2731" s="0" t="n">
        <v>0.94</v>
      </c>
      <c r="F2731" s="0" t="n">
        <v>0</v>
      </c>
      <c r="G2731" s="0" t="n">
        <v>0.03</v>
      </c>
      <c r="H2731" s="0" t="n">
        <v>0.71</v>
      </c>
      <c r="I2731" s="0" t="n">
        <v>0</v>
      </c>
      <c r="J2731" s="0" t="n">
        <v>0.2</v>
      </c>
      <c r="K2731" s="0" t="n">
        <v>0</v>
      </c>
      <c r="L2731" s="0" t="n">
        <v>0</v>
      </c>
      <c r="M2731" s="0" t="n">
        <v>0</v>
      </c>
      <c r="N2731" s="0" t="n">
        <v>0</v>
      </c>
      <c r="O2731" s="0" t="n">
        <v>521.28</v>
      </c>
    </row>
    <row r="2732" customFormat="false" ht="15" hidden="false" customHeight="false" outlineLevel="0" collapsed="false">
      <c r="A2732" s="0" t="s">
        <v>371</v>
      </c>
      <c r="B2732" s="0" t="s">
        <v>610</v>
      </c>
      <c r="C2732" s="0" t="n">
        <v>2017</v>
      </c>
      <c r="D2732" s="0" t="n">
        <v>7324379</v>
      </c>
      <c r="E2732" s="0" t="n">
        <v>0.81</v>
      </c>
      <c r="F2732" s="0" t="n">
        <v>0</v>
      </c>
      <c r="G2732" s="0" t="n">
        <v>0.13</v>
      </c>
      <c r="H2732" s="0" t="n">
        <v>0.47</v>
      </c>
      <c r="I2732" s="0" t="n">
        <v>0</v>
      </c>
      <c r="J2732" s="0" t="n">
        <v>0.21</v>
      </c>
      <c r="K2732" s="0" t="n">
        <v>0</v>
      </c>
      <c r="L2732" s="0" t="n">
        <v>0</v>
      </c>
      <c r="M2732" s="0" t="n">
        <v>0</v>
      </c>
      <c r="N2732" s="0" t="n">
        <v>0</v>
      </c>
      <c r="O2732" s="0" t="n">
        <v>481.48</v>
      </c>
    </row>
    <row r="2733" customFormat="false" ht="15" hidden="false" customHeight="false" outlineLevel="0" collapsed="false">
      <c r="A2733" s="0" t="s">
        <v>371</v>
      </c>
      <c r="B2733" s="0" t="s">
        <v>610</v>
      </c>
      <c r="C2733" s="0" t="n">
        <v>2018</v>
      </c>
      <c r="D2733" s="0" t="n">
        <v>7458205</v>
      </c>
      <c r="E2733" s="0" t="n">
        <v>0.6</v>
      </c>
      <c r="F2733" s="0" t="n">
        <v>0</v>
      </c>
      <c r="G2733" s="0" t="n">
        <v>0.21</v>
      </c>
      <c r="H2733" s="0" t="n">
        <v>0.18</v>
      </c>
      <c r="I2733" s="0" t="n">
        <v>0</v>
      </c>
      <c r="J2733" s="0" t="n">
        <v>0.2</v>
      </c>
      <c r="K2733" s="0" t="n">
        <v>0.01</v>
      </c>
      <c r="L2733" s="0" t="n">
        <v>0</v>
      </c>
      <c r="M2733" s="0" t="n">
        <v>0</v>
      </c>
      <c r="N2733" s="0" t="n">
        <v>0</v>
      </c>
      <c r="O2733" s="0" t="n">
        <v>400</v>
      </c>
    </row>
    <row r="2734" customFormat="false" ht="15" hidden="false" customHeight="false" outlineLevel="0" collapsed="false">
      <c r="A2734" s="0" t="s">
        <v>371</v>
      </c>
      <c r="B2734" s="0" t="s">
        <v>610</v>
      </c>
      <c r="C2734" s="0" t="n">
        <v>2019</v>
      </c>
      <c r="D2734" s="0" t="n">
        <v>7619916</v>
      </c>
      <c r="E2734" s="0" t="n">
        <v>0.61</v>
      </c>
      <c r="F2734" s="0" t="n">
        <v>0</v>
      </c>
      <c r="G2734" s="0" t="n">
        <v>0.46</v>
      </c>
      <c r="H2734" s="0" t="n">
        <v>0.02</v>
      </c>
      <c r="I2734" s="0" t="n">
        <v>0</v>
      </c>
      <c r="J2734" s="0" t="n">
        <v>0.12</v>
      </c>
      <c r="K2734" s="0" t="n">
        <v>0.01</v>
      </c>
      <c r="L2734" s="0" t="n">
        <v>0</v>
      </c>
      <c r="M2734" s="0" t="n">
        <v>0</v>
      </c>
      <c r="N2734" s="0" t="n">
        <v>0</v>
      </c>
      <c r="O2734" s="0" t="n">
        <v>459.02</v>
      </c>
    </row>
    <row r="2735" customFormat="false" ht="15" hidden="false" customHeight="false" outlineLevel="0" collapsed="false">
      <c r="A2735" s="0" t="s">
        <v>371</v>
      </c>
      <c r="B2735" s="0" t="s">
        <v>610</v>
      </c>
      <c r="C2735" s="0" t="n">
        <v>2020</v>
      </c>
      <c r="D2735" s="0" t="n">
        <v>7788058</v>
      </c>
      <c r="E2735" s="0" t="n">
        <v>0.61</v>
      </c>
      <c r="F2735" s="0" t="n">
        <v>0</v>
      </c>
      <c r="G2735" s="0" t="n">
        <v>0.46</v>
      </c>
      <c r="H2735" s="0" t="n">
        <v>0.06</v>
      </c>
      <c r="I2735" s="0" t="n">
        <v>0</v>
      </c>
      <c r="J2735" s="0" t="n">
        <v>0.08</v>
      </c>
      <c r="K2735" s="0" t="n">
        <v>0.01</v>
      </c>
      <c r="L2735" s="0" t="n">
        <v>0</v>
      </c>
      <c r="M2735" s="0" t="n">
        <v>0</v>
      </c>
      <c r="N2735" s="0" t="n">
        <v>0</v>
      </c>
      <c r="O2735" s="0" t="n">
        <v>508.2</v>
      </c>
    </row>
    <row r="2736" customFormat="false" ht="15" hidden="false" customHeight="false" outlineLevel="0" collapsed="false">
      <c r="A2736" s="0" t="s">
        <v>371</v>
      </c>
      <c r="B2736" s="0" t="s">
        <v>610</v>
      </c>
      <c r="C2736" s="0" t="n">
        <v>2021</v>
      </c>
      <c r="D2736" s="0" t="n">
        <v>7936185</v>
      </c>
      <c r="E2736" s="0" t="n">
        <v>0.71</v>
      </c>
      <c r="F2736" s="0" t="n">
        <v>0</v>
      </c>
      <c r="G2736" s="0" t="n">
        <v>0.48</v>
      </c>
      <c r="H2736" s="0" t="n">
        <v>0.07</v>
      </c>
      <c r="I2736" s="0" t="n">
        <v>0</v>
      </c>
      <c r="J2736" s="0" t="n">
        <v>0.09</v>
      </c>
      <c r="K2736" s="0" t="n">
        <v>0.07</v>
      </c>
      <c r="L2736" s="0" t="n">
        <v>0</v>
      </c>
      <c r="M2736" s="0" t="n">
        <v>0</v>
      </c>
      <c r="N2736" s="0" t="n">
        <v>0</v>
      </c>
      <c r="O2736" s="0" t="n">
        <v>464.79</v>
      </c>
    </row>
    <row r="2737" customFormat="false" ht="15" hidden="false" customHeight="false" outlineLevel="0" collapsed="false">
      <c r="A2737" s="0" t="s">
        <v>371</v>
      </c>
      <c r="B2737" s="0" t="s">
        <v>610</v>
      </c>
      <c r="C2737" s="0" t="n">
        <v>2022</v>
      </c>
      <c r="D2737" s="0" t="n">
        <v>8068616</v>
      </c>
      <c r="E2737" s="0" t="n">
        <v>0.9</v>
      </c>
      <c r="F2737" s="0" t="n">
        <v>0</v>
      </c>
      <c r="G2737" s="0" t="n">
        <v>0.65</v>
      </c>
      <c r="H2737" s="0" t="n">
        <v>0.07</v>
      </c>
      <c r="I2737" s="0" t="n">
        <v>0</v>
      </c>
      <c r="J2737" s="0" t="n">
        <v>0.08</v>
      </c>
      <c r="K2737" s="0" t="n">
        <v>0.1</v>
      </c>
      <c r="L2737" s="0" t="n">
        <v>0</v>
      </c>
      <c r="M2737" s="0" t="n">
        <v>0</v>
      </c>
      <c r="N2737" s="0" t="n">
        <v>0</v>
      </c>
      <c r="O2737" s="0" t="n">
        <v>477.78</v>
      </c>
    </row>
    <row r="2738" customFormat="false" ht="15" hidden="false" customHeight="false" outlineLevel="0" collapsed="false">
      <c r="A2738" s="0" t="s">
        <v>371</v>
      </c>
      <c r="B2738" s="0" t="s">
        <v>610</v>
      </c>
      <c r="C2738" s="0" t="n">
        <v>2023</v>
      </c>
      <c r="D2738" s="0" t="n">
        <v>8223853</v>
      </c>
      <c r="E2738" s="0" t="n">
        <v>0.71</v>
      </c>
      <c r="F2738" s="0" t="n">
        <v>0</v>
      </c>
      <c r="G2738" s="0" t="n">
        <v>0.52</v>
      </c>
      <c r="H2738" s="0" t="n">
        <v>0</v>
      </c>
      <c r="I2738" s="0" t="n">
        <v>0</v>
      </c>
      <c r="J2738" s="0" t="n">
        <v>0.08</v>
      </c>
      <c r="K2738" s="0" t="n">
        <v>0.11</v>
      </c>
      <c r="L2738" s="0" t="n">
        <v>0</v>
      </c>
      <c r="M2738" s="0" t="n">
        <v>0</v>
      </c>
      <c r="N2738" s="0" t="n">
        <v>0</v>
      </c>
      <c r="O2738" s="0" t="n">
        <v>436.62</v>
      </c>
    </row>
    <row r="2739" customFormat="false" ht="15" hidden="false" customHeight="false" outlineLevel="0" collapsed="false">
      <c r="A2739" s="0" t="s">
        <v>371</v>
      </c>
      <c r="B2739" s="0" t="s">
        <v>610</v>
      </c>
      <c r="C2739" s="0" t="n">
        <v>2024</v>
      </c>
      <c r="D2739" s="0" t="n">
        <v>8406554</v>
      </c>
      <c r="E2739" s="0" t="n">
        <v>0.71</v>
      </c>
      <c r="F2739" s="0" t="n">
        <v>0</v>
      </c>
      <c r="G2739" s="0" t="n">
        <v>0.5</v>
      </c>
      <c r="H2739" s="0" t="n">
        <v>0</v>
      </c>
      <c r="I2739" s="0" t="n">
        <v>0</v>
      </c>
      <c r="J2739" s="0" t="n">
        <v>0.08</v>
      </c>
      <c r="K2739" s="0" t="n">
        <v>0.13</v>
      </c>
      <c r="L2739" s="0" t="n">
        <v>0</v>
      </c>
      <c r="M2739" s="0" t="n">
        <v>0</v>
      </c>
      <c r="N2739" s="0" t="n">
        <v>0</v>
      </c>
      <c r="O2739" s="0" t="n">
        <v>422.54</v>
      </c>
    </row>
    <row r="2740" customFormat="false" ht="15" hidden="false" customHeight="false" outlineLevel="0" collapsed="false">
      <c r="A2740" s="0" t="s">
        <v>372</v>
      </c>
      <c r="B2740" s="0" t="s">
        <v>611</v>
      </c>
      <c r="C2740" s="0" t="n">
        <v>2015</v>
      </c>
      <c r="D2740" s="0" t="n">
        <v>106110</v>
      </c>
      <c r="E2740" s="0" t="n">
        <v>0.05</v>
      </c>
      <c r="F2740" s="0" t="n">
        <v>0</v>
      </c>
      <c r="G2740" s="0" t="n">
        <v>0</v>
      </c>
      <c r="H2740" s="0" t="n">
        <v>0.05</v>
      </c>
      <c r="I2740" s="0" t="n">
        <v>0</v>
      </c>
      <c r="J2740" s="0" t="n">
        <v>0</v>
      </c>
      <c r="K2740" s="0" t="n">
        <v>0</v>
      </c>
      <c r="L2740" s="0" t="n">
        <v>0</v>
      </c>
      <c r="M2740" s="0" t="n">
        <v>0</v>
      </c>
      <c r="N2740" s="0" t="n">
        <v>0</v>
      </c>
      <c r="O2740" s="0" t="n">
        <v>600</v>
      </c>
    </row>
    <row r="2741" customFormat="false" ht="15" hidden="false" customHeight="false" outlineLevel="0" collapsed="false">
      <c r="A2741" s="0" t="s">
        <v>372</v>
      </c>
      <c r="B2741" s="0" t="s">
        <v>611</v>
      </c>
      <c r="C2741" s="0" t="n">
        <v>2016</v>
      </c>
      <c r="D2741" s="0" t="n">
        <v>105536</v>
      </c>
      <c r="E2741" s="0" t="n">
        <v>0.06</v>
      </c>
      <c r="F2741" s="0" t="n">
        <v>0</v>
      </c>
      <c r="G2741" s="0" t="n">
        <v>0</v>
      </c>
      <c r="H2741" s="0" t="n">
        <v>0.06</v>
      </c>
      <c r="I2741" s="0" t="n">
        <v>0</v>
      </c>
      <c r="J2741" s="0" t="n">
        <v>0</v>
      </c>
      <c r="K2741" s="0" t="n">
        <v>0</v>
      </c>
      <c r="L2741" s="0" t="n">
        <v>0</v>
      </c>
      <c r="M2741" s="0" t="n">
        <v>0</v>
      </c>
      <c r="N2741" s="0" t="n">
        <v>0</v>
      </c>
      <c r="O2741" s="0" t="n">
        <v>666.67</v>
      </c>
    </row>
    <row r="2742" customFormat="false" ht="15" hidden="false" customHeight="false" outlineLevel="0" collapsed="false">
      <c r="A2742" s="0" t="s">
        <v>372</v>
      </c>
      <c r="B2742" s="0" t="s">
        <v>611</v>
      </c>
      <c r="C2742" s="0" t="n">
        <v>2017</v>
      </c>
      <c r="D2742" s="0" t="n">
        <v>105373</v>
      </c>
      <c r="E2742" s="0" t="n">
        <v>0.07</v>
      </c>
      <c r="F2742" s="0" t="n">
        <v>0</v>
      </c>
      <c r="G2742" s="0" t="n">
        <v>0</v>
      </c>
      <c r="H2742" s="0" t="n">
        <v>0.06</v>
      </c>
      <c r="I2742" s="0" t="n">
        <v>0</v>
      </c>
      <c r="J2742" s="0" t="n">
        <v>0</v>
      </c>
      <c r="K2742" s="0" t="n">
        <v>0.01</v>
      </c>
      <c r="L2742" s="0" t="n">
        <v>0</v>
      </c>
      <c r="M2742" s="0" t="n">
        <v>0</v>
      </c>
      <c r="N2742" s="0" t="n">
        <v>0</v>
      </c>
      <c r="O2742" s="0" t="n">
        <v>571.43</v>
      </c>
    </row>
    <row r="2743" customFormat="false" ht="15" hidden="false" customHeight="false" outlineLevel="0" collapsed="false">
      <c r="A2743" s="0" t="s">
        <v>372</v>
      </c>
      <c r="B2743" s="0" t="s">
        <v>611</v>
      </c>
      <c r="C2743" s="0" t="n">
        <v>2018</v>
      </c>
      <c r="D2743" s="0" t="n">
        <v>105590</v>
      </c>
      <c r="E2743" s="0" t="n">
        <v>0.07</v>
      </c>
      <c r="F2743" s="0" t="n">
        <v>0</v>
      </c>
      <c r="G2743" s="0" t="n">
        <v>0</v>
      </c>
      <c r="H2743" s="0" t="n">
        <v>0.06</v>
      </c>
      <c r="I2743" s="0" t="n">
        <v>0</v>
      </c>
      <c r="J2743" s="0" t="n">
        <v>0</v>
      </c>
      <c r="K2743" s="0" t="n">
        <v>0.01</v>
      </c>
      <c r="L2743" s="0" t="n">
        <v>0</v>
      </c>
      <c r="M2743" s="0" t="n">
        <v>0</v>
      </c>
      <c r="N2743" s="0" t="n">
        <v>0</v>
      </c>
      <c r="O2743" s="0" t="n">
        <v>571.43</v>
      </c>
    </row>
    <row r="2744" customFormat="false" ht="15" hidden="false" customHeight="false" outlineLevel="0" collapsed="false">
      <c r="A2744" s="0" t="s">
        <v>372</v>
      </c>
      <c r="B2744" s="0" t="s">
        <v>611</v>
      </c>
      <c r="C2744" s="0" t="n">
        <v>2019</v>
      </c>
      <c r="D2744" s="0" t="n">
        <v>105688</v>
      </c>
      <c r="E2744" s="0" t="n">
        <v>0.07</v>
      </c>
      <c r="F2744" s="0" t="n">
        <v>0</v>
      </c>
      <c r="G2744" s="0" t="n">
        <v>0</v>
      </c>
      <c r="H2744" s="0" t="n">
        <v>0.06</v>
      </c>
      <c r="I2744" s="0" t="n">
        <v>0</v>
      </c>
      <c r="J2744" s="0" t="n">
        <v>0</v>
      </c>
      <c r="K2744" s="0" t="n">
        <v>0.01</v>
      </c>
      <c r="L2744" s="0" t="n">
        <v>0</v>
      </c>
      <c r="M2744" s="0" t="n">
        <v>0</v>
      </c>
      <c r="N2744" s="0" t="n">
        <v>0</v>
      </c>
      <c r="O2744" s="0" t="n">
        <v>571.43</v>
      </c>
    </row>
    <row r="2745" customFormat="false" ht="15" hidden="false" customHeight="false" outlineLevel="0" collapsed="false">
      <c r="A2745" s="0" t="s">
        <v>372</v>
      </c>
      <c r="B2745" s="0" t="s">
        <v>611</v>
      </c>
      <c r="C2745" s="0" t="n">
        <v>2020</v>
      </c>
      <c r="D2745" s="0" t="n">
        <v>105721</v>
      </c>
      <c r="E2745" s="0" t="n">
        <v>0.07</v>
      </c>
      <c r="F2745" s="0" t="n">
        <v>0</v>
      </c>
      <c r="G2745" s="0" t="n">
        <v>0</v>
      </c>
      <c r="H2745" s="0" t="n">
        <v>0.06</v>
      </c>
      <c r="I2745" s="0" t="n">
        <v>0</v>
      </c>
      <c r="J2745" s="0" t="n">
        <v>0</v>
      </c>
      <c r="K2745" s="0" t="n">
        <v>0.01</v>
      </c>
      <c r="L2745" s="0" t="n">
        <v>0</v>
      </c>
      <c r="M2745" s="0" t="n">
        <v>0</v>
      </c>
      <c r="N2745" s="0" t="n">
        <v>0</v>
      </c>
      <c r="O2745" s="0" t="n">
        <v>571.43</v>
      </c>
    </row>
    <row r="2746" customFormat="false" ht="15" hidden="false" customHeight="false" outlineLevel="0" collapsed="false">
      <c r="A2746" s="0" t="s">
        <v>372</v>
      </c>
      <c r="B2746" s="0" t="s">
        <v>611</v>
      </c>
      <c r="C2746" s="0" t="n">
        <v>2021</v>
      </c>
      <c r="D2746" s="0" t="n">
        <v>105504</v>
      </c>
      <c r="E2746" s="0" t="n">
        <v>0.07</v>
      </c>
      <c r="F2746" s="0" t="n">
        <v>0</v>
      </c>
      <c r="G2746" s="0" t="n">
        <v>0</v>
      </c>
      <c r="H2746" s="0" t="n">
        <v>0.06</v>
      </c>
      <c r="I2746" s="0" t="n">
        <v>0</v>
      </c>
      <c r="J2746" s="0" t="n">
        <v>0</v>
      </c>
      <c r="K2746" s="0" t="n">
        <v>0.01</v>
      </c>
      <c r="L2746" s="0" t="n">
        <v>0</v>
      </c>
      <c r="M2746" s="0" t="n">
        <v>0</v>
      </c>
      <c r="N2746" s="0" t="n">
        <v>0</v>
      </c>
      <c r="O2746" s="0" t="n">
        <v>571.43</v>
      </c>
    </row>
    <row r="2747" customFormat="false" ht="15" hidden="false" customHeight="false" outlineLevel="0" collapsed="false">
      <c r="A2747" s="0" t="s">
        <v>372</v>
      </c>
      <c r="B2747" s="0" t="s">
        <v>611</v>
      </c>
      <c r="C2747" s="0" t="n">
        <v>2022</v>
      </c>
      <c r="D2747" s="0" t="n">
        <v>105053</v>
      </c>
      <c r="E2747" s="0" t="n">
        <v>0.08</v>
      </c>
      <c r="F2747" s="0" t="n">
        <v>0</v>
      </c>
      <c r="G2747" s="0" t="n">
        <v>0</v>
      </c>
      <c r="H2747" s="0" t="n">
        <v>0.07</v>
      </c>
      <c r="I2747" s="0" t="n">
        <v>0</v>
      </c>
      <c r="J2747" s="0" t="n">
        <v>0</v>
      </c>
      <c r="K2747" s="0" t="n">
        <v>0.01</v>
      </c>
      <c r="L2747" s="0" t="n">
        <v>0</v>
      </c>
      <c r="M2747" s="0" t="n">
        <v>0</v>
      </c>
      <c r="N2747" s="0" t="n">
        <v>0</v>
      </c>
      <c r="O2747" s="0" t="n">
        <v>625</v>
      </c>
    </row>
    <row r="2748" customFormat="false" ht="15" hidden="false" customHeight="false" outlineLevel="0" collapsed="false">
      <c r="A2748" s="0" t="s">
        <v>372</v>
      </c>
      <c r="B2748" s="0" t="s">
        <v>611</v>
      </c>
      <c r="C2748" s="0" t="n">
        <v>2023</v>
      </c>
      <c r="D2748" s="0" t="n">
        <v>104613</v>
      </c>
      <c r="E2748" s="0" t="n">
        <v>0.07</v>
      </c>
      <c r="F2748" s="0" t="n">
        <v>0</v>
      </c>
      <c r="G2748" s="0" t="n">
        <v>0</v>
      </c>
      <c r="H2748" s="0" t="n">
        <v>0.06</v>
      </c>
      <c r="I2748" s="0" t="n">
        <v>0</v>
      </c>
      <c r="J2748" s="0" t="n">
        <v>0</v>
      </c>
      <c r="K2748" s="0" t="n">
        <v>0.01</v>
      </c>
      <c r="L2748" s="0" t="n">
        <v>0</v>
      </c>
      <c r="M2748" s="0" t="n">
        <v>0</v>
      </c>
      <c r="N2748" s="0" t="n">
        <v>0</v>
      </c>
      <c r="O2748" s="0" t="n">
        <v>571.43</v>
      </c>
    </row>
    <row r="2749" customFormat="false" ht="15" hidden="false" customHeight="false" outlineLevel="0" collapsed="false">
      <c r="A2749" s="0" t="s">
        <v>372</v>
      </c>
      <c r="B2749" s="0" t="s">
        <v>611</v>
      </c>
      <c r="C2749" s="0" t="n">
        <v>2024</v>
      </c>
      <c r="D2749" s="0" t="n">
        <v>104192</v>
      </c>
      <c r="E2749" s="0" t="n">
        <v>0.07</v>
      </c>
      <c r="F2749" s="0" t="n">
        <v>0</v>
      </c>
      <c r="G2749" s="0" t="n">
        <v>0</v>
      </c>
      <c r="H2749" s="0" t="n">
        <v>0.06</v>
      </c>
      <c r="I2749" s="0" t="n">
        <v>0</v>
      </c>
      <c r="J2749" s="0" t="n">
        <v>0</v>
      </c>
      <c r="K2749" s="0" t="n">
        <v>0.01</v>
      </c>
      <c r="L2749" s="0" t="n">
        <v>0</v>
      </c>
      <c r="M2749" s="0" t="n">
        <v>0</v>
      </c>
      <c r="N2749" s="0" t="n">
        <v>0</v>
      </c>
      <c r="O2749" s="0" t="n">
        <v>571.43</v>
      </c>
    </row>
    <row r="2750" customFormat="false" ht="15" hidden="false" customHeight="false" outlineLevel="0" collapsed="false">
      <c r="A2750" s="0" t="s">
        <v>373</v>
      </c>
      <c r="B2750" s="0" t="s">
        <v>612</v>
      </c>
      <c r="C2750" s="0" t="n">
        <v>2015</v>
      </c>
      <c r="D2750" s="0" t="n">
        <v>1429190</v>
      </c>
      <c r="E2750" s="0" t="n">
        <v>9.57</v>
      </c>
      <c r="F2750" s="0" t="n">
        <v>0</v>
      </c>
      <c r="G2750" s="0" t="n">
        <v>9.54</v>
      </c>
      <c r="H2750" s="0" t="n">
        <v>0.02</v>
      </c>
      <c r="I2750" s="0" t="n">
        <v>0</v>
      </c>
      <c r="J2750" s="0" t="n">
        <v>0</v>
      </c>
      <c r="K2750" s="0" t="n">
        <v>0.01</v>
      </c>
      <c r="L2750" s="0" t="n">
        <v>0</v>
      </c>
      <c r="M2750" s="0" t="n">
        <v>0</v>
      </c>
      <c r="N2750" s="0" t="n">
        <v>0</v>
      </c>
      <c r="O2750" s="0" t="n">
        <v>681.3</v>
      </c>
    </row>
    <row r="2751" customFormat="false" ht="15" hidden="false" customHeight="false" outlineLevel="0" collapsed="false">
      <c r="A2751" s="0" t="s">
        <v>373</v>
      </c>
      <c r="B2751" s="0" t="s">
        <v>612</v>
      </c>
      <c r="C2751" s="0" t="n">
        <v>2016</v>
      </c>
      <c r="D2751" s="0" t="n">
        <v>1437031</v>
      </c>
      <c r="E2751" s="0" t="n">
        <v>9.42</v>
      </c>
      <c r="F2751" s="0" t="n">
        <v>0</v>
      </c>
      <c r="G2751" s="0" t="n">
        <v>9.38</v>
      </c>
      <c r="H2751" s="0" t="n">
        <v>0.03</v>
      </c>
      <c r="I2751" s="0" t="n">
        <v>0</v>
      </c>
      <c r="J2751" s="0" t="n">
        <v>0</v>
      </c>
      <c r="K2751" s="0" t="n">
        <v>0.01</v>
      </c>
      <c r="L2751" s="0" t="n">
        <v>0</v>
      </c>
      <c r="M2751" s="0" t="n">
        <v>0</v>
      </c>
      <c r="N2751" s="0" t="n">
        <v>0</v>
      </c>
      <c r="O2751" s="0" t="n">
        <v>681.53</v>
      </c>
    </row>
    <row r="2752" customFormat="false" ht="15" hidden="false" customHeight="false" outlineLevel="0" collapsed="false">
      <c r="A2752" s="0" t="s">
        <v>373</v>
      </c>
      <c r="B2752" s="0" t="s">
        <v>612</v>
      </c>
      <c r="C2752" s="0" t="n">
        <v>2017</v>
      </c>
      <c r="D2752" s="0" t="n">
        <v>1445265</v>
      </c>
      <c r="E2752" s="0" t="n">
        <v>9.32</v>
      </c>
      <c r="F2752" s="0" t="n">
        <v>0</v>
      </c>
      <c r="G2752" s="0" t="n">
        <v>9.28</v>
      </c>
      <c r="H2752" s="0" t="n">
        <v>0.03</v>
      </c>
      <c r="I2752" s="0" t="n">
        <v>0</v>
      </c>
      <c r="J2752" s="0" t="n">
        <v>0</v>
      </c>
      <c r="K2752" s="0" t="n">
        <v>0.01</v>
      </c>
      <c r="L2752" s="0" t="n">
        <v>0</v>
      </c>
      <c r="M2752" s="0" t="n">
        <v>0</v>
      </c>
      <c r="N2752" s="0" t="n">
        <v>0</v>
      </c>
      <c r="O2752" s="0" t="n">
        <v>681.33</v>
      </c>
    </row>
    <row r="2753" customFormat="false" ht="15" hidden="false" customHeight="false" outlineLevel="0" collapsed="false">
      <c r="A2753" s="0" t="s">
        <v>373</v>
      </c>
      <c r="B2753" s="0" t="s">
        <v>612</v>
      </c>
      <c r="C2753" s="0" t="n">
        <v>2018</v>
      </c>
      <c r="D2753" s="0" t="n">
        <v>1470522</v>
      </c>
      <c r="E2753" s="0" t="n">
        <v>9.23</v>
      </c>
      <c r="F2753" s="0" t="n">
        <v>0</v>
      </c>
      <c r="G2753" s="0" t="n">
        <v>9.19</v>
      </c>
      <c r="H2753" s="0" t="n">
        <v>0.03</v>
      </c>
      <c r="I2753" s="0" t="n">
        <v>0</v>
      </c>
      <c r="J2753" s="0" t="n">
        <v>0</v>
      </c>
      <c r="K2753" s="0" t="n">
        <v>0.01</v>
      </c>
      <c r="L2753" s="0" t="n">
        <v>0</v>
      </c>
      <c r="M2753" s="0" t="n">
        <v>0</v>
      </c>
      <c r="N2753" s="0" t="n">
        <v>0</v>
      </c>
      <c r="O2753" s="0" t="n">
        <v>681.47</v>
      </c>
    </row>
    <row r="2754" customFormat="false" ht="15" hidden="false" customHeight="false" outlineLevel="0" collapsed="false">
      <c r="A2754" s="0" t="s">
        <v>373</v>
      </c>
      <c r="B2754" s="0" t="s">
        <v>612</v>
      </c>
      <c r="C2754" s="0" t="n">
        <v>2019</v>
      </c>
      <c r="D2754" s="0" t="n">
        <v>1484898</v>
      </c>
      <c r="E2754" s="0" t="n">
        <v>9.2</v>
      </c>
      <c r="F2754" s="0" t="n">
        <v>0</v>
      </c>
      <c r="G2754" s="0" t="n">
        <v>9.15</v>
      </c>
      <c r="H2754" s="0" t="n">
        <v>0.04</v>
      </c>
      <c r="I2754" s="0" t="n">
        <v>0</v>
      </c>
      <c r="J2754" s="0" t="n">
        <v>0</v>
      </c>
      <c r="K2754" s="0" t="n">
        <v>0.01</v>
      </c>
      <c r="L2754" s="0" t="n">
        <v>0</v>
      </c>
      <c r="M2754" s="0" t="n">
        <v>0</v>
      </c>
      <c r="N2754" s="0" t="n">
        <v>0</v>
      </c>
      <c r="O2754" s="0" t="n">
        <v>681.52</v>
      </c>
    </row>
    <row r="2755" customFormat="false" ht="15" hidden="false" customHeight="false" outlineLevel="0" collapsed="false">
      <c r="A2755" s="0" t="s">
        <v>373</v>
      </c>
      <c r="B2755" s="0" t="s">
        <v>612</v>
      </c>
      <c r="C2755" s="0" t="n">
        <v>2020</v>
      </c>
      <c r="D2755" s="0" t="n">
        <v>1481026</v>
      </c>
      <c r="E2755" s="0" t="n">
        <v>9.23</v>
      </c>
      <c r="F2755" s="0" t="n">
        <v>0</v>
      </c>
      <c r="G2755" s="0" t="n">
        <v>9.18</v>
      </c>
      <c r="H2755" s="0" t="n">
        <v>0.04</v>
      </c>
      <c r="I2755" s="0" t="n">
        <v>0</v>
      </c>
      <c r="J2755" s="0" t="n">
        <v>0</v>
      </c>
      <c r="K2755" s="0" t="n">
        <v>0.01</v>
      </c>
      <c r="L2755" s="0" t="n">
        <v>0</v>
      </c>
      <c r="M2755" s="0" t="n">
        <v>0</v>
      </c>
      <c r="N2755" s="0" t="n">
        <v>0</v>
      </c>
      <c r="O2755" s="0" t="n">
        <v>681.47</v>
      </c>
    </row>
    <row r="2756" customFormat="false" ht="15" hidden="false" customHeight="false" outlineLevel="0" collapsed="false">
      <c r="A2756" s="0" t="s">
        <v>373</v>
      </c>
      <c r="B2756" s="0" t="s">
        <v>612</v>
      </c>
      <c r="C2756" s="0" t="n">
        <v>2021</v>
      </c>
      <c r="D2756" s="0" t="n">
        <v>1487715</v>
      </c>
      <c r="E2756" s="0" t="n">
        <v>9.27</v>
      </c>
      <c r="F2756" s="0" t="n">
        <v>0</v>
      </c>
      <c r="G2756" s="0" t="n">
        <v>9.22</v>
      </c>
      <c r="H2756" s="0" t="n">
        <v>0.04</v>
      </c>
      <c r="I2756" s="0" t="n">
        <v>0</v>
      </c>
      <c r="J2756" s="0" t="n">
        <v>0</v>
      </c>
      <c r="K2756" s="0" t="n">
        <v>0.01</v>
      </c>
      <c r="L2756" s="0" t="n">
        <v>0</v>
      </c>
      <c r="M2756" s="0" t="n">
        <v>0</v>
      </c>
      <c r="N2756" s="0" t="n">
        <v>0</v>
      </c>
      <c r="O2756" s="0" t="n">
        <v>681.77</v>
      </c>
    </row>
    <row r="2757" customFormat="false" ht="15" hidden="false" customHeight="false" outlineLevel="0" collapsed="false">
      <c r="A2757" s="0" t="s">
        <v>373</v>
      </c>
      <c r="B2757" s="0" t="s">
        <v>612</v>
      </c>
      <c r="C2757" s="0" t="n">
        <v>2022</v>
      </c>
      <c r="D2757" s="0" t="n">
        <v>1495923</v>
      </c>
      <c r="E2757" s="0" t="n">
        <v>9.5</v>
      </c>
      <c r="F2757" s="0" t="n">
        <v>0</v>
      </c>
      <c r="G2757" s="0" t="n">
        <v>9.45</v>
      </c>
      <c r="H2757" s="0" t="n">
        <v>0.04</v>
      </c>
      <c r="I2757" s="0" t="n">
        <v>0</v>
      </c>
      <c r="J2757" s="0" t="n">
        <v>0</v>
      </c>
      <c r="K2757" s="0" t="n">
        <v>0.01</v>
      </c>
      <c r="L2757" s="0" t="n">
        <v>0</v>
      </c>
      <c r="M2757" s="0" t="n">
        <v>0</v>
      </c>
      <c r="N2757" s="0" t="n">
        <v>0</v>
      </c>
      <c r="O2757" s="0" t="n">
        <v>682.11</v>
      </c>
    </row>
    <row r="2758" customFormat="false" ht="15" hidden="false" customHeight="false" outlineLevel="0" collapsed="false">
      <c r="A2758" s="0" t="s">
        <v>373</v>
      </c>
      <c r="B2758" s="0" t="s">
        <v>612</v>
      </c>
      <c r="C2758" s="0" t="n">
        <v>2023</v>
      </c>
      <c r="D2758" s="0" t="n">
        <v>1502938</v>
      </c>
      <c r="E2758" s="0" t="n">
        <v>9.52</v>
      </c>
      <c r="F2758" s="0" t="n">
        <v>0</v>
      </c>
      <c r="G2758" s="0" t="n">
        <v>9.47</v>
      </c>
      <c r="H2758" s="0" t="n">
        <v>0.04</v>
      </c>
      <c r="I2758" s="0" t="n">
        <v>0</v>
      </c>
      <c r="J2758" s="0" t="n">
        <v>0</v>
      </c>
      <c r="K2758" s="0" t="n">
        <v>0.01</v>
      </c>
      <c r="L2758" s="0" t="n">
        <v>0</v>
      </c>
      <c r="M2758" s="0" t="n">
        <v>0</v>
      </c>
      <c r="N2758" s="0" t="n">
        <v>0</v>
      </c>
      <c r="O2758" s="0" t="n">
        <v>681.72</v>
      </c>
    </row>
    <row r="2759" customFormat="false" ht="15" hidden="false" customHeight="false" outlineLevel="0" collapsed="false">
      <c r="A2759" s="0" t="s">
        <v>373</v>
      </c>
      <c r="B2759" s="0" t="s">
        <v>612</v>
      </c>
      <c r="C2759" s="0" t="n">
        <v>2024</v>
      </c>
      <c r="D2759" s="0" t="n">
        <v>1507778</v>
      </c>
      <c r="E2759" s="0" t="n">
        <v>9.55</v>
      </c>
      <c r="F2759" s="0" t="n">
        <v>0</v>
      </c>
      <c r="G2759" s="0" t="n">
        <v>9.5</v>
      </c>
      <c r="H2759" s="0" t="n">
        <v>0.04</v>
      </c>
      <c r="I2759" s="0" t="n">
        <v>0</v>
      </c>
      <c r="J2759" s="0" t="n">
        <v>0</v>
      </c>
      <c r="K2759" s="0" t="n">
        <v>0.01</v>
      </c>
      <c r="L2759" s="0" t="n">
        <v>0</v>
      </c>
      <c r="M2759" s="0" t="n">
        <v>0</v>
      </c>
      <c r="N2759" s="0" t="n">
        <v>0</v>
      </c>
      <c r="O2759" s="0" t="n">
        <v>681.68</v>
      </c>
    </row>
    <row r="2760" customFormat="false" ht="15" hidden="false" customHeight="false" outlineLevel="0" collapsed="false">
      <c r="A2760" s="0" t="s">
        <v>374</v>
      </c>
      <c r="B2760" s="0" t="s">
        <v>613</v>
      </c>
      <c r="C2760" s="0" t="n">
        <v>2015</v>
      </c>
      <c r="D2760" s="0" t="n">
        <v>11402270</v>
      </c>
      <c r="E2760" s="0" t="n">
        <v>19.48</v>
      </c>
      <c r="F2760" s="0" t="n">
        <v>0</v>
      </c>
      <c r="G2760" s="0" t="n">
        <v>17.99</v>
      </c>
      <c r="H2760" s="0" t="n">
        <v>0.91</v>
      </c>
      <c r="I2760" s="0" t="n">
        <v>0</v>
      </c>
      <c r="J2760" s="0" t="n">
        <v>0.07</v>
      </c>
      <c r="K2760" s="0" t="n">
        <v>0.06</v>
      </c>
      <c r="L2760" s="0" t="n">
        <v>0.45</v>
      </c>
      <c r="M2760" s="0" t="n">
        <v>0</v>
      </c>
      <c r="N2760" s="0" t="n">
        <v>0</v>
      </c>
      <c r="O2760" s="0" t="n">
        <v>567.76</v>
      </c>
    </row>
    <row r="2761" customFormat="false" ht="15" hidden="false" customHeight="false" outlineLevel="0" collapsed="false">
      <c r="A2761" s="0" t="s">
        <v>374</v>
      </c>
      <c r="B2761" s="0" t="s">
        <v>613</v>
      </c>
      <c r="C2761" s="0" t="n">
        <v>2016</v>
      </c>
      <c r="D2761" s="0" t="n">
        <v>11528676</v>
      </c>
      <c r="E2761" s="0" t="n">
        <v>19.63</v>
      </c>
      <c r="F2761" s="0" t="n">
        <v>0</v>
      </c>
      <c r="G2761" s="0" t="n">
        <v>18.96</v>
      </c>
      <c r="H2761" s="0" t="n">
        <v>0.04</v>
      </c>
      <c r="I2761" s="0" t="n">
        <v>0</v>
      </c>
      <c r="J2761" s="0" t="n">
        <v>0.05</v>
      </c>
      <c r="K2761" s="0" t="n">
        <v>0.11</v>
      </c>
      <c r="L2761" s="0" t="n">
        <v>0.47</v>
      </c>
      <c r="M2761" s="0" t="n">
        <v>0</v>
      </c>
      <c r="N2761" s="0" t="n">
        <v>0</v>
      </c>
      <c r="O2761" s="0" t="n">
        <v>563.42</v>
      </c>
    </row>
    <row r="2762" customFormat="false" ht="15" hidden="false" customHeight="false" outlineLevel="0" collapsed="false">
      <c r="A2762" s="0" t="s">
        <v>374</v>
      </c>
      <c r="B2762" s="0" t="s">
        <v>613</v>
      </c>
      <c r="C2762" s="0" t="n">
        <v>2017</v>
      </c>
      <c r="D2762" s="0" t="n">
        <v>11650504</v>
      </c>
      <c r="E2762" s="0" t="n">
        <v>20.58</v>
      </c>
      <c r="F2762" s="0" t="n">
        <v>0</v>
      </c>
      <c r="G2762" s="0" t="n">
        <v>19.71</v>
      </c>
      <c r="H2762" s="0" t="n">
        <v>0.27</v>
      </c>
      <c r="I2762" s="0" t="n">
        <v>0</v>
      </c>
      <c r="J2762" s="0" t="n">
        <v>0.02</v>
      </c>
      <c r="K2762" s="0" t="n">
        <v>0.13</v>
      </c>
      <c r="L2762" s="0" t="n">
        <v>0.45</v>
      </c>
      <c r="M2762" s="0" t="n">
        <v>0</v>
      </c>
      <c r="N2762" s="0" t="n">
        <v>0</v>
      </c>
      <c r="O2762" s="0" t="n">
        <v>566.08</v>
      </c>
    </row>
    <row r="2763" customFormat="false" ht="15" hidden="false" customHeight="false" outlineLevel="0" collapsed="false">
      <c r="A2763" s="0" t="s">
        <v>374</v>
      </c>
      <c r="B2763" s="0" t="s">
        <v>613</v>
      </c>
      <c r="C2763" s="0" t="n">
        <v>2018</v>
      </c>
      <c r="D2763" s="0" t="n">
        <v>11765515</v>
      </c>
      <c r="E2763" s="0" t="n">
        <v>20.92</v>
      </c>
      <c r="F2763" s="0" t="n">
        <v>0</v>
      </c>
      <c r="G2763" s="0" t="n">
        <v>20.04</v>
      </c>
      <c r="H2763" s="0" t="n">
        <v>0.33</v>
      </c>
      <c r="I2763" s="0" t="n">
        <v>0</v>
      </c>
      <c r="J2763" s="0" t="n">
        <v>0.02</v>
      </c>
      <c r="K2763" s="0" t="n">
        <v>0.08</v>
      </c>
      <c r="L2763" s="0" t="n">
        <v>0.45</v>
      </c>
      <c r="M2763" s="0" t="n">
        <v>0</v>
      </c>
      <c r="N2763" s="0" t="n">
        <v>0</v>
      </c>
      <c r="O2763" s="0" t="n">
        <v>567.4</v>
      </c>
    </row>
    <row r="2764" customFormat="false" ht="15" hidden="false" customHeight="false" outlineLevel="0" collapsed="false">
      <c r="A2764" s="0" t="s">
        <v>374</v>
      </c>
      <c r="B2764" s="0" t="s">
        <v>613</v>
      </c>
      <c r="C2764" s="0" t="n">
        <v>2019</v>
      </c>
      <c r="D2764" s="0" t="n">
        <v>11875084</v>
      </c>
      <c r="E2764" s="0" t="n">
        <v>22.02</v>
      </c>
      <c r="F2764" s="0" t="n">
        <v>0</v>
      </c>
      <c r="G2764" s="0" t="n">
        <v>21.01</v>
      </c>
      <c r="H2764" s="0" t="n">
        <v>0.32</v>
      </c>
      <c r="I2764" s="0" t="n">
        <v>0</v>
      </c>
      <c r="J2764" s="0" t="n">
        <v>0.07</v>
      </c>
      <c r="K2764" s="0" t="n">
        <v>0.12</v>
      </c>
      <c r="L2764" s="0" t="n">
        <v>0.5</v>
      </c>
      <c r="M2764" s="0" t="n">
        <v>0</v>
      </c>
      <c r="N2764" s="0" t="n">
        <v>0</v>
      </c>
      <c r="O2764" s="0" t="n">
        <v>564.94</v>
      </c>
    </row>
    <row r="2765" customFormat="false" ht="15" hidden="false" customHeight="false" outlineLevel="0" collapsed="false">
      <c r="A2765" s="0" t="s">
        <v>374</v>
      </c>
      <c r="B2765" s="0" t="s">
        <v>613</v>
      </c>
      <c r="C2765" s="0" t="n">
        <v>2020</v>
      </c>
      <c r="D2765" s="0" t="n">
        <v>11974058</v>
      </c>
      <c r="E2765" s="0" t="n">
        <v>21.38</v>
      </c>
      <c r="F2765" s="0" t="n">
        <v>0</v>
      </c>
      <c r="G2765" s="0" t="n">
        <v>20.47</v>
      </c>
      <c r="H2765" s="0" t="n">
        <v>0.24</v>
      </c>
      <c r="I2765" s="0" t="n">
        <v>0</v>
      </c>
      <c r="J2765" s="0" t="n">
        <v>0.05</v>
      </c>
      <c r="K2765" s="0" t="n">
        <v>0.15</v>
      </c>
      <c r="L2765" s="0" t="n">
        <v>0.47</v>
      </c>
      <c r="M2765" s="0" t="n">
        <v>0</v>
      </c>
      <c r="N2765" s="0" t="n">
        <v>0</v>
      </c>
      <c r="O2765" s="0" t="n">
        <v>564.55</v>
      </c>
    </row>
    <row r="2766" customFormat="false" ht="15" hidden="false" customHeight="false" outlineLevel="0" collapsed="false">
      <c r="A2766" s="0" t="s">
        <v>374</v>
      </c>
      <c r="B2766" s="0" t="s">
        <v>613</v>
      </c>
      <c r="C2766" s="0" t="n">
        <v>2021</v>
      </c>
      <c r="D2766" s="0" t="n">
        <v>12048625</v>
      </c>
      <c r="E2766" s="0" t="n">
        <v>21.9</v>
      </c>
      <c r="F2766" s="0" t="n">
        <v>0</v>
      </c>
      <c r="G2766" s="0" t="n">
        <v>20.97</v>
      </c>
      <c r="H2766" s="0" t="n">
        <v>0.25</v>
      </c>
      <c r="I2766" s="0" t="n">
        <v>0</v>
      </c>
      <c r="J2766" s="0" t="n">
        <v>0.03</v>
      </c>
      <c r="K2766" s="0" t="n">
        <v>0.22</v>
      </c>
      <c r="L2766" s="0" t="n">
        <v>0.43</v>
      </c>
      <c r="M2766" s="0" t="n">
        <v>0</v>
      </c>
      <c r="N2766" s="0" t="n">
        <v>0</v>
      </c>
      <c r="O2766" s="0" t="n">
        <v>564.38</v>
      </c>
    </row>
    <row r="2767" customFormat="false" ht="15" hidden="false" customHeight="false" outlineLevel="0" collapsed="false">
      <c r="A2767" s="0" t="s">
        <v>374</v>
      </c>
      <c r="B2767" s="0" t="s">
        <v>613</v>
      </c>
      <c r="C2767" s="0" t="n">
        <v>2022</v>
      </c>
      <c r="D2767" s="0" t="n">
        <v>12119338</v>
      </c>
      <c r="E2767" s="0" t="n">
        <v>21.41</v>
      </c>
      <c r="F2767" s="0" t="n">
        <v>0</v>
      </c>
      <c r="G2767" s="0" t="n">
        <v>20.52</v>
      </c>
      <c r="H2767" s="0" t="n">
        <v>0.24</v>
      </c>
      <c r="I2767" s="0" t="n">
        <v>0</v>
      </c>
      <c r="J2767" s="0" t="n">
        <v>0.01</v>
      </c>
      <c r="K2767" s="0" t="n">
        <v>0.32</v>
      </c>
      <c r="L2767" s="0" t="n">
        <v>0.32</v>
      </c>
      <c r="M2767" s="0" t="n">
        <v>0</v>
      </c>
      <c r="N2767" s="0" t="n">
        <v>0</v>
      </c>
      <c r="O2767" s="0" t="n">
        <v>565.62</v>
      </c>
    </row>
    <row r="2768" customFormat="false" ht="15" hidden="false" customHeight="false" outlineLevel="0" collapsed="false">
      <c r="A2768" s="0" t="s">
        <v>374</v>
      </c>
      <c r="B2768" s="0" t="s">
        <v>613</v>
      </c>
      <c r="C2768" s="0" t="n">
        <v>2023</v>
      </c>
      <c r="D2768" s="0" t="n">
        <v>12200434</v>
      </c>
      <c r="E2768" s="0" t="n">
        <v>21.28</v>
      </c>
      <c r="F2768" s="0" t="n">
        <v>0</v>
      </c>
      <c r="G2768" s="0" t="n">
        <v>20.23</v>
      </c>
      <c r="H2768" s="0" t="n">
        <v>0.21</v>
      </c>
      <c r="I2768" s="0" t="n">
        <v>0</v>
      </c>
      <c r="J2768" s="0" t="n">
        <v>0.01</v>
      </c>
      <c r="K2768" s="0" t="n">
        <v>0.49</v>
      </c>
      <c r="L2768" s="0" t="n">
        <v>0.34</v>
      </c>
      <c r="M2768" s="0" t="n">
        <v>0</v>
      </c>
      <c r="N2768" s="0" t="n">
        <v>0</v>
      </c>
      <c r="O2768" s="0" t="n">
        <v>560.15</v>
      </c>
    </row>
    <row r="2769" customFormat="false" ht="15" hidden="false" customHeight="false" outlineLevel="0" collapsed="false">
      <c r="A2769" s="0" t="s">
        <v>374</v>
      </c>
      <c r="B2769" s="0" t="s">
        <v>613</v>
      </c>
      <c r="C2769" s="0" t="n">
        <v>2024</v>
      </c>
      <c r="D2769" s="0" t="n">
        <v>12277103</v>
      </c>
      <c r="E2769" s="0" t="n">
        <v>21.37</v>
      </c>
      <c r="F2769" s="0" t="n">
        <v>0</v>
      </c>
      <c r="G2769" s="0" t="n">
        <v>20.2</v>
      </c>
      <c r="H2769" s="0" t="n">
        <v>0.23</v>
      </c>
      <c r="I2769" s="0" t="n">
        <v>0</v>
      </c>
      <c r="J2769" s="0" t="n">
        <v>0.01</v>
      </c>
      <c r="K2769" s="0" t="n">
        <v>0.56</v>
      </c>
      <c r="L2769" s="0" t="n">
        <v>0.37</v>
      </c>
      <c r="M2769" s="0" t="n">
        <v>0</v>
      </c>
      <c r="N2769" s="0" t="n">
        <v>0</v>
      </c>
      <c r="O2769" s="0" t="n">
        <v>558.26</v>
      </c>
    </row>
    <row r="2770" customFormat="false" ht="15" hidden="false" customHeight="false" outlineLevel="0" collapsed="false">
      <c r="A2770" s="0" t="s">
        <v>374</v>
      </c>
      <c r="B2770" s="0" t="s">
        <v>613</v>
      </c>
      <c r="C2770" s="0" t="n">
        <v>2025</v>
      </c>
      <c r="D2770" s="0" t="n">
        <v>12348576</v>
      </c>
      <c r="E2770" s="0" t="n">
        <v>22.31</v>
      </c>
      <c r="F2770" s="0" t="n">
        <v>0</v>
      </c>
      <c r="G2770" s="0" t="n">
        <v>21.18</v>
      </c>
      <c r="H2770" s="0" t="n">
        <v>0.23</v>
      </c>
      <c r="I2770" s="0" t="n">
        <v>0</v>
      </c>
      <c r="J2770" s="0" t="n">
        <v>0.01</v>
      </c>
      <c r="K2770" s="0" t="n">
        <v>0.56</v>
      </c>
      <c r="L2770" s="0" t="n">
        <v>0.33</v>
      </c>
      <c r="M2770" s="0" t="n">
        <v>0</v>
      </c>
      <c r="N2770" s="0" t="n">
        <v>0</v>
      </c>
      <c r="O2770" s="0" t="n">
        <v>560.29</v>
      </c>
    </row>
    <row r="2771" customFormat="false" ht="15" hidden="false" customHeight="false" outlineLevel="0" collapsed="false">
      <c r="A2771" s="0" t="s">
        <v>375</v>
      </c>
      <c r="B2771" s="0" t="s">
        <v>614</v>
      </c>
      <c r="C2771" s="0" t="n">
        <v>2015</v>
      </c>
      <c r="D2771" s="0" t="n">
        <v>80014222</v>
      </c>
      <c r="E2771" s="0" t="n">
        <v>261.77</v>
      </c>
      <c r="F2771" s="0" t="n">
        <v>76.16</v>
      </c>
      <c r="G2771" s="0" t="n">
        <v>99.22</v>
      </c>
      <c r="H2771" s="0" t="n">
        <v>2.74</v>
      </c>
      <c r="I2771" s="0" t="n">
        <v>0</v>
      </c>
      <c r="J2771" s="0" t="n">
        <v>67.15</v>
      </c>
      <c r="K2771" s="0" t="n">
        <v>0.19</v>
      </c>
      <c r="L2771" s="0" t="n">
        <v>11.65</v>
      </c>
      <c r="M2771" s="0" t="n">
        <v>1.24</v>
      </c>
      <c r="N2771" s="0" t="n">
        <v>3.42</v>
      </c>
      <c r="O2771" s="0" t="n">
        <v>504.64</v>
      </c>
    </row>
    <row r="2772" customFormat="false" ht="15" hidden="false" customHeight="false" outlineLevel="0" collapsed="false">
      <c r="A2772" s="0" t="s">
        <v>375</v>
      </c>
      <c r="B2772" s="0" t="s">
        <v>614</v>
      </c>
      <c r="C2772" s="0" t="n">
        <v>2016</v>
      </c>
      <c r="D2772" s="0" t="n">
        <v>81652087</v>
      </c>
      <c r="E2772" s="0" t="n">
        <v>274.4</v>
      </c>
      <c r="F2772" s="0" t="n">
        <v>92.27</v>
      </c>
      <c r="G2772" s="0" t="n">
        <v>89.23</v>
      </c>
      <c r="H2772" s="0" t="n">
        <v>2.66</v>
      </c>
      <c r="I2772" s="0" t="n">
        <v>0</v>
      </c>
      <c r="J2772" s="0" t="n">
        <v>67.23</v>
      </c>
      <c r="K2772" s="0" t="n">
        <v>1.04</v>
      </c>
      <c r="L2772" s="0" t="n">
        <v>15.52</v>
      </c>
      <c r="M2772" s="0" t="n">
        <v>1.63</v>
      </c>
      <c r="N2772" s="0" t="n">
        <v>4.82</v>
      </c>
      <c r="O2772" s="0" t="n">
        <v>522.78</v>
      </c>
    </row>
    <row r="2773" customFormat="false" ht="15" hidden="false" customHeight="false" outlineLevel="0" collapsed="false">
      <c r="A2773" s="0" t="s">
        <v>375</v>
      </c>
      <c r="B2773" s="0" t="s">
        <v>614</v>
      </c>
      <c r="C2773" s="0" t="n">
        <v>2017</v>
      </c>
      <c r="D2773" s="0" t="n">
        <v>83083667</v>
      </c>
      <c r="E2773" s="0" t="n">
        <v>297.29</v>
      </c>
      <c r="F2773" s="0" t="n">
        <v>97.48</v>
      </c>
      <c r="G2773" s="0" t="n">
        <v>110.49</v>
      </c>
      <c r="H2773" s="0" t="n">
        <v>2.08</v>
      </c>
      <c r="I2773" s="0" t="n">
        <v>0</v>
      </c>
      <c r="J2773" s="0" t="n">
        <v>58.22</v>
      </c>
      <c r="K2773" s="0" t="n">
        <v>2.89</v>
      </c>
      <c r="L2773" s="0" t="n">
        <v>17.9</v>
      </c>
      <c r="M2773" s="0" t="n">
        <v>2.1</v>
      </c>
      <c r="N2773" s="0" t="n">
        <v>6.13</v>
      </c>
      <c r="O2773" s="0" t="n">
        <v>534.26</v>
      </c>
    </row>
    <row r="2774" customFormat="false" ht="15" hidden="false" customHeight="false" outlineLevel="0" collapsed="false">
      <c r="A2774" s="0" t="s">
        <v>375</v>
      </c>
      <c r="B2774" s="0" t="s">
        <v>614</v>
      </c>
      <c r="C2774" s="0" t="n">
        <v>2018</v>
      </c>
      <c r="D2774" s="0" t="n">
        <v>84415966</v>
      </c>
      <c r="E2774" s="0" t="n">
        <v>300.15</v>
      </c>
      <c r="F2774" s="0" t="n">
        <v>111.8</v>
      </c>
      <c r="G2774" s="0" t="n">
        <v>90.09</v>
      </c>
      <c r="H2774" s="0" t="n">
        <v>1.44</v>
      </c>
      <c r="I2774" s="0" t="n">
        <v>0</v>
      </c>
      <c r="J2774" s="0" t="n">
        <v>59.75</v>
      </c>
      <c r="K2774" s="0" t="n">
        <v>7.8</v>
      </c>
      <c r="L2774" s="0" t="n">
        <v>19.86</v>
      </c>
      <c r="M2774" s="0" t="n">
        <v>2.5</v>
      </c>
      <c r="N2774" s="0" t="n">
        <v>6.91</v>
      </c>
      <c r="O2774" s="0" t="n">
        <v>541.83</v>
      </c>
    </row>
    <row r="2775" customFormat="false" ht="15" hidden="false" customHeight="false" outlineLevel="0" collapsed="false">
      <c r="A2775" s="0" t="s">
        <v>375</v>
      </c>
      <c r="B2775" s="0" t="s">
        <v>614</v>
      </c>
      <c r="C2775" s="0" t="n">
        <v>2019</v>
      </c>
      <c r="D2775" s="0" t="n">
        <v>85357670</v>
      </c>
      <c r="E2775" s="0" t="n">
        <v>300.18</v>
      </c>
      <c r="F2775" s="0" t="n">
        <v>112.86</v>
      </c>
      <c r="G2775" s="0" t="n">
        <v>54.88</v>
      </c>
      <c r="H2775" s="0" t="n">
        <v>0.97</v>
      </c>
      <c r="I2775" s="0" t="n">
        <v>0</v>
      </c>
      <c r="J2775" s="0" t="n">
        <v>88.64</v>
      </c>
      <c r="K2775" s="0" t="n">
        <v>9.57</v>
      </c>
      <c r="L2775" s="0" t="n">
        <v>21.63</v>
      </c>
      <c r="M2775" s="0" t="n">
        <v>3.4</v>
      </c>
      <c r="N2775" s="0" t="n">
        <v>8.23</v>
      </c>
      <c r="O2775" s="0" t="n">
        <v>488.44</v>
      </c>
    </row>
    <row r="2776" customFormat="false" ht="15" hidden="false" customHeight="false" outlineLevel="0" collapsed="false">
      <c r="A2776" s="0" t="s">
        <v>375</v>
      </c>
      <c r="B2776" s="0" t="s">
        <v>614</v>
      </c>
      <c r="C2776" s="0" t="n">
        <v>2020</v>
      </c>
      <c r="D2776" s="0" t="n">
        <v>86091691</v>
      </c>
      <c r="E2776" s="0" t="n">
        <v>302</v>
      </c>
      <c r="F2776" s="0" t="n">
        <v>106.26</v>
      </c>
      <c r="G2776" s="0" t="n">
        <v>68.07</v>
      </c>
      <c r="H2776" s="0" t="n">
        <v>0.34</v>
      </c>
      <c r="I2776" s="0" t="n">
        <v>0</v>
      </c>
      <c r="J2776" s="0" t="n">
        <v>77.86</v>
      </c>
      <c r="K2776" s="0" t="n">
        <v>11.2</v>
      </c>
      <c r="L2776" s="0" t="n">
        <v>24.61</v>
      </c>
      <c r="M2776" s="0" t="n">
        <v>4.34</v>
      </c>
      <c r="N2776" s="0" t="n">
        <v>9.32</v>
      </c>
      <c r="O2776" s="0" t="n">
        <v>482.45</v>
      </c>
    </row>
    <row r="2777" customFormat="false" ht="15" hidden="false" customHeight="false" outlineLevel="0" collapsed="false">
      <c r="A2777" s="0" t="s">
        <v>375</v>
      </c>
      <c r="B2777" s="0" t="s">
        <v>614</v>
      </c>
      <c r="C2777" s="0" t="n">
        <v>2021</v>
      </c>
      <c r="D2777" s="0" t="n">
        <v>86686254</v>
      </c>
      <c r="E2777" s="0" t="n">
        <v>327.88</v>
      </c>
      <c r="F2777" s="0" t="n">
        <v>104.12</v>
      </c>
      <c r="G2777" s="0" t="n">
        <v>107.34</v>
      </c>
      <c r="H2777" s="0" t="n">
        <v>0.35</v>
      </c>
      <c r="I2777" s="0" t="n">
        <v>0</v>
      </c>
      <c r="J2777" s="0" t="n">
        <v>55.51</v>
      </c>
      <c r="K2777" s="0" t="n">
        <v>13.28</v>
      </c>
      <c r="L2777" s="0" t="n">
        <v>31.02</v>
      </c>
      <c r="M2777" s="0" t="n">
        <v>6.15</v>
      </c>
      <c r="N2777" s="0" t="n">
        <v>10.11</v>
      </c>
      <c r="O2777" s="0" t="n">
        <v>500.61</v>
      </c>
    </row>
    <row r="2778" customFormat="false" ht="15" hidden="false" customHeight="false" outlineLevel="0" collapsed="false">
      <c r="A2778" s="0" t="s">
        <v>375</v>
      </c>
      <c r="B2778" s="0" t="s">
        <v>614</v>
      </c>
      <c r="C2778" s="0" t="n">
        <v>2022</v>
      </c>
      <c r="D2778" s="0" t="n">
        <v>87058469</v>
      </c>
      <c r="E2778" s="0" t="n">
        <v>320.56</v>
      </c>
      <c r="F2778" s="0" t="n">
        <v>113.62</v>
      </c>
      <c r="G2778" s="0" t="n">
        <v>71.86</v>
      </c>
      <c r="H2778" s="0" t="n">
        <v>0.73</v>
      </c>
      <c r="I2778" s="0" t="n">
        <v>0</v>
      </c>
      <c r="J2778" s="0" t="n">
        <v>66.66</v>
      </c>
      <c r="K2778" s="0" t="n">
        <v>15.16</v>
      </c>
      <c r="L2778" s="0" t="n">
        <v>34.69</v>
      </c>
      <c r="M2778" s="0" t="n">
        <v>7.62</v>
      </c>
      <c r="N2778" s="0" t="n">
        <v>10.22</v>
      </c>
      <c r="O2778" s="0" t="n">
        <v>487.93</v>
      </c>
    </row>
    <row r="2779" customFormat="false" ht="15" hidden="false" customHeight="false" outlineLevel="0" collapsed="false">
      <c r="A2779" s="0" t="s">
        <v>375</v>
      </c>
      <c r="B2779" s="0" t="s">
        <v>614</v>
      </c>
      <c r="C2779" s="0" t="n">
        <v>2023</v>
      </c>
      <c r="D2779" s="0" t="n">
        <v>87270502</v>
      </c>
      <c r="E2779" s="0" t="n">
        <v>319.79</v>
      </c>
      <c r="F2779" s="0" t="n">
        <v>118.03</v>
      </c>
      <c r="G2779" s="0" t="n">
        <v>66.48</v>
      </c>
      <c r="H2779" s="0" t="n">
        <v>0.94</v>
      </c>
      <c r="I2779" s="0" t="n">
        <v>0</v>
      </c>
      <c r="J2779" s="0" t="n">
        <v>63.72</v>
      </c>
      <c r="K2779" s="0" t="n">
        <v>18.4</v>
      </c>
      <c r="L2779" s="0" t="n">
        <v>33.88</v>
      </c>
      <c r="M2779" s="0" t="n">
        <v>8.21</v>
      </c>
      <c r="N2779" s="0" t="n">
        <v>10.13</v>
      </c>
      <c r="O2779" s="0" t="n">
        <v>493.73</v>
      </c>
    </row>
    <row r="2780" customFormat="false" ht="15" hidden="false" customHeight="false" outlineLevel="0" collapsed="false">
      <c r="A2780" s="0" t="s">
        <v>375</v>
      </c>
      <c r="B2780" s="0" t="s">
        <v>614</v>
      </c>
      <c r="C2780" s="0" t="n">
        <v>2024</v>
      </c>
      <c r="D2780" s="0" t="n">
        <v>87473800</v>
      </c>
      <c r="E2780" s="0" t="n">
        <v>341.23</v>
      </c>
      <c r="F2780" s="0" t="n">
        <v>121.32</v>
      </c>
      <c r="G2780" s="0" t="n">
        <v>63.28</v>
      </c>
      <c r="H2780" s="0" t="n">
        <v>0.98</v>
      </c>
      <c r="I2780" s="0" t="n">
        <v>0</v>
      </c>
      <c r="J2780" s="0" t="n">
        <v>74.57</v>
      </c>
      <c r="K2780" s="0" t="n">
        <v>25.67</v>
      </c>
      <c r="L2780" s="0" t="n">
        <v>36.53</v>
      </c>
      <c r="M2780" s="0" t="n">
        <v>8.68</v>
      </c>
      <c r="N2780" s="0" t="n">
        <v>10.2</v>
      </c>
      <c r="O2780" s="0" t="n">
        <v>469.74</v>
      </c>
    </row>
    <row r="2781" customFormat="false" ht="15" hidden="false" customHeight="false" outlineLevel="0" collapsed="false">
      <c r="A2781" s="0" t="s">
        <v>375</v>
      </c>
      <c r="B2781" s="0" t="s">
        <v>614</v>
      </c>
      <c r="C2781" s="0" t="n">
        <v>2025</v>
      </c>
      <c r="D2781" s="0" t="n">
        <v>87685427</v>
      </c>
      <c r="E2781" s="0" t="n">
        <v>353.86</v>
      </c>
      <c r="F2781" s="0" t="n">
        <v>121.4</v>
      </c>
      <c r="G2781" s="0" t="n">
        <v>78.36</v>
      </c>
      <c r="H2781" s="0" t="n">
        <v>1.03</v>
      </c>
      <c r="I2781" s="0" t="n">
        <v>0</v>
      </c>
      <c r="J2781" s="0" t="n">
        <v>57.27</v>
      </c>
      <c r="K2781" s="0" t="n">
        <v>37.25</v>
      </c>
      <c r="L2781" s="0" t="n">
        <v>39.42</v>
      </c>
      <c r="M2781" s="0" t="n">
        <v>8.48</v>
      </c>
      <c r="N2781" s="0" t="n">
        <v>10.65</v>
      </c>
      <c r="O2781" s="0" t="n">
        <v>474.74</v>
      </c>
    </row>
    <row r="2782" customFormat="false" ht="15" hidden="false" customHeight="false" outlineLevel="0" collapsed="false">
      <c r="A2782" s="0" t="s">
        <v>376</v>
      </c>
      <c r="B2782" s="0" t="s">
        <v>615</v>
      </c>
      <c r="C2782" s="0" t="n">
        <v>2015</v>
      </c>
      <c r="D2782" s="0" t="n">
        <v>6215773</v>
      </c>
      <c r="E2782" s="0" t="n">
        <v>22.53</v>
      </c>
      <c r="F2782" s="0" t="n">
        <v>0</v>
      </c>
      <c r="G2782" s="0" t="n">
        <v>22.53</v>
      </c>
      <c r="H2782" s="0" t="n">
        <v>0</v>
      </c>
      <c r="I2782" s="0" t="n">
        <v>0</v>
      </c>
      <c r="J2782" s="0" t="n">
        <v>0</v>
      </c>
      <c r="K2782" s="0" t="n">
        <v>0</v>
      </c>
      <c r="L2782" s="0" t="n">
        <v>0</v>
      </c>
      <c r="M2782" s="0" t="n">
        <v>0</v>
      </c>
      <c r="N2782" s="0" t="n">
        <v>0</v>
      </c>
      <c r="O2782" s="0" t="n">
        <v>1306.7</v>
      </c>
    </row>
    <row r="2783" customFormat="false" ht="15" hidden="false" customHeight="false" outlineLevel="0" collapsed="false">
      <c r="A2783" s="0" t="s">
        <v>376</v>
      </c>
      <c r="B2783" s="0" t="s">
        <v>615</v>
      </c>
      <c r="C2783" s="0" t="n">
        <v>2016</v>
      </c>
      <c r="D2783" s="0" t="n">
        <v>6360041</v>
      </c>
      <c r="E2783" s="0" t="n">
        <v>22.53</v>
      </c>
      <c r="F2783" s="0" t="n">
        <v>0</v>
      </c>
      <c r="G2783" s="0" t="n">
        <v>22.53</v>
      </c>
      <c r="H2783" s="0" t="n">
        <v>0</v>
      </c>
      <c r="I2783" s="0" t="n">
        <v>0</v>
      </c>
      <c r="J2783" s="0" t="n">
        <v>0</v>
      </c>
      <c r="K2783" s="0" t="n">
        <v>0</v>
      </c>
      <c r="L2783" s="0" t="n">
        <v>0</v>
      </c>
      <c r="M2783" s="0" t="n">
        <v>0</v>
      </c>
      <c r="N2783" s="0" t="n">
        <v>0</v>
      </c>
      <c r="O2783" s="0" t="n">
        <v>1306.7</v>
      </c>
    </row>
    <row r="2784" customFormat="false" ht="15" hidden="false" customHeight="false" outlineLevel="0" collapsed="false">
      <c r="A2784" s="0" t="s">
        <v>376</v>
      </c>
      <c r="B2784" s="0" t="s">
        <v>615</v>
      </c>
      <c r="C2784" s="0" t="n">
        <v>2017</v>
      </c>
      <c r="D2784" s="0" t="n">
        <v>6507065</v>
      </c>
      <c r="E2784" s="0" t="n">
        <v>23.89</v>
      </c>
      <c r="F2784" s="0" t="n">
        <v>0</v>
      </c>
      <c r="G2784" s="0" t="n">
        <v>23.89</v>
      </c>
      <c r="H2784" s="0" t="n">
        <v>0</v>
      </c>
      <c r="I2784" s="0" t="n">
        <v>0</v>
      </c>
      <c r="J2784" s="0" t="n">
        <v>0</v>
      </c>
      <c r="K2784" s="0" t="n">
        <v>0</v>
      </c>
      <c r="L2784" s="0" t="n">
        <v>0</v>
      </c>
      <c r="M2784" s="0" t="n">
        <v>0</v>
      </c>
      <c r="N2784" s="0" t="n">
        <v>0</v>
      </c>
      <c r="O2784" s="0" t="n">
        <v>1306.4</v>
      </c>
    </row>
    <row r="2785" customFormat="false" ht="15" hidden="false" customHeight="false" outlineLevel="0" collapsed="false">
      <c r="A2785" s="0" t="s">
        <v>376</v>
      </c>
      <c r="B2785" s="0" t="s">
        <v>615</v>
      </c>
      <c r="C2785" s="0" t="n">
        <v>2018</v>
      </c>
      <c r="D2785" s="0" t="n">
        <v>6655523</v>
      </c>
      <c r="E2785" s="0" t="n">
        <v>25.36</v>
      </c>
      <c r="F2785" s="0" t="n">
        <v>0</v>
      </c>
      <c r="G2785" s="0" t="n">
        <v>25.36</v>
      </c>
      <c r="H2785" s="0" t="n">
        <v>0</v>
      </c>
      <c r="I2785" s="0" t="n">
        <v>0</v>
      </c>
      <c r="J2785" s="0" t="n">
        <v>0</v>
      </c>
      <c r="K2785" s="0" t="n">
        <v>0</v>
      </c>
      <c r="L2785" s="0" t="n">
        <v>0</v>
      </c>
      <c r="M2785" s="0" t="n">
        <v>0</v>
      </c>
      <c r="N2785" s="0" t="n">
        <v>0</v>
      </c>
      <c r="O2785" s="0" t="n">
        <v>1306.39</v>
      </c>
    </row>
    <row r="2786" customFormat="false" ht="15" hidden="false" customHeight="false" outlineLevel="0" collapsed="false">
      <c r="A2786" s="0" t="s">
        <v>376</v>
      </c>
      <c r="B2786" s="0" t="s">
        <v>615</v>
      </c>
      <c r="C2786" s="0" t="n">
        <v>2019</v>
      </c>
      <c r="D2786" s="0" t="n">
        <v>6803943</v>
      </c>
      <c r="E2786" s="0" t="n">
        <v>22.5</v>
      </c>
      <c r="F2786" s="0" t="n">
        <v>0</v>
      </c>
      <c r="G2786" s="0" t="n">
        <v>22.5</v>
      </c>
      <c r="H2786" s="0" t="n">
        <v>0</v>
      </c>
      <c r="I2786" s="0" t="n">
        <v>0</v>
      </c>
      <c r="J2786" s="0" t="n">
        <v>0</v>
      </c>
      <c r="K2786" s="0" t="n">
        <v>0</v>
      </c>
      <c r="L2786" s="0" t="n">
        <v>0</v>
      </c>
      <c r="M2786" s="0" t="n">
        <v>0</v>
      </c>
      <c r="N2786" s="0" t="n">
        <v>0</v>
      </c>
      <c r="O2786" s="0" t="n">
        <v>1306.67</v>
      </c>
    </row>
    <row r="2787" customFormat="false" ht="15" hidden="false" customHeight="false" outlineLevel="0" collapsed="false">
      <c r="A2787" s="0" t="s">
        <v>376</v>
      </c>
      <c r="B2787" s="0" t="s">
        <v>615</v>
      </c>
      <c r="C2787" s="0" t="n">
        <v>2020</v>
      </c>
      <c r="D2787" s="0" t="n">
        <v>6949915</v>
      </c>
      <c r="E2787" s="0" t="n">
        <v>25.76</v>
      </c>
      <c r="F2787" s="0" t="n">
        <v>0</v>
      </c>
      <c r="G2787" s="0" t="n">
        <v>25.76</v>
      </c>
      <c r="H2787" s="0" t="n">
        <v>0</v>
      </c>
      <c r="I2787" s="0" t="n">
        <v>0</v>
      </c>
      <c r="J2787" s="0" t="n">
        <v>0</v>
      </c>
      <c r="K2787" s="0" t="n">
        <v>0</v>
      </c>
      <c r="L2787" s="0" t="n">
        <v>0</v>
      </c>
      <c r="M2787" s="0" t="n">
        <v>0</v>
      </c>
      <c r="N2787" s="0" t="n">
        <v>0</v>
      </c>
      <c r="O2787" s="0" t="n">
        <v>1306.68</v>
      </c>
    </row>
    <row r="2788" customFormat="false" ht="15" hidden="false" customHeight="false" outlineLevel="0" collapsed="false">
      <c r="A2788" s="0" t="s">
        <v>376</v>
      </c>
      <c r="B2788" s="0" t="s">
        <v>615</v>
      </c>
      <c r="C2788" s="0" t="n">
        <v>2021</v>
      </c>
      <c r="D2788" s="0" t="n">
        <v>7092042</v>
      </c>
      <c r="E2788" s="0" t="n">
        <v>28.4</v>
      </c>
      <c r="F2788" s="0" t="n">
        <v>0</v>
      </c>
      <c r="G2788" s="0" t="n">
        <v>28.39</v>
      </c>
      <c r="H2788" s="0" t="n">
        <v>0</v>
      </c>
      <c r="I2788" s="0" t="n">
        <v>0</v>
      </c>
      <c r="J2788" s="0" t="n">
        <v>0.01</v>
      </c>
      <c r="K2788" s="0" t="n">
        <v>0</v>
      </c>
      <c r="L2788" s="0" t="n">
        <v>0</v>
      </c>
      <c r="M2788" s="0" t="n">
        <v>0</v>
      </c>
      <c r="N2788" s="0" t="n">
        <v>0</v>
      </c>
      <c r="O2788" s="0" t="n">
        <v>1305.99</v>
      </c>
    </row>
    <row r="2789" customFormat="false" ht="15" hidden="false" customHeight="false" outlineLevel="0" collapsed="false">
      <c r="A2789" s="0" t="s">
        <v>376</v>
      </c>
      <c r="B2789" s="0" t="s">
        <v>615</v>
      </c>
      <c r="C2789" s="0" t="n">
        <v>2022</v>
      </c>
      <c r="D2789" s="0" t="n">
        <v>7230197</v>
      </c>
      <c r="E2789" s="0" t="n">
        <v>32.6</v>
      </c>
      <c r="F2789" s="0" t="n">
        <v>0</v>
      </c>
      <c r="G2789" s="0" t="n">
        <v>32.59</v>
      </c>
      <c r="H2789" s="0" t="n">
        <v>0</v>
      </c>
      <c r="I2789" s="0" t="n">
        <v>0</v>
      </c>
      <c r="J2789" s="0" t="n">
        <v>0.01</v>
      </c>
      <c r="K2789" s="0" t="n">
        <v>0</v>
      </c>
      <c r="L2789" s="0" t="n">
        <v>0</v>
      </c>
      <c r="M2789" s="0" t="n">
        <v>0</v>
      </c>
      <c r="N2789" s="0" t="n">
        <v>0</v>
      </c>
      <c r="O2789" s="0" t="n">
        <v>1306.14</v>
      </c>
    </row>
    <row r="2790" customFormat="false" ht="15" hidden="false" customHeight="false" outlineLevel="0" collapsed="false">
      <c r="A2790" s="0" t="s">
        <v>376</v>
      </c>
      <c r="B2790" s="0" t="s">
        <v>615</v>
      </c>
      <c r="C2790" s="0" t="n">
        <v>2023</v>
      </c>
      <c r="D2790" s="0" t="n">
        <v>7364437</v>
      </c>
      <c r="E2790" s="0" t="n">
        <v>32.6</v>
      </c>
      <c r="F2790" s="0" t="n">
        <v>0</v>
      </c>
      <c r="G2790" s="0" t="n">
        <v>32.59</v>
      </c>
      <c r="H2790" s="0" t="n">
        <v>0</v>
      </c>
      <c r="I2790" s="0" t="n">
        <v>0</v>
      </c>
      <c r="J2790" s="0" t="n">
        <v>0.01</v>
      </c>
      <c r="K2790" s="0" t="n">
        <v>0</v>
      </c>
      <c r="L2790" s="0" t="n">
        <v>0</v>
      </c>
      <c r="M2790" s="0" t="n">
        <v>0</v>
      </c>
      <c r="N2790" s="0" t="n">
        <v>0</v>
      </c>
      <c r="O2790" s="0" t="n">
        <v>1306.14</v>
      </c>
    </row>
    <row r="2791" customFormat="false" ht="15" hidden="false" customHeight="false" outlineLevel="0" collapsed="false">
      <c r="A2791" s="0" t="s">
        <v>376</v>
      </c>
      <c r="B2791" s="0" t="s">
        <v>615</v>
      </c>
      <c r="C2791" s="0" t="n">
        <v>2024</v>
      </c>
      <c r="D2791" s="0" t="n">
        <v>7494494</v>
      </c>
      <c r="E2791" s="0" t="n">
        <v>33.01</v>
      </c>
      <c r="F2791" s="0" t="n">
        <v>0</v>
      </c>
      <c r="G2791" s="0" t="n">
        <v>33</v>
      </c>
      <c r="H2791" s="0" t="n">
        <v>0</v>
      </c>
      <c r="I2791" s="0" t="n">
        <v>0</v>
      </c>
      <c r="J2791" s="0" t="n">
        <v>0.01</v>
      </c>
      <c r="K2791" s="0" t="n">
        <v>0</v>
      </c>
      <c r="L2791" s="0" t="n">
        <v>0</v>
      </c>
      <c r="M2791" s="0" t="n">
        <v>0</v>
      </c>
      <c r="N2791" s="0" t="n">
        <v>0</v>
      </c>
      <c r="O2791" s="0" t="n">
        <v>1306.27</v>
      </c>
    </row>
    <row r="2792" customFormat="false" ht="15" hidden="false" customHeight="false" outlineLevel="0" collapsed="false">
      <c r="A2792" s="0" t="s">
        <v>377</v>
      </c>
      <c r="B2792" s="0" t="s">
        <v>616</v>
      </c>
      <c r="C2792" s="0" t="n">
        <v>2015</v>
      </c>
      <c r="D2792" s="0" t="n">
        <v>36632</v>
      </c>
      <c r="E2792" s="0" t="n">
        <v>0.23</v>
      </c>
      <c r="F2792" s="0" t="n">
        <v>0</v>
      </c>
      <c r="G2792" s="0" t="n">
        <v>0</v>
      </c>
      <c r="H2792" s="0" t="n">
        <v>0.23</v>
      </c>
      <c r="I2792" s="0" t="n">
        <v>0</v>
      </c>
      <c r="J2792" s="0" t="n">
        <v>0</v>
      </c>
      <c r="K2792" s="0" t="n">
        <v>0</v>
      </c>
      <c r="L2792" s="0" t="n">
        <v>0</v>
      </c>
      <c r="M2792" s="0" t="n">
        <v>0</v>
      </c>
      <c r="N2792" s="0" t="n">
        <v>0</v>
      </c>
      <c r="O2792" s="0" t="n">
        <v>652.17</v>
      </c>
    </row>
    <row r="2793" customFormat="false" ht="15" hidden="false" customHeight="false" outlineLevel="0" collapsed="false">
      <c r="A2793" s="0" t="s">
        <v>377</v>
      </c>
      <c r="B2793" s="0" t="s">
        <v>616</v>
      </c>
      <c r="C2793" s="0" t="n">
        <v>2016</v>
      </c>
      <c r="D2793" s="0" t="n">
        <v>38342</v>
      </c>
      <c r="E2793" s="0" t="n">
        <v>0.25</v>
      </c>
      <c r="F2793" s="0" t="n">
        <v>0</v>
      </c>
      <c r="G2793" s="0" t="n">
        <v>0</v>
      </c>
      <c r="H2793" s="0" t="n">
        <v>0.25</v>
      </c>
      <c r="I2793" s="0" t="n">
        <v>0</v>
      </c>
      <c r="J2793" s="0" t="n">
        <v>0</v>
      </c>
      <c r="K2793" s="0" t="n">
        <v>0</v>
      </c>
      <c r="L2793" s="0" t="n">
        <v>0</v>
      </c>
      <c r="M2793" s="0" t="n">
        <v>0</v>
      </c>
      <c r="N2793" s="0" t="n">
        <v>0</v>
      </c>
      <c r="O2793" s="0" t="n">
        <v>640</v>
      </c>
    </row>
    <row r="2794" customFormat="false" ht="15" hidden="false" customHeight="false" outlineLevel="0" collapsed="false">
      <c r="A2794" s="0" t="s">
        <v>377</v>
      </c>
      <c r="B2794" s="0" t="s">
        <v>616</v>
      </c>
      <c r="C2794" s="0" t="n">
        <v>2017</v>
      </c>
      <c r="D2794" s="0" t="n">
        <v>39931</v>
      </c>
      <c r="E2794" s="0" t="n">
        <v>0.29</v>
      </c>
      <c r="F2794" s="0" t="n">
        <v>0</v>
      </c>
      <c r="G2794" s="0" t="n">
        <v>0</v>
      </c>
      <c r="H2794" s="0" t="n">
        <v>0.29</v>
      </c>
      <c r="I2794" s="0" t="n">
        <v>0</v>
      </c>
      <c r="J2794" s="0" t="n">
        <v>0</v>
      </c>
      <c r="K2794" s="0" t="n">
        <v>0</v>
      </c>
      <c r="L2794" s="0" t="n">
        <v>0</v>
      </c>
      <c r="M2794" s="0" t="n">
        <v>0</v>
      </c>
      <c r="N2794" s="0" t="n">
        <v>0</v>
      </c>
      <c r="O2794" s="0" t="n">
        <v>655.17</v>
      </c>
    </row>
    <row r="2795" customFormat="false" ht="15" hidden="false" customHeight="false" outlineLevel="0" collapsed="false">
      <c r="A2795" s="0" t="s">
        <v>377</v>
      </c>
      <c r="B2795" s="0" t="s">
        <v>616</v>
      </c>
      <c r="C2795" s="0" t="n">
        <v>2018</v>
      </c>
      <c r="D2795" s="0" t="n">
        <v>41580</v>
      </c>
      <c r="E2795" s="0" t="n">
        <v>0.26</v>
      </c>
      <c r="F2795" s="0" t="n">
        <v>0</v>
      </c>
      <c r="G2795" s="0" t="n">
        <v>0</v>
      </c>
      <c r="H2795" s="0" t="n">
        <v>0.26</v>
      </c>
      <c r="I2795" s="0" t="n">
        <v>0</v>
      </c>
      <c r="J2795" s="0" t="n">
        <v>0</v>
      </c>
      <c r="K2795" s="0" t="n">
        <v>0</v>
      </c>
      <c r="L2795" s="0" t="n">
        <v>0</v>
      </c>
      <c r="M2795" s="0" t="n">
        <v>0</v>
      </c>
      <c r="N2795" s="0" t="n">
        <v>0</v>
      </c>
      <c r="O2795" s="0" t="n">
        <v>653.85</v>
      </c>
    </row>
    <row r="2796" customFormat="false" ht="15" hidden="false" customHeight="false" outlineLevel="0" collapsed="false">
      <c r="A2796" s="0" t="s">
        <v>377</v>
      </c>
      <c r="B2796" s="0" t="s">
        <v>616</v>
      </c>
      <c r="C2796" s="0" t="n">
        <v>2019</v>
      </c>
      <c r="D2796" s="0" t="n">
        <v>43191</v>
      </c>
      <c r="E2796" s="0" t="n">
        <v>0.26</v>
      </c>
      <c r="F2796" s="0" t="n">
        <v>0</v>
      </c>
      <c r="G2796" s="0" t="n">
        <v>0</v>
      </c>
      <c r="H2796" s="0" t="n">
        <v>0.26</v>
      </c>
      <c r="I2796" s="0" t="n">
        <v>0</v>
      </c>
      <c r="J2796" s="0" t="n">
        <v>0</v>
      </c>
      <c r="K2796" s="0" t="n">
        <v>0</v>
      </c>
      <c r="L2796" s="0" t="n">
        <v>0</v>
      </c>
      <c r="M2796" s="0" t="n">
        <v>0</v>
      </c>
      <c r="N2796" s="0" t="n">
        <v>0</v>
      </c>
      <c r="O2796" s="0" t="n">
        <v>653.85</v>
      </c>
    </row>
    <row r="2797" customFormat="false" ht="15" hidden="false" customHeight="false" outlineLevel="0" collapsed="false">
      <c r="A2797" s="0" t="s">
        <v>377</v>
      </c>
      <c r="B2797" s="0" t="s">
        <v>616</v>
      </c>
      <c r="C2797" s="0" t="n">
        <v>2020</v>
      </c>
      <c r="D2797" s="0" t="n">
        <v>44405</v>
      </c>
      <c r="E2797" s="0" t="n">
        <v>0.25</v>
      </c>
      <c r="F2797" s="0" t="n">
        <v>0</v>
      </c>
      <c r="G2797" s="0" t="n">
        <v>0</v>
      </c>
      <c r="H2797" s="0" t="n">
        <v>0.25</v>
      </c>
      <c r="I2797" s="0" t="n">
        <v>0</v>
      </c>
      <c r="J2797" s="0" t="n">
        <v>0</v>
      </c>
      <c r="K2797" s="0" t="n">
        <v>0</v>
      </c>
      <c r="L2797" s="0" t="n">
        <v>0</v>
      </c>
      <c r="M2797" s="0" t="n">
        <v>0</v>
      </c>
      <c r="N2797" s="0" t="n">
        <v>0</v>
      </c>
      <c r="O2797" s="0" t="n">
        <v>640</v>
      </c>
    </row>
    <row r="2798" customFormat="false" ht="15" hidden="false" customHeight="false" outlineLevel="0" collapsed="false">
      <c r="A2798" s="0" t="s">
        <v>377</v>
      </c>
      <c r="B2798" s="0" t="s">
        <v>616</v>
      </c>
      <c r="C2798" s="0" t="n">
        <v>2021</v>
      </c>
      <c r="D2798" s="0" t="n">
        <v>45262</v>
      </c>
      <c r="E2798" s="0" t="n">
        <v>0.26</v>
      </c>
      <c r="F2798" s="0" t="n">
        <v>0</v>
      </c>
      <c r="G2798" s="0" t="n">
        <v>0</v>
      </c>
      <c r="H2798" s="0" t="n">
        <v>0.26</v>
      </c>
      <c r="I2798" s="0" t="n">
        <v>0</v>
      </c>
      <c r="J2798" s="0" t="n">
        <v>0</v>
      </c>
      <c r="K2798" s="0" t="n">
        <v>0</v>
      </c>
      <c r="L2798" s="0" t="n">
        <v>0</v>
      </c>
      <c r="M2798" s="0" t="n">
        <v>0</v>
      </c>
      <c r="N2798" s="0" t="n">
        <v>0</v>
      </c>
      <c r="O2798" s="0" t="n">
        <v>653.85</v>
      </c>
    </row>
    <row r="2799" customFormat="false" ht="15" hidden="false" customHeight="false" outlineLevel="0" collapsed="false">
      <c r="A2799" s="0" t="s">
        <v>377</v>
      </c>
      <c r="B2799" s="0" t="s">
        <v>616</v>
      </c>
      <c r="C2799" s="0" t="n">
        <v>2022</v>
      </c>
      <c r="D2799" s="0" t="n">
        <v>45869</v>
      </c>
      <c r="E2799" s="0" t="n">
        <v>0.26</v>
      </c>
      <c r="F2799" s="0" t="n">
        <v>0</v>
      </c>
      <c r="G2799" s="0" t="n">
        <v>0</v>
      </c>
      <c r="H2799" s="0" t="n">
        <v>0.26</v>
      </c>
      <c r="I2799" s="0" t="n">
        <v>0</v>
      </c>
      <c r="J2799" s="0" t="n">
        <v>0</v>
      </c>
      <c r="K2799" s="0" t="n">
        <v>0</v>
      </c>
      <c r="L2799" s="0" t="n">
        <v>0</v>
      </c>
      <c r="M2799" s="0" t="n">
        <v>0</v>
      </c>
      <c r="N2799" s="0" t="n">
        <v>0</v>
      </c>
      <c r="O2799" s="0" t="n">
        <v>653.85</v>
      </c>
    </row>
    <row r="2800" customFormat="false" ht="15" hidden="false" customHeight="false" outlineLevel="0" collapsed="false">
      <c r="A2800" s="0" t="s">
        <v>377</v>
      </c>
      <c r="B2800" s="0" t="s">
        <v>616</v>
      </c>
      <c r="C2800" s="0" t="n">
        <v>2023</v>
      </c>
      <c r="D2800" s="0" t="n">
        <v>46221</v>
      </c>
      <c r="E2800" s="0" t="n">
        <v>0.26</v>
      </c>
      <c r="F2800" s="0" t="n">
        <v>0</v>
      </c>
      <c r="G2800" s="0" t="n">
        <v>0</v>
      </c>
      <c r="H2800" s="0" t="n">
        <v>0.26</v>
      </c>
      <c r="I2800" s="0" t="n">
        <v>0</v>
      </c>
      <c r="J2800" s="0" t="n">
        <v>0</v>
      </c>
      <c r="K2800" s="0" t="n">
        <v>0</v>
      </c>
      <c r="L2800" s="0" t="n">
        <v>0</v>
      </c>
      <c r="M2800" s="0" t="n">
        <v>0</v>
      </c>
      <c r="N2800" s="0" t="n">
        <v>0</v>
      </c>
      <c r="O2800" s="0" t="n">
        <v>653.85</v>
      </c>
    </row>
    <row r="2801" customFormat="false" ht="15" hidden="false" customHeight="false" outlineLevel="0" collapsed="false">
      <c r="A2801" s="0" t="s">
        <v>377</v>
      </c>
      <c r="B2801" s="0" t="s">
        <v>616</v>
      </c>
      <c r="C2801" s="0" t="n">
        <v>2024</v>
      </c>
      <c r="D2801" s="0" t="n">
        <v>46563</v>
      </c>
      <c r="E2801" s="0" t="n">
        <v>0.27</v>
      </c>
      <c r="F2801" s="0" t="n">
        <v>0</v>
      </c>
      <c r="G2801" s="0" t="n">
        <v>0</v>
      </c>
      <c r="H2801" s="0" t="n">
        <v>0.26</v>
      </c>
      <c r="I2801" s="0" t="n">
        <v>0</v>
      </c>
      <c r="J2801" s="0" t="n">
        <v>0</v>
      </c>
      <c r="K2801" s="0" t="n">
        <v>0.01</v>
      </c>
      <c r="L2801" s="0" t="n">
        <v>0</v>
      </c>
      <c r="M2801" s="0" t="n">
        <v>0</v>
      </c>
      <c r="N2801" s="0" t="n">
        <v>0</v>
      </c>
      <c r="O2801" s="0" t="n">
        <v>629.63</v>
      </c>
    </row>
    <row r="2802" customFormat="false" ht="15" hidden="false" customHeight="false" outlineLevel="0" collapsed="false">
      <c r="A2802" s="0" t="s">
        <v>736</v>
      </c>
      <c r="B2802" s="0" t="s">
        <v>737</v>
      </c>
      <c r="C2802" s="0" t="n">
        <v>2015</v>
      </c>
      <c r="D2802" s="0" t="n">
        <v>10985</v>
      </c>
    </row>
    <row r="2803" customFormat="false" ht="15" hidden="false" customHeight="false" outlineLevel="0" collapsed="false">
      <c r="A2803" s="0" t="s">
        <v>736</v>
      </c>
      <c r="B2803" s="0" t="s">
        <v>737</v>
      </c>
      <c r="C2803" s="0" t="n">
        <v>2016</v>
      </c>
      <c r="D2803" s="0" t="n">
        <v>10951</v>
      </c>
    </row>
    <row r="2804" customFormat="false" ht="15" hidden="false" customHeight="false" outlineLevel="0" collapsed="false">
      <c r="A2804" s="0" t="s">
        <v>736</v>
      </c>
      <c r="B2804" s="0" t="s">
        <v>737</v>
      </c>
      <c r="C2804" s="0" t="n">
        <v>2017</v>
      </c>
      <c r="D2804" s="0" t="n">
        <v>10892</v>
      </c>
    </row>
    <row r="2805" customFormat="false" ht="15" hidden="false" customHeight="false" outlineLevel="0" collapsed="false">
      <c r="A2805" s="0" t="s">
        <v>736</v>
      </c>
      <c r="B2805" s="0" t="s">
        <v>737</v>
      </c>
      <c r="C2805" s="0" t="n">
        <v>2018</v>
      </c>
      <c r="D2805" s="0" t="n">
        <v>10775</v>
      </c>
    </row>
    <row r="2806" customFormat="false" ht="15" hidden="false" customHeight="false" outlineLevel="0" collapsed="false">
      <c r="A2806" s="0" t="s">
        <v>736</v>
      </c>
      <c r="B2806" s="0" t="s">
        <v>737</v>
      </c>
      <c r="C2806" s="0" t="n">
        <v>2019</v>
      </c>
      <c r="D2806" s="0" t="n">
        <v>10603</v>
      </c>
    </row>
    <row r="2807" customFormat="false" ht="15" hidden="false" customHeight="false" outlineLevel="0" collapsed="false">
      <c r="A2807" s="0" t="s">
        <v>736</v>
      </c>
      <c r="B2807" s="0" t="s">
        <v>737</v>
      </c>
      <c r="C2807" s="0" t="n">
        <v>2020</v>
      </c>
      <c r="D2807" s="0" t="n">
        <v>10423</v>
      </c>
    </row>
    <row r="2808" customFormat="false" ht="15" hidden="false" customHeight="false" outlineLevel="0" collapsed="false">
      <c r="A2808" s="0" t="s">
        <v>736</v>
      </c>
      <c r="B2808" s="0" t="s">
        <v>737</v>
      </c>
      <c r="C2808" s="0" t="n">
        <v>2021</v>
      </c>
      <c r="D2808" s="0" t="n">
        <v>10214</v>
      </c>
    </row>
    <row r="2809" customFormat="false" ht="15" hidden="false" customHeight="false" outlineLevel="0" collapsed="false">
      <c r="A2809" s="0" t="s">
        <v>736</v>
      </c>
      <c r="B2809" s="0" t="s">
        <v>737</v>
      </c>
      <c r="C2809" s="0" t="n">
        <v>2022</v>
      </c>
      <c r="D2809" s="0" t="n">
        <v>10012</v>
      </c>
    </row>
    <row r="2810" customFormat="false" ht="15" hidden="false" customHeight="false" outlineLevel="0" collapsed="false">
      <c r="A2810" s="0" t="s">
        <v>736</v>
      </c>
      <c r="B2810" s="0" t="s">
        <v>737</v>
      </c>
      <c r="C2810" s="0" t="n">
        <v>2023</v>
      </c>
      <c r="D2810" s="0" t="n">
        <v>9837</v>
      </c>
    </row>
    <row r="2811" customFormat="false" ht="15" hidden="false" customHeight="false" outlineLevel="0" collapsed="false">
      <c r="A2811" s="0" t="s">
        <v>738</v>
      </c>
      <c r="C2811" s="0" t="n">
        <v>2015</v>
      </c>
    </row>
    <row r="2812" customFormat="false" ht="15" hidden="false" customHeight="false" outlineLevel="0" collapsed="false">
      <c r="A2812" s="0" t="s">
        <v>738</v>
      </c>
      <c r="C2812" s="0" t="n">
        <v>2016</v>
      </c>
    </row>
    <row r="2813" customFormat="false" ht="15" hidden="false" customHeight="false" outlineLevel="0" collapsed="false">
      <c r="A2813" s="0" t="s">
        <v>738</v>
      </c>
      <c r="C2813" s="0" t="n">
        <v>2017</v>
      </c>
    </row>
    <row r="2814" customFormat="false" ht="15" hidden="false" customHeight="false" outlineLevel="0" collapsed="false">
      <c r="A2814" s="0" t="s">
        <v>738</v>
      </c>
      <c r="C2814" s="0" t="n">
        <v>2018</v>
      </c>
    </row>
    <row r="2815" customFormat="false" ht="15" hidden="false" customHeight="false" outlineLevel="0" collapsed="false">
      <c r="A2815" s="0" t="s">
        <v>738</v>
      </c>
      <c r="C2815" s="0" t="n">
        <v>2019</v>
      </c>
    </row>
    <row r="2816" customFormat="false" ht="15" hidden="false" customHeight="false" outlineLevel="0" collapsed="false">
      <c r="A2816" s="0" t="s">
        <v>738</v>
      </c>
      <c r="C2816" s="0" t="n">
        <v>2020</v>
      </c>
    </row>
    <row r="2817" customFormat="false" ht="15" hidden="false" customHeight="false" outlineLevel="0" collapsed="false">
      <c r="A2817" s="0" t="s">
        <v>738</v>
      </c>
      <c r="C2817" s="0" t="n">
        <v>2021</v>
      </c>
    </row>
    <row r="2818" customFormat="false" ht="15" hidden="false" customHeight="false" outlineLevel="0" collapsed="false">
      <c r="A2818" s="0" t="s">
        <v>738</v>
      </c>
      <c r="C2818" s="0" t="n">
        <v>2022</v>
      </c>
    </row>
    <row r="2819" customFormat="false" ht="15" hidden="false" customHeight="false" outlineLevel="0" collapsed="false">
      <c r="A2819" s="0" t="s">
        <v>738</v>
      </c>
      <c r="C2819" s="0" t="n">
        <v>2023</v>
      </c>
    </row>
    <row r="2820" customFormat="false" ht="15" hidden="false" customHeight="false" outlineLevel="0" collapsed="false">
      <c r="A2820" s="0" t="s">
        <v>739</v>
      </c>
      <c r="C2820" s="0" t="n">
        <v>2015</v>
      </c>
    </row>
    <row r="2821" customFormat="false" ht="15" hidden="false" customHeight="false" outlineLevel="0" collapsed="false">
      <c r="A2821" s="0" t="s">
        <v>739</v>
      </c>
      <c r="C2821" s="0" t="n">
        <v>2016</v>
      </c>
    </row>
    <row r="2822" customFormat="false" ht="15" hidden="false" customHeight="false" outlineLevel="0" collapsed="false">
      <c r="A2822" s="0" t="s">
        <v>739</v>
      </c>
      <c r="C2822" s="0" t="n">
        <v>2017</v>
      </c>
    </row>
    <row r="2823" customFormat="false" ht="15" hidden="false" customHeight="false" outlineLevel="0" collapsed="false">
      <c r="A2823" s="0" t="s">
        <v>739</v>
      </c>
      <c r="C2823" s="0" t="n">
        <v>2018</v>
      </c>
    </row>
    <row r="2824" customFormat="false" ht="15" hidden="false" customHeight="false" outlineLevel="0" collapsed="false">
      <c r="A2824" s="0" t="s">
        <v>739</v>
      </c>
      <c r="C2824" s="0" t="n">
        <v>2019</v>
      </c>
    </row>
    <row r="2825" customFormat="false" ht="15" hidden="false" customHeight="false" outlineLevel="0" collapsed="false">
      <c r="A2825" s="0" t="s">
        <v>378</v>
      </c>
      <c r="B2825" s="0" t="s">
        <v>617</v>
      </c>
      <c r="C2825" s="0" t="n">
        <v>2015</v>
      </c>
      <c r="D2825" s="0" t="n">
        <v>37531444</v>
      </c>
      <c r="E2825" s="0" t="n">
        <v>3.55</v>
      </c>
      <c r="F2825" s="0" t="n">
        <v>0</v>
      </c>
      <c r="G2825" s="0" t="n">
        <v>0</v>
      </c>
      <c r="H2825" s="0" t="n">
        <v>0.08</v>
      </c>
      <c r="I2825" s="0" t="n">
        <v>0</v>
      </c>
      <c r="J2825" s="0" t="n">
        <v>3.09</v>
      </c>
      <c r="K2825" s="0" t="n">
        <v>0.03</v>
      </c>
      <c r="L2825" s="0" t="n">
        <v>0</v>
      </c>
      <c r="M2825" s="0" t="n">
        <v>0.35</v>
      </c>
      <c r="N2825" s="0" t="n">
        <v>0</v>
      </c>
      <c r="O2825" s="0" t="n">
        <v>56.34</v>
      </c>
    </row>
    <row r="2826" customFormat="false" ht="15" hidden="false" customHeight="false" outlineLevel="0" collapsed="false">
      <c r="A2826" s="0" t="s">
        <v>378</v>
      </c>
      <c r="B2826" s="0" t="s">
        <v>617</v>
      </c>
      <c r="C2826" s="0" t="n">
        <v>2016</v>
      </c>
      <c r="D2826" s="0" t="n">
        <v>38799153</v>
      </c>
      <c r="E2826" s="0" t="n">
        <v>3.77</v>
      </c>
      <c r="F2826" s="0" t="n">
        <v>0</v>
      </c>
      <c r="G2826" s="0" t="n">
        <v>0</v>
      </c>
      <c r="H2826" s="0" t="n">
        <v>0.07</v>
      </c>
      <c r="I2826" s="0" t="n">
        <v>0</v>
      </c>
      <c r="J2826" s="0" t="n">
        <v>3.3</v>
      </c>
      <c r="K2826" s="0" t="n">
        <v>0.04</v>
      </c>
      <c r="L2826" s="0" t="n">
        <v>0</v>
      </c>
      <c r="M2826" s="0" t="n">
        <v>0.36</v>
      </c>
      <c r="N2826" s="0" t="n">
        <v>0</v>
      </c>
      <c r="O2826" s="0" t="n">
        <v>55.7</v>
      </c>
    </row>
    <row r="2827" customFormat="false" ht="15" hidden="false" customHeight="false" outlineLevel="0" collapsed="false">
      <c r="A2827" s="0" t="s">
        <v>378</v>
      </c>
      <c r="B2827" s="0" t="s">
        <v>617</v>
      </c>
      <c r="C2827" s="0" t="n">
        <v>2017</v>
      </c>
      <c r="D2827" s="0" t="n">
        <v>40177384</v>
      </c>
      <c r="E2827" s="0" t="n">
        <v>3.78</v>
      </c>
      <c r="F2827" s="0" t="n">
        <v>0</v>
      </c>
      <c r="G2827" s="0" t="n">
        <v>0</v>
      </c>
      <c r="H2827" s="0" t="n">
        <v>0.07</v>
      </c>
      <c r="I2827" s="0" t="n">
        <v>0</v>
      </c>
      <c r="J2827" s="0" t="n">
        <v>3.44</v>
      </c>
      <c r="K2827" s="0" t="n">
        <v>0.06</v>
      </c>
      <c r="L2827" s="0" t="n">
        <v>0</v>
      </c>
      <c r="M2827" s="0" t="n">
        <v>0.21</v>
      </c>
      <c r="N2827" s="0" t="n">
        <v>0</v>
      </c>
      <c r="O2827" s="0" t="n">
        <v>47.62</v>
      </c>
    </row>
    <row r="2828" customFormat="false" ht="15" hidden="false" customHeight="false" outlineLevel="0" collapsed="false">
      <c r="A2828" s="0" t="s">
        <v>378</v>
      </c>
      <c r="B2828" s="0" t="s">
        <v>617</v>
      </c>
      <c r="C2828" s="0" t="n">
        <v>2018</v>
      </c>
      <c r="D2828" s="0" t="n">
        <v>41565839</v>
      </c>
      <c r="E2828" s="0" t="n">
        <v>4.3</v>
      </c>
      <c r="F2828" s="0" t="n">
        <v>0</v>
      </c>
      <c r="G2828" s="0" t="n">
        <v>0</v>
      </c>
      <c r="H2828" s="0" t="n">
        <v>0.31</v>
      </c>
      <c r="I2828" s="0" t="n">
        <v>0</v>
      </c>
      <c r="J2828" s="0" t="n">
        <v>3.64</v>
      </c>
      <c r="K2828" s="0" t="n">
        <v>0.07</v>
      </c>
      <c r="L2828" s="0" t="n">
        <v>0</v>
      </c>
      <c r="M2828" s="0" t="n">
        <v>0.28</v>
      </c>
      <c r="N2828" s="0" t="n">
        <v>0</v>
      </c>
      <c r="O2828" s="0" t="n">
        <v>81.4</v>
      </c>
    </row>
    <row r="2829" customFormat="false" ht="15" hidden="false" customHeight="false" outlineLevel="0" collapsed="false">
      <c r="A2829" s="0" t="s">
        <v>378</v>
      </c>
      <c r="B2829" s="0" t="s">
        <v>617</v>
      </c>
      <c r="C2829" s="0" t="n">
        <v>2019</v>
      </c>
      <c r="D2829" s="0" t="n">
        <v>42999636</v>
      </c>
      <c r="E2829" s="0" t="n">
        <v>4.58</v>
      </c>
      <c r="F2829" s="0" t="n">
        <v>0</v>
      </c>
      <c r="G2829" s="0" t="n">
        <v>0</v>
      </c>
      <c r="H2829" s="0" t="n">
        <v>0.14</v>
      </c>
      <c r="I2829" s="0" t="n">
        <v>0</v>
      </c>
      <c r="J2829" s="0" t="n">
        <v>4.04</v>
      </c>
      <c r="K2829" s="0" t="n">
        <v>0.13</v>
      </c>
      <c r="L2829" s="0" t="n">
        <v>0</v>
      </c>
      <c r="M2829" s="0" t="n">
        <v>0.27</v>
      </c>
      <c r="N2829" s="0" t="n">
        <v>0</v>
      </c>
      <c r="O2829" s="0" t="n">
        <v>56.77</v>
      </c>
    </row>
    <row r="2830" customFormat="false" ht="15" hidden="false" customHeight="false" outlineLevel="0" collapsed="false">
      <c r="A2830" s="0" t="s">
        <v>378</v>
      </c>
      <c r="B2830" s="0" t="s">
        <v>617</v>
      </c>
      <c r="C2830" s="0" t="n">
        <v>2020</v>
      </c>
      <c r="D2830" s="0" t="n">
        <v>44457148</v>
      </c>
      <c r="E2830" s="0" t="n">
        <v>4.6</v>
      </c>
      <c r="F2830" s="0" t="n">
        <v>0</v>
      </c>
      <c r="G2830" s="0" t="n">
        <v>0</v>
      </c>
      <c r="H2830" s="0" t="n">
        <v>0.12</v>
      </c>
      <c r="I2830" s="0" t="n">
        <v>0</v>
      </c>
      <c r="J2830" s="0" t="n">
        <v>4.08</v>
      </c>
      <c r="K2830" s="0" t="n">
        <v>0.14</v>
      </c>
      <c r="L2830" s="0" t="n">
        <v>0</v>
      </c>
      <c r="M2830" s="0" t="n">
        <v>0.26</v>
      </c>
      <c r="N2830" s="0" t="n">
        <v>0</v>
      </c>
      <c r="O2830" s="0" t="n">
        <v>54.35</v>
      </c>
    </row>
    <row r="2831" customFormat="false" ht="15" hidden="false" customHeight="false" outlineLevel="0" collapsed="false">
      <c r="A2831" s="0" t="s">
        <v>378</v>
      </c>
      <c r="B2831" s="0" t="s">
        <v>617</v>
      </c>
      <c r="C2831" s="0" t="n">
        <v>2021</v>
      </c>
      <c r="D2831" s="0" t="n">
        <v>45910931</v>
      </c>
      <c r="E2831" s="0" t="n">
        <v>5.27</v>
      </c>
      <c r="F2831" s="0" t="n">
        <v>0</v>
      </c>
      <c r="G2831" s="0" t="n">
        <v>0</v>
      </c>
      <c r="H2831" s="0" t="n">
        <v>0.13</v>
      </c>
      <c r="I2831" s="0" t="n">
        <v>0</v>
      </c>
      <c r="J2831" s="0" t="n">
        <v>4.64</v>
      </c>
      <c r="K2831" s="0" t="n">
        <v>0.13</v>
      </c>
      <c r="L2831" s="0" t="n">
        <v>0</v>
      </c>
      <c r="M2831" s="0" t="n">
        <v>0.37</v>
      </c>
      <c r="N2831" s="0" t="n">
        <v>0</v>
      </c>
      <c r="O2831" s="0" t="n">
        <v>55.03</v>
      </c>
    </row>
    <row r="2832" customFormat="false" ht="15" hidden="false" customHeight="false" outlineLevel="0" collapsed="false">
      <c r="A2832" s="0" t="s">
        <v>378</v>
      </c>
      <c r="B2832" s="0" t="s">
        <v>617</v>
      </c>
      <c r="C2832" s="0" t="n">
        <v>2022</v>
      </c>
      <c r="D2832" s="0" t="n">
        <v>47312718</v>
      </c>
      <c r="E2832" s="0" t="n">
        <v>5.75</v>
      </c>
      <c r="F2832" s="0" t="n">
        <v>0</v>
      </c>
      <c r="G2832" s="0" t="n">
        <v>0</v>
      </c>
      <c r="H2832" s="0" t="n">
        <v>0.15</v>
      </c>
      <c r="I2832" s="0" t="n">
        <v>0</v>
      </c>
      <c r="J2832" s="0" t="n">
        <v>4.98</v>
      </c>
      <c r="K2832" s="0" t="n">
        <v>0.15</v>
      </c>
      <c r="L2832" s="0" t="n">
        <v>0</v>
      </c>
      <c r="M2832" s="0" t="n">
        <v>0.47</v>
      </c>
      <c r="N2832" s="0" t="n">
        <v>0</v>
      </c>
      <c r="O2832" s="0" t="n">
        <v>57.39</v>
      </c>
    </row>
    <row r="2833" customFormat="false" ht="15" hidden="false" customHeight="false" outlineLevel="0" collapsed="false">
      <c r="A2833" s="0" t="s">
        <v>378</v>
      </c>
      <c r="B2833" s="0" t="s">
        <v>617</v>
      </c>
      <c r="C2833" s="0" t="n">
        <v>2023</v>
      </c>
      <c r="D2833" s="0" t="n">
        <v>48656606</v>
      </c>
      <c r="E2833" s="0" t="n">
        <v>5.77</v>
      </c>
      <c r="F2833" s="0" t="n">
        <v>0</v>
      </c>
      <c r="G2833" s="0" t="n">
        <v>0</v>
      </c>
      <c r="H2833" s="0" t="n">
        <v>0.17</v>
      </c>
      <c r="I2833" s="0" t="n">
        <v>0</v>
      </c>
      <c r="J2833" s="0" t="n">
        <v>4.98</v>
      </c>
      <c r="K2833" s="0" t="n">
        <v>0.15</v>
      </c>
      <c r="L2833" s="0" t="n">
        <v>0</v>
      </c>
      <c r="M2833" s="0" t="n">
        <v>0.47</v>
      </c>
      <c r="N2833" s="0" t="n">
        <v>0</v>
      </c>
      <c r="O2833" s="0" t="n">
        <v>58.93</v>
      </c>
    </row>
    <row r="2834" customFormat="false" ht="15" hidden="false" customHeight="false" outlineLevel="0" collapsed="false">
      <c r="A2834" s="0" t="s">
        <v>378</v>
      </c>
      <c r="B2834" s="0" t="s">
        <v>617</v>
      </c>
      <c r="C2834" s="0" t="n">
        <v>2024</v>
      </c>
      <c r="D2834" s="0" t="n">
        <v>50015091</v>
      </c>
      <c r="E2834" s="0" t="n">
        <v>5.81</v>
      </c>
      <c r="F2834" s="0" t="n">
        <v>0</v>
      </c>
      <c r="G2834" s="0" t="n">
        <v>0</v>
      </c>
      <c r="H2834" s="0" t="n">
        <v>0.17</v>
      </c>
      <c r="I2834" s="0" t="n">
        <v>0</v>
      </c>
      <c r="J2834" s="0" t="n">
        <v>5</v>
      </c>
      <c r="K2834" s="0" t="n">
        <v>0.17</v>
      </c>
      <c r="L2834" s="0" t="n">
        <v>0</v>
      </c>
      <c r="M2834" s="0" t="n">
        <v>0.47</v>
      </c>
      <c r="N2834" s="0" t="n">
        <v>0</v>
      </c>
      <c r="O2834" s="0" t="n">
        <v>58.52</v>
      </c>
    </row>
    <row r="2835" customFormat="false" ht="15" hidden="false" customHeight="false" outlineLevel="0" collapsed="false">
      <c r="A2835" s="0" t="s">
        <v>379</v>
      </c>
      <c r="B2835" s="0" t="s">
        <v>618</v>
      </c>
      <c r="C2835" s="0" t="n">
        <v>2015</v>
      </c>
      <c r="D2835" s="0" t="n">
        <v>45784904</v>
      </c>
      <c r="E2835" s="0" t="n">
        <v>163.68</v>
      </c>
      <c r="F2835" s="0" t="n">
        <v>56.53</v>
      </c>
      <c r="G2835" s="0" t="n">
        <v>10.1</v>
      </c>
      <c r="H2835" s="0" t="n">
        <v>2.32</v>
      </c>
      <c r="I2835" s="0" t="n">
        <v>87.63</v>
      </c>
      <c r="J2835" s="0" t="n">
        <v>5.4</v>
      </c>
      <c r="K2835" s="0" t="n">
        <v>0.48</v>
      </c>
      <c r="L2835" s="0" t="n">
        <v>1.08</v>
      </c>
      <c r="M2835" s="0" t="n">
        <v>0.14</v>
      </c>
      <c r="N2835" s="0" t="n">
        <v>0</v>
      </c>
      <c r="O2835" s="0" t="n">
        <v>380.13</v>
      </c>
    </row>
    <row r="2836" customFormat="false" ht="15" hidden="false" customHeight="false" outlineLevel="0" collapsed="false">
      <c r="A2836" s="0" t="s">
        <v>379</v>
      </c>
      <c r="B2836" s="0" t="s">
        <v>618</v>
      </c>
      <c r="C2836" s="0" t="n">
        <v>2016</v>
      </c>
      <c r="D2836" s="0" t="n">
        <v>45616831</v>
      </c>
      <c r="E2836" s="0" t="n">
        <v>164.58</v>
      </c>
      <c r="F2836" s="0" t="n">
        <v>61.29</v>
      </c>
      <c r="G2836" s="0" t="n">
        <v>9.83</v>
      </c>
      <c r="H2836" s="0" t="n">
        <v>3.25</v>
      </c>
      <c r="I2836" s="0" t="n">
        <v>80.95</v>
      </c>
      <c r="J2836" s="0" t="n">
        <v>7.68</v>
      </c>
      <c r="K2836" s="0" t="n">
        <v>0.49</v>
      </c>
      <c r="L2836" s="0" t="n">
        <v>0.95</v>
      </c>
      <c r="M2836" s="0" t="n">
        <v>0.14</v>
      </c>
      <c r="N2836" s="0" t="n">
        <v>0</v>
      </c>
      <c r="O2836" s="0" t="n">
        <v>408.49</v>
      </c>
    </row>
    <row r="2837" customFormat="false" ht="15" hidden="false" customHeight="false" outlineLevel="0" collapsed="false">
      <c r="A2837" s="0" t="s">
        <v>379</v>
      </c>
      <c r="B2837" s="0" t="s">
        <v>618</v>
      </c>
      <c r="C2837" s="0" t="n">
        <v>2017</v>
      </c>
      <c r="D2837" s="0" t="n">
        <v>45436037</v>
      </c>
      <c r="E2837" s="0" t="n">
        <v>156.04</v>
      </c>
      <c r="F2837" s="0" t="n">
        <v>49.33</v>
      </c>
      <c r="G2837" s="0" t="n">
        <v>7.38</v>
      </c>
      <c r="H2837" s="0" t="n">
        <v>2.89</v>
      </c>
      <c r="I2837" s="0" t="n">
        <v>85.58</v>
      </c>
      <c r="J2837" s="0" t="n">
        <v>8.95</v>
      </c>
      <c r="K2837" s="0" t="n">
        <v>0.72</v>
      </c>
      <c r="L2837" s="0" t="n">
        <v>0.98</v>
      </c>
      <c r="M2837" s="0" t="n">
        <v>0.21</v>
      </c>
      <c r="N2837" s="0" t="n">
        <v>0</v>
      </c>
      <c r="O2837" s="0" t="n">
        <v>347.22</v>
      </c>
    </row>
    <row r="2838" customFormat="false" ht="15" hidden="false" customHeight="false" outlineLevel="0" collapsed="false">
      <c r="A2838" s="0" t="s">
        <v>379</v>
      </c>
      <c r="B2838" s="0" t="s">
        <v>618</v>
      </c>
      <c r="C2838" s="0" t="n">
        <v>2018</v>
      </c>
      <c r="D2838" s="0" t="n">
        <v>45208903</v>
      </c>
      <c r="E2838" s="0" t="n">
        <v>159.86</v>
      </c>
      <c r="F2838" s="0" t="n">
        <v>49.06</v>
      </c>
      <c r="G2838" s="0" t="n">
        <v>10.57</v>
      </c>
      <c r="H2838" s="0" t="n">
        <v>2.8</v>
      </c>
      <c r="I2838" s="0" t="n">
        <v>84.4</v>
      </c>
      <c r="J2838" s="0" t="n">
        <v>10.43</v>
      </c>
      <c r="K2838" s="0" t="n">
        <v>1.11</v>
      </c>
      <c r="L2838" s="0" t="n">
        <v>1.19</v>
      </c>
      <c r="M2838" s="0" t="n">
        <v>0.3</v>
      </c>
      <c r="N2838" s="0" t="n">
        <v>0</v>
      </c>
      <c r="O2838" s="0" t="n">
        <v>349.31</v>
      </c>
    </row>
    <row r="2839" customFormat="false" ht="15" hidden="false" customHeight="false" outlineLevel="0" collapsed="false">
      <c r="A2839" s="0" t="s">
        <v>379</v>
      </c>
      <c r="B2839" s="0" t="s">
        <v>618</v>
      </c>
      <c r="C2839" s="0" t="n">
        <v>2019</v>
      </c>
      <c r="D2839" s="0" t="n">
        <v>44957451</v>
      </c>
      <c r="E2839" s="0" t="n">
        <v>154.14</v>
      </c>
      <c r="F2839" s="0" t="n">
        <v>45.53</v>
      </c>
      <c r="G2839" s="0" t="n">
        <v>11.93</v>
      </c>
      <c r="H2839" s="0" t="n">
        <v>1.81</v>
      </c>
      <c r="I2839" s="0" t="n">
        <v>83</v>
      </c>
      <c r="J2839" s="0" t="n">
        <v>6.51</v>
      </c>
      <c r="K2839" s="0" t="n">
        <v>2.93</v>
      </c>
      <c r="L2839" s="0" t="n">
        <v>2.02</v>
      </c>
      <c r="M2839" s="0" t="n">
        <v>0.41</v>
      </c>
      <c r="N2839" s="0" t="n">
        <v>0</v>
      </c>
      <c r="O2839" s="0" t="n">
        <v>341.51</v>
      </c>
    </row>
    <row r="2840" customFormat="false" ht="15" hidden="false" customHeight="false" outlineLevel="0" collapsed="false">
      <c r="A2840" s="0" t="s">
        <v>379</v>
      </c>
      <c r="B2840" s="0" t="s">
        <v>618</v>
      </c>
      <c r="C2840" s="0" t="n">
        <v>2020</v>
      </c>
      <c r="D2840" s="0" t="n">
        <v>44680008</v>
      </c>
      <c r="E2840" s="0" t="n">
        <v>147.79</v>
      </c>
      <c r="F2840" s="0" t="n">
        <v>40.2</v>
      </c>
      <c r="G2840" s="0" t="n">
        <v>14.19</v>
      </c>
      <c r="H2840" s="0" t="n">
        <v>0.25</v>
      </c>
      <c r="I2840" s="0" t="n">
        <v>76.2</v>
      </c>
      <c r="J2840" s="0" t="n">
        <v>7.56</v>
      </c>
      <c r="K2840" s="0" t="n">
        <v>5.37</v>
      </c>
      <c r="L2840" s="0" t="n">
        <v>3.26</v>
      </c>
      <c r="M2840" s="0" t="n">
        <v>0.76</v>
      </c>
      <c r="N2840" s="0" t="n">
        <v>0</v>
      </c>
      <c r="O2840" s="0" t="n">
        <v>325.39</v>
      </c>
    </row>
    <row r="2841" customFormat="false" ht="15" hidden="false" customHeight="false" outlineLevel="0" collapsed="false">
      <c r="A2841" s="0" t="s">
        <v>379</v>
      </c>
      <c r="B2841" s="0" t="s">
        <v>618</v>
      </c>
      <c r="C2841" s="0" t="n">
        <v>2021</v>
      </c>
      <c r="D2841" s="0" t="n">
        <v>44298642</v>
      </c>
      <c r="E2841" s="0" t="n">
        <v>156.44</v>
      </c>
      <c r="F2841" s="0" t="n">
        <v>37.49</v>
      </c>
      <c r="G2841" s="0" t="n">
        <v>10.32</v>
      </c>
      <c r="H2841" s="0" t="n">
        <v>0.75</v>
      </c>
      <c r="I2841" s="0" t="n">
        <v>86.21</v>
      </c>
      <c r="J2841" s="0" t="n">
        <v>10.44</v>
      </c>
      <c r="K2841" s="0" t="n">
        <v>6.5</v>
      </c>
      <c r="L2841" s="0" t="n">
        <v>3.82</v>
      </c>
      <c r="M2841" s="0" t="n">
        <v>0.91</v>
      </c>
      <c r="O2841" s="0" t="n">
        <v>279.47</v>
      </c>
    </row>
    <row r="2842" customFormat="false" ht="15" hidden="false" customHeight="false" outlineLevel="0" collapsed="false">
      <c r="A2842" s="0" t="s">
        <v>379</v>
      </c>
      <c r="B2842" s="0" t="s">
        <v>618</v>
      </c>
      <c r="C2842" s="0" t="n">
        <v>2022</v>
      </c>
      <c r="D2842" s="0" t="n">
        <v>41048768</v>
      </c>
      <c r="E2842" s="0" t="n">
        <v>111.51</v>
      </c>
      <c r="F2842" s="0" t="n">
        <v>23.32</v>
      </c>
      <c r="G2842" s="0" t="n">
        <v>7.18</v>
      </c>
      <c r="H2842" s="0" t="n">
        <v>0.53</v>
      </c>
      <c r="I2842" s="0" t="n">
        <v>62.18</v>
      </c>
      <c r="J2842" s="0" t="n">
        <v>11.02</v>
      </c>
      <c r="K2842" s="0" t="n">
        <v>5.08</v>
      </c>
      <c r="L2842" s="0" t="n">
        <v>1.42</v>
      </c>
      <c r="M2842" s="0" t="n">
        <v>0.78</v>
      </c>
      <c r="O2842" s="0" t="n">
        <v>250.47</v>
      </c>
    </row>
    <row r="2843" customFormat="false" ht="15" hidden="false" customHeight="false" outlineLevel="0" collapsed="false">
      <c r="A2843" s="0" t="s">
        <v>379</v>
      </c>
      <c r="B2843" s="0" t="s">
        <v>618</v>
      </c>
      <c r="C2843" s="0" t="n">
        <v>2023</v>
      </c>
      <c r="D2843" s="0" t="n">
        <v>37732833</v>
      </c>
    </row>
    <row r="2844" customFormat="false" ht="15" hidden="false" customHeight="false" outlineLevel="0" collapsed="false">
      <c r="A2844" s="0" t="s">
        <v>379</v>
      </c>
      <c r="B2844" s="0" t="s">
        <v>618</v>
      </c>
      <c r="C2844" s="0" t="n">
        <v>2024</v>
      </c>
      <c r="D2844" s="0" t="n">
        <v>37860221</v>
      </c>
    </row>
    <row r="2845" customFormat="false" ht="15" hidden="false" customHeight="false" outlineLevel="0" collapsed="false">
      <c r="A2845" s="0" t="s">
        <v>380</v>
      </c>
      <c r="B2845" s="0" t="s">
        <v>619</v>
      </c>
      <c r="C2845" s="0" t="n">
        <v>2015</v>
      </c>
      <c r="D2845" s="0" t="n">
        <v>8674633</v>
      </c>
      <c r="E2845" s="0" t="n">
        <v>127.38</v>
      </c>
      <c r="F2845" s="0" t="n">
        <v>0</v>
      </c>
      <c r="G2845" s="0" t="n">
        <v>127.08</v>
      </c>
      <c r="H2845" s="0" t="n">
        <v>0</v>
      </c>
      <c r="I2845" s="0" t="n">
        <v>0</v>
      </c>
      <c r="K2845" s="0" t="n">
        <v>0.3</v>
      </c>
      <c r="L2845" s="0" t="n">
        <v>0</v>
      </c>
      <c r="M2845" s="0" t="n">
        <v>0</v>
      </c>
      <c r="O2845" s="0" t="n">
        <v>675.22</v>
      </c>
    </row>
    <row r="2846" customFormat="false" ht="15" hidden="false" customHeight="false" outlineLevel="0" collapsed="false">
      <c r="A2846" s="0" t="s">
        <v>380</v>
      </c>
      <c r="B2846" s="0" t="s">
        <v>619</v>
      </c>
      <c r="C2846" s="0" t="n">
        <v>2016</v>
      </c>
      <c r="D2846" s="0" t="n">
        <v>9030873</v>
      </c>
      <c r="E2846" s="0" t="n">
        <v>129.61</v>
      </c>
      <c r="F2846" s="0" t="n">
        <v>0</v>
      </c>
      <c r="G2846" s="0" t="n">
        <v>129.29</v>
      </c>
      <c r="H2846" s="0" t="n">
        <v>0</v>
      </c>
      <c r="I2846" s="0" t="n">
        <v>0</v>
      </c>
      <c r="K2846" s="0" t="n">
        <v>0.32</v>
      </c>
      <c r="L2846" s="0" t="n">
        <v>0</v>
      </c>
      <c r="M2846" s="0" t="n">
        <v>0</v>
      </c>
      <c r="O2846" s="0" t="n">
        <v>675.26</v>
      </c>
    </row>
    <row r="2847" customFormat="false" ht="15" hidden="false" customHeight="false" outlineLevel="0" collapsed="false">
      <c r="A2847" s="0" t="s">
        <v>380</v>
      </c>
      <c r="B2847" s="0" t="s">
        <v>619</v>
      </c>
      <c r="C2847" s="0" t="n">
        <v>2017</v>
      </c>
      <c r="D2847" s="0" t="n">
        <v>9234330</v>
      </c>
      <c r="E2847" s="0" t="n">
        <v>134.57</v>
      </c>
      <c r="F2847" s="0" t="n">
        <v>0</v>
      </c>
      <c r="G2847" s="0" t="n">
        <v>133.82</v>
      </c>
      <c r="H2847" s="0" t="n">
        <v>0</v>
      </c>
      <c r="I2847" s="0" t="n">
        <v>0</v>
      </c>
      <c r="K2847" s="0" t="n">
        <v>0.75</v>
      </c>
      <c r="L2847" s="0" t="n">
        <v>0</v>
      </c>
      <c r="M2847" s="0" t="n">
        <v>0</v>
      </c>
      <c r="O2847" s="0" t="n">
        <v>673.26</v>
      </c>
    </row>
    <row r="2848" customFormat="false" ht="15" hidden="false" customHeight="false" outlineLevel="0" collapsed="false">
      <c r="A2848" s="0" t="s">
        <v>380</v>
      </c>
      <c r="B2848" s="0" t="s">
        <v>619</v>
      </c>
      <c r="C2848" s="0" t="n">
        <v>2018</v>
      </c>
      <c r="D2848" s="0" t="n">
        <v>9346870</v>
      </c>
      <c r="E2848" s="0" t="n">
        <v>136.01</v>
      </c>
      <c r="F2848" s="0" t="n">
        <v>0</v>
      </c>
      <c r="G2848" s="0" t="n">
        <v>134.81</v>
      </c>
      <c r="H2848" s="0" t="n">
        <v>0</v>
      </c>
      <c r="I2848" s="0" t="n">
        <v>0</v>
      </c>
      <c r="K2848" s="0" t="n">
        <v>1.2</v>
      </c>
      <c r="L2848" s="0" t="n">
        <v>0</v>
      </c>
      <c r="M2848" s="0" t="n">
        <v>0</v>
      </c>
      <c r="O2848" s="0" t="n">
        <v>671.2</v>
      </c>
    </row>
    <row r="2849" customFormat="false" ht="15" hidden="false" customHeight="false" outlineLevel="0" collapsed="false">
      <c r="A2849" s="0" t="s">
        <v>380</v>
      </c>
      <c r="B2849" s="0" t="s">
        <v>619</v>
      </c>
      <c r="C2849" s="0" t="n">
        <v>2019</v>
      </c>
      <c r="D2849" s="0" t="n">
        <v>9377855</v>
      </c>
      <c r="E2849" s="0" t="n">
        <v>138.45</v>
      </c>
      <c r="F2849" s="0" t="n">
        <v>0</v>
      </c>
      <c r="G2849" s="0" t="n">
        <v>134.79</v>
      </c>
      <c r="H2849" s="0" t="n">
        <v>0</v>
      </c>
      <c r="I2849" s="0" t="n">
        <v>0</v>
      </c>
      <c r="K2849" s="0" t="n">
        <v>3.66</v>
      </c>
      <c r="L2849" s="0" t="n">
        <v>0</v>
      </c>
      <c r="M2849" s="0" t="n">
        <v>0</v>
      </c>
      <c r="O2849" s="0" t="n">
        <v>660.09</v>
      </c>
    </row>
    <row r="2850" customFormat="false" ht="15" hidden="false" customHeight="false" outlineLevel="0" collapsed="false">
      <c r="A2850" s="0" t="s">
        <v>380</v>
      </c>
      <c r="B2850" s="0" t="s">
        <v>619</v>
      </c>
      <c r="C2850" s="0" t="n">
        <v>2020</v>
      </c>
      <c r="D2850" s="0" t="n">
        <v>9448529</v>
      </c>
      <c r="E2850" s="0" t="n">
        <v>137.31</v>
      </c>
      <c r="F2850" s="0" t="n">
        <v>0.73</v>
      </c>
      <c r="G2850" s="0" t="n">
        <v>129.77</v>
      </c>
      <c r="H2850" s="0" t="n">
        <v>0</v>
      </c>
      <c r="I2850" s="0" t="n">
        <v>1.63</v>
      </c>
      <c r="K2850" s="0" t="n">
        <v>5.18</v>
      </c>
      <c r="L2850" s="0" t="n">
        <v>0</v>
      </c>
      <c r="M2850" s="0" t="n">
        <v>0</v>
      </c>
      <c r="O2850" s="0" t="n">
        <v>645.69</v>
      </c>
    </row>
    <row r="2851" customFormat="false" ht="15" hidden="false" customHeight="false" outlineLevel="0" collapsed="false">
      <c r="A2851" s="0" t="s">
        <v>380</v>
      </c>
      <c r="B2851" s="0" t="s">
        <v>619</v>
      </c>
      <c r="C2851" s="0" t="n">
        <v>2021</v>
      </c>
      <c r="D2851" s="0" t="n">
        <v>9789055</v>
      </c>
      <c r="E2851" s="0" t="n">
        <v>149.05</v>
      </c>
      <c r="F2851" s="0" t="n">
        <v>3.01</v>
      </c>
      <c r="G2851" s="0" t="n">
        <v>129.24</v>
      </c>
      <c r="H2851" s="0" t="n">
        <v>0</v>
      </c>
      <c r="I2851" s="0" t="n">
        <v>10.55</v>
      </c>
      <c r="K2851" s="0" t="n">
        <v>6.25</v>
      </c>
      <c r="L2851" s="0" t="n">
        <v>0</v>
      </c>
      <c r="M2851" s="0" t="n">
        <v>0</v>
      </c>
      <c r="O2851" s="0" t="n">
        <v>605.3</v>
      </c>
    </row>
    <row r="2852" customFormat="false" ht="15" hidden="false" customHeight="false" outlineLevel="0" collapsed="false">
      <c r="A2852" s="0" t="s">
        <v>380</v>
      </c>
      <c r="B2852" s="0" t="s">
        <v>619</v>
      </c>
      <c r="C2852" s="0" t="n">
        <v>2022</v>
      </c>
      <c r="D2852" s="0" t="n">
        <v>10242085</v>
      </c>
      <c r="E2852" s="0" t="n">
        <v>155.42</v>
      </c>
      <c r="F2852" s="0" t="n">
        <v>0</v>
      </c>
      <c r="G2852" s="0" t="n">
        <v>127.57</v>
      </c>
      <c r="H2852" s="0" t="n">
        <v>0</v>
      </c>
      <c r="I2852" s="0" t="n">
        <v>20.1</v>
      </c>
      <c r="K2852" s="0" t="n">
        <v>7.74</v>
      </c>
      <c r="L2852" s="0" t="n">
        <v>0</v>
      </c>
      <c r="M2852" s="0" t="n">
        <v>0.01</v>
      </c>
      <c r="O2852" s="0" t="n">
        <v>558.49</v>
      </c>
    </row>
    <row r="2853" customFormat="false" ht="15" hidden="false" customHeight="false" outlineLevel="0" collapsed="false">
      <c r="A2853" s="0" t="s">
        <v>380</v>
      </c>
      <c r="B2853" s="0" t="s">
        <v>619</v>
      </c>
      <c r="C2853" s="0" t="n">
        <v>2023</v>
      </c>
      <c r="D2853" s="0" t="n">
        <v>10642089</v>
      </c>
      <c r="E2853" s="0" t="n">
        <v>167.53</v>
      </c>
      <c r="F2853" s="0" t="n">
        <v>0</v>
      </c>
      <c r="G2853" s="0" t="n">
        <v>118.42</v>
      </c>
      <c r="H2853" s="0" t="n">
        <v>0</v>
      </c>
      <c r="I2853" s="0" t="n">
        <v>34.44</v>
      </c>
      <c r="K2853" s="0" t="n">
        <v>14.4</v>
      </c>
      <c r="L2853" s="0" t="n">
        <v>0.06</v>
      </c>
      <c r="M2853" s="0" t="n">
        <v>0.21</v>
      </c>
      <c r="O2853" s="0" t="n">
        <v>483.79</v>
      </c>
    </row>
    <row r="2854" customFormat="false" ht="15" hidden="false" customHeight="false" outlineLevel="0" collapsed="false">
      <c r="A2854" s="0" t="s">
        <v>380</v>
      </c>
      <c r="B2854" s="0" t="s">
        <v>619</v>
      </c>
      <c r="C2854" s="0" t="n">
        <v>2024</v>
      </c>
      <c r="D2854" s="0" t="n">
        <v>11027135</v>
      </c>
      <c r="E2854" s="0" t="n">
        <v>177.26</v>
      </c>
      <c r="F2854" s="0" t="n">
        <v>0</v>
      </c>
      <c r="G2854" s="0" t="n">
        <v>121.01</v>
      </c>
      <c r="H2854" s="0" t="n">
        <v>0</v>
      </c>
      <c r="I2854" s="0" t="n">
        <v>40.63</v>
      </c>
      <c r="K2854" s="0" t="n">
        <v>15.21</v>
      </c>
      <c r="L2854" s="0" t="n">
        <v>0.2</v>
      </c>
      <c r="M2854" s="0" t="n">
        <v>0.21</v>
      </c>
      <c r="O2854" s="0" t="n">
        <v>467.51</v>
      </c>
    </row>
    <row r="2855" customFormat="false" ht="15" hidden="false" customHeight="false" outlineLevel="0" collapsed="false">
      <c r="A2855" s="0" t="s">
        <v>381</v>
      </c>
      <c r="B2855" s="0" t="s">
        <v>620</v>
      </c>
      <c r="C2855" s="0" t="n">
        <v>2015</v>
      </c>
      <c r="D2855" s="0" t="n">
        <v>65382107</v>
      </c>
      <c r="E2855" s="0" t="n">
        <v>338.87</v>
      </c>
      <c r="F2855" s="0" t="n">
        <v>75.88</v>
      </c>
      <c r="G2855" s="0" t="n">
        <v>99.88</v>
      </c>
      <c r="H2855" s="0" t="n">
        <v>9.41</v>
      </c>
      <c r="I2855" s="0" t="n">
        <v>70.34</v>
      </c>
      <c r="J2855" s="0" t="n">
        <v>6.3</v>
      </c>
      <c r="K2855" s="0" t="n">
        <v>7.53</v>
      </c>
      <c r="L2855" s="0" t="n">
        <v>40.27</v>
      </c>
      <c r="M2855" s="0" t="n">
        <v>29.26</v>
      </c>
      <c r="N2855" s="0" t="n">
        <v>0</v>
      </c>
      <c r="O2855" s="0" t="n">
        <v>397.79</v>
      </c>
    </row>
    <row r="2856" customFormat="false" ht="15" hidden="false" customHeight="false" outlineLevel="0" collapsed="false">
      <c r="A2856" s="0" t="s">
        <v>381</v>
      </c>
      <c r="B2856" s="0" t="s">
        <v>620</v>
      </c>
      <c r="C2856" s="0" t="n">
        <v>2016</v>
      </c>
      <c r="D2856" s="0" t="n">
        <v>65893359</v>
      </c>
      <c r="E2856" s="0" t="n">
        <v>339.18</v>
      </c>
      <c r="F2856" s="0" t="n">
        <v>30.67</v>
      </c>
      <c r="G2856" s="0" t="n">
        <v>143.13</v>
      </c>
      <c r="H2856" s="0" t="n">
        <v>10.64</v>
      </c>
      <c r="I2856" s="0" t="n">
        <v>71.73</v>
      </c>
      <c r="J2856" s="0" t="n">
        <v>5.37</v>
      </c>
      <c r="K2856" s="0" t="n">
        <v>10.41</v>
      </c>
      <c r="L2856" s="0" t="n">
        <v>37.16</v>
      </c>
      <c r="M2856" s="0" t="n">
        <v>30.07</v>
      </c>
      <c r="N2856" s="0" t="n">
        <v>0</v>
      </c>
      <c r="O2856" s="0" t="n">
        <v>333.45</v>
      </c>
    </row>
    <row r="2857" customFormat="false" ht="15" hidden="false" customHeight="false" outlineLevel="0" collapsed="false">
      <c r="A2857" s="0" t="s">
        <v>381</v>
      </c>
      <c r="B2857" s="0" t="s">
        <v>620</v>
      </c>
      <c r="C2857" s="0" t="n">
        <v>2017</v>
      </c>
      <c r="D2857" s="0" t="n">
        <v>66354473</v>
      </c>
      <c r="E2857" s="0" t="n">
        <v>338.22</v>
      </c>
      <c r="F2857" s="0" t="n">
        <v>22.53</v>
      </c>
      <c r="G2857" s="0" t="n">
        <v>136.75</v>
      </c>
      <c r="H2857" s="0" t="n">
        <v>9.71</v>
      </c>
      <c r="I2857" s="0" t="n">
        <v>70.34</v>
      </c>
      <c r="J2857" s="0" t="n">
        <v>5.88</v>
      </c>
      <c r="K2857" s="0" t="n">
        <v>11.46</v>
      </c>
      <c r="L2857" s="0" t="n">
        <v>49.65</v>
      </c>
      <c r="M2857" s="0" t="n">
        <v>31.9</v>
      </c>
      <c r="N2857" s="0" t="n">
        <v>0</v>
      </c>
      <c r="O2857" s="0" t="n">
        <v>302.2</v>
      </c>
    </row>
    <row r="2858" customFormat="false" ht="15" hidden="false" customHeight="false" outlineLevel="0" collapsed="false">
      <c r="A2858" s="0" t="s">
        <v>381</v>
      </c>
      <c r="B2858" s="0" t="s">
        <v>620</v>
      </c>
      <c r="C2858" s="0" t="n">
        <v>2018</v>
      </c>
      <c r="D2858" s="0" t="n">
        <v>66752473</v>
      </c>
      <c r="E2858" s="0" t="n">
        <v>333.76</v>
      </c>
      <c r="F2858" s="0" t="n">
        <v>16.83</v>
      </c>
      <c r="G2858" s="0" t="n">
        <v>131.49</v>
      </c>
      <c r="H2858" s="0" t="n">
        <v>10.24</v>
      </c>
      <c r="I2858" s="0" t="n">
        <v>65.06</v>
      </c>
      <c r="J2858" s="0" t="n">
        <v>5.44</v>
      </c>
      <c r="K2858" s="0" t="n">
        <v>12.67</v>
      </c>
      <c r="L2858" s="0" t="n">
        <v>56.91</v>
      </c>
      <c r="M2858" s="0" t="n">
        <v>35.11</v>
      </c>
      <c r="N2858" s="0" t="n">
        <v>0.01</v>
      </c>
      <c r="O2858" s="0" t="n">
        <v>285.65</v>
      </c>
    </row>
    <row r="2859" customFormat="false" ht="15" hidden="false" customHeight="false" outlineLevel="0" collapsed="false">
      <c r="A2859" s="0" t="s">
        <v>381</v>
      </c>
      <c r="B2859" s="0" t="s">
        <v>620</v>
      </c>
      <c r="C2859" s="0" t="n">
        <v>2019</v>
      </c>
      <c r="D2859" s="0" t="n">
        <v>67110958</v>
      </c>
      <c r="E2859" s="0" t="n">
        <v>327.19</v>
      </c>
      <c r="F2859" s="0" t="n">
        <v>6.92</v>
      </c>
      <c r="G2859" s="0" t="n">
        <v>133.09</v>
      </c>
      <c r="H2859" s="0" t="n">
        <v>11.26</v>
      </c>
      <c r="I2859" s="0" t="n">
        <v>56.18</v>
      </c>
      <c r="J2859" s="0" t="n">
        <v>5.93</v>
      </c>
      <c r="K2859" s="0" t="n">
        <v>12.42</v>
      </c>
      <c r="L2859" s="0" t="n">
        <v>63.84</v>
      </c>
      <c r="M2859" s="0" t="n">
        <v>37.54</v>
      </c>
      <c r="N2859" s="0" t="n">
        <v>0.01</v>
      </c>
      <c r="O2859" s="0" t="n">
        <v>268.41</v>
      </c>
    </row>
    <row r="2860" customFormat="false" ht="15" hidden="false" customHeight="false" outlineLevel="0" collapsed="false">
      <c r="A2860" s="0" t="s">
        <v>381</v>
      </c>
      <c r="B2860" s="0" t="s">
        <v>620</v>
      </c>
      <c r="C2860" s="0" t="n">
        <v>2020</v>
      </c>
      <c r="D2860" s="0" t="n">
        <v>67351860</v>
      </c>
      <c r="E2860" s="0" t="n">
        <v>310.3</v>
      </c>
      <c r="F2860" s="0" t="n">
        <v>5.7</v>
      </c>
      <c r="G2860" s="0" t="n">
        <v>111.89</v>
      </c>
      <c r="H2860" s="0" t="n">
        <v>8.84</v>
      </c>
      <c r="I2860" s="0" t="n">
        <v>50.24</v>
      </c>
      <c r="J2860" s="0" t="n">
        <v>6.88</v>
      </c>
      <c r="K2860" s="0" t="n">
        <v>12.55</v>
      </c>
      <c r="L2860" s="0" t="n">
        <v>75.62</v>
      </c>
      <c r="M2860" s="0" t="n">
        <v>38.58</v>
      </c>
      <c r="O2860" s="0" t="n">
        <v>242.54</v>
      </c>
    </row>
    <row r="2861" customFormat="false" ht="15" hidden="false" customHeight="false" outlineLevel="0" collapsed="false">
      <c r="A2861" s="0" t="s">
        <v>381</v>
      </c>
      <c r="B2861" s="0" t="s">
        <v>620</v>
      </c>
      <c r="C2861" s="0" t="n">
        <v>2021</v>
      </c>
      <c r="D2861" s="0" t="n">
        <v>67668788</v>
      </c>
      <c r="E2861" s="0" t="n">
        <v>307.9</v>
      </c>
      <c r="F2861" s="0" t="n">
        <v>6.79</v>
      </c>
      <c r="G2861" s="0" t="n">
        <v>122.84</v>
      </c>
      <c r="H2861" s="0" t="n">
        <v>9.68</v>
      </c>
      <c r="I2861" s="0" t="n">
        <v>46.1</v>
      </c>
      <c r="J2861" s="0" t="n">
        <v>5.42</v>
      </c>
      <c r="K2861" s="0" t="n">
        <v>12.13</v>
      </c>
      <c r="L2861" s="0" t="n">
        <v>64.93</v>
      </c>
      <c r="M2861" s="0" t="n">
        <v>40.01</v>
      </c>
      <c r="O2861" s="0" t="n">
        <v>267.1</v>
      </c>
    </row>
    <row r="2862" customFormat="false" ht="15" hidden="false" customHeight="false" outlineLevel="0" collapsed="false">
      <c r="A2862" s="0" t="s">
        <v>381</v>
      </c>
      <c r="B2862" s="0" t="s">
        <v>620</v>
      </c>
      <c r="C2862" s="0" t="n">
        <v>2022</v>
      </c>
      <c r="D2862" s="0" t="n">
        <v>68179315</v>
      </c>
      <c r="E2862" s="0" t="n">
        <v>324.58</v>
      </c>
      <c r="F2862" s="0" t="n">
        <v>5.94</v>
      </c>
      <c r="G2862" s="0" t="n">
        <v>125.11</v>
      </c>
      <c r="H2862" s="0" t="n">
        <v>11.07</v>
      </c>
      <c r="I2862" s="0" t="n">
        <v>47.4</v>
      </c>
      <c r="J2862" s="0" t="n">
        <v>5.66</v>
      </c>
      <c r="K2862" s="0" t="n">
        <v>13.34</v>
      </c>
      <c r="L2862" s="0" t="n">
        <v>80.21</v>
      </c>
      <c r="M2862" s="0" t="n">
        <v>35.85</v>
      </c>
      <c r="O2862" s="0" t="n">
        <v>254.98</v>
      </c>
    </row>
    <row r="2863" customFormat="false" ht="15" hidden="false" customHeight="false" outlineLevel="0" collapsed="false">
      <c r="A2863" s="0" t="s">
        <v>381</v>
      </c>
      <c r="B2863" s="0" t="s">
        <v>620</v>
      </c>
      <c r="C2863" s="0" t="n">
        <v>2023</v>
      </c>
      <c r="D2863" s="0" t="n">
        <v>68682965</v>
      </c>
      <c r="E2863" s="0" t="n">
        <v>292.53</v>
      </c>
      <c r="F2863" s="0" t="n">
        <v>3.78</v>
      </c>
      <c r="G2863" s="0" t="n">
        <v>101.66</v>
      </c>
      <c r="H2863" s="0" t="n">
        <v>10.82</v>
      </c>
      <c r="I2863" s="0" t="n">
        <v>40.6</v>
      </c>
      <c r="J2863" s="0" t="n">
        <v>5.54</v>
      </c>
      <c r="K2863" s="0" t="n">
        <v>13.88</v>
      </c>
      <c r="L2863" s="0" t="n">
        <v>82.15</v>
      </c>
      <c r="M2863" s="0" t="n">
        <v>34.1</v>
      </c>
      <c r="O2863" s="0" t="n">
        <v>235.63</v>
      </c>
    </row>
    <row r="2864" customFormat="false" ht="15" hidden="false" customHeight="false" outlineLevel="0" collapsed="false">
      <c r="A2864" s="0" t="s">
        <v>381</v>
      </c>
      <c r="B2864" s="0" t="s">
        <v>620</v>
      </c>
      <c r="C2864" s="0" t="n">
        <v>2024</v>
      </c>
      <c r="D2864" s="0" t="n">
        <v>69138185</v>
      </c>
      <c r="E2864" s="0" t="n">
        <v>284.16</v>
      </c>
      <c r="F2864" s="0" t="n">
        <v>1.9</v>
      </c>
      <c r="G2864" s="0" t="n">
        <v>86.3</v>
      </c>
      <c r="H2864" s="0" t="n">
        <v>11.45</v>
      </c>
      <c r="I2864" s="0" t="n">
        <v>40.59</v>
      </c>
      <c r="J2864" s="0" t="n">
        <v>5.76</v>
      </c>
      <c r="K2864" s="0" t="n">
        <v>14.79</v>
      </c>
      <c r="L2864" s="0" t="n">
        <v>83.28</v>
      </c>
      <c r="M2864" s="0" t="n">
        <v>40.09</v>
      </c>
      <c r="O2864" s="0" t="n">
        <v>216.5</v>
      </c>
    </row>
    <row r="2865" customFormat="false" ht="15" hidden="false" customHeight="false" outlineLevel="0" collapsed="false">
      <c r="A2865" s="0" t="s">
        <v>381</v>
      </c>
      <c r="B2865" s="0" t="s">
        <v>620</v>
      </c>
      <c r="C2865" s="0" t="n">
        <v>2025</v>
      </c>
      <c r="D2865" s="0" t="n">
        <v>69551334</v>
      </c>
      <c r="E2865" s="0" t="n">
        <v>292.31</v>
      </c>
      <c r="F2865" s="0" t="n">
        <v>0.33</v>
      </c>
      <c r="G2865" s="0" t="n">
        <v>90.91</v>
      </c>
      <c r="H2865" s="0" t="n">
        <v>12.77</v>
      </c>
      <c r="I2865" s="0" t="n">
        <v>36.38</v>
      </c>
      <c r="J2865" s="0" t="n">
        <v>5.55</v>
      </c>
      <c r="K2865" s="0" t="n">
        <v>19.32</v>
      </c>
      <c r="L2865" s="0" t="n">
        <v>85.84</v>
      </c>
      <c r="M2865" s="0" t="n">
        <v>41.21</v>
      </c>
      <c r="O2865" s="0" t="n">
        <v>217.41</v>
      </c>
    </row>
    <row r="2866" customFormat="false" ht="15" hidden="false" customHeight="false" outlineLevel="0" collapsed="false">
      <c r="A2866" s="0" t="s">
        <v>382</v>
      </c>
      <c r="B2866" s="0" t="s">
        <v>621</v>
      </c>
      <c r="C2866" s="0" t="n">
        <v>2015</v>
      </c>
      <c r="D2866" s="0" t="n">
        <v>326126496</v>
      </c>
      <c r="E2866" s="0" t="n">
        <v>4083.99</v>
      </c>
      <c r="F2866" s="0" t="n">
        <v>1352.4</v>
      </c>
      <c r="G2866" s="0" t="n">
        <v>1333.48</v>
      </c>
      <c r="H2866" s="0" t="n">
        <v>44.44</v>
      </c>
      <c r="I2866" s="0" t="n">
        <v>797.18</v>
      </c>
      <c r="J2866" s="0" t="n">
        <v>243.99</v>
      </c>
      <c r="K2866" s="0" t="n">
        <v>39.03</v>
      </c>
      <c r="L2866" s="0" t="n">
        <v>190.72</v>
      </c>
      <c r="M2866" s="0" t="n">
        <v>63.63</v>
      </c>
      <c r="N2866" s="0" t="n">
        <v>19.12</v>
      </c>
      <c r="O2866" s="0" t="n">
        <v>504.9</v>
      </c>
    </row>
    <row r="2867" customFormat="false" ht="15" hidden="false" customHeight="false" outlineLevel="0" collapsed="false">
      <c r="A2867" s="0" t="s">
        <v>382</v>
      </c>
      <c r="B2867" s="0" t="s">
        <v>621</v>
      </c>
      <c r="C2867" s="0" t="n">
        <v>2016</v>
      </c>
      <c r="D2867" s="0" t="n">
        <v>329179423</v>
      </c>
      <c r="E2867" s="0" t="n">
        <v>4087.56</v>
      </c>
      <c r="F2867" s="0" t="n">
        <v>1239.15</v>
      </c>
      <c r="G2867" s="0" t="n">
        <v>1378.31</v>
      </c>
      <c r="H2867" s="0" t="n">
        <v>39.5</v>
      </c>
      <c r="I2867" s="0" t="n">
        <v>805.69</v>
      </c>
      <c r="J2867" s="0" t="n">
        <v>261.13</v>
      </c>
      <c r="K2867" s="0" t="n">
        <v>54.87</v>
      </c>
      <c r="L2867" s="0" t="n">
        <v>226.99</v>
      </c>
      <c r="M2867" s="0" t="n">
        <v>62.76</v>
      </c>
      <c r="N2867" s="0" t="n">
        <v>19.16</v>
      </c>
      <c r="O2867" s="0" t="n">
        <v>483.35</v>
      </c>
    </row>
    <row r="2868" customFormat="false" ht="15" hidden="false" customHeight="false" outlineLevel="0" collapsed="false">
      <c r="A2868" s="0" t="s">
        <v>382</v>
      </c>
      <c r="B2868" s="0" t="s">
        <v>621</v>
      </c>
      <c r="C2868" s="0" t="n">
        <v>2017</v>
      </c>
      <c r="D2868" s="0" t="n">
        <v>332204657</v>
      </c>
      <c r="E2868" s="0" t="n">
        <v>4052.31</v>
      </c>
      <c r="F2868" s="0" t="n">
        <v>1205.84</v>
      </c>
      <c r="G2868" s="0" t="n">
        <v>1296.44</v>
      </c>
      <c r="H2868" s="0" t="n">
        <v>37.89</v>
      </c>
      <c r="I2868" s="0" t="n">
        <v>804.95</v>
      </c>
      <c r="J2868" s="0" t="n">
        <v>293.84</v>
      </c>
      <c r="K2868" s="0" t="n">
        <v>77.28</v>
      </c>
      <c r="L2868" s="0" t="n">
        <v>254.3</v>
      </c>
      <c r="M2868" s="0" t="n">
        <v>62.73</v>
      </c>
      <c r="N2868" s="0" t="n">
        <v>19.04</v>
      </c>
      <c r="O2868" s="0" t="n">
        <v>469.02</v>
      </c>
    </row>
    <row r="2869" customFormat="false" ht="15" hidden="false" customHeight="false" outlineLevel="0" collapsed="false">
      <c r="A2869" s="0" t="s">
        <v>382</v>
      </c>
      <c r="B2869" s="0" t="s">
        <v>621</v>
      </c>
      <c r="C2869" s="0" t="n">
        <v>2018</v>
      </c>
      <c r="D2869" s="0" t="n">
        <v>335056492</v>
      </c>
      <c r="E2869" s="0" t="n">
        <v>4201.55</v>
      </c>
      <c r="F2869" s="0" t="n">
        <v>1149.49</v>
      </c>
      <c r="G2869" s="0" t="n">
        <v>1469.13</v>
      </c>
      <c r="H2869" s="0" t="n">
        <v>42.68</v>
      </c>
      <c r="I2869" s="0" t="n">
        <v>807.08</v>
      </c>
      <c r="J2869" s="0" t="n">
        <v>286.62</v>
      </c>
      <c r="K2869" s="0" t="n">
        <v>93.36</v>
      </c>
      <c r="L2869" s="0" t="n">
        <v>272.67</v>
      </c>
      <c r="M2869" s="0" t="n">
        <v>61.83</v>
      </c>
      <c r="N2869" s="0" t="n">
        <v>18.69</v>
      </c>
      <c r="O2869" s="0" t="n">
        <v>462.61</v>
      </c>
    </row>
    <row r="2870" customFormat="false" ht="15" hidden="false" customHeight="false" outlineLevel="0" collapsed="false">
      <c r="A2870" s="0" t="s">
        <v>382</v>
      </c>
      <c r="B2870" s="0" t="s">
        <v>621</v>
      </c>
      <c r="C2870" s="0" t="n">
        <v>2019</v>
      </c>
      <c r="D2870" s="0" t="n">
        <v>337790069</v>
      </c>
      <c r="E2870" s="0" t="n">
        <v>4158.38</v>
      </c>
      <c r="F2870" s="0" t="n">
        <v>964.96</v>
      </c>
      <c r="G2870" s="0" t="n">
        <v>1585.81</v>
      </c>
      <c r="H2870" s="0" t="n">
        <v>37.44</v>
      </c>
      <c r="I2870" s="0" t="n">
        <v>809.41</v>
      </c>
      <c r="J2870" s="0" t="n">
        <v>282.61</v>
      </c>
      <c r="K2870" s="0" t="n">
        <v>106.89</v>
      </c>
      <c r="L2870" s="0" t="n">
        <v>295.88</v>
      </c>
      <c r="M2870" s="0" t="n">
        <v>57.51</v>
      </c>
      <c r="N2870" s="0" t="n">
        <v>17.87</v>
      </c>
      <c r="O2870" s="0" t="n">
        <v>439.45</v>
      </c>
    </row>
    <row r="2871" customFormat="false" ht="15" hidden="false" customHeight="false" outlineLevel="0" collapsed="false">
      <c r="A2871" s="0" t="s">
        <v>382</v>
      </c>
      <c r="B2871" s="0" t="s">
        <v>621</v>
      </c>
      <c r="C2871" s="0" t="n">
        <v>2020</v>
      </c>
      <c r="D2871" s="0" t="n">
        <v>339436156</v>
      </c>
      <c r="E2871" s="0" t="n">
        <v>4043.18</v>
      </c>
      <c r="F2871" s="0" t="n">
        <v>773.39</v>
      </c>
      <c r="G2871" s="0" t="n">
        <v>1624.17</v>
      </c>
      <c r="H2871" s="0" t="n">
        <v>34.34</v>
      </c>
      <c r="I2871" s="0" t="n">
        <v>789.88</v>
      </c>
      <c r="J2871" s="0" t="n">
        <v>279.95</v>
      </c>
      <c r="K2871" s="0" t="n">
        <v>130.72</v>
      </c>
      <c r="L2871" s="0" t="n">
        <v>337.94</v>
      </c>
      <c r="M2871" s="0" t="n">
        <v>54.7</v>
      </c>
      <c r="N2871" s="0" t="n">
        <v>18.09</v>
      </c>
      <c r="O2871" s="0" t="n">
        <v>411.73</v>
      </c>
    </row>
    <row r="2872" customFormat="false" ht="15" hidden="false" customHeight="false" outlineLevel="0" collapsed="false">
      <c r="A2872" s="0" t="s">
        <v>382</v>
      </c>
      <c r="B2872" s="0" t="s">
        <v>621</v>
      </c>
      <c r="C2872" s="0" t="n">
        <v>2021</v>
      </c>
      <c r="D2872" s="0" t="n">
        <v>340161438</v>
      </c>
      <c r="E2872" s="0" t="n">
        <v>4153.62</v>
      </c>
      <c r="F2872" s="0" t="n">
        <v>898</v>
      </c>
      <c r="G2872" s="0" t="n">
        <v>1579.19</v>
      </c>
      <c r="H2872" s="0" t="n">
        <v>35.2</v>
      </c>
      <c r="I2872" s="0" t="n">
        <v>779.65</v>
      </c>
      <c r="J2872" s="0" t="n">
        <v>246.47</v>
      </c>
      <c r="K2872" s="0" t="n">
        <v>164.42</v>
      </c>
      <c r="L2872" s="0" t="n">
        <v>378.2</v>
      </c>
      <c r="M2872" s="0" t="n">
        <v>54.25</v>
      </c>
      <c r="N2872" s="0" t="n">
        <v>18.24</v>
      </c>
      <c r="O2872" s="0" t="n">
        <v>423.78</v>
      </c>
    </row>
    <row r="2873" customFormat="false" ht="15" hidden="false" customHeight="false" outlineLevel="0" collapsed="false">
      <c r="A2873" s="0" t="s">
        <v>382</v>
      </c>
      <c r="B2873" s="0" t="s">
        <v>621</v>
      </c>
      <c r="C2873" s="0" t="n">
        <v>2022</v>
      </c>
      <c r="D2873" s="0" t="n">
        <v>341534041</v>
      </c>
      <c r="E2873" s="0" t="n">
        <v>4286.89</v>
      </c>
      <c r="F2873" s="0" t="n">
        <v>831.51</v>
      </c>
      <c r="G2873" s="0" t="n">
        <v>1687.06</v>
      </c>
      <c r="H2873" s="0" t="n">
        <v>38.64</v>
      </c>
      <c r="I2873" s="0" t="n">
        <v>771.54</v>
      </c>
      <c r="J2873" s="0" t="n">
        <v>248.76</v>
      </c>
      <c r="K2873" s="0" t="n">
        <v>205.07</v>
      </c>
      <c r="L2873" s="0" t="n">
        <v>434.3</v>
      </c>
      <c r="M2873" s="0" t="n">
        <v>51.85</v>
      </c>
      <c r="N2873" s="0" t="n">
        <v>18.16</v>
      </c>
      <c r="O2873" s="0" t="n">
        <v>410.39</v>
      </c>
    </row>
    <row r="2874" customFormat="false" ht="15" hidden="false" customHeight="false" outlineLevel="0" collapsed="false">
      <c r="A2874" s="0" t="s">
        <v>382</v>
      </c>
      <c r="B2874" s="0" t="s">
        <v>621</v>
      </c>
      <c r="C2874" s="0" t="n">
        <v>2023</v>
      </c>
      <c r="D2874" s="0" t="n">
        <v>343477330</v>
      </c>
      <c r="E2874" s="0" t="n">
        <v>4253.91</v>
      </c>
      <c r="F2874" s="0" t="n">
        <v>675.11</v>
      </c>
      <c r="G2874" s="0" t="n">
        <v>1806.06</v>
      </c>
      <c r="H2874" s="0" t="n">
        <v>33.13</v>
      </c>
      <c r="I2874" s="0" t="n">
        <v>774.87</v>
      </c>
      <c r="J2874" s="0" t="n">
        <v>239.01</v>
      </c>
      <c r="K2874" s="0" t="n">
        <v>238.94</v>
      </c>
      <c r="L2874" s="0" t="n">
        <v>421.14</v>
      </c>
      <c r="M2874" s="0" t="n">
        <v>47.2</v>
      </c>
      <c r="N2874" s="0" t="n">
        <v>18.45</v>
      </c>
      <c r="O2874" s="0" t="n">
        <v>392.89</v>
      </c>
    </row>
    <row r="2875" customFormat="false" ht="15" hidden="false" customHeight="false" outlineLevel="0" collapsed="false">
      <c r="A2875" s="0" t="s">
        <v>382</v>
      </c>
      <c r="B2875" s="0" t="s">
        <v>621</v>
      </c>
      <c r="C2875" s="0" t="n">
        <v>2024</v>
      </c>
      <c r="D2875" s="0" t="n">
        <v>345426566</v>
      </c>
      <c r="E2875" s="0" t="n">
        <v>4391.02</v>
      </c>
      <c r="F2875" s="0" t="n">
        <v>652.16</v>
      </c>
      <c r="G2875" s="0" t="n">
        <v>1869.9</v>
      </c>
      <c r="H2875" s="0" t="n">
        <v>30.47</v>
      </c>
      <c r="I2875" s="0" t="n">
        <v>781.86</v>
      </c>
      <c r="J2875" s="0" t="n">
        <v>237.04</v>
      </c>
      <c r="K2875" s="0" t="n">
        <v>303.75</v>
      </c>
      <c r="L2875" s="0" t="n">
        <v>451.9</v>
      </c>
      <c r="M2875" s="0" t="n">
        <v>46.42</v>
      </c>
      <c r="N2875" s="0" t="n">
        <v>17.52</v>
      </c>
      <c r="O2875" s="0" t="n">
        <v>383.78</v>
      </c>
    </row>
    <row r="2876" customFormat="false" ht="15" hidden="false" customHeight="false" outlineLevel="0" collapsed="false">
      <c r="A2876" s="0" t="s">
        <v>382</v>
      </c>
      <c r="B2876" s="0" t="s">
        <v>621</v>
      </c>
      <c r="C2876" s="0" t="n">
        <v>2025</v>
      </c>
      <c r="D2876" s="0" t="n">
        <v>347275809</v>
      </c>
      <c r="E2876" s="0" t="n">
        <v>4519.79</v>
      </c>
      <c r="F2876" s="0" t="n">
        <v>737.15</v>
      </c>
      <c r="G2876" s="0" t="n">
        <v>1807.34</v>
      </c>
      <c r="H2876" s="0" t="n">
        <v>31.72</v>
      </c>
      <c r="I2876" s="0" t="n">
        <v>784.78</v>
      </c>
      <c r="J2876" s="0" t="n">
        <v>241.7</v>
      </c>
      <c r="K2876" s="0" t="n">
        <v>388.82</v>
      </c>
      <c r="L2876" s="0" t="n">
        <v>464.39</v>
      </c>
      <c r="M2876" s="0" t="n">
        <v>46.19</v>
      </c>
      <c r="N2876" s="0" t="n">
        <v>17.7</v>
      </c>
      <c r="O2876" s="0" t="n">
        <v>384.4</v>
      </c>
    </row>
    <row r="2877" customFormat="false" ht="15" hidden="false" customHeight="false" outlineLevel="0" collapsed="false">
      <c r="A2877" s="0" t="s">
        <v>740</v>
      </c>
      <c r="C2877" s="0" t="n">
        <v>2015</v>
      </c>
    </row>
    <row r="2878" customFormat="false" ht="15" hidden="false" customHeight="false" outlineLevel="0" collapsed="false">
      <c r="A2878" s="0" t="s">
        <v>740</v>
      </c>
      <c r="C2878" s="0" t="n">
        <v>2016</v>
      </c>
    </row>
    <row r="2879" customFormat="false" ht="15" hidden="false" customHeight="false" outlineLevel="0" collapsed="false">
      <c r="A2879" s="0" t="s">
        <v>741</v>
      </c>
      <c r="C2879" s="0" t="n">
        <v>2015</v>
      </c>
    </row>
    <row r="2880" customFormat="false" ht="15" hidden="false" customHeight="false" outlineLevel="0" collapsed="false">
      <c r="A2880" s="0" t="s">
        <v>741</v>
      </c>
      <c r="C2880" s="0" t="n">
        <v>2016</v>
      </c>
    </row>
    <row r="2881" customFormat="false" ht="15" hidden="false" customHeight="false" outlineLevel="0" collapsed="false">
      <c r="A2881" s="0" t="s">
        <v>383</v>
      </c>
      <c r="B2881" s="0" t="s">
        <v>622</v>
      </c>
      <c r="C2881" s="0" t="n">
        <v>2015</v>
      </c>
      <c r="D2881" s="0" t="n">
        <v>100251</v>
      </c>
      <c r="E2881" s="0" t="n">
        <v>0.78</v>
      </c>
      <c r="F2881" s="0" t="n">
        <v>0</v>
      </c>
      <c r="G2881" s="0" t="n">
        <v>0</v>
      </c>
      <c r="H2881" s="0" t="n">
        <v>0.77</v>
      </c>
      <c r="I2881" s="0" t="n">
        <v>0</v>
      </c>
      <c r="J2881" s="0" t="n">
        <v>0</v>
      </c>
      <c r="K2881" s="0" t="n">
        <v>0.01</v>
      </c>
      <c r="L2881" s="0" t="n">
        <v>0</v>
      </c>
      <c r="M2881" s="0" t="n">
        <v>0</v>
      </c>
      <c r="N2881" s="0" t="n">
        <v>0</v>
      </c>
      <c r="O2881" s="0" t="n">
        <v>653.85</v>
      </c>
    </row>
    <row r="2882" customFormat="false" ht="15" hidden="false" customHeight="false" outlineLevel="0" collapsed="false">
      <c r="A2882" s="0" t="s">
        <v>383</v>
      </c>
      <c r="B2882" s="0" t="s">
        <v>622</v>
      </c>
      <c r="C2882" s="0" t="n">
        <v>2016</v>
      </c>
      <c r="D2882" s="0" t="n">
        <v>97795</v>
      </c>
      <c r="E2882" s="0" t="n">
        <v>0.77</v>
      </c>
      <c r="F2882" s="0" t="n">
        <v>0</v>
      </c>
      <c r="G2882" s="0" t="n">
        <v>0</v>
      </c>
      <c r="H2882" s="0" t="n">
        <v>0.76</v>
      </c>
      <c r="I2882" s="0" t="n">
        <v>0</v>
      </c>
      <c r="J2882" s="0" t="n">
        <v>0</v>
      </c>
      <c r="K2882" s="0" t="n">
        <v>0.01</v>
      </c>
      <c r="L2882" s="0" t="n">
        <v>0</v>
      </c>
      <c r="M2882" s="0" t="n">
        <v>0</v>
      </c>
      <c r="N2882" s="0" t="n">
        <v>0</v>
      </c>
      <c r="O2882" s="0" t="n">
        <v>649.35</v>
      </c>
    </row>
    <row r="2883" customFormat="false" ht="15" hidden="false" customHeight="false" outlineLevel="0" collapsed="false">
      <c r="A2883" s="0" t="s">
        <v>383</v>
      </c>
      <c r="B2883" s="0" t="s">
        <v>622</v>
      </c>
      <c r="C2883" s="0" t="n">
        <v>2017</v>
      </c>
      <c r="D2883" s="0" t="n">
        <v>95124</v>
      </c>
      <c r="E2883" s="0" t="n">
        <v>0.6</v>
      </c>
      <c r="F2883" s="0" t="n">
        <v>0</v>
      </c>
      <c r="G2883" s="0" t="n">
        <v>0</v>
      </c>
      <c r="H2883" s="0" t="n">
        <v>0.59</v>
      </c>
      <c r="I2883" s="0" t="n">
        <v>0</v>
      </c>
      <c r="J2883" s="0" t="n">
        <v>0</v>
      </c>
      <c r="K2883" s="0" t="n">
        <v>0.01</v>
      </c>
      <c r="L2883" s="0" t="n">
        <v>0</v>
      </c>
      <c r="M2883" s="0" t="n">
        <v>0</v>
      </c>
      <c r="N2883" s="0" t="n">
        <v>0</v>
      </c>
      <c r="O2883" s="0" t="n">
        <v>650</v>
      </c>
    </row>
    <row r="2884" customFormat="false" ht="15" hidden="false" customHeight="false" outlineLevel="0" collapsed="false">
      <c r="A2884" s="0" t="s">
        <v>383</v>
      </c>
      <c r="B2884" s="0" t="s">
        <v>622</v>
      </c>
      <c r="C2884" s="0" t="n">
        <v>2018</v>
      </c>
      <c r="D2884" s="0" t="n">
        <v>92317</v>
      </c>
      <c r="E2884" s="0" t="n">
        <v>0.62</v>
      </c>
      <c r="F2884" s="0" t="n">
        <v>0</v>
      </c>
      <c r="G2884" s="0" t="n">
        <v>0</v>
      </c>
      <c r="H2884" s="0" t="n">
        <v>0.61</v>
      </c>
      <c r="I2884" s="0" t="n">
        <v>0</v>
      </c>
      <c r="J2884" s="0" t="n">
        <v>0</v>
      </c>
      <c r="K2884" s="0" t="n">
        <v>0.01</v>
      </c>
      <c r="L2884" s="0" t="n">
        <v>0</v>
      </c>
      <c r="M2884" s="0" t="n">
        <v>0</v>
      </c>
      <c r="N2884" s="0" t="n">
        <v>0</v>
      </c>
      <c r="O2884" s="0" t="n">
        <v>645.16</v>
      </c>
    </row>
    <row r="2885" customFormat="false" ht="15" hidden="false" customHeight="false" outlineLevel="0" collapsed="false">
      <c r="A2885" s="0" t="s">
        <v>383</v>
      </c>
      <c r="B2885" s="0" t="s">
        <v>622</v>
      </c>
      <c r="C2885" s="0" t="n">
        <v>2019</v>
      </c>
      <c r="D2885" s="0" t="n">
        <v>89390</v>
      </c>
      <c r="E2885" s="0" t="n">
        <v>0.66</v>
      </c>
      <c r="F2885" s="0" t="n">
        <v>0</v>
      </c>
      <c r="G2885" s="0" t="n">
        <v>0</v>
      </c>
      <c r="H2885" s="0" t="n">
        <v>0.65</v>
      </c>
      <c r="I2885" s="0" t="n">
        <v>0</v>
      </c>
      <c r="J2885" s="0" t="n">
        <v>0</v>
      </c>
      <c r="K2885" s="0" t="n">
        <v>0.01</v>
      </c>
      <c r="L2885" s="0" t="n">
        <v>0</v>
      </c>
      <c r="M2885" s="0" t="n">
        <v>0</v>
      </c>
      <c r="N2885" s="0" t="n">
        <v>0</v>
      </c>
      <c r="O2885" s="0" t="n">
        <v>651.52</v>
      </c>
    </row>
    <row r="2886" customFormat="false" ht="15" hidden="false" customHeight="false" outlineLevel="0" collapsed="false">
      <c r="A2886" s="0" t="s">
        <v>383</v>
      </c>
      <c r="B2886" s="0" t="s">
        <v>622</v>
      </c>
      <c r="C2886" s="0" t="n">
        <v>2020</v>
      </c>
      <c r="D2886" s="0" t="n">
        <v>87724</v>
      </c>
      <c r="E2886" s="0" t="n">
        <v>0.64</v>
      </c>
      <c r="F2886" s="0" t="n">
        <v>0</v>
      </c>
      <c r="G2886" s="0" t="n">
        <v>0</v>
      </c>
      <c r="H2886" s="0" t="n">
        <v>0.63</v>
      </c>
      <c r="I2886" s="0" t="n">
        <v>0</v>
      </c>
      <c r="J2886" s="0" t="n">
        <v>0</v>
      </c>
      <c r="K2886" s="0" t="n">
        <v>0.01</v>
      </c>
      <c r="L2886" s="0" t="n">
        <v>0</v>
      </c>
      <c r="M2886" s="0" t="n">
        <v>0</v>
      </c>
      <c r="N2886" s="0" t="n">
        <v>0</v>
      </c>
      <c r="O2886" s="0" t="n">
        <v>640.63</v>
      </c>
    </row>
    <row r="2887" customFormat="false" ht="15" hidden="false" customHeight="false" outlineLevel="0" collapsed="false">
      <c r="A2887" s="0" t="s">
        <v>383</v>
      </c>
      <c r="B2887" s="0" t="s">
        <v>622</v>
      </c>
      <c r="C2887" s="0" t="n">
        <v>2021</v>
      </c>
      <c r="D2887" s="0" t="n">
        <v>87238</v>
      </c>
      <c r="E2887" s="0" t="n">
        <v>0.66</v>
      </c>
      <c r="F2887" s="0" t="n">
        <v>0</v>
      </c>
      <c r="G2887" s="0" t="n">
        <v>0</v>
      </c>
      <c r="H2887" s="0" t="n">
        <v>0.64</v>
      </c>
      <c r="I2887" s="0" t="n">
        <v>0</v>
      </c>
      <c r="J2887" s="0" t="n">
        <v>0</v>
      </c>
      <c r="K2887" s="0" t="n">
        <v>0.02</v>
      </c>
      <c r="L2887" s="0" t="n">
        <v>0</v>
      </c>
      <c r="M2887" s="0" t="n">
        <v>0</v>
      </c>
      <c r="N2887" s="0" t="n">
        <v>0</v>
      </c>
      <c r="O2887" s="0" t="n">
        <v>636.36</v>
      </c>
    </row>
    <row r="2888" customFormat="false" ht="15" hidden="false" customHeight="false" outlineLevel="0" collapsed="false">
      <c r="A2888" s="0" t="s">
        <v>383</v>
      </c>
      <c r="B2888" s="0" t="s">
        <v>622</v>
      </c>
      <c r="C2888" s="0" t="n">
        <v>2022</v>
      </c>
      <c r="D2888" s="0" t="n">
        <v>86521</v>
      </c>
      <c r="E2888" s="0" t="n">
        <v>0.68</v>
      </c>
      <c r="F2888" s="0" t="n">
        <v>0</v>
      </c>
      <c r="G2888" s="0" t="n">
        <v>0</v>
      </c>
      <c r="H2888" s="0" t="n">
        <v>0.66</v>
      </c>
      <c r="I2888" s="0" t="n">
        <v>0</v>
      </c>
      <c r="J2888" s="0" t="n">
        <v>0</v>
      </c>
      <c r="K2888" s="0" t="n">
        <v>0.02</v>
      </c>
      <c r="L2888" s="0" t="n">
        <v>0</v>
      </c>
      <c r="M2888" s="0" t="n">
        <v>0</v>
      </c>
      <c r="N2888" s="0" t="n">
        <v>0</v>
      </c>
      <c r="O2888" s="0" t="n">
        <v>632.35</v>
      </c>
    </row>
    <row r="2889" customFormat="false" ht="15" hidden="false" customHeight="false" outlineLevel="0" collapsed="false">
      <c r="A2889" s="0" t="s">
        <v>383</v>
      </c>
      <c r="B2889" s="0" t="s">
        <v>622</v>
      </c>
      <c r="C2889" s="0" t="n">
        <v>2023</v>
      </c>
      <c r="D2889" s="0" t="n">
        <v>85712</v>
      </c>
      <c r="E2889" s="0" t="n">
        <v>0.68</v>
      </c>
      <c r="F2889" s="0" t="n">
        <v>0</v>
      </c>
      <c r="G2889" s="0" t="n">
        <v>0</v>
      </c>
      <c r="H2889" s="0" t="n">
        <v>0.66</v>
      </c>
      <c r="I2889" s="0" t="n">
        <v>0</v>
      </c>
      <c r="J2889" s="0" t="n">
        <v>0</v>
      </c>
      <c r="K2889" s="0" t="n">
        <v>0.02</v>
      </c>
      <c r="L2889" s="0" t="n">
        <v>0</v>
      </c>
      <c r="M2889" s="0" t="n">
        <v>0</v>
      </c>
      <c r="N2889" s="0" t="n">
        <v>0</v>
      </c>
      <c r="O2889" s="0" t="n">
        <v>632.35</v>
      </c>
    </row>
    <row r="2890" customFormat="false" ht="15" hidden="false" customHeight="false" outlineLevel="0" collapsed="false">
      <c r="A2890" s="0" t="s">
        <v>742</v>
      </c>
      <c r="C2890" s="0" t="n">
        <v>2015</v>
      </c>
      <c r="D2890" s="0" t="n">
        <v>2737646890</v>
      </c>
      <c r="E2890" s="0" t="n">
        <v>9242.93</v>
      </c>
      <c r="F2890" s="0" t="n">
        <v>4827.76</v>
      </c>
      <c r="G2890" s="0" t="n">
        <v>1377.4</v>
      </c>
      <c r="H2890" s="0" t="n">
        <v>360.3</v>
      </c>
      <c r="I2890" s="0" t="n">
        <v>310.67</v>
      </c>
      <c r="J2890" s="0" t="n">
        <v>1929.35</v>
      </c>
      <c r="K2890" s="0" t="n">
        <v>46.42</v>
      </c>
      <c r="L2890" s="0" t="n">
        <v>234.78</v>
      </c>
      <c r="M2890" s="0" t="n">
        <v>140.97</v>
      </c>
      <c r="N2890" s="0" t="n">
        <v>15.28</v>
      </c>
      <c r="O2890" s="0" t="n">
        <v>608.16</v>
      </c>
    </row>
    <row r="2891" customFormat="false" ht="15" hidden="false" customHeight="false" outlineLevel="0" collapsed="false">
      <c r="A2891" s="0" t="s">
        <v>742</v>
      </c>
      <c r="C2891" s="0" t="n">
        <v>2016</v>
      </c>
      <c r="D2891" s="0" t="n">
        <v>2759890904</v>
      </c>
      <c r="E2891" s="0" t="n">
        <v>9632.88</v>
      </c>
      <c r="F2891" s="0" t="n">
        <v>4978.28</v>
      </c>
      <c r="G2891" s="0" t="n">
        <v>1403.24</v>
      </c>
      <c r="H2891" s="0" t="n">
        <v>333.3</v>
      </c>
      <c r="I2891" s="0" t="n">
        <v>352.53</v>
      </c>
      <c r="J2891" s="0" t="n">
        <v>2009.53</v>
      </c>
      <c r="K2891" s="0" t="n">
        <v>76.51</v>
      </c>
      <c r="L2891" s="0" t="n">
        <v>309.36</v>
      </c>
      <c r="M2891" s="0" t="n">
        <v>152.73</v>
      </c>
      <c r="N2891" s="0" t="n">
        <v>17.4</v>
      </c>
      <c r="O2891" s="0" t="n">
        <v>597.313</v>
      </c>
    </row>
    <row r="2892" customFormat="false" ht="15" hidden="false" customHeight="false" outlineLevel="0" collapsed="false">
      <c r="A2892" s="0" t="s">
        <v>742</v>
      </c>
      <c r="C2892" s="0" t="n">
        <v>2017</v>
      </c>
      <c r="D2892" s="0" t="n">
        <v>2781778743</v>
      </c>
      <c r="E2892" s="0" t="n">
        <v>10175.05</v>
      </c>
      <c r="F2892" s="0" t="n">
        <v>5253.94</v>
      </c>
      <c r="G2892" s="0" t="n">
        <v>1478.13</v>
      </c>
      <c r="H2892" s="0" t="n">
        <v>311.54</v>
      </c>
      <c r="I2892" s="0" t="n">
        <v>389.95</v>
      </c>
      <c r="J2892" s="0" t="n">
        <v>2023.8</v>
      </c>
      <c r="K2892" s="0" t="n">
        <v>134.41</v>
      </c>
      <c r="L2892" s="0" t="n">
        <v>388.69</v>
      </c>
      <c r="M2892" s="0" t="n">
        <v>173.53</v>
      </c>
      <c r="N2892" s="0" t="n">
        <v>21.06</v>
      </c>
      <c r="O2892" s="0" t="n">
        <v>592.999</v>
      </c>
    </row>
    <row r="2893" customFormat="false" ht="15" hidden="false" customHeight="false" outlineLevel="0" collapsed="false">
      <c r="A2893" s="0" t="s">
        <v>742</v>
      </c>
      <c r="C2893" s="0" t="n">
        <v>2018</v>
      </c>
      <c r="D2893" s="0" t="n">
        <v>2801804568</v>
      </c>
      <c r="E2893" s="0" t="n">
        <v>10841.95</v>
      </c>
      <c r="F2893" s="0" t="n">
        <v>5625.55</v>
      </c>
      <c r="G2893" s="0" t="n">
        <v>1524.15</v>
      </c>
      <c r="H2893" s="0" t="n">
        <v>286.66</v>
      </c>
      <c r="I2893" s="0" t="n">
        <v>435.86</v>
      </c>
      <c r="J2893" s="0" t="n">
        <v>2085.22</v>
      </c>
      <c r="K2893" s="0" t="n">
        <v>205.75</v>
      </c>
      <c r="L2893" s="0" t="n">
        <v>462.56</v>
      </c>
      <c r="M2893" s="0" t="n">
        <v>193.11</v>
      </c>
      <c r="N2893" s="0" t="n">
        <v>23.09</v>
      </c>
      <c r="O2893" s="0" t="n">
        <v>589.35</v>
      </c>
    </row>
    <row r="2894" customFormat="false" ht="15" hidden="false" customHeight="false" outlineLevel="0" collapsed="false">
      <c r="A2894" s="0" t="s">
        <v>742</v>
      </c>
      <c r="C2894" s="0" t="n">
        <v>2019</v>
      </c>
      <c r="D2894" s="0" t="n">
        <v>2818594893</v>
      </c>
      <c r="E2894" s="0" t="n">
        <v>11225.98</v>
      </c>
      <c r="F2894" s="0" t="n">
        <v>5729.83</v>
      </c>
      <c r="G2894" s="0" t="n">
        <v>1523.39</v>
      </c>
      <c r="H2894" s="0" t="n">
        <v>271.87</v>
      </c>
      <c r="I2894" s="0" t="n">
        <v>489.15</v>
      </c>
      <c r="J2894" s="0" t="n">
        <v>2176.88</v>
      </c>
      <c r="K2894" s="0" t="n">
        <v>270.9</v>
      </c>
      <c r="L2894" s="0" t="n">
        <v>524.77</v>
      </c>
      <c r="M2894" s="0" t="n">
        <v>215.07</v>
      </c>
      <c r="N2894" s="0" t="n">
        <v>24.12</v>
      </c>
      <c r="O2894" s="0" t="n">
        <v>576.417</v>
      </c>
    </row>
    <row r="2895" customFormat="false" ht="15" hidden="false" customHeight="false" outlineLevel="0" collapsed="false">
      <c r="A2895" s="0" t="s">
        <v>742</v>
      </c>
      <c r="C2895" s="0" t="n">
        <v>2020</v>
      </c>
      <c r="D2895" s="0" t="n">
        <v>2832101028</v>
      </c>
      <c r="E2895" s="0" t="n">
        <v>11445.45</v>
      </c>
      <c r="F2895" s="0" t="n">
        <v>5773.68</v>
      </c>
      <c r="G2895" s="0" t="n">
        <v>1530.8</v>
      </c>
      <c r="H2895" s="0" t="n">
        <v>238.98</v>
      </c>
      <c r="I2895" s="0" t="n">
        <v>496.76</v>
      </c>
      <c r="J2895" s="0" t="n">
        <v>2207.82</v>
      </c>
      <c r="K2895" s="0" t="n">
        <v>326.94</v>
      </c>
      <c r="L2895" s="0" t="n">
        <v>599.17</v>
      </c>
      <c r="M2895" s="0" t="n">
        <v>244.52</v>
      </c>
      <c r="N2895" s="0" t="n">
        <v>26.78</v>
      </c>
      <c r="O2895" s="0" t="n">
        <v>566.938</v>
      </c>
    </row>
    <row r="2896" customFormat="false" ht="15" hidden="false" customHeight="false" outlineLevel="0" collapsed="false">
      <c r="A2896" s="0" t="s">
        <v>742</v>
      </c>
      <c r="C2896" s="0" t="n">
        <v>2021</v>
      </c>
      <c r="D2896" s="0" t="n">
        <v>2841892610</v>
      </c>
      <c r="E2896" s="0" t="n">
        <v>12367.58</v>
      </c>
      <c r="F2896" s="0" t="n">
        <v>6168.92</v>
      </c>
      <c r="G2896" s="0" t="n">
        <v>1680.61</v>
      </c>
      <c r="H2896" s="0" t="n">
        <v>274.06</v>
      </c>
      <c r="I2896" s="0" t="n">
        <v>554.02</v>
      </c>
      <c r="J2896" s="0" t="n">
        <v>2154.39</v>
      </c>
      <c r="K2896" s="0" t="n">
        <v>410.15</v>
      </c>
      <c r="L2896" s="0" t="n">
        <v>819.45</v>
      </c>
      <c r="M2896" s="0" t="n">
        <v>278.09</v>
      </c>
      <c r="N2896" s="0" t="n">
        <v>27.89</v>
      </c>
      <c r="O2896" s="0" t="n">
        <v>563.243</v>
      </c>
    </row>
    <row r="2897" customFormat="false" ht="15" hidden="false" customHeight="false" outlineLevel="0" collapsed="false">
      <c r="A2897" s="0" t="s">
        <v>742</v>
      </c>
      <c r="C2897" s="0" t="n">
        <v>2022</v>
      </c>
      <c r="D2897" s="0" t="n">
        <v>2847730001</v>
      </c>
      <c r="E2897" s="0" t="n">
        <v>12712.87</v>
      </c>
      <c r="F2897" s="0" t="n">
        <v>6239.41</v>
      </c>
      <c r="G2897" s="0" t="n">
        <v>1633.21</v>
      </c>
      <c r="H2897" s="0" t="n">
        <v>273.94</v>
      </c>
      <c r="I2897" s="0" t="n">
        <v>536.82</v>
      </c>
      <c r="J2897" s="0" t="n">
        <v>2231.49</v>
      </c>
      <c r="K2897" s="0" t="n">
        <v>529.59</v>
      </c>
      <c r="L2897" s="0" t="n">
        <v>938.62</v>
      </c>
      <c r="M2897" s="0" t="n">
        <v>300.96</v>
      </c>
      <c r="N2897" s="0" t="n">
        <v>28.83</v>
      </c>
      <c r="O2897" s="0" t="n">
        <v>552.341</v>
      </c>
    </row>
    <row r="2898" customFormat="false" ht="15" hidden="false" customHeight="false" outlineLevel="0" collapsed="false">
      <c r="A2898" s="0" t="s">
        <v>742</v>
      </c>
      <c r="C2898" s="0" t="n">
        <v>2023</v>
      </c>
      <c r="D2898" s="0" t="n">
        <v>2852870890</v>
      </c>
      <c r="E2898" s="0" t="n">
        <v>13335.38</v>
      </c>
      <c r="F2898" s="0" t="n">
        <v>6560.19</v>
      </c>
      <c r="G2898" s="0" t="n">
        <v>1675.27</v>
      </c>
      <c r="H2898" s="0" t="n">
        <v>302.7</v>
      </c>
      <c r="I2898" s="0" t="n">
        <v>499.55</v>
      </c>
      <c r="J2898" s="0" t="n">
        <v>2152</v>
      </c>
      <c r="K2898" s="0" t="n">
        <v>715.62</v>
      </c>
      <c r="L2898" s="0" t="n">
        <v>1079.42</v>
      </c>
      <c r="M2898" s="0" t="n">
        <v>321.63</v>
      </c>
      <c r="N2898" s="0" t="n">
        <v>29</v>
      </c>
      <c r="O2898" s="0" t="n">
        <v>551.407</v>
      </c>
    </row>
    <row r="2899" customFormat="false" ht="15" hidden="false" customHeight="false" outlineLevel="0" collapsed="false">
      <c r="A2899" s="0" t="s">
        <v>742</v>
      </c>
      <c r="C2899" s="0" t="n">
        <v>2024</v>
      </c>
      <c r="D2899" s="0" t="n">
        <v>2860329839</v>
      </c>
      <c r="E2899" s="0" t="n">
        <v>14106.13</v>
      </c>
      <c r="F2899" s="0" t="n">
        <v>6672.82</v>
      </c>
      <c r="G2899" s="0" t="n">
        <v>1749</v>
      </c>
      <c r="H2899" s="0" t="n">
        <v>309.45</v>
      </c>
      <c r="I2899" s="0" t="n">
        <v>522.86</v>
      </c>
      <c r="J2899" s="0" t="n">
        <v>2272.79</v>
      </c>
      <c r="K2899" s="0" t="n">
        <v>1010.83</v>
      </c>
      <c r="L2899" s="0" t="n">
        <v>1207.38</v>
      </c>
      <c r="M2899" s="0" t="n">
        <v>332.11</v>
      </c>
      <c r="N2899" s="0" t="n">
        <v>28.89</v>
      </c>
      <c r="O2899" s="0" t="n">
        <v>532.128</v>
      </c>
    </row>
    <row r="2900" customFormat="false" ht="15" hidden="false" customHeight="false" outlineLevel="0" collapsed="false">
      <c r="A2900" s="0" t="s">
        <v>384</v>
      </c>
      <c r="B2900" s="0" t="s">
        <v>623</v>
      </c>
      <c r="C2900" s="0" t="n">
        <v>2015</v>
      </c>
      <c r="D2900" s="0" t="n">
        <v>3368022</v>
      </c>
      <c r="E2900" s="0" t="n">
        <v>13.74</v>
      </c>
      <c r="F2900" s="0" t="n">
        <v>0</v>
      </c>
      <c r="G2900" s="0" t="n">
        <v>0</v>
      </c>
      <c r="H2900" s="0" t="n">
        <v>0.94</v>
      </c>
      <c r="I2900" s="0" t="n">
        <v>0</v>
      </c>
      <c r="J2900" s="0" t="n">
        <v>8.27</v>
      </c>
      <c r="K2900" s="0" t="n">
        <v>0.05</v>
      </c>
      <c r="L2900" s="0" t="n">
        <v>2.07</v>
      </c>
      <c r="M2900" s="0" t="n">
        <v>2.41</v>
      </c>
      <c r="N2900" s="0" t="n">
        <v>0</v>
      </c>
      <c r="O2900" s="0" t="n">
        <v>98.98</v>
      </c>
    </row>
    <row r="2901" customFormat="false" ht="15" hidden="false" customHeight="false" outlineLevel="0" collapsed="false">
      <c r="A2901" s="0" t="s">
        <v>384</v>
      </c>
      <c r="B2901" s="0" t="s">
        <v>623</v>
      </c>
      <c r="C2901" s="0" t="n">
        <v>2016</v>
      </c>
      <c r="D2901" s="0" t="n">
        <v>3379279</v>
      </c>
      <c r="E2901" s="0" t="n">
        <v>13.87</v>
      </c>
      <c r="F2901" s="0" t="n">
        <v>0</v>
      </c>
      <c r="G2901" s="0" t="n">
        <v>0</v>
      </c>
      <c r="H2901" s="0" t="n">
        <v>0.44</v>
      </c>
      <c r="I2901" s="0" t="n">
        <v>0</v>
      </c>
      <c r="J2901" s="0" t="n">
        <v>7.84</v>
      </c>
      <c r="K2901" s="0" t="n">
        <v>0.15</v>
      </c>
      <c r="L2901" s="0" t="n">
        <v>2.99</v>
      </c>
      <c r="M2901" s="0" t="n">
        <v>2.45</v>
      </c>
      <c r="N2901" s="0" t="n">
        <v>0</v>
      </c>
      <c r="O2901" s="0" t="n">
        <v>74.98</v>
      </c>
    </row>
    <row r="2902" customFormat="false" ht="15" hidden="false" customHeight="false" outlineLevel="0" collapsed="false">
      <c r="A2902" s="0" t="s">
        <v>384</v>
      </c>
      <c r="B2902" s="0" t="s">
        <v>623</v>
      </c>
      <c r="C2902" s="0" t="n">
        <v>2017</v>
      </c>
      <c r="D2902" s="0" t="n">
        <v>3388444</v>
      </c>
      <c r="E2902" s="0" t="n">
        <v>14.35</v>
      </c>
      <c r="F2902" s="0" t="n">
        <v>0</v>
      </c>
      <c r="G2902" s="0" t="n">
        <v>0.03</v>
      </c>
      <c r="H2902" s="0" t="n">
        <v>0.19</v>
      </c>
      <c r="I2902" s="0" t="n">
        <v>0</v>
      </c>
      <c r="J2902" s="0" t="n">
        <v>7.52</v>
      </c>
      <c r="K2902" s="0" t="n">
        <v>0.27</v>
      </c>
      <c r="L2902" s="0" t="n">
        <v>3.77</v>
      </c>
      <c r="M2902" s="0" t="n">
        <v>2.57</v>
      </c>
      <c r="N2902" s="0" t="n">
        <v>0</v>
      </c>
      <c r="O2902" s="0" t="n">
        <v>64.81</v>
      </c>
    </row>
    <row r="2903" customFormat="false" ht="15" hidden="false" customHeight="false" outlineLevel="0" collapsed="false">
      <c r="A2903" s="0" t="s">
        <v>384</v>
      </c>
      <c r="B2903" s="0" t="s">
        <v>623</v>
      </c>
      <c r="C2903" s="0" t="n">
        <v>2018</v>
      </c>
      <c r="D2903" s="0" t="n">
        <v>3394538</v>
      </c>
      <c r="E2903" s="0" t="n">
        <v>14.61</v>
      </c>
      <c r="F2903" s="0" t="n">
        <v>0</v>
      </c>
      <c r="G2903" s="0" t="n">
        <v>0.01</v>
      </c>
      <c r="H2903" s="0" t="n">
        <v>0.35</v>
      </c>
      <c r="I2903" s="0" t="n">
        <v>0</v>
      </c>
      <c r="J2903" s="0" t="n">
        <v>6.56</v>
      </c>
      <c r="K2903" s="0" t="n">
        <v>0.41</v>
      </c>
      <c r="L2903" s="0" t="n">
        <v>4.73</v>
      </c>
      <c r="M2903" s="0" t="n">
        <v>2.55</v>
      </c>
      <c r="N2903" s="0" t="n">
        <v>0</v>
      </c>
      <c r="O2903" s="0" t="n">
        <v>69.13</v>
      </c>
    </row>
    <row r="2904" customFormat="false" ht="15" hidden="false" customHeight="false" outlineLevel="0" collapsed="false">
      <c r="A2904" s="0" t="s">
        <v>384</v>
      </c>
      <c r="B2904" s="0" t="s">
        <v>623</v>
      </c>
      <c r="C2904" s="0" t="n">
        <v>2019</v>
      </c>
      <c r="D2904" s="0" t="n">
        <v>3397206</v>
      </c>
      <c r="E2904" s="0" t="n">
        <v>16.07</v>
      </c>
      <c r="F2904" s="0" t="n">
        <v>0</v>
      </c>
      <c r="G2904" s="0" t="n">
        <v>0.12</v>
      </c>
      <c r="H2904" s="0" t="n">
        <v>0.16</v>
      </c>
      <c r="I2904" s="0" t="n">
        <v>0</v>
      </c>
      <c r="J2904" s="0" t="n">
        <v>8.11</v>
      </c>
      <c r="K2904" s="0" t="n">
        <v>0.42</v>
      </c>
      <c r="L2904" s="0" t="n">
        <v>4.75</v>
      </c>
      <c r="M2904" s="0" t="n">
        <v>2.51</v>
      </c>
      <c r="N2904" s="0" t="n">
        <v>0</v>
      </c>
      <c r="O2904" s="0" t="n">
        <v>60.98</v>
      </c>
    </row>
    <row r="2905" customFormat="false" ht="15" hidden="false" customHeight="false" outlineLevel="0" collapsed="false">
      <c r="A2905" s="0" t="s">
        <v>384</v>
      </c>
      <c r="B2905" s="0" t="s">
        <v>623</v>
      </c>
      <c r="C2905" s="0" t="n">
        <v>2020</v>
      </c>
      <c r="D2905" s="0" t="n">
        <v>3398966</v>
      </c>
      <c r="E2905" s="0" t="n">
        <v>13.57</v>
      </c>
      <c r="F2905" s="0" t="n">
        <v>0</v>
      </c>
      <c r="G2905" s="0" t="n">
        <v>0</v>
      </c>
      <c r="H2905" s="0" t="n">
        <v>0.81</v>
      </c>
      <c r="I2905" s="0" t="n">
        <v>0</v>
      </c>
      <c r="J2905" s="0" t="n">
        <v>4.09</v>
      </c>
      <c r="K2905" s="0" t="n">
        <v>0.46</v>
      </c>
      <c r="L2905" s="0" t="n">
        <v>5.48</v>
      </c>
      <c r="M2905" s="0" t="n">
        <v>2.73</v>
      </c>
      <c r="N2905" s="0" t="n">
        <v>0</v>
      </c>
      <c r="O2905" s="0" t="n">
        <v>94.33</v>
      </c>
    </row>
    <row r="2906" customFormat="false" ht="15" hidden="false" customHeight="false" outlineLevel="0" collapsed="false">
      <c r="A2906" s="0" t="s">
        <v>384</v>
      </c>
      <c r="B2906" s="0" t="s">
        <v>623</v>
      </c>
      <c r="C2906" s="0" t="n">
        <v>2021</v>
      </c>
      <c r="D2906" s="0" t="n">
        <v>3396693</v>
      </c>
      <c r="E2906" s="0" t="n">
        <v>15.99</v>
      </c>
      <c r="F2906" s="0" t="n">
        <v>0</v>
      </c>
      <c r="G2906" s="0" t="n">
        <v>0.01</v>
      </c>
      <c r="H2906" s="0" t="n">
        <v>2.45</v>
      </c>
      <c r="I2906" s="0" t="n">
        <v>0</v>
      </c>
      <c r="J2906" s="0" t="n">
        <v>5.27</v>
      </c>
      <c r="K2906" s="0" t="n">
        <v>0.48</v>
      </c>
      <c r="L2906" s="0" t="n">
        <v>4.99</v>
      </c>
      <c r="M2906" s="0" t="n">
        <v>2.79</v>
      </c>
      <c r="N2906" s="0" t="n">
        <v>0</v>
      </c>
      <c r="O2906" s="0" t="n">
        <v>150.72</v>
      </c>
    </row>
    <row r="2907" customFormat="false" ht="15" hidden="false" customHeight="false" outlineLevel="0" collapsed="false">
      <c r="A2907" s="0" t="s">
        <v>384</v>
      </c>
      <c r="B2907" s="0" t="s">
        <v>623</v>
      </c>
      <c r="C2907" s="0" t="n">
        <v>2022</v>
      </c>
      <c r="D2907" s="0" t="n">
        <v>3390913</v>
      </c>
      <c r="E2907" s="0" t="n">
        <v>14.86</v>
      </c>
      <c r="F2907" s="0" t="n">
        <v>0</v>
      </c>
      <c r="G2907" s="0" t="n">
        <v>0</v>
      </c>
      <c r="H2907" s="0" t="n">
        <v>1.37</v>
      </c>
      <c r="I2907" s="0" t="n">
        <v>0</v>
      </c>
      <c r="J2907" s="0" t="n">
        <v>5.69</v>
      </c>
      <c r="K2907" s="0" t="n">
        <v>0.5</v>
      </c>
      <c r="L2907" s="0" t="n">
        <v>4.78</v>
      </c>
      <c r="M2907" s="0" t="n">
        <v>2.52</v>
      </c>
      <c r="N2907" s="0" t="n">
        <v>0</v>
      </c>
      <c r="O2907" s="0" t="n">
        <v>110.36</v>
      </c>
    </row>
    <row r="2908" customFormat="false" ht="15" hidden="false" customHeight="false" outlineLevel="0" collapsed="false">
      <c r="A2908" s="0" t="s">
        <v>384</v>
      </c>
      <c r="B2908" s="0" t="s">
        <v>623</v>
      </c>
      <c r="C2908" s="0" t="n">
        <v>2023</v>
      </c>
      <c r="D2908" s="0" t="n">
        <v>3388083</v>
      </c>
      <c r="E2908" s="0" t="n">
        <v>12.82</v>
      </c>
      <c r="F2908" s="0" t="n">
        <v>0</v>
      </c>
      <c r="G2908" s="0" t="n">
        <v>0</v>
      </c>
      <c r="H2908" s="0" t="n">
        <v>0.97</v>
      </c>
      <c r="I2908" s="0" t="n">
        <v>0</v>
      </c>
      <c r="J2908" s="0" t="n">
        <v>3.52</v>
      </c>
      <c r="K2908" s="0" t="n">
        <v>0.49</v>
      </c>
      <c r="L2908" s="0" t="n">
        <v>4.76</v>
      </c>
      <c r="M2908" s="0" t="n">
        <v>3.08</v>
      </c>
      <c r="N2908" s="0" t="n">
        <v>0</v>
      </c>
      <c r="O2908" s="0" t="n">
        <v>113.11</v>
      </c>
    </row>
    <row r="2909" customFormat="false" ht="15" hidden="false" customHeight="false" outlineLevel="0" collapsed="false">
      <c r="A2909" s="0" t="s">
        <v>384</v>
      </c>
      <c r="B2909" s="0" t="s">
        <v>623</v>
      </c>
      <c r="C2909" s="0" t="n">
        <v>2024</v>
      </c>
      <c r="D2909" s="0" t="n">
        <v>3386583</v>
      </c>
      <c r="E2909" s="0" t="n">
        <v>13.37</v>
      </c>
      <c r="F2909" s="0" t="n">
        <v>0</v>
      </c>
      <c r="G2909" s="0" t="n">
        <v>0</v>
      </c>
      <c r="H2909" s="0" t="n">
        <v>0.15</v>
      </c>
      <c r="I2909" s="0" t="n">
        <v>0</v>
      </c>
      <c r="J2909" s="0" t="n">
        <v>4.5</v>
      </c>
      <c r="K2909" s="0" t="n">
        <v>0.56</v>
      </c>
      <c r="L2909" s="0" t="n">
        <v>5.16</v>
      </c>
      <c r="M2909" s="0" t="n">
        <v>3</v>
      </c>
      <c r="N2909" s="0" t="n">
        <v>0</v>
      </c>
      <c r="O2909" s="0" t="n">
        <v>69.56</v>
      </c>
    </row>
    <row r="2910" customFormat="false" ht="15" hidden="false" customHeight="false" outlineLevel="0" collapsed="false">
      <c r="A2910" s="0" t="s">
        <v>384</v>
      </c>
      <c r="B2910" s="0" t="s">
        <v>623</v>
      </c>
      <c r="C2910" s="0" t="n">
        <v>2025</v>
      </c>
      <c r="D2910" s="0" t="n">
        <v>3384686</v>
      </c>
      <c r="E2910" s="0" t="n">
        <v>11.94</v>
      </c>
      <c r="F2910" s="0" t="n">
        <v>0</v>
      </c>
      <c r="G2910" s="0" t="n">
        <v>0</v>
      </c>
      <c r="H2910" s="0" t="n">
        <v>0.26</v>
      </c>
      <c r="I2910" s="0" t="n">
        <v>0</v>
      </c>
      <c r="J2910" s="0" t="n">
        <v>3.25</v>
      </c>
      <c r="K2910" s="0" t="n">
        <v>0.61</v>
      </c>
      <c r="L2910" s="0" t="n">
        <v>4.85</v>
      </c>
      <c r="M2910" s="0" t="n">
        <v>2.97</v>
      </c>
      <c r="N2910" s="0" t="n">
        <v>0</v>
      </c>
      <c r="O2910" s="0" t="n">
        <v>80.4</v>
      </c>
    </row>
    <row r="2911" customFormat="false" ht="15" hidden="false" customHeight="false" outlineLevel="0" collapsed="false">
      <c r="A2911" s="0" t="s">
        <v>385</v>
      </c>
      <c r="B2911" s="0" t="s">
        <v>624</v>
      </c>
      <c r="C2911" s="0" t="n">
        <v>2015</v>
      </c>
      <c r="D2911" s="0" t="n">
        <v>30749349</v>
      </c>
      <c r="E2911" s="0" t="n">
        <v>57.41</v>
      </c>
      <c r="F2911" s="0" t="n">
        <v>1.94</v>
      </c>
      <c r="G2911" s="0" t="n">
        <v>48.5</v>
      </c>
      <c r="H2911" s="0" t="n">
        <v>0.15</v>
      </c>
      <c r="I2911" s="0" t="n">
        <v>0</v>
      </c>
      <c r="J2911" s="0" t="n">
        <v>6.82</v>
      </c>
      <c r="K2911" s="0" t="n">
        <v>0</v>
      </c>
      <c r="L2911" s="0" t="n">
        <v>0</v>
      </c>
      <c r="M2911" s="0" t="n">
        <v>0</v>
      </c>
      <c r="N2911" s="0" t="n">
        <v>0</v>
      </c>
      <c r="O2911" s="0" t="n">
        <v>1111.65</v>
      </c>
    </row>
    <row r="2912" customFormat="false" ht="15" hidden="false" customHeight="false" outlineLevel="0" collapsed="false">
      <c r="A2912" s="0" t="s">
        <v>385</v>
      </c>
      <c r="B2912" s="0" t="s">
        <v>624</v>
      </c>
      <c r="C2912" s="0" t="n">
        <v>2016</v>
      </c>
      <c r="D2912" s="0" t="n">
        <v>31284565</v>
      </c>
      <c r="E2912" s="0" t="n">
        <v>58.71</v>
      </c>
      <c r="F2912" s="0" t="n">
        <v>1.99</v>
      </c>
      <c r="G2912" s="0" t="n">
        <v>49.71</v>
      </c>
      <c r="H2912" s="0" t="n">
        <v>0.15</v>
      </c>
      <c r="I2912" s="0" t="n">
        <v>0</v>
      </c>
      <c r="J2912" s="0" t="n">
        <v>6.86</v>
      </c>
      <c r="K2912" s="0" t="n">
        <v>0</v>
      </c>
      <c r="L2912" s="0" t="n">
        <v>0</v>
      </c>
      <c r="M2912" s="0" t="n">
        <v>0</v>
      </c>
      <c r="N2912" s="0" t="n">
        <v>0</v>
      </c>
      <c r="O2912" s="0" t="n">
        <v>1114.12</v>
      </c>
    </row>
    <row r="2913" customFormat="false" ht="15" hidden="false" customHeight="false" outlineLevel="0" collapsed="false">
      <c r="A2913" s="0" t="s">
        <v>385</v>
      </c>
      <c r="B2913" s="0" t="s">
        <v>624</v>
      </c>
      <c r="C2913" s="0" t="n">
        <v>2017</v>
      </c>
      <c r="D2913" s="0" t="n">
        <v>31819172</v>
      </c>
      <c r="E2913" s="0" t="n">
        <v>60.84</v>
      </c>
      <c r="F2913" s="0" t="n">
        <v>2.09</v>
      </c>
      <c r="G2913" s="0" t="n">
        <v>50.65</v>
      </c>
      <c r="H2913" s="0" t="n">
        <v>0.16</v>
      </c>
      <c r="I2913" s="0" t="n">
        <v>0</v>
      </c>
      <c r="J2913" s="0" t="n">
        <v>7.93</v>
      </c>
      <c r="K2913" s="0" t="n">
        <v>0.01</v>
      </c>
      <c r="L2913" s="0" t="n">
        <v>0</v>
      </c>
      <c r="M2913" s="0" t="n">
        <v>0</v>
      </c>
      <c r="N2913" s="0" t="n">
        <v>0</v>
      </c>
      <c r="O2913" s="0" t="n">
        <v>1096.98</v>
      </c>
    </row>
    <row r="2914" customFormat="false" ht="15" hidden="false" customHeight="false" outlineLevel="0" collapsed="false">
      <c r="A2914" s="0" t="s">
        <v>385</v>
      </c>
      <c r="B2914" s="0" t="s">
        <v>624</v>
      </c>
      <c r="C2914" s="0" t="n">
        <v>2018</v>
      </c>
      <c r="D2914" s="0" t="n">
        <v>32373489</v>
      </c>
      <c r="E2914" s="0" t="n">
        <v>63.15</v>
      </c>
      <c r="F2914" s="0" t="n">
        <v>2.35</v>
      </c>
      <c r="G2914" s="0" t="n">
        <v>54.43</v>
      </c>
      <c r="H2914" s="0" t="n">
        <v>0.46</v>
      </c>
      <c r="I2914" s="0" t="n">
        <v>0</v>
      </c>
      <c r="J2914" s="0" t="n">
        <v>5.9</v>
      </c>
      <c r="K2914" s="0" t="n">
        <v>0.01</v>
      </c>
      <c r="L2914" s="0" t="n">
        <v>0</v>
      </c>
      <c r="M2914" s="0" t="n">
        <v>0</v>
      </c>
      <c r="N2914" s="0" t="n">
        <v>0</v>
      </c>
      <c r="O2914" s="0" t="n">
        <v>1139.19</v>
      </c>
    </row>
    <row r="2915" customFormat="false" ht="15" hidden="false" customHeight="false" outlineLevel="0" collapsed="false">
      <c r="A2915" s="0" t="s">
        <v>385</v>
      </c>
      <c r="B2915" s="0" t="s">
        <v>624</v>
      </c>
      <c r="C2915" s="0" t="n">
        <v>2019</v>
      </c>
      <c r="D2915" s="0" t="n">
        <v>32964700</v>
      </c>
      <c r="E2915" s="0" t="n">
        <v>63.56</v>
      </c>
      <c r="F2915" s="0" t="n">
        <v>3.82</v>
      </c>
      <c r="G2915" s="0" t="n">
        <v>52.56</v>
      </c>
      <c r="H2915" s="0" t="n">
        <v>0.71</v>
      </c>
      <c r="I2915" s="0" t="n">
        <v>0</v>
      </c>
      <c r="J2915" s="0" t="n">
        <v>6.46</v>
      </c>
      <c r="K2915" s="0" t="n">
        <v>0.01</v>
      </c>
      <c r="L2915" s="0" t="n">
        <v>0</v>
      </c>
      <c r="M2915" s="0" t="n">
        <v>0</v>
      </c>
      <c r="N2915" s="0" t="n">
        <v>0</v>
      </c>
      <c r="O2915" s="0" t="n">
        <v>1119.26</v>
      </c>
    </row>
    <row r="2916" customFormat="false" ht="15" hidden="false" customHeight="false" outlineLevel="0" collapsed="false">
      <c r="A2916" s="0" t="s">
        <v>385</v>
      </c>
      <c r="B2916" s="0" t="s">
        <v>624</v>
      </c>
      <c r="C2916" s="0" t="n">
        <v>2020</v>
      </c>
      <c r="D2916" s="0" t="n">
        <v>33586373</v>
      </c>
      <c r="E2916" s="0" t="n">
        <v>66.53</v>
      </c>
      <c r="F2916" s="0" t="n">
        <v>5.2</v>
      </c>
      <c r="G2916" s="0" t="n">
        <v>55.84</v>
      </c>
      <c r="H2916" s="0" t="n">
        <v>0.48</v>
      </c>
      <c r="I2916" s="0" t="n">
        <v>0</v>
      </c>
      <c r="J2916" s="0" t="n">
        <v>5</v>
      </c>
      <c r="K2916" s="0" t="n">
        <v>0.01</v>
      </c>
      <c r="L2916" s="0" t="n">
        <v>0</v>
      </c>
      <c r="M2916" s="0" t="n">
        <v>0</v>
      </c>
      <c r="N2916" s="0" t="n">
        <v>0</v>
      </c>
      <c r="O2916" s="0" t="n">
        <v>1149.11</v>
      </c>
    </row>
    <row r="2917" customFormat="false" ht="15" hidden="false" customHeight="false" outlineLevel="0" collapsed="false">
      <c r="A2917" s="0" t="s">
        <v>385</v>
      </c>
      <c r="B2917" s="0" t="s">
        <v>624</v>
      </c>
      <c r="C2917" s="0" t="n">
        <v>2021</v>
      </c>
      <c r="D2917" s="0" t="n">
        <v>34243696</v>
      </c>
      <c r="E2917" s="0" t="n">
        <v>71.44</v>
      </c>
      <c r="F2917" s="0" t="n">
        <v>4.96</v>
      </c>
      <c r="G2917" s="0" t="n">
        <v>60.06</v>
      </c>
      <c r="H2917" s="0" t="n">
        <v>1.4</v>
      </c>
      <c r="I2917" s="0" t="n">
        <v>0</v>
      </c>
      <c r="J2917" s="0" t="n">
        <v>4.97</v>
      </c>
      <c r="K2917" s="0" t="n">
        <v>0.05</v>
      </c>
      <c r="L2917" s="0" t="n">
        <v>0</v>
      </c>
      <c r="M2917" s="0" t="n">
        <v>0</v>
      </c>
      <c r="N2917" s="0" t="n">
        <v>0</v>
      </c>
      <c r="O2917" s="0" t="n">
        <v>1150.48</v>
      </c>
    </row>
    <row r="2918" customFormat="false" ht="15" hidden="false" customHeight="false" outlineLevel="0" collapsed="false">
      <c r="A2918" s="0" t="s">
        <v>385</v>
      </c>
      <c r="B2918" s="0" t="s">
        <v>624</v>
      </c>
      <c r="C2918" s="0" t="n">
        <v>2022</v>
      </c>
      <c r="D2918" s="0" t="n">
        <v>34938953</v>
      </c>
      <c r="E2918" s="0" t="n">
        <v>75.07</v>
      </c>
      <c r="F2918" s="0" t="n">
        <v>5.64</v>
      </c>
      <c r="G2918" s="0" t="n">
        <v>61.03</v>
      </c>
      <c r="H2918" s="0" t="n">
        <v>1.48</v>
      </c>
      <c r="I2918" s="0" t="n">
        <v>0</v>
      </c>
      <c r="J2918" s="0" t="n">
        <v>6.48</v>
      </c>
      <c r="K2918" s="0" t="n">
        <v>0.44</v>
      </c>
      <c r="L2918" s="0" t="n">
        <v>0</v>
      </c>
      <c r="M2918" s="0" t="n">
        <v>0</v>
      </c>
      <c r="N2918" s="0" t="n">
        <v>0</v>
      </c>
      <c r="O2918" s="0" t="n">
        <v>1121.35</v>
      </c>
    </row>
    <row r="2919" customFormat="false" ht="15" hidden="false" customHeight="false" outlineLevel="0" collapsed="false">
      <c r="A2919" s="0" t="s">
        <v>385</v>
      </c>
      <c r="B2919" s="0" t="s">
        <v>624</v>
      </c>
      <c r="C2919" s="0" t="n">
        <v>2023</v>
      </c>
      <c r="D2919" s="0" t="n">
        <v>35652311</v>
      </c>
      <c r="E2919" s="0" t="n">
        <v>76.8</v>
      </c>
      <c r="F2919" s="0" t="n">
        <v>5.7</v>
      </c>
      <c r="G2919" s="0" t="n">
        <v>62</v>
      </c>
      <c r="H2919" s="0" t="n">
        <v>1.5</v>
      </c>
      <c r="I2919" s="0" t="n">
        <v>0</v>
      </c>
      <c r="J2919" s="0" t="n">
        <v>6.6</v>
      </c>
      <c r="K2919" s="0" t="n">
        <v>0.45</v>
      </c>
      <c r="L2919" s="0" t="n">
        <v>0.55</v>
      </c>
      <c r="M2919" s="0" t="n">
        <v>0</v>
      </c>
      <c r="N2919" s="0" t="n">
        <v>0</v>
      </c>
      <c r="O2919" s="0" t="n">
        <v>1113.28</v>
      </c>
    </row>
    <row r="2920" customFormat="false" ht="15" hidden="false" customHeight="false" outlineLevel="0" collapsed="false">
      <c r="A2920" s="0" t="s">
        <v>385</v>
      </c>
      <c r="B2920" s="0" t="s">
        <v>624</v>
      </c>
      <c r="C2920" s="0" t="n">
        <v>2024</v>
      </c>
      <c r="D2920" s="0" t="n">
        <v>36361859</v>
      </c>
      <c r="E2920" s="0" t="n">
        <v>81.5</v>
      </c>
      <c r="F2920" s="0" t="n">
        <v>5.7</v>
      </c>
      <c r="G2920" s="0" t="n">
        <v>61.3</v>
      </c>
      <c r="H2920" s="0" t="n">
        <v>1.5</v>
      </c>
      <c r="I2920" s="0" t="n">
        <v>0</v>
      </c>
      <c r="J2920" s="0" t="n">
        <v>8.2</v>
      </c>
      <c r="K2920" s="0" t="n">
        <v>2.9</v>
      </c>
      <c r="L2920" s="0" t="n">
        <v>1.9</v>
      </c>
      <c r="M2920" s="0" t="n">
        <v>0</v>
      </c>
      <c r="N2920" s="0" t="n">
        <v>0</v>
      </c>
      <c r="O2920" s="0" t="n">
        <v>1040.12</v>
      </c>
    </row>
    <row r="2921" customFormat="false" ht="15" hidden="false" customHeight="false" outlineLevel="0" collapsed="false">
      <c r="A2921" s="0" t="s">
        <v>385</v>
      </c>
      <c r="B2921" s="0" t="s">
        <v>624</v>
      </c>
      <c r="C2921" s="0" t="n">
        <v>2025</v>
      </c>
      <c r="D2921" s="0" t="n">
        <v>37053428</v>
      </c>
      <c r="E2921" s="0" t="n">
        <v>86.7</v>
      </c>
      <c r="F2921" s="0" t="n">
        <v>5.7</v>
      </c>
      <c r="G2921" s="0" t="n">
        <v>62.7</v>
      </c>
      <c r="H2921" s="0" t="n">
        <v>1.5</v>
      </c>
      <c r="I2921" s="0" t="n">
        <v>0</v>
      </c>
      <c r="J2921" s="0" t="n">
        <v>6.3</v>
      </c>
      <c r="K2921" s="0" t="n">
        <v>6.5</v>
      </c>
      <c r="L2921" s="0" t="n">
        <v>4</v>
      </c>
      <c r="M2921" s="0" t="n">
        <v>0</v>
      </c>
      <c r="N2921" s="0" t="n">
        <v>0</v>
      </c>
      <c r="O2921" s="0" t="n">
        <v>1000</v>
      </c>
    </row>
    <row r="2922" customFormat="false" ht="15" hidden="false" customHeight="false" outlineLevel="0" collapsed="false">
      <c r="A2922" s="0" t="s">
        <v>386</v>
      </c>
      <c r="B2922" s="0" t="s">
        <v>625</v>
      </c>
      <c r="C2922" s="0" t="n">
        <v>2015</v>
      </c>
      <c r="D2922" s="0" t="n">
        <v>266115</v>
      </c>
      <c r="E2922" s="0" t="n">
        <v>0.06</v>
      </c>
      <c r="F2922" s="0" t="n">
        <v>0</v>
      </c>
      <c r="G2922" s="0" t="n">
        <v>0</v>
      </c>
      <c r="H2922" s="0" t="n">
        <v>0.05</v>
      </c>
      <c r="I2922" s="0" t="n">
        <v>0</v>
      </c>
      <c r="J2922" s="0" t="n">
        <v>0</v>
      </c>
      <c r="K2922" s="0" t="n">
        <v>0</v>
      </c>
      <c r="L2922" s="0" t="n">
        <v>0.01</v>
      </c>
      <c r="M2922" s="0" t="n">
        <v>0</v>
      </c>
      <c r="N2922" s="0" t="n">
        <v>0</v>
      </c>
      <c r="O2922" s="0" t="n">
        <v>500</v>
      </c>
    </row>
    <row r="2923" customFormat="false" ht="15" hidden="false" customHeight="false" outlineLevel="0" collapsed="false">
      <c r="A2923" s="0" t="s">
        <v>386</v>
      </c>
      <c r="B2923" s="0" t="s">
        <v>625</v>
      </c>
      <c r="C2923" s="0" t="n">
        <v>2016</v>
      </c>
      <c r="D2923" s="0" t="n">
        <v>272097</v>
      </c>
      <c r="E2923" s="0" t="n">
        <v>0.07</v>
      </c>
      <c r="F2923" s="0" t="n">
        <v>0</v>
      </c>
      <c r="G2923" s="0" t="n">
        <v>0</v>
      </c>
      <c r="H2923" s="0" t="n">
        <v>0.06</v>
      </c>
      <c r="I2923" s="0" t="n">
        <v>0</v>
      </c>
      <c r="J2923" s="0" t="n">
        <v>0</v>
      </c>
      <c r="K2923" s="0" t="n">
        <v>0</v>
      </c>
      <c r="L2923" s="0" t="n">
        <v>0.01</v>
      </c>
      <c r="M2923" s="0" t="n">
        <v>0</v>
      </c>
      <c r="N2923" s="0" t="n">
        <v>0</v>
      </c>
      <c r="O2923" s="0" t="n">
        <v>571.43</v>
      </c>
    </row>
    <row r="2924" customFormat="false" ht="15" hidden="false" customHeight="false" outlineLevel="0" collapsed="false">
      <c r="A2924" s="0" t="s">
        <v>386</v>
      </c>
      <c r="B2924" s="0" t="s">
        <v>625</v>
      </c>
      <c r="C2924" s="0" t="n">
        <v>2017</v>
      </c>
      <c r="D2924" s="0" t="n">
        <v>278518</v>
      </c>
      <c r="E2924" s="0" t="n">
        <v>0.06</v>
      </c>
      <c r="F2924" s="0" t="n">
        <v>0</v>
      </c>
      <c r="G2924" s="0" t="n">
        <v>0</v>
      </c>
      <c r="H2924" s="0" t="n">
        <v>0.06</v>
      </c>
      <c r="I2924" s="0" t="n">
        <v>0</v>
      </c>
      <c r="J2924" s="0" t="n">
        <v>0</v>
      </c>
      <c r="K2924" s="0" t="n">
        <v>0</v>
      </c>
      <c r="L2924" s="0" t="n">
        <v>0</v>
      </c>
      <c r="M2924" s="0" t="n">
        <v>0</v>
      </c>
      <c r="N2924" s="0" t="n">
        <v>0</v>
      </c>
      <c r="O2924" s="0" t="n">
        <v>666.67</v>
      </c>
    </row>
    <row r="2925" customFormat="false" ht="15" hidden="false" customHeight="false" outlineLevel="0" collapsed="false">
      <c r="A2925" s="0" t="s">
        <v>386</v>
      </c>
      <c r="B2925" s="0" t="s">
        <v>625</v>
      </c>
      <c r="C2925" s="0" t="n">
        <v>2018</v>
      </c>
      <c r="D2925" s="0" t="n">
        <v>285273</v>
      </c>
      <c r="E2925" s="0" t="n">
        <v>0.08</v>
      </c>
      <c r="F2925" s="0" t="n">
        <v>0</v>
      </c>
      <c r="G2925" s="0" t="n">
        <v>0</v>
      </c>
      <c r="H2925" s="0" t="n">
        <v>0.06</v>
      </c>
      <c r="I2925" s="0" t="n">
        <v>0</v>
      </c>
      <c r="J2925" s="0" t="n">
        <v>0.01</v>
      </c>
      <c r="K2925" s="0" t="n">
        <v>0.01</v>
      </c>
      <c r="L2925" s="0" t="n">
        <v>0</v>
      </c>
      <c r="M2925" s="0" t="n">
        <v>0</v>
      </c>
      <c r="N2925" s="0" t="n">
        <v>0</v>
      </c>
      <c r="O2925" s="0" t="n">
        <v>500</v>
      </c>
    </row>
    <row r="2926" customFormat="false" ht="15" hidden="false" customHeight="false" outlineLevel="0" collapsed="false">
      <c r="A2926" s="0" t="s">
        <v>386</v>
      </c>
      <c r="B2926" s="0" t="s">
        <v>625</v>
      </c>
      <c r="C2926" s="0" t="n">
        <v>2019</v>
      </c>
      <c r="D2926" s="0" t="n">
        <v>291995</v>
      </c>
      <c r="E2926" s="0" t="n">
        <v>0.09</v>
      </c>
      <c r="F2926" s="0" t="n">
        <v>0</v>
      </c>
      <c r="G2926" s="0" t="n">
        <v>0</v>
      </c>
      <c r="H2926" s="0" t="n">
        <v>0.06</v>
      </c>
      <c r="I2926" s="0" t="n">
        <v>0</v>
      </c>
      <c r="J2926" s="0" t="n">
        <v>0.01</v>
      </c>
      <c r="K2926" s="0" t="n">
        <v>0.01</v>
      </c>
      <c r="L2926" s="0" t="n">
        <v>0.01</v>
      </c>
      <c r="M2926" s="0" t="n">
        <v>0</v>
      </c>
      <c r="N2926" s="0" t="n">
        <v>0</v>
      </c>
      <c r="O2926" s="0" t="n">
        <v>444.44</v>
      </c>
    </row>
    <row r="2927" customFormat="false" ht="15" hidden="false" customHeight="false" outlineLevel="0" collapsed="false">
      <c r="A2927" s="0" t="s">
        <v>386</v>
      </c>
      <c r="B2927" s="0" t="s">
        <v>625</v>
      </c>
      <c r="C2927" s="0" t="n">
        <v>2020</v>
      </c>
      <c r="D2927" s="0" t="n">
        <v>298867</v>
      </c>
      <c r="E2927" s="0" t="n">
        <v>0.09</v>
      </c>
      <c r="F2927" s="0" t="n">
        <v>0</v>
      </c>
      <c r="G2927" s="0" t="n">
        <v>0</v>
      </c>
      <c r="H2927" s="0" t="n">
        <v>0.06</v>
      </c>
      <c r="I2927" s="0" t="n">
        <v>0</v>
      </c>
      <c r="J2927" s="0" t="n">
        <v>0.01</v>
      </c>
      <c r="K2927" s="0" t="n">
        <v>0.01</v>
      </c>
      <c r="L2927" s="0" t="n">
        <v>0.01</v>
      </c>
      <c r="M2927" s="0" t="n">
        <v>0</v>
      </c>
      <c r="N2927" s="0" t="n">
        <v>0</v>
      </c>
      <c r="O2927" s="0" t="n">
        <v>444.44</v>
      </c>
    </row>
    <row r="2928" customFormat="false" ht="15" hidden="false" customHeight="false" outlineLevel="0" collapsed="false">
      <c r="A2928" s="0" t="s">
        <v>386</v>
      </c>
      <c r="B2928" s="0" t="s">
        <v>625</v>
      </c>
      <c r="C2928" s="0" t="n">
        <v>2021</v>
      </c>
      <c r="D2928" s="0" t="n">
        <v>305882</v>
      </c>
      <c r="E2928" s="0" t="n">
        <v>0.08</v>
      </c>
      <c r="F2928" s="0" t="n">
        <v>0</v>
      </c>
      <c r="G2928" s="0" t="n">
        <v>0</v>
      </c>
      <c r="H2928" s="0" t="n">
        <v>0.06</v>
      </c>
      <c r="I2928" s="0" t="n">
        <v>0</v>
      </c>
      <c r="J2928" s="0" t="n">
        <v>0.01</v>
      </c>
      <c r="K2928" s="0" t="n">
        <v>0.01</v>
      </c>
      <c r="L2928" s="0" t="n">
        <v>0</v>
      </c>
      <c r="M2928" s="0" t="n">
        <v>0</v>
      </c>
      <c r="N2928" s="0" t="n">
        <v>0</v>
      </c>
      <c r="O2928" s="0" t="n">
        <v>500</v>
      </c>
    </row>
    <row r="2929" customFormat="false" ht="15" hidden="false" customHeight="false" outlineLevel="0" collapsed="false">
      <c r="A2929" s="0" t="s">
        <v>386</v>
      </c>
      <c r="B2929" s="0" t="s">
        <v>625</v>
      </c>
      <c r="C2929" s="0" t="n">
        <v>2022</v>
      </c>
      <c r="D2929" s="0" t="n">
        <v>313061</v>
      </c>
      <c r="E2929" s="0" t="n">
        <v>0.08</v>
      </c>
      <c r="F2929" s="0" t="n">
        <v>0</v>
      </c>
      <c r="G2929" s="0" t="n">
        <v>0</v>
      </c>
      <c r="H2929" s="0" t="n">
        <v>0.06</v>
      </c>
      <c r="I2929" s="0" t="n">
        <v>0</v>
      </c>
      <c r="J2929" s="0" t="n">
        <v>0.01</v>
      </c>
      <c r="K2929" s="0" t="n">
        <v>0.01</v>
      </c>
      <c r="L2929" s="0" t="n">
        <v>0</v>
      </c>
      <c r="M2929" s="0" t="n">
        <v>0</v>
      </c>
      <c r="N2929" s="0" t="n">
        <v>0</v>
      </c>
      <c r="O2929" s="0" t="n">
        <v>500</v>
      </c>
    </row>
    <row r="2930" customFormat="false" ht="15" hidden="false" customHeight="false" outlineLevel="0" collapsed="false">
      <c r="A2930" s="0" t="s">
        <v>386</v>
      </c>
      <c r="B2930" s="0" t="s">
        <v>625</v>
      </c>
      <c r="C2930" s="0" t="n">
        <v>2023</v>
      </c>
      <c r="D2930" s="0" t="n">
        <v>320422</v>
      </c>
      <c r="E2930" s="0" t="n">
        <v>0.08</v>
      </c>
      <c r="F2930" s="0" t="n">
        <v>0</v>
      </c>
      <c r="G2930" s="0" t="n">
        <v>0</v>
      </c>
      <c r="H2930" s="0" t="n">
        <v>0.06</v>
      </c>
      <c r="I2930" s="0" t="n">
        <v>0</v>
      </c>
      <c r="J2930" s="0" t="n">
        <v>0.01</v>
      </c>
      <c r="K2930" s="0" t="n">
        <v>0.01</v>
      </c>
      <c r="L2930" s="0" t="n">
        <v>0</v>
      </c>
      <c r="M2930" s="0" t="n">
        <v>0</v>
      </c>
      <c r="N2930" s="0" t="n">
        <v>0</v>
      </c>
      <c r="O2930" s="0" t="n">
        <v>500</v>
      </c>
    </row>
    <row r="2931" customFormat="false" ht="15" hidden="false" customHeight="false" outlineLevel="0" collapsed="false">
      <c r="A2931" s="0" t="s">
        <v>387</v>
      </c>
      <c r="B2931" s="0" t="s">
        <v>626</v>
      </c>
      <c r="C2931" s="0" t="n">
        <v>2015</v>
      </c>
      <c r="D2931" s="0" t="n">
        <v>30573968</v>
      </c>
      <c r="E2931" s="0" t="n">
        <v>127.52</v>
      </c>
      <c r="F2931" s="0" t="n">
        <v>0</v>
      </c>
      <c r="G2931" s="0" t="n">
        <v>32.66</v>
      </c>
      <c r="H2931" s="0" t="n">
        <v>19.86</v>
      </c>
      <c r="I2931" s="0" t="n">
        <v>0</v>
      </c>
      <c r="J2931" s="0" t="n">
        <v>74.9</v>
      </c>
      <c r="K2931" s="0" t="n">
        <v>0.01</v>
      </c>
      <c r="L2931" s="0" t="n">
        <v>0.09</v>
      </c>
      <c r="M2931" s="0" t="n">
        <v>0</v>
      </c>
      <c r="N2931" s="0" t="n">
        <v>0</v>
      </c>
      <c r="O2931" s="0" t="n">
        <v>318.93</v>
      </c>
    </row>
    <row r="2932" customFormat="false" ht="15" hidden="false" customHeight="false" outlineLevel="0" collapsed="false">
      <c r="A2932" s="0" t="s">
        <v>387</v>
      </c>
      <c r="B2932" s="0" t="s">
        <v>626</v>
      </c>
      <c r="C2932" s="0" t="n">
        <v>2016</v>
      </c>
      <c r="D2932" s="0" t="n">
        <v>30765719</v>
      </c>
      <c r="E2932" s="0" t="n">
        <v>116.94</v>
      </c>
      <c r="F2932" s="0" t="n">
        <v>0</v>
      </c>
      <c r="G2932" s="0" t="n">
        <v>35.95</v>
      </c>
      <c r="H2932" s="0" t="n">
        <v>17.93</v>
      </c>
      <c r="I2932" s="0" t="n">
        <v>0</v>
      </c>
      <c r="J2932" s="0" t="n">
        <v>62.96</v>
      </c>
      <c r="K2932" s="0" t="n">
        <v>0.01</v>
      </c>
      <c r="L2932" s="0" t="n">
        <v>0.09</v>
      </c>
      <c r="M2932" s="0" t="n">
        <v>0</v>
      </c>
      <c r="N2932" s="0" t="n">
        <v>0</v>
      </c>
      <c r="O2932" s="0" t="n">
        <v>356.76</v>
      </c>
    </row>
    <row r="2933" customFormat="false" ht="15" hidden="false" customHeight="false" outlineLevel="0" collapsed="false">
      <c r="A2933" s="0" t="s">
        <v>387</v>
      </c>
      <c r="B2933" s="0" t="s">
        <v>626</v>
      </c>
      <c r="C2933" s="0" t="n">
        <v>2017</v>
      </c>
      <c r="D2933" s="0" t="n">
        <v>30565331</v>
      </c>
      <c r="E2933" s="0" t="n">
        <v>103.8</v>
      </c>
      <c r="F2933" s="0" t="n">
        <v>0</v>
      </c>
      <c r="G2933" s="0" t="n">
        <v>25.96</v>
      </c>
      <c r="H2933" s="0" t="n">
        <v>17.23</v>
      </c>
      <c r="I2933" s="0" t="n">
        <v>0</v>
      </c>
      <c r="J2933" s="0" t="n">
        <v>60.51</v>
      </c>
      <c r="K2933" s="0" t="n">
        <v>0.01</v>
      </c>
      <c r="L2933" s="0" t="n">
        <v>0.09</v>
      </c>
      <c r="M2933" s="0" t="n">
        <v>0</v>
      </c>
      <c r="N2933" s="0" t="n">
        <v>0</v>
      </c>
      <c r="O2933" s="0" t="n">
        <v>320.81</v>
      </c>
    </row>
    <row r="2934" customFormat="false" ht="15" hidden="false" customHeight="false" outlineLevel="0" collapsed="false">
      <c r="A2934" s="0" t="s">
        <v>387</v>
      </c>
      <c r="B2934" s="0" t="s">
        <v>626</v>
      </c>
      <c r="C2934" s="0" t="n">
        <v>2018</v>
      </c>
      <c r="D2934" s="0" t="n">
        <v>29807591</v>
      </c>
      <c r="E2934" s="0" t="n">
        <v>99.71</v>
      </c>
      <c r="F2934" s="0" t="n">
        <v>0</v>
      </c>
      <c r="G2934" s="0" t="n">
        <v>24.95</v>
      </c>
      <c r="H2934" s="0" t="n">
        <v>16.56</v>
      </c>
      <c r="I2934" s="0" t="n">
        <v>0</v>
      </c>
      <c r="J2934" s="0" t="n">
        <v>58.15</v>
      </c>
      <c r="K2934" s="0" t="n">
        <v>0.01</v>
      </c>
      <c r="L2934" s="0" t="n">
        <v>0.04</v>
      </c>
      <c r="M2934" s="0" t="n">
        <v>0</v>
      </c>
      <c r="N2934" s="0" t="n">
        <v>0</v>
      </c>
      <c r="O2934" s="0" t="n">
        <v>320.93</v>
      </c>
    </row>
    <row r="2935" customFormat="false" ht="15" hidden="false" customHeight="false" outlineLevel="0" collapsed="false">
      <c r="A2935" s="0" t="s">
        <v>387</v>
      </c>
      <c r="B2935" s="0" t="s">
        <v>626</v>
      </c>
      <c r="C2935" s="0" t="n">
        <v>2019</v>
      </c>
      <c r="D2935" s="0" t="n">
        <v>28938096</v>
      </c>
      <c r="E2935" s="0" t="n">
        <v>85.15</v>
      </c>
      <c r="F2935" s="0" t="n">
        <v>0</v>
      </c>
      <c r="G2935" s="0" t="n">
        <v>21.3</v>
      </c>
      <c r="H2935" s="0" t="n">
        <v>14.14</v>
      </c>
      <c r="I2935" s="0" t="n">
        <v>0</v>
      </c>
      <c r="J2935" s="0" t="n">
        <v>49.64</v>
      </c>
      <c r="K2935" s="0" t="n">
        <v>0.01</v>
      </c>
      <c r="L2935" s="0" t="n">
        <v>0.06</v>
      </c>
      <c r="M2935" s="0" t="n">
        <v>0</v>
      </c>
      <c r="N2935" s="0" t="n">
        <v>0</v>
      </c>
      <c r="O2935" s="0" t="n">
        <v>320.85</v>
      </c>
    </row>
    <row r="2936" customFormat="false" ht="15" hidden="false" customHeight="false" outlineLevel="0" collapsed="false">
      <c r="A2936" s="0" t="s">
        <v>387</v>
      </c>
      <c r="B2936" s="0" t="s">
        <v>626</v>
      </c>
      <c r="C2936" s="0" t="n">
        <v>2020</v>
      </c>
      <c r="D2936" s="0" t="n">
        <v>28444080</v>
      </c>
      <c r="E2936" s="0" t="n">
        <v>80.51</v>
      </c>
      <c r="F2936" s="0" t="n">
        <v>0</v>
      </c>
      <c r="G2936" s="0" t="n">
        <v>11.66</v>
      </c>
      <c r="H2936" s="0" t="n">
        <v>6.31</v>
      </c>
      <c r="I2936" s="0" t="n">
        <v>0</v>
      </c>
      <c r="J2936" s="0" t="n">
        <v>62.51</v>
      </c>
      <c r="K2936" s="0" t="n">
        <v>0.01</v>
      </c>
      <c r="L2936" s="0" t="n">
        <v>0.02</v>
      </c>
      <c r="M2936" s="0" t="n">
        <v>0</v>
      </c>
      <c r="N2936" s="0" t="n">
        <v>0</v>
      </c>
      <c r="O2936" s="0" t="n">
        <v>184.57</v>
      </c>
    </row>
    <row r="2937" customFormat="false" ht="15" hidden="false" customHeight="false" outlineLevel="0" collapsed="false">
      <c r="A2937" s="0" t="s">
        <v>387</v>
      </c>
      <c r="B2937" s="0" t="s">
        <v>626</v>
      </c>
      <c r="C2937" s="0" t="n">
        <v>2021</v>
      </c>
      <c r="D2937" s="0" t="n">
        <v>28237830</v>
      </c>
      <c r="E2937" s="0" t="n">
        <v>82.93</v>
      </c>
      <c r="F2937" s="0" t="n">
        <v>0</v>
      </c>
      <c r="G2937" s="0" t="n">
        <v>11.78</v>
      </c>
      <c r="H2937" s="0" t="n">
        <v>5.44</v>
      </c>
      <c r="I2937" s="0" t="n">
        <v>0</v>
      </c>
      <c r="J2937" s="0" t="n">
        <v>65.68</v>
      </c>
      <c r="K2937" s="0" t="n">
        <v>0.01</v>
      </c>
      <c r="L2937" s="0" t="n">
        <v>0.02</v>
      </c>
      <c r="M2937" s="0" t="n">
        <v>0</v>
      </c>
      <c r="N2937" s="0" t="n">
        <v>0</v>
      </c>
      <c r="O2937" s="0" t="n">
        <v>174.24</v>
      </c>
    </row>
    <row r="2938" customFormat="false" ht="15" hidden="false" customHeight="false" outlineLevel="0" collapsed="false">
      <c r="A2938" s="0" t="s">
        <v>387</v>
      </c>
      <c r="B2938" s="0" t="s">
        <v>626</v>
      </c>
      <c r="C2938" s="0" t="n">
        <v>2022</v>
      </c>
      <c r="D2938" s="0" t="n">
        <v>28213015</v>
      </c>
      <c r="E2938" s="0" t="n">
        <v>82.36</v>
      </c>
      <c r="F2938" s="0" t="n">
        <v>0</v>
      </c>
      <c r="G2938" s="0" t="n">
        <v>12.11</v>
      </c>
      <c r="H2938" s="0" t="n">
        <v>5.71</v>
      </c>
      <c r="I2938" s="0" t="n">
        <v>0</v>
      </c>
      <c r="J2938" s="0" t="n">
        <v>64.51</v>
      </c>
      <c r="K2938" s="0" t="n">
        <v>0.01</v>
      </c>
      <c r="L2938" s="0" t="n">
        <v>0.02</v>
      </c>
      <c r="M2938" s="0" t="n">
        <v>0</v>
      </c>
      <c r="N2938" s="0" t="n">
        <v>0</v>
      </c>
      <c r="O2938" s="0" t="n">
        <v>180.43</v>
      </c>
    </row>
    <row r="2939" customFormat="false" ht="15" hidden="false" customHeight="false" outlineLevel="0" collapsed="false">
      <c r="A2939" s="0" t="s">
        <v>387</v>
      </c>
      <c r="B2939" s="0" t="s">
        <v>626</v>
      </c>
      <c r="C2939" s="0" t="n">
        <v>2023</v>
      </c>
      <c r="D2939" s="0" t="n">
        <v>28300861</v>
      </c>
      <c r="E2939" s="0" t="n">
        <v>71.96</v>
      </c>
      <c r="F2939" s="0" t="n">
        <v>0</v>
      </c>
      <c r="G2939" s="0" t="n">
        <v>3.69</v>
      </c>
      <c r="H2939" s="0" t="n">
        <v>3.26</v>
      </c>
      <c r="I2939" s="0" t="n">
        <v>0</v>
      </c>
      <c r="J2939" s="0" t="n">
        <v>64.98</v>
      </c>
      <c r="K2939" s="0" t="n">
        <v>0.01</v>
      </c>
      <c r="L2939" s="0" t="n">
        <v>0.02</v>
      </c>
      <c r="M2939" s="0" t="n">
        <v>0</v>
      </c>
      <c r="N2939" s="0" t="n">
        <v>0</v>
      </c>
      <c r="O2939" s="0" t="n">
        <v>91.86</v>
      </c>
    </row>
    <row r="2940" customFormat="false" ht="15" hidden="false" customHeight="false" outlineLevel="0" collapsed="false">
      <c r="A2940" s="0" t="s">
        <v>387</v>
      </c>
      <c r="B2940" s="0" t="s">
        <v>626</v>
      </c>
      <c r="C2940" s="0" t="n">
        <v>2024</v>
      </c>
      <c r="D2940" s="0" t="n">
        <v>28405544</v>
      </c>
      <c r="E2940" s="0" t="n">
        <v>80.13</v>
      </c>
      <c r="F2940" s="0" t="n">
        <v>0</v>
      </c>
      <c r="G2940" s="0" t="n">
        <v>3.6</v>
      </c>
      <c r="H2940" s="0" t="n">
        <v>3.5</v>
      </c>
      <c r="I2940" s="0" t="n">
        <v>0</v>
      </c>
      <c r="J2940" s="0" t="n">
        <v>73</v>
      </c>
      <c r="K2940" s="0" t="n">
        <v>0.01</v>
      </c>
      <c r="L2940" s="0" t="n">
        <v>0.02</v>
      </c>
      <c r="M2940" s="0" t="n">
        <v>0</v>
      </c>
      <c r="N2940" s="0" t="n">
        <v>0</v>
      </c>
      <c r="O2940" s="0" t="n">
        <v>85.86</v>
      </c>
    </row>
    <row r="2941" customFormat="false" ht="15" hidden="false" customHeight="false" outlineLevel="0" collapsed="false">
      <c r="A2941" s="0" t="s">
        <v>388</v>
      </c>
      <c r="B2941" s="0" t="s">
        <v>627</v>
      </c>
      <c r="C2941" s="0" t="n">
        <v>2015</v>
      </c>
      <c r="D2941" s="0" t="n">
        <v>92823254</v>
      </c>
      <c r="E2941" s="0" t="n">
        <v>161.93</v>
      </c>
      <c r="F2941" s="0" t="n">
        <v>56.47</v>
      </c>
      <c r="G2941" s="0" t="n">
        <v>48.15</v>
      </c>
      <c r="H2941" s="0" t="n">
        <v>0.99</v>
      </c>
      <c r="I2941" s="0" t="n">
        <v>0</v>
      </c>
      <c r="J2941" s="0" t="n">
        <v>56.12</v>
      </c>
      <c r="K2941" s="0" t="n">
        <v>0.01</v>
      </c>
      <c r="L2941" s="0" t="n">
        <v>0.12</v>
      </c>
      <c r="M2941" s="0" t="n">
        <v>0.07</v>
      </c>
      <c r="O2941" s="0" t="n">
        <v>483.73</v>
      </c>
    </row>
    <row r="2942" customFormat="false" ht="15" hidden="false" customHeight="false" outlineLevel="0" collapsed="false">
      <c r="A2942" s="0" t="s">
        <v>388</v>
      </c>
      <c r="B2942" s="0" t="s">
        <v>627</v>
      </c>
      <c r="C2942" s="0" t="n">
        <v>2016</v>
      </c>
      <c r="D2942" s="0" t="n">
        <v>94000115</v>
      </c>
      <c r="E2942" s="0" t="n">
        <v>179.17</v>
      </c>
      <c r="F2942" s="0" t="n">
        <v>68.35</v>
      </c>
      <c r="G2942" s="0" t="n">
        <v>45.37</v>
      </c>
      <c r="H2942" s="0" t="n">
        <v>1.18</v>
      </c>
      <c r="I2942" s="0" t="n">
        <v>0</v>
      </c>
      <c r="J2942" s="0" t="n">
        <v>63.94</v>
      </c>
      <c r="K2942" s="0" t="n">
        <v>0.01</v>
      </c>
      <c r="L2942" s="0" t="n">
        <v>0.2</v>
      </c>
      <c r="M2942" s="0" t="n">
        <v>0.12</v>
      </c>
      <c r="O2942" s="0" t="n">
        <v>489.09</v>
      </c>
    </row>
    <row r="2943" customFormat="false" ht="15" hidden="false" customHeight="false" outlineLevel="0" collapsed="false">
      <c r="A2943" s="0" t="s">
        <v>388</v>
      </c>
      <c r="B2943" s="0" t="s">
        <v>627</v>
      </c>
      <c r="C2943" s="0" t="n">
        <v>2017</v>
      </c>
      <c r="D2943" s="0" t="n">
        <v>95176978</v>
      </c>
      <c r="E2943" s="0" t="n">
        <v>194.72</v>
      </c>
      <c r="F2943" s="0" t="n">
        <v>67.71</v>
      </c>
      <c r="G2943" s="0" t="n">
        <v>40.35</v>
      </c>
      <c r="H2943" s="0" t="n">
        <v>0.15</v>
      </c>
      <c r="I2943" s="0" t="n">
        <v>0</v>
      </c>
      <c r="J2943" s="0" t="n">
        <v>85.94</v>
      </c>
      <c r="K2943" s="0" t="n">
        <v>0.01</v>
      </c>
      <c r="L2943" s="0" t="n">
        <v>0.35</v>
      </c>
      <c r="M2943" s="0" t="n">
        <v>0.21</v>
      </c>
      <c r="O2943" s="0" t="n">
        <v>430.52</v>
      </c>
    </row>
    <row r="2944" customFormat="false" ht="15" hidden="false" customHeight="false" outlineLevel="0" collapsed="false">
      <c r="A2944" s="0" t="s">
        <v>388</v>
      </c>
      <c r="B2944" s="0" t="s">
        <v>627</v>
      </c>
      <c r="C2944" s="0" t="n">
        <v>2018</v>
      </c>
      <c r="D2944" s="0" t="n">
        <v>96237319</v>
      </c>
      <c r="E2944" s="0" t="n">
        <v>217.18</v>
      </c>
      <c r="F2944" s="0" t="n">
        <v>91.65</v>
      </c>
      <c r="G2944" s="0" t="n">
        <v>40.7</v>
      </c>
      <c r="H2944" s="0" t="n">
        <v>0.75</v>
      </c>
      <c r="I2944" s="0" t="n">
        <v>0</v>
      </c>
      <c r="J2944" s="0" t="n">
        <v>83.08</v>
      </c>
      <c r="K2944" s="0" t="n">
        <v>0.02</v>
      </c>
      <c r="L2944" s="0" t="n">
        <v>0.49</v>
      </c>
      <c r="M2944" s="0" t="n">
        <v>0.49</v>
      </c>
      <c r="O2944" s="0" t="n">
        <v>482.87</v>
      </c>
    </row>
    <row r="2945" customFormat="false" ht="15" hidden="false" customHeight="false" outlineLevel="0" collapsed="false">
      <c r="A2945" s="0" t="s">
        <v>388</v>
      </c>
      <c r="B2945" s="0" t="s">
        <v>627</v>
      </c>
      <c r="C2945" s="0" t="n">
        <v>2019</v>
      </c>
      <c r="D2945" s="0" t="n">
        <v>97173778</v>
      </c>
      <c r="E2945" s="0" t="n">
        <v>236.89</v>
      </c>
      <c r="F2945" s="0" t="n">
        <v>120.16</v>
      </c>
      <c r="G2945" s="0" t="n">
        <v>42.51</v>
      </c>
      <c r="H2945" s="0" t="n">
        <v>2.21</v>
      </c>
      <c r="I2945" s="0" t="n">
        <v>0</v>
      </c>
      <c r="J2945" s="0" t="n">
        <v>66.12</v>
      </c>
      <c r="K2945" s="0" t="n">
        <v>4.82</v>
      </c>
      <c r="L2945" s="0" t="n">
        <v>0.72</v>
      </c>
      <c r="M2945" s="0" t="n">
        <v>0.35</v>
      </c>
      <c r="O2945" s="0" t="n">
        <v>553.89</v>
      </c>
    </row>
    <row r="2946" customFormat="false" ht="15" hidden="false" customHeight="false" outlineLevel="0" collapsed="false">
      <c r="A2946" s="0" t="s">
        <v>388</v>
      </c>
      <c r="B2946" s="0" t="s">
        <v>627</v>
      </c>
      <c r="C2946" s="0" t="n">
        <v>2020</v>
      </c>
      <c r="D2946" s="0" t="n">
        <v>98079196</v>
      </c>
      <c r="E2946" s="0" t="n">
        <v>244</v>
      </c>
      <c r="F2946" s="0" t="n">
        <v>122.53</v>
      </c>
      <c r="G2946" s="0" t="n">
        <v>34.66</v>
      </c>
      <c r="H2946" s="0" t="n">
        <v>1.86</v>
      </c>
      <c r="I2946" s="0" t="n">
        <v>0</v>
      </c>
      <c r="J2946" s="0" t="n">
        <v>72.87</v>
      </c>
      <c r="K2946" s="0" t="n">
        <v>10.76</v>
      </c>
      <c r="L2946" s="0" t="n">
        <v>0.98</v>
      </c>
      <c r="M2946" s="0" t="n">
        <v>0.34</v>
      </c>
      <c r="O2946" s="0" t="n">
        <v>528.44</v>
      </c>
    </row>
    <row r="2947" customFormat="false" ht="15" hidden="false" customHeight="false" outlineLevel="0" collapsed="false">
      <c r="A2947" s="0" t="s">
        <v>388</v>
      </c>
      <c r="B2947" s="0" t="s">
        <v>627</v>
      </c>
      <c r="C2947" s="0" t="n">
        <v>2021</v>
      </c>
      <c r="D2947" s="0" t="n">
        <v>98935101</v>
      </c>
      <c r="E2947" s="0" t="n">
        <v>253.61</v>
      </c>
      <c r="F2947" s="0" t="n">
        <v>118.03</v>
      </c>
      <c r="G2947" s="0" t="n">
        <v>26.31</v>
      </c>
      <c r="H2947" s="0" t="n">
        <v>0.79</v>
      </c>
      <c r="I2947" s="0" t="n">
        <v>0</v>
      </c>
      <c r="J2947" s="0" t="n">
        <v>78.67</v>
      </c>
      <c r="K2947" s="0" t="n">
        <v>26.15</v>
      </c>
      <c r="L2947" s="0" t="n">
        <v>3.34</v>
      </c>
      <c r="M2947" s="0" t="n">
        <v>0.32</v>
      </c>
      <c r="O2947" s="0" t="n">
        <v>475.06</v>
      </c>
    </row>
    <row r="2948" customFormat="false" ht="15" hidden="false" customHeight="false" outlineLevel="0" collapsed="false">
      <c r="A2948" s="0" t="s">
        <v>388</v>
      </c>
      <c r="B2948" s="0" t="s">
        <v>627</v>
      </c>
      <c r="C2948" s="0" t="n">
        <v>2022</v>
      </c>
      <c r="D2948" s="0" t="n">
        <v>99680656</v>
      </c>
      <c r="E2948" s="0" t="n">
        <v>265.11</v>
      </c>
      <c r="F2948" s="0" t="n">
        <v>104.04</v>
      </c>
      <c r="G2948" s="0" t="n">
        <v>29.22</v>
      </c>
      <c r="H2948" s="0" t="n">
        <v>0.72</v>
      </c>
      <c r="I2948" s="0" t="n">
        <v>0</v>
      </c>
      <c r="J2948" s="0" t="n">
        <v>95.91</v>
      </c>
      <c r="K2948" s="0" t="n">
        <v>25.75</v>
      </c>
      <c r="L2948" s="0" t="n">
        <v>9.09</v>
      </c>
      <c r="M2948" s="0" t="n">
        <v>0.38</v>
      </c>
      <c r="O2948" s="0" t="n">
        <v>415.41</v>
      </c>
    </row>
    <row r="2949" customFormat="false" ht="15" hidden="false" customHeight="false" outlineLevel="0" collapsed="false">
      <c r="A2949" s="0" t="s">
        <v>388</v>
      </c>
      <c r="B2949" s="0" t="s">
        <v>627</v>
      </c>
      <c r="C2949" s="0" t="n">
        <v>2023</v>
      </c>
      <c r="D2949" s="0" t="n">
        <v>100352189</v>
      </c>
      <c r="E2949" s="0" t="n">
        <v>276.59</v>
      </c>
      <c r="F2949" s="0" t="n">
        <v>129.76</v>
      </c>
      <c r="G2949" s="0" t="n">
        <v>26.36</v>
      </c>
      <c r="H2949" s="0" t="n">
        <v>1.7</v>
      </c>
      <c r="I2949" s="0" t="n">
        <v>0</v>
      </c>
      <c r="J2949" s="0" t="n">
        <v>80.62</v>
      </c>
      <c r="K2949" s="0" t="n">
        <v>25.69</v>
      </c>
      <c r="L2949" s="0" t="n">
        <v>11.59</v>
      </c>
      <c r="M2949" s="0" t="n">
        <v>0.87</v>
      </c>
      <c r="O2949" s="0" t="n">
        <v>472.4</v>
      </c>
    </row>
    <row r="2950" customFormat="false" ht="15" hidden="false" customHeight="false" outlineLevel="0" collapsed="false">
      <c r="A2950" s="0" t="s">
        <v>388</v>
      </c>
      <c r="B2950" s="0" t="s">
        <v>627</v>
      </c>
      <c r="C2950" s="0" t="n">
        <v>2024</v>
      </c>
      <c r="D2950" s="0" t="n">
        <v>100987685</v>
      </c>
      <c r="E2950" s="0" t="n">
        <v>303.58</v>
      </c>
      <c r="F2950" s="0" t="n">
        <v>152.77</v>
      </c>
      <c r="G2950" s="0" t="n">
        <v>21.83</v>
      </c>
      <c r="H2950" s="0" t="n">
        <v>0.62</v>
      </c>
      <c r="I2950" s="0" t="n">
        <v>0</v>
      </c>
      <c r="J2950" s="0" t="n">
        <v>88.72</v>
      </c>
      <c r="K2950" s="0" t="n">
        <v>25.86</v>
      </c>
      <c r="L2950" s="0" t="n">
        <v>12.75</v>
      </c>
      <c r="M2950" s="0" t="n">
        <v>1.03</v>
      </c>
      <c r="O2950" s="0" t="n">
        <v>484.32</v>
      </c>
    </row>
    <row r="2951" customFormat="false" ht="15" hidden="false" customHeight="false" outlineLevel="0" collapsed="false">
      <c r="A2951" s="0" t="s">
        <v>388</v>
      </c>
      <c r="B2951" s="0" t="s">
        <v>627</v>
      </c>
      <c r="C2951" s="0" t="n">
        <v>2025</v>
      </c>
      <c r="D2951" s="0" t="n">
        <v>101598530</v>
      </c>
      <c r="E2951" s="0" t="n">
        <v>309.99</v>
      </c>
      <c r="F2951" s="0" t="n">
        <v>149.24</v>
      </c>
      <c r="G2951" s="0" t="n">
        <v>19.34</v>
      </c>
      <c r="H2951" s="0" t="n">
        <v>0.62</v>
      </c>
      <c r="I2951" s="0" t="n">
        <v>0</v>
      </c>
      <c r="J2951" s="0" t="n">
        <v>102.35</v>
      </c>
      <c r="K2951" s="0" t="n">
        <v>23.04</v>
      </c>
      <c r="L2951" s="0" t="n">
        <v>14.37</v>
      </c>
      <c r="M2951" s="0" t="n">
        <v>1.03</v>
      </c>
      <c r="O2951" s="0" t="n">
        <v>460.73</v>
      </c>
    </row>
    <row r="2952" customFormat="false" ht="15" hidden="false" customHeight="false" outlineLevel="0" collapsed="false">
      <c r="A2952" s="0" t="s">
        <v>743</v>
      </c>
      <c r="C2952" s="0" t="n">
        <v>2015</v>
      </c>
    </row>
    <row r="2953" customFormat="false" ht="15" hidden="false" customHeight="false" outlineLevel="0" collapsed="false">
      <c r="A2953" s="0" t="s">
        <v>743</v>
      </c>
      <c r="C2953" s="0" t="n">
        <v>2016</v>
      </c>
    </row>
    <row r="2954" customFormat="false" ht="15" hidden="false" customHeight="false" outlineLevel="0" collapsed="false">
      <c r="A2954" s="0" t="s">
        <v>743</v>
      </c>
      <c r="C2954" s="0" t="n">
        <v>2017</v>
      </c>
    </row>
    <row r="2955" customFormat="false" ht="15" hidden="false" customHeight="false" outlineLevel="0" collapsed="false">
      <c r="A2955" s="0" t="s">
        <v>743</v>
      </c>
      <c r="C2955" s="0" t="n">
        <v>2018</v>
      </c>
    </row>
    <row r="2956" customFormat="false" ht="15" hidden="false" customHeight="false" outlineLevel="0" collapsed="false">
      <c r="A2956" s="0" t="s">
        <v>743</v>
      </c>
      <c r="C2956" s="0" t="n">
        <v>2019</v>
      </c>
    </row>
    <row r="2957" customFormat="false" ht="15" hidden="false" customHeight="false" outlineLevel="0" collapsed="false">
      <c r="A2957" s="0" t="s">
        <v>743</v>
      </c>
      <c r="C2957" s="0" t="n">
        <v>2020</v>
      </c>
    </row>
    <row r="2958" customFormat="false" ht="15" hidden="false" customHeight="false" outlineLevel="0" collapsed="false">
      <c r="A2958" s="0" t="s">
        <v>743</v>
      </c>
      <c r="C2958" s="0" t="n">
        <v>2021</v>
      </c>
    </row>
    <row r="2959" customFormat="false" ht="15" hidden="false" customHeight="false" outlineLevel="0" collapsed="false">
      <c r="A2959" s="0" t="s">
        <v>743</v>
      </c>
      <c r="C2959" s="0" t="n">
        <v>2022</v>
      </c>
    </row>
    <row r="2960" customFormat="false" ht="15" hidden="false" customHeight="false" outlineLevel="0" collapsed="false">
      <c r="A2960" s="0" t="s">
        <v>743</v>
      </c>
      <c r="C2960" s="0" t="n">
        <v>2023</v>
      </c>
    </row>
    <row r="2961" customFormat="false" ht="15" hidden="false" customHeight="false" outlineLevel="0" collapsed="false">
      <c r="A2961" s="0" t="s">
        <v>744</v>
      </c>
      <c r="C2961" s="0" t="n">
        <v>2015</v>
      </c>
    </row>
    <row r="2962" customFormat="false" ht="15" hidden="false" customHeight="false" outlineLevel="0" collapsed="false">
      <c r="A2962" s="0" t="s">
        <v>744</v>
      </c>
      <c r="C2962" s="0" t="n">
        <v>2016</v>
      </c>
    </row>
    <row r="2963" customFormat="false" ht="15" hidden="false" customHeight="false" outlineLevel="0" collapsed="false">
      <c r="A2963" s="0" t="s">
        <v>745</v>
      </c>
      <c r="C2963" s="0" t="n">
        <v>2015</v>
      </c>
      <c r="E2963" s="0" t="n">
        <v>64.381</v>
      </c>
      <c r="I2963" s="0" t="n">
        <v>0</v>
      </c>
      <c r="J2963" s="0" t="n">
        <v>15.963</v>
      </c>
      <c r="K2963" s="0" t="n">
        <v>0.108</v>
      </c>
      <c r="L2963" s="0" t="n">
        <v>0.183</v>
      </c>
    </row>
    <row r="2964" customFormat="false" ht="15" hidden="false" customHeight="false" outlineLevel="0" collapsed="false">
      <c r="A2964" s="0" t="s">
        <v>745</v>
      </c>
      <c r="C2964" s="0" t="n">
        <v>2016</v>
      </c>
      <c r="E2964" s="0" t="n">
        <v>69.146</v>
      </c>
      <c r="I2964" s="0" t="n">
        <v>0</v>
      </c>
      <c r="J2964" s="0" t="n">
        <v>18.4</v>
      </c>
      <c r="K2964" s="0" t="n">
        <v>0.389</v>
      </c>
      <c r="L2964" s="0" t="n">
        <v>0.181</v>
      </c>
    </row>
    <row r="2965" customFormat="false" ht="15" hidden="false" customHeight="false" outlineLevel="0" collapsed="false">
      <c r="A2965" s="0" t="s">
        <v>745</v>
      </c>
      <c r="C2965" s="0" t="n">
        <v>2017</v>
      </c>
      <c r="E2965" s="0" t="n">
        <v>71.676</v>
      </c>
      <c r="I2965" s="0" t="n">
        <v>0</v>
      </c>
      <c r="J2965" s="0" t="n">
        <v>18.792</v>
      </c>
      <c r="K2965" s="0" t="n">
        <v>0.298</v>
      </c>
      <c r="L2965" s="0" t="n">
        <v>0.18</v>
      </c>
    </row>
    <row r="2966" customFormat="false" ht="15" hidden="false" customHeight="false" outlineLevel="0" collapsed="false">
      <c r="A2966" s="0" t="s">
        <v>745</v>
      </c>
      <c r="C2966" s="0" t="n">
        <v>2018</v>
      </c>
      <c r="E2966" s="0" t="n">
        <v>74.318</v>
      </c>
      <c r="I2966" s="0" t="n">
        <v>0</v>
      </c>
      <c r="J2966" s="0" t="n">
        <v>19.94</v>
      </c>
      <c r="K2966" s="0" t="n">
        <v>0.634</v>
      </c>
      <c r="L2966" s="0" t="n">
        <v>0.192</v>
      </c>
    </row>
    <row r="2967" customFormat="false" ht="15" hidden="false" customHeight="false" outlineLevel="0" collapsed="false">
      <c r="A2967" s="0" t="s">
        <v>745</v>
      </c>
      <c r="C2967" s="0" t="n">
        <v>2019</v>
      </c>
      <c r="E2967" s="0" t="n">
        <v>82.12</v>
      </c>
      <c r="I2967" s="0" t="n">
        <v>0</v>
      </c>
      <c r="J2967" s="0" t="n">
        <v>22.51</v>
      </c>
      <c r="K2967" s="0" t="n">
        <v>0.807</v>
      </c>
      <c r="L2967" s="0" t="n">
        <v>0.232</v>
      </c>
    </row>
    <row r="2968" customFormat="false" ht="15" hidden="false" customHeight="false" outlineLevel="0" collapsed="false">
      <c r="A2968" s="0" t="s">
        <v>745</v>
      </c>
      <c r="C2968" s="0" t="n">
        <v>2020</v>
      </c>
      <c r="E2968" s="0" t="n">
        <v>87.916</v>
      </c>
      <c r="I2968" s="0" t="n">
        <v>0</v>
      </c>
      <c r="J2968" s="0" t="n">
        <v>22.443</v>
      </c>
      <c r="K2968" s="0" t="n">
        <v>0.903</v>
      </c>
      <c r="L2968" s="0" t="n">
        <v>0.416</v>
      </c>
    </row>
    <row r="2969" customFormat="false" ht="15" hidden="false" customHeight="false" outlineLevel="0" collapsed="false">
      <c r="A2969" s="0" t="s">
        <v>745</v>
      </c>
      <c r="C2969" s="0" t="n">
        <v>2021</v>
      </c>
      <c r="E2969" s="0" t="n">
        <v>94.842</v>
      </c>
      <c r="I2969" s="0" t="n">
        <v>0</v>
      </c>
      <c r="J2969" s="0" t="n">
        <v>24.301</v>
      </c>
      <c r="K2969" s="0" t="n">
        <v>1.181</v>
      </c>
      <c r="L2969" s="0" t="n">
        <v>0.608</v>
      </c>
    </row>
    <row r="2970" customFormat="false" ht="15" hidden="false" customHeight="false" outlineLevel="0" collapsed="false">
      <c r="A2970" s="0" t="s">
        <v>745</v>
      </c>
      <c r="C2970" s="0" t="n">
        <v>2022</v>
      </c>
      <c r="E2970" s="0" t="n">
        <v>95.739</v>
      </c>
      <c r="I2970" s="0" t="n">
        <v>0</v>
      </c>
      <c r="J2970" s="0" t="n">
        <v>25.706</v>
      </c>
      <c r="K2970" s="0" t="n">
        <v>1.299</v>
      </c>
      <c r="L2970" s="0" t="n">
        <v>0.602</v>
      </c>
    </row>
    <row r="2971" customFormat="false" ht="15" hidden="false" customHeight="false" outlineLevel="0" collapsed="false">
      <c r="A2971" s="0" t="s">
        <v>745</v>
      </c>
      <c r="C2971" s="0" t="n">
        <v>2023</v>
      </c>
      <c r="E2971" s="0" t="n">
        <v>101.89</v>
      </c>
      <c r="I2971" s="0" t="n">
        <v>0</v>
      </c>
      <c r="J2971" s="0" t="n">
        <v>27.87</v>
      </c>
      <c r="K2971" s="0" t="n">
        <v>1.537</v>
      </c>
      <c r="L2971" s="0" t="n">
        <v>0.992</v>
      </c>
    </row>
    <row r="2972" customFormat="false" ht="15" hidden="false" customHeight="false" outlineLevel="0" collapsed="false">
      <c r="A2972" s="0" t="s">
        <v>745</v>
      </c>
      <c r="C2972" s="0" t="n">
        <v>2024</v>
      </c>
      <c r="E2972" s="0" t="n">
        <v>104.464</v>
      </c>
      <c r="I2972" s="0" t="n">
        <v>0</v>
      </c>
      <c r="J2972" s="0" t="n">
        <v>30.011</v>
      </c>
      <c r="K2972" s="0" t="n">
        <v>1.816</v>
      </c>
      <c r="L2972" s="0" t="n">
        <v>0.995</v>
      </c>
    </row>
    <row r="2973" customFormat="false" ht="15" hidden="false" customHeight="false" outlineLevel="0" collapsed="false">
      <c r="A2973" s="0" t="s">
        <v>746</v>
      </c>
      <c r="C2973" s="0" t="n">
        <v>2015</v>
      </c>
    </row>
    <row r="2974" customFormat="false" ht="15" hidden="false" customHeight="false" outlineLevel="0" collapsed="false">
      <c r="A2974" s="0" t="s">
        <v>746</v>
      </c>
      <c r="C2974" s="0" t="n">
        <v>2016</v>
      </c>
    </row>
    <row r="2975" customFormat="false" ht="15" hidden="false" customHeight="false" outlineLevel="0" collapsed="false">
      <c r="A2975" s="0" t="s">
        <v>746</v>
      </c>
      <c r="C2975" s="0" t="n">
        <v>2017</v>
      </c>
    </row>
    <row r="2976" customFormat="false" ht="15" hidden="false" customHeight="false" outlineLevel="0" collapsed="false">
      <c r="A2976" s="0" t="s">
        <v>746</v>
      </c>
      <c r="C2976" s="0" t="n">
        <v>2018</v>
      </c>
    </row>
    <row r="2977" customFormat="false" ht="15" hidden="false" customHeight="false" outlineLevel="0" collapsed="false">
      <c r="A2977" s="0" t="s">
        <v>746</v>
      </c>
      <c r="C2977" s="0" t="n">
        <v>2019</v>
      </c>
    </row>
    <row r="2978" customFormat="false" ht="15" hidden="false" customHeight="false" outlineLevel="0" collapsed="false">
      <c r="A2978" s="0" t="s">
        <v>746</v>
      </c>
      <c r="C2978" s="0" t="n">
        <v>2020</v>
      </c>
    </row>
    <row r="2979" customFormat="false" ht="15" hidden="false" customHeight="false" outlineLevel="0" collapsed="false">
      <c r="A2979" s="0" t="s">
        <v>746</v>
      </c>
      <c r="C2979" s="0" t="n">
        <v>2021</v>
      </c>
    </row>
    <row r="2980" customFormat="false" ht="15" hidden="false" customHeight="false" outlineLevel="0" collapsed="false">
      <c r="A2980" s="0" t="s">
        <v>746</v>
      </c>
      <c r="C2980" s="0" t="n">
        <v>2022</v>
      </c>
    </row>
    <row r="2981" customFormat="false" ht="15" hidden="false" customHeight="false" outlineLevel="0" collapsed="false">
      <c r="A2981" s="0" t="s">
        <v>746</v>
      </c>
      <c r="C2981" s="0" t="n">
        <v>2023</v>
      </c>
    </row>
    <row r="2982" customFormat="false" ht="15" hidden="false" customHeight="false" outlineLevel="0" collapsed="false">
      <c r="A2982" s="0" t="s">
        <v>747</v>
      </c>
      <c r="B2982" s="0" t="s">
        <v>748</v>
      </c>
      <c r="C2982" s="0" t="n">
        <v>2015</v>
      </c>
      <c r="D2982" s="0" t="n">
        <v>486232</v>
      </c>
    </row>
    <row r="2983" customFormat="false" ht="15" hidden="false" customHeight="false" outlineLevel="0" collapsed="false">
      <c r="A2983" s="0" t="s">
        <v>747</v>
      </c>
      <c r="B2983" s="0" t="s">
        <v>748</v>
      </c>
      <c r="C2983" s="0" t="n">
        <v>2016</v>
      </c>
      <c r="D2983" s="0" t="n">
        <v>499658</v>
      </c>
    </row>
    <row r="2984" customFormat="false" ht="15" hidden="false" customHeight="false" outlineLevel="0" collapsed="false">
      <c r="A2984" s="0" t="s">
        <v>747</v>
      </c>
      <c r="B2984" s="0" t="s">
        <v>748</v>
      </c>
      <c r="C2984" s="0" t="n">
        <v>2017</v>
      </c>
      <c r="D2984" s="0" t="n">
        <v>512851</v>
      </c>
    </row>
    <row r="2985" customFormat="false" ht="15" hidden="false" customHeight="false" outlineLevel="0" collapsed="false">
      <c r="A2985" s="0" t="s">
        <v>747</v>
      </c>
      <c r="B2985" s="0" t="s">
        <v>748</v>
      </c>
      <c r="C2985" s="0" t="n">
        <v>2018</v>
      </c>
      <c r="D2985" s="0" t="n">
        <v>525790</v>
      </c>
    </row>
    <row r="2986" customFormat="false" ht="15" hidden="false" customHeight="false" outlineLevel="0" collapsed="false">
      <c r="A2986" s="0" t="s">
        <v>747</v>
      </c>
      <c r="B2986" s="0" t="s">
        <v>748</v>
      </c>
      <c r="C2986" s="0" t="n">
        <v>2019</v>
      </c>
      <c r="D2986" s="0" t="n">
        <v>538450</v>
      </c>
    </row>
    <row r="2987" customFormat="false" ht="15" hidden="false" customHeight="false" outlineLevel="0" collapsed="false">
      <c r="A2987" s="0" t="s">
        <v>747</v>
      </c>
      <c r="B2987" s="0" t="s">
        <v>748</v>
      </c>
      <c r="C2987" s="0" t="n">
        <v>2020</v>
      </c>
      <c r="D2987" s="0" t="n">
        <v>549374</v>
      </c>
    </row>
    <row r="2988" customFormat="false" ht="15" hidden="false" customHeight="false" outlineLevel="0" collapsed="false">
      <c r="A2988" s="0" t="s">
        <v>747</v>
      </c>
      <c r="B2988" s="0" t="s">
        <v>748</v>
      </c>
      <c r="C2988" s="0" t="n">
        <v>2021</v>
      </c>
      <c r="D2988" s="0" t="n">
        <v>558625</v>
      </c>
    </row>
    <row r="2989" customFormat="false" ht="15" hidden="false" customHeight="false" outlineLevel="0" collapsed="false">
      <c r="A2989" s="0" t="s">
        <v>747</v>
      </c>
      <c r="B2989" s="0" t="s">
        <v>748</v>
      </c>
      <c r="C2989" s="0" t="n">
        <v>2022</v>
      </c>
      <c r="D2989" s="0" t="n">
        <v>568746</v>
      </c>
    </row>
    <row r="2990" customFormat="false" ht="15" hidden="false" customHeight="false" outlineLevel="0" collapsed="false">
      <c r="A2990" s="0" t="s">
        <v>747</v>
      </c>
      <c r="B2990" s="0" t="s">
        <v>748</v>
      </c>
      <c r="C2990" s="0" t="n">
        <v>2023</v>
      </c>
      <c r="D2990" s="0" t="n">
        <v>579734</v>
      </c>
    </row>
    <row r="2991" customFormat="false" ht="15" hidden="false" customHeight="false" outlineLevel="0" collapsed="false">
      <c r="A2991" s="0" t="s">
        <v>418</v>
      </c>
      <c r="C2991" s="0" t="n">
        <v>2015</v>
      </c>
      <c r="D2991" s="0" t="n">
        <v>7470491876</v>
      </c>
      <c r="E2991" s="0" t="n">
        <v>24002.35</v>
      </c>
      <c r="F2991" s="0" t="n">
        <v>9283.61</v>
      </c>
      <c r="G2991" s="0" t="n">
        <v>5539.88</v>
      </c>
      <c r="H2991" s="0" t="n">
        <v>1133.29</v>
      </c>
      <c r="I2991" s="0" t="n">
        <v>2532.93</v>
      </c>
      <c r="J2991" s="0" t="n">
        <v>3882.13</v>
      </c>
      <c r="K2991" s="0" t="n">
        <v>256.01</v>
      </c>
      <c r="L2991" s="0" t="n">
        <v>829.63</v>
      </c>
      <c r="M2991" s="0" t="n">
        <v>471.79</v>
      </c>
      <c r="N2991" s="0" t="n">
        <v>73.08</v>
      </c>
      <c r="O2991" s="0" t="n">
        <v>533.38</v>
      </c>
    </row>
    <row r="2992" customFormat="false" ht="15" hidden="false" customHeight="false" outlineLevel="0" collapsed="false">
      <c r="A2992" s="0" t="s">
        <v>418</v>
      </c>
      <c r="C2992" s="0" t="n">
        <v>2016</v>
      </c>
      <c r="D2992" s="0" t="n">
        <v>7558554527</v>
      </c>
      <c r="E2992" s="0" t="n">
        <v>24694.51</v>
      </c>
      <c r="F2992" s="0" t="n">
        <v>9327.96</v>
      </c>
      <c r="G2992" s="0" t="n">
        <v>5849.92</v>
      </c>
      <c r="H2992" s="0" t="n">
        <v>1085.11</v>
      </c>
      <c r="I2992" s="0" t="n">
        <v>2571.05</v>
      </c>
      <c r="J2992" s="0" t="n">
        <v>4014.75</v>
      </c>
      <c r="K2992" s="0" t="n">
        <v>327.47</v>
      </c>
      <c r="L2992" s="0" t="n">
        <v>960.3</v>
      </c>
      <c r="M2992" s="0" t="n">
        <v>482.08</v>
      </c>
      <c r="N2992" s="0" t="n">
        <v>75.87</v>
      </c>
      <c r="O2992" s="0" t="n">
        <v>525.3</v>
      </c>
    </row>
    <row r="2993" customFormat="false" ht="15" hidden="false" customHeight="false" outlineLevel="0" collapsed="false">
      <c r="A2993" s="0" t="s">
        <v>418</v>
      </c>
      <c r="C2993" s="0" t="n">
        <v>2017</v>
      </c>
      <c r="D2993" s="0" t="n">
        <v>7645617952</v>
      </c>
      <c r="E2993" s="0" t="n">
        <v>25441.039</v>
      </c>
      <c r="F2993" s="0" t="n">
        <v>9655.05</v>
      </c>
      <c r="G2993" s="0" t="n">
        <v>5973.6</v>
      </c>
      <c r="H2993" s="0" t="n">
        <v>993.83</v>
      </c>
      <c r="I2993" s="0" t="n">
        <v>2594.23</v>
      </c>
      <c r="J2993" s="0" t="n">
        <v>4054.03</v>
      </c>
      <c r="K2993" s="0" t="n">
        <v>444.65</v>
      </c>
      <c r="L2993" s="0" t="n">
        <v>1139.44</v>
      </c>
      <c r="M2993" s="0" t="n">
        <v>507.39</v>
      </c>
      <c r="N2993" s="0" t="n">
        <v>78.82</v>
      </c>
      <c r="O2993" s="0" t="n">
        <v>522.04</v>
      </c>
    </row>
    <row r="2994" customFormat="false" ht="15" hidden="false" customHeight="false" outlineLevel="0" collapsed="false">
      <c r="A2994" s="0" t="s">
        <v>418</v>
      </c>
      <c r="C2994" s="0" t="n">
        <v>2018</v>
      </c>
      <c r="D2994" s="0" t="n">
        <v>7729902779</v>
      </c>
      <c r="E2994" s="0" t="n">
        <v>26464.49</v>
      </c>
      <c r="F2994" s="0" t="n">
        <v>10033.03</v>
      </c>
      <c r="G2994" s="0" t="n">
        <v>6224.56</v>
      </c>
      <c r="H2994" s="0" t="n">
        <v>908.6</v>
      </c>
      <c r="I2994" s="0" t="n">
        <v>2658.7</v>
      </c>
      <c r="J2994" s="0" t="n">
        <v>4176.84</v>
      </c>
      <c r="K2994" s="0" t="n">
        <v>575.16</v>
      </c>
      <c r="L2994" s="0" t="n">
        <v>1268.14</v>
      </c>
      <c r="M2994" s="0" t="n">
        <v>537.74</v>
      </c>
      <c r="N2994" s="0" t="n">
        <v>81.72</v>
      </c>
      <c r="O2994" s="0" t="n">
        <v>518.51</v>
      </c>
    </row>
    <row r="2995" customFormat="false" ht="15" hidden="false" customHeight="false" outlineLevel="0" collapsed="false">
      <c r="A2995" s="0" t="s">
        <v>418</v>
      </c>
      <c r="C2995" s="0" t="n">
        <v>2019</v>
      </c>
      <c r="D2995" s="0" t="n">
        <v>7811293699</v>
      </c>
      <c r="E2995" s="0" t="n">
        <v>26832.42</v>
      </c>
      <c r="F2995" s="0" t="n">
        <v>9826.39</v>
      </c>
      <c r="G2995" s="0" t="n">
        <v>6401.31</v>
      </c>
      <c r="H2995" s="0" t="n">
        <v>855.03</v>
      </c>
      <c r="I2995" s="0" t="n">
        <v>2754.08</v>
      </c>
      <c r="J2995" s="0" t="n">
        <v>4227.76</v>
      </c>
      <c r="K2995" s="0" t="n">
        <v>697.94</v>
      </c>
      <c r="L2995" s="0" t="n">
        <v>1420.96</v>
      </c>
      <c r="M2995" s="0" t="n">
        <v>566</v>
      </c>
      <c r="N2995" s="0" t="n">
        <v>82.95</v>
      </c>
      <c r="O2995" s="0" t="n">
        <v>505.75</v>
      </c>
    </row>
    <row r="2996" customFormat="false" ht="15" hidden="false" customHeight="false" outlineLevel="0" collapsed="false">
      <c r="A2996" s="0" t="s">
        <v>418</v>
      </c>
      <c r="C2996" s="0" t="n">
        <v>2020</v>
      </c>
      <c r="D2996" s="0" t="n">
        <v>7887001289</v>
      </c>
      <c r="E2996" s="0" t="n">
        <v>26723.369</v>
      </c>
      <c r="F2996" s="0" t="n">
        <v>9437.05</v>
      </c>
      <c r="G2996" s="0" t="n">
        <v>6382.94</v>
      </c>
      <c r="H2996" s="0" t="n">
        <v>775.88</v>
      </c>
      <c r="I2996" s="0" t="n">
        <v>2648.33</v>
      </c>
      <c r="J2996" s="0" t="n">
        <v>4347.02</v>
      </c>
      <c r="K2996" s="0" t="n">
        <v>853.39</v>
      </c>
      <c r="L2996" s="0" t="n">
        <v>1591.47</v>
      </c>
      <c r="M2996" s="0" t="n">
        <v>601.17</v>
      </c>
      <c r="N2996" s="0" t="n">
        <v>86.12</v>
      </c>
      <c r="O2996" s="0" t="n">
        <v>492.11</v>
      </c>
    </row>
    <row r="2997" customFormat="false" ht="15" hidden="false" customHeight="false" outlineLevel="0" collapsed="false">
      <c r="A2997" s="0" t="s">
        <v>418</v>
      </c>
      <c r="C2997" s="0" t="n">
        <v>2021</v>
      </c>
      <c r="D2997" s="0" t="n">
        <v>7954448387</v>
      </c>
      <c r="E2997" s="0" t="n">
        <v>28259.07</v>
      </c>
      <c r="F2997" s="0" t="n">
        <v>10156.49</v>
      </c>
      <c r="G2997" s="0" t="n">
        <v>6556.63</v>
      </c>
      <c r="H2997" s="0" t="n">
        <v>842.25</v>
      </c>
      <c r="I2997" s="0" t="n">
        <v>2762.44</v>
      </c>
      <c r="J2997" s="0" t="n">
        <v>4288.7</v>
      </c>
      <c r="K2997" s="0" t="n">
        <v>1053.99</v>
      </c>
      <c r="L2997" s="0" t="n">
        <v>1856.94</v>
      </c>
      <c r="M2997" s="0" t="n">
        <v>655.3</v>
      </c>
      <c r="N2997" s="0" t="n">
        <v>86.33</v>
      </c>
      <c r="O2997" s="0" t="n">
        <v>494.81</v>
      </c>
    </row>
    <row r="2998" customFormat="false" ht="15" hidden="false" customHeight="false" outlineLevel="0" collapsed="false">
      <c r="A2998" s="0" t="s">
        <v>418</v>
      </c>
      <c r="C2998" s="0" t="n">
        <v>2022</v>
      </c>
      <c r="D2998" s="0" t="n">
        <v>8021407196</v>
      </c>
      <c r="E2998" s="0" t="n">
        <v>28917.76</v>
      </c>
      <c r="F2998" s="0" t="n">
        <v>10240.44</v>
      </c>
      <c r="G2998" s="0" t="n">
        <v>6628.27</v>
      </c>
      <c r="H2998" s="0" t="n">
        <v>887.42</v>
      </c>
      <c r="I2998" s="0" t="n">
        <v>2639.64</v>
      </c>
      <c r="J2998" s="0" t="n">
        <v>4324.07</v>
      </c>
      <c r="K2998" s="0" t="n">
        <v>1333.12</v>
      </c>
      <c r="L2998" s="0" t="n">
        <v>2107.66</v>
      </c>
      <c r="M2998" s="0" t="n">
        <v>669.2</v>
      </c>
      <c r="N2998" s="0" t="n">
        <v>87.94</v>
      </c>
      <c r="O2998" s="0" t="n">
        <v>489.52</v>
      </c>
    </row>
    <row r="2999" customFormat="false" ht="15" hidden="false" customHeight="false" outlineLevel="0" collapsed="false">
      <c r="A2999" s="0" t="s">
        <v>418</v>
      </c>
      <c r="C2999" s="0" t="n">
        <v>2023</v>
      </c>
      <c r="D2999" s="0" t="n">
        <v>8091734933</v>
      </c>
      <c r="E2999" s="0" t="n">
        <v>29665.34</v>
      </c>
      <c r="F2999" s="0" t="n">
        <v>10395.94</v>
      </c>
      <c r="G2999" s="0" t="n">
        <v>6699.42</v>
      </c>
      <c r="H2999" s="0" t="n">
        <v>876.79</v>
      </c>
      <c r="I2999" s="0" t="n">
        <v>2697.74</v>
      </c>
      <c r="J2999" s="0" t="n">
        <v>4240.11</v>
      </c>
      <c r="K2999" s="0" t="n">
        <v>1664.14</v>
      </c>
      <c r="L2999" s="0" t="n">
        <v>2319.18</v>
      </c>
      <c r="M2999" s="0" t="n">
        <v>683.62</v>
      </c>
      <c r="N2999" s="0" t="n">
        <v>88.4</v>
      </c>
      <c r="O2999" s="0" t="n">
        <v>483.18</v>
      </c>
    </row>
    <row r="3000" customFormat="false" ht="15" hidden="false" customHeight="false" outlineLevel="0" collapsed="false">
      <c r="A3000" s="0" t="s">
        <v>418</v>
      </c>
      <c r="C3000" s="0" t="n">
        <v>2024</v>
      </c>
      <c r="D3000" s="0" t="n">
        <v>8161972574</v>
      </c>
      <c r="E3000" s="0" t="n">
        <v>30930.23</v>
      </c>
      <c r="F3000" s="0" t="n">
        <v>10538.94</v>
      </c>
      <c r="G3000" s="0" t="n">
        <v>6882.73</v>
      </c>
      <c r="H3000" s="0" t="n">
        <v>853.84</v>
      </c>
      <c r="I3000" s="0" t="n">
        <v>2777.11</v>
      </c>
      <c r="J3000" s="0" t="n">
        <v>4433.65</v>
      </c>
      <c r="K3000" s="0" t="n">
        <v>2142.65</v>
      </c>
      <c r="L3000" s="0" t="n">
        <v>2509.5</v>
      </c>
      <c r="M3000" s="0" t="n">
        <v>703.37</v>
      </c>
      <c r="N3000" s="0" t="n">
        <v>88.44</v>
      </c>
      <c r="O3000" s="0" t="n">
        <v>471.08</v>
      </c>
    </row>
    <row r="3001" customFormat="false" ht="15" hidden="false" customHeight="false" outlineLevel="0" collapsed="false">
      <c r="A3001" s="0" t="s">
        <v>418</v>
      </c>
      <c r="C3001" s="0" t="n">
        <v>2025</v>
      </c>
      <c r="D3001" s="0" t="n">
        <v>8231613067</v>
      </c>
      <c r="E3001" s="0" t="n">
        <v>31772.35</v>
      </c>
      <c r="F3001" s="0" t="n">
        <v>10471.53</v>
      </c>
      <c r="G3001" s="0" t="n">
        <v>6921.14</v>
      </c>
      <c r="H3001" s="0" t="n">
        <v>841.62</v>
      </c>
      <c r="I3001" s="0" t="n">
        <v>2811.57</v>
      </c>
      <c r="J3001" s="0" t="n">
        <v>4434.97</v>
      </c>
      <c r="K3001" s="0" t="n">
        <v>2778.64</v>
      </c>
      <c r="L3001" s="0" t="n">
        <v>2713.14</v>
      </c>
      <c r="M3001" s="0" t="n">
        <v>710.41</v>
      </c>
      <c r="N3001" s="0" t="n">
        <v>89.33</v>
      </c>
      <c r="O3001" s="0" t="n">
        <v>458.29</v>
      </c>
    </row>
    <row r="3002" customFormat="false" ht="15" hidden="false" customHeight="false" outlineLevel="0" collapsed="false">
      <c r="A3002" s="0" t="s">
        <v>389</v>
      </c>
      <c r="B3002" s="0" t="s">
        <v>628</v>
      </c>
      <c r="C3002" s="0" t="n">
        <v>2015</v>
      </c>
      <c r="D3002" s="0" t="n">
        <v>31159378</v>
      </c>
      <c r="E3002" s="0" t="n">
        <v>5.76</v>
      </c>
      <c r="F3002" s="0" t="n">
        <v>0</v>
      </c>
      <c r="G3002" s="0" t="n">
        <v>2.26</v>
      </c>
      <c r="H3002" s="0" t="n">
        <v>3.38</v>
      </c>
      <c r="I3002" s="0" t="n">
        <v>0</v>
      </c>
      <c r="J3002" s="0" t="n">
        <v>0</v>
      </c>
      <c r="K3002" s="0" t="n">
        <v>0.12</v>
      </c>
      <c r="L3002" s="0" t="n">
        <v>0</v>
      </c>
      <c r="M3002" s="0" t="n">
        <v>0</v>
      </c>
      <c r="N3002" s="0" t="n">
        <v>0</v>
      </c>
      <c r="O3002" s="0" t="n">
        <v>713.54</v>
      </c>
    </row>
    <row r="3003" customFormat="false" ht="15" hidden="false" customHeight="false" outlineLevel="0" collapsed="false">
      <c r="A3003" s="0" t="s">
        <v>389</v>
      </c>
      <c r="B3003" s="0" t="s">
        <v>628</v>
      </c>
      <c r="C3003" s="0" t="n">
        <v>2016</v>
      </c>
      <c r="D3003" s="0" t="n">
        <v>32109023</v>
      </c>
      <c r="E3003" s="0" t="n">
        <v>4.81</v>
      </c>
      <c r="F3003" s="0" t="n">
        <v>0</v>
      </c>
      <c r="G3003" s="0" t="n">
        <v>1.58</v>
      </c>
      <c r="H3003" s="0" t="n">
        <v>3.07</v>
      </c>
      <c r="I3003" s="0" t="n">
        <v>0</v>
      </c>
      <c r="J3003" s="0" t="n">
        <v>0</v>
      </c>
      <c r="K3003" s="0" t="n">
        <v>0.16</v>
      </c>
      <c r="L3003" s="0" t="n">
        <v>0</v>
      </c>
      <c r="M3003" s="0" t="n">
        <v>0</v>
      </c>
      <c r="N3003" s="0" t="n">
        <v>0</v>
      </c>
      <c r="O3003" s="0" t="n">
        <v>694.39</v>
      </c>
    </row>
    <row r="3004" customFormat="false" ht="15" hidden="false" customHeight="false" outlineLevel="0" collapsed="false">
      <c r="A3004" s="0" t="s">
        <v>389</v>
      </c>
      <c r="B3004" s="0" t="s">
        <v>628</v>
      </c>
      <c r="C3004" s="0" t="n">
        <v>2017</v>
      </c>
      <c r="D3004" s="0" t="n">
        <v>33090923</v>
      </c>
      <c r="E3004" s="0" t="n">
        <v>4.05</v>
      </c>
      <c r="F3004" s="0" t="n">
        <v>0</v>
      </c>
      <c r="G3004" s="0" t="n">
        <v>0.95</v>
      </c>
      <c r="H3004" s="0" t="n">
        <v>2.91</v>
      </c>
      <c r="I3004" s="0" t="n">
        <v>0</v>
      </c>
      <c r="J3004" s="0" t="n">
        <v>0</v>
      </c>
      <c r="K3004" s="0" t="n">
        <v>0.19</v>
      </c>
      <c r="L3004" s="0" t="n">
        <v>0</v>
      </c>
      <c r="M3004" s="0" t="n">
        <v>0</v>
      </c>
      <c r="N3004" s="0" t="n">
        <v>0</v>
      </c>
      <c r="O3004" s="0" t="n">
        <v>669.14</v>
      </c>
    </row>
    <row r="3005" customFormat="false" ht="15" hidden="false" customHeight="false" outlineLevel="0" collapsed="false">
      <c r="A3005" s="0" t="s">
        <v>389</v>
      </c>
      <c r="B3005" s="0" t="s">
        <v>628</v>
      </c>
      <c r="C3005" s="0" t="n">
        <v>2018</v>
      </c>
      <c r="D3005" s="0" t="n">
        <v>34085181</v>
      </c>
      <c r="E3005" s="0" t="n">
        <v>3.49</v>
      </c>
      <c r="F3005" s="0" t="n">
        <v>0</v>
      </c>
      <c r="G3005" s="0" t="n">
        <v>0.32</v>
      </c>
      <c r="H3005" s="0" t="n">
        <v>2.69</v>
      </c>
      <c r="I3005" s="0" t="n">
        <v>0</v>
      </c>
      <c r="J3005" s="0" t="n">
        <v>0</v>
      </c>
      <c r="K3005" s="0" t="n">
        <v>0.48</v>
      </c>
      <c r="L3005" s="0" t="n">
        <v>0</v>
      </c>
      <c r="M3005" s="0" t="n">
        <v>0</v>
      </c>
      <c r="N3005" s="0" t="n">
        <v>0</v>
      </c>
      <c r="O3005" s="0" t="n">
        <v>590.26</v>
      </c>
    </row>
    <row r="3006" customFormat="false" ht="15" hidden="false" customHeight="false" outlineLevel="0" collapsed="false">
      <c r="A3006" s="0" t="s">
        <v>389</v>
      </c>
      <c r="B3006" s="0" t="s">
        <v>628</v>
      </c>
      <c r="C3006" s="0" t="n">
        <v>2019</v>
      </c>
      <c r="D3006" s="0" t="n">
        <v>35111416</v>
      </c>
      <c r="E3006" s="0" t="n">
        <v>3.28</v>
      </c>
      <c r="F3006" s="0" t="n">
        <v>0</v>
      </c>
      <c r="G3006" s="0" t="n">
        <v>0.32</v>
      </c>
      <c r="H3006" s="0" t="n">
        <v>2.48</v>
      </c>
      <c r="I3006" s="0" t="n">
        <v>0</v>
      </c>
      <c r="J3006" s="0" t="n">
        <v>0</v>
      </c>
      <c r="K3006" s="0" t="n">
        <v>0.48</v>
      </c>
      <c r="L3006" s="0" t="n">
        <v>0</v>
      </c>
      <c r="M3006" s="0" t="n">
        <v>0</v>
      </c>
      <c r="N3006" s="0" t="n">
        <v>0</v>
      </c>
      <c r="O3006" s="0" t="n">
        <v>585.37</v>
      </c>
    </row>
    <row r="3007" customFormat="false" ht="15" hidden="false" customHeight="false" outlineLevel="0" collapsed="false">
      <c r="A3007" s="0" t="s">
        <v>389</v>
      </c>
      <c r="B3007" s="0" t="s">
        <v>628</v>
      </c>
      <c r="C3007" s="0" t="n">
        <v>2020</v>
      </c>
      <c r="D3007" s="0" t="n">
        <v>36134867</v>
      </c>
      <c r="E3007" s="0" t="n">
        <v>2.94</v>
      </c>
      <c r="F3007" s="0" t="n">
        <v>0</v>
      </c>
      <c r="G3007" s="0" t="n">
        <v>0.41</v>
      </c>
      <c r="H3007" s="0" t="n">
        <v>2.04</v>
      </c>
      <c r="I3007" s="0" t="n">
        <v>0</v>
      </c>
      <c r="J3007" s="0" t="n">
        <v>0</v>
      </c>
      <c r="K3007" s="0" t="n">
        <v>0.49</v>
      </c>
      <c r="L3007" s="0" t="n">
        <v>0</v>
      </c>
      <c r="M3007" s="0" t="n">
        <v>0</v>
      </c>
      <c r="N3007" s="0" t="n">
        <v>0</v>
      </c>
      <c r="O3007" s="0" t="n">
        <v>578.23</v>
      </c>
    </row>
    <row r="3008" customFormat="false" ht="15" hidden="false" customHeight="false" outlineLevel="0" collapsed="false">
      <c r="A3008" s="0" t="s">
        <v>389</v>
      </c>
      <c r="B3008" s="0" t="s">
        <v>628</v>
      </c>
      <c r="C3008" s="0" t="n">
        <v>2021</v>
      </c>
      <c r="D3008" s="0" t="n">
        <v>37140234</v>
      </c>
      <c r="E3008" s="0" t="n">
        <v>2.92</v>
      </c>
      <c r="F3008" s="0" t="n">
        <v>0</v>
      </c>
      <c r="G3008" s="0" t="n">
        <v>0.63</v>
      </c>
      <c r="H3008" s="0" t="n">
        <v>1.79</v>
      </c>
      <c r="I3008" s="0" t="n">
        <v>0</v>
      </c>
      <c r="J3008" s="0" t="n">
        <v>0</v>
      </c>
      <c r="K3008" s="0" t="n">
        <v>0.5</v>
      </c>
      <c r="L3008" s="0" t="n">
        <v>0</v>
      </c>
      <c r="M3008" s="0" t="n">
        <v>0</v>
      </c>
      <c r="N3008" s="0" t="n">
        <v>0</v>
      </c>
      <c r="O3008" s="0" t="n">
        <v>589.04</v>
      </c>
    </row>
    <row r="3009" customFormat="false" ht="15" hidden="false" customHeight="false" outlineLevel="0" collapsed="false">
      <c r="A3009" s="0" t="s">
        <v>389</v>
      </c>
      <c r="B3009" s="0" t="s">
        <v>628</v>
      </c>
      <c r="C3009" s="0" t="n">
        <v>2022</v>
      </c>
      <c r="D3009" s="0" t="n">
        <v>38222878</v>
      </c>
      <c r="E3009" s="0" t="n">
        <v>3.03</v>
      </c>
      <c r="F3009" s="0" t="n">
        <v>0</v>
      </c>
      <c r="G3009" s="0" t="n">
        <v>0.54</v>
      </c>
      <c r="H3009" s="0" t="n">
        <v>1.98</v>
      </c>
      <c r="I3009" s="0" t="n">
        <v>0</v>
      </c>
      <c r="J3009" s="0" t="n">
        <v>0</v>
      </c>
      <c r="K3009" s="0" t="n">
        <v>0.51</v>
      </c>
      <c r="L3009" s="0" t="n">
        <v>0</v>
      </c>
      <c r="M3009" s="0" t="n">
        <v>0</v>
      </c>
      <c r="N3009" s="0" t="n">
        <v>0</v>
      </c>
      <c r="O3009" s="0" t="n">
        <v>584.16</v>
      </c>
    </row>
    <row r="3010" customFormat="false" ht="15" hidden="false" customHeight="false" outlineLevel="0" collapsed="false">
      <c r="A3010" s="0" t="s">
        <v>389</v>
      </c>
      <c r="B3010" s="0" t="s">
        <v>628</v>
      </c>
      <c r="C3010" s="0" t="n">
        <v>2023</v>
      </c>
      <c r="D3010" s="0" t="n">
        <v>39390800</v>
      </c>
      <c r="E3010" s="0" t="n">
        <v>5.12</v>
      </c>
      <c r="F3010" s="0" t="n">
        <v>0</v>
      </c>
      <c r="G3010" s="0" t="n">
        <v>0.06</v>
      </c>
      <c r="H3010" s="0" t="n">
        <v>4.54</v>
      </c>
      <c r="I3010" s="0" t="n">
        <v>0</v>
      </c>
      <c r="J3010" s="0" t="n">
        <v>0</v>
      </c>
      <c r="K3010" s="0" t="n">
        <v>0.52</v>
      </c>
      <c r="L3010" s="0" t="n">
        <v>0</v>
      </c>
      <c r="M3010" s="0" t="n">
        <v>0</v>
      </c>
      <c r="N3010" s="0" t="n">
        <v>0</v>
      </c>
      <c r="O3010" s="0" t="n">
        <v>597.66</v>
      </c>
    </row>
    <row r="3011" customFormat="false" ht="15" hidden="false" customHeight="false" outlineLevel="0" collapsed="false">
      <c r="A3011" s="0" t="s">
        <v>389</v>
      </c>
      <c r="B3011" s="0" t="s">
        <v>628</v>
      </c>
      <c r="C3011" s="0" t="n">
        <v>2024</v>
      </c>
      <c r="D3011" s="0" t="n">
        <v>40583173</v>
      </c>
      <c r="E3011" s="0" t="n">
        <v>5.25</v>
      </c>
      <c r="F3011" s="0" t="n">
        <v>0</v>
      </c>
      <c r="G3011" s="0" t="n">
        <v>0.06</v>
      </c>
      <c r="H3011" s="0" t="n">
        <v>4.6</v>
      </c>
      <c r="I3011" s="0" t="n">
        <v>0</v>
      </c>
      <c r="J3011" s="0" t="n">
        <v>0</v>
      </c>
      <c r="K3011" s="0" t="n">
        <v>0.59</v>
      </c>
      <c r="L3011" s="0" t="n">
        <v>0</v>
      </c>
      <c r="M3011" s="0" t="n">
        <v>0</v>
      </c>
      <c r="N3011" s="0" t="n">
        <v>0</v>
      </c>
      <c r="O3011" s="0" t="n">
        <v>592.38</v>
      </c>
    </row>
    <row r="3012" customFormat="false" ht="15" hidden="false" customHeight="false" outlineLevel="0" collapsed="false">
      <c r="A3012" s="0" t="s">
        <v>390</v>
      </c>
      <c r="B3012" s="0" t="s">
        <v>629</v>
      </c>
      <c r="C3012" s="0" t="n">
        <v>2015</v>
      </c>
      <c r="D3012" s="0" t="n">
        <v>16399092</v>
      </c>
      <c r="E3012" s="0" t="n">
        <v>13.51</v>
      </c>
      <c r="F3012" s="0" t="n">
        <v>0</v>
      </c>
      <c r="G3012" s="0" t="n">
        <v>0</v>
      </c>
      <c r="H3012" s="0" t="n">
        <v>0.4</v>
      </c>
      <c r="I3012" s="0" t="n">
        <v>0</v>
      </c>
      <c r="J3012" s="0" t="n">
        <v>13.04</v>
      </c>
      <c r="K3012" s="0" t="n">
        <v>0</v>
      </c>
      <c r="L3012" s="0" t="n">
        <v>0</v>
      </c>
      <c r="M3012" s="0" t="n">
        <v>0.07</v>
      </c>
      <c r="N3012" s="0" t="n">
        <v>0</v>
      </c>
      <c r="O3012" s="0" t="n">
        <v>43.67</v>
      </c>
    </row>
    <row r="3013" customFormat="false" ht="15" hidden="false" customHeight="false" outlineLevel="0" collapsed="false">
      <c r="A3013" s="0" t="s">
        <v>390</v>
      </c>
      <c r="B3013" s="0" t="s">
        <v>629</v>
      </c>
      <c r="C3013" s="0" t="n">
        <v>2016</v>
      </c>
      <c r="D3013" s="0" t="n">
        <v>16914428</v>
      </c>
      <c r="E3013" s="0" t="n">
        <v>11.77</v>
      </c>
      <c r="F3013" s="0" t="n">
        <v>0.33</v>
      </c>
      <c r="G3013" s="0" t="n">
        <v>0</v>
      </c>
      <c r="H3013" s="0" t="n">
        <v>0.34</v>
      </c>
      <c r="I3013" s="0" t="n">
        <v>0</v>
      </c>
      <c r="J3013" s="0" t="n">
        <v>11.02</v>
      </c>
      <c r="K3013" s="0" t="n">
        <v>0</v>
      </c>
      <c r="L3013" s="0" t="n">
        <v>0</v>
      </c>
      <c r="M3013" s="0" t="n">
        <v>0.08</v>
      </c>
      <c r="N3013" s="0" t="n">
        <v>0</v>
      </c>
      <c r="O3013" s="0" t="n">
        <v>65.42</v>
      </c>
    </row>
    <row r="3014" customFormat="false" ht="15" hidden="false" customHeight="false" outlineLevel="0" collapsed="false">
      <c r="A3014" s="0" t="s">
        <v>390</v>
      </c>
      <c r="B3014" s="0" t="s">
        <v>629</v>
      </c>
      <c r="C3014" s="0" t="n">
        <v>2017</v>
      </c>
      <c r="D3014" s="0" t="n">
        <v>17441328</v>
      </c>
      <c r="E3014" s="0" t="n">
        <v>14.56</v>
      </c>
      <c r="F3014" s="0" t="n">
        <v>1.28</v>
      </c>
      <c r="G3014" s="0" t="n">
        <v>0</v>
      </c>
      <c r="H3014" s="0" t="n">
        <v>0.71</v>
      </c>
      <c r="I3014" s="0" t="n">
        <v>0</v>
      </c>
      <c r="J3014" s="0" t="n">
        <v>12.49</v>
      </c>
      <c r="K3014" s="0" t="n">
        <v>0</v>
      </c>
      <c r="L3014" s="0" t="n">
        <v>0</v>
      </c>
      <c r="M3014" s="0" t="n">
        <v>0.08</v>
      </c>
      <c r="N3014" s="0" t="n">
        <v>0</v>
      </c>
      <c r="O3014" s="0" t="n">
        <v>125</v>
      </c>
    </row>
    <row r="3015" customFormat="false" ht="15" hidden="false" customHeight="false" outlineLevel="0" collapsed="false">
      <c r="A3015" s="0" t="s">
        <v>390</v>
      </c>
      <c r="B3015" s="0" t="s">
        <v>629</v>
      </c>
      <c r="C3015" s="0" t="n">
        <v>2018</v>
      </c>
      <c r="D3015" s="0" t="n">
        <v>17973574</v>
      </c>
      <c r="E3015" s="0" t="n">
        <v>16.28</v>
      </c>
      <c r="F3015" s="0" t="n">
        <v>2.04</v>
      </c>
      <c r="G3015" s="0" t="n">
        <v>0</v>
      </c>
      <c r="H3015" s="0" t="n">
        <v>0.46</v>
      </c>
      <c r="I3015" s="0" t="n">
        <v>0</v>
      </c>
      <c r="J3015" s="0" t="n">
        <v>13.71</v>
      </c>
      <c r="K3015" s="0" t="n">
        <v>0</v>
      </c>
      <c r="L3015" s="0" t="n">
        <v>0</v>
      </c>
      <c r="M3015" s="0" t="n">
        <v>0.07</v>
      </c>
      <c r="N3015" s="0" t="n">
        <v>0</v>
      </c>
      <c r="O3015" s="0" t="n">
        <v>140.66</v>
      </c>
    </row>
    <row r="3016" customFormat="false" ht="15" hidden="false" customHeight="false" outlineLevel="0" collapsed="false">
      <c r="A3016" s="0" t="s">
        <v>390</v>
      </c>
      <c r="B3016" s="0" t="s">
        <v>629</v>
      </c>
      <c r="C3016" s="0" t="n">
        <v>2019</v>
      </c>
      <c r="D3016" s="0" t="n">
        <v>18513839</v>
      </c>
      <c r="E3016" s="0" t="n">
        <v>14.79</v>
      </c>
      <c r="F3016" s="0" t="n">
        <v>1.67</v>
      </c>
      <c r="G3016" s="0" t="n">
        <v>0</v>
      </c>
      <c r="H3016" s="0" t="n">
        <v>0.6</v>
      </c>
      <c r="I3016" s="0" t="n">
        <v>0</v>
      </c>
      <c r="J3016" s="0" t="n">
        <v>12.33</v>
      </c>
      <c r="K3016" s="0" t="n">
        <v>0.12</v>
      </c>
      <c r="L3016" s="0" t="n">
        <v>0</v>
      </c>
      <c r="M3016" s="0" t="n">
        <v>0.07</v>
      </c>
      <c r="N3016" s="0" t="n">
        <v>0</v>
      </c>
      <c r="O3016" s="0" t="n">
        <v>138.61</v>
      </c>
    </row>
    <row r="3017" customFormat="false" ht="15" hidden="false" customHeight="false" outlineLevel="0" collapsed="false">
      <c r="A3017" s="0" t="s">
        <v>390</v>
      </c>
      <c r="B3017" s="0" t="s">
        <v>629</v>
      </c>
      <c r="C3017" s="0" t="n">
        <v>2020</v>
      </c>
      <c r="D3017" s="0" t="n">
        <v>19059394</v>
      </c>
      <c r="E3017" s="0" t="n">
        <v>15.23</v>
      </c>
      <c r="F3017" s="0" t="n">
        <v>1.89</v>
      </c>
      <c r="G3017" s="0" t="n">
        <v>0</v>
      </c>
      <c r="H3017" s="0" t="n">
        <v>0.32</v>
      </c>
      <c r="I3017" s="0" t="n">
        <v>0</v>
      </c>
      <c r="J3017" s="0" t="n">
        <v>12.79</v>
      </c>
      <c r="K3017" s="0" t="n">
        <v>0.15</v>
      </c>
      <c r="L3017" s="0" t="n">
        <v>0</v>
      </c>
      <c r="M3017" s="0" t="n">
        <v>0.08</v>
      </c>
      <c r="N3017" s="0" t="n">
        <v>0</v>
      </c>
      <c r="O3017" s="0" t="n">
        <v>135.26</v>
      </c>
    </row>
    <row r="3018" customFormat="false" ht="15" hidden="false" customHeight="false" outlineLevel="0" collapsed="false">
      <c r="A3018" s="0" t="s">
        <v>390</v>
      </c>
      <c r="B3018" s="0" t="s">
        <v>629</v>
      </c>
      <c r="C3018" s="0" t="n">
        <v>2021</v>
      </c>
      <c r="D3018" s="0" t="n">
        <v>19603610</v>
      </c>
      <c r="E3018" s="0" t="n">
        <v>17.72</v>
      </c>
      <c r="F3018" s="0" t="n">
        <v>1.3</v>
      </c>
      <c r="G3018" s="0" t="n">
        <v>0</v>
      </c>
      <c r="H3018" s="0" t="n">
        <v>0.12</v>
      </c>
      <c r="I3018" s="0" t="n">
        <v>0</v>
      </c>
      <c r="J3018" s="0" t="n">
        <v>16.07</v>
      </c>
      <c r="K3018" s="0" t="n">
        <v>0.15</v>
      </c>
      <c r="L3018" s="0" t="n">
        <v>0</v>
      </c>
      <c r="M3018" s="0" t="n">
        <v>0.08</v>
      </c>
      <c r="N3018" s="0" t="n">
        <v>0</v>
      </c>
      <c r="O3018" s="0" t="n">
        <v>86.91</v>
      </c>
    </row>
    <row r="3019" customFormat="false" ht="15" hidden="false" customHeight="false" outlineLevel="0" collapsed="false">
      <c r="A3019" s="0" t="s">
        <v>390</v>
      </c>
      <c r="B3019" s="0" t="s">
        <v>629</v>
      </c>
      <c r="C3019" s="0" t="n">
        <v>2022</v>
      </c>
      <c r="D3019" s="0" t="n">
        <v>20152935</v>
      </c>
      <c r="E3019" s="0" t="n">
        <v>19.47</v>
      </c>
      <c r="F3019" s="0" t="n">
        <v>2.16</v>
      </c>
      <c r="G3019" s="0" t="n">
        <v>0</v>
      </c>
      <c r="H3019" s="0" t="n">
        <v>0</v>
      </c>
      <c r="I3019" s="0" t="n">
        <v>0</v>
      </c>
      <c r="J3019" s="0" t="n">
        <v>17.09</v>
      </c>
      <c r="K3019" s="0" t="n">
        <v>0.14</v>
      </c>
      <c r="L3019" s="0" t="n">
        <v>0</v>
      </c>
      <c r="M3019" s="0" t="n">
        <v>0.08</v>
      </c>
      <c r="N3019" s="0" t="n">
        <v>0</v>
      </c>
      <c r="O3019" s="0" t="n">
        <v>111.97</v>
      </c>
    </row>
    <row r="3020" customFormat="false" ht="15" hidden="false" customHeight="false" outlineLevel="0" collapsed="false">
      <c r="A3020" s="0" t="s">
        <v>390</v>
      </c>
      <c r="B3020" s="0" t="s">
        <v>629</v>
      </c>
      <c r="C3020" s="0" t="n">
        <v>2023</v>
      </c>
      <c r="D3020" s="0" t="n">
        <v>20723967</v>
      </c>
      <c r="E3020" s="0" t="n">
        <v>19.46</v>
      </c>
      <c r="F3020" s="0" t="n">
        <v>2.13</v>
      </c>
      <c r="G3020" s="0" t="n">
        <v>0</v>
      </c>
      <c r="H3020" s="0" t="n">
        <v>0.01</v>
      </c>
      <c r="I3020" s="0" t="n">
        <v>0</v>
      </c>
      <c r="J3020" s="0" t="n">
        <v>17.09</v>
      </c>
      <c r="K3020" s="0" t="n">
        <v>0.15</v>
      </c>
      <c r="L3020" s="0" t="n">
        <v>0</v>
      </c>
      <c r="M3020" s="0" t="n">
        <v>0.08</v>
      </c>
      <c r="N3020" s="0" t="n">
        <v>0</v>
      </c>
      <c r="O3020" s="0" t="n">
        <v>111</v>
      </c>
    </row>
    <row r="3021" customFormat="false" ht="15" hidden="false" customHeight="false" outlineLevel="0" collapsed="false">
      <c r="A3021" s="0" t="s">
        <v>390</v>
      </c>
      <c r="B3021" s="0" t="s">
        <v>629</v>
      </c>
      <c r="C3021" s="0" t="n">
        <v>2024</v>
      </c>
      <c r="D3021" s="0" t="n">
        <v>21314962</v>
      </c>
      <c r="E3021" s="0" t="n">
        <v>19.72</v>
      </c>
      <c r="F3021" s="0" t="n">
        <v>2.13</v>
      </c>
      <c r="G3021" s="0" t="n">
        <v>0</v>
      </c>
      <c r="H3021" s="0" t="n">
        <v>0.34</v>
      </c>
      <c r="I3021" s="0" t="n">
        <v>0</v>
      </c>
      <c r="J3021" s="0" t="n">
        <v>17</v>
      </c>
      <c r="K3021" s="0" t="n">
        <v>0.17</v>
      </c>
      <c r="L3021" s="0" t="n">
        <v>0</v>
      </c>
      <c r="M3021" s="0" t="n">
        <v>0.08</v>
      </c>
      <c r="N3021" s="0" t="n">
        <v>0</v>
      </c>
      <c r="O3021" s="0" t="n">
        <v>119.68</v>
      </c>
    </row>
    <row r="3022" customFormat="false" ht="15" hidden="false" customHeight="false" outlineLevel="0" collapsed="false">
      <c r="A3022" s="0" t="s">
        <v>391</v>
      </c>
      <c r="B3022" s="0" t="s">
        <v>630</v>
      </c>
      <c r="C3022" s="0" t="n">
        <v>2015</v>
      </c>
      <c r="D3022" s="0" t="n">
        <v>14399008</v>
      </c>
      <c r="E3022" s="0" t="n">
        <v>9.59</v>
      </c>
      <c r="F3022" s="0" t="n">
        <v>4.54</v>
      </c>
      <c r="G3022" s="0" t="n">
        <v>0</v>
      </c>
      <c r="H3022" s="0" t="n">
        <v>0.01</v>
      </c>
      <c r="I3022" s="0" t="n">
        <v>0</v>
      </c>
      <c r="J3022" s="0" t="n">
        <v>4.99</v>
      </c>
      <c r="K3022" s="0" t="n">
        <v>0.01</v>
      </c>
      <c r="L3022" s="0" t="n">
        <v>0</v>
      </c>
      <c r="M3022" s="0" t="n">
        <v>0.04</v>
      </c>
      <c r="N3022" s="0" t="n">
        <v>0</v>
      </c>
      <c r="O3022" s="0" t="n">
        <v>420.23</v>
      </c>
    </row>
    <row r="3023" customFormat="false" ht="15" hidden="false" customHeight="false" outlineLevel="0" collapsed="false">
      <c r="A3023" s="0" t="s">
        <v>391</v>
      </c>
      <c r="B3023" s="0" t="s">
        <v>630</v>
      </c>
      <c r="C3023" s="0" t="n">
        <v>2016</v>
      </c>
      <c r="D3023" s="0" t="n">
        <v>14600297</v>
      </c>
      <c r="E3023" s="0" t="n">
        <v>7.17</v>
      </c>
      <c r="F3023" s="0" t="n">
        <v>3.91</v>
      </c>
      <c r="G3023" s="0" t="n">
        <v>0</v>
      </c>
      <c r="H3023" s="0" t="n">
        <v>0.04</v>
      </c>
      <c r="I3023" s="0" t="n">
        <v>0</v>
      </c>
      <c r="J3023" s="0" t="n">
        <v>2.98</v>
      </c>
      <c r="K3023" s="0" t="n">
        <v>0.01</v>
      </c>
      <c r="L3023" s="0" t="n">
        <v>0</v>
      </c>
      <c r="M3023" s="0" t="n">
        <v>0.23</v>
      </c>
      <c r="N3023" s="0" t="n">
        <v>0</v>
      </c>
      <c r="O3023" s="0" t="n">
        <v>488.15</v>
      </c>
    </row>
    <row r="3024" customFormat="false" ht="15" hidden="false" customHeight="false" outlineLevel="0" collapsed="false">
      <c r="A3024" s="0" t="s">
        <v>391</v>
      </c>
      <c r="B3024" s="0" t="s">
        <v>630</v>
      </c>
      <c r="C3024" s="0" t="n">
        <v>2017</v>
      </c>
      <c r="D3024" s="0" t="n">
        <v>14812484</v>
      </c>
      <c r="E3024" s="0" t="n">
        <v>7.55</v>
      </c>
      <c r="F3024" s="0" t="n">
        <v>3.38</v>
      </c>
      <c r="G3024" s="0" t="n">
        <v>0</v>
      </c>
      <c r="H3024" s="0" t="n">
        <v>0.04</v>
      </c>
      <c r="I3024" s="0" t="n">
        <v>0</v>
      </c>
      <c r="J3024" s="0" t="n">
        <v>3.97</v>
      </c>
      <c r="K3024" s="0" t="n">
        <v>0.01</v>
      </c>
      <c r="L3024" s="0" t="n">
        <v>0</v>
      </c>
      <c r="M3024" s="0" t="n">
        <v>0.15</v>
      </c>
      <c r="N3024" s="0" t="n">
        <v>0</v>
      </c>
      <c r="O3024" s="0" t="n">
        <v>403.97</v>
      </c>
    </row>
    <row r="3025" customFormat="false" ht="15" hidden="false" customHeight="false" outlineLevel="0" collapsed="false">
      <c r="A3025" s="0" t="s">
        <v>391</v>
      </c>
      <c r="B3025" s="0" t="s">
        <v>630</v>
      </c>
      <c r="C3025" s="0" t="n">
        <v>2018</v>
      </c>
      <c r="D3025" s="0" t="n">
        <v>15034457</v>
      </c>
      <c r="E3025" s="0" t="n">
        <v>9.43</v>
      </c>
      <c r="F3025" s="0" t="n">
        <v>4.13</v>
      </c>
      <c r="G3025" s="0" t="n">
        <v>0</v>
      </c>
      <c r="H3025" s="0" t="n">
        <v>0.05</v>
      </c>
      <c r="I3025" s="0" t="n">
        <v>0</v>
      </c>
      <c r="J3025" s="0" t="n">
        <v>5.05</v>
      </c>
      <c r="K3025" s="0" t="n">
        <v>0.01</v>
      </c>
      <c r="L3025" s="0" t="n">
        <v>0</v>
      </c>
      <c r="M3025" s="0" t="n">
        <v>0.19</v>
      </c>
      <c r="N3025" s="0" t="n">
        <v>0</v>
      </c>
      <c r="O3025" s="0" t="n">
        <v>395.55</v>
      </c>
    </row>
    <row r="3026" customFormat="false" ht="15" hidden="false" customHeight="false" outlineLevel="0" collapsed="false">
      <c r="A3026" s="0" t="s">
        <v>391</v>
      </c>
      <c r="B3026" s="0" t="s">
        <v>630</v>
      </c>
      <c r="C3026" s="0" t="n">
        <v>2019</v>
      </c>
      <c r="D3026" s="0" t="n">
        <v>15271377</v>
      </c>
      <c r="E3026" s="0" t="n">
        <v>8.48</v>
      </c>
      <c r="F3026" s="0" t="n">
        <v>4.05</v>
      </c>
      <c r="G3026" s="0" t="n">
        <v>0</v>
      </c>
      <c r="H3026" s="0" t="n">
        <v>0.05</v>
      </c>
      <c r="I3026" s="0" t="n">
        <v>0</v>
      </c>
      <c r="J3026" s="0" t="n">
        <v>4.17</v>
      </c>
      <c r="K3026" s="0" t="n">
        <v>0.02</v>
      </c>
      <c r="L3026" s="0" t="n">
        <v>0</v>
      </c>
      <c r="M3026" s="0" t="n">
        <v>0.19</v>
      </c>
      <c r="N3026" s="0" t="n">
        <v>0</v>
      </c>
      <c r="O3026" s="0" t="n">
        <v>429.25</v>
      </c>
    </row>
    <row r="3027" customFormat="false" ht="15" hidden="false" customHeight="false" outlineLevel="0" collapsed="false">
      <c r="A3027" s="0" t="s">
        <v>391</v>
      </c>
      <c r="B3027" s="0" t="s">
        <v>630</v>
      </c>
      <c r="C3027" s="0" t="n">
        <v>2020</v>
      </c>
      <c r="D3027" s="0" t="n">
        <v>15526887</v>
      </c>
      <c r="E3027" s="0" t="n">
        <v>6.71</v>
      </c>
      <c r="F3027" s="0" t="n">
        <v>2.74</v>
      </c>
      <c r="G3027" s="0" t="n">
        <v>0</v>
      </c>
      <c r="H3027" s="0" t="n">
        <v>0.04</v>
      </c>
      <c r="I3027" s="0" t="n">
        <v>0</v>
      </c>
      <c r="J3027" s="0" t="n">
        <v>3.81</v>
      </c>
      <c r="K3027" s="0" t="n">
        <v>0.02</v>
      </c>
      <c r="L3027" s="0" t="n">
        <v>0</v>
      </c>
      <c r="M3027" s="0" t="n">
        <v>0.1</v>
      </c>
      <c r="N3027" s="0" t="n">
        <v>0</v>
      </c>
      <c r="O3027" s="0" t="n">
        <v>371.09</v>
      </c>
    </row>
    <row r="3028" customFormat="false" ht="15" hidden="false" customHeight="false" outlineLevel="0" collapsed="false">
      <c r="A3028" s="0" t="s">
        <v>391</v>
      </c>
      <c r="B3028" s="0" t="s">
        <v>630</v>
      </c>
      <c r="C3028" s="0" t="n">
        <v>2021</v>
      </c>
      <c r="D3028" s="0" t="n">
        <v>15797220</v>
      </c>
      <c r="E3028" s="0" t="n">
        <v>8.57</v>
      </c>
      <c r="F3028" s="0" t="n">
        <v>2.51</v>
      </c>
      <c r="G3028" s="0" t="n">
        <v>0</v>
      </c>
      <c r="H3028" s="0" t="n">
        <v>0</v>
      </c>
      <c r="I3028" s="0" t="n">
        <v>0</v>
      </c>
      <c r="J3028" s="0" t="n">
        <v>5.93</v>
      </c>
      <c r="K3028" s="0" t="n">
        <v>0.02</v>
      </c>
      <c r="L3028" s="0" t="n">
        <v>0</v>
      </c>
      <c r="M3028" s="0" t="n">
        <v>0.11</v>
      </c>
      <c r="N3028" s="0" t="n">
        <v>0</v>
      </c>
      <c r="O3028" s="0" t="n">
        <v>269.55</v>
      </c>
    </row>
    <row r="3029" customFormat="false" ht="15" hidden="false" customHeight="false" outlineLevel="0" collapsed="false">
      <c r="A3029" s="0" t="s">
        <v>391</v>
      </c>
      <c r="B3029" s="0" t="s">
        <v>630</v>
      </c>
      <c r="C3029" s="0" t="n">
        <v>2022</v>
      </c>
      <c r="D3029" s="0" t="n">
        <v>16069061</v>
      </c>
      <c r="E3029" s="0" t="n">
        <v>8.94</v>
      </c>
      <c r="F3029" s="0" t="n">
        <v>2.92</v>
      </c>
      <c r="G3029" s="0" t="n">
        <v>0</v>
      </c>
      <c r="H3029" s="0" t="n">
        <v>0</v>
      </c>
      <c r="I3029" s="0" t="n">
        <v>0</v>
      </c>
      <c r="J3029" s="0" t="n">
        <v>5.88</v>
      </c>
      <c r="K3029" s="0" t="n">
        <v>0.03</v>
      </c>
      <c r="L3029" s="0" t="n">
        <v>0</v>
      </c>
      <c r="M3029" s="0" t="n">
        <v>0.11</v>
      </c>
      <c r="N3029" s="0" t="n">
        <v>0</v>
      </c>
      <c r="O3029" s="0" t="n">
        <v>297.54</v>
      </c>
    </row>
    <row r="3030" customFormat="false" ht="15" hidden="false" customHeight="false" outlineLevel="0" collapsed="false">
      <c r="A3030" s="0" t="s">
        <v>391</v>
      </c>
      <c r="B3030" s="0" t="s">
        <v>630</v>
      </c>
      <c r="C3030" s="0" t="n">
        <v>2023</v>
      </c>
      <c r="D3030" s="0" t="n">
        <v>16340829</v>
      </c>
      <c r="E3030" s="0" t="n">
        <v>9.99</v>
      </c>
      <c r="F3030" s="0" t="n">
        <v>4.38</v>
      </c>
      <c r="G3030" s="0" t="n">
        <v>0</v>
      </c>
      <c r="H3030" s="0" t="n">
        <v>0</v>
      </c>
      <c r="I3030" s="0" t="n">
        <v>0</v>
      </c>
      <c r="J3030" s="0" t="n">
        <v>5.46</v>
      </c>
      <c r="K3030" s="0" t="n">
        <v>0.03</v>
      </c>
      <c r="L3030" s="0" t="n">
        <v>0</v>
      </c>
      <c r="M3030" s="0" t="n">
        <v>0.12</v>
      </c>
      <c r="N3030" s="0" t="n">
        <v>0</v>
      </c>
      <c r="O3030" s="0" t="n">
        <v>392.39</v>
      </c>
    </row>
    <row r="3031" customFormat="false" ht="15" hidden="false" customHeight="false" outlineLevel="0" collapsed="false">
      <c r="A3031" s="0" t="s">
        <v>391</v>
      </c>
      <c r="B3031" s="0" t="s">
        <v>630</v>
      </c>
      <c r="C3031" s="0" t="n">
        <v>2024</v>
      </c>
      <c r="D3031" s="0" t="n">
        <v>16634366</v>
      </c>
      <c r="E3031" s="0" t="n">
        <v>10.26</v>
      </c>
      <c r="F3031" s="0" t="n">
        <v>4.4</v>
      </c>
      <c r="G3031" s="0" t="n">
        <v>0</v>
      </c>
      <c r="H3031" s="0" t="n">
        <v>0</v>
      </c>
      <c r="I3031" s="0" t="n">
        <v>0</v>
      </c>
      <c r="J3031" s="0" t="n">
        <v>5.7</v>
      </c>
      <c r="K3031" s="0" t="n">
        <v>0.04</v>
      </c>
      <c r="L3031" s="0" t="n">
        <v>0</v>
      </c>
      <c r="M3031" s="0" t="n">
        <v>0.12</v>
      </c>
      <c r="N3031" s="0" t="n">
        <v>0</v>
      </c>
      <c r="O3031" s="0" t="n">
        <v>384.02</v>
      </c>
    </row>
  </sheetData>
  <autoFilter ref="A1:O30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55"/>
    <col collapsed="false" customWidth="true" hidden="false" outlineLevel="0" max="4" min="4" style="0" width="22"/>
    <col collapsed="false" customWidth="true" hidden="false" outlineLevel="0" max="5" min="5" style="0" width="16"/>
  </cols>
  <sheetData>
    <row r="1" customFormat="false" ht="19.7" hidden="false" customHeight="false" outlineLevel="0" collapsed="false">
      <c r="A1" s="1" t="s">
        <v>749</v>
      </c>
    </row>
    <row r="2" customFormat="false" ht="15" hidden="false" customHeight="false" outlineLevel="0" collapsed="false">
      <c r="A2" s="2" t="s">
        <v>750</v>
      </c>
    </row>
    <row r="4" customFormat="false" ht="15" hidden="false" customHeight="false" outlineLevel="0" collapsed="false">
      <c r="A4" s="15" t="s">
        <v>751</v>
      </c>
      <c r="B4" s="15" t="s">
        <v>752</v>
      </c>
      <c r="C4" s="15" t="s">
        <v>753</v>
      </c>
      <c r="D4" s="15" t="s">
        <v>754</v>
      </c>
      <c r="E4" s="15" t="s">
        <v>755</v>
      </c>
    </row>
    <row r="5" customFormat="false" ht="31.5" hidden="false" customHeight="true" outlineLevel="0" collapsed="false">
      <c r="A5" s="44" t="s">
        <v>756</v>
      </c>
      <c r="B5" s="44" t="s">
        <v>757</v>
      </c>
      <c r="C5" s="44" t="s">
        <v>758</v>
      </c>
      <c r="D5" s="44" t="s">
        <v>759</v>
      </c>
      <c r="E5" s="44" t="n">
        <v>3030</v>
      </c>
    </row>
    <row r="6" customFormat="false" ht="31.5" hidden="false" customHeight="true" outlineLevel="0" collapsed="false">
      <c r="A6" s="44" t="s">
        <v>760</v>
      </c>
      <c r="B6" s="44" t="s">
        <v>761</v>
      </c>
      <c r="C6" s="44" t="s">
        <v>762</v>
      </c>
      <c r="D6" s="44" t="n">
        <v>750</v>
      </c>
      <c r="E6" s="44" t="n">
        <v>2280</v>
      </c>
    </row>
    <row r="7" customFormat="false" ht="31.5" hidden="false" customHeight="true" outlineLevel="0" collapsed="false">
      <c r="A7" s="44" t="s">
        <v>763</v>
      </c>
      <c r="B7" s="44" t="s">
        <v>764</v>
      </c>
      <c r="C7" s="44" t="s">
        <v>765</v>
      </c>
      <c r="D7" s="44" t="n">
        <v>67</v>
      </c>
      <c r="E7" s="44" t="n">
        <v>2213</v>
      </c>
    </row>
    <row r="8" customFormat="false" ht="31.5" hidden="false" customHeight="true" outlineLevel="0" collapsed="false">
      <c r="A8" s="44" t="s">
        <v>766</v>
      </c>
      <c r="B8" s="44" t="s">
        <v>767</v>
      </c>
      <c r="C8" s="44" t="s">
        <v>768</v>
      </c>
      <c r="D8" s="44" t="n">
        <v>11</v>
      </c>
      <c r="E8" s="44" t="n">
        <v>2202</v>
      </c>
    </row>
    <row r="9" customFormat="false" ht="31.5" hidden="false" customHeight="true" outlineLevel="0" collapsed="false">
      <c r="A9" s="44" t="s">
        <v>769</v>
      </c>
      <c r="B9" s="44" t="s">
        <v>770</v>
      </c>
      <c r="C9" s="44" t="s">
        <v>771</v>
      </c>
      <c r="D9" s="44" t="s">
        <v>772</v>
      </c>
      <c r="E9" s="44" t="n">
        <v>2202</v>
      </c>
    </row>
    <row r="10" customFormat="false" ht="31.5" hidden="false" customHeight="true" outlineLevel="0" collapsed="false">
      <c r="A10" s="44" t="s">
        <v>773</v>
      </c>
      <c r="B10" s="44" t="s">
        <v>774</v>
      </c>
      <c r="C10" s="44" t="s">
        <v>775</v>
      </c>
      <c r="D10" s="44" t="s">
        <v>776</v>
      </c>
      <c r="E10" s="44" t="n">
        <v>2202</v>
      </c>
    </row>
    <row r="11" customFormat="false" ht="31.5" hidden="false" customHeight="true" outlineLevel="0" collapsed="false">
      <c r="A11" s="44" t="s">
        <v>777</v>
      </c>
      <c r="B11" s="44" t="s">
        <v>778</v>
      </c>
      <c r="C11" s="44" t="s">
        <v>779</v>
      </c>
      <c r="D11" s="44" t="s">
        <v>776</v>
      </c>
      <c r="E11" s="44" t="n">
        <v>2202</v>
      </c>
    </row>
    <row r="12" customFormat="false" ht="31.5" hidden="false" customHeight="true" outlineLevel="0" collapsed="false">
      <c r="A12" s="44" t="s">
        <v>780</v>
      </c>
      <c r="B12" s="44" t="s">
        <v>781</v>
      </c>
      <c r="C12" s="44" t="s">
        <v>782</v>
      </c>
      <c r="D12" s="44" t="s">
        <v>776</v>
      </c>
      <c r="E12" s="44" t="n">
        <v>2202</v>
      </c>
    </row>
    <row r="13" customFormat="false" ht="31.5" hidden="false" customHeight="true" outlineLevel="0" collapsed="false">
      <c r="A13" s="44" t="s">
        <v>783</v>
      </c>
      <c r="B13" s="44" t="s">
        <v>784</v>
      </c>
      <c r="C13" s="44" t="s">
        <v>785</v>
      </c>
      <c r="D13" s="44" t="s">
        <v>786</v>
      </c>
      <c r="E13" s="44" t="n">
        <v>2202</v>
      </c>
    </row>
    <row r="14" customFormat="false" ht="31.5" hidden="false" customHeight="true" outlineLevel="0" collapsed="false">
      <c r="A14" s="44" t="s">
        <v>787</v>
      </c>
      <c r="B14" s="44" t="s">
        <v>788</v>
      </c>
      <c r="C14" s="44" t="s">
        <v>789</v>
      </c>
      <c r="D14" s="44" t="n">
        <v>0</v>
      </c>
      <c r="E14" s="44" t="n">
        <v>2202</v>
      </c>
    </row>
    <row r="16" customFormat="false" ht="15" hidden="false" customHeight="false" outlineLevel="0" collapsed="false">
      <c r="A16" s="16" t="s">
        <v>790</v>
      </c>
      <c r="D16" s="50" t="n">
        <f aca="false">COUNTIFS(Clean_Data!$AA$2:$AA$2203,"&lt;0.99")+COUNTIFS(Clean_Data!$AA$2:$AA$2203,"&gt;1.01")</f>
        <v>0</v>
      </c>
    </row>
    <row r="17" customFormat="false" ht="15" hidden="false" customHeight="false" outlineLevel="0" collapsed="false">
      <c r="A17" s="16" t="s">
        <v>791</v>
      </c>
      <c r="D17" s="50" t="n">
        <f aca="false">COUNTA(Clean_Data!$A$2:$A$2203)</f>
        <v>2202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12"/>
    <col collapsed="false" customWidth="true" hidden="false" outlineLevel="0" max="4" min="4" style="0" width="44"/>
  </cols>
  <sheetData>
    <row r="1" customFormat="false" ht="19.7" hidden="false" customHeight="false" outlineLevel="0" collapsed="false">
      <c r="A1" s="1" t="s">
        <v>792</v>
      </c>
    </row>
    <row r="3" customFormat="false" ht="15" hidden="false" customHeight="false" outlineLevel="0" collapsed="false">
      <c r="A3" s="15" t="s">
        <v>793</v>
      </c>
      <c r="B3" s="15" t="s">
        <v>794</v>
      </c>
      <c r="C3" s="15" t="s">
        <v>795</v>
      </c>
      <c r="D3" s="15" t="s">
        <v>796</v>
      </c>
    </row>
    <row r="4" customFormat="false" ht="15" hidden="false" customHeight="false" outlineLevel="0" collapsed="false">
      <c r="A4" s="64" t="s">
        <v>127</v>
      </c>
      <c r="B4" s="44" t="s">
        <v>797</v>
      </c>
      <c r="C4" s="44" t="s">
        <v>798</v>
      </c>
      <c r="D4" s="44" t="s">
        <v>799</v>
      </c>
    </row>
    <row r="5" customFormat="false" ht="15" hidden="false" customHeight="false" outlineLevel="0" collapsed="false">
      <c r="A5" s="64" t="s">
        <v>392</v>
      </c>
      <c r="B5" s="44" t="s">
        <v>800</v>
      </c>
      <c r="C5" s="44" t="s">
        <v>798</v>
      </c>
      <c r="D5" s="44" t="s">
        <v>801</v>
      </c>
    </row>
    <row r="6" customFormat="false" ht="15" hidden="false" customHeight="false" outlineLevel="0" collapsed="false">
      <c r="A6" s="64" t="s">
        <v>393</v>
      </c>
      <c r="B6" s="44" t="s">
        <v>802</v>
      </c>
      <c r="C6" s="44" t="s">
        <v>798</v>
      </c>
      <c r="D6" s="44" t="s">
        <v>803</v>
      </c>
    </row>
    <row r="7" customFormat="false" ht="15" hidden="false" customHeight="false" outlineLevel="0" collapsed="false">
      <c r="A7" s="64" t="s">
        <v>78</v>
      </c>
      <c r="B7" s="44" t="s">
        <v>804</v>
      </c>
      <c r="C7" s="44" t="s">
        <v>633</v>
      </c>
      <c r="D7" s="44" t="s">
        <v>805</v>
      </c>
    </row>
    <row r="8" customFormat="false" ht="15" hidden="false" customHeight="false" outlineLevel="0" collapsed="false">
      <c r="A8" s="64" t="s">
        <v>394</v>
      </c>
      <c r="B8" s="44" t="s">
        <v>394</v>
      </c>
      <c r="C8" s="44" t="s">
        <v>806</v>
      </c>
      <c r="D8" s="44" t="s">
        <v>807</v>
      </c>
    </row>
    <row r="9" customFormat="false" ht="15" hidden="false" customHeight="false" outlineLevel="0" collapsed="false">
      <c r="A9" s="64" t="s">
        <v>395</v>
      </c>
      <c r="B9" s="44" t="s">
        <v>808</v>
      </c>
      <c r="C9" s="44" t="s">
        <v>809</v>
      </c>
      <c r="D9" s="44" t="s">
        <v>810</v>
      </c>
    </row>
    <row r="10" customFormat="false" ht="15" hidden="false" customHeight="false" outlineLevel="0" collapsed="false">
      <c r="A10" s="64" t="s">
        <v>811</v>
      </c>
      <c r="B10" s="44" t="s">
        <v>812</v>
      </c>
      <c r="C10" s="44" t="s">
        <v>809</v>
      </c>
      <c r="D10" s="44" t="s">
        <v>813</v>
      </c>
    </row>
    <row r="11" customFormat="false" ht="15" hidden="false" customHeight="false" outlineLevel="0" collapsed="false">
      <c r="A11" s="64" t="s">
        <v>403</v>
      </c>
      <c r="B11" s="44" t="s">
        <v>814</v>
      </c>
      <c r="C11" s="44" t="s">
        <v>809</v>
      </c>
      <c r="D11" s="44" t="s">
        <v>815</v>
      </c>
    </row>
    <row r="12" customFormat="false" ht="15" hidden="false" customHeight="false" outlineLevel="0" collapsed="false">
      <c r="A12" s="64" t="s">
        <v>404</v>
      </c>
      <c r="B12" s="44" t="s">
        <v>816</v>
      </c>
      <c r="C12" s="44" t="s">
        <v>809</v>
      </c>
      <c r="D12" s="44" t="s">
        <v>817</v>
      </c>
    </row>
    <row r="13" customFormat="false" ht="15" hidden="false" customHeight="false" outlineLevel="0" collapsed="false">
      <c r="A13" s="64" t="s">
        <v>405</v>
      </c>
      <c r="B13" s="44" t="s">
        <v>818</v>
      </c>
      <c r="C13" s="44" t="s">
        <v>819</v>
      </c>
      <c r="D13" s="44" t="s">
        <v>820</v>
      </c>
    </row>
    <row r="14" customFormat="false" ht="15" hidden="false" customHeight="false" outlineLevel="0" collapsed="false">
      <c r="A14" s="64" t="s">
        <v>406</v>
      </c>
      <c r="B14" s="44" t="s">
        <v>821</v>
      </c>
      <c r="C14" s="44" t="s">
        <v>822</v>
      </c>
      <c r="D14" s="44" t="s">
        <v>823</v>
      </c>
    </row>
    <row r="15" customFormat="false" ht="15" hidden="false" customHeight="false" outlineLevel="0" collapsed="false">
      <c r="A15" s="64" t="s">
        <v>407</v>
      </c>
      <c r="B15" s="44" t="s">
        <v>824</v>
      </c>
      <c r="C15" s="44" t="s">
        <v>809</v>
      </c>
      <c r="D15" s="44" t="s">
        <v>825</v>
      </c>
    </row>
    <row r="16" customFormat="false" ht="15" hidden="false" customHeight="false" outlineLevel="0" collapsed="false">
      <c r="A16" s="64" t="s">
        <v>408</v>
      </c>
      <c r="B16" s="44" t="s">
        <v>826</v>
      </c>
      <c r="C16" s="44" t="s">
        <v>809</v>
      </c>
      <c r="D16" s="44" t="s">
        <v>825</v>
      </c>
    </row>
    <row r="17" customFormat="false" ht="15" hidden="false" customHeight="false" outlineLevel="0" collapsed="false">
      <c r="A17" s="64" t="s">
        <v>409</v>
      </c>
      <c r="B17" s="44" t="s">
        <v>827</v>
      </c>
      <c r="C17" s="44" t="s">
        <v>809</v>
      </c>
      <c r="D17" s="44" t="s">
        <v>825</v>
      </c>
    </row>
    <row r="18" customFormat="false" ht="15" hidden="false" customHeight="false" outlineLevel="0" collapsed="false">
      <c r="A18" s="64" t="s">
        <v>410</v>
      </c>
      <c r="B18" s="44" t="s">
        <v>828</v>
      </c>
      <c r="C18" s="44" t="s">
        <v>809</v>
      </c>
      <c r="D18" s="44" t="s">
        <v>825</v>
      </c>
    </row>
    <row r="19" customFormat="false" ht="23.85" hidden="false" customHeight="false" outlineLevel="0" collapsed="false">
      <c r="A19" s="64" t="s">
        <v>829</v>
      </c>
      <c r="B19" s="44" t="s">
        <v>830</v>
      </c>
      <c r="C19" s="44" t="s">
        <v>831</v>
      </c>
      <c r="D19" s="44" t="s">
        <v>825</v>
      </c>
    </row>
    <row r="20" customFormat="false" ht="15" hidden="false" customHeight="false" outlineLevel="0" collapsed="false">
      <c r="A20" s="64" t="s">
        <v>415</v>
      </c>
      <c r="B20" s="44" t="s">
        <v>832</v>
      </c>
      <c r="C20" s="44" t="s">
        <v>833</v>
      </c>
      <c r="D20" s="44" t="s">
        <v>825</v>
      </c>
    </row>
    <row r="21" customFormat="false" ht="15" hidden="false" customHeight="false" outlineLevel="0" collapsed="false">
      <c r="A21" s="64" t="s">
        <v>416</v>
      </c>
      <c r="B21" s="44" t="s">
        <v>834</v>
      </c>
      <c r="C21" s="44" t="s">
        <v>831</v>
      </c>
      <c r="D21" s="44" t="s">
        <v>835</v>
      </c>
    </row>
    <row r="22" customFormat="false" ht="15" hidden="false" customHeight="false" outlineLevel="0" collapsed="false">
      <c r="A22" s="64" t="s">
        <v>417</v>
      </c>
      <c r="B22" s="44" t="s">
        <v>836</v>
      </c>
      <c r="C22" s="44" t="s">
        <v>798</v>
      </c>
      <c r="D22" s="44" t="s">
        <v>825</v>
      </c>
    </row>
    <row r="23" customFormat="false" ht="23.85" hidden="false" customHeight="false" outlineLevel="0" collapsed="false">
      <c r="A23" s="64" t="s">
        <v>837</v>
      </c>
      <c r="B23" s="44" t="s">
        <v>838</v>
      </c>
      <c r="C23" s="44" t="s">
        <v>759</v>
      </c>
      <c r="D23" s="44" t="s">
        <v>839</v>
      </c>
    </row>
    <row r="24" customFormat="false" ht="15" hidden="false" customHeight="false" outlineLevel="0" collapsed="false">
      <c r="A24" s="64" t="s">
        <v>840</v>
      </c>
      <c r="B24" s="44" t="s">
        <v>841</v>
      </c>
      <c r="C24" s="44" t="s">
        <v>831</v>
      </c>
      <c r="D24" s="44" t="s">
        <v>839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2026-10-07T06:40:56Z</dcterms:created>
  <dc:creator>openpyxl</dc:creator>
  <dc:description/>
  <dc:language>en-US</dc:language>
  <cp:lastModifiedBy/>
  <dcterms:modified xsi:type="dcterms:W3CDTF">2026-10-07T06:41:06Z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